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D7A7CAF0-E7B6-4A25-914F-23D19C3B68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stone2" sheetId="1" r:id="rId1"/>
    <sheet name="Pivot" sheetId="4" r:id="rId2"/>
    <sheet name="KPI" sheetId="2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<sst xmlns="http://schemas.openxmlformats.org/spreadsheetml/2006/main" count="69924" uniqueCount="6486">
  <si>
    <t>OrderID</t>
  </si>
  <si>
    <t>OrderDate</t>
  </si>
  <si>
    <t>CustomerID</t>
  </si>
  <si>
    <t>ProductCategory</t>
  </si>
  <si>
    <t>Product</t>
  </si>
  <si>
    <t>Quantity</t>
  </si>
  <si>
    <t>Discount</t>
  </si>
  <si>
    <t>Sales</t>
  </si>
  <si>
    <t>Profit</t>
  </si>
  <si>
    <t>PaymentMethod</t>
  </si>
  <si>
    <t>OrderStatus</t>
  </si>
  <si>
    <t>SalesPerUnit</t>
  </si>
  <si>
    <t>ProfitMargin</t>
  </si>
  <si>
    <t>LossFlag</t>
  </si>
  <si>
    <t>CustomerName</t>
  </si>
  <si>
    <t>Segment</t>
  </si>
  <si>
    <t>Region</t>
  </si>
  <si>
    <t>City</t>
  </si>
  <si>
    <t>State</t>
  </si>
  <si>
    <t>SignupDate</t>
  </si>
  <si>
    <t>AgeGroup</t>
  </si>
  <si>
    <t>ProfitPerUnit</t>
  </si>
  <si>
    <t>ORD00001</t>
  </si>
  <si>
    <t>CUST0258</t>
  </si>
  <si>
    <t>Office Supplies</t>
  </si>
  <si>
    <t>Printer</t>
  </si>
  <si>
    <t>UPI</t>
  </si>
  <si>
    <t>Shipped</t>
  </si>
  <si>
    <t>Priya Naidu</t>
  </si>
  <si>
    <t>Consumer</t>
  </si>
  <si>
    <t>South</t>
  </si>
  <si>
    <t>Bengaluru</t>
  </si>
  <si>
    <t>Karnataka</t>
  </si>
  <si>
    <t>2023-07-05</t>
  </si>
  <si>
    <t>26-35</t>
  </si>
  <si>
    <t>ORD00002</t>
  </si>
  <si>
    <t>CUST0030</t>
  </si>
  <si>
    <t>Accessories</t>
  </si>
  <si>
    <t>USB Hub</t>
  </si>
  <si>
    <t>Cash on Delivery</t>
  </si>
  <si>
    <t>Delivered</t>
  </si>
  <si>
    <t>Rahul Sharma</t>
  </si>
  <si>
    <t>West</t>
  </si>
  <si>
    <t>Mumbai</t>
  </si>
  <si>
    <t>Maharashtra</t>
  </si>
  <si>
    <t>2025-03-19</t>
  </si>
  <si>
    <t>36-50</t>
  </si>
  <si>
    <t>ORD00003</t>
  </si>
  <si>
    <t>CUST0333</t>
  </si>
  <si>
    <t>Furniture</t>
  </si>
  <si>
    <t>Cabinet</t>
  </si>
  <si>
    <t>Card</t>
  </si>
  <si>
    <t>Aditya Gupta</t>
  </si>
  <si>
    <t>Chennai</t>
  </si>
  <si>
    <t>Tamil Nadu</t>
  </si>
  <si>
    <t>2023-02-18</t>
  </si>
  <si>
    <t>ORD00004</t>
  </si>
  <si>
    <t>CUST0576</t>
  </si>
  <si>
    <t>Desk</t>
  </si>
  <si>
    <t>Harini Pillai</t>
  </si>
  <si>
    <t>Hyderabad</t>
  </si>
  <si>
    <t>Telangana</t>
  </si>
  <si>
    <t>2023-05-25</t>
  </si>
  <si>
    <t>ORD00005</t>
  </si>
  <si>
    <t>CUST0212</t>
  </si>
  <si>
    <t>NetBanking</t>
  </si>
  <si>
    <t>Vikram Singh</t>
  </si>
  <si>
    <t>2025-06-26</t>
  </si>
  <si>
    <t>ORD00006</t>
  </si>
  <si>
    <t>CUST0579</t>
  </si>
  <si>
    <t>Electronics</t>
  </si>
  <si>
    <t>Monitor</t>
  </si>
  <si>
    <t>Manoj Reddy</t>
  </si>
  <si>
    <t>Corporate</t>
  </si>
  <si>
    <t>North</t>
  </si>
  <si>
    <t>Chandigarh</t>
  </si>
  <si>
    <t>2024-10-31</t>
  </si>
  <si>
    <t>ORD00007</t>
  </si>
  <si>
    <t>CUST0127</t>
  </si>
  <si>
    <t>Bookshelf</t>
  </si>
  <si>
    <t>Cancelled</t>
  </si>
  <si>
    <t>Loss</t>
  </si>
  <si>
    <t>Ananya Patel</t>
  </si>
  <si>
    <t>Home Office</t>
  </si>
  <si>
    <t>2023-08-13</t>
  </si>
  <si>
    <t>ORD00008</t>
  </si>
  <si>
    <t>CUST0552</t>
  </si>
  <si>
    <t>Stapler</t>
  </si>
  <si>
    <t>Rahul Pillai</t>
  </si>
  <si>
    <t>2024-11-20</t>
  </si>
  <si>
    <t>ORD00009</t>
  </si>
  <si>
    <t>CUST0338</t>
  </si>
  <si>
    <t>Desk Organizer</t>
  </si>
  <si>
    <t>Kavya Bose</t>
  </si>
  <si>
    <t>2024-10-27</t>
  </si>
  <si>
    <t>ORD00010</t>
  </si>
  <si>
    <t>CUST0195</t>
  </si>
  <si>
    <t>Nisha Kulkarni</t>
  </si>
  <si>
    <t>Coimbatore</t>
  </si>
  <si>
    <t>2024-04-23</t>
  </si>
  <si>
    <t>18-25</t>
  </si>
  <si>
    <t>ORD00011</t>
  </si>
  <si>
    <t>CUST0555</t>
  </si>
  <si>
    <t>Aarav Mehta</t>
  </si>
  <si>
    <t>2023-05-19</t>
  </si>
  <si>
    <t>51+</t>
  </si>
  <si>
    <t>ORD00012</t>
  </si>
  <si>
    <t>CUST0486</t>
  </si>
  <si>
    <t>Headphones</t>
  </si>
  <si>
    <t>Shreya Chopra</t>
  </si>
  <si>
    <t>Ahmedabad</t>
  </si>
  <si>
    <t>Gujarat</t>
  </si>
  <si>
    <t>2025-10-26</t>
  </si>
  <si>
    <t>ORD00013</t>
  </si>
  <si>
    <t>CUST0484</t>
  </si>
  <si>
    <t>Delhi</t>
  </si>
  <si>
    <t>2025-05-08</t>
  </si>
  <si>
    <t>ORD00014</t>
  </si>
  <si>
    <t>CUST0327</t>
  </si>
  <si>
    <t>Office Chair</t>
  </si>
  <si>
    <t>Sanjay Singh</t>
  </si>
  <si>
    <t>Pune</t>
  </si>
  <si>
    <t>2023-11-03</t>
  </si>
  <si>
    <t>ORD00015</t>
  </si>
  <si>
    <t>CUST0525</t>
  </si>
  <si>
    <t>Varun Gupta</t>
  </si>
  <si>
    <t>2023-05-14</t>
  </si>
  <si>
    <t>ORD00016</t>
  </si>
  <si>
    <t>CUST0192</t>
  </si>
  <si>
    <t>Laptop</t>
  </si>
  <si>
    <t>Kavya Verma</t>
  </si>
  <si>
    <t>East</t>
  </si>
  <si>
    <t>Bhubaneswar</t>
  </si>
  <si>
    <t>Odisha</t>
  </si>
  <si>
    <t>2023-06-15</t>
  </si>
  <si>
    <t>ORD00017</t>
  </si>
  <si>
    <t>CUST0583</t>
  </si>
  <si>
    <t>Shreya Menon</t>
  </si>
  <si>
    <t>2023-09-05</t>
  </si>
  <si>
    <t>ORD00018</t>
  </si>
  <si>
    <t>CUST0460</t>
  </si>
  <si>
    <t>Rohan Nair</t>
  </si>
  <si>
    <t>2023-12-17</t>
  </si>
  <si>
    <t>ORD00019</t>
  </si>
  <si>
    <t>CUST0503</t>
  </si>
  <si>
    <t>Manoj Nair</t>
  </si>
  <si>
    <t>2025-08-16</t>
  </si>
  <si>
    <t>ORD00020</t>
  </si>
  <si>
    <t>CUST0214</t>
  </si>
  <si>
    <t>Ananya Rao</t>
  </si>
  <si>
    <t>2023-07-14</t>
  </si>
  <si>
    <t>ORD00021</t>
  </si>
  <si>
    <t>CUST0166</t>
  </si>
  <si>
    <t>Arjun Gupta</t>
  </si>
  <si>
    <t>2024-10-19</t>
  </si>
  <si>
    <t>ORD00022</t>
  </si>
  <si>
    <t>CUST0378</t>
  </si>
  <si>
    <t>Aarav Joshi</t>
  </si>
  <si>
    <t>2025-12-14</t>
  </si>
  <si>
    <t>ORD00023</t>
  </si>
  <si>
    <t>CUST0385</t>
  </si>
  <si>
    <t>Karthik Singh</t>
  </si>
  <si>
    <t>2023-06-06</t>
  </si>
  <si>
    <t>ORD00024</t>
  </si>
  <si>
    <t>CUST0402</t>
  </si>
  <si>
    <t>Keyboard</t>
  </si>
  <si>
    <t>Diya Pillai</t>
  </si>
  <si>
    <t>2025-08-08</t>
  </si>
  <si>
    <t>ORD00025</t>
  </si>
  <si>
    <t>CUST0449</t>
  </si>
  <si>
    <t>Mouse</t>
  </si>
  <si>
    <t>Ishaan Kulkarni</t>
  </si>
  <si>
    <t>2023-06-12</t>
  </si>
  <si>
    <t>ORD00026</t>
  </si>
  <si>
    <t>CUST0482</t>
  </si>
  <si>
    <t>Divya Reddy</t>
  </si>
  <si>
    <t>2025-06-12</t>
  </si>
  <si>
    <t>ORD00027</t>
  </si>
  <si>
    <t>CUST0200</t>
  </si>
  <si>
    <t>Nisha Mishra</t>
  </si>
  <si>
    <t>2023-10-31</t>
  </si>
  <si>
    <t>ORD00028</t>
  </si>
  <si>
    <t>CUST0064</t>
  </si>
  <si>
    <t>Diya Rao</t>
  </si>
  <si>
    <t>2025-05-13</t>
  </si>
  <si>
    <t>ORD00029</t>
  </si>
  <si>
    <t>CUST0177</t>
  </si>
  <si>
    <t>Lakshmi Mehta</t>
  </si>
  <si>
    <t>ORD00030</t>
  </si>
  <si>
    <t>CUST0359</t>
  </si>
  <si>
    <t>Webcam</t>
  </si>
  <si>
    <t>Ananya Mishra</t>
  </si>
  <si>
    <t>2024-05-22</t>
  </si>
  <si>
    <t>ORD00031</t>
  </si>
  <si>
    <t>CUST0090</t>
  </si>
  <si>
    <t>Nisha Bose</t>
  </si>
  <si>
    <t>2024-09-07</t>
  </si>
  <si>
    <t>ORD00032</t>
  </si>
  <si>
    <t>CUST0125</t>
  </si>
  <si>
    <t>Diya Singh</t>
  </si>
  <si>
    <t>Patna</t>
  </si>
  <si>
    <t>Bihar</t>
  </si>
  <si>
    <t>2023-08-16</t>
  </si>
  <si>
    <t>ORD00033</t>
  </si>
  <si>
    <t>CUST0362</t>
  </si>
  <si>
    <t>Karthik Joshi</t>
  </si>
  <si>
    <t>2025-09-08</t>
  </si>
  <si>
    <t>ORD00034</t>
  </si>
  <si>
    <t>CUST0598</t>
  </si>
  <si>
    <t>Arjun Das</t>
  </si>
  <si>
    <t>2024-07-07</t>
  </si>
  <si>
    <t>ORD00035</t>
  </si>
  <si>
    <t>CUST0470</t>
  </si>
  <si>
    <t>Akash Kulkarni</t>
  </si>
  <si>
    <t>Surat</t>
  </si>
  <si>
    <t>2025-07-01</t>
  </si>
  <si>
    <t>ORD00036</t>
  </si>
  <si>
    <t>CUST0596</t>
  </si>
  <si>
    <t>Manoj Rao</t>
  </si>
  <si>
    <t>2024-01-21</t>
  </si>
  <si>
    <t>ORD00037</t>
  </si>
  <si>
    <t>CUST0540</t>
  </si>
  <si>
    <t>Kavya Rao</t>
  </si>
  <si>
    <t>2023-09-30</t>
  </si>
  <si>
    <t>ORD00038</t>
  </si>
  <si>
    <t>CUST0374</t>
  </si>
  <si>
    <t>Ishaan Chopra</t>
  </si>
  <si>
    <t>2024-09-12</t>
  </si>
  <si>
    <t>ORD00039</t>
  </si>
  <si>
    <t>CUST0167</t>
  </si>
  <si>
    <t>2024-10-15</t>
  </si>
  <si>
    <t>ORD00040</t>
  </si>
  <si>
    <t>CUST0107</t>
  </si>
  <si>
    <t>Ishaan Sharma</t>
  </si>
  <si>
    <t>2024-11-29</t>
  </si>
  <si>
    <t>ORD00041</t>
  </si>
  <si>
    <t>CUST0305</t>
  </si>
  <si>
    <t>Jaipur</t>
  </si>
  <si>
    <t>Rajasthan</t>
  </si>
  <si>
    <t>2024-11-15</t>
  </si>
  <si>
    <t>ORD00042</t>
  </si>
  <si>
    <t>CUST0370</t>
  </si>
  <si>
    <t>Paper</t>
  </si>
  <si>
    <t>Diya Kulkarni</t>
  </si>
  <si>
    <t>2024-04-20</t>
  </si>
  <si>
    <t>ORD00043</t>
  </si>
  <si>
    <t>CUST0340</t>
  </si>
  <si>
    <t>Lakshmi Pillai</t>
  </si>
  <si>
    <t>2023-11-04</t>
  </si>
  <si>
    <t>ORD00044</t>
  </si>
  <si>
    <t>CUST0279</t>
  </si>
  <si>
    <t>Aditya Bose</t>
  </si>
  <si>
    <t>2024-04-09</t>
  </si>
  <si>
    <t>ORD00045</t>
  </si>
  <si>
    <t>CUST0284</t>
  </si>
  <si>
    <t>Pooja Mehta</t>
  </si>
  <si>
    <t>2024-07-24</t>
  </si>
  <si>
    <t>ORD00046</t>
  </si>
  <si>
    <t>CUST0597</t>
  </si>
  <si>
    <t>Harini Menon</t>
  </si>
  <si>
    <t>2025-05-09</t>
  </si>
  <si>
    <t>ORD00047</t>
  </si>
  <si>
    <t>ORD00048</t>
  </si>
  <si>
    <t>CUST0415</t>
  </si>
  <si>
    <t>LAPTOP</t>
  </si>
  <si>
    <t>Manoj Bose</t>
  </si>
  <si>
    <t>2024-07-04</t>
  </si>
  <si>
    <t>ORD00049</t>
  </si>
  <si>
    <t>CUST0475</t>
  </si>
  <si>
    <t>Divya Verma</t>
  </si>
  <si>
    <t>2025-12-10</t>
  </si>
  <si>
    <t>ORD00050</t>
  </si>
  <si>
    <t>CUST0015</t>
  </si>
  <si>
    <t>2024-09-16</t>
  </si>
  <si>
    <t>ORD00051</t>
  </si>
  <si>
    <t>CUST0515</t>
  </si>
  <si>
    <t>Priya Rao</t>
  </si>
  <si>
    <t>2025-06-05</t>
  </si>
  <si>
    <t>ORD00052</t>
  </si>
  <si>
    <t>CUST0372</t>
  </si>
  <si>
    <t>Akash Das</t>
  </si>
  <si>
    <t>2024-08-19</t>
  </si>
  <si>
    <t>ORD00053</t>
  </si>
  <si>
    <t>CUST0067</t>
  </si>
  <si>
    <t>Varun Joshi</t>
  </si>
  <si>
    <t>2024-10-29</t>
  </si>
  <si>
    <t>ORD00054</t>
  </si>
  <si>
    <t>CUST0564</t>
  </si>
  <si>
    <t>Aditya Joshi</t>
  </si>
  <si>
    <t>Guwahati</t>
  </si>
  <si>
    <t>Assam</t>
  </si>
  <si>
    <t>2025-12-19</t>
  </si>
  <si>
    <t>ORD00055</t>
  </si>
  <si>
    <t>CUST0511</t>
  </si>
  <si>
    <t>Sneha Naidu</t>
  </si>
  <si>
    <t>2023-05-20</t>
  </si>
  <si>
    <t>ORD00056</t>
  </si>
  <si>
    <t>CUST0353</t>
  </si>
  <si>
    <t>Aditya Iyer</t>
  </si>
  <si>
    <t>2024-08-21</t>
  </si>
  <si>
    <t>ORD00057</t>
  </si>
  <si>
    <t>CUST0019</t>
  </si>
  <si>
    <t>Ishaan Pillai</t>
  </si>
  <si>
    <t>2023-06-28</t>
  </si>
  <si>
    <t>ORD00058</t>
  </si>
  <si>
    <t>CUST0527</t>
  </si>
  <si>
    <t>Aarav Patel</t>
  </si>
  <si>
    <t>2024-04-04</t>
  </si>
  <si>
    <t>ORD00059</t>
  </si>
  <si>
    <t>CUST0062</t>
  </si>
  <si>
    <t>Backpack</t>
  </si>
  <si>
    <t>2023-04-01</t>
  </si>
  <si>
    <t>ORD00060</t>
  </si>
  <si>
    <t>CUST0315</t>
  </si>
  <si>
    <t>Harini Verma</t>
  </si>
  <si>
    <t>2024-10-22</t>
  </si>
  <si>
    <t>ORD00061</t>
  </si>
  <si>
    <t>CUST0242</t>
  </si>
  <si>
    <t>Priya Singh</t>
  </si>
  <si>
    <t>2024-11-26</t>
  </si>
  <si>
    <t>ORD00062</t>
  </si>
  <si>
    <t>CUST0319</t>
  </si>
  <si>
    <t>Vikram Sharma</t>
  </si>
  <si>
    <t>2024-01-16</t>
  </si>
  <si>
    <t>ORD00063</t>
  </si>
  <si>
    <t>CUST0276</t>
  </si>
  <si>
    <t>2024-01-26</t>
  </si>
  <si>
    <t>ORD00064</t>
  </si>
  <si>
    <t>CUST0428</t>
  </si>
  <si>
    <t>Akash Iyer</t>
  </si>
  <si>
    <t>2024-08-10</t>
  </si>
  <si>
    <t>ORD00065</t>
  </si>
  <si>
    <t>CUST0004</t>
  </si>
  <si>
    <t>Vikram Kulkarni</t>
  </si>
  <si>
    <t>2023-09-22</t>
  </si>
  <si>
    <t>ORD00066</t>
  </si>
  <si>
    <t>CUST0050</t>
  </si>
  <si>
    <t>Varun Mehta</t>
  </si>
  <si>
    <t>2025-07-08</t>
  </si>
  <si>
    <t>ORD00067</t>
  </si>
  <si>
    <t>CUST0581</t>
  </si>
  <si>
    <t>Aditya Naidu</t>
  </si>
  <si>
    <t>2024-10-03</t>
  </si>
  <si>
    <t>ORD00068</t>
  </si>
  <si>
    <t>CUST0136</t>
  </si>
  <si>
    <t>Meera Patel</t>
  </si>
  <si>
    <t>2024-08-15</t>
  </si>
  <si>
    <t>ORD00069</t>
  </si>
  <si>
    <t>CUST0158</t>
  </si>
  <si>
    <t>Ananya Reddy</t>
  </si>
  <si>
    <t>ORD00070</t>
  </si>
  <si>
    <t>CUST0410</t>
  </si>
  <si>
    <t>Pooja Iyer</t>
  </si>
  <si>
    <t>ORD00071</t>
  </si>
  <si>
    <t>CUST0348</t>
  </si>
  <si>
    <t>Varun Verma</t>
  </si>
  <si>
    <t>2024-01-11</t>
  </si>
  <si>
    <t>ORD00072</t>
  </si>
  <si>
    <t>CUST0380</t>
  </si>
  <si>
    <t>Arjun Sharma</t>
  </si>
  <si>
    <t>ORD00073</t>
  </si>
  <si>
    <t>CUST0043</t>
  </si>
  <si>
    <t>Meera Mehta</t>
  </si>
  <si>
    <t>2024-04-22</t>
  </si>
  <si>
    <t>ORD00074</t>
  </si>
  <si>
    <t>CUST0521</t>
  </si>
  <si>
    <t>2025-11-16</t>
  </si>
  <si>
    <t>ORD00075</t>
  </si>
  <si>
    <t>CUST0502</t>
  </si>
  <si>
    <t>Kavya Nair</t>
  </si>
  <si>
    <t>2024-02-11</t>
  </si>
  <si>
    <t>ORD00076</t>
  </si>
  <si>
    <t>CUST0273</t>
  </si>
  <si>
    <t>upi</t>
  </si>
  <si>
    <t>Akash Verma</t>
  </si>
  <si>
    <t>2024-07-10</t>
  </si>
  <si>
    <t>ORD00077</t>
  </si>
  <si>
    <t>CUST0229</t>
  </si>
  <si>
    <t>Harini Chopra</t>
  </si>
  <si>
    <t>2025-05-19</t>
  </si>
  <si>
    <t>ORD00078</t>
  </si>
  <si>
    <t>CUST0186</t>
  </si>
  <si>
    <t>Vikram Verma</t>
  </si>
  <si>
    <t>2024-03-12</t>
  </si>
  <si>
    <t>ORD00079</t>
  </si>
  <si>
    <t>CUST0358</t>
  </si>
  <si>
    <t>Sanjay Das</t>
  </si>
  <si>
    <t>2025-08-29</t>
  </si>
  <si>
    <t>ORD00080</t>
  </si>
  <si>
    <t>CUST0223</t>
  </si>
  <si>
    <t>Akash Bose</t>
  </si>
  <si>
    <t>2023-12-31</t>
  </si>
  <si>
    <t>ORD00081</t>
  </si>
  <si>
    <t>CUST0389</t>
  </si>
  <si>
    <t>Manoj Pillai</t>
  </si>
  <si>
    <t>2023-07-09</t>
  </si>
  <si>
    <t>ORD00082</t>
  </si>
  <si>
    <t>CUST0307</t>
  </si>
  <si>
    <t>Diya Mishra</t>
  </si>
  <si>
    <t>2024-12-29</t>
  </si>
  <si>
    <t>ORD00083</t>
  </si>
  <si>
    <t>CUST0209</t>
  </si>
  <si>
    <t>Rahul Naidu</t>
  </si>
  <si>
    <t>2023-02-09</t>
  </si>
  <si>
    <t>ORD00084</t>
  </si>
  <si>
    <t>CUST0328</t>
  </si>
  <si>
    <t>Priya Patel</t>
  </si>
  <si>
    <t>2025-03-16</t>
  </si>
  <si>
    <t>ORD00085</t>
  </si>
  <si>
    <t>CUST0277</t>
  </si>
  <si>
    <t>Pooja Sharma</t>
  </si>
  <si>
    <t>2025-02-27</t>
  </si>
  <si>
    <t>ORD00086</t>
  </si>
  <si>
    <t>CUST0137</t>
  </si>
  <si>
    <t>Nisha Rao</t>
  </si>
  <si>
    <t>2024-07-02</t>
  </si>
  <si>
    <t>ORD00087</t>
  </si>
  <si>
    <t>CUST0169</t>
  </si>
  <si>
    <t>Sneha Bose</t>
  </si>
  <si>
    <t>2024-09-10</t>
  </si>
  <si>
    <t>ORD00088</t>
  </si>
  <si>
    <t>CUST0561</t>
  </si>
  <si>
    <t>Harini Joshi</t>
  </si>
  <si>
    <t>2023-09-10</t>
  </si>
  <si>
    <t>ORD00089</t>
  </si>
  <si>
    <t>ORD00090</t>
  </si>
  <si>
    <t>CUST0274</t>
  </si>
  <si>
    <t>Meera Bose</t>
  </si>
  <si>
    <t>2025-01-06</t>
  </si>
  <si>
    <t>ORD00091</t>
  </si>
  <si>
    <t>CUST0528</t>
  </si>
  <si>
    <t>Karthik Menon</t>
  </si>
  <si>
    <t>ORD00092</t>
  </si>
  <si>
    <t>CUST0181</t>
  </si>
  <si>
    <t>Returned</t>
  </si>
  <si>
    <t>Rohan Iyer</t>
  </si>
  <si>
    <t>2023-03-20</t>
  </si>
  <si>
    <t>ORD00093</t>
  </si>
  <si>
    <t>CUST0259</t>
  </si>
  <si>
    <t>Manoj Menon</t>
  </si>
  <si>
    <t>2023-10-20</t>
  </si>
  <si>
    <t>ORD00094</t>
  </si>
  <si>
    <t>CUST0086</t>
  </si>
  <si>
    <t>Pooja Khan</t>
  </si>
  <si>
    <t xml:space="preserve"> Chennai </t>
  </si>
  <si>
    <t>2023-05-28</t>
  </si>
  <si>
    <t>ORD00095</t>
  </si>
  <si>
    <t>CUST0093</t>
  </si>
  <si>
    <t>Sanjay Rao</t>
  </si>
  <si>
    <t>Kolkata</t>
  </si>
  <si>
    <t>West Bengal</t>
  </si>
  <si>
    <t>2023-12-13</t>
  </si>
  <si>
    <t>ORD00096</t>
  </si>
  <si>
    <t>CUST0445</t>
  </si>
  <si>
    <t>Diya Bose</t>
  </si>
  <si>
    <t>2024-10-18</t>
  </si>
  <si>
    <t>ORD00097</t>
  </si>
  <si>
    <t>CUST0349</t>
  </si>
  <si>
    <t>Aarav Nair</t>
  </si>
  <si>
    <t>2025-07-22</t>
  </si>
  <si>
    <t>ORD00098</t>
  </si>
  <si>
    <t>CUST0488</t>
  </si>
  <si>
    <t>Rohan Chopra</t>
  </si>
  <si>
    <t>2025-09-23</t>
  </si>
  <si>
    <t>ORD00099</t>
  </si>
  <si>
    <t>CUST0526</t>
  </si>
  <si>
    <t>2023-10-08</t>
  </si>
  <si>
    <t>ORD00100</t>
  </si>
  <si>
    <t>ORD00101</t>
  </si>
  <si>
    <t>CUST0483</t>
  </si>
  <si>
    <t>Harini Rao</t>
  </si>
  <si>
    <t>2025-12-26</t>
  </si>
  <si>
    <t>ORD00102</t>
  </si>
  <si>
    <t>CUST0059</t>
  </si>
  <si>
    <t>Rahul Verma</t>
  </si>
  <si>
    <t>2023-02-16</t>
  </si>
  <si>
    <t>ORD00103</t>
  </si>
  <si>
    <t>CUST0310</t>
  </si>
  <si>
    <t>Karthik Chopra</t>
  </si>
  <si>
    <t>2024-09-09</t>
  </si>
  <si>
    <t>ORD00104</t>
  </si>
  <si>
    <t>CUST0143</t>
  </si>
  <si>
    <t>Ananya Naidu</t>
  </si>
  <si>
    <t>2023-04-11</t>
  </si>
  <si>
    <t>ORD00105</t>
  </si>
  <si>
    <t>CUST0068</t>
  </si>
  <si>
    <t>2024-04-08</t>
  </si>
  <si>
    <t>ORD00106</t>
  </si>
  <si>
    <t>CUST0165</t>
  </si>
  <si>
    <t>2025-04-25</t>
  </si>
  <si>
    <t>ORD00107</t>
  </si>
  <si>
    <t>CUST0395</t>
  </si>
  <si>
    <t>Ananya Gupta</t>
  </si>
  <si>
    <t>Lucknow</t>
  </si>
  <si>
    <t>Uttar Pradesh</t>
  </si>
  <si>
    <t>2025-01-30</t>
  </si>
  <si>
    <t>ORD00108</t>
  </si>
  <si>
    <t>CUST0029</t>
  </si>
  <si>
    <t>Rohan Kulkarni</t>
  </si>
  <si>
    <t>2023-04-17</t>
  </si>
  <si>
    <t>ORD00109</t>
  </si>
  <si>
    <t>CUST0061</t>
  </si>
  <si>
    <t>Meera Kulkarni</t>
  </si>
  <si>
    <t>2024-11-07</t>
  </si>
  <si>
    <t>ORD00110</t>
  </si>
  <si>
    <t>ORD00111</t>
  </si>
  <si>
    <t>CUST0076</t>
  </si>
  <si>
    <t>2023-12-08</t>
  </si>
  <si>
    <t>ORD00112</t>
  </si>
  <si>
    <t>CUST0563</t>
  </si>
  <si>
    <t>Meera Das</t>
  </si>
  <si>
    <t>2023-10-23</t>
  </si>
  <si>
    <t>ORD00113</t>
  </si>
  <si>
    <t>CUST0201</t>
  </si>
  <si>
    <t>Pooja Joshi</t>
  </si>
  <si>
    <t>2024-09-28</t>
  </si>
  <si>
    <t>ORD00114</t>
  </si>
  <si>
    <t>CUST0456</t>
  </si>
  <si>
    <t>Ananya Das</t>
  </si>
  <si>
    <t>2025-06-07</t>
  </si>
  <si>
    <t>ORD00115</t>
  </si>
  <si>
    <t>ORD00116</t>
  </si>
  <si>
    <t>CUST0119</t>
  </si>
  <si>
    <t>Divya Naidu</t>
  </si>
  <si>
    <t>ORD00117</t>
  </si>
  <si>
    <t>CUST0190</t>
  </si>
  <si>
    <t>Rohan Naidu</t>
  </si>
  <si>
    <t>2023-02-24</t>
  </si>
  <si>
    <t>ORD00118</t>
  </si>
  <si>
    <t>CUST0565</t>
  </si>
  <si>
    <t>Rahul Bose</t>
  </si>
  <si>
    <t>2024-03-26</t>
  </si>
  <si>
    <t>ORD00119</t>
  </si>
  <si>
    <t>CUST0077</t>
  </si>
  <si>
    <t>2023-01-09</t>
  </si>
  <si>
    <t>ORD00120</t>
  </si>
  <si>
    <t>CUST0433</t>
  </si>
  <si>
    <t>Aarav Menon</t>
  </si>
  <si>
    <t>2024-01-23</t>
  </si>
  <si>
    <t>ORD00121</t>
  </si>
  <si>
    <t>CUST0163</t>
  </si>
  <si>
    <t>2024-05-11</t>
  </si>
  <si>
    <t>ORD00122</t>
  </si>
  <si>
    <t>CUST0098</t>
  </si>
  <si>
    <t xml:space="preserve"> delivered </t>
  </si>
  <si>
    <t>Diya Reddy</t>
  </si>
  <si>
    <t>2024-10-06</t>
  </si>
  <si>
    <t>ORD00123</t>
  </si>
  <si>
    <t>CUST0492</t>
  </si>
  <si>
    <t>Shreya Reddy</t>
  </si>
  <si>
    <t>2023-07-29</t>
  </si>
  <si>
    <t>ORD00124</t>
  </si>
  <si>
    <t>CUST0087</t>
  </si>
  <si>
    <t>Ishaan Khan</t>
  </si>
  <si>
    <t>2023-07-11</t>
  </si>
  <si>
    <t>ORD00125</t>
  </si>
  <si>
    <t>CUST0256</t>
  </si>
  <si>
    <t>2024-11-27</t>
  </si>
  <si>
    <t>ORD00126</t>
  </si>
  <si>
    <t>CUST0520</t>
  </si>
  <si>
    <t>2023-12-09</t>
  </si>
  <si>
    <t>ORD00127</t>
  </si>
  <si>
    <t>CUST0065</t>
  </si>
  <si>
    <t>Sneha Singh</t>
  </si>
  <si>
    <t>2023-03-24</t>
  </si>
  <si>
    <t>ORD00128</t>
  </si>
  <si>
    <t>CUST0231</t>
  </si>
  <si>
    <t>Rahul Rao</t>
  </si>
  <si>
    <t>2024-11-22</t>
  </si>
  <si>
    <t>ORD00129</t>
  </si>
  <si>
    <t>CUST0535</t>
  </si>
  <si>
    <t>Sanjay Reddy</t>
  </si>
  <si>
    <t>2024-03-17</t>
  </si>
  <si>
    <t>ORD00130</t>
  </si>
  <si>
    <t>CUST0248</t>
  </si>
  <si>
    <t>2024-12-30</t>
  </si>
  <si>
    <t>ORD00131</t>
  </si>
  <si>
    <t>CUST0538</t>
  </si>
  <si>
    <t>Sanjay Chopra</t>
  </si>
  <si>
    <t>2024-01-09</t>
  </si>
  <si>
    <t>ORD00132</t>
  </si>
  <si>
    <t>CUST0151</t>
  </si>
  <si>
    <t>Akash Nair</t>
  </si>
  <si>
    <t>2023-03-18</t>
  </si>
  <si>
    <t>ORD00133</t>
  </si>
  <si>
    <t>CUST0206</t>
  </si>
  <si>
    <t>Arjun Bose</t>
  </si>
  <si>
    <t>2025-04-20</t>
  </si>
  <si>
    <t>ORD00134</t>
  </si>
  <si>
    <t>CUST0360</t>
  </si>
  <si>
    <t>Sneha Reddy</t>
  </si>
  <si>
    <t>2024-02-17</t>
  </si>
  <si>
    <t>ORD00135</t>
  </si>
  <si>
    <t>CUST0391</t>
  </si>
  <si>
    <t>Divya Das</t>
  </si>
  <si>
    <t>2023-03-08</t>
  </si>
  <si>
    <t>ORD00136</t>
  </si>
  <si>
    <t>ORD00137</t>
  </si>
  <si>
    <t>CUST0146</t>
  </si>
  <si>
    <t>Priya Das</t>
  </si>
  <si>
    <t>Unknown</t>
  </si>
  <si>
    <t>2024-06-19</t>
  </si>
  <si>
    <t>ORD00138</t>
  </si>
  <si>
    <t>CUST0467</t>
  </si>
  <si>
    <t>2025-10-24</t>
  </si>
  <si>
    <t>ORD00139</t>
  </si>
  <si>
    <t>CUST0330</t>
  </si>
  <si>
    <t>Pooja Reddy</t>
  </si>
  <si>
    <t>2024-02-24</t>
  </si>
  <si>
    <t>ORD00140</t>
  </si>
  <si>
    <t>CUST0569</t>
  </si>
  <si>
    <t>Arjun Menon</t>
  </si>
  <si>
    <t>2023-09-24</t>
  </si>
  <si>
    <t>ORD00141</t>
  </si>
  <si>
    <t>CUST0227</t>
  </si>
  <si>
    <t>2024-10-13</t>
  </si>
  <si>
    <t>ORD00142</t>
  </si>
  <si>
    <t>CUST0289</t>
  </si>
  <si>
    <t>Rahul Iyer</t>
  </si>
  <si>
    <t>2023-01-07</t>
  </si>
  <si>
    <t>ORD00143</t>
  </si>
  <si>
    <t>CUST0364</t>
  </si>
  <si>
    <t>Varun Bose</t>
  </si>
  <si>
    <t>2024-10-25</t>
  </si>
  <si>
    <t>ORD00144</t>
  </si>
  <si>
    <t>CUST0079</t>
  </si>
  <si>
    <t>Akash Mehta</t>
  </si>
  <si>
    <t>2024-07-12</t>
  </si>
  <si>
    <t>ORD00145</t>
  </si>
  <si>
    <t>ORD00146</t>
  </si>
  <si>
    <t>ORD00147</t>
  </si>
  <si>
    <t>ORD00148</t>
  </si>
  <si>
    <t>CUST0034</t>
  </si>
  <si>
    <t>2023-01-29</t>
  </si>
  <si>
    <t>ORD00149</t>
  </si>
  <si>
    <t>CUST0220</t>
  </si>
  <si>
    <t>Pooja Kulkarni</t>
  </si>
  <si>
    <t>2024-05-02</t>
  </si>
  <si>
    <t>ORD00150</t>
  </si>
  <si>
    <t>ORD00151</t>
  </si>
  <si>
    <t>CUST0537</t>
  </si>
  <si>
    <t>Vikram Pillai</t>
  </si>
  <si>
    <t>2023-11-18</t>
  </si>
  <si>
    <t>ORD00152</t>
  </si>
  <si>
    <t>CUST0442</t>
  </si>
  <si>
    <t>2023-09-01</t>
  </si>
  <si>
    <t>ORD00153</t>
  </si>
  <si>
    <t>CUST0189</t>
  </si>
  <si>
    <t>Kavya Pillai</t>
  </si>
  <si>
    <t>2023-12-12</t>
  </si>
  <si>
    <t>ORD00154</t>
  </si>
  <si>
    <t>CUST0286</t>
  </si>
  <si>
    <t>Meera Rao</t>
  </si>
  <si>
    <t>2023-12-05</t>
  </si>
  <si>
    <t>ORD00155</t>
  </si>
  <si>
    <t>ORD00156</t>
  </si>
  <si>
    <t>CUST0570</t>
  </si>
  <si>
    <t>Divya Sharma</t>
  </si>
  <si>
    <t>ORD00157</t>
  </si>
  <si>
    <t>CUST0474</t>
  </si>
  <si>
    <t>Meera Chopra</t>
  </si>
  <si>
    <t>ORD00158</t>
  </si>
  <si>
    <t>ORD00159</t>
  </si>
  <si>
    <t>ORD00160</t>
  </si>
  <si>
    <t>CUST0083</t>
  </si>
  <si>
    <t>Nisha Singh</t>
  </si>
  <si>
    <t>ORD00161</t>
  </si>
  <si>
    <t>CUST0388</t>
  </si>
  <si>
    <t>Shreya Kulkarni</t>
  </si>
  <si>
    <t>2025-08-28</t>
  </si>
  <si>
    <t>ORD00162</t>
  </si>
  <si>
    <t>CUST0012</t>
  </si>
  <si>
    <t>2025-11-27</t>
  </si>
  <si>
    <t>ORD00163</t>
  </si>
  <si>
    <t>ORD00164</t>
  </si>
  <si>
    <t>CUST0217</t>
  </si>
  <si>
    <t>2024-11-14</t>
  </si>
  <si>
    <t>ORD00165</t>
  </si>
  <si>
    <t>CUST0160</t>
  </si>
  <si>
    <t>2024-09-25</t>
  </si>
  <si>
    <t>ORD00166</t>
  </si>
  <si>
    <t>CUST0439</t>
  </si>
  <si>
    <t>Arjun Kulkarni</t>
  </si>
  <si>
    <t>2023-01-03</t>
  </si>
  <si>
    <t>ORD00167</t>
  </si>
  <si>
    <t>CUST0179</t>
  </si>
  <si>
    <t>Akash Pillai</t>
  </si>
  <si>
    <t>2024-09-14</t>
  </si>
  <si>
    <t>ORD00168</t>
  </si>
  <si>
    <t>CUST0095</t>
  </si>
  <si>
    <t>ORD00169</t>
  </si>
  <si>
    <t>CUST0091</t>
  </si>
  <si>
    <t>Lakshmi Das</t>
  </si>
  <si>
    <t>2024-07-22</t>
  </si>
  <si>
    <t>ORD00170</t>
  </si>
  <si>
    <t>ORD00171</t>
  </si>
  <si>
    <t>CUST0448</t>
  </si>
  <si>
    <t>Meera Iyer</t>
  </si>
  <si>
    <t>2023-01-18</t>
  </si>
  <si>
    <t>ORD00172</t>
  </si>
  <si>
    <t>CUST0455</t>
  </si>
  <si>
    <t>Priya Sharma</t>
  </si>
  <si>
    <t>2023-12-10</t>
  </si>
  <si>
    <t>ORD00173</t>
  </si>
  <si>
    <t>CUST0354</t>
  </si>
  <si>
    <t>Manoj Singh</t>
  </si>
  <si>
    <t>2025-09-10</t>
  </si>
  <si>
    <t>ORD00174</t>
  </si>
  <si>
    <t>ORD00175</t>
  </si>
  <si>
    <t>ORD00176</t>
  </si>
  <si>
    <t>CUST0413</t>
  </si>
  <si>
    <t>Sanjay Bose</t>
  </si>
  <si>
    <t>2023-05-01</t>
  </si>
  <si>
    <t>ORD00177</t>
  </si>
  <si>
    <t>ORD00178</t>
  </si>
  <si>
    <t>ORD00179</t>
  </si>
  <si>
    <t>CUST0085</t>
  </si>
  <si>
    <t>Meera Gupta</t>
  </si>
  <si>
    <t>2025-09-07</t>
  </si>
  <si>
    <t>ORD00180</t>
  </si>
  <si>
    <t>ORD00182</t>
  </si>
  <si>
    <t>ORD00183</t>
  </si>
  <si>
    <t>CUST0493</t>
  </si>
  <si>
    <t>Vikram Patel</t>
  </si>
  <si>
    <t>ORD00184</t>
  </si>
  <si>
    <t>ORD00185</t>
  </si>
  <si>
    <t>CUST0292</t>
  </si>
  <si>
    <t>Sanjay Khan</t>
  </si>
  <si>
    <t>ORD00186</t>
  </si>
  <si>
    <t>CUST0476</t>
  </si>
  <si>
    <t>Ishaan Gupta</t>
  </si>
  <si>
    <t>ORD00187</t>
  </si>
  <si>
    <t>CUST0263</t>
  </si>
  <si>
    <t>Priya Khan</t>
  </si>
  <si>
    <t>2025-03-25</t>
  </si>
  <si>
    <t>ORD00188</t>
  </si>
  <si>
    <t>CUST0073</t>
  </si>
  <si>
    <t>ORD00189</t>
  </si>
  <si>
    <t>CUST0309</t>
  </si>
  <si>
    <t>Divya Iyer</t>
  </si>
  <si>
    <t>ORD00190</t>
  </si>
  <si>
    <t>ORD00191</t>
  </si>
  <si>
    <t>ORD00192</t>
  </si>
  <si>
    <t>ORD00193</t>
  </si>
  <si>
    <t>CUST0249</t>
  </si>
  <si>
    <t>Aditya Patel</t>
  </si>
  <si>
    <t>2025-03-11</t>
  </si>
  <si>
    <t>ORD00194</t>
  </si>
  <si>
    <t>CUST0216</t>
  </si>
  <si>
    <t>Karthik Mishra</t>
  </si>
  <si>
    <t>2024-06-25</t>
  </si>
  <si>
    <t>ORD00195</t>
  </si>
  <si>
    <t>ORD00196</t>
  </si>
  <si>
    <t>CUST0600</t>
  </si>
  <si>
    <t>Shreya Sharma</t>
  </si>
  <si>
    <t>2024-09-15</t>
  </si>
  <si>
    <t>ORD00197</t>
  </si>
  <si>
    <t>CUST0089</t>
  </si>
  <si>
    <t>Akash Gupta</t>
  </si>
  <si>
    <t>2025-10-05</t>
  </si>
  <si>
    <t>ORD00198</t>
  </si>
  <si>
    <t>CUST0490</t>
  </si>
  <si>
    <t>Nisha Khan</t>
  </si>
  <si>
    <t>2025-08-22</t>
  </si>
  <si>
    <t>ORD00199</t>
  </si>
  <si>
    <t>ORD00200</t>
  </si>
  <si>
    <t>CUST0187</t>
  </si>
  <si>
    <t>2025-12-11</t>
  </si>
  <si>
    <t>ORD00201</t>
  </si>
  <si>
    <t>CUST0111</t>
  </si>
  <si>
    <t>ORD00202</t>
  </si>
  <si>
    <t>ORD00203</t>
  </si>
  <si>
    <t>CUST0178</t>
  </si>
  <si>
    <t>Ananya Pillai</t>
  </si>
  <si>
    <t>2025-02-10</t>
  </si>
  <si>
    <t>ORD00204</t>
  </si>
  <si>
    <t>CUST0306</t>
  </si>
  <si>
    <t>Aditya Das</t>
  </si>
  <si>
    <t>2023-04-26</t>
  </si>
  <si>
    <t>ORD00205</t>
  </si>
  <si>
    <t>CUST0173</t>
  </si>
  <si>
    <t>Rohan Rao</t>
  </si>
  <si>
    <t>ORD00206</t>
  </si>
  <si>
    <t>CUST0426</t>
  </si>
  <si>
    <t>Sneha Rao</t>
  </si>
  <si>
    <t>2025-02-23</t>
  </si>
  <si>
    <t>ORD00207</t>
  </si>
  <si>
    <t>ORD00208</t>
  </si>
  <si>
    <t>CUST0357</t>
  </si>
  <si>
    <t>Aarav Gupta</t>
  </si>
  <si>
    <t>2023-04-16</t>
  </si>
  <si>
    <t>ORD00209</t>
  </si>
  <si>
    <t>CUST0154</t>
  </si>
  <si>
    <t>2025-06-30</t>
  </si>
  <si>
    <t>ORD00210</t>
  </si>
  <si>
    <t>ORD00211</t>
  </si>
  <si>
    <t>ORD00212</t>
  </si>
  <si>
    <t>CUST0577</t>
  </si>
  <si>
    <t>Lakshmi Joshi</t>
  </si>
  <si>
    <t>2024-09-03</t>
  </si>
  <si>
    <t>ORD00213</t>
  </si>
  <si>
    <t>CUST0556</t>
  </si>
  <si>
    <t>2024-08-09</t>
  </si>
  <si>
    <t>ORD00214</t>
  </si>
  <si>
    <t>ORD00215</t>
  </si>
  <si>
    <t>ORD00216</t>
  </si>
  <si>
    <t>ORD00217</t>
  </si>
  <si>
    <t>CUST0585</t>
  </si>
  <si>
    <t>2024-03-03</t>
  </si>
  <si>
    <t>ORD00218</t>
  </si>
  <si>
    <t>CUST0334</t>
  </si>
  <si>
    <t>Rahul Joshi</t>
  </si>
  <si>
    <t>2024-05-26</t>
  </si>
  <si>
    <t>ORD00219</t>
  </si>
  <si>
    <t>CUST0384</t>
  </si>
  <si>
    <t>Pooja Gupta</t>
  </si>
  <si>
    <t>2025-11-14</t>
  </si>
  <si>
    <t>ORD00220</t>
  </si>
  <si>
    <t>CUST0145</t>
  </si>
  <si>
    <t>ORD00221</t>
  </si>
  <si>
    <t>CUST0355</t>
  </si>
  <si>
    <t>Harini Bose</t>
  </si>
  <si>
    <t>2025-01-22</t>
  </si>
  <si>
    <t>ORD00222</t>
  </si>
  <si>
    <t>CUST0383</t>
  </si>
  <si>
    <t>Arjun Mehta</t>
  </si>
  <si>
    <t>2024-05-07</t>
  </si>
  <si>
    <t>ORD00223</t>
  </si>
  <si>
    <t>ORD00224</t>
  </si>
  <si>
    <t>CUST0135</t>
  </si>
  <si>
    <t>Sneha Patel</t>
  </si>
  <si>
    <t>2024-07-08</t>
  </si>
  <si>
    <t>ORD00225</t>
  </si>
  <si>
    <t>ORD00226</t>
  </si>
  <si>
    <t>CUST0040</t>
  </si>
  <si>
    <t>2025-05-04</t>
  </si>
  <si>
    <t>ORD00227</t>
  </si>
  <si>
    <t>ORD00228</t>
  </si>
  <si>
    <t>CUST0291</t>
  </si>
  <si>
    <t>Divya Chopra</t>
  </si>
  <si>
    <t>2023-10-19</t>
  </si>
  <si>
    <t>ORD00229</t>
  </si>
  <si>
    <t>ORD00230</t>
  </si>
  <si>
    <t>CUST0379</t>
  </si>
  <si>
    <t>Sneha Pillai</t>
  </si>
  <si>
    <t>ORD00231</t>
  </si>
  <si>
    <t>CUST0412</t>
  </si>
  <si>
    <t>Akash Khan</t>
  </si>
  <si>
    <t>2025-03-27</t>
  </si>
  <si>
    <t>ORD00232</t>
  </si>
  <si>
    <t>CUST0400</t>
  </si>
  <si>
    <t>Karthik Bose</t>
  </si>
  <si>
    <t>2024-08-01</t>
  </si>
  <si>
    <t>ORD00233</t>
  </si>
  <si>
    <t>CUST0557</t>
  </si>
  <si>
    <t>Divya Mishra</t>
  </si>
  <si>
    <t>2024-11-08</t>
  </si>
  <si>
    <t>ORD00234</t>
  </si>
  <si>
    <t>CUST0363</t>
  </si>
  <si>
    <t>2024-01-12</t>
  </si>
  <si>
    <t>ORD00235</t>
  </si>
  <si>
    <t>CUST0063</t>
  </si>
  <si>
    <t>ORD00236</t>
  </si>
  <si>
    <t>CUST0468</t>
  </si>
  <si>
    <t>2023-03-02</t>
  </si>
  <si>
    <t>ORD00237</t>
  </si>
  <si>
    <t>CUST0024</t>
  </si>
  <si>
    <t>ORD00238</t>
  </si>
  <si>
    <t>ORD00239</t>
  </si>
  <si>
    <t>CUST0599</t>
  </si>
  <si>
    <t>Rahul Das</t>
  </si>
  <si>
    <t>ORD00240</t>
  </si>
  <si>
    <t>CUST0193</t>
  </si>
  <si>
    <t>2024-05-12</t>
  </si>
  <si>
    <t>ORD00241</t>
  </si>
  <si>
    <t>CUST0529</t>
  </si>
  <si>
    <t>2023-10-24</t>
  </si>
  <si>
    <t>ORD00242</t>
  </si>
  <si>
    <t>CUST0251</t>
  </si>
  <si>
    <t>Arjun Verma</t>
  </si>
  <si>
    <t>2023-06-16</t>
  </si>
  <si>
    <t>ORD00243</t>
  </si>
  <si>
    <t>CUST0123</t>
  </si>
  <si>
    <t>Aarav Sharma</t>
  </si>
  <si>
    <t>2023-01-19</t>
  </si>
  <si>
    <t>ORD00244</t>
  </si>
  <si>
    <t>ORD00245</t>
  </si>
  <si>
    <t>CUST0104</t>
  </si>
  <si>
    <t>Karthik Gupta</t>
  </si>
  <si>
    <t>2024-07-15</t>
  </si>
  <si>
    <t>ORD00246</t>
  </si>
  <si>
    <t>CUST0314</t>
  </si>
  <si>
    <t>Aarav Mishra</t>
  </si>
  <si>
    <t>2025-10-30</t>
  </si>
  <si>
    <t>ORD00247</t>
  </si>
  <si>
    <t>ORD00248</t>
  </si>
  <si>
    <t>ORD00249</t>
  </si>
  <si>
    <t>CUST0215</t>
  </si>
  <si>
    <t>2025-07-16</t>
  </si>
  <si>
    <t>ORD00250</t>
  </si>
  <si>
    <t>CUST0162</t>
  </si>
  <si>
    <t>Lakshmi Bose</t>
  </si>
  <si>
    <t>2025-06-13</t>
  </si>
  <si>
    <t>ORD00251</t>
  </si>
  <si>
    <t>CUST0424</t>
  </si>
  <si>
    <t>2023-09-21</t>
  </si>
  <si>
    <t>ORD00252</t>
  </si>
  <si>
    <t>CUST0401</t>
  </si>
  <si>
    <t>Ananya Nair</t>
  </si>
  <si>
    <t>ORD00253</t>
  </si>
  <si>
    <t>CUST0301</t>
  </si>
  <si>
    <t>Pooja Bose</t>
  </si>
  <si>
    <t>2025-11-12</t>
  </si>
  <si>
    <t>ORD00254</t>
  </si>
  <si>
    <t>ORD00255</t>
  </si>
  <si>
    <t>ORD00256</t>
  </si>
  <si>
    <t>CUST0451</t>
  </si>
  <si>
    <t>Diya Naidu</t>
  </si>
  <si>
    <t>2024-06-17</t>
  </si>
  <si>
    <t>ORD00257</t>
  </si>
  <si>
    <t>ORD00258</t>
  </si>
  <si>
    <t>CUST0325</t>
  </si>
  <si>
    <t>Arjun Mishra</t>
  </si>
  <si>
    <t>2023-05-08</t>
  </si>
  <si>
    <t>ORD00259</t>
  </si>
  <si>
    <t>CUST0057</t>
  </si>
  <si>
    <t>Akash Singh</t>
  </si>
  <si>
    <t>2024-12-21</t>
  </si>
  <si>
    <t>ORD00260</t>
  </si>
  <si>
    <t>CUST0536</t>
  </si>
  <si>
    <t>Sneha Nair</t>
  </si>
  <si>
    <t>2025-10-22</t>
  </si>
  <si>
    <t>ORD00261</t>
  </si>
  <si>
    <t>CUST0155</t>
  </si>
  <si>
    <t>2023-07-08</t>
  </si>
  <si>
    <t>ORD00262</t>
  </si>
  <si>
    <t>CUST0543</t>
  </si>
  <si>
    <t>Ananya Iyer</t>
  </si>
  <si>
    <t>2025-10-16</t>
  </si>
  <si>
    <t>ORD00263</t>
  </si>
  <si>
    <t>ORD00264</t>
  </si>
  <si>
    <t>CUST0253</t>
  </si>
  <si>
    <t>Manoj Joshi</t>
  </si>
  <si>
    <t>2025-01-11</t>
  </si>
  <si>
    <t>ORD00265</t>
  </si>
  <si>
    <t>ORD00266</t>
  </si>
  <si>
    <t>CUST0295</t>
  </si>
  <si>
    <t>Pooja Chopra</t>
  </si>
  <si>
    <t>2023-09-02</t>
  </si>
  <si>
    <t>ORD00267</t>
  </si>
  <si>
    <t>ORD00268</t>
  </si>
  <si>
    <t>ORD00269</t>
  </si>
  <si>
    <t>CUST0559</t>
  </si>
  <si>
    <t>Karthik Pillai</t>
  </si>
  <si>
    <t>2024-02-26</t>
  </si>
  <si>
    <t>ORD00270</t>
  </si>
  <si>
    <t>ORD00271</t>
  </si>
  <si>
    <t>ORD00272</t>
  </si>
  <si>
    <t>CUST0312</t>
  </si>
  <si>
    <t>Kavya Menon</t>
  </si>
  <si>
    <t>2023-05-26</t>
  </si>
  <si>
    <t>ORD00273</t>
  </si>
  <si>
    <t>CUST0573</t>
  </si>
  <si>
    <t>Aditya Pillai</t>
  </si>
  <si>
    <t>2024-03-11</t>
  </si>
  <si>
    <t>ORD00274</t>
  </si>
  <si>
    <t>ORD00275</t>
  </si>
  <si>
    <t>ORD00276</t>
  </si>
  <si>
    <t>ORD00277</t>
  </si>
  <si>
    <t>ORD00278</t>
  </si>
  <si>
    <t>CUST0120</t>
  </si>
  <si>
    <t>Sanjay Sharma</t>
  </si>
  <si>
    <t>2024-05-20</t>
  </si>
  <si>
    <t>ORD00279</t>
  </si>
  <si>
    <t>CUST0224</t>
  </si>
  <si>
    <t>Varun Menon</t>
  </si>
  <si>
    <t>2023-02-06</t>
  </si>
  <si>
    <t>ORD00280</t>
  </si>
  <si>
    <t>CUST0321</t>
  </si>
  <si>
    <t>Kavya Sharma</t>
  </si>
  <si>
    <t>ORD00281</t>
  </si>
  <si>
    <t>ORD00282</t>
  </si>
  <si>
    <t>ORD00283</t>
  </si>
  <si>
    <t>CUST0007</t>
  </si>
  <si>
    <t>Harini Khan</t>
  </si>
  <si>
    <t>2025-07-02</t>
  </si>
  <si>
    <t>ORD00284</t>
  </si>
  <si>
    <t>ORD00285</t>
  </si>
  <si>
    <t>ORD00286</t>
  </si>
  <si>
    <t>ORD00287</t>
  </si>
  <si>
    <t>ORD00288</t>
  </si>
  <si>
    <t>CUST0233</t>
  </si>
  <si>
    <t>2023-12-22</t>
  </si>
  <si>
    <t>ORD00289</t>
  </si>
  <si>
    <t>CUST0541</t>
  </si>
  <si>
    <t>Rahul Mishra</t>
  </si>
  <si>
    <t>ORD00290</t>
  </si>
  <si>
    <t>CUST0149</t>
  </si>
  <si>
    <t>ORD00291</t>
  </si>
  <si>
    <t>ORD00292</t>
  </si>
  <si>
    <t>CUST0018</t>
  </si>
  <si>
    <t>Aditya Mehta</t>
  </si>
  <si>
    <t>2025-01-15</t>
  </si>
  <si>
    <t>ORD00293</t>
  </si>
  <si>
    <t>CUST0463</t>
  </si>
  <si>
    <t>Shreya Patel</t>
  </si>
  <si>
    <t>2024-02-20</t>
  </si>
  <si>
    <t>ORD00294</t>
  </si>
  <si>
    <t>CUST0311</t>
  </si>
  <si>
    <t>Sneha Verma</t>
  </si>
  <si>
    <t>ORD00295</t>
  </si>
  <si>
    <t>ORD00296</t>
  </si>
  <si>
    <t>ORD00297</t>
  </si>
  <si>
    <t>ORD00298</t>
  </si>
  <si>
    <t>CUST0519</t>
  </si>
  <si>
    <t>2025-12-27</t>
  </si>
  <si>
    <t>ORD00299</t>
  </si>
  <si>
    <t>CUST0228</t>
  </si>
  <si>
    <t>Rohan Reddy</t>
  </si>
  <si>
    <t>2025-11-28</t>
  </si>
  <si>
    <t>ORD00300</t>
  </si>
  <si>
    <t>ORD00301</t>
  </si>
  <si>
    <t>ORD00302</t>
  </si>
  <si>
    <t>ORD00303</t>
  </si>
  <si>
    <t>CUST0331</t>
  </si>
  <si>
    <t>Kavya Kulkarni</t>
  </si>
  <si>
    <t>2023-08-28</t>
  </si>
  <si>
    <t>ORD00304</t>
  </si>
  <si>
    <t>CUST0102</t>
  </si>
  <si>
    <t>2023-03-30</t>
  </si>
  <si>
    <t>ORD00305</t>
  </si>
  <si>
    <t>ORD00306</t>
  </si>
  <si>
    <t>CUST0094</t>
  </si>
  <si>
    <t>Akash Joshi</t>
  </si>
  <si>
    <t>2025-06-22</t>
  </si>
  <si>
    <t>ORD00307</t>
  </si>
  <si>
    <t>CUST0081</t>
  </si>
  <si>
    <t>2023-10-09</t>
  </si>
  <si>
    <t>ORD00308</t>
  </si>
  <si>
    <t>ORD00309</t>
  </si>
  <si>
    <t>ORD00310</t>
  </si>
  <si>
    <t>CUST0464</t>
  </si>
  <si>
    <t>2024-06-16</t>
  </si>
  <si>
    <t>ORD00311</t>
  </si>
  <si>
    <t>Net banking</t>
  </si>
  <si>
    <t>ORD00312</t>
  </si>
  <si>
    <t>CUST0232</t>
  </si>
  <si>
    <t>Priya Menon</t>
  </si>
  <si>
    <t>2024-06-24</t>
  </si>
  <si>
    <t>ORD00313</t>
  </si>
  <si>
    <t>CUST0534</t>
  </si>
  <si>
    <t>2023-08-14</t>
  </si>
  <si>
    <t>ORD00314</t>
  </si>
  <si>
    <t>ORD00315</t>
  </si>
  <si>
    <t>ORD00316</t>
  </si>
  <si>
    <t>ORD00317</t>
  </si>
  <si>
    <t>CUST0121</t>
  </si>
  <si>
    <t>Meera Menon</t>
  </si>
  <si>
    <t>2023-11-16</t>
  </si>
  <si>
    <t>ORD00318</t>
  </si>
  <si>
    <t>CUST0431</t>
  </si>
  <si>
    <t>Manoj Naidu</t>
  </si>
  <si>
    <t>2023-01-16</t>
  </si>
  <si>
    <t>ORD00319</t>
  </si>
  <si>
    <t>ORD00320</t>
  </si>
  <si>
    <t>ORD00321</t>
  </si>
  <si>
    <t>ORD00322</t>
  </si>
  <si>
    <t>ORD00323</t>
  </si>
  <si>
    <t>ORD00324</t>
  </si>
  <si>
    <t>CUST0302</t>
  </si>
  <si>
    <t>2025-09-02</t>
  </si>
  <si>
    <t>ORD00325</t>
  </si>
  <si>
    <t>CUST0544</t>
  </si>
  <si>
    <t>Rohan Menon</t>
  </si>
  <si>
    <t>2024-05-08</t>
  </si>
  <si>
    <t>ORD00326</t>
  </si>
  <si>
    <t>ORD00327</t>
  </si>
  <si>
    <t>ORD00328</t>
  </si>
  <si>
    <t>CUST0141</t>
  </si>
  <si>
    <t>Kavya Reddy</t>
  </si>
  <si>
    <t>ORD00329</t>
  </si>
  <si>
    <t>ORD00330</t>
  </si>
  <si>
    <t>ORD00331</t>
  </si>
  <si>
    <t>ORD00332</t>
  </si>
  <si>
    <t>ORD00333</t>
  </si>
  <si>
    <t>ORD00334</t>
  </si>
  <si>
    <t>ORD00335</t>
  </si>
  <si>
    <t>CUST0219</t>
  </si>
  <si>
    <t>Rahul Menon</t>
  </si>
  <si>
    <t>2023-10-06</t>
  </si>
  <si>
    <t>ORD00336</t>
  </si>
  <si>
    <t>CUST0161</t>
  </si>
  <si>
    <t>2025-07-10</t>
  </si>
  <si>
    <t>ORD00337</t>
  </si>
  <si>
    <t>CUST0157</t>
  </si>
  <si>
    <t>2024-02-13</t>
  </si>
  <si>
    <t>ORD00338</t>
  </si>
  <si>
    <t>CUST0498</t>
  </si>
  <si>
    <t>Lakshmi Menon</t>
  </si>
  <si>
    <t>2023-06-04</t>
  </si>
  <si>
    <t>ORD00339</t>
  </si>
  <si>
    <t>CUST0494</t>
  </si>
  <si>
    <t>Varun Nair</t>
  </si>
  <si>
    <t>2024-06-07</t>
  </si>
  <si>
    <t>ORD00340</t>
  </si>
  <si>
    <t>ORD00341</t>
  </si>
  <si>
    <t>CUST0066</t>
  </si>
  <si>
    <t>2024-06-18</t>
  </si>
  <si>
    <t>ORD00342</t>
  </si>
  <si>
    <t>ORD00343</t>
  </si>
  <si>
    <t>CUST0048</t>
  </si>
  <si>
    <t>Rohan Das</t>
  </si>
  <si>
    <t>2025-04-11</t>
  </si>
  <si>
    <t>ORD00344</t>
  </si>
  <si>
    <t>ORD00345</t>
  </si>
  <si>
    <t>ORD00346</t>
  </si>
  <si>
    <t>CUST0489</t>
  </si>
  <si>
    <t>Kavya Das</t>
  </si>
  <si>
    <t>2024-03-29</t>
  </si>
  <si>
    <t>ORD00347</t>
  </si>
  <si>
    <t>CUST0213</t>
  </si>
  <si>
    <t>Shreya Bose</t>
  </si>
  <si>
    <t>2025-03-13</t>
  </si>
  <si>
    <t>ORD00348</t>
  </si>
  <si>
    <t>ORD00349</t>
  </si>
  <si>
    <t>CUST0218</t>
  </si>
  <si>
    <t>ORD00350</t>
  </si>
  <si>
    <t>ORD00351</t>
  </si>
  <si>
    <t>ORD00352</t>
  </si>
  <si>
    <t>ORD00353</t>
  </si>
  <si>
    <t>ORD00354</t>
  </si>
  <si>
    <t>CUST0491</t>
  </si>
  <si>
    <t>2024-04-16</t>
  </si>
  <si>
    <t>ORD00355</t>
  </si>
  <si>
    <t>ORD00356</t>
  </si>
  <si>
    <t>ORD00357</t>
  </si>
  <si>
    <t>CUST0099</t>
  </si>
  <si>
    <t>Ananya Mehta</t>
  </si>
  <si>
    <t>2025-06-15</t>
  </si>
  <si>
    <t>ORD00358</t>
  </si>
  <si>
    <t>CUST0144</t>
  </si>
  <si>
    <t>Priya Gupta</t>
  </si>
  <si>
    <t>ORD00359</t>
  </si>
  <si>
    <t>CUST0441</t>
  </si>
  <si>
    <t>Arjun Joshi</t>
  </si>
  <si>
    <t>2024-05-10</t>
  </si>
  <si>
    <t>ORD00360</t>
  </si>
  <si>
    <t>ORD00361</t>
  </si>
  <si>
    <t>CUST0105</t>
  </si>
  <si>
    <t>2024-11-21</t>
  </si>
  <si>
    <t>ORD00362</t>
  </si>
  <si>
    <t>ORD00363</t>
  </si>
  <si>
    <t>CUST0396</t>
  </si>
  <si>
    <t>ORD00364</t>
  </si>
  <si>
    <t>ORD00365</t>
  </si>
  <si>
    <t>CUST0297</t>
  </si>
  <si>
    <t>2025-02-14</t>
  </si>
  <si>
    <t>ORD00366</t>
  </si>
  <si>
    <t>CUST0533</t>
  </si>
  <si>
    <t>ORD00367</t>
  </si>
  <si>
    <t>CUST0275</t>
  </si>
  <si>
    <t>2025-01-09</t>
  </si>
  <si>
    <t>ORD00368</t>
  </si>
  <si>
    <t>ORD00369</t>
  </si>
  <si>
    <t>CUST0039</t>
  </si>
  <si>
    <t>2025-08-21</t>
  </si>
  <si>
    <t>ORD00370</t>
  </si>
  <si>
    <t>ORD00371</t>
  </si>
  <si>
    <t>CUST0316</t>
  </si>
  <si>
    <t>Sneha Iyer</t>
  </si>
  <si>
    <t>2024-04-21</t>
  </si>
  <si>
    <t>ORD00372</t>
  </si>
  <si>
    <t>ORD00373</t>
  </si>
  <si>
    <t>CUST0036</t>
  </si>
  <si>
    <t>2023-10-18</t>
  </si>
  <si>
    <t>ORD00374</t>
  </si>
  <si>
    <t>ORD00375</t>
  </si>
  <si>
    <t>CUST0092</t>
  </si>
  <si>
    <t>2025-12-12</t>
  </si>
  <si>
    <t>ORD00376</t>
  </si>
  <si>
    <t>ORD00377</t>
  </si>
  <si>
    <t>CUST0075</t>
  </si>
  <si>
    <t>Karthik Sharma</t>
  </si>
  <si>
    <t>ORD00378</t>
  </si>
  <si>
    <t>ORD00379</t>
  </si>
  <si>
    <t>CUST0509</t>
  </si>
  <si>
    <t>ORD00380</t>
  </si>
  <si>
    <t>ORD00381</t>
  </si>
  <si>
    <t>ORD00382</t>
  </si>
  <si>
    <t>CUST0545</t>
  </si>
  <si>
    <t>Manoj Mehta</t>
  </si>
  <si>
    <t>2025-12-28</t>
  </si>
  <si>
    <t>ORD00383</t>
  </si>
  <si>
    <t>CUST0103</t>
  </si>
  <si>
    <t>2023-11-09</t>
  </si>
  <si>
    <t>ORD00384</t>
  </si>
  <si>
    <t>CUST0287</t>
  </si>
  <si>
    <t>2023-07-20</t>
  </si>
  <si>
    <t>ORD00385</t>
  </si>
  <si>
    <t>ORD00386</t>
  </si>
  <si>
    <t>ORD00387</t>
  </si>
  <si>
    <t>ORD00388</t>
  </si>
  <si>
    <t>CUST0390</t>
  </si>
  <si>
    <t>2024-04-07</t>
  </si>
  <si>
    <t>ORD00389</t>
  </si>
  <si>
    <t>ORD00390</t>
  </si>
  <si>
    <t>ORD00391</t>
  </si>
  <si>
    <t xml:space="preserve"> mouse </t>
  </si>
  <si>
    <t>ORD00392</t>
  </si>
  <si>
    <t>ORD00393</t>
  </si>
  <si>
    <t>CUST0126</t>
  </si>
  <si>
    <t>2025-10-04</t>
  </si>
  <si>
    <t>ORD00394</t>
  </si>
  <si>
    <t>ORD00395</t>
  </si>
  <si>
    <t>CUST0458</t>
  </si>
  <si>
    <t>Diya Nair</t>
  </si>
  <si>
    <t>2024-12-31</t>
  </si>
  <si>
    <t>ORD00396</t>
  </si>
  <si>
    <t>ORD00397</t>
  </si>
  <si>
    <t>ORD00398</t>
  </si>
  <si>
    <t>CUST0523</t>
  </si>
  <si>
    <t>2023-09-25</t>
  </si>
  <si>
    <t>ORD00399</t>
  </si>
  <si>
    <t>ORD00400</t>
  </si>
  <si>
    <t>CUST0459</t>
  </si>
  <si>
    <t>Nisha Das</t>
  </si>
  <si>
    <t>ORD00401</t>
  </si>
  <si>
    <t>ORD00402</t>
  </si>
  <si>
    <t>ORD00403</t>
  </si>
  <si>
    <t>CUST0021</t>
  </si>
  <si>
    <t>ORD00404</t>
  </si>
  <si>
    <t>ORD00405</t>
  </si>
  <si>
    <t>CUST0016</t>
  </si>
  <si>
    <t>Ananya Menon</t>
  </si>
  <si>
    <t>2023-11-11</t>
  </si>
  <si>
    <t>ORD00406</t>
  </si>
  <si>
    <t>CUST0452</t>
  </si>
  <si>
    <t>Varun Das</t>
  </si>
  <si>
    <t>ORD00407</t>
  </si>
  <si>
    <t>ORD00408</t>
  </si>
  <si>
    <t>ORD00409</t>
  </si>
  <si>
    <t>ORD00410</t>
  </si>
  <si>
    <t>ORD00411</t>
  </si>
  <si>
    <t>CUST0168</t>
  </si>
  <si>
    <t>2025-04-13</t>
  </si>
  <si>
    <t>ORD00412</t>
  </si>
  <si>
    <t>CUST0023</t>
  </si>
  <si>
    <t>2024-03-23</t>
  </si>
  <si>
    <t>ORD00413</t>
  </si>
  <si>
    <t>ORD00414</t>
  </si>
  <si>
    <t>CUST0240</t>
  </si>
  <si>
    <t>Kavya Joshi</t>
  </si>
  <si>
    <t>2024-05-21</t>
  </si>
  <si>
    <t>ORD00415</t>
  </si>
  <si>
    <t>ORD00416</t>
  </si>
  <si>
    <t>CUST0009</t>
  </si>
  <si>
    <t>Sanjay Gupta</t>
  </si>
  <si>
    <t>2023-09-12</t>
  </si>
  <si>
    <t>ORD00417</t>
  </si>
  <si>
    <t>ORD00418</t>
  </si>
  <si>
    <t>ORD00419</t>
  </si>
  <si>
    <t>ORD00420</t>
  </si>
  <si>
    <t>CUST0014</t>
  </si>
  <si>
    <t>Lakshmi Verma</t>
  </si>
  <si>
    <t>2024-11-24</t>
  </si>
  <si>
    <t>ORD00421</t>
  </si>
  <si>
    <t>CUST0033</t>
  </si>
  <si>
    <t>2023-12-18</t>
  </si>
  <si>
    <t>ORD00422</t>
  </si>
  <si>
    <t>ORD00423</t>
  </si>
  <si>
    <t>CUST0117</t>
  </si>
  <si>
    <t>2025-09-18</t>
  </si>
  <si>
    <t>ORD00424</t>
  </si>
  <si>
    <t>CUST0184</t>
  </si>
  <si>
    <t>2024-10-21</t>
  </si>
  <si>
    <t>ORD00425</t>
  </si>
  <si>
    <t>CUST0108</t>
  </si>
  <si>
    <t>Ananya Sharma</t>
  </si>
  <si>
    <t>2025-12-04</t>
  </si>
  <si>
    <t>ORD00426</t>
  </si>
  <si>
    <t>ORD00427</t>
  </si>
  <si>
    <t>CUST0176</t>
  </si>
  <si>
    <t>Diya Patel</t>
  </si>
  <si>
    <t>2023-08-21</t>
  </si>
  <si>
    <t>ORD00428</t>
  </si>
  <si>
    <t>CUST0514</t>
  </si>
  <si>
    <t>Manoj Iyer</t>
  </si>
  <si>
    <t>2023-09-19</t>
  </si>
  <si>
    <t>ORD00429</t>
  </si>
  <si>
    <t>CUST0052</t>
  </si>
  <si>
    <t>2023-11-01</t>
  </si>
  <si>
    <t>ORD00430</t>
  </si>
  <si>
    <t>ORD00431</t>
  </si>
  <si>
    <t>CUST0589</t>
  </si>
  <si>
    <t>Sanjay Patel</t>
  </si>
  <si>
    <t>2024-12-17</t>
  </si>
  <si>
    <t>ORD00432</t>
  </si>
  <si>
    <t>CUST0560</t>
  </si>
  <si>
    <t>2023-05-29</t>
  </si>
  <si>
    <t>ORD00433</t>
  </si>
  <si>
    <t>CUST0387</t>
  </si>
  <si>
    <t>Varun Kulkarni</t>
  </si>
  <si>
    <t>2024-04-15</t>
  </si>
  <si>
    <t>ORD00434</t>
  </si>
  <si>
    <t>CUST0131</t>
  </si>
  <si>
    <t>Harini Das</t>
  </si>
  <si>
    <t>2024-10-14</t>
  </si>
  <si>
    <t>ORD00435</t>
  </si>
  <si>
    <t>CUST0369</t>
  </si>
  <si>
    <t>Lakshmi Gupta</t>
  </si>
  <si>
    <t>2023-10-13</t>
  </si>
  <si>
    <t>ORD00436</t>
  </si>
  <si>
    <t>ORD00437</t>
  </si>
  <si>
    <t>CUST0035</t>
  </si>
  <si>
    <t>Karthik Verma</t>
  </si>
  <si>
    <t>ORD00438</t>
  </si>
  <si>
    <t>ORD00439</t>
  </si>
  <si>
    <t>ORD00440</t>
  </si>
  <si>
    <t>ORD00441</t>
  </si>
  <si>
    <t>CUST0113</t>
  </si>
  <si>
    <t>2024-08-29</t>
  </si>
  <si>
    <t>ORD00442</t>
  </si>
  <si>
    <t>ORD00443</t>
  </si>
  <si>
    <t>ORD00444</t>
  </si>
  <si>
    <t>CUST0293</t>
  </si>
  <si>
    <t>Ishaan Singh</t>
  </si>
  <si>
    <t>2023-03-09</t>
  </si>
  <si>
    <t>ORD00445</t>
  </si>
  <si>
    <t>CUST0199</t>
  </si>
  <si>
    <t>Shreya Pillai</t>
  </si>
  <si>
    <t>ORD00446</t>
  </si>
  <si>
    <t>CUST0244</t>
  </si>
  <si>
    <t>2024-01-08</t>
  </si>
  <si>
    <t>ORD00447</t>
  </si>
  <si>
    <t>CUST0479</t>
  </si>
  <si>
    <t>Rohan Sharma</t>
  </si>
  <si>
    <t>2023-04-27</t>
  </si>
  <si>
    <t>ORD00448</t>
  </si>
  <si>
    <t>CUST0300</t>
  </si>
  <si>
    <t>2025-08-18</t>
  </si>
  <si>
    <t>ORD00449</t>
  </si>
  <si>
    <t>ORD00450</t>
  </si>
  <si>
    <t>ORD00451</t>
  </si>
  <si>
    <t>CUST0180</t>
  </si>
  <si>
    <t>2025-07-11</t>
  </si>
  <si>
    <t>ORD00452</t>
  </si>
  <si>
    <t>CUST0341</t>
  </si>
  <si>
    <t>2023-11-21</t>
  </si>
  <si>
    <t>ORD00453</t>
  </si>
  <si>
    <t>ORD00454</t>
  </si>
  <si>
    <t>ORD00455</t>
  </si>
  <si>
    <t>ORD00456</t>
  </si>
  <si>
    <t>CUST0204</t>
  </si>
  <si>
    <t>Karthik Mehta</t>
  </si>
  <si>
    <t>2025-07-25</t>
  </si>
  <si>
    <t>ORD00457</t>
  </si>
  <si>
    <t>CUST0518</t>
  </si>
  <si>
    <t>Nisha Patel</t>
  </si>
  <si>
    <t>2025-04-19</t>
  </si>
  <si>
    <t>ORD00458</t>
  </si>
  <si>
    <t>CUST0304</t>
  </si>
  <si>
    <t>2024-12-10</t>
  </si>
  <si>
    <t>ORD00459</t>
  </si>
  <si>
    <t>CUST0443</t>
  </si>
  <si>
    <t>Akash Sharma</t>
  </si>
  <si>
    <t>2023-10-10</t>
  </si>
  <si>
    <t>ORD00460</t>
  </si>
  <si>
    <t>CUST0329</t>
  </si>
  <si>
    <t>2024-08-08</t>
  </si>
  <si>
    <t>ORD00461</t>
  </si>
  <si>
    <t>ORD00462</t>
  </si>
  <si>
    <t>CUST0056</t>
  </si>
  <si>
    <t>2024-11-12</t>
  </si>
  <si>
    <t>ORD00463</t>
  </si>
  <si>
    <t>ORD00464</t>
  </si>
  <si>
    <t>ORD00465</t>
  </si>
  <si>
    <t>ORD00466</t>
  </si>
  <si>
    <t>CUST0298</t>
  </si>
  <si>
    <t>Diya Joshi</t>
  </si>
  <si>
    <t>2025-01-10</t>
  </si>
  <si>
    <t>ORD00467</t>
  </si>
  <si>
    <t>ORD00468</t>
  </si>
  <si>
    <t>CUST0447</t>
  </si>
  <si>
    <t>Aarav Iyer</t>
  </si>
  <si>
    <t>ORD00469</t>
  </si>
  <si>
    <t>ORD00470</t>
  </si>
  <si>
    <t>ORD00471</t>
  </si>
  <si>
    <t>CUST0406</t>
  </si>
  <si>
    <t>RETURNED</t>
  </si>
  <si>
    <t>2025-10-21</t>
  </si>
  <si>
    <t>ORD00472</t>
  </si>
  <si>
    <t>CUST0208</t>
  </si>
  <si>
    <t>2025-02-01</t>
  </si>
  <si>
    <t>ORD00473</t>
  </si>
  <si>
    <t>ORD00474</t>
  </si>
  <si>
    <t>ORD00475</t>
  </si>
  <si>
    <t>ORD00476</t>
  </si>
  <si>
    <t>ORD00477</t>
  </si>
  <si>
    <t>CUST0203</t>
  </si>
  <si>
    <t>ORD00478</t>
  </si>
  <si>
    <t>ORD00479</t>
  </si>
  <si>
    <t>ORD00480</t>
  </si>
  <si>
    <t>ORD00481</t>
  </si>
  <si>
    <t>CUST0393</t>
  </si>
  <si>
    <t>2024-07-03</t>
  </si>
  <si>
    <t>ORD00482</t>
  </si>
  <si>
    <t>ORD00483</t>
  </si>
  <si>
    <t>ORD00484</t>
  </si>
  <si>
    <t>ORD00485</t>
  </si>
  <si>
    <t>ORD00486</t>
  </si>
  <si>
    <t>CUST0516</t>
  </si>
  <si>
    <t>2024-01-31</t>
  </si>
  <si>
    <t>ORD00487</t>
  </si>
  <si>
    <t>ORD00488</t>
  </si>
  <si>
    <t>CUST0335</t>
  </si>
  <si>
    <t>2025-05-24</t>
  </si>
  <si>
    <t>ORD00489</t>
  </si>
  <si>
    <t>CUST0074</t>
  </si>
  <si>
    <t>2025-12-13</t>
  </si>
  <si>
    <t>ORD00490</t>
  </si>
  <si>
    <t>CUST0106</t>
  </si>
  <si>
    <t>2025-07-06</t>
  </si>
  <si>
    <t>ORD00491</t>
  </si>
  <si>
    <t>CUST0025</t>
  </si>
  <si>
    <t>Aditya Rao</t>
  </si>
  <si>
    <t>2025-12-16</t>
  </si>
  <si>
    <t>ORD00492</t>
  </si>
  <si>
    <t>CUST0150</t>
  </si>
  <si>
    <t>2024-10-24</t>
  </si>
  <si>
    <t>ORD00493</t>
  </si>
  <si>
    <t>ORD00494</t>
  </si>
  <si>
    <t>ORD00495</t>
  </si>
  <si>
    <t>ORD00496</t>
  </si>
  <si>
    <t>CUST0100</t>
  </si>
  <si>
    <t>2023-03-14</t>
  </si>
  <si>
    <t>ORD00497</t>
  </si>
  <si>
    <t>CUST0170</t>
  </si>
  <si>
    <t>2025-04-02</t>
  </si>
  <si>
    <t>ORD00498</t>
  </si>
  <si>
    <t>ORD00499</t>
  </si>
  <si>
    <t>ORD00500</t>
  </si>
  <si>
    <t>ORD00501</t>
  </si>
  <si>
    <t>ORD00502</t>
  </si>
  <si>
    <t>ORD00503</t>
  </si>
  <si>
    <t>CUST0207</t>
  </si>
  <si>
    <t>2025-03-02</t>
  </si>
  <si>
    <t>ORD00504</t>
  </si>
  <si>
    <t>CUST0134</t>
  </si>
  <si>
    <t>2023-11-17</t>
  </si>
  <si>
    <t>ORD00505</t>
  </si>
  <si>
    <t>ORD00506</t>
  </si>
  <si>
    <t>ORD00507</t>
  </si>
  <si>
    <t>ORD00508</t>
  </si>
  <si>
    <t>CUST0188</t>
  </si>
  <si>
    <t>ORD00509</t>
  </si>
  <si>
    <t>CUST0407</t>
  </si>
  <si>
    <t>ORD00510</t>
  </si>
  <si>
    <t>ORD00511</t>
  </si>
  <si>
    <t>ORD00512</t>
  </si>
  <si>
    <t>ORD00513</t>
  </si>
  <si>
    <t>CUST0352</t>
  </si>
  <si>
    <t>Ishaan Verma</t>
  </si>
  <si>
    <t>2024-05-01</t>
  </si>
  <si>
    <t>ORD00514</t>
  </si>
  <si>
    <t>ORD00515</t>
  </si>
  <si>
    <t>CUST0394</t>
  </si>
  <si>
    <t>Shreya Nair</t>
  </si>
  <si>
    <t>ORD00516</t>
  </si>
  <si>
    <t>CUST0156</t>
  </si>
  <si>
    <t>2024-10-11</t>
  </si>
  <si>
    <t>ORD00517</t>
  </si>
  <si>
    <t>ORD00518</t>
  </si>
  <si>
    <t>ORD00519</t>
  </si>
  <si>
    <t>ORD00520</t>
  </si>
  <si>
    <t>CUST0432</t>
  </si>
  <si>
    <t>Pooja Singh</t>
  </si>
  <si>
    <t>2023-02-17</t>
  </si>
  <si>
    <t>ORD00521</t>
  </si>
  <si>
    <t>ORD00522</t>
  </si>
  <si>
    <t>ORD00523</t>
  </si>
  <si>
    <t>CUST0510</t>
  </si>
  <si>
    <t>2024-08-20</t>
  </si>
  <si>
    <t>ORD00524</t>
  </si>
  <si>
    <t>ORD00525</t>
  </si>
  <si>
    <t>CUST0382</t>
  </si>
  <si>
    <t>Karthik Rao</t>
  </si>
  <si>
    <t>ORD00526</t>
  </si>
  <si>
    <t>ORD00527</t>
  </si>
  <si>
    <t>ORD00528</t>
  </si>
  <si>
    <t>CUST0070</t>
  </si>
  <si>
    <t>2024-06-06</t>
  </si>
  <si>
    <t>ORD00529</t>
  </si>
  <si>
    <t>ORD00530</t>
  </si>
  <si>
    <t>CUST0243</t>
  </si>
  <si>
    <t>Manoj Das</t>
  </si>
  <si>
    <t>2023-02-23</t>
  </si>
  <si>
    <t>ORD00531</t>
  </si>
  <si>
    <t>CUST0501</t>
  </si>
  <si>
    <t>2024-03-13</t>
  </si>
  <si>
    <t>ORD00532</t>
  </si>
  <si>
    <t>ORD00533</t>
  </si>
  <si>
    <t>ORD00534</t>
  </si>
  <si>
    <t>CUST0084</t>
  </si>
  <si>
    <t>2023-11-10</t>
  </si>
  <si>
    <t>ORD00535</t>
  </si>
  <si>
    <t>CUST0080</t>
  </si>
  <si>
    <t>2024-09-20</t>
  </si>
  <si>
    <t>ORD00536</t>
  </si>
  <si>
    <t>ORD00537</t>
  </si>
  <si>
    <t>CUST0115</t>
  </si>
  <si>
    <t>Nisha Iyer</t>
  </si>
  <si>
    <t>2025-03-06</t>
  </si>
  <si>
    <t>ORD00538</t>
  </si>
  <si>
    <t>CUST0462</t>
  </si>
  <si>
    <t>Lakshmi Iyer</t>
  </si>
  <si>
    <t>2025-05-06</t>
  </si>
  <si>
    <t>ORD00539</t>
  </si>
  <si>
    <t>ORD00540</t>
  </si>
  <si>
    <t>ORD00541</t>
  </si>
  <si>
    <t>CUST0031</t>
  </si>
  <si>
    <t>Priya Mishra</t>
  </si>
  <si>
    <t>2023-05-09</t>
  </si>
  <si>
    <t>ORD00542</t>
  </si>
  <si>
    <t>ORD00543</t>
  </si>
  <si>
    <t>CUST0481</t>
  </si>
  <si>
    <t>2024-07-28</t>
  </si>
  <si>
    <t>ORD00544</t>
  </si>
  <si>
    <t>ORD00545</t>
  </si>
  <si>
    <t>ORD00546</t>
  </si>
  <si>
    <t>CUST0398</t>
  </si>
  <si>
    <t>2024-02-27</t>
  </si>
  <si>
    <t>ORD00547</t>
  </si>
  <si>
    <t>ORD00548</t>
  </si>
  <si>
    <t>CUST0392</t>
  </si>
  <si>
    <t>Pooja Patel</t>
  </si>
  <si>
    <t>ORD00549</t>
  </si>
  <si>
    <t>ORD00550</t>
  </si>
  <si>
    <t>CUST0278</t>
  </si>
  <si>
    <t>Sneha Mehta</t>
  </si>
  <si>
    <t>2025-03-21</t>
  </si>
  <si>
    <t>ORD00551</t>
  </si>
  <si>
    <t>ORD00552</t>
  </si>
  <si>
    <t>CUST0246</t>
  </si>
  <si>
    <t>2023-05-17</t>
  </si>
  <si>
    <t>ORD00553</t>
  </si>
  <si>
    <t>ORD00554</t>
  </si>
  <si>
    <t>ORD00555</t>
  </si>
  <si>
    <t>ORD00556</t>
  </si>
  <si>
    <t>CUST0026</t>
  </si>
  <si>
    <t>2025-07-27</t>
  </si>
  <si>
    <t>ORD00557</t>
  </si>
  <si>
    <t>ORD00558</t>
  </si>
  <si>
    <t>ORD00559</t>
  </si>
  <si>
    <t>ORD00560</t>
  </si>
  <si>
    <t>ORD00561</t>
  </si>
  <si>
    <t>ORD00562</t>
  </si>
  <si>
    <t>ORD00563</t>
  </si>
  <si>
    <t>CUST0096</t>
  </si>
  <si>
    <t>2025-01-14</t>
  </si>
  <si>
    <t>ORD00564</t>
  </si>
  <si>
    <t>CUST0497</t>
  </si>
  <si>
    <t>2023-10-15</t>
  </si>
  <si>
    <t>ORD00565</t>
  </si>
  <si>
    <t>ORD00566</t>
  </si>
  <si>
    <t>ORD00567</t>
  </si>
  <si>
    <t>CUST0222</t>
  </si>
  <si>
    <t>Nisha Mehta</t>
  </si>
  <si>
    <t>ORD00568</t>
  </si>
  <si>
    <t>CUST0132</t>
  </si>
  <si>
    <t>Akash Rao</t>
  </si>
  <si>
    <t>2023-10-01</t>
  </si>
  <si>
    <t>ORD00569</t>
  </si>
  <si>
    <t>ORD00570</t>
  </si>
  <si>
    <t>ORD00571</t>
  </si>
  <si>
    <t>ORD00572</t>
  </si>
  <si>
    <t>CUST0313</t>
  </si>
  <si>
    <t>2025-09-06</t>
  </si>
  <si>
    <t>ORD00573</t>
  </si>
  <si>
    <t>CUST0130</t>
  </si>
  <si>
    <t>Harini Nair</t>
  </si>
  <si>
    <t>2025-03-01</t>
  </si>
  <si>
    <t>ORD00574</t>
  </si>
  <si>
    <t>CUST0264</t>
  </si>
  <si>
    <t>Sneha Kulkarni</t>
  </si>
  <si>
    <t>ORD00575</t>
  </si>
  <si>
    <t>CUST0399</t>
  </si>
  <si>
    <t>Kavya Iyer</t>
  </si>
  <si>
    <t>ORD00576</t>
  </si>
  <si>
    <t>ORD00577</t>
  </si>
  <si>
    <t>CUST0260</t>
  </si>
  <si>
    <t>2023-01-28</t>
  </si>
  <si>
    <t>ORD00578</t>
  </si>
  <si>
    <t>ORD00579</t>
  </si>
  <si>
    <t>ORD00580</t>
  </si>
  <si>
    <t>CUST0308</t>
  </si>
  <si>
    <t>ORD00581</t>
  </si>
  <si>
    <t>ORD00582</t>
  </si>
  <si>
    <t>CUST0118</t>
  </si>
  <si>
    <t>ORD00583</t>
  </si>
  <si>
    <t>CUST0241</t>
  </si>
  <si>
    <t>ORD00584</t>
  </si>
  <si>
    <t>ORD00585</t>
  </si>
  <si>
    <t>CUST0337</t>
  </si>
  <si>
    <t>ORD00586</t>
  </si>
  <si>
    <t>ORD00587</t>
  </si>
  <si>
    <t>CUST0586</t>
  </si>
  <si>
    <t>Sanjay Mehta</t>
  </si>
  <si>
    <t>2023-09-11</t>
  </si>
  <si>
    <t>ORD00588</t>
  </si>
  <si>
    <t>ORD00589</t>
  </si>
  <si>
    <t>CUST0444</t>
  </si>
  <si>
    <t>Harini Naidu</t>
  </si>
  <si>
    <t>2023-05-21</t>
  </si>
  <si>
    <t>ORD00590</t>
  </si>
  <si>
    <t>ORD00591</t>
  </si>
  <si>
    <t>CUST0205</t>
  </si>
  <si>
    <t>2025-10-19</t>
  </si>
  <si>
    <t>ORD00592</t>
  </si>
  <si>
    <t>CUST0336</t>
  </si>
  <si>
    <t>2023-09-13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</si>
  <si>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</si>
  <si>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</si>
  <si>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</si>
  <si>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</si>
  <si>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</si>
  <si>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</si>
  <si>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</si>
  <si>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</si>
  <si>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</si>
  <si>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CUST0504</t>
  </si>
  <si>
    <t>Karthik Khan</t>
  </si>
  <si>
    <t>2024-10-02</t>
  </si>
  <si>
    <t>ORD00602</t>
  </si>
  <si>
    <t>ORD00603</t>
  </si>
  <si>
    <t>CUST0234</t>
  </si>
  <si>
    <t>2024-04-02</t>
  </si>
  <si>
    <t>ORD00604</t>
  </si>
  <si>
    <t>CUST0343</t>
  </si>
  <si>
    <t>2024-08-02</t>
  </si>
  <si>
    <t>ORD00605</t>
  </si>
  <si>
    <t>CUST0397</t>
  </si>
  <si>
    <t>Akash Reddy</t>
  </si>
  <si>
    <t>ORD00606</t>
  </si>
  <si>
    <t>ORD00607</t>
  </si>
  <si>
    <t>ORD00608</t>
  </si>
  <si>
    <t>CUST0078</t>
  </si>
  <si>
    <t>2024-10-05</t>
  </si>
  <si>
    <t>ORD00609</t>
  </si>
  <si>
    <t>CUST0332</t>
  </si>
  <si>
    <t>Vikram Rao</t>
  </si>
  <si>
    <t>2023-07-04</t>
  </si>
  <si>
    <t>ORD00610</t>
  </si>
  <si>
    <t>ORD00611</t>
  </si>
  <si>
    <t>ORD00612</t>
  </si>
  <si>
    <t>ORD00613</t>
  </si>
  <si>
    <t>CUST0405</t>
  </si>
  <si>
    <t>Varun Naidu</t>
  </si>
  <si>
    <t>2024-05-06</t>
  </si>
  <si>
    <t>ORD00614</t>
  </si>
  <si>
    <t>CUST0350</t>
  </si>
  <si>
    <t>2025-08-02</t>
  </si>
  <si>
    <t>ORD00615</t>
  </si>
  <si>
    <t>CUST0592</t>
  </si>
  <si>
    <t>Priya Kulkarni</t>
  </si>
  <si>
    <t>2023-07-25</t>
  </si>
  <si>
    <t>ORD00616</t>
  </si>
  <si>
    <t>ORD00617</t>
  </si>
  <si>
    <t>CUST0288</t>
  </si>
  <si>
    <t>Karthik Reddy</t>
  </si>
  <si>
    <t>ORD00618</t>
  </si>
  <si>
    <t>CUST0037</t>
  </si>
  <si>
    <t>2024-02-21</t>
  </si>
  <si>
    <t>ORD00619</t>
  </si>
  <si>
    <t>ORD00620</t>
  </si>
  <si>
    <t>ORD00621</t>
  </si>
  <si>
    <t>ORD00622</t>
  </si>
  <si>
    <t>CUST0542</t>
  </si>
  <si>
    <t>2023-06-19</t>
  </si>
  <si>
    <t>ORD00623</t>
  </si>
  <si>
    <t>CUST0194</t>
  </si>
  <si>
    <t>ORD00624</t>
  </si>
  <si>
    <t>ORD00625</t>
  </si>
  <si>
    <t>CUST0046</t>
  </si>
  <si>
    <t>ORD00626</t>
  </si>
  <si>
    <t>ORD00627</t>
  </si>
  <si>
    <t>CUST0438</t>
  </si>
  <si>
    <t>2024-03-15</t>
  </si>
  <si>
    <t>ORD00628</t>
  </si>
  <si>
    <t>CUST0303</t>
  </si>
  <si>
    <t>ORD00629</t>
  </si>
  <si>
    <t>CUST0427</t>
  </si>
  <si>
    <t>2025-08-11</t>
  </si>
  <si>
    <t>ORD00630</t>
  </si>
  <si>
    <t>ORD00631</t>
  </si>
  <si>
    <t>CUST0440</t>
  </si>
  <si>
    <t>Harini Sharma</t>
  </si>
  <si>
    <t>2024-06-03</t>
  </si>
  <si>
    <t>ORD00632</t>
  </si>
  <si>
    <t>ORD00633</t>
  </si>
  <si>
    <t>ORD00634</t>
  </si>
  <si>
    <t>CUST0088</t>
  </si>
  <si>
    <t>ORD00635</t>
  </si>
  <si>
    <t>CUST0582</t>
  </si>
  <si>
    <t>ORD00636</t>
  </si>
  <si>
    <t>CUST0386</t>
  </si>
  <si>
    <t>2023-03-27</t>
  </si>
  <si>
    <t>ORD00637</t>
  </si>
  <si>
    <t>ORD00638</t>
  </si>
  <si>
    <t>ORD00639</t>
  </si>
  <si>
    <t>ORD00640</t>
  </si>
  <si>
    <t>ORD00641</t>
  </si>
  <si>
    <t>ORD00642</t>
  </si>
  <si>
    <t>CUST0500</t>
  </si>
  <si>
    <t>2024-06-01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</si>
  <si>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</si>
  <si>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</si>
  <si>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</si>
  <si>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</si>
  <si>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</si>
  <si>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</si>
  <si>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</si>
  <si>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</si>
  <si>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</si>
  <si>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CUST0553</t>
  </si>
  <si>
    <t>2025-01-24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</si>
  <si>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</si>
  <si>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</si>
  <si>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</si>
  <si>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</si>
  <si>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</si>
  <si>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</si>
  <si>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</si>
  <si>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</si>
  <si>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</si>
  <si>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CUST0485</t>
  </si>
  <si>
    <t>Lakshmi Patel</t>
  </si>
  <si>
    <t>2024-10-30</t>
  </si>
  <si>
    <t>ORD00661</t>
  </si>
  <si>
    <t>ORD00662</t>
  </si>
  <si>
    <t>ORD00663</t>
  </si>
  <si>
    <t>ORD00664</t>
  </si>
  <si>
    <t>ORD00665</t>
  </si>
  <si>
    <t>ORD00666</t>
  </si>
  <si>
    <t>ORD00667</t>
  </si>
  <si>
    <t>CUST0487</t>
  </si>
  <si>
    <t>2024-05-23</t>
  </si>
  <si>
    <t>ORD00668</t>
  </si>
  <si>
    <t>ORD00669</t>
  </si>
  <si>
    <t>CUST0097</t>
  </si>
  <si>
    <t>Manoj Patel</t>
  </si>
  <si>
    <t>ORD00670</t>
  </si>
  <si>
    <t>CUST0255</t>
  </si>
  <si>
    <t>2025-10-02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</si>
  <si>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</si>
  <si>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</si>
  <si>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</si>
  <si>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</si>
  <si>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</si>
  <si>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</si>
  <si>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</si>
  <si>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</si>
  <si>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CUST0196</t>
  </si>
  <si>
    <t>Nisha Sharma</t>
  </si>
  <si>
    <t>2025-03-20</t>
  </si>
  <si>
    <t>ORD00679</t>
  </si>
  <si>
    <t>ORD00680</t>
  </si>
  <si>
    <t>ORD00681</t>
  </si>
  <si>
    <t>CUST0508</t>
  </si>
  <si>
    <t>Karthik Naidu</t>
  </si>
  <si>
    <t>ORD00682</t>
  </si>
  <si>
    <t>ORD00683</t>
  </si>
  <si>
    <t>ORD00684</t>
  </si>
  <si>
    <t>ORD00685</t>
  </si>
  <si>
    <t>CUST0506</t>
  </si>
  <si>
    <t>2025-02-24</t>
  </si>
  <si>
    <t>ORD00686</t>
  </si>
  <si>
    <t>ORD00687</t>
  </si>
  <si>
    <t>CUST0238</t>
  </si>
  <si>
    <t>2025-03-30</t>
  </si>
  <si>
    <t>ORD00688</t>
  </si>
  <si>
    <t>ORD00689</t>
  </si>
  <si>
    <t>ORD00690</t>
  </si>
  <si>
    <t>CUST0267</t>
  </si>
  <si>
    <t>ORD00691</t>
  </si>
  <si>
    <t>ORD00692</t>
  </si>
  <si>
    <t>CUST0128</t>
  </si>
  <si>
    <t>Sneha Mishra</t>
  </si>
  <si>
    <t>ORD00693</t>
  </si>
  <si>
    <t>CUST0368</t>
  </si>
  <si>
    <t>2025-07-31</t>
  </si>
  <si>
    <t>ORD00694</t>
  </si>
  <si>
    <t>CUST0457</t>
  </si>
  <si>
    <t>2025-04-05</t>
  </si>
  <si>
    <t>ORD00695</t>
  </si>
  <si>
    <t>ORD00696</t>
  </si>
  <si>
    <t>ORD00697</t>
  </si>
  <si>
    <t>ORD00698</t>
  </si>
  <si>
    <t>ORD00699</t>
  </si>
  <si>
    <t>ORD00700</t>
  </si>
  <si>
    <t>CUST0114</t>
  </si>
  <si>
    <t>Aarav Reddy</t>
  </si>
  <si>
    <t>2023-11-15</t>
  </si>
  <si>
    <t>ORD00701</t>
  </si>
  <si>
    <t>CUST0257</t>
  </si>
  <si>
    <t>Rahul Patel</t>
  </si>
  <si>
    <t>ORD00702</t>
  </si>
  <si>
    <t>CUST0408</t>
  </si>
  <si>
    <t>ORD00703</t>
  </si>
  <si>
    <t>ORD00704</t>
  </si>
  <si>
    <t>CUST0420</t>
  </si>
  <si>
    <t>ORD00705</t>
  </si>
  <si>
    <t>ORD00706</t>
  </si>
  <si>
    <t>CUST0531</t>
  </si>
  <si>
    <t>Kavya Mishra</t>
  </si>
  <si>
    <t>ORD00707</t>
  </si>
  <si>
    <t>ORD00708</t>
  </si>
  <si>
    <t>ORD00709</t>
  </si>
  <si>
    <t>ORD00710</t>
  </si>
  <si>
    <t>CUST0022</t>
  </si>
  <si>
    <t>2025-02-13</t>
  </si>
  <si>
    <t>ORD00711</t>
  </si>
  <si>
    <t>ORD00712</t>
  </si>
  <si>
    <t>ORD00713</t>
  </si>
  <si>
    <t>ORD00714</t>
  </si>
  <si>
    <t>CUST0522</t>
  </si>
  <si>
    <t>ORD00715</t>
  </si>
  <si>
    <t>ORD00716</t>
  </si>
  <si>
    <t>ORD00717</t>
  </si>
  <si>
    <t>ORD00718</t>
  </si>
  <si>
    <t>ORD00719</t>
  </si>
  <si>
    <t>CUST0351</t>
  </si>
  <si>
    <t>Aarav Naidu</t>
  </si>
  <si>
    <t>2024-09-17</t>
  </si>
  <si>
    <t>ORD00720</t>
  </si>
  <si>
    <t>ORD00721</t>
  </si>
  <si>
    <t>ORD00722</t>
  </si>
  <si>
    <t>ORD00723</t>
  </si>
  <si>
    <t>CUST0110</t>
  </si>
  <si>
    <t>tamil nadu</t>
  </si>
  <si>
    <t>2025-06-10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</si>
  <si>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</si>
  <si>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</si>
  <si>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</si>
  <si>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</si>
  <si>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</si>
  <si>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</si>
  <si>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</si>
  <si>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</si>
  <si>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</si>
  <si>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CUST0587</t>
  </si>
  <si>
    <t>2025-01-05</t>
  </si>
  <si>
    <t>ORD00733</t>
  </si>
  <si>
    <t>CUST0419</t>
  </si>
  <si>
    <t>ORD00734</t>
  </si>
  <si>
    <t>CUST0465</t>
  </si>
  <si>
    <t>2023-04-30</t>
  </si>
  <si>
    <t>ORD00735</t>
  </si>
  <si>
    <t>ORD00736</t>
  </si>
  <si>
    <t>ORD00737</t>
  </si>
  <si>
    <t>ORD00738</t>
  </si>
  <si>
    <t>CUST0225</t>
  </si>
  <si>
    <t>Meera Khan</t>
  </si>
  <si>
    <t>2025-12-18</t>
  </si>
  <si>
    <t>ORD00739</t>
  </si>
  <si>
    <t>ORD00740</t>
  </si>
  <si>
    <t>CUST0045</t>
  </si>
  <si>
    <t>Sanjay Nair</t>
  </si>
  <si>
    <t>2024-10-17</t>
  </si>
  <si>
    <t>ORD00741</t>
  </si>
  <si>
    <t>CUST0554</t>
  </si>
  <si>
    <t>2024-05-24</t>
  </si>
  <si>
    <t>ORD00742</t>
  </si>
  <si>
    <t>CUST0250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</si>
  <si>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</si>
  <si>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</si>
  <si>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</si>
  <si>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</si>
  <si>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</si>
  <si>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</si>
  <si>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</si>
  <si>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</si>
  <si>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</si>
  <si>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</si>
  <si>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</si>
  <si>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</si>
  <si>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</si>
  <si>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</si>
  <si>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</si>
  <si>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</si>
  <si>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</si>
  <si>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</si>
  <si>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</si>
  <si>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</si>
  <si>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</si>
  <si>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</si>
  <si>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</si>
  <si>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</si>
  <si>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</si>
  <si>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</si>
  <si>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</si>
  <si>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</si>
  <si>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CUST0418</t>
  </si>
  <si>
    <t>Pooja Menon</t>
  </si>
  <si>
    <t>ORD00771</t>
  </si>
  <si>
    <t>ORD00772</t>
  </si>
  <si>
    <t>ORD00773</t>
  </si>
  <si>
    <t>CUST0558</t>
  </si>
  <si>
    <t>2024-05-13</t>
  </si>
  <si>
    <t>ORD00774</t>
  </si>
  <si>
    <t>ORD00775</t>
  </si>
  <si>
    <t>CUST0101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</si>
  <si>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</si>
  <si>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</si>
  <si>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</si>
  <si>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</si>
  <si>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</si>
  <si>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</si>
  <si>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</si>
  <si>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</si>
  <si>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</si>
  <si>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</si>
  <si>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</si>
  <si>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</si>
  <si>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</si>
  <si>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</si>
  <si>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</si>
  <si>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CUST0345</t>
  </si>
  <si>
    <t>2023-09-04</t>
  </si>
  <si>
    <t>ORD00791</t>
  </si>
  <si>
    <t>ORD00792</t>
  </si>
  <si>
    <t>ORD00793</t>
  </si>
  <si>
    <t>ORD00794</t>
  </si>
  <si>
    <t>ORD00795</t>
  </si>
  <si>
    <t>ORD00796</t>
  </si>
  <si>
    <t>CUST0262</t>
  </si>
  <si>
    <t>ORD00797</t>
  </si>
  <si>
    <t>ORD00798</t>
  </si>
  <si>
    <t>ORD00799</t>
  </si>
  <si>
    <t>ORD00800</t>
  </si>
  <si>
    <t>CUST0171</t>
  </si>
  <si>
    <t>Nisha Reddy</t>
  </si>
  <si>
    <t>ORD00801</t>
  </si>
  <si>
    <t>ORD00802</t>
  </si>
  <si>
    <t>ORD00803</t>
  </si>
  <si>
    <t>CUST0285</t>
  </si>
  <si>
    <t>Ishaan Reddy</t>
  </si>
  <si>
    <t>2024-07-01</t>
  </si>
  <si>
    <t>ORD00804</t>
  </si>
  <si>
    <t>ORD00805</t>
  </si>
  <si>
    <t>ORD00806</t>
  </si>
  <si>
    <t>ORD00807</t>
  </si>
  <si>
    <t>CUST0230</t>
  </si>
  <si>
    <t>Ishaan Iyer</t>
  </si>
  <si>
    <t>2025-11-29</t>
  </si>
  <si>
    <t>ORD00808</t>
  </si>
  <si>
    <t>CUST0245</t>
  </si>
  <si>
    <t>ORD00809</t>
  </si>
  <si>
    <t>ORD00810</t>
  </si>
  <si>
    <t>CUST0011</t>
  </si>
  <si>
    <t>2023-05-10</t>
  </si>
  <si>
    <t>ORD00811</t>
  </si>
  <si>
    <t>ORD00812</t>
  </si>
  <si>
    <t>CUST0466</t>
  </si>
  <si>
    <t>Manoj Gupta</t>
  </si>
  <si>
    <t>ORD00813</t>
  </si>
  <si>
    <t>CUST0414</t>
  </si>
  <si>
    <t>Aarav Singh</t>
  </si>
  <si>
    <t>2023-07-07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</si>
  <si>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</si>
  <si>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</si>
  <si>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</si>
  <si>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</si>
  <si>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</si>
  <si>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</si>
  <si>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</si>
  <si>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</si>
  <si>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</si>
  <si>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</si>
  <si>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</si>
  <si>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CUST0299</t>
  </si>
  <si>
    <t>Diya Das</t>
  </si>
  <si>
    <t>2023-09-07</t>
  </si>
  <si>
    <t>ORD00825</t>
  </si>
  <si>
    <t>ORD00826</t>
  </si>
  <si>
    <t>CUST0318</t>
  </si>
  <si>
    <t>2023-08-09</t>
  </si>
  <si>
    <t>ORD00827</t>
  </si>
  <si>
    <t>ORD00828</t>
  </si>
  <si>
    <t>CUST0055</t>
  </si>
  <si>
    <t>Harini Kulkarni</t>
  </si>
  <si>
    <t>2024-05-17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</si>
  <si>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</si>
  <si>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</si>
  <si>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</si>
  <si>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</si>
  <si>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</si>
  <si>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</si>
  <si>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</si>
  <si>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</si>
  <si>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</si>
  <si>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</si>
  <si>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</si>
  <si>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</si>
  <si>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CUST0269</t>
  </si>
  <si>
    <t>2025-06-23</t>
  </si>
  <si>
    <t>ORD00841</t>
  </si>
  <si>
    <t>ORD00842</t>
  </si>
  <si>
    <t>ORD00843</t>
  </si>
  <si>
    <t>ORD00844</t>
  </si>
  <si>
    <t>ORD00845</t>
  </si>
  <si>
    <t>CUST0159</t>
  </si>
  <si>
    <t>Rahul Reddy</t>
  </si>
  <si>
    <t>2025-07-05</t>
  </si>
  <si>
    <t>ORD00846</t>
  </si>
  <si>
    <t>CUST0142</t>
  </si>
  <si>
    <t>2025-05-21</t>
  </si>
  <si>
    <t>ORD00847</t>
  </si>
  <si>
    <t>CUST0375</t>
  </si>
  <si>
    <t>2024-01-03</t>
  </si>
  <si>
    <t>ORD00848</t>
  </si>
  <si>
    <t>ORD00849</t>
  </si>
  <si>
    <t>CUST0409</t>
  </si>
  <si>
    <t>Arjun Khan</t>
  </si>
  <si>
    <t>2025-06-20</t>
  </si>
  <si>
    <t>ORD00850</t>
  </si>
  <si>
    <t>ORD00851</t>
  </si>
  <si>
    <t>CUST0505</t>
  </si>
  <si>
    <t>Aarav Pillai</t>
  </si>
  <si>
    <t>ORD00852</t>
  </si>
  <si>
    <t>CUST0377</t>
  </si>
  <si>
    <t>2025-02-16</t>
  </si>
  <si>
    <t>ORD00853</t>
  </si>
  <si>
    <t>ORD00854</t>
  </si>
  <si>
    <t>ORD00855</t>
  </si>
  <si>
    <t>CUST0183</t>
  </si>
  <si>
    <t>2024-09-21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</si>
  <si>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</si>
  <si>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</si>
  <si>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</si>
  <si>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</si>
  <si>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</si>
  <si>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</si>
  <si>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</si>
  <si>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</si>
  <si>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</si>
  <si>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</si>
  <si>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</si>
  <si>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</si>
  <si>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</si>
  <si>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</si>
  <si>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CUST0496</t>
  </si>
  <si>
    <t>ORD00870</t>
  </si>
  <si>
    <t>ORD00871</t>
  </si>
  <si>
    <t>ORD00872</t>
  </si>
  <si>
    <t>CUST0013</t>
  </si>
  <si>
    <t>2025-09-04</t>
  </si>
  <si>
    <t>ORD00873</t>
  </si>
  <si>
    <t>CUST0566</t>
  </si>
  <si>
    <t>Arjun Rao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</si>
  <si>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</si>
  <si>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</si>
  <si>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</si>
  <si>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</si>
  <si>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</si>
  <si>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</si>
  <si>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</si>
  <si>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</si>
  <si>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</si>
  <si>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</si>
  <si>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</si>
  <si>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</si>
  <si>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</si>
  <si>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</si>
  <si>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</si>
  <si>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</si>
  <si>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</si>
  <si>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</si>
  <si>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</si>
  <si>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CUST0471</t>
  </si>
  <si>
    <t>Divya Kulkarni</t>
  </si>
  <si>
    <t>2025-04-16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</si>
  <si>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</si>
  <si>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</si>
  <si>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</si>
  <si>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</si>
  <si>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</si>
  <si>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</si>
  <si>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</si>
  <si>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</si>
  <si>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CUST0361</t>
  </si>
  <si>
    <t>2024-08-27</t>
  </si>
  <si>
    <t>ORD00901</t>
  </si>
  <si>
    <t>CUST0058</t>
  </si>
  <si>
    <t>Divya Nair</t>
  </si>
  <si>
    <t>2023-01-13</t>
  </si>
  <si>
    <t>ORD00902</t>
  </si>
  <si>
    <t>ORD00903</t>
  </si>
  <si>
    <t>ORD00904</t>
  </si>
  <si>
    <t>ORD00905</t>
  </si>
  <si>
    <t>ORD00906</t>
  </si>
  <si>
    <t>ORD00907</t>
  </si>
  <si>
    <t>CUST0376</t>
  </si>
  <si>
    <t>Ishaan Patel</t>
  </si>
  <si>
    <t>2024-01-17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</si>
  <si>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</si>
  <si>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</si>
  <si>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</si>
  <si>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</si>
  <si>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</si>
  <si>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</si>
  <si>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</si>
  <si>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</si>
  <si>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CUST0436</t>
  </si>
  <si>
    <t>Divya Patel</t>
  </si>
  <si>
    <t>2025-10-12</t>
  </si>
  <si>
    <t>ORD00916</t>
  </si>
  <si>
    <t>CUST0202</t>
  </si>
  <si>
    <t>2023-12-07</t>
  </si>
  <si>
    <t>ORD00917</t>
  </si>
  <si>
    <t>ORD00918</t>
  </si>
  <si>
    <t>CUST0381</t>
  </si>
  <si>
    <t>Nisha Pillai</t>
  </si>
  <si>
    <t>2023-03-15</t>
  </si>
  <si>
    <t>ORD00919</t>
  </si>
  <si>
    <t>ORD00920</t>
  </si>
  <si>
    <t>ORD00921</t>
  </si>
  <si>
    <t>CUST0182</t>
  </si>
  <si>
    <t>Shreya Iyer</t>
  </si>
  <si>
    <t>2023-07-03</t>
  </si>
  <si>
    <t>ORD00922</t>
  </si>
  <si>
    <t>ORD00923</t>
  </si>
  <si>
    <t>ORD00924</t>
  </si>
  <si>
    <t>CUST0071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</si>
  <si>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</si>
  <si>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</si>
  <si>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</si>
  <si>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</si>
  <si>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</si>
  <si>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</si>
  <si>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</si>
  <si>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</si>
  <si>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</si>
  <si>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</si>
  <si>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</si>
  <si>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</si>
  <si>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CUST0252</t>
  </si>
  <si>
    <t>ORD00937</t>
  </si>
  <si>
    <t>ORD00938</t>
  </si>
  <si>
    <t>ORD00939</t>
  </si>
  <si>
    <t>ORD00940</t>
  </si>
  <si>
    <t>CUST0473</t>
  </si>
  <si>
    <t>ORD00941</t>
  </si>
  <si>
    <t>ORD00942</t>
  </si>
  <si>
    <t>ORD00943</t>
  </si>
  <si>
    <t>CUST0003</t>
  </si>
  <si>
    <t>2025-05-11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</si>
  <si>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</si>
  <si>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</si>
  <si>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</si>
  <si>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</si>
  <si>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</si>
  <si>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</si>
  <si>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</si>
  <si>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</si>
  <si>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CUST0423</t>
  </si>
  <si>
    <t>2023-06-08</t>
  </si>
  <si>
    <t>ORD00952</t>
  </si>
  <si>
    <t>ORD00953</t>
  </si>
  <si>
    <t>CUST0051</t>
  </si>
  <si>
    <t>Aditya Sharma</t>
  </si>
  <si>
    <t>ORD00954</t>
  </si>
  <si>
    <t>ORD00955</t>
  </si>
  <si>
    <t>ORD00956</t>
  </si>
  <si>
    <t>ORD00957</t>
  </si>
  <si>
    <t>ORD00958</t>
  </si>
  <si>
    <t>ORD00959</t>
  </si>
  <si>
    <t>ORD00960</t>
  </si>
  <si>
    <t>CUST0281</t>
  </si>
  <si>
    <t>2025-04-27</t>
  </si>
  <si>
    <t>ORD00961</t>
  </si>
  <si>
    <t>ORD00962</t>
  </si>
  <si>
    <t>ORD00963</t>
  </si>
  <si>
    <t>CUST0594</t>
  </si>
  <si>
    <t>Ishaan Bose</t>
  </si>
  <si>
    <t>2024-06-29</t>
  </si>
  <si>
    <t>ORD00964</t>
  </si>
  <si>
    <t>ORD00965</t>
  </si>
  <si>
    <t>ORD00966</t>
  </si>
  <si>
    <t>CUST0283</t>
  </si>
  <si>
    <t>2025-04-15</t>
  </si>
  <si>
    <t>ORD00967</t>
  </si>
  <si>
    <t>ORD00968</t>
  </si>
  <si>
    <t>ORD00969</t>
  </si>
  <si>
    <t>ORD00970</t>
  </si>
  <si>
    <t>CUST0280</t>
  </si>
  <si>
    <t>ORD00971</t>
  </si>
  <si>
    <t>ORD00972</t>
  </si>
  <si>
    <t>CUST0020</t>
  </si>
  <si>
    <t>2025-11-30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</si>
  <si>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</si>
  <si>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</si>
  <si>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</si>
  <si>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</si>
  <si>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</si>
  <si>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</si>
  <si>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</si>
  <si>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</si>
  <si>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</si>
  <si>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</si>
  <si>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</si>
  <si>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CUST0290</t>
  </si>
  <si>
    <t>Aarav Bose</t>
  </si>
  <si>
    <t>ORD00984</t>
  </si>
  <si>
    <t>ORD00985</t>
  </si>
  <si>
    <t>ORD00986</t>
  </si>
  <si>
    <t>ORD00987</t>
  </si>
  <si>
    <t>ORD00988</t>
  </si>
  <si>
    <t>CUST0404</t>
  </si>
  <si>
    <t>2025-04-01</t>
  </si>
  <si>
    <t>ORD00989</t>
  </si>
  <si>
    <t>ORD00990</t>
  </si>
  <si>
    <t>ORD00991</t>
  </si>
  <si>
    <t>ORD00992</t>
  </si>
  <si>
    <t>CUST0198</t>
  </si>
  <si>
    <t>2024-08-06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</si>
  <si>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</si>
  <si>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</si>
  <si>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</si>
  <si>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</si>
  <si>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</si>
  <si>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</si>
  <si>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</si>
  <si>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</si>
  <si>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CUST0548</t>
  </si>
  <si>
    <t>ORD01001</t>
  </si>
  <si>
    <t>ORD01002</t>
  </si>
  <si>
    <t>ORD01003</t>
  </si>
  <si>
    <t>ORD01004</t>
  </si>
  <si>
    <t>ORD01005</t>
  </si>
  <si>
    <t>ORD01006</t>
  </si>
  <si>
    <t>ORD01007</t>
  </si>
  <si>
    <t>CUST0572</t>
  </si>
  <si>
    <t>Manoj Kulkarni</t>
  </si>
  <si>
    <t>2024-03-30</t>
  </si>
  <si>
    <t>ORD01008</t>
  </si>
  <si>
    <t>ORD01009</t>
  </si>
  <si>
    <t>ORD01010</t>
  </si>
  <si>
    <t>ORD01011</t>
  </si>
  <si>
    <t>ORD01012</t>
  </si>
  <si>
    <t>CUST0265</t>
  </si>
  <si>
    <t>2023-07-24</t>
  </si>
  <si>
    <t>ORD01013</t>
  </si>
  <si>
    <t>ORD01014</t>
  </si>
  <si>
    <t>CUST0571</t>
  </si>
  <si>
    <t>Vikram Mehta</t>
  </si>
  <si>
    <t>2023-10-30</t>
  </si>
  <si>
    <t>ORD01015</t>
  </si>
  <si>
    <t>CUST0175</t>
  </si>
  <si>
    <t>2023-12-29</t>
  </si>
  <si>
    <t>ORD01016</t>
  </si>
  <si>
    <t>ORD01017</t>
  </si>
  <si>
    <t>CUST0513</t>
  </si>
  <si>
    <t>2025-05-03</t>
  </si>
  <si>
    <t>ORD01018</t>
  </si>
  <si>
    <t>ORD01019</t>
  </si>
  <si>
    <t>ORD01020</t>
  </si>
  <si>
    <t>CUST0499</t>
  </si>
  <si>
    <t>Meera Singh</t>
  </si>
  <si>
    <t>2025-06-01</t>
  </si>
  <si>
    <t>ORD01021</t>
  </si>
  <si>
    <t>ORD01022</t>
  </si>
  <si>
    <t>CUST0174</t>
  </si>
  <si>
    <t>2025-05-15</t>
  </si>
  <si>
    <t>ORD01023</t>
  </si>
  <si>
    <t>ORD01024</t>
  </si>
  <si>
    <t>ORD01025</t>
  </si>
  <si>
    <t>ORD01026</t>
  </si>
  <si>
    <t>ORD01027</t>
  </si>
  <si>
    <t>CUST0152</t>
  </si>
  <si>
    <t>2025-12-02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</si>
  <si>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</si>
  <si>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</si>
  <si>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</si>
  <si>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</si>
  <si>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</si>
  <si>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</si>
  <si>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</si>
  <si>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</si>
  <si>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</si>
  <si>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</si>
  <si>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</si>
  <si>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</si>
  <si>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</si>
  <si>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</si>
  <si>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</si>
  <si>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CUST0326</t>
  </si>
  <si>
    <t>Karthik Das</t>
  </si>
  <si>
    <t>2025-07-07</t>
  </si>
  <si>
    <t>ORD01043</t>
  </si>
  <si>
    <t>ORD01044</t>
  </si>
  <si>
    <t>CUST0437</t>
  </si>
  <si>
    <t>Rahul Kulkarni</t>
  </si>
  <si>
    <t>2023-12-14</t>
  </si>
  <si>
    <t>ORD01045</t>
  </si>
  <si>
    <t>ORD01046</t>
  </si>
  <si>
    <t>ORD01047</t>
  </si>
  <si>
    <t>CUST0270</t>
  </si>
  <si>
    <t>ORD01048</t>
  </si>
  <si>
    <t>CUST0590</t>
  </si>
  <si>
    <t>ORD01049</t>
  </si>
  <si>
    <t>ORD01050</t>
  </si>
  <si>
    <t>CUST0429</t>
  </si>
  <si>
    <t>Pooja Mishra</t>
  </si>
  <si>
    <t>2023-01-22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</si>
  <si>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</si>
  <si>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</si>
  <si>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</si>
  <si>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</si>
  <si>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</si>
  <si>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</si>
  <si>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</si>
  <si>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</si>
  <si>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CUST0532</t>
  </si>
  <si>
    <t>Kavya Khan</t>
  </si>
  <si>
    <t>ORD01059</t>
  </si>
  <si>
    <t>ORD01060</t>
  </si>
  <si>
    <t>ORD01061</t>
  </si>
  <si>
    <t>CUST0411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</si>
  <si>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</si>
  <si>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</si>
  <si>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</si>
  <si>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</si>
  <si>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</si>
  <si>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</si>
  <si>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</si>
  <si>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</si>
  <si>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</si>
  <si>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CUST0017</t>
  </si>
  <si>
    <t>Varun Rao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</si>
  <si>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</si>
  <si>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</si>
  <si>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</si>
  <si>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</si>
  <si>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</si>
  <si>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</si>
  <si>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</si>
  <si>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</si>
  <si>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</si>
  <si>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CUST0197</t>
  </si>
  <si>
    <t>Varun Sharma</t>
  </si>
  <si>
    <t>2025-06-08</t>
  </si>
  <si>
    <t>ORD01080</t>
  </si>
  <si>
    <t>ORD01081</t>
  </si>
  <si>
    <t>CUST0347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</si>
  <si>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</si>
  <si>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</si>
  <si>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</si>
  <si>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</si>
  <si>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</si>
  <si>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</si>
  <si>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</si>
  <si>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</si>
  <si>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</si>
  <si>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</si>
  <si>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</si>
  <si>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</si>
  <si>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</si>
  <si>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</si>
  <si>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</si>
  <si>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</si>
  <si>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</si>
  <si>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</si>
  <si>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</si>
  <si>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</si>
  <si>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</si>
  <si>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</si>
  <si>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</si>
  <si>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</si>
  <si>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</si>
  <si>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</si>
  <si>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</si>
  <si>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</si>
  <si>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</si>
  <si>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</si>
  <si>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</si>
  <si>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</si>
  <si>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CUST0236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</si>
  <si>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</si>
  <si>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</si>
  <si>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</si>
  <si>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</si>
  <si>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</si>
  <si>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</si>
  <si>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</si>
  <si>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</si>
  <si>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</si>
  <si>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CUST0472</t>
  </si>
  <si>
    <t>Kavya Gupta</t>
  </si>
  <si>
    <t>2025-07-26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</si>
  <si>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</si>
  <si>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</si>
  <si>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</si>
  <si>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</si>
  <si>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</si>
  <si>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</si>
  <si>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</si>
  <si>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</si>
  <si>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</si>
  <si>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</si>
  <si>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</si>
  <si>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</si>
  <si>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</si>
  <si>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</si>
  <si>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</si>
  <si>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</si>
  <si>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CUST0435</t>
  </si>
  <si>
    <t>2025-04-17</t>
  </si>
  <si>
    <t>ORD01139</t>
  </si>
  <si>
    <t>ORD01140</t>
  </si>
  <si>
    <t>ORD01141</t>
  </si>
  <si>
    <t>ORD01142</t>
  </si>
  <si>
    <t>ORD01143</t>
  </si>
  <si>
    <t>ORD01144</t>
  </si>
  <si>
    <t>ORD01145</t>
  </si>
  <si>
    <t>CUST0416</t>
  </si>
  <si>
    <t>2025-09-16</t>
  </si>
  <si>
    <t>ORD01147</t>
  </si>
  <si>
    <t>ORD01148</t>
  </si>
  <si>
    <t>CUST0593</t>
  </si>
  <si>
    <t>2023-11-05</t>
  </si>
  <si>
    <t>ORD01149</t>
  </si>
  <si>
    <t>CUST0539</t>
  </si>
  <si>
    <t>Diya Chopra</t>
  </si>
  <si>
    <t>2024-02-04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</si>
  <si>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</si>
  <si>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</si>
  <si>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</si>
  <si>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</si>
  <si>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</si>
  <si>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</si>
  <si>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</si>
  <si>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</si>
  <si>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</si>
  <si>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</si>
  <si>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</si>
  <si>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</si>
  <si>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</si>
  <si>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</si>
  <si>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</si>
  <si>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</si>
  <si>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</si>
  <si>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</si>
  <si>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</si>
  <si>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</si>
  <si>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</si>
  <si>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</si>
  <si>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</si>
  <si>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</si>
  <si>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</si>
  <si>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CUST0530</t>
  </si>
  <si>
    <t>2023-03-04</t>
  </si>
  <si>
    <t>ORD01175</t>
  </si>
  <si>
    <t>ORD01176</t>
  </si>
  <si>
    <t>ORD01177</t>
  </si>
  <si>
    <t>ORD01178</t>
  </si>
  <si>
    <t>ORD01179</t>
  </si>
  <si>
    <t>ORD01180</t>
  </si>
  <si>
    <t>CUST0211</t>
  </si>
  <si>
    <t>ORD01181</t>
  </si>
  <si>
    <t>ORD01182</t>
  </si>
  <si>
    <t>ORD01183</t>
  </si>
  <si>
    <t>ORD01184</t>
  </si>
  <si>
    <t>CUST0271</t>
  </si>
  <si>
    <t>Rohan Mehta</t>
  </si>
  <si>
    <t>2025-01-13</t>
  </si>
  <si>
    <t>ORD01185</t>
  </si>
  <si>
    <t>ORD01186</t>
  </si>
  <si>
    <t>ORD01187</t>
  </si>
  <si>
    <t>CUST0221</t>
  </si>
  <si>
    <t>Divya Pillai</t>
  </si>
  <si>
    <t>ORD01188</t>
  </si>
  <si>
    <t>ORD01189</t>
  </si>
  <si>
    <t>ORD01190</t>
  </si>
  <si>
    <t>CUST0254</t>
  </si>
  <si>
    <t>2025-05-30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</si>
  <si>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</si>
  <si>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</si>
  <si>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</si>
  <si>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</si>
  <si>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</si>
  <si>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</si>
  <si>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</si>
  <si>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</si>
  <si>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</si>
  <si>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</si>
  <si>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CUST0507</t>
  </si>
  <si>
    <t>2023-05-03</t>
  </si>
  <si>
    <t>ORD01201</t>
  </si>
  <si>
    <t>ORD01202</t>
  </si>
  <si>
    <t>ORD01203</t>
  </si>
  <si>
    <t>CUST0421</t>
  </si>
  <si>
    <t>2024-05-14</t>
  </si>
  <si>
    <t>ORD01204</t>
  </si>
  <si>
    <t>ORD01205</t>
  </si>
  <si>
    <t>ORD01206</t>
  </si>
  <si>
    <t>ORD01207</t>
  </si>
  <si>
    <t>ORD01208</t>
  </si>
  <si>
    <t>CUST0461</t>
  </si>
  <si>
    <t>ORD01209</t>
  </si>
  <si>
    <t>ORD01210</t>
  </si>
  <si>
    <t>ORD01211</t>
  </si>
  <si>
    <t>CUST0038</t>
  </si>
  <si>
    <t>2024-06-22</t>
  </si>
  <si>
    <t>ORD01212</t>
  </si>
  <si>
    <t>ORD01213</t>
  </si>
  <si>
    <t>ORD01214</t>
  </si>
  <si>
    <t>ORD01215</t>
  </si>
  <si>
    <t>CUST0595</t>
  </si>
  <si>
    <t>Nisha Menon</t>
  </si>
  <si>
    <t>ORD01216</t>
  </si>
  <si>
    <t>ORD01217</t>
  </si>
  <si>
    <t>CUST0568</t>
  </si>
  <si>
    <t>2023-02-19</t>
  </si>
  <si>
    <t>ORD01218</t>
  </si>
  <si>
    <t>ORD01219</t>
  </si>
  <si>
    <t>CUST0562</t>
  </si>
  <si>
    <t>Shreya Das</t>
  </si>
  <si>
    <t>2024-05-03</t>
  </si>
  <si>
    <t>ORD01220</t>
  </si>
  <si>
    <t>ORD01221</t>
  </si>
  <si>
    <t>CUST0148</t>
  </si>
  <si>
    <t>Sanjay Mishra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</si>
  <si>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</si>
  <si>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</si>
  <si>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</si>
  <si>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</si>
  <si>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</si>
  <si>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</si>
  <si>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</si>
  <si>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</si>
  <si>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</si>
  <si>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</si>
  <si>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</si>
  <si>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</si>
  <si>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</si>
  <si>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</si>
  <si>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</si>
  <si>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</si>
  <si>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</si>
  <si>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</si>
  <si>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</si>
  <si>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</si>
  <si>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</si>
  <si>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</si>
  <si>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</si>
  <si>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</si>
  <si>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</si>
  <si>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</si>
  <si>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</si>
  <si>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</si>
  <si>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</si>
  <si>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</si>
  <si>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CUST0041</t>
  </si>
  <si>
    <t>Priya Iyer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</si>
  <si>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</si>
  <si>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</si>
  <si>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</si>
  <si>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</si>
  <si>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</si>
  <si>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</si>
  <si>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</si>
  <si>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</si>
  <si>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</si>
  <si>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</si>
  <si>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</si>
  <si>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</si>
  <si>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</si>
  <si>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</si>
  <si>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</si>
  <si>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</si>
  <si>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</si>
  <si>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</si>
  <si>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</si>
  <si>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</si>
  <si>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</si>
  <si>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</si>
  <si>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</si>
  <si>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</si>
  <si>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</si>
  <si>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</si>
  <si>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</si>
  <si>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</si>
  <si>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</si>
  <si>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</si>
  <si>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</si>
  <si>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</si>
  <si>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</si>
  <si>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</si>
  <si>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</si>
  <si>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</si>
  <si>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</si>
  <si>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</si>
  <si>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</si>
  <si>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</si>
  <si>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</si>
  <si>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</si>
  <si>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</si>
  <si>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</si>
  <si>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</si>
  <si>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</si>
  <si>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CUST0584</t>
  </si>
  <si>
    <t>2025-11-24</t>
  </si>
  <si>
    <t>ORD01298</t>
  </si>
  <si>
    <t>ORD01299</t>
  </si>
  <si>
    <t>ORD01300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</si>
  <si>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</si>
  <si>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</si>
  <si>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</si>
  <si>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</si>
  <si>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</si>
  <si>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</si>
  <si>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</si>
  <si>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</si>
  <si>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</si>
  <si>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</si>
  <si>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</si>
  <si>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</si>
  <si>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</si>
  <si>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</si>
  <si>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</si>
  <si>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</si>
  <si>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</si>
  <si>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</si>
  <si>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</si>
  <si>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</si>
  <si>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CUST0235</t>
  </si>
  <si>
    <t>Harini Gupta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</si>
  <si>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</si>
  <si>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</si>
  <si>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</si>
  <si>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</si>
  <si>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</si>
  <si>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</si>
  <si>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</si>
  <si>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</si>
  <si>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</si>
  <si>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</si>
  <si>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</si>
  <si>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</si>
  <si>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</si>
  <si>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</si>
  <si>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</si>
  <si>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</si>
  <si>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</si>
  <si>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</si>
  <si>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</si>
  <si>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</si>
  <si>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</si>
  <si>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</si>
  <si>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</si>
  <si>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</si>
  <si>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</si>
  <si>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</si>
  <si>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</si>
  <si>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</si>
  <si>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</si>
  <si>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CUST0546</t>
  </si>
  <si>
    <t>2025-12-29</t>
  </si>
  <si>
    <t>ORD01351</t>
  </si>
  <si>
    <t>ORD01352</t>
  </si>
  <si>
    <t>CUST0346</t>
  </si>
  <si>
    <t>ORD01353</t>
  </si>
  <si>
    <t>ORD01354</t>
  </si>
  <si>
    <t>CUST0422</t>
  </si>
  <si>
    <t>Meera Nair</t>
  </si>
  <si>
    <t>2025-02-08</t>
  </si>
  <si>
    <t>ORD01355</t>
  </si>
  <si>
    <t>ORD01356</t>
  </si>
  <si>
    <t>CUST0339</t>
  </si>
  <si>
    <t>2023-04-03</t>
  </si>
  <si>
    <t>ORD01357</t>
  </si>
  <si>
    <t>CUST0495</t>
  </si>
  <si>
    <t>2025-10-03</t>
  </si>
  <si>
    <t>ORD01358</t>
  </si>
  <si>
    <t>CUST0069</t>
  </si>
  <si>
    <t>2023-07-22</t>
  </si>
  <si>
    <t>ORD01359</t>
  </si>
  <si>
    <t>ORD01360</t>
  </si>
  <si>
    <t>ORD01361</t>
  </si>
  <si>
    <t>ORD01362</t>
  </si>
  <si>
    <t>CUST0580</t>
  </si>
  <si>
    <t>2023-10-12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</si>
  <si>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</si>
  <si>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</si>
  <si>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</si>
  <si>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</si>
  <si>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</si>
  <si>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</si>
  <si>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</si>
  <si>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</si>
  <si>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</si>
  <si>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</si>
  <si>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</si>
  <si>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</si>
  <si>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</si>
  <si>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</si>
  <si>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</si>
  <si>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</si>
  <si>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</si>
  <si>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</si>
  <si>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</si>
  <si>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</si>
  <si>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</si>
  <si>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</si>
  <si>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</si>
  <si>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</si>
  <si>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</si>
  <si>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</si>
  <si>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</si>
  <si>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</si>
  <si>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CUST0344</t>
  </si>
  <si>
    <t>2023-09-29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</si>
  <si>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</si>
  <si>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</si>
  <si>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</si>
  <si>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</si>
  <si>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</si>
  <si>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</si>
  <si>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</si>
  <si>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</si>
  <si>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</si>
  <si>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</si>
  <si>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</si>
  <si>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</si>
  <si>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</si>
  <si>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</si>
  <si>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</si>
  <si>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CUST0044</t>
  </si>
  <si>
    <t>2025-07-18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</si>
  <si>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</si>
  <si>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</si>
  <si>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</si>
  <si>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</si>
  <si>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</si>
  <si>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</si>
  <si>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</si>
  <si>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</si>
  <si>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</si>
  <si>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</si>
  <si>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</si>
  <si>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</si>
  <si>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</si>
  <si>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</si>
  <si>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</si>
  <si>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</si>
  <si>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</si>
  <si>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CUST0574</t>
  </si>
  <si>
    <t>2025-11-01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</si>
  <si>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</si>
  <si>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</si>
  <si>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</si>
  <si>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</si>
  <si>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</si>
  <si>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</si>
  <si>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</si>
  <si>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</si>
  <si>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</si>
  <si>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</si>
  <si>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</si>
  <si>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</si>
  <si>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</si>
  <si>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</si>
  <si>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</si>
  <si>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</si>
  <si>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</si>
  <si>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</si>
  <si>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</si>
  <si>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</si>
  <si>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</si>
  <si>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</si>
  <si>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</si>
  <si>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</si>
  <si>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</si>
  <si>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</si>
  <si>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</si>
  <si>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</si>
  <si>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</si>
  <si>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</si>
  <si>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</si>
  <si>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</si>
  <si>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</si>
  <si>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</si>
  <si>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</si>
  <si>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</si>
  <si>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</si>
  <si>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</si>
  <si>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</si>
  <si>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</si>
  <si>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CUST0109</t>
  </si>
  <si>
    <t>2023-01-04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</si>
  <si>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</si>
  <si>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</si>
  <si>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</si>
  <si>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</si>
  <si>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</si>
  <si>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</si>
  <si>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</si>
  <si>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</si>
  <si>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</si>
  <si>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</si>
  <si>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</si>
  <si>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</si>
  <si>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</si>
  <si>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CUST0060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</si>
  <si>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</si>
  <si>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</si>
  <si>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</si>
  <si>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</si>
  <si>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</si>
  <si>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</si>
  <si>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</si>
  <si>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</si>
  <si>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</si>
  <si>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</si>
  <si>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</si>
  <si>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</si>
  <si>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</si>
  <si>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</si>
  <si>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</si>
  <si>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</si>
  <si>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</si>
  <si>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</si>
  <si>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</si>
  <si>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</si>
  <si>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</si>
  <si>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</si>
  <si>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CUST0575</t>
  </si>
  <si>
    <t>2024-06-13</t>
  </si>
  <si>
    <t>ORD01498</t>
  </si>
  <si>
    <t>ORD01499</t>
  </si>
  <si>
    <t>CUST0591</t>
  </si>
  <si>
    <t>2026-01-02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</si>
  <si>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</si>
  <si>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</si>
  <si>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</si>
  <si>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</si>
  <si>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</si>
  <si>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</si>
  <si>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</si>
  <si>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</si>
  <si>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</si>
  <si>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</si>
  <si>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</si>
  <si>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CUST0296</t>
  </si>
  <si>
    <t>Arjun Naidu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</si>
  <si>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</si>
  <si>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</si>
  <si>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</si>
  <si>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</si>
  <si>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</si>
  <si>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</si>
  <si>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</si>
  <si>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</si>
  <si>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</si>
  <si>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</si>
  <si>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</si>
  <si>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</si>
  <si>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</si>
  <si>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</si>
  <si>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CUST0042</t>
  </si>
  <si>
    <t>Vikram Khan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</si>
  <si>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</si>
  <si>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</si>
  <si>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</si>
  <si>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</si>
  <si>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</si>
  <si>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</si>
  <si>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</si>
  <si>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</si>
  <si>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</si>
  <si>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</si>
  <si>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CUST0005</t>
  </si>
  <si>
    <t>2024-11-06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</si>
  <si>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</si>
  <si>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</si>
  <si>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</si>
  <si>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</si>
  <si>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</si>
  <si>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</si>
  <si>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</si>
  <si>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</si>
  <si>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</si>
  <si>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</si>
  <si>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</si>
  <si>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</si>
  <si>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</si>
  <si>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</si>
  <si>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</si>
  <si>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</si>
  <si>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</si>
  <si>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</si>
  <si>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</si>
  <si>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</si>
  <si>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</si>
  <si>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</si>
  <si>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</si>
  <si>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</si>
  <si>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</si>
  <si>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</si>
  <si>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</si>
  <si>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</si>
  <si>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</si>
  <si>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</si>
  <si>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</si>
  <si>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</si>
  <si>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CUST0469</t>
  </si>
  <si>
    <t>2025-06-06</t>
  </si>
  <si>
    <t>ORD01567</t>
  </si>
  <si>
    <t>ORD01568</t>
  </si>
  <si>
    <t>ORD01569</t>
  </si>
  <si>
    <t>ORD01570</t>
  </si>
  <si>
    <t>CUST0053</t>
  </si>
  <si>
    <t>ORD01571</t>
  </si>
  <si>
    <t>ORD01572</t>
  </si>
  <si>
    <t>ORD01573</t>
  </si>
  <si>
    <t>CUST0320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</si>
  <si>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</si>
  <si>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</si>
  <si>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</si>
  <si>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</si>
  <si>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</si>
  <si>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</si>
  <si>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</si>
  <si>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</si>
  <si>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</si>
  <si>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</si>
  <si>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</si>
  <si>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</si>
  <si>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</si>
  <si>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</si>
  <si>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</si>
  <si>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</si>
  <si>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</si>
  <si>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</si>
  <si>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</si>
  <si>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</si>
  <si>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</si>
  <si>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CUST0434</t>
  </si>
  <si>
    <t>2023-06-30</t>
  </si>
  <si>
    <t>ORD01595</t>
  </si>
  <si>
    <t>ORD01596</t>
  </si>
  <si>
    <t>ORD01597</t>
  </si>
  <si>
    <t>ORD01598</t>
  </si>
  <si>
    <t>ORD01599</t>
  </si>
  <si>
    <t>ORD01600</t>
  </si>
  <si>
    <t>ORD01602</t>
  </si>
  <si>
    <t>ORD01603</t>
  </si>
  <si>
    <t>CUST0323</t>
  </si>
  <si>
    <t>2023-04-08</t>
  </si>
  <si>
    <t>ORD01604</t>
  </si>
  <si>
    <t>ORD01605</t>
  </si>
  <si>
    <t>CUST0006</t>
  </si>
  <si>
    <t>Sneha Joshi</t>
  </si>
  <si>
    <t>2025-06-29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</si>
  <si>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</si>
  <si>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</si>
  <si>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</si>
  <si>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</si>
  <si>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</si>
  <si>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</si>
  <si>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</si>
  <si>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</si>
  <si>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CUST0047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</si>
  <si>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</si>
  <si>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</si>
  <si>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</si>
  <si>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</si>
  <si>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</si>
  <si>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</si>
  <si>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</si>
  <si>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</si>
  <si>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</si>
  <si>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</si>
  <si>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</si>
  <si>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</si>
  <si>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CUST0317</t>
  </si>
  <si>
    <t>2025-05-20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</si>
  <si>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</si>
  <si>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</si>
  <si>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</si>
  <si>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</si>
  <si>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</si>
  <si>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</si>
  <si>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</si>
  <si>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</si>
  <si>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</si>
  <si>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</si>
  <si>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</si>
  <si>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</si>
  <si>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</si>
  <si>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</si>
  <si>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</si>
  <si>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CUST0567</t>
  </si>
  <si>
    <t>Ananya Chopra</t>
  </si>
  <si>
    <t>2025-09-20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</si>
  <si>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</si>
  <si>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</si>
  <si>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</si>
  <si>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</si>
  <si>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</si>
  <si>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</si>
  <si>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</si>
  <si>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</si>
  <si>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</si>
  <si>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</si>
  <si>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</si>
  <si>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</si>
  <si>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</si>
  <si>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</si>
  <si>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</si>
  <si>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</si>
  <si>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</si>
  <si>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</si>
  <si>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</si>
  <si>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CUST0072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</si>
  <si>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</si>
  <si>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</si>
  <si>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</si>
  <si>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</si>
  <si>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</si>
  <si>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</si>
  <si>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</si>
  <si>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</si>
  <si>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</si>
  <si>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</si>
  <si>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</si>
  <si>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</si>
  <si>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</si>
  <si>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</si>
  <si>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</si>
  <si>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</si>
  <si>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</si>
  <si>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</si>
  <si>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</si>
  <si>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</si>
  <si>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</si>
  <si>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</si>
  <si>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</si>
  <si>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</si>
  <si>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</si>
  <si>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</si>
  <si>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</si>
  <si>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</si>
  <si>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</si>
  <si>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</si>
  <si>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</si>
  <si>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</si>
  <si>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</si>
  <si>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</si>
  <si>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</si>
  <si>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</si>
  <si>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</si>
  <si>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</si>
  <si>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</si>
  <si>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</si>
  <si>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</si>
  <si>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</si>
  <si>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</si>
  <si>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CUST0578</t>
  </si>
  <si>
    <t>2023-03-03</t>
  </si>
  <si>
    <t>ORD01703</t>
  </si>
  <si>
    <t>ORD01704</t>
  </si>
  <si>
    <t>ORD01705</t>
  </si>
  <si>
    <t>ORD01706</t>
  </si>
  <si>
    <t>ORD01707</t>
  </si>
  <si>
    <t>ORD01708</t>
  </si>
  <si>
    <t>ORD01709</t>
  </si>
  <si>
    <t>CUST0002</t>
  </si>
  <si>
    <t>Varun Reddy</t>
  </si>
  <si>
    <t>2025-01-21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</si>
  <si>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</si>
  <si>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</si>
  <si>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</si>
  <si>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</si>
  <si>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</si>
  <si>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</si>
  <si>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</si>
  <si>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</si>
  <si>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</si>
  <si>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</si>
  <si>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CUST0365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</si>
  <si>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</si>
  <si>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</si>
  <si>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</si>
  <si>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</si>
  <si>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</si>
  <si>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</si>
  <si>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</si>
  <si>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</si>
  <si>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</si>
  <si>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</si>
  <si>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</si>
  <si>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</si>
  <si>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</si>
  <si>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</si>
  <si>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</si>
  <si>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</si>
  <si>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</si>
  <si>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</si>
  <si>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</si>
  <si>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</si>
  <si>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CUST0453</t>
  </si>
  <si>
    <t>2023-06-23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</si>
  <si>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</si>
  <si>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</si>
  <si>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</si>
  <si>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</si>
  <si>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</si>
  <si>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</si>
  <si>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</si>
  <si>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</si>
  <si>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</si>
  <si>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</si>
  <si>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</si>
  <si>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</si>
  <si>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</si>
  <si>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</si>
  <si>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</si>
  <si>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</si>
  <si>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</si>
  <si>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</si>
  <si>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CUST0172</t>
  </si>
  <si>
    <t>2025-02-26</t>
  </si>
  <si>
    <t>ORD01758</t>
  </si>
  <si>
    <t>ORD01759</t>
  </si>
  <si>
    <t>ORD01760</t>
  </si>
  <si>
    <t>CUST0049</t>
  </si>
  <si>
    <t>Lakshmi Kulkarni</t>
  </si>
  <si>
    <t>2023-01-08</t>
  </si>
  <si>
    <t>ORD01761</t>
  </si>
  <si>
    <t>ORD01762</t>
  </si>
  <si>
    <t>ORD01763</t>
  </si>
  <si>
    <t>ORD01764</t>
  </si>
  <si>
    <t>ORD01765</t>
  </si>
  <si>
    <t>ORD01766</t>
  </si>
  <si>
    <t>ORD01767</t>
  </si>
  <si>
    <t>CUST0122</t>
  </si>
  <si>
    <t>Pooja Pillai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</si>
  <si>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</si>
  <si>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</si>
  <si>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</si>
  <si>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</si>
  <si>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</si>
  <si>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</si>
  <si>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</si>
  <si>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</si>
  <si>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</si>
  <si>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</si>
  <si>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</si>
  <si>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CUST0373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</si>
  <si>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</si>
  <si>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</si>
  <si>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</si>
  <si>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</si>
  <si>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</si>
  <si>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</si>
  <si>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</si>
  <si>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</si>
  <si>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CUST0322</t>
  </si>
  <si>
    <t>Ananya Joshi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</si>
  <si>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</si>
  <si>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</si>
  <si>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</si>
  <si>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</si>
  <si>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</si>
  <si>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</si>
  <si>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</si>
  <si>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</si>
  <si>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</si>
  <si>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</si>
  <si>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</si>
  <si>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</si>
  <si>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</si>
  <si>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</si>
  <si>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</si>
  <si>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</si>
  <si>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</si>
  <si>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</si>
  <si>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</si>
  <si>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</si>
  <si>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</si>
  <si>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</si>
  <si>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</si>
  <si>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</si>
  <si>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</si>
  <si>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</si>
  <si>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CUST0082</t>
  </si>
  <si>
    <t>2024-05-04</t>
  </si>
  <si>
    <t>ORD01813</t>
  </si>
  <si>
    <t>ORD01814</t>
  </si>
  <si>
    <t>ORD01815</t>
  </si>
  <si>
    <t>ORD01816</t>
  </si>
  <si>
    <t>ORD01817</t>
  </si>
  <si>
    <t>CUST0185</t>
  </si>
  <si>
    <t>2025-01-12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</si>
  <si>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</si>
  <si>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</si>
  <si>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</si>
  <si>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</si>
  <si>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</si>
  <si>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</si>
  <si>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</si>
  <si>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</si>
  <si>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</si>
  <si>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</si>
  <si>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</si>
  <si>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</si>
  <si>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</si>
  <si>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</si>
  <si>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</si>
  <si>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</si>
  <si>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</si>
  <si>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CUST0239</t>
  </si>
  <si>
    <t>Lakshmi Singh</t>
  </si>
  <si>
    <t>ORD01835</t>
  </si>
  <si>
    <t>ORD01836</t>
  </si>
  <si>
    <t>ORD01837</t>
  </si>
  <si>
    <t>ORD01838</t>
  </si>
  <si>
    <t>ORD01839</t>
  </si>
  <si>
    <t>ORD01840</t>
  </si>
  <si>
    <t>CUST0266</t>
  </si>
  <si>
    <t>2023-08-25</t>
  </si>
  <si>
    <t>ORD01841</t>
  </si>
  <si>
    <t>ORD01842</t>
  </si>
  <si>
    <t>ORD01843</t>
  </si>
  <si>
    <t>ORD01844</t>
  </si>
  <si>
    <t>ORD01845</t>
  </si>
  <si>
    <t>ORD01846</t>
  </si>
  <si>
    <t>CUST0008</t>
  </si>
  <si>
    <t>Vikram Menon</t>
  </si>
  <si>
    <t>2023-06-25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</si>
  <si>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</si>
  <si>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</si>
  <si>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</si>
  <si>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</si>
  <si>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</si>
  <si>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</si>
  <si>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</si>
  <si>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</si>
  <si>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</si>
  <si>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</si>
  <si>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</si>
  <si>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</si>
  <si>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</si>
  <si>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</si>
  <si>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</si>
  <si>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</si>
  <si>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</si>
  <si>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</si>
  <si>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</si>
  <si>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</si>
  <si>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CUST0129</t>
  </si>
  <si>
    <t>Varun Patel</t>
  </si>
  <si>
    <t>2024-08-22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</si>
  <si>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</si>
  <si>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</si>
  <si>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</si>
  <si>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</si>
  <si>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</si>
  <si>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</si>
  <si>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</si>
  <si>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</si>
  <si>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</si>
  <si>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</si>
  <si>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</si>
  <si>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</si>
  <si>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</si>
  <si>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</si>
  <si>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</si>
  <si>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</si>
  <si>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</si>
  <si>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</si>
  <si>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</si>
  <si>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</si>
  <si>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</si>
  <si>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</si>
  <si>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</si>
  <si>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</si>
  <si>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</si>
  <si>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</si>
  <si>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</si>
  <si>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</si>
  <si>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</si>
  <si>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</si>
  <si>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CUST0138</t>
  </si>
  <si>
    <t>ORD01897</t>
  </si>
  <si>
    <t>ORD01898</t>
  </si>
  <si>
    <t>ORD01899</t>
  </si>
  <si>
    <t>ORD01900</t>
  </si>
  <si>
    <t>ORD01902</t>
  </si>
  <si>
    <t>ORD01903</t>
  </si>
  <si>
    <t>ORD01904</t>
  </si>
  <si>
    <t>ORD01905</t>
  </si>
  <si>
    <t>ORD01906</t>
  </si>
  <si>
    <t>CUST0430</t>
  </si>
  <si>
    <t>Akash Mishra</t>
  </si>
  <si>
    <t>ORD01907</t>
  </si>
  <si>
    <t>ORD01908</t>
  </si>
  <si>
    <t>ORD01909</t>
  </si>
  <si>
    <t>ORD01910</t>
  </si>
  <si>
    <t>ORD01911</t>
  </si>
  <si>
    <t>ORD01912</t>
  </si>
  <si>
    <t>ORD01913</t>
  </si>
  <si>
    <t>CUST0124</t>
  </si>
  <si>
    <t>Vikram Das</t>
  </si>
  <si>
    <t>2024-07-21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</si>
  <si>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</si>
  <si>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</si>
  <si>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</si>
  <si>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</si>
  <si>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</si>
  <si>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</si>
  <si>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</si>
  <si>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</si>
  <si>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</si>
  <si>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</si>
  <si>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</si>
  <si>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CUST0032</t>
  </si>
  <si>
    <t>Pooja Nair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</si>
  <si>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</si>
  <si>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</si>
  <si>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</si>
  <si>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</si>
  <si>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</si>
  <si>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</si>
  <si>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</si>
  <si>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</si>
  <si>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</si>
  <si>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</si>
  <si>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</si>
  <si>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</si>
  <si>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</si>
  <si>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</si>
  <si>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</si>
  <si>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</si>
  <si>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</si>
  <si>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</si>
  <si>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</si>
  <si>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</si>
  <si>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</si>
  <si>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</si>
  <si>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</si>
  <si>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</si>
  <si>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</si>
  <si>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</si>
  <si>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</si>
  <si>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</si>
  <si>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</si>
  <si>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</si>
  <si>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</si>
  <si>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</si>
  <si>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</si>
  <si>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</si>
  <si>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</si>
  <si>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</si>
  <si>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</si>
  <si>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</si>
  <si>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</si>
  <si>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</si>
  <si>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</si>
  <si>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</si>
  <si>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</si>
  <si>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</si>
  <si>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</si>
  <si>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</si>
  <si>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</si>
  <si>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</si>
  <si>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</si>
  <si>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</si>
  <si>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</si>
  <si>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</si>
  <si>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</si>
  <si>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CUST0403</t>
  </si>
  <si>
    <t>2025-11-22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</si>
  <si>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</si>
  <si>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</si>
  <si>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</si>
  <si>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</si>
  <si>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</si>
  <si>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</si>
  <si>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</si>
  <si>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</si>
  <si>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</si>
  <si>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</si>
  <si>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</si>
  <si>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</si>
  <si>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</si>
  <si>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</si>
  <si>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</si>
  <si>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</si>
  <si>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</si>
  <si>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</si>
  <si>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</si>
  <si>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</si>
  <si>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</si>
  <si>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</si>
  <si>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</si>
  <si>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</si>
  <si>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</si>
  <si>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</si>
  <si>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</si>
  <si>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</si>
  <si>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</si>
  <si>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</si>
  <si>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</si>
  <si>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</si>
  <si>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</si>
  <si>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</si>
  <si>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</si>
  <si>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</si>
  <si>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</si>
  <si>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</si>
  <si>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</si>
  <si>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</si>
  <si>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</si>
  <si>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</si>
  <si>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</si>
  <si>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</si>
  <si>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</si>
  <si>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</si>
  <si>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</si>
  <si>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</si>
  <si>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</si>
  <si>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</si>
  <si>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</si>
  <si>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</si>
  <si>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</si>
  <si>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</si>
  <si>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</si>
  <si>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</si>
  <si>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CUST0112</t>
  </si>
  <si>
    <t>2025-03-04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</si>
  <si>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</si>
  <si>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</si>
  <si>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</si>
  <si>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</si>
  <si>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</si>
  <si>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</si>
  <si>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</si>
  <si>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</si>
  <si>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</si>
  <si>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</si>
  <si>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</si>
  <si>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</si>
  <si>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</si>
  <si>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</si>
  <si>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</si>
  <si>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</si>
  <si>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</si>
  <si>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</si>
  <si>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</si>
  <si>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</si>
  <si>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</si>
  <si>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CUST0549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</si>
  <si>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</si>
  <si>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</si>
  <si>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</si>
  <si>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</si>
  <si>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</si>
  <si>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</si>
  <si>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</si>
  <si>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</si>
  <si>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</si>
  <si>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</si>
  <si>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</si>
  <si>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</si>
  <si>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</si>
  <si>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</si>
  <si>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</si>
  <si>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</si>
  <si>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CUST0272</t>
  </si>
  <si>
    <t>2025-01-04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</si>
  <si>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</si>
  <si>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</si>
  <si>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</si>
  <si>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</si>
  <si>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</si>
  <si>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</si>
  <si>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</si>
  <si>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</si>
  <si>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</si>
  <si>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</si>
  <si>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</si>
  <si>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</si>
  <si>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</si>
  <si>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</si>
  <si>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</si>
  <si>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</si>
  <si>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</si>
  <si>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</si>
  <si>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</si>
  <si>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</si>
  <si>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</si>
  <si>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</si>
  <si>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</si>
  <si>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</si>
  <si>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</si>
  <si>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</si>
  <si>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</si>
  <si>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</si>
  <si>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</si>
  <si>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</si>
  <si>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CUST0454</t>
  </si>
  <si>
    <t>2024-02-07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</si>
  <si>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</si>
  <si>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</si>
  <si>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</si>
  <si>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</si>
  <si>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</si>
  <si>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</si>
  <si>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</si>
  <si>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</si>
  <si>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</si>
  <si>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</si>
  <si>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</si>
  <si>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</si>
  <si>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</si>
  <si>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</si>
  <si>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</si>
  <si>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</si>
  <si>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</si>
  <si>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</si>
  <si>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CUST0425</t>
  </si>
  <si>
    <t>Lakshmi Mishra</t>
  </si>
  <si>
    <t>2024-08-12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</si>
  <si>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</si>
  <si>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</si>
  <si>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</si>
  <si>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</si>
  <si>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</si>
  <si>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</si>
  <si>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</si>
  <si>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</si>
  <si>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</si>
  <si>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</si>
  <si>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</si>
  <si>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CUST0294</t>
  </si>
  <si>
    <t>2025-03-17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</si>
  <si>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</si>
  <si>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</si>
  <si>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</si>
  <si>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</si>
  <si>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</si>
  <si>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</si>
  <si>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</si>
  <si>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</si>
  <si>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</si>
  <si>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</si>
  <si>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</si>
  <si>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</si>
  <si>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</si>
  <si>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</si>
  <si>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</si>
  <si>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</si>
  <si>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</si>
  <si>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</si>
  <si>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</si>
  <si>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</si>
  <si>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</si>
  <si>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</si>
  <si>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</si>
  <si>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</si>
  <si>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</si>
  <si>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</si>
  <si>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</si>
  <si>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</si>
  <si>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</si>
  <si>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</si>
  <si>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</si>
  <si>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</si>
  <si>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</si>
  <si>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</si>
  <si>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</si>
  <si>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</si>
  <si>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</si>
  <si>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</si>
  <si>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</si>
  <si>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</si>
  <si>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</si>
  <si>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</si>
  <si>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</si>
  <si>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</si>
  <si>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</si>
  <si>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CUST0028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</si>
  <si>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</si>
  <si>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</si>
  <si>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</si>
  <si>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</si>
  <si>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</si>
  <si>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</si>
  <si>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</si>
  <si>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</si>
  <si>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</si>
  <si>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</si>
  <si>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</si>
  <si>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</si>
  <si>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</si>
  <si>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</si>
  <si>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</si>
  <si>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</si>
  <si>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</si>
  <si>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</si>
  <si>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</si>
  <si>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</si>
  <si>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</si>
  <si>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</si>
  <si>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</si>
  <si>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</si>
  <si>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</si>
  <si>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</si>
  <si>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</si>
  <si>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</si>
  <si>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</si>
  <si>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</si>
  <si>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</si>
  <si>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</si>
  <si>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</si>
  <si>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</si>
  <si>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</si>
  <si>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</si>
  <si>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</si>
  <si>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</si>
  <si>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</si>
  <si>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</si>
  <si>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</si>
  <si>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</si>
  <si>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</si>
  <si>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</si>
  <si>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CUST0371</t>
  </si>
  <si>
    <t>ORD02220</t>
  </si>
  <si>
    <t>CUST0139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</si>
  <si>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</si>
  <si>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</si>
  <si>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</si>
  <si>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</si>
  <si>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</si>
  <si>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</si>
  <si>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</si>
  <si>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</si>
  <si>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CUST0524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</si>
  <si>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</si>
  <si>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</si>
  <si>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</si>
  <si>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</si>
  <si>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</si>
  <si>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</si>
  <si>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</si>
  <si>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</si>
  <si>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</si>
  <si>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</si>
  <si>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</si>
  <si>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</si>
  <si>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</si>
  <si>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</si>
  <si>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</si>
  <si>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</si>
  <si>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</si>
  <si>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</si>
  <si>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</si>
  <si>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</si>
  <si>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</si>
  <si>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</si>
  <si>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</si>
  <si>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</si>
  <si>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</si>
  <si>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</si>
  <si>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</si>
  <si>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</si>
  <si>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</si>
  <si>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</si>
  <si>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</si>
  <si>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</si>
  <si>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</si>
  <si>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</si>
  <si>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CUST0551</t>
  </si>
  <si>
    <t>2025-08-09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</si>
  <si>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</si>
  <si>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</si>
  <si>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</si>
  <si>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</si>
  <si>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</si>
  <si>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</si>
  <si>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</si>
  <si>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</si>
  <si>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</si>
  <si>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</si>
  <si>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</si>
  <si>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</si>
  <si>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</si>
  <si>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</si>
  <si>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</si>
  <si>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</si>
  <si>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</si>
  <si>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</si>
  <si>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</si>
  <si>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</si>
  <si>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</si>
  <si>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</si>
  <si>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</si>
  <si>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</si>
  <si>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</si>
  <si>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CUST0517</t>
  </si>
  <si>
    <t>Diya Iyer</t>
  </si>
  <si>
    <t>ORD02288</t>
  </si>
  <si>
    <t>ORD02289</t>
  </si>
  <si>
    <t>CUST0356</t>
  </si>
  <si>
    <t>2023-08-04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</si>
  <si>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</si>
  <si>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</si>
  <si>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</si>
  <si>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</si>
  <si>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</si>
  <si>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</si>
  <si>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</si>
  <si>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</si>
  <si>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</si>
  <si>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</si>
  <si>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</si>
  <si>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</si>
  <si>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</si>
  <si>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</si>
  <si>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</si>
  <si>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</si>
  <si>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</si>
  <si>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</si>
  <si>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</si>
  <si>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CUST0480</t>
  </si>
  <si>
    <t>2023-12-24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</si>
  <si>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</si>
  <si>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</si>
  <si>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</si>
  <si>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</si>
  <si>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</si>
  <si>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</si>
  <si>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</si>
  <si>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</si>
  <si>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</si>
  <si>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</si>
  <si>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</si>
  <si>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</si>
  <si>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</si>
  <si>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</si>
  <si>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</si>
  <si>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</si>
  <si>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</si>
  <si>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</si>
  <si>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</si>
  <si>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</si>
  <si>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</si>
  <si>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</si>
  <si>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</si>
  <si>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</si>
  <si>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</si>
  <si>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</si>
  <si>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</si>
  <si>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</si>
  <si>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</si>
  <si>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</si>
  <si>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</si>
  <si>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</si>
  <si>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</si>
  <si>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CUST0140</t>
  </si>
  <si>
    <t>2024-04-14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</si>
  <si>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</si>
  <si>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</si>
  <si>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</si>
  <si>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</si>
  <si>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</si>
  <si>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</si>
  <si>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</si>
  <si>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</si>
  <si>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</si>
  <si>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</si>
  <si>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</si>
  <si>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</si>
  <si>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</si>
  <si>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</si>
  <si>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</si>
  <si>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</si>
  <si>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</si>
  <si>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</si>
  <si>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</si>
  <si>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</si>
  <si>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</si>
  <si>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</si>
  <si>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</si>
  <si>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</si>
  <si>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</si>
  <si>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</si>
  <si>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</si>
  <si>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</si>
  <si>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</si>
  <si>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</si>
  <si>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</si>
  <si>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</si>
  <si>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</si>
  <si>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</si>
  <si>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</si>
  <si>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</si>
  <si>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</si>
  <si>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</si>
  <si>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</si>
  <si>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</si>
  <si>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</si>
  <si>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</si>
  <si>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</si>
  <si>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</si>
  <si>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</si>
  <si>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</si>
  <si>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</si>
  <si>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</si>
  <si>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</si>
  <si>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</si>
  <si>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</si>
  <si>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</si>
  <si>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</si>
  <si>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</si>
  <si>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</si>
  <si>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CUST0261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</si>
  <si>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</si>
  <si>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</si>
  <si>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</si>
  <si>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</si>
  <si>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</si>
  <si>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</si>
  <si>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</si>
  <si>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</si>
  <si>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</si>
  <si>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</si>
  <si>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</si>
  <si>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</si>
  <si>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</si>
  <si>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</si>
  <si>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</si>
  <si>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</si>
  <si>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</si>
  <si>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</si>
  <si>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</si>
  <si>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</si>
  <si>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</si>
  <si>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</si>
  <si>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</si>
  <si>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</si>
  <si>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</si>
  <si>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</si>
  <si>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</si>
  <si>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</si>
  <si>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</si>
  <si>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</si>
  <si>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</si>
  <si>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</si>
  <si>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CUST0366</t>
  </si>
  <si>
    <t>2023-03-13</t>
  </si>
  <si>
    <t>ORD02429</t>
  </si>
  <si>
    <t>ORD02430</t>
  </si>
  <si>
    <t>ORD02431</t>
  </si>
  <si>
    <t>ORD02432</t>
  </si>
  <si>
    <t>CUST0237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</si>
  <si>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</si>
  <si>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</si>
  <si>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</si>
  <si>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</si>
  <si>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</si>
  <si>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</si>
  <si>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</si>
  <si>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</si>
  <si>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</si>
  <si>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</si>
  <si>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</si>
  <si>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</si>
  <si>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</si>
  <si>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</si>
  <si>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</si>
  <si>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</si>
  <si>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</si>
  <si>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</si>
  <si>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</si>
  <si>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</si>
  <si>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</si>
  <si>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CUST0367</t>
  </si>
  <si>
    <t>2025-10-09</t>
  </si>
  <si>
    <t>ORD02454</t>
  </si>
  <si>
    <t>ORD02455</t>
  </si>
  <si>
    <t>CUST0342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</si>
  <si>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</si>
  <si>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</si>
  <si>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</si>
  <si>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</si>
  <si>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</si>
  <si>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</si>
  <si>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</si>
  <si>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</si>
  <si>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</si>
  <si>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</si>
  <si>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</si>
  <si>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</si>
  <si>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</si>
  <si>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</si>
  <si>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</si>
  <si>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</si>
  <si>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</si>
  <si>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</si>
  <si>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</si>
  <si>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</si>
  <si>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</si>
  <si>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</si>
  <si>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</si>
  <si>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</si>
  <si>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</si>
  <si>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</si>
  <si>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</si>
  <si>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</si>
  <si>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</si>
  <si>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</si>
  <si>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</si>
  <si>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</si>
  <si>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</si>
  <si>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</si>
  <si>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</si>
  <si>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</si>
  <si>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CUST0191</t>
  </si>
  <si>
    <t>Nisha Verma</t>
  </si>
  <si>
    <t>2023-10-05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</si>
  <si>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</si>
  <si>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</si>
  <si>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</si>
  <si>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</si>
  <si>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</si>
  <si>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</si>
  <si>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</si>
  <si>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</si>
  <si>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</si>
  <si>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</si>
  <si>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</si>
  <si>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</si>
  <si>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</si>
  <si>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</si>
  <si>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</si>
  <si>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</si>
  <si>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</si>
  <si>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</si>
  <si>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</si>
  <si>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</si>
  <si>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</si>
  <si>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</si>
  <si>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</si>
  <si>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</si>
  <si>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</si>
  <si>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</si>
  <si>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</si>
  <si>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</si>
  <si>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</si>
  <si>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</si>
  <si>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</si>
  <si>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</si>
  <si>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</si>
  <si>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</si>
  <si>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</si>
  <si>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</si>
  <si>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</si>
  <si>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</si>
  <si>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</si>
  <si>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</si>
  <si>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</si>
  <si>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</si>
  <si>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</si>
  <si>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</si>
  <si>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</si>
  <si>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</si>
  <si>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</si>
  <si>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</si>
  <si>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</si>
  <si>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</si>
  <si>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</si>
  <si>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</si>
  <si>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</si>
  <si>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</si>
  <si>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</si>
  <si>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</si>
  <si>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</si>
  <si>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</si>
  <si>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</si>
  <si>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</si>
  <si>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</si>
  <si>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</si>
  <si>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</si>
  <si>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</si>
  <si>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</si>
  <si>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</si>
  <si>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</si>
  <si>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</si>
  <si>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</si>
  <si>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</si>
  <si>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</si>
  <si>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</si>
  <si>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</si>
  <si>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</si>
  <si>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</si>
  <si>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</si>
  <si>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</si>
  <si>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</si>
  <si>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</si>
  <si>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</si>
  <si>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</si>
  <si>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</si>
  <si>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</si>
  <si>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CUST0164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</si>
  <si>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</si>
  <si>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</si>
  <si>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</si>
  <si>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</si>
  <si>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</si>
  <si>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</si>
  <si>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</si>
  <si>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</si>
  <si>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</si>
  <si>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</si>
  <si>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</si>
  <si>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</si>
  <si>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</si>
  <si>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</si>
  <si>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</si>
  <si>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</si>
  <si>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</si>
  <si>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</si>
  <si>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</si>
  <si>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</si>
  <si>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</si>
  <si>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</si>
  <si>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</si>
  <si>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</si>
  <si>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</si>
  <si>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</si>
  <si>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</si>
  <si>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</si>
  <si>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</si>
  <si>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</si>
  <si>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</si>
  <si>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</si>
  <si>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</si>
  <si>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</si>
  <si>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</si>
  <si>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</si>
  <si>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</si>
  <si>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</si>
  <si>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</si>
  <si>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</si>
  <si>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</si>
  <si>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CUST0116</t>
  </si>
  <si>
    <t>2023-01-02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</si>
  <si>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</si>
  <si>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</si>
  <si>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</si>
  <si>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</si>
  <si>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</si>
  <si>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</si>
  <si>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</si>
  <si>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</si>
  <si>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</si>
  <si>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</si>
  <si>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</si>
  <si>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</si>
  <si>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</si>
  <si>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</si>
  <si>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</si>
  <si>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</si>
  <si>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</si>
  <si>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</si>
  <si>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</si>
  <si>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CUST0450</t>
  </si>
  <si>
    <t>Shreya Mishra</t>
  </si>
  <si>
    <t>2026-01-04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</si>
  <si>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</si>
  <si>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</si>
  <si>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</si>
  <si>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</si>
  <si>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</si>
  <si>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</si>
  <si>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</si>
  <si>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</si>
  <si>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</si>
  <si>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</si>
  <si>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</si>
  <si>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</si>
  <si>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</si>
  <si>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</si>
  <si>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</si>
  <si>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</si>
  <si>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CUST0512</t>
  </si>
  <si>
    <t>Aarav Verma</t>
  </si>
  <si>
    <t>2025-10-17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</si>
  <si>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</si>
  <si>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</si>
  <si>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</si>
  <si>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</si>
  <si>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</si>
  <si>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</si>
  <si>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</si>
  <si>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</si>
  <si>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</si>
  <si>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</si>
  <si>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</si>
  <si>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</si>
  <si>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</si>
  <si>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</si>
  <si>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</si>
  <si>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</si>
  <si>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</si>
  <si>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</si>
  <si>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</si>
  <si>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</si>
  <si>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</si>
  <si>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</si>
  <si>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</si>
  <si>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</si>
  <si>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</si>
  <si>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</si>
  <si>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</si>
  <si>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</si>
  <si>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</si>
  <si>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</si>
  <si>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</si>
  <si>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</si>
  <si>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</si>
  <si>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</si>
  <si>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</si>
  <si>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</si>
  <si>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</si>
  <si>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</si>
  <si>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</si>
  <si>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</si>
  <si>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</si>
  <si>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</si>
  <si>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</si>
  <si>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</si>
  <si>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</si>
  <si>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</si>
  <si>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</si>
  <si>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</si>
  <si>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</si>
  <si>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</si>
  <si>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</si>
  <si>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</si>
  <si>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</si>
  <si>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</si>
  <si>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</si>
  <si>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</si>
  <si>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</si>
  <si>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</si>
  <si>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</si>
  <si>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</si>
  <si>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</si>
  <si>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</si>
  <si>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</si>
  <si>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</si>
  <si>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</si>
  <si>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</si>
  <si>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</si>
  <si>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</si>
  <si>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</si>
  <si>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</si>
  <si>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</si>
  <si>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</si>
  <si>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</si>
  <si>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</si>
  <si>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</si>
  <si>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</si>
  <si>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</si>
  <si>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</si>
  <si>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</si>
  <si>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</si>
  <si>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</si>
  <si>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</si>
  <si>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</si>
  <si>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</si>
  <si>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</si>
  <si>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</si>
  <si>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</si>
  <si>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</si>
  <si>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</si>
  <si>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</si>
  <si>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</si>
  <si>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</si>
  <si>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</si>
  <si>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</si>
  <si>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</si>
  <si>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</si>
  <si>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CUST0247</t>
  </si>
  <si>
    <t>2023-01-30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</si>
  <si>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</si>
  <si>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</si>
  <si>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</si>
  <si>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</si>
  <si>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</si>
  <si>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</si>
  <si>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</si>
  <si>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</si>
  <si>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</si>
  <si>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</si>
  <si>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</si>
  <si>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</si>
  <si>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</si>
  <si>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</si>
  <si>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</si>
  <si>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</si>
  <si>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</si>
  <si>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</si>
  <si>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</si>
  <si>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</si>
  <si>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</si>
  <si>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</si>
  <si>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</si>
  <si>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</si>
  <si>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</si>
  <si>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</si>
  <si>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</si>
  <si>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</si>
  <si>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</si>
  <si>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</si>
  <si>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</si>
  <si>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</si>
  <si>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</si>
  <si>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</si>
  <si>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</si>
  <si>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</si>
  <si>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</si>
  <si>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</si>
  <si>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</si>
  <si>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</si>
  <si>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</si>
  <si>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</si>
  <si>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</si>
  <si>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</si>
  <si>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</si>
  <si>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</si>
  <si>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</si>
  <si>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</si>
  <si>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</si>
  <si>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</si>
  <si>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CUST0547</t>
  </si>
  <si>
    <t>2024-03-14</t>
  </si>
  <si>
    <t>ORD02798</t>
  </si>
  <si>
    <t>ORD02799</t>
  </si>
  <si>
    <t>ORD02800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</si>
  <si>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</si>
  <si>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</si>
  <si>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</si>
  <si>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</si>
  <si>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</si>
  <si>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</si>
  <si>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</si>
  <si>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</si>
  <si>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</si>
  <si>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</si>
  <si>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</si>
  <si>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</si>
  <si>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</si>
  <si>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</si>
  <si>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</si>
  <si>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</si>
  <si>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</si>
  <si>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</si>
  <si>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</si>
  <si>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</si>
  <si>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</si>
  <si>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</si>
  <si>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</si>
  <si>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</si>
  <si>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</si>
  <si>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</si>
  <si>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</si>
  <si>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</si>
  <si>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</si>
  <si>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</si>
  <si>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</si>
  <si>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</si>
  <si>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</si>
  <si>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</si>
  <si>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</si>
  <si>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</si>
  <si>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</si>
  <si>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</si>
  <si>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</si>
  <si>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</si>
  <si>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</si>
  <si>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</si>
  <si>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</si>
  <si>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</si>
  <si>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</si>
  <si>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</si>
  <si>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</si>
  <si>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</si>
  <si>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</si>
  <si>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</si>
  <si>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</si>
  <si>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</si>
  <si>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</si>
  <si>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</si>
  <si>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</si>
  <si>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</si>
  <si>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</si>
  <si>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</si>
  <si>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</si>
  <si>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</si>
  <si>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</si>
  <si>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</si>
  <si>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</si>
  <si>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</si>
  <si>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</si>
  <si>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</si>
  <si>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</si>
  <si>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</si>
  <si>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</si>
  <si>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</si>
  <si>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</si>
  <si>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</si>
  <si>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</si>
  <si>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</si>
  <si>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</si>
  <si>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</si>
  <si>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</si>
  <si>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</si>
  <si>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</si>
  <si>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</si>
  <si>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</si>
  <si>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</si>
  <si>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</si>
  <si>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</si>
  <si>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</si>
  <si>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</si>
  <si>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</si>
  <si>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</si>
  <si>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</si>
  <si>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</si>
  <si>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</si>
  <si>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</si>
  <si>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</si>
  <si>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</si>
  <si>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</si>
  <si>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</si>
  <si>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</si>
  <si>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</si>
  <si>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</si>
  <si>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</si>
  <si>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</si>
  <si>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</si>
  <si>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</si>
  <si>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</si>
  <si>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</si>
  <si>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</si>
  <si>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</si>
  <si>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</si>
  <si>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</si>
  <si>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</si>
  <si>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</si>
  <si>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</si>
  <si>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</si>
  <si>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</si>
  <si>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</si>
  <si>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</si>
  <si>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</si>
  <si>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</si>
  <si>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</si>
  <si>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</si>
  <si>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</si>
  <si>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CUST0027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</si>
  <si>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</si>
  <si>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</si>
  <si>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</si>
  <si>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</si>
  <si>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</si>
  <si>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</si>
  <si>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</si>
  <si>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</si>
  <si>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</si>
  <si>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</si>
  <si>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</si>
  <si>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</si>
  <si>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</si>
  <si>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</si>
  <si>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</si>
  <si>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</si>
  <si>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</si>
  <si>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</si>
  <si>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</si>
  <si>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</si>
  <si>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</si>
  <si>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</si>
  <si>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</si>
  <si>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</si>
  <si>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</si>
  <si>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</si>
  <si>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</si>
  <si>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</si>
  <si>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</si>
  <si>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</si>
  <si>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</si>
  <si>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</si>
  <si>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</si>
  <si>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</si>
  <si>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</si>
  <si>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</si>
  <si>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</si>
  <si>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</si>
  <si>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</si>
  <si>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</si>
  <si>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</si>
  <si>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</si>
  <si>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</si>
  <si>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</si>
  <si>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</si>
  <si>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</si>
  <si>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</si>
  <si>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CUST0478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</si>
  <si>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</si>
  <si>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</si>
  <si>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</si>
  <si>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</si>
  <si>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</si>
  <si>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</si>
  <si>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</si>
  <si>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</si>
  <si>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</si>
  <si>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</si>
  <si>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</si>
  <si>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</si>
  <si>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</si>
  <si>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</si>
  <si>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</si>
  <si>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</si>
  <si>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</si>
  <si>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</si>
  <si>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</si>
  <si>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</si>
  <si>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</si>
  <si>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</si>
  <si>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</si>
  <si>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</si>
  <si>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</si>
  <si>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</si>
  <si>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</si>
  <si>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</si>
  <si>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</si>
  <si>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</si>
  <si>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</si>
  <si>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</si>
  <si>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</si>
  <si>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</si>
  <si>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</si>
  <si>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</si>
  <si>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</si>
  <si>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</si>
  <si>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</si>
  <si>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</si>
  <si>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</si>
  <si>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</si>
  <si>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</si>
  <si>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</si>
  <si>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</si>
  <si>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</si>
  <si>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</si>
  <si>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</si>
  <si>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</si>
  <si>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</si>
  <si>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</si>
  <si>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</si>
  <si>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</si>
  <si>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</si>
  <si>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</si>
  <si>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</si>
  <si>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</si>
  <si>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</si>
  <si>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</si>
  <si>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</si>
  <si>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</si>
  <si>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CUST0268</t>
  </si>
  <si>
    <t>Rahul Singh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</si>
  <si>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</si>
  <si>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</si>
  <si>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</si>
  <si>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</si>
  <si>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</si>
  <si>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</si>
  <si>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</si>
  <si>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</si>
  <si>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</si>
  <si>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</si>
  <si>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</si>
  <si>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</si>
  <si>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</si>
  <si>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</si>
  <si>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</si>
  <si>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</si>
  <si>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</si>
  <si>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</si>
  <si>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</si>
  <si>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</si>
  <si>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</si>
  <si>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</si>
  <si>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</si>
  <si>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</si>
  <si>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</si>
  <si>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</si>
  <si>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</si>
  <si>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</si>
  <si>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CUST0226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</si>
  <si>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</si>
  <si>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</si>
  <si>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</si>
  <si>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</si>
  <si>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</si>
  <si>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</si>
  <si>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</si>
  <si>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</si>
  <si>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</si>
  <si>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</si>
  <si>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</si>
  <si>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</si>
  <si>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</si>
  <si>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</si>
  <si>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</si>
  <si>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</si>
  <si>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</si>
  <si>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</si>
  <si>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</si>
  <si>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</si>
  <si>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</si>
  <si>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</si>
  <si>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</si>
  <si>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</si>
  <si>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</si>
  <si>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</si>
  <si>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</si>
  <si>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</si>
  <si>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</si>
  <si>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</si>
  <si>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</si>
  <si>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</si>
  <si>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</si>
  <si>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</si>
  <si>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</si>
  <si>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</si>
  <si>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</si>
  <si>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</si>
  <si>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CUST0133</t>
  </si>
  <si>
    <t>2023-11-14</t>
  </si>
  <si>
    <t>ORD03097</t>
  </si>
  <si>
    <t>ORD03098</t>
  </si>
  <si>
    <t>CUST0010</t>
  </si>
  <si>
    <t>2024-09-24</t>
  </si>
  <si>
    <t>ORD03099</t>
  </si>
  <si>
    <t>ORD03100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</si>
  <si>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</si>
  <si>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</si>
  <si>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</si>
  <si>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</si>
  <si>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</si>
  <si>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</si>
  <si>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</si>
  <si>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</si>
  <si>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</si>
  <si>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</si>
  <si>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</si>
  <si>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</si>
  <si>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</si>
  <si>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</si>
  <si>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</si>
  <si>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</si>
  <si>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</si>
  <si>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</si>
  <si>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</si>
  <si>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</si>
  <si>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</si>
  <si>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</si>
  <si>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</si>
  <si>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</si>
  <si>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</si>
  <si>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</si>
  <si>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CUST0550</t>
  </si>
  <si>
    <t>2025-02-28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</si>
  <si>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</si>
  <si>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</si>
  <si>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</si>
  <si>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</si>
  <si>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</si>
  <si>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</si>
  <si>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</si>
  <si>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</si>
  <si>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</si>
  <si>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</si>
  <si>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</si>
  <si>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</si>
  <si>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</si>
  <si>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</si>
  <si>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</si>
  <si>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</si>
  <si>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</si>
  <si>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</si>
  <si>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</si>
  <si>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</si>
  <si>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</si>
  <si>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</si>
  <si>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</si>
  <si>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</si>
  <si>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</si>
  <si>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</si>
  <si>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</si>
  <si>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</si>
  <si>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</si>
  <si>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</si>
  <si>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</si>
  <si>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</si>
  <si>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</si>
  <si>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</si>
  <si>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</si>
  <si>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</si>
  <si>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</si>
  <si>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</si>
  <si>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</si>
  <si>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</si>
  <si>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</si>
  <si>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</si>
  <si>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</si>
  <si>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</si>
  <si>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</si>
  <si>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</si>
  <si>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</si>
  <si>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</si>
  <si>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</si>
  <si>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</si>
  <si>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</si>
  <si>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</si>
  <si>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</si>
  <si>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</si>
  <si>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</si>
  <si>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</si>
  <si>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</si>
  <si>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</si>
  <si>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</si>
  <si>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</si>
  <si>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</si>
  <si>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</si>
  <si>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</si>
  <si>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</si>
  <si>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</si>
  <si>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</si>
  <si>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</si>
  <si>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</si>
  <si>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</si>
  <si>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</si>
  <si>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</si>
  <si>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</si>
  <si>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</si>
  <si>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</si>
  <si>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</si>
  <si>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</si>
  <si>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</si>
  <si>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</si>
  <si>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</si>
  <si>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</si>
  <si>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</si>
  <si>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</si>
  <si>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</si>
  <si>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</si>
  <si>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</si>
  <si>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</si>
  <si>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</si>
  <si>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</si>
  <si>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</si>
  <si>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</si>
  <si>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</si>
  <si>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</si>
  <si>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</si>
  <si>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</si>
  <si>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</si>
  <si>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</si>
  <si>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</si>
  <si>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</si>
  <si>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</si>
  <si>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</si>
  <si>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</si>
  <si>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</si>
  <si>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</si>
  <si>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</si>
  <si>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</si>
  <si>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</si>
  <si>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</si>
  <si>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</si>
  <si>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</si>
  <si>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</si>
  <si>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</si>
  <si>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</si>
  <si>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</si>
  <si>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</si>
  <si>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</si>
  <si>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</si>
  <si>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</si>
  <si>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</si>
  <si>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</si>
  <si>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</si>
  <si>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</si>
  <si>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</si>
  <si>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</si>
  <si>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</si>
  <si>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</si>
  <si>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</si>
  <si>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</si>
  <si>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</si>
  <si>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</si>
  <si>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</si>
  <si>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</si>
  <si>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</si>
  <si>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</si>
  <si>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</si>
  <si>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CUST0153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</si>
  <si>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</si>
  <si>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</si>
  <si>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</si>
  <si>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</si>
  <si>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</si>
  <si>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</si>
  <si>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</si>
  <si>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</si>
  <si>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</si>
  <si>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</si>
  <si>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</si>
  <si>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</si>
  <si>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</si>
  <si>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</si>
  <si>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</si>
  <si>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</si>
  <si>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</si>
  <si>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</si>
  <si>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</si>
  <si>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</si>
  <si>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</si>
  <si>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</si>
  <si>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</si>
  <si>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</si>
  <si>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</si>
  <si>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</si>
  <si>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</si>
  <si>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</si>
  <si>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</si>
  <si>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</si>
  <si>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</si>
  <si>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</si>
  <si>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</si>
  <si>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</si>
  <si>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</si>
  <si>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</si>
  <si>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</si>
  <si>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</si>
  <si>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</si>
  <si>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</si>
  <si>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</si>
  <si>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</si>
  <si>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</si>
  <si>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</si>
  <si>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</si>
  <si>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</si>
  <si>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</si>
  <si>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</si>
  <si>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CUST0147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</si>
  <si>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</si>
  <si>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</si>
  <si>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</si>
  <si>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</si>
  <si>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</si>
  <si>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</si>
  <si>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</si>
  <si>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</si>
  <si>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</si>
  <si>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</si>
  <si>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</si>
  <si>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</si>
  <si>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</si>
  <si>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</si>
  <si>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</si>
  <si>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</si>
  <si>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</si>
  <si>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</si>
  <si>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</si>
  <si>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</si>
  <si>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</si>
  <si>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</si>
  <si>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</si>
  <si>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</si>
  <si>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</si>
  <si>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</si>
  <si>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</si>
  <si>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</si>
  <si>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</si>
  <si>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</si>
  <si>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</si>
  <si>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</si>
  <si>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</si>
  <si>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</si>
  <si>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</si>
  <si>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</si>
  <si>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</si>
  <si>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</si>
  <si>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</si>
  <si>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</si>
  <si>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</si>
  <si>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</si>
  <si>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</si>
  <si>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</si>
  <si>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</si>
  <si>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</si>
  <si>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</si>
  <si>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</si>
  <si>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</si>
  <si>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</si>
  <si>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</si>
  <si>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</si>
  <si>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</si>
  <si>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</si>
  <si>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</si>
  <si>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</si>
  <si>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</si>
  <si>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</si>
  <si>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</si>
  <si>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</si>
  <si>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</si>
  <si>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</si>
  <si>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</si>
  <si>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</si>
  <si>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</si>
  <si>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</si>
  <si>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</si>
  <si>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</si>
  <si>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</si>
  <si>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</si>
  <si>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</si>
  <si>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</si>
  <si>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</si>
  <si>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</si>
  <si>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</si>
  <si>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</si>
  <si>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</si>
  <si>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</si>
  <si>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</si>
  <si>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</si>
  <si>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</si>
  <si>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</si>
  <si>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</si>
  <si>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</si>
  <si>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</si>
  <si>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</si>
  <si>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</si>
  <si>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</si>
  <si>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</si>
  <si>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</si>
  <si>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</si>
  <si>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CUST0282</t>
  </si>
  <si>
    <t>Shreya Verma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</si>
  <si>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</si>
  <si>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</si>
  <si>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</si>
  <si>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</si>
  <si>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</si>
  <si>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</si>
  <si>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</si>
  <si>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</si>
  <si>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</si>
  <si>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</si>
  <si>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</si>
  <si>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</si>
  <si>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</si>
  <si>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</si>
  <si>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</si>
  <si>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</si>
  <si>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</si>
  <si>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</si>
  <si>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</si>
  <si>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</si>
  <si>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</si>
  <si>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</si>
  <si>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</si>
  <si>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</si>
  <si>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</si>
  <si>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</si>
  <si>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</si>
  <si>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</si>
  <si>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</si>
  <si>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</si>
  <si>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</si>
  <si>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</si>
  <si>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</si>
  <si>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</si>
  <si>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</si>
  <si>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</si>
  <si>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</si>
  <si>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</si>
  <si>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</si>
  <si>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CUST0324</t>
  </si>
  <si>
    <t>2023-02-27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</si>
  <si>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</si>
  <si>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</si>
  <si>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</si>
  <si>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</si>
  <si>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</si>
  <si>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</si>
  <si>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</si>
  <si>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</si>
  <si>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</si>
  <si>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</si>
  <si>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</si>
  <si>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</si>
  <si>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</si>
  <si>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</si>
  <si>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</si>
  <si>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</si>
  <si>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</si>
  <si>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</si>
  <si>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</si>
  <si>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</si>
  <si>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</si>
  <si>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</si>
  <si>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</si>
  <si>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</si>
  <si>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</si>
  <si>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</si>
  <si>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</si>
  <si>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</si>
  <si>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</si>
  <si>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</si>
  <si>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</si>
  <si>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</si>
  <si>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</si>
  <si>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</si>
  <si>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</si>
  <si>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</si>
  <si>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</si>
  <si>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</si>
  <si>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</si>
  <si>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</si>
  <si>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</si>
  <si>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</si>
  <si>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</si>
  <si>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</si>
  <si>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</si>
  <si>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</si>
  <si>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</si>
  <si>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</si>
  <si>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</si>
  <si>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</si>
  <si>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</si>
  <si>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</si>
  <si>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</si>
  <si>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</si>
  <si>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</si>
  <si>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</si>
  <si>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</si>
  <si>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</si>
  <si>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</si>
  <si>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</si>
  <si>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</si>
  <si>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</si>
  <si>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</si>
  <si>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</si>
  <si>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</si>
  <si>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</si>
  <si>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</si>
  <si>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</si>
  <si>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</si>
  <si>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</si>
  <si>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</si>
  <si>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</si>
  <si>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</si>
  <si>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</si>
  <si>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</si>
  <si>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</si>
  <si>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</si>
  <si>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</si>
  <si>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</si>
  <si>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</si>
  <si>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</si>
  <si>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</si>
  <si>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</si>
  <si>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</si>
  <si>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</si>
  <si>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</si>
  <si>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</si>
  <si>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</si>
  <si>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</si>
  <si>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</si>
  <si>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</si>
  <si>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</si>
  <si>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</si>
  <si>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</si>
  <si>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</si>
  <si>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</si>
  <si>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</si>
  <si>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</si>
  <si>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</si>
  <si>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</si>
  <si>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</si>
  <si>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</si>
  <si>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</si>
  <si>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</si>
  <si>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</si>
  <si>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</si>
  <si>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</si>
  <si>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</si>
  <si>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</si>
  <si>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</si>
  <si>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</si>
  <si>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</si>
  <si>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</si>
  <si>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</si>
  <si>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</si>
  <si>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</si>
  <si>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</si>
  <si>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</si>
  <si>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</si>
  <si>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</si>
  <si>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</si>
  <si>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</si>
  <si>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</si>
  <si>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</si>
  <si>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</si>
  <si>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</si>
  <si>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</si>
  <si>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</si>
  <si>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</si>
  <si>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</si>
  <si>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</si>
  <si>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</si>
  <si>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</si>
  <si>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</si>
  <si>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</si>
  <si>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</si>
  <si>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</si>
  <si>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</si>
  <si>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</si>
  <si>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</si>
  <si>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</si>
  <si>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</si>
  <si>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</si>
  <si>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</si>
  <si>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</si>
  <si>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</si>
  <si>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</si>
  <si>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</si>
  <si>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</si>
  <si>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</si>
  <si>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</si>
  <si>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</si>
  <si>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</si>
  <si>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</si>
  <si>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</si>
  <si>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</si>
  <si>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</si>
  <si>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</si>
  <si>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</si>
  <si>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</si>
  <si>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</si>
  <si>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</si>
  <si>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</si>
  <si>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</si>
  <si>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</si>
  <si>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</si>
  <si>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</si>
  <si>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</si>
  <si>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</si>
  <si>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</si>
  <si>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</si>
  <si>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</si>
  <si>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</si>
  <si>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</si>
  <si>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</si>
  <si>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</si>
  <si>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</si>
  <si>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</si>
  <si>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</si>
  <si>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</si>
  <si>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</si>
  <si>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</si>
  <si>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</si>
  <si>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</si>
  <si>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</si>
  <si>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</si>
  <si>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</si>
  <si>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</si>
  <si>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</si>
  <si>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</si>
  <si>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</si>
  <si>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</si>
  <si>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</si>
  <si>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</si>
  <si>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</si>
  <si>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</si>
  <si>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</si>
  <si>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</si>
  <si>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</si>
  <si>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</si>
  <si>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</si>
  <si>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</si>
  <si>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</si>
  <si>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</si>
  <si>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</si>
  <si>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</si>
  <si>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</si>
  <si>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</si>
  <si>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</si>
  <si>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</si>
  <si>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</si>
  <si>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</si>
  <si>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</si>
  <si>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</si>
  <si>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</si>
  <si>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</si>
  <si>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</si>
  <si>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</si>
  <si>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</si>
  <si>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</si>
  <si>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</si>
  <si>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</si>
  <si>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</si>
  <si>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</si>
  <si>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</si>
  <si>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</si>
  <si>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</si>
  <si>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</si>
  <si>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</si>
  <si>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</si>
  <si>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</si>
  <si>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</si>
  <si>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</si>
  <si>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</si>
  <si>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</si>
  <si>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</si>
  <si>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</si>
  <si>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</si>
  <si>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</si>
  <si>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</si>
  <si>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</si>
  <si>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</si>
  <si>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</si>
  <si>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</si>
  <si>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</si>
  <si>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</si>
  <si>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</si>
  <si>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</si>
  <si>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</si>
  <si>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</si>
  <si>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</si>
  <si>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</si>
  <si>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</si>
  <si>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</si>
  <si>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</si>
  <si>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</si>
  <si>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</si>
  <si>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</si>
  <si>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</si>
  <si>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</si>
  <si>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</si>
  <si>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</si>
  <si>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</si>
  <si>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</si>
  <si>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</si>
  <si>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</si>
  <si>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</si>
  <si>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</si>
  <si>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</si>
  <si>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</si>
  <si>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</si>
  <si>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</si>
  <si>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</si>
  <si>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</si>
  <si>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</si>
  <si>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</si>
  <si>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</si>
  <si>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</si>
  <si>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CUST0588</t>
  </si>
  <si>
    <t>2025-02-04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</si>
  <si>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</si>
  <si>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</si>
  <si>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</si>
  <si>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</si>
  <si>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</si>
  <si>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</si>
  <si>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</si>
  <si>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</si>
  <si>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</si>
  <si>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</si>
  <si>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</si>
  <si>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</si>
  <si>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</si>
  <si>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</si>
  <si>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</si>
  <si>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</si>
  <si>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</si>
  <si>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</si>
  <si>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</si>
  <si>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</si>
  <si>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</si>
  <si>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</si>
  <si>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</si>
  <si>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</si>
  <si>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</si>
  <si>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</si>
  <si>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</si>
  <si>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</si>
  <si>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</si>
  <si>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</si>
  <si>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</si>
  <si>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</si>
  <si>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</si>
  <si>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</si>
  <si>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</si>
  <si>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</si>
  <si>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</si>
  <si>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</si>
  <si>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</si>
  <si>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</si>
  <si>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</si>
  <si>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</si>
  <si>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</si>
  <si>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</si>
  <si>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</si>
  <si>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</si>
  <si>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</si>
  <si>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</si>
  <si>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</si>
  <si>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</si>
  <si>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</si>
  <si>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</si>
  <si>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</si>
  <si>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</si>
  <si>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</si>
  <si>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</si>
  <si>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</si>
  <si>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</si>
  <si>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</si>
  <si>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</si>
  <si>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</si>
  <si>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</si>
  <si>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</si>
  <si>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</si>
  <si>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</si>
  <si>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</si>
  <si>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</si>
  <si>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</si>
  <si>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</si>
  <si>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</si>
  <si>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</si>
  <si>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</si>
  <si>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</si>
  <si>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</si>
  <si>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</si>
  <si>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</si>
  <si>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</si>
  <si>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</si>
  <si>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</si>
  <si>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</si>
  <si>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</si>
  <si>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</si>
  <si>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</si>
  <si>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</si>
  <si>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</si>
  <si>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</si>
  <si>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</si>
  <si>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</si>
  <si>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</si>
  <si>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</si>
  <si>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</si>
  <si>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</si>
  <si>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</si>
  <si>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</si>
  <si>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</si>
  <si>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</si>
  <si>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</si>
  <si>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</si>
  <si>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</si>
  <si>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</si>
  <si>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</si>
  <si>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</si>
  <si>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</si>
  <si>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</si>
  <si>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</si>
  <si>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</si>
  <si>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</si>
  <si>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</si>
  <si>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</si>
  <si>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</si>
  <si>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</si>
  <si>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</si>
  <si>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</si>
  <si>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</si>
  <si>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</si>
  <si>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</si>
  <si>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</si>
  <si>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</si>
  <si>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</si>
  <si>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</si>
  <si>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</si>
  <si>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</si>
  <si>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</si>
  <si>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</si>
  <si>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</si>
  <si>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</si>
  <si>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</si>
  <si>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</si>
  <si>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</si>
  <si>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</si>
  <si>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</si>
  <si>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</si>
  <si>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</si>
  <si>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</si>
  <si>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</si>
  <si>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</si>
  <si>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</si>
  <si>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</si>
  <si>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</si>
  <si>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</si>
  <si>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</si>
  <si>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</si>
  <si>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</si>
  <si>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</si>
  <si>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</si>
  <si>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</si>
  <si>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</si>
  <si>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</si>
  <si>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</si>
  <si>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</si>
  <si>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</si>
  <si>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</si>
  <si>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</si>
  <si>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</si>
  <si>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</si>
  <si>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</si>
  <si>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</si>
  <si>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</si>
  <si>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</si>
  <si>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</si>
  <si>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</si>
  <si>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</si>
  <si>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</si>
  <si>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</si>
  <si>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</si>
  <si>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</si>
  <si>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</si>
  <si>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</si>
  <si>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</si>
  <si>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</si>
  <si>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</si>
  <si>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</si>
  <si>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</si>
  <si>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</si>
  <si>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</si>
  <si>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</si>
  <si>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</si>
  <si>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</si>
  <si>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</si>
  <si>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</si>
  <si>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</si>
  <si>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</si>
  <si>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</si>
  <si>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</si>
  <si>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</si>
  <si>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</si>
  <si>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</si>
  <si>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</si>
  <si>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</si>
  <si>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</si>
  <si>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</si>
  <si>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</si>
  <si>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</si>
  <si>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</si>
  <si>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</si>
  <si>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</si>
  <si>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</si>
  <si>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</si>
  <si>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</si>
  <si>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</si>
  <si>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</si>
  <si>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</si>
  <si>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</si>
  <si>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</si>
  <si>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</si>
  <si>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</si>
  <si>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</si>
  <si>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</si>
  <si>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</si>
  <si>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</si>
  <si>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</si>
  <si>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</si>
  <si>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</si>
  <si>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</si>
  <si>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</si>
  <si>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</si>
  <si>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</si>
  <si>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</si>
  <si>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</si>
  <si>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</si>
  <si>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</si>
  <si>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</si>
  <si>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</si>
  <si>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</si>
  <si>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</si>
  <si>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</si>
  <si>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</si>
  <si>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</si>
  <si>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</si>
  <si>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</si>
  <si>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</si>
  <si>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</si>
  <si>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</si>
  <si>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</si>
  <si>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</si>
  <si>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</si>
  <si>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</si>
  <si>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</si>
  <si>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</si>
  <si>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</si>
  <si>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</si>
  <si>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</si>
  <si>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</si>
  <si>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</si>
  <si>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</si>
  <si>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</si>
  <si>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</si>
  <si>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</si>
  <si>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</si>
  <si>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</si>
  <si>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</si>
  <si>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</si>
  <si>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</si>
  <si>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</si>
  <si>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</si>
  <si>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</si>
  <si>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</si>
  <si>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</si>
  <si>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</si>
  <si>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</si>
  <si>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</si>
  <si>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</si>
  <si>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</si>
  <si>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</si>
  <si>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</si>
  <si>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</si>
  <si>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</si>
  <si>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</si>
  <si>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</si>
  <si>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</si>
  <si>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</si>
  <si>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</si>
  <si>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</si>
  <si>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</si>
  <si>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</si>
  <si>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</si>
  <si>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</si>
  <si>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</si>
  <si>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</si>
  <si>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</si>
  <si>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CUST0210</t>
  </si>
  <si>
    <t>Vikram Bose</t>
  </si>
  <si>
    <t>2025-06-27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</si>
  <si>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</si>
  <si>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</si>
  <si>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</si>
  <si>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</si>
  <si>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</si>
  <si>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</si>
  <si>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</si>
  <si>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</si>
  <si>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</si>
  <si>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</si>
  <si>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</si>
  <si>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</si>
  <si>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</si>
  <si>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</si>
  <si>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</si>
  <si>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</si>
  <si>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</si>
  <si>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</si>
  <si>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</si>
  <si>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</si>
  <si>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</si>
  <si>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</si>
  <si>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</si>
  <si>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</si>
  <si>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</si>
  <si>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</si>
  <si>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</si>
  <si>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</si>
  <si>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</si>
  <si>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</si>
  <si>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</si>
  <si>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</si>
  <si>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</si>
  <si>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</si>
  <si>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</si>
  <si>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</si>
  <si>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</si>
  <si>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</si>
  <si>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</si>
  <si>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</si>
  <si>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</si>
  <si>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</si>
  <si>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</si>
  <si>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</si>
  <si>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</si>
  <si>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</si>
  <si>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</si>
  <si>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</si>
  <si>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</si>
  <si>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</si>
  <si>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</si>
  <si>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</si>
  <si>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</si>
  <si>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</si>
  <si>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</si>
  <si>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</si>
  <si>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</si>
  <si>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</si>
  <si>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</si>
  <si>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</si>
  <si>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</si>
  <si>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</si>
  <si>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</si>
  <si>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</si>
  <si>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</si>
  <si>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</si>
  <si>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</si>
  <si>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</si>
  <si>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</si>
  <si>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</si>
  <si>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</si>
  <si>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</si>
  <si>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</si>
  <si>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</si>
  <si>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</si>
  <si>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</si>
  <si>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</si>
  <si>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</si>
  <si>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</si>
  <si>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</si>
  <si>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</si>
  <si>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</si>
  <si>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</si>
  <si>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</si>
  <si>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</si>
  <si>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</si>
  <si>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</si>
  <si>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</si>
  <si>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</si>
  <si>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</si>
  <si>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</si>
  <si>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</si>
  <si>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</si>
  <si>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</si>
  <si>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</si>
  <si>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</si>
  <si>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</si>
  <si>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</si>
  <si>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</si>
  <si>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</si>
  <si>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</si>
  <si>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</si>
  <si>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</si>
  <si>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</si>
  <si>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</si>
  <si>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</si>
  <si>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</si>
  <si>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</si>
  <si>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</si>
  <si>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</si>
  <si>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</si>
  <si>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</si>
  <si>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</si>
  <si>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</si>
  <si>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</si>
  <si>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</si>
  <si>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</si>
  <si>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</si>
  <si>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</si>
  <si>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</si>
  <si>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</si>
  <si>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</si>
  <si>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</si>
  <si>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</si>
  <si>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</si>
  <si>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</si>
  <si>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</si>
  <si>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</si>
  <si>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</si>
  <si>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</si>
  <si>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</si>
  <si>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</si>
  <si>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</si>
  <si>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</si>
  <si>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</si>
  <si>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</si>
  <si>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</si>
  <si>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</si>
  <si>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</si>
  <si>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</si>
  <si>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</si>
  <si>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</si>
  <si>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</si>
  <si>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</si>
  <si>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</si>
  <si>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</si>
  <si>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</si>
  <si>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</si>
  <si>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</si>
  <si>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</si>
  <si>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</si>
  <si>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</si>
  <si>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</si>
  <si>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</si>
  <si>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</si>
  <si>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</si>
  <si>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</si>
  <si>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</si>
  <si>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</si>
  <si>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</si>
  <si>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</si>
  <si>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</si>
  <si>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</si>
  <si>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</si>
  <si>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</si>
  <si>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</si>
  <si>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</si>
  <si>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</si>
  <si>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</si>
  <si>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</si>
  <si>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</si>
  <si>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</si>
  <si>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</si>
  <si>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</si>
  <si>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CUST0417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</si>
  <si>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</si>
  <si>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</si>
  <si>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</si>
  <si>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</si>
  <si>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</si>
  <si>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</si>
  <si>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</si>
  <si>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</si>
  <si>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</si>
  <si>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</si>
  <si>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</si>
  <si>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</si>
  <si>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</si>
  <si>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</si>
  <si>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</si>
  <si>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</si>
  <si>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</si>
  <si>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</si>
  <si>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</si>
  <si>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</si>
  <si>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</si>
  <si>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</si>
  <si>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</si>
  <si>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</si>
  <si>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</si>
  <si>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</si>
  <si>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</si>
  <si>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</si>
  <si>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</si>
  <si>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</si>
  <si>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</si>
  <si>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</si>
  <si>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</si>
  <si>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</si>
  <si>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</si>
  <si>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</si>
  <si>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</si>
  <si>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</si>
  <si>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</si>
  <si>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</si>
  <si>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</si>
  <si>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</si>
  <si>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</si>
  <si>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</si>
  <si>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</si>
  <si>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</si>
  <si>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</si>
  <si>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</si>
  <si>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</si>
  <si>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</si>
  <si>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</si>
  <si>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</si>
  <si>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</si>
  <si>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</si>
  <si>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</si>
  <si>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</si>
  <si>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</si>
  <si>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</si>
  <si>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</si>
  <si>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</si>
  <si>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</si>
  <si>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</si>
  <si>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</si>
  <si>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</si>
  <si>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</si>
  <si>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</si>
  <si>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</si>
  <si>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</si>
  <si>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</si>
  <si>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</si>
  <si>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</si>
  <si>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</si>
  <si>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</si>
  <si>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</si>
  <si>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</si>
  <si>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</si>
  <si>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</si>
  <si>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</si>
  <si>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</si>
  <si>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</si>
  <si>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</si>
  <si>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</si>
  <si>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</si>
  <si>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</si>
  <si>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</si>
  <si>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</si>
  <si>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</si>
  <si>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</si>
  <si>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</si>
  <si>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</si>
  <si>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</si>
  <si>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</si>
  <si>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</si>
  <si>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</si>
  <si>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</si>
  <si>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</si>
  <si>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</si>
  <si>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</si>
  <si>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</si>
  <si>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</si>
  <si>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</si>
  <si>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</si>
  <si>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</si>
  <si>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</si>
  <si>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</si>
  <si>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</si>
  <si>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</si>
  <si>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</si>
  <si>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</si>
  <si>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</si>
  <si>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</si>
  <si>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</si>
  <si>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</si>
  <si>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</si>
  <si>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</si>
  <si>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</si>
  <si>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</si>
  <si>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</si>
  <si>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</si>
  <si>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</si>
  <si>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</si>
  <si>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</si>
  <si>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</si>
  <si>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</si>
  <si>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</si>
  <si>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</si>
  <si>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</si>
  <si>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</si>
  <si>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</si>
  <si>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</si>
  <si>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</si>
  <si>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</si>
  <si>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</si>
  <si>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</si>
  <si>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</si>
  <si>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</si>
  <si>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</si>
  <si>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</si>
  <si>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</si>
  <si>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</si>
  <si>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</si>
  <si>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</si>
  <si>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</si>
  <si>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</si>
  <si>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</si>
  <si>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</si>
  <si>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</si>
  <si>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</si>
  <si>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</si>
  <si>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</si>
  <si>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</si>
  <si>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</si>
  <si>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</si>
  <si>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</si>
  <si>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</si>
  <si>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</si>
  <si>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</si>
  <si>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</si>
  <si>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</si>
  <si>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</si>
  <si>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</si>
  <si>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</si>
  <si>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</si>
  <si>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</si>
  <si>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</si>
  <si>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</si>
  <si>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</si>
  <si>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</si>
  <si>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</si>
  <si>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</si>
  <si>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</si>
  <si>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</si>
  <si>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</si>
  <si>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</si>
  <si>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</si>
  <si>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</si>
  <si>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</si>
  <si>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</si>
  <si>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</si>
  <si>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</si>
  <si>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</si>
  <si>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</si>
  <si>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</si>
  <si>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</si>
  <si>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</si>
  <si>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</si>
  <si>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</si>
  <si>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</si>
  <si>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</si>
  <si>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</si>
  <si>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</si>
  <si>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</si>
  <si>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</si>
  <si>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</si>
  <si>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</si>
  <si>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</si>
  <si>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</si>
  <si>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</si>
  <si>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</si>
  <si>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</si>
  <si>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</si>
  <si>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</si>
  <si>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</si>
  <si>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</si>
  <si>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</si>
  <si>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</si>
  <si>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</si>
  <si>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</si>
  <si>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</si>
  <si>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</si>
  <si>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</si>
  <si>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</si>
  <si>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</si>
  <si>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</si>
  <si>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</si>
  <si>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</si>
  <si>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</si>
  <si>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</si>
  <si>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</si>
  <si>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</si>
  <si>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</si>
  <si>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</si>
  <si>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</si>
  <si>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</si>
  <si>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</si>
  <si>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</si>
  <si>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</si>
  <si>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</si>
  <si>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</si>
  <si>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</si>
  <si>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</si>
  <si>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</si>
  <si>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</si>
  <si>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</si>
  <si>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</si>
  <si>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</si>
  <si>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</si>
  <si>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</si>
  <si>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</si>
  <si>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</si>
  <si>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</si>
  <si>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</si>
  <si>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</si>
  <si>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</si>
  <si>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</si>
  <si>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</si>
  <si>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</si>
  <si>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</si>
  <si>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</si>
  <si>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</si>
  <si>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</si>
  <si>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</si>
  <si>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</si>
  <si>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</si>
  <si>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</si>
  <si>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</si>
  <si>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</si>
  <si>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</si>
  <si>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</si>
  <si>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</si>
  <si>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</si>
  <si>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</si>
  <si>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</si>
  <si>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</si>
  <si>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</si>
  <si>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</si>
  <si>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</si>
  <si>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</si>
  <si>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</si>
  <si>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</si>
  <si>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</si>
  <si>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</si>
  <si>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</si>
  <si>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</si>
  <si>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</si>
  <si>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</si>
  <si>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</si>
  <si>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</si>
  <si>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</si>
  <si>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</si>
  <si>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</si>
  <si>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</si>
  <si>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</si>
  <si>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</si>
  <si>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</si>
  <si>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</si>
  <si>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</si>
  <si>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</si>
  <si>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</si>
  <si>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</si>
  <si>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</si>
  <si>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</si>
  <si>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</si>
  <si>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</si>
  <si>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</si>
  <si>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</si>
  <si>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</si>
  <si>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</si>
  <si>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</si>
  <si>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</si>
  <si>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</si>
  <si>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</si>
  <si>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</si>
  <si>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</si>
  <si>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</si>
  <si>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</si>
  <si>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</si>
  <si>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</si>
  <si>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</si>
  <si>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</si>
  <si>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</si>
  <si>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</si>
  <si>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</si>
  <si>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</si>
  <si>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</si>
  <si>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</si>
  <si>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</si>
  <si>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</si>
  <si>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</si>
  <si>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</si>
  <si>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</si>
  <si>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</si>
  <si>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</si>
  <si>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</si>
  <si>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</si>
  <si>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</si>
  <si>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</si>
  <si>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</si>
  <si>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</si>
  <si>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</si>
  <si>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</si>
  <si>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</si>
  <si>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</si>
  <si>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</si>
  <si>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</si>
  <si>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</si>
  <si>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</si>
  <si>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</si>
  <si>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</si>
  <si>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</si>
  <si>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</si>
  <si>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</si>
  <si>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</si>
  <si>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</si>
  <si>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</si>
  <si>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</si>
  <si>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</si>
  <si>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</si>
  <si>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</si>
  <si>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</si>
  <si>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</si>
  <si>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</si>
  <si>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</si>
  <si>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</si>
  <si>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</si>
  <si>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</si>
  <si>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</si>
  <si>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</si>
  <si>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</si>
  <si>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</si>
  <si>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</si>
  <si>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</si>
  <si>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</si>
  <si>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</si>
  <si>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</si>
  <si>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</si>
  <si>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</si>
  <si>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</si>
  <si>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</si>
  <si>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</si>
  <si>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</si>
  <si>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</si>
  <si>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</si>
  <si>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</si>
  <si>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</si>
  <si>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</si>
  <si>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</si>
  <si>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</si>
  <si>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</si>
  <si>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</si>
  <si>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</si>
  <si>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</si>
  <si>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</si>
  <si>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</si>
  <si>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</si>
  <si>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</si>
  <si>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</si>
  <si>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</si>
  <si>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</si>
  <si>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</si>
  <si>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</si>
  <si>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</si>
  <si>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</si>
  <si>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</si>
  <si>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</si>
  <si>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</si>
  <si>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</si>
  <si>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</si>
  <si>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</si>
  <si>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</si>
  <si>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</si>
  <si>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</si>
  <si>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</si>
  <si>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</si>
  <si>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</si>
  <si>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</si>
  <si>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</si>
  <si>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</si>
  <si>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</si>
  <si>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</si>
  <si>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</si>
  <si>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</si>
  <si>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</si>
  <si>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</si>
  <si>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</si>
  <si>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</si>
  <si>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</si>
  <si>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</si>
  <si>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</si>
  <si>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</si>
  <si>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</si>
  <si>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</si>
  <si>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</si>
  <si>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</si>
  <si>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</si>
  <si>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</si>
  <si>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</si>
  <si>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</si>
  <si>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</si>
  <si>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</si>
  <si>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</si>
  <si>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</si>
  <si>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</si>
  <si>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</si>
  <si>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</si>
  <si>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</si>
  <si>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</si>
  <si>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</si>
  <si>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</si>
  <si>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</si>
  <si>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</si>
  <si>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</si>
  <si>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</si>
  <si>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</si>
  <si>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</si>
  <si>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</si>
  <si>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</si>
  <si>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</si>
  <si>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</si>
  <si>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</si>
  <si>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</si>
  <si>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</si>
  <si>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</si>
  <si>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</si>
  <si>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</si>
  <si>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</si>
  <si>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</si>
  <si>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</si>
  <si>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</si>
  <si>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</si>
  <si>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</si>
  <si>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</si>
  <si>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</si>
  <si>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</si>
  <si>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</si>
  <si>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</si>
  <si>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</si>
  <si>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</si>
  <si>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</si>
  <si>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</si>
  <si>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</si>
  <si>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</si>
  <si>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</si>
  <si>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</si>
  <si>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</si>
  <si>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</si>
  <si>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</si>
  <si>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</si>
  <si>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</si>
  <si>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</si>
  <si>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</si>
  <si>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</si>
  <si>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</si>
  <si>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</si>
  <si>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</si>
  <si>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</si>
  <si>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</si>
  <si>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</si>
  <si>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</si>
  <si>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</si>
  <si>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</si>
  <si>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</si>
  <si>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</si>
  <si>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</si>
  <si>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</si>
  <si>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</si>
  <si>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</si>
  <si>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</si>
  <si>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</si>
  <si>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</si>
  <si>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</si>
  <si>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</si>
  <si>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</si>
  <si>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</si>
  <si>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</si>
  <si>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</si>
  <si>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</si>
  <si>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</si>
  <si>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</si>
  <si>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</si>
  <si>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</si>
  <si>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</si>
  <si>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</si>
  <si>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</si>
  <si>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</si>
  <si>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</si>
  <si>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</si>
  <si>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</si>
  <si>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</si>
  <si>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</si>
  <si>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</si>
  <si>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</si>
  <si>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</si>
  <si>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</si>
  <si>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</si>
  <si>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</si>
  <si>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</si>
  <si>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</si>
  <si>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</si>
  <si>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</si>
  <si>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</si>
  <si>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</si>
  <si>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</si>
  <si>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</si>
  <si>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</si>
  <si>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</si>
  <si>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</si>
  <si>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</si>
  <si>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</si>
  <si>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</si>
  <si>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</si>
  <si>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</si>
  <si>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</si>
  <si>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</si>
  <si>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</si>
  <si>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</si>
  <si>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</si>
  <si>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</si>
  <si>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</si>
  <si>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</si>
  <si>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</si>
  <si>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</si>
  <si>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</si>
  <si>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</si>
  <si>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</si>
  <si>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</si>
  <si>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</si>
  <si>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</si>
  <si>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</si>
  <si>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</si>
  <si>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</si>
  <si>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</si>
  <si>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</si>
  <si>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</si>
  <si>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</si>
  <si>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</si>
  <si>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</si>
  <si>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</si>
  <si>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</si>
  <si>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</si>
  <si>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</si>
  <si>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</si>
  <si>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</si>
  <si>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</si>
  <si>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</si>
  <si>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</si>
  <si>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</si>
  <si>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</si>
  <si>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</si>
  <si>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</si>
  <si>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</si>
  <si>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</si>
  <si>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</si>
  <si>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</si>
  <si>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</si>
  <si>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</si>
  <si>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</si>
  <si>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</si>
  <si>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</si>
  <si>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</si>
  <si>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</si>
  <si>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</si>
  <si>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</si>
  <si>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</si>
  <si>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</si>
  <si>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</si>
  <si>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</si>
  <si>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</si>
  <si>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</si>
  <si>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</si>
  <si>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</si>
  <si>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</si>
  <si>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</si>
  <si>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</si>
  <si>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</si>
  <si>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</si>
  <si>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</si>
  <si>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</si>
  <si>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</si>
  <si>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</si>
  <si>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</si>
  <si>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</si>
  <si>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</si>
  <si>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</si>
  <si>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</si>
  <si>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</si>
  <si>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</si>
  <si>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</si>
  <si>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</si>
  <si>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</si>
  <si>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</si>
  <si>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</si>
  <si>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</si>
  <si>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</si>
  <si>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</si>
  <si>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</si>
  <si>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</si>
  <si>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</si>
  <si>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</si>
  <si>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</si>
  <si>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</si>
  <si>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</si>
  <si>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</si>
  <si>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</si>
  <si>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</si>
  <si>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</si>
  <si>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</si>
  <si>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</si>
  <si>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</si>
  <si>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</si>
  <si>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</si>
  <si>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</si>
  <si>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</si>
  <si>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</si>
  <si>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</si>
  <si>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</si>
  <si>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</si>
  <si>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</si>
  <si>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</si>
  <si>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</si>
  <si>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</si>
  <si>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</si>
  <si>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</si>
  <si>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</si>
  <si>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</si>
  <si>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</si>
  <si>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</si>
  <si>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</si>
  <si>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</si>
  <si>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</si>
  <si>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</si>
  <si>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</si>
  <si>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</si>
  <si>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</si>
  <si>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</si>
  <si>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</si>
  <si>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</si>
  <si>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</si>
  <si>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</si>
  <si>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</si>
  <si>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</si>
  <si>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</si>
  <si>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</si>
  <si>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</si>
  <si>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</si>
  <si>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</si>
  <si>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</si>
  <si>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</si>
  <si>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</si>
  <si>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</si>
  <si>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</si>
  <si>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</si>
  <si>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</si>
  <si>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</si>
  <si>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</si>
  <si>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</si>
  <si>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</si>
  <si>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</si>
  <si>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</si>
  <si>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</si>
  <si>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</si>
  <si>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</si>
  <si>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</si>
  <si>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</si>
  <si>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</si>
  <si>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</si>
  <si>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</si>
  <si>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</si>
  <si>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</si>
  <si>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</si>
  <si>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</si>
  <si>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</si>
  <si>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</si>
  <si>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</si>
  <si>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</si>
  <si>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</si>
  <si>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</si>
  <si>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</si>
  <si>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</si>
  <si>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</si>
  <si>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</si>
  <si>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</si>
  <si>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</si>
  <si>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</si>
  <si>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</si>
  <si>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</si>
  <si>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</si>
  <si>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</si>
  <si>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</si>
  <si>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</si>
  <si>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</si>
  <si>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</si>
  <si>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</si>
  <si>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</si>
  <si>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</si>
  <si>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</si>
  <si>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</si>
  <si>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</si>
  <si>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</si>
  <si>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</si>
  <si>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</si>
  <si>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</si>
  <si>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</si>
  <si>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</si>
  <si>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</si>
  <si>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</si>
  <si>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</si>
  <si>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</si>
  <si>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</si>
  <si>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</si>
  <si>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</si>
  <si>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</si>
  <si>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</si>
  <si>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</si>
  <si>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</si>
  <si>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</si>
  <si>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</si>
  <si>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</si>
  <si>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</si>
  <si>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</si>
  <si>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</si>
  <si>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</si>
  <si>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</si>
  <si>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</si>
  <si>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</si>
  <si>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</si>
  <si>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</si>
  <si>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</si>
  <si>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</si>
  <si>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</si>
  <si>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</si>
  <si>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</si>
  <si>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</si>
  <si>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</si>
  <si>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</si>
  <si>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</si>
  <si>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</si>
  <si>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</si>
  <si>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</si>
  <si>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</si>
  <si>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</si>
  <si>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</si>
  <si>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</si>
  <si>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</si>
  <si>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</si>
  <si>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</si>
  <si>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</si>
  <si>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</si>
  <si>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</si>
  <si>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</si>
  <si>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</si>
  <si>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</si>
  <si>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</si>
  <si>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</si>
  <si>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</si>
  <si>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</si>
  <si>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</si>
  <si>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</si>
  <si>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</si>
  <si>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</si>
  <si>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</si>
  <si>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</si>
  <si>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</si>
  <si>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</si>
  <si>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</si>
  <si>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</si>
  <si>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</si>
  <si>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</si>
  <si>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</si>
  <si>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</si>
  <si>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</si>
  <si>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</si>
  <si>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</si>
  <si>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</si>
  <si>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</si>
  <si>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</si>
  <si>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</si>
  <si>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</si>
  <si>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</si>
  <si>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</si>
  <si>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</si>
  <si>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</si>
  <si>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</si>
  <si>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</si>
  <si>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</si>
  <si>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</si>
  <si>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</si>
  <si>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</si>
  <si>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</si>
  <si>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</si>
  <si>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</si>
  <si>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</si>
  <si>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</si>
  <si>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</si>
  <si>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</si>
  <si>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</si>
  <si>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</si>
  <si>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</si>
  <si>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Sum of Profit</t>
  </si>
  <si>
    <t>Sum of Sales</t>
  </si>
  <si>
    <t>Row Labels</t>
  </si>
  <si>
    <t>Grand Total</t>
  </si>
  <si>
    <t>(blank)</t>
  </si>
  <si>
    <t>Sum of ProfitMargin</t>
  </si>
  <si>
    <t>Sum of SalesPerUnit</t>
  </si>
  <si>
    <t>(All)</t>
  </si>
  <si>
    <t>Total Sales</t>
  </si>
  <si>
    <t>Total Profit</t>
  </si>
  <si>
    <t>Average Profit Margin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</si>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</sst>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6267.650285995369" createdVersion="8" refreshedVersion="8" minRefreshableVersion="3" recordCount="4990" xr:uid="{FA856CB0-FFF4-442D-BECB-2BC33A5DA952}">
  <cacheSource type="worksheet">
    <worksheetSource ref="A1:V4991" sheet="Capstone2"/>
  </cacheSource>
  <cacheFields count="22">
    <cacheField name="OrderID" numFmtId="0">
      <sharedItems/>
    </cacheField>
    <cacheField name="OrderDate" numFmtId="165">
      <sharedItems containsSemiMixedTypes="0" containsNonDate="0" containsDate="1" containsString="0" minDate="2025-07-01T00:00:00" maxDate="2026-09-01T00:00:00"/>
    </cacheField>
    <cacheField name="CustomerID" numFmtId="0">
      <sharedItems/>
    </cacheField>
    <cacheField name="ProductCategory" numFmtId="0">
      <sharedItems count="5">
        <s v="Office Supplies"/>
        <s v="Accessories"/>
        <s v="Furniture"/>
        <s v="Electronics"/>
        <s v="Unknown"/>
      </sharedItems>
    </cacheField>
    <cacheField name="Product" numFmtId="0">
      <sharedItems containsBlank="1" count="18">
        <s v="Printer"/>
        <s v="USB Hub"/>
        <s v="Cabinet"/>
        <s v="Desk"/>
        <s v="Monitor"/>
        <s v="Bookshelf"/>
        <s v="Stapler"/>
        <s v="Desk Organizer"/>
        <s v="Headphones"/>
        <s v="Office Chair"/>
        <s v="Laptop"/>
        <s v="Keyboard"/>
        <s v="Mouse"/>
        <s v="Webcam"/>
        <s v="Paper"/>
        <s v="Backpack"/>
        <s v=" mouse "/>
        <m/>
      </sharedItems>
    </cacheField>
    <cacheField name="Quantity" numFmtId="0">
      <sharedItems containsSemiMixedTypes="0" containsString="0" containsNumber="1" containsInteger="1" minValue="1" maxValue="150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245" maxValue="6187500"/>
    </cacheField>
    <cacheField name="Profit" numFmtId="0">
      <sharedItems containsSemiMixedTypes="0" containsString="0" containsNumber="1" minValue="-479560.98" maxValue="135000"/>
    </cacheField>
    <cacheField name="PaymentMethod" numFmtId="0">
      <sharedItems containsBlank="1" count="6">
        <s v="UPI"/>
        <s v="Cash on Delivery"/>
        <s v="Card"/>
        <s v="NetBanking"/>
        <s v="Net banking"/>
        <m/>
      </sharedItems>
    </cacheField>
    <cacheField name="OrderStatus" numFmtId="0">
      <sharedItems containsBlank="1"/>
    </cacheField>
    <cacheField name="SalesPerUnit" numFmtId="0">
      <sharedItems containsSemiMixedTypes="0" containsString="0" containsNumber="1" minValue="245" maxValue="74250"/>
    </cacheField>
    <cacheField name="ProfitMargin" numFmtId="0">
      <sharedItems containsSemiMixedTypes="0" containsString="0" containsNumber="1" minValue="-13392.857142857139" maxValue="36.111111111111107"/>
    </cacheField>
    <cacheField name="LossFlag" numFmtId="0">
      <sharedItems/>
    </cacheField>
    <cacheField name="CustomerName" numFmtId="0">
      <sharedItems/>
    </cacheField>
    <cacheField name="Segment" numFmtId="0">
      <sharedItems count="4">
        <s v="Consumer"/>
        <s v="Corporate"/>
        <s v="Home Office"/>
        <s v="Unknown"/>
      </sharedItems>
    </cacheField>
    <cacheField name="Region" numFmtId="0">
      <sharedItems count="5">
        <s v="South"/>
        <s v="West"/>
        <s v="North"/>
        <s v="East"/>
        <s v="Unknown"/>
      </sharedItems>
    </cacheField>
    <cacheField name="City" numFmtId="0">
      <sharedItems/>
    </cacheField>
    <cacheField name="State" numFmtId="0">
      <sharedItems/>
    </cacheField>
    <cacheField name="SignupDate" numFmtId="0">
      <sharedItems/>
    </cacheField>
    <cacheField name="AgeGroup" numFmtId="0">
      <sharedItems/>
    </cacheField>
    <cacheField name="ProfitPerUnit" numFmtId="0">
      <sharedItems containsSemiMixedTypes="0" containsString="0" containsNumber="1" minValue="-37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0">
  <r>
    <s v="ORD00001"/>
    <d v="2025-08-27T00:00:00"/>
    <s v="CUST0258"/>
    <x v="0"/>
    <x v="0"/>
    <n v="3"/>
    <n v="0.05"/>
    <n v="39900"/>
    <n v="7045.57"/>
    <x v="0"/>
    <s v="Shipped"/>
    <n v="13300"/>
    <n v="17.658070175438599"/>
    <s v="Profit"/>
    <s v="Priya Naidu"/>
    <x v="0"/>
    <x v="0"/>
    <s v="Bengaluru"/>
    <s v="Karnataka"/>
    <s v="2023-07-05"/>
    <s v="26-35"/>
    <n v="2348.5233333333331"/>
  </r>
  <r>
    <s v="ORD00002"/>
    <d v="2025-12-24T00:00:00"/>
    <s v="CUST0030"/>
    <x v="1"/>
    <x v="1"/>
    <n v="5"/>
    <n v="0.05"/>
    <n v="8550"/>
    <n v="3043.49"/>
    <x v="1"/>
    <s v="Delivered"/>
    <n v="1710"/>
    <n v="35.596374269005842"/>
    <s v="Profit"/>
    <s v="Rahul Sharma"/>
    <x v="0"/>
    <x v="1"/>
    <s v="Mumbai"/>
    <s v="Maharashtra"/>
    <s v="2025-03-19"/>
    <s v="36-50"/>
    <n v="608.69799999999998"/>
  </r>
  <r>
    <s v="ORD00003"/>
    <d v="2026-07-15T00:00:00"/>
    <s v="CUST0333"/>
    <x v="2"/>
    <x v="2"/>
    <n v="2"/>
    <n v="0.2"/>
    <n v="20800"/>
    <n v="3564.27"/>
    <x v="2"/>
    <s v="Delivered"/>
    <n v="10400"/>
    <n v="17.135913461538461"/>
    <s v="Profit"/>
    <s v="Aditya Gupta"/>
    <x v="0"/>
    <x v="0"/>
    <s v="Chennai"/>
    <s v="Tamil Nadu"/>
    <s v="2023-02-18"/>
    <s v="26-35"/>
    <n v="1782.135"/>
  </r>
  <r>
    <s v="ORD00004"/>
    <d v="2026-02-18T00:00:00"/>
    <s v="CUST0576"/>
    <x v="2"/>
    <x v="3"/>
    <n v="1"/>
    <n v="0.05"/>
    <n v="14250"/>
    <n v="2908.49"/>
    <x v="0"/>
    <s v="Delivered"/>
    <n v="14250"/>
    <n v="20.41045614035087"/>
    <s v="Profit"/>
    <s v="Harini Pillai"/>
    <x v="0"/>
    <x v="0"/>
    <s v="Hyderabad"/>
    <s v="Telangana"/>
    <s v="2023-05-25"/>
    <s v="26-35"/>
    <n v="2908.49"/>
  </r>
  <r>
    <s v="ORD00005"/>
    <d v="2025-08-21T00:00:00"/>
    <s v="CUST0212"/>
    <x v="0"/>
    <x v="0"/>
    <n v="3"/>
    <n v="0.1"/>
    <n v="37800"/>
    <n v="5141.3500000000004"/>
    <x v="3"/>
    <s v="Delivered"/>
    <n v="12600"/>
    <n v="13.60145502645503"/>
    <s v="Profit"/>
    <s v="Vikram Singh"/>
    <x v="0"/>
    <x v="1"/>
    <s v="Mumbai"/>
    <s v="Maharashtra"/>
    <s v="2025-06-26"/>
    <s v="26-35"/>
    <n v="1713.783333333334"/>
  </r>
  <r>
    <s v="ORD00006"/>
    <d v="2025-10-21T00:00:00"/>
    <s v="CUST0579"/>
    <x v="3"/>
    <x v="4"/>
    <n v="3"/>
    <n v="0.05"/>
    <n v="51300"/>
    <n v="8241.56"/>
    <x v="0"/>
    <s v="Delivered"/>
    <n v="17100"/>
    <n v="16.06541910331384"/>
    <s v="Profit"/>
    <s v="Manoj Reddy"/>
    <x v="1"/>
    <x v="2"/>
    <s v="Chandigarh"/>
    <s v="Chandigarh"/>
    <s v="2024-10-31"/>
    <s v="26-35"/>
    <n v="2747.186666666666"/>
  </r>
  <r>
    <s v="ORD00007"/>
    <d v="2025-11-05T00:00:00"/>
    <s v="CUST0127"/>
    <x v="2"/>
    <x v="5"/>
    <n v="3"/>
    <n v="0.3"/>
    <n v="23100"/>
    <n v="-17457.64"/>
    <x v="1"/>
    <s v="Cancelled"/>
    <n v="7700"/>
    <n v="-75.574199134199134"/>
    <s v="Loss"/>
    <s v="Ananya Patel"/>
    <x v="2"/>
    <x v="2"/>
    <s v="Chandigarh"/>
    <s v="Chandigarh"/>
    <s v="2023-08-13"/>
    <s v="26-35"/>
    <n v="-5819.2133333333331"/>
  </r>
  <r>
    <s v="ORD00008"/>
    <d v="2026-02-28T00:00:00"/>
    <s v="CUST0552"/>
    <x v="0"/>
    <x v="6"/>
    <n v="1"/>
    <n v="0.2"/>
    <n v="280"/>
    <n v="77.37"/>
    <x v="3"/>
    <s v="Delivered"/>
    <n v="280"/>
    <n v="27.63214285714286"/>
    <s v="Profit"/>
    <s v="Rahul Pillai"/>
    <x v="0"/>
    <x v="1"/>
    <s v="Mumbai"/>
    <s v="Maharashtra"/>
    <s v="2024-11-20"/>
    <s v="26-35"/>
    <n v="77.37"/>
  </r>
  <r>
    <s v="ORD00009"/>
    <d v="2026-04-27T00:00:00"/>
    <s v="CUST0338"/>
    <x v="0"/>
    <x v="7"/>
    <n v="2"/>
    <n v="0.05"/>
    <n v="1710"/>
    <n v="508.94"/>
    <x v="2"/>
    <s v="Shipped"/>
    <n v="855"/>
    <n v="29.76257309941521"/>
    <s v="Profit"/>
    <s v="Kavya Bose"/>
    <x v="1"/>
    <x v="0"/>
    <s v="Hyderabad"/>
    <s v="Telangana"/>
    <s v="2024-10-27"/>
    <s v="26-35"/>
    <n v="254.47"/>
  </r>
  <r>
    <s v="ORD00010"/>
    <d v="2026-04-06T00:00:00"/>
    <s v="CUST0195"/>
    <x v="0"/>
    <x v="6"/>
    <n v="2"/>
    <n v="0"/>
    <n v="700"/>
    <n v="240"/>
    <x v="1"/>
    <s v="Delivered"/>
    <n v="350"/>
    <n v="34.285714285714278"/>
    <s v="Profit"/>
    <s v="Nisha Kulkarni"/>
    <x v="1"/>
    <x v="0"/>
    <s v="Coimbatore"/>
    <s v="Tamil Nadu"/>
    <s v="2024-04-23"/>
    <s v="18-25"/>
    <n v="120"/>
  </r>
  <r>
    <s v="ORD00011"/>
    <d v="2025-09-26T00:00:00"/>
    <s v="CUST0555"/>
    <x v="3"/>
    <x v="4"/>
    <n v="4"/>
    <n v="0.1"/>
    <n v="64800"/>
    <n v="9465.85"/>
    <x v="0"/>
    <s v="Shipped"/>
    <n v="16200"/>
    <n v="14.60779320987654"/>
    <s v="Profit"/>
    <s v="Aarav Mehta"/>
    <x v="0"/>
    <x v="0"/>
    <s v="Coimbatore"/>
    <s v="Tamil Nadu"/>
    <s v="2023-05-19"/>
    <s v="51+"/>
    <n v="2366.4625000000001"/>
  </r>
  <r>
    <s v="ORD00012"/>
    <d v="2026-07-30T00:00:00"/>
    <s v="CUST0486"/>
    <x v="3"/>
    <x v="8"/>
    <n v="1"/>
    <n v="0"/>
    <n v="4500"/>
    <n v="1500"/>
    <x v="1"/>
    <s v="Delivered"/>
    <n v="4500"/>
    <n v="33.333333333333329"/>
    <s v="Profit"/>
    <s v="Shreya Chopra"/>
    <x v="0"/>
    <x v="1"/>
    <s v="Ahmedabad"/>
    <s v="Gujarat"/>
    <s v="2025-10-26"/>
    <s v="18-25"/>
    <n v="1500"/>
  </r>
  <r>
    <s v="ORD00013"/>
    <d v="2026-02-23T00:00:00"/>
    <s v="CUST0484"/>
    <x v="2"/>
    <x v="3"/>
    <n v="3"/>
    <n v="0.2"/>
    <n v="36000"/>
    <n v="5878.38"/>
    <x v="0"/>
    <s v="Delivered"/>
    <n v="12000"/>
    <n v="16.328833333333339"/>
    <s v="Profit"/>
    <s v="Rahul Pillai"/>
    <x v="0"/>
    <x v="2"/>
    <s v="Delhi"/>
    <s v="Delhi"/>
    <s v="2025-05-08"/>
    <s v="36-50"/>
    <n v="1959.46"/>
  </r>
  <r>
    <s v="ORD00014"/>
    <d v="2026-08-16T00:00:00"/>
    <s v="CUST0327"/>
    <x v="2"/>
    <x v="9"/>
    <n v="1"/>
    <n v="0.05"/>
    <n v="8550"/>
    <n v="1997.29"/>
    <x v="0"/>
    <s v="Delivered"/>
    <n v="8550"/>
    <n v="23.360116959064332"/>
    <s v="Profit"/>
    <s v="Sanjay Singh"/>
    <x v="1"/>
    <x v="1"/>
    <s v="Pune"/>
    <s v="Maharashtra"/>
    <s v="2023-11-03"/>
    <s v="18-25"/>
    <n v="1997.29"/>
  </r>
  <r>
    <s v="ORD00015"/>
    <d v="2026-05-04T00:00:00"/>
    <s v="CUST0525"/>
    <x v="3"/>
    <x v="4"/>
    <n v="1"/>
    <n v="0.05"/>
    <n v="17100"/>
    <n v="2920.21"/>
    <x v="3"/>
    <s v="Delivered"/>
    <n v="17100"/>
    <n v="17.0772514619883"/>
    <s v="Profit"/>
    <s v="Varun Gupta"/>
    <x v="2"/>
    <x v="2"/>
    <s v="Delhi"/>
    <s v="Delhi"/>
    <s v="2023-05-14"/>
    <s v="36-50"/>
    <n v="2920.21"/>
  </r>
  <r>
    <s v="ORD00016"/>
    <d v="2025-12-14T00:00:00"/>
    <s v="CUST0192"/>
    <x v="3"/>
    <x v="10"/>
    <n v="2"/>
    <n v="0.15"/>
    <n v="93500"/>
    <n v="7920.6"/>
    <x v="0"/>
    <s v="Delivered"/>
    <n v="46750"/>
    <n v="8.4712299465240637"/>
    <s v="Profit"/>
    <s v="Kavya Verma"/>
    <x v="2"/>
    <x v="3"/>
    <s v="Bhubaneswar"/>
    <s v="Odisha"/>
    <s v="2023-06-15"/>
    <s v="36-50"/>
    <n v="3960.3"/>
  </r>
  <r>
    <s v="ORD00017"/>
    <d v="2026-05-23T00:00:00"/>
    <s v="CUST0583"/>
    <x v="2"/>
    <x v="9"/>
    <n v="3"/>
    <n v="0.1"/>
    <n v="24300"/>
    <n v="4971.6499999999996"/>
    <x v="2"/>
    <s v="Delivered"/>
    <n v="8100"/>
    <n v="20.459465020576129"/>
    <s v="Profit"/>
    <s v="Shreya Menon"/>
    <x v="2"/>
    <x v="1"/>
    <s v="Ahmedabad"/>
    <s v="Gujarat"/>
    <s v="2023-09-05"/>
    <s v="26-35"/>
    <n v="1657.216666666666"/>
  </r>
  <r>
    <s v="ORD00018"/>
    <d v="2026-02-21T00:00:00"/>
    <s v="CUST0460"/>
    <x v="3"/>
    <x v="8"/>
    <n v="1"/>
    <n v="0.1"/>
    <n v="4050"/>
    <n v="1137.49"/>
    <x v="0"/>
    <s v="Delivered"/>
    <n v="4050"/>
    <n v="28.086172839506169"/>
    <s v="Profit"/>
    <s v="Rohan Nair"/>
    <x v="0"/>
    <x v="0"/>
    <s v="Chennai"/>
    <s v="Tamil Nadu"/>
    <s v="2023-12-17"/>
    <s v="18-25"/>
    <n v="1137.49"/>
  </r>
  <r>
    <s v="ORD00019"/>
    <d v="2025-11-29T00:00:00"/>
    <s v="CUST0503"/>
    <x v="3"/>
    <x v="8"/>
    <n v="2"/>
    <n v="0.1"/>
    <n v="8100"/>
    <n v="2537.2399999999998"/>
    <x v="3"/>
    <s v="Delivered"/>
    <n v="4050"/>
    <n v="31.323950617283948"/>
    <s v="Profit"/>
    <s v="Manoj Nair"/>
    <x v="2"/>
    <x v="0"/>
    <s v="Hyderabad"/>
    <s v="Telangana"/>
    <s v="2025-08-16"/>
    <s v="51+"/>
    <n v="1268.6199999999999"/>
  </r>
  <r>
    <s v="ORD00020"/>
    <d v="2026-03-13T00:00:00"/>
    <s v="CUST0214"/>
    <x v="0"/>
    <x v="0"/>
    <n v="4"/>
    <n v="0.15"/>
    <n v="47600"/>
    <n v="6163.33"/>
    <x v="2"/>
    <s v="Shipped"/>
    <n v="11900"/>
    <n v="12.948172268907561"/>
    <s v="Profit"/>
    <s v="Ananya Rao"/>
    <x v="0"/>
    <x v="0"/>
    <s v="Hyderabad"/>
    <s v="Telangana"/>
    <s v="2023-07-14"/>
    <s v="51+"/>
    <n v="1540.8325"/>
  </r>
  <r>
    <s v="ORD00021"/>
    <d v="2025-11-01T00:00:00"/>
    <s v="CUST0166"/>
    <x v="0"/>
    <x v="7"/>
    <n v="5"/>
    <n v="0.1"/>
    <n v="4050"/>
    <n v="1058.08"/>
    <x v="1"/>
    <s v="Delivered"/>
    <n v="810"/>
    <n v="26.12543209876543"/>
    <s v="Profit"/>
    <s v="Arjun Gupta"/>
    <x v="2"/>
    <x v="0"/>
    <s v="Chennai"/>
    <s v="Tamil Nadu"/>
    <s v="2024-10-19"/>
    <s v="18-25"/>
    <n v="211.61600000000001"/>
  </r>
  <r>
    <s v="ORD00022"/>
    <d v="2026-05-07T00:00:00"/>
    <s v="CUST0378"/>
    <x v="0"/>
    <x v="6"/>
    <n v="5"/>
    <n v="0.15"/>
    <n v="1487.5"/>
    <n v="385.12"/>
    <x v="1"/>
    <s v="Delivered"/>
    <n v="297.5"/>
    <n v="25.89042016806723"/>
    <s v="Profit"/>
    <s v="Aarav Joshi"/>
    <x v="2"/>
    <x v="0"/>
    <s v="Bengaluru"/>
    <s v="Karnataka"/>
    <s v="2025-12-14"/>
    <s v="26-35"/>
    <n v="77.024000000000001"/>
  </r>
  <r>
    <s v="ORD00023"/>
    <d v="2025-12-30T00:00:00"/>
    <s v="CUST0385"/>
    <x v="1"/>
    <x v="1"/>
    <n v="5"/>
    <n v="0.05"/>
    <n v="8550"/>
    <n v="2868.99"/>
    <x v="1"/>
    <s v="Shipped"/>
    <n v="1710"/>
    <n v="33.555438596491229"/>
    <s v="Profit"/>
    <s v="Karthik Singh"/>
    <x v="0"/>
    <x v="0"/>
    <s v="Coimbatore"/>
    <s v="Tamil Nadu"/>
    <s v="2023-06-06"/>
    <s v="26-35"/>
    <n v="573.798"/>
  </r>
  <r>
    <s v="ORD00024"/>
    <d v="2025-09-21T00:00:00"/>
    <s v="CUST0402"/>
    <x v="3"/>
    <x v="11"/>
    <n v="2"/>
    <n v="0"/>
    <n v="5000"/>
    <n v="1600"/>
    <x v="3"/>
    <s v="Shipped"/>
    <n v="2500"/>
    <n v="32"/>
    <s v="Profit"/>
    <s v="Diya Pillai"/>
    <x v="1"/>
    <x v="0"/>
    <s v="Chennai"/>
    <s v="Tamil Nadu"/>
    <s v="2025-08-08"/>
    <s v="36-50"/>
    <n v="800"/>
  </r>
  <r>
    <s v="ORD00025"/>
    <d v="2026-02-08T00:00:00"/>
    <s v="CUST0449"/>
    <x v="1"/>
    <x v="12"/>
    <n v="1"/>
    <n v="0"/>
    <n v="1400"/>
    <n v="500"/>
    <x v="3"/>
    <s v="Shipped"/>
    <n v="1400"/>
    <n v="35.714285714285722"/>
    <s v="Profit"/>
    <s v="Ishaan Kulkarni"/>
    <x v="0"/>
    <x v="1"/>
    <s v="Pune"/>
    <s v="Maharashtra"/>
    <s v="2023-06-12"/>
    <s v="36-50"/>
    <n v="500"/>
  </r>
  <r>
    <s v="ORD00026"/>
    <d v="2026-07-14T00:00:00"/>
    <s v="CUST0482"/>
    <x v="3"/>
    <x v="9"/>
    <n v="4"/>
    <n v="0"/>
    <n v="36000"/>
    <n v="9200"/>
    <x v="0"/>
    <s v="Delivered"/>
    <n v="9000"/>
    <n v="25.55555555555555"/>
    <s v="Profit"/>
    <s v="Divya Reddy"/>
    <x v="0"/>
    <x v="0"/>
    <s v="Chennai"/>
    <s v="Tamil Nadu"/>
    <s v="2025-06-12"/>
    <s v="26-35"/>
    <n v="2300"/>
  </r>
  <r>
    <s v="ORD00027"/>
    <d v="2026-07-21T00:00:00"/>
    <s v="CUST0200"/>
    <x v="1"/>
    <x v="1"/>
    <n v="4"/>
    <n v="0.05"/>
    <n v="6840"/>
    <n v="2310.29"/>
    <x v="3"/>
    <s v="Delivered"/>
    <n v="1710"/>
    <n v="33.776169590643271"/>
    <s v="Profit"/>
    <s v="Nisha Mishra"/>
    <x v="2"/>
    <x v="0"/>
    <s v="Bengaluru"/>
    <s v="Karnataka"/>
    <s v="2023-10-31"/>
    <s v="51+"/>
    <n v="577.57249999999999"/>
  </r>
  <r>
    <s v="ORD00028"/>
    <d v="2026-01-14T00:00:00"/>
    <s v="CUST0064"/>
    <x v="3"/>
    <x v="11"/>
    <n v="15"/>
    <n v="0.1"/>
    <n v="33750"/>
    <n v="10059.459999999999"/>
    <x v="3"/>
    <s v="Delivered"/>
    <n v="2250"/>
    <n v="29.8058074074074"/>
    <s v="Profit"/>
    <s v="Diya Rao"/>
    <x v="1"/>
    <x v="0"/>
    <s v="Chennai"/>
    <s v="Tamil Nadu"/>
    <s v="2025-05-13"/>
    <s v="26-35"/>
    <n v="670.63066666666657"/>
  </r>
  <r>
    <s v="ORD00029"/>
    <d v="2025-10-04T00:00:00"/>
    <s v="CUST0177"/>
    <x v="1"/>
    <x v="12"/>
    <n v="2"/>
    <n v="0.05"/>
    <n v="2660"/>
    <n v="903.86"/>
    <x v="3"/>
    <s v="Delivered"/>
    <n v="1330"/>
    <n v="33.979699248120298"/>
    <s v="Profit"/>
    <s v="Lakshmi Mehta"/>
    <x v="2"/>
    <x v="1"/>
    <s v="Mumbai"/>
    <s v="Maharashtra"/>
    <s v="2023-11-03"/>
    <s v="26-35"/>
    <n v="451.93"/>
  </r>
  <r>
    <s v="ORD00030"/>
    <d v="2025-09-20T00:00:00"/>
    <s v="CUST0359"/>
    <x v="1"/>
    <x v="13"/>
    <n v="2"/>
    <n v="0.05"/>
    <n v="7980"/>
    <n v="2063.3000000000002"/>
    <x v="1"/>
    <s v="Delivered"/>
    <n v="3990"/>
    <n v="25.855889724310781"/>
    <s v="Profit"/>
    <s v="Ananya Mishra"/>
    <x v="0"/>
    <x v="0"/>
    <s v="Bengaluru"/>
    <s v="Karnataka"/>
    <s v="2024-05-22"/>
    <s v="26-35"/>
    <n v="1031.6500000000001"/>
  </r>
  <r>
    <s v="ORD00031"/>
    <d v="2026-05-01T00:00:00"/>
    <s v="CUST0090"/>
    <x v="1"/>
    <x v="1"/>
    <n v="1"/>
    <n v="0.15"/>
    <n v="1530"/>
    <n v="491.47"/>
    <x v="3"/>
    <s v="Delivered"/>
    <n v="1530"/>
    <n v="32.122222222222227"/>
    <s v="Profit"/>
    <s v="Nisha Bose"/>
    <x v="1"/>
    <x v="0"/>
    <s v="Coimbatore"/>
    <s v="Tamil Nadu"/>
    <s v="2024-09-07"/>
    <s v="51+"/>
    <n v="491.47"/>
  </r>
  <r>
    <s v="ORD00032"/>
    <d v="2026-03-14T00:00:00"/>
    <s v="CUST0125"/>
    <x v="1"/>
    <x v="1"/>
    <n v="2"/>
    <n v="0.2"/>
    <n v="2880"/>
    <n v="-730.55"/>
    <x v="3"/>
    <s v="Cancelled"/>
    <n v="1440"/>
    <n v="-25.366319444444439"/>
    <s v="Loss"/>
    <s v="Diya Singh"/>
    <x v="2"/>
    <x v="3"/>
    <s v="Patna"/>
    <s v="Bihar"/>
    <s v="2023-08-16"/>
    <s v="36-50"/>
    <n v="-365.27499999999998"/>
  </r>
  <r>
    <s v="ORD00033"/>
    <d v="2026-07-28T00:00:00"/>
    <s v="CUST0362"/>
    <x v="0"/>
    <x v="0"/>
    <n v="2"/>
    <n v="0.1"/>
    <n v="25200"/>
    <n v="3802.3"/>
    <x v="1"/>
    <s v="Delivered"/>
    <n v="12600"/>
    <n v="15.088492063492071"/>
    <s v="Profit"/>
    <s v="Karthik Joshi"/>
    <x v="0"/>
    <x v="0"/>
    <s v="Coimbatore"/>
    <s v="Tamil Nadu"/>
    <s v="2025-09-08"/>
    <s v="26-35"/>
    <n v="1901.15"/>
  </r>
  <r>
    <s v="ORD00034"/>
    <d v="2025-08-11T00:00:00"/>
    <s v="CUST0598"/>
    <x v="3"/>
    <x v="11"/>
    <n v="1"/>
    <n v="0.05"/>
    <n v="2375"/>
    <n v="733.65"/>
    <x v="1"/>
    <s v="Delivered"/>
    <n v="2375"/>
    <n v="30.890526315789469"/>
    <s v="Profit"/>
    <s v="Arjun Das"/>
    <x v="0"/>
    <x v="0"/>
    <s v="Hyderabad"/>
    <s v="Telangana"/>
    <s v="2024-07-07"/>
    <s v="36-50"/>
    <n v="733.65"/>
  </r>
  <r>
    <s v="ORD00035"/>
    <d v="2026-04-23T00:00:00"/>
    <s v="CUST0470"/>
    <x v="0"/>
    <x v="0"/>
    <n v="3"/>
    <n v="0.15"/>
    <n v="35700"/>
    <n v="4197.41"/>
    <x v="0"/>
    <s v="Delivered"/>
    <n v="11900"/>
    <n v="11.757450980392161"/>
    <s v="Profit"/>
    <s v="Akash Kulkarni"/>
    <x v="0"/>
    <x v="1"/>
    <s v="Surat"/>
    <s v="Gujarat"/>
    <s v="2025-07-01"/>
    <s v="51+"/>
    <n v="1399.136666666667"/>
  </r>
  <r>
    <s v="ORD00036"/>
    <d v="2025-09-15T00:00:00"/>
    <s v="CUST0596"/>
    <x v="3"/>
    <x v="8"/>
    <n v="2"/>
    <n v="0.1"/>
    <n v="8100"/>
    <n v="2319.67"/>
    <x v="2"/>
    <s v="Shipped"/>
    <n v="4050"/>
    <n v="28.637901234567899"/>
    <s v="Profit"/>
    <s v="Manoj Rao"/>
    <x v="0"/>
    <x v="0"/>
    <s v="Bengaluru"/>
    <s v="Karnataka"/>
    <s v="2024-01-21"/>
    <s v="18-25"/>
    <n v="1159.835"/>
  </r>
  <r>
    <s v="ORD00037"/>
    <d v="2026-08-06T00:00:00"/>
    <s v="CUST0540"/>
    <x v="2"/>
    <x v="2"/>
    <n v="1"/>
    <n v="0.3"/>
    <n v="9100"/>
    <n v="408.21"/>
    <x v="3"/>
    <s v="Delivered"/>
    <n v="9100"/>
    <n v="4.4858241758241757"/>
    <s v="Profit"/>
    <s v="Kavya Rao"/>
    <x v="0"/>
    <x v="0"/>
    <s v="Chennai"/>
    <s v="Tamil Nadu"/>
    <s v="2023-09-30"/>
    <s v="18-25"/>
    <n v="408.21"/>
  </r>
  <r>
    <s v="ORD00038"/>
    <d v="2026-05-11T00:00:00"/>
    <s v="CUST0374"/>
    <x v="1"/>
    <x v="13"/>
    <n v="2"/>
    <n v="0.1"/>
    <n v="7560"/>
    <n v="1719.24"/>
    <x v="1"/>
    <s v="Delivered"/>
    <n v="3780"/>
    <n v="22.74126984126984"/>
    <s v="Profit"/>
    <s v="Ishaan Chopra"/>
    <x v="0"/>
    <x v="0"/>
    <s v="Bengaluru"/>
    <s v="Karnataka"/>
    <s v="2024-09-12"/>
    <s v="18-25"/>
    <n v="859.62"/>
  </r>
  <r>
    <s v="ORD00039"/>
    <d v="2026-04-03T00:00:00"/>
    <s v="CUST0167"/>
    <x v="1"/>
    <x v="12"/>
    <n v="4"/>
    <n v="0.1"/>
    <n v="5040"/>
    <n v="1535.58"/>
    <x v="3"/>
    <s v="Delivered"/>
    <n v="1260"/>
    <n v="30.467857142857142"/>
    <s v="Profit"/>
    <s v="Aarav Mehta"/>
    <x v="0"/>
    <x v="0"/>
    <s v="Hyderabad"/>
    <s v="Telangana"/>
    <s v="2024-10-15"/>
    <s v="51+"/>
    <n v="383.89499999999998"/>
  </r>
  <r>
    <s v="ORD00040"/>
    <d v="2026-08-27T00:00:00"/>
    <s v="CUST0107"/>
    <x v="1"/>
    <x v="13"/>
    <n v="1"/>
    <n v="0.05"/>
    <n v="3990"/>
    <n v="1063.6600000000001"/>
    <x v="1"/>
    <s v="Shipped"/>
    <n v="3990"/>
    <n v="26.658145363408529"/>
    <s v="Profit"/>
    <s v="Ishaan Sharma"/>
    <x v="0"/>
    <x v="3"/>
    <s v="Bhubaneswar"/>
    <s v="Odisha"/>
    <s v="2024-11-29"/>
    <s v="26-35"/>
    <n v="1063.6600000000001"/>
  </r>
  <r>
    <s v="ORD00041"/>
    <d v="2026-07-27T00:00:00"/>
    <s v="CUST0305"/>
    <x v="0"/>
    <x v="0"/>
    <n v="2"/>
    <n v="0.05"/>
    <n v="26600"/>
    <n v="4931.8500000000004"/>
    <x v="0"/>
    <s v="Delivered"/>
    <n v="13300"/>
    <n v="18.54078947368421"/>
    <s v="Profit"/>
    <s v="Nisha Mishra"/>
    <x v="0"/>
    <x v="2"/>
    <s v="Jaipur"/>
    <s v="Rajasthan"/>
    <s v="2024-11-15"/>
    <s v="26-35"/>
    <n v="2465.9250000000002"/>
  </r>
  <r>
    <s v="ORD00042"/>
    <d v="2026-03-24T00:00:00"/>
    <s v="CUST0370"/>
    <x v="0"/>
    <x v="14"/>
    <n v="2"/>
    <n v="0.15"/>
    <n v="765"/>
    <n v="113.91"/>
    <x v="0"/>
    <s v="Delivered"/>
    <n v="382.5"/>
    <n v="14.890196078431369"/>
    <s v="Profit"/>
    <s v="Diya Kulkarni"/>
    <x v="1"/>
    <x v="2"/>
    <s v="Chandigarh"/>
    <s v="Chandigarh"/>
    <s v="2024-04-20"/>
    <s v="26-35"/>
    <n v="56.954999999999998"/>
  </r>
  <r>
    <s v="ORD00043"/>
    <d v="2026-07-01T00:00:00"/>
    <s v="CUST0340"/>
    <x v="3"/>
    <x v="10"/>
    <n v="1"/>
    <n v="0"/>
    <n v="55000"/>
    <n v="9000"/>
    <x v="0"/>
    <s v="Delivered"/>
    <n v="55000"/>
    <n v="16.36363636363636"/>
    <s v="Profit"/>
    <s v="Lakshmi Pillai"/>
    <x v="1"/>
    <x v="0"/>
    <s v="Chennai"/>
    <s v="Tamil Nadu"/>
    <s v="2023-11-04"/>
    <s v="18-25"/>
    <n v="9000"/>
  </r>
  <r>
    <s v="ORD00044"/>
    <d v="2025-12-09T00:00:00"/>
    <s v="CUST0279"/>
    <x v="0"/>
    <x v="7"/>
    <n v="3"/>
    <n v="0.15"/>
    <n v="2295"/>
    <n v="544.5"/>
    <x v="1"/>
    <s v="Delivered"/>
    <n v="765"/>
    <n v="23.725490196078429"/>
    <s v="Profit"/>
    <s v="Aditya Bose"/>
    <x v="0"/>
    <x v="2"/>
    <s v="Delhi"/>
    <s v="Delhi"/>
    <s v="2024-04-09"/>
    <s v="26-35"/>
    <n v="181.5"/>
  </r>
  <r>
    <s v="ORD00045"/>
    <d v="2026-01-30T00:00:00"/>
    <s v="CUST0284"/>
    <x v="0"/>
    <x v="6"/>
    <n v="3"/>
    <n v="0.15"/>
    <n v="892.5"/>
    <n v="-120.41"/>
    <x v="0"/>
    <s v="Cancelled"/>
    <n v="297.5"/>
    <n v="-13.491316526610641"/>
    <s v="Loss"/>
    <s v="Pooja Mehta"/>
    <x v="0"/>
    <x v="0"/>
    <s v="Chennai"/>
    <s v="Tamil Nadu"/>
    <s v="2024-07-24"/>
    <s v="36-50"/>
    <n v="-40.136666666666663"/>
  </r>
  <r>
    <s v="ORD00046"/>
    <d v="2025-10-08T00:00:00"/>
    <s v="CUST0597"/>
    <x v="3"/>
    <x v="11"/>
    <n v="3"/>
    <n v="0.3"/>
    <n v="5250"/>
    <n v="1324.49"/>
    <x v="1"/>
    <s v="Shipped"/>
    <n v="1750"/>
    <n v="25.228380952380949"/>
    <s v="Profit"/>
    <s v="Harini Menon"/>
    <x v="1"/>
    <x v="0"/>
    <s v="Hyderabad"/>
    <s v="Telangana"/>
    <s v="2025-05-09"/>
    <s v="51+"/>
    <n v="441.49666666666673"/>
  </r>
  <r>
    <s v="ORD00047"/>
    <d v="2025-10-31T00:00:00"/>
    <s v="CUST0486"/>
    <x v="0"/>
    <x v="0"/>
    <n v="3"/>
    <n v="0.2"/>
    <n v="33600"/>
    <n v="1949.86"/>
    <x v="3"/>
    <s v="Delivered"/>
    <n v="11200"/>
    <n v="5.8031547619047616"/>
    <s v="Profit"/>
    <s v="Shreya Chopra"/>
    <x v="0"/>
    <x v="1"/>
    <s v="Ahmedabad"/>
    <s v="Gujarat"/>
    <s v="2025-10-26"/>
    <s v="18-25"/>
    <n v="649.95333333333326"/>
  </r>
  <r>
    <s v="ORD00048"/>
    <d v="2026-02-15T00:00:00"/>
    <s v="CUST0415"/>
    <x v="3"/>
    <x v="10"/>
    <n v="15"/>
    <n v="0.1"/>
    <n v="243000"/>
    <n v="34082.1"/>
    <x v="3"/>
    <s v="Delivered"/>
    <n v="16200"/>
    <n v="14.025555555555551"/>
    <s v="Profit"/>
    <s v="Manoj Bose"/>
    <x v="1"/>
    <x v="0"/>
    <s v="Bengaluru"/>
    <s v="Karnataka"/>
    <s v="2024-07-04"/>
    <s v="36-50"/>
    <n v="2272.14"/>
  </r>
  <r>
    <s v="ORD00049"/>
    <d v="2026-06-15T00:00:00"/>
    <s v="CUST0475"/>
    <x v="1"/>
    <x v="13"/>
    <n v="1"/>
    <n v="0.15"/>
    <n v="3570"/>
    <n v="841.89"/>
    <x v="0"/>
    <s v="Delivered"/>
    <n v="3570"/>
    <n v="23.58235294117647"/>
    <s v="Profit"/>
    <s v="Divya Verma"/>
    <x v="0"/>
    <x v="0"/>
    <s v="Bengaluru"/>
    <s v="Karnataka"/>
    <s v="2025-12-10"/>
    <s v="26-35"/>
    <n v="841.89"/>
  </r>
  <r>
    <s v="ORD00050"/>
    <d v="2025-12-22T00:00:00"/>
    <s v="CUST0015"/>
    <x v="1"/>
    <x v="1"/>
    <n v="3"/>
    <n v="0.05"/>
    <n v="5130"/>
    <n v="1807.07"/>
    <x v="0"/>
    <s v="Delivered"/>
    <n v="1710"/>
    <n v="35.225536062378168"/>
    <s v="Profit"/>
    <s v="Diya Pillai"/>
    <x v="1"/>
    <x v="0"/>
    <s v="Coimbatore"/>
    <s v="Tamil Nadu"/>
    <s v="2024-09-16"/>
    <s v="51+"/>
    <n v="602.35666666666668"/>
  </r>
  <r>
    <s v="ORD00051"/>
    <d v="2025-07-03T00:00:00"/>
    <s v="CUST0515"/>
    <x v="3"/>
    <x v="4"/>
    <n v="4"/>
    <n v="0"/>
    <n v="72000"/>
    <n v="14000"/>
    <x v="1"/>
    <s v="Shipped"/>
    <n v="18000"/>
    <n v="19.44444444444445"/>
    <s v="Profit"/>
    <s v="Priya Rao"/>
    <x v="2"/>
    <x v="0"/>
    <s v="Chennai"/>
    <s v="Tamil Nadu"/>
    <s v="2025-06-05"/>
    <s v="18-25"/>
    <n v="3500"/>
  </r>
  <r>
    <s v="ORD00052"/>
    <d v="2026-03-28T00:00:00"/>
    <s v="CUST0372"/>
    <x v="1"/>
    <x v="12"/>
    <n v="10"/>
    <n v="0"/>
    <n v="14000"/>
    <n v="5000"/>
    <x v="2"/>
    <s v="Delivered"/>
    <n v="1400"/>
    <n v="35.714285714285722"/>
    <s v="Profit"/>
    <s v="Akash Das"/>
    <x v="1"/>
    <x v="0"/>
    <s v="Bengaluru"/>
    <s v="Karnataka"/>
    <s v="2024-08-19"/>
    <s v="36-50"/>
    <n v="500"/>
  </r>
  <r>
    <s v="ORD00053"/>
    <d v="2025-11-02T00:00:00"/>
    <s v="CUST0067"/>
    <x v="3"/>
    <x v="4"/>
    <n v="2"/>
    <n v="0.1"/>
    <n v="32400"/>
    <n v="4453.74"/>
    <x v="0"/>
    <s v="Delivered"/>
    <n v="16200"/>
    <n v="13.746111111111111"/>
    <s v="Profit"/>
    <s v="Varun Joshi"/>
    <x v="0"/>
    <x v="0"/>
    <s v="Chennai"/>
    <s v="Tamil Nadu"/>
    <s v="2024-10-29"/>
    <s v="26-35"/>
    <n v="2226.87"/>
  </r>
  <r>
    <s v="ORD00054"/>
    <d v="2026-06-23T00:00:00"/>
    <s v="CUST0564"/>
    <x v="1"/>
    <x v="13"/>
    <n v="2"/>
    <n v="0.1"/>
    <n v="7560"/>
    <n v="1805.85"/>
    <x v="3"/>
    <s v="Delivered"/>
    <n v="3780"/>
    <n v="23.886904761904759"/>
    <s v="Profit"/>
    <s v="Aditya Joshi"/>
    <x v="2"/>
    <x v="3"/>
    <s v="Guwahati"/>
    <s v="Assam"/>
    <s v="2025-12-19"/>
    <s v="51+"/>
    <n v="902.92499999999995"/>
  </r>
  <r>
    <s v="ORD00055"/>
    <d v="2026-01-18T00:00:00"/>
    <s v="CUST0511"/>
    <x v="3"/>
    <x v="4"/>
    <n v="10"/>
    <n v="0"/>
    <n v="180000"/>
    <n v="35000"/>
    <x v="3"/>
    <s v="Delivered"/>
    <n v="18000"/>
    <n v="19.44444444444445"/>
    <s v="Profit"/>
    <s v="Sneha Naidu"/>
    <x v="1"/>
    <x v="2"/>
    <s v="Delhi"/>
    <s v="Delhi"/>
    <s v="2023-05-20"/>
    <s v="18-25"/>
    <n v="3500"/>
  </r>
  <r>
    <s v="ORD00056"/>
    <d v="2025-08-11T00:00:00"/>
    <s v="CUST0353"/>
    <x v="3"/>
    <x v="4"/>
    <n v="4"/>
    <n v="0.1"/>
    <n v="64800"/>
    <n v="10554.37"/>
    <x v="0"/>
    <s v="Delivered"/>
    <n v="16200"/>
    <n v="16.287608024691359"/>
    <s v="Profit"/>
    <s v="Aditya Iyer"/>
    <x v="2"/>
    <x v="0"/>
    <s v="Hyderabad"/>
    <s v="Telangana"/>
    <s v="2024-08-21"/>
    <s v="36-50"/>
    <n v="2638.5925000000002"/>
  </r>
  <r>
    <s v="ORD00057"/>
    <d v="2025-09-18T00:00:00"/>
    <s v="CUST0019"/>
    <x v="3"/>
    <x v="4"/>
    <n v="3"/>
    <n v="0"/>
    <n v="54000"/>
    <n v="10500"/>
    <x v="1"/>
    <s v="Delivered"/>
    <n v="18000"/>
    <n v="19.44444444444445"/>
    <s v="Profit"/>
    <s v="Ishaan Pillai"/>
    <x v="0"/>
    <x v="1"/>
    <s v="Ahmedabad"/>
    <s v="Gujarat"/>
    <s v="2023-06-28"/>
    <s v="36-50"/>
    <n v="3500"/>
  </r>
  <r>
    <s v="ORD00058"/>
    <d v="2026-02-22T00:00:00"/>
    <s v="CUST0527"/>
    <x v="2"/>
    <x v="2"/>
    <n v="1"/>
    <n v="0.2"/>
    <n v="10400"/>
    <n v="1769.98"/>
    <x v="2"/>
    <s v="Delivered"/>
    <n v="10400"/>
    <n v="17.019038461538461"/>
    <s v="Profit"/>
    <s v="Aarav Patel"/>
    <x v="0"/>
    <x v="0"/>
    <s v="Hyderabad"/>
    <s v="Telangana"/>
    <s v="2024-04-04"/>
    <s v="26-35"/>
    <n v="1769.98"/>
  </r>
  <r>
    <s v="ORD00059"/>
    <d v="2026-01-29T00:00:00"/>
    <s v="CUST0062"/>
    <x v="1"/>
    <x v="15"/>
    <n v="1"/>
    <n v="0.2"/>
    <n v="1760"/>
    <n v="549.95000000000005"/>
    <x v="0"/>
    <s v="Delivered"/>
    <n v="1760"/>
    <n v="31.24715909090909"/>
    <s v="Profit"/>
    <s v="Harini Pillai"/>
    <x v="1"/>
    <x v="2"/>
    <s v="Jaipur"/>
    <s v="Rajasthan"/>
    <s v="2023-04-01"/>
    <s v="36-50"/>
    <n v="549.95000000000005"/>
  </r>
  <r>
    <s v="ORD00060"/>
    <d v="2025-09-08T00:00:00"/>
    <s v="CUST0315"/>
    <x v="0"/>
    <x v="7"/>
    <n v="2"/>
    <n v="0.1"/>
    <n v="1620"/>
    <n v="424.4"/>
    <x v="1"/>
    <s v="Delivered"/>
    <n v="810"/>
    <n v="26.197530864197532"/>
    <s v="Profit"/>
    <s v="Harini Verma"/>
    <x v="0"/>
    <x v="0"/>
    <s v="Coimbatore"/>
    <s v="Tamil Nadu"/>
    <s v="2024-10-22"/>
    <s v="18-25"/>
    <n v="212.2"/>
  </r>
  <r>
    <s v="ORD00061"/>
    <d v="2026-03-03T00:00:00"/>
    <s v="CUST0242"/>
    <x v="2"/>
    <x v="3"/>
    <n v="4"/>
    <n v="0.05"/>
    <n v="57000"/>
    <n v="11461.57"/>
    <x v="0"/>
    <s v="Delivered"/>
    <n v="14250"/>
    <n v="20.108017543859649"/>
    <s v="Profit"/>
    <s v="Priya Singh"/>
    <x v="0"/>
    <x v="1"/>
    <s v="Pune"/>
    <s v="Maharashtra"/>
    <s v="2024-11-26"/>
    <s v="26-35"/>
    <n v="2865.3924999999999"/>
  </r>
  <r>
    <s v="ORD00062"/>
    <d v="2026-03-15T00:00:00"/>
    <s v="CUST0319"/>
    <x v="3"/>
    <x v="4"/>
    <n v="1"/>
    <n v="0.1"/>
    <n v="16200"/>
    <n v="2296.9899999999998"/>
    <x v="1"/>
    <s v="Delivered"/>
    <n v="16200"/>
    <n v="14.178950617283951"/>
    <s v="Profit"/>
    <s v="Vikram Sharma"/>
    <x v="0"/>
    <x v="0"/>
    <s v="Bengaluru"/>
    <s v="Karnataka"/>
    <s v="2024-01-16"/>
    <s v="26-35"/>
    <n v="2296.9899999999998"/>
  </r>
  <r>
    <s v="ORD00063"/>
    <d v="2026-06-26T00:00:00"/>
    <s v="CUST0276"/>
    <x v="0"/>
    <x v="0"/>
    <n v="2"/>
    <n v="0.1"/>
    <n v="25200"/>
    <n v="3594.29"/>
    <x v="1"/>
    <s v="Delivered"/>
    <n v="12600"/>
    <n v="14.26305555555556"/>
    <s v="Profit"/>
    <s v="Lakshmi Pillai"/>
    <x v="2"/>
    <x v="1"/>
    <s v="Mumbai"/>
    <s v="Maharashtra"/>
    <s v="2024-01-26"/>
    <s v="36-50"/>
    <n v="1797.145"/>
  </r>
  <r>
    <s v="ORD00064"/>
    <d v="2025-12-18T00:00:00"/>
    <s v="CUST0428"/>
    <x v="2"/>
    <x v="2"/>
    <n v="1"/>
    <n v="0.15"/>
    <n v="11050"/>
    <n v="-5348.47"/>
    <x v="2"/>
    <s v="Cancelled"/>
    <n v="11050"/>
    <n v="-48.402443438914027"/>
    <s v="Loss"/>
    <s v="Akash Iyer"/>
    <x v="2"/>
    <x v="2"/>
    <s v="Chandigarh"/>
    <s v="Chandigarh"/>
    <s v="2024-08-10"/>
    <s v="26-35"/>
    <n v="-5348.47"/>
  </r>
  <r>
    <s v="ORD00065"/>
    <d v="2025-11-05T00:00:00"/>
    <s v="CUST0004"/>
    <x v="2"/>
    <x v="2"/>
    <n v="1"/>
    <n v="0.05"/>
    <n v="12350"/>
    <n v="2705.91"/>
    <x v="2"/>
    <s v="Delivered"/>
    <n v="12350"/>
    <n v="21.910202429149798"/>
    <s v="Profit"/>
    <s v="Vikram Kulkarni"/>
    <x v="0"/>
    <x v="1"/>
    <s v="Pune"/>
    <s v="Maharashtra"/>
    <s v="2023-09-22"/>
    <s v="18-25"/>
    <n v="2705.91"/>
  </r>
  <r>
    <s v="ORD00066"/>
    <d v="2026-07-19T00:00:00"/>
    <s v="CUST0050"/>
    <x v="0"/>
    <x v="7"/>
    <n v="4"/>
    <n v="0.15"/>
    <n v="3060"/>
    <n v="838.81"/>
    <x v="2"/>
    <s v="Delivered"/>
    <n v="765"/>
    <n v="27.41209150326797"/>
    <s v="Profit"/>
    <s v="Varun Mehta"/>
    <x v="2"/>
    <x v="2"/>
    <s v="Jaipur"/>
    <s v="Rajasthan"/>
    <s v="2025-07-08"/>
    <s v="26-35"/>
    <n v="209.70249999999999"/>
  </r>
  <r>
    <s v="ORD00067"/>
    <d v="2025-09-13T00:00:00"/>
    <s v="CUST0581"/>
    <x v="3"/>
    <x v="4"/>
    <n v="15"/>
    <n v="0"/>
    <n v="270000"/>
    <n v="52500"/>
    <x v="0"/>
    <s v="Delivered"/>
    <n v="18000"/>
    <n v="19.44444444444445"/>
    <s v="Profit"/>
    <s v="Aditya Naidu"/>
    <x v="0"/>
    <x v="0"/>
    <s v="Coimbatore"/>
    <s v="Tamil Nadu"/>
    <s v="2024-10-03"/>
    <s v="18-25"/>
    <n v="3500"/>
  </r>
  <r>
    <s v="ORD00068"/>
    <d v="2026-03-02T00:00:00"/>
    <s v="CUST0136"/>
    <x v="2"/>
    <x v="9"/>
    <n v="2"/>
    <n v="0.05"/>
    <n v="17100"/>
    <n v="4128.59"/>
    <x v="2"/>
    <s v="Delivered"/>
    <n v="8550"/>
    <n v="24.143801169590649"/>
    <s v="Profit"/>
    <s v="Meera Patel"/>
    <x v="0"/>
    <x v="2"/>
    <s v="Delhi"/>
    <s v="Delhi"/>
    <s v="2024-08-15"/>
    <s v="36-50"/>
    <n v="2064.2950000000001"/>
  </r>
  <r>
    <s v="ORD00069"/>
    <d v="2026-04-25T00:00:00"/>
    <s v="CUST0158"/>
    <x v="0"/>
    <x v="7"/>
    <n v="1"/>
    <n v="0"/>
    <n v="900"/>
    <n v="280"/>
    <x v="1"/>
    <s v="Delivered"/>
    <n v="900"/>
    <n v="31.111111111111111"/>
    <s v="Profit"/>
    <s v="Ananya Reddy"/>
    <x v="2"/>
    <x v="0"/>
    <s v="Bengaluru"/>
    <s v="Karnataka"/>
    <s v="2024-04-04"/>
    <s v="18-25"/>
    <n v="280"/>
  </r>
  <r>
    <s v="ORD00070"/>
    <d v="2026-06-04T00:00:00"/>
    <s v="CUST0410"/>
    <x v="1"/>
    <x v="12"/>
    <n v="3"/>
    <n v="0.1"/>
    <n v="3780"/>
    <n v="1178.1600000000001"/>
    <x v="3"/>
    <s v="Delivered"/>
    <n v="1260"/>
    <n v="31.168253968253971"/>
    <s v="Profit"/>
    <s v="Pooja Iyer"/>
    <x v="1"/>
    <x v="0"/>
    <s v="Bengaluru"/>
    <s v="Karnataka"/>
    <s v="2025-07-08"/>
    <s v="18-25"/>
    <n v="392.72"/>
  </r>
  <r>
    <s v="ORD00071"/>
    <d v="2025-08-10T00:00:00"/>
    <s v="CUST0348"/>
    <x v="1"/>
    <x v="1"/>
    <n v="1"/>
    <n v="0"/>
    <n v="1800"/>
    <n v="650"/>
    <x v="2"/>
    <s v="Delivered"/>
    <n v="1800"/>
    <n v="36.111111111111107"/>
    <s v="Profit"/>
    <s v="Varun Verma"/>
    <x v="2"/>
    <x v="3"/>
    <s v="Patna"/>
    <s v="Bihar"/>
    <s v="2024-01-11"/>
    <s v="26-35"/>
    <n v="650"/>
  </r>
  <r>
    <s v="ORD00072"/>
    <d v="2026-07-14T00:00:00"/>
    <s v="CUST0380"/>
    <x v="1"/>
    <x v="13"/>
    <n v="1"/>
    <n v="0.05"/>
    <n v="3990"/>
    <n v="1040.6500000000001"/>
    <x v="2"/>
    <s v="Delivered"/>
    <n v="3990"/>
    <n v="26.081453634085221"/>
    <s v="Profit"/>
    <s v="Arjun Sharma"/>
    <x v="2"/>
    <x v="1"/>
    <s v="Surat"/>
    <s v="Gujarat"/>
    <s v="2024-07-24"/>
    <s v="36-50"/>
    <n v="1040.6500000000001"/>
  </r>
  <r>
    <s v="ORD00073"/>
    <d v="2026-02-19T00:00:00"/>
    <s v="CUST0043"/>
    <x v="1"/>
    <x v="13"/>
    <n v="1"/>
    <n v="0.05"/>
    <n v="3990"/>
    <n v="1053.8"/>
    <x v="3"/>
    <s v="Delivered"/>
    <n v="3990"/>
    <n v="26.411027568922311"/>
    <s v="Profit"/>
    <s v="Meera Mehta"/>
    <x v="1"/>
    <x v="1"/>
    <s v="Mumbai"/>
    <s v="Maharashtra"/>
    <s v="2024-04-22"/>
    <s v="51+"/>
    <n v="1053.8"/>
  </r>
  <r>
    <s v="ORD00074"/>
    <d v="2025-11-20T00:00:00"/>
    <s v="CUST0521"/>
    <x v="1"/>
    <x v="15"/>
    <n v="2"/>
    <n v="0.15"/>
    <n v="3740"/>
    <n v="956.3"/>
    <x v="2"/>
    <s v="Delivered"/>
    <n v="1870"/>
    <n v="25.569518716577541"/>
    <s v="Profit"/>
    <s v="Priya Singh"/>
    <x v="0"/>
    <x v="0"/>
    <s v="Bengaluru"/>
    <s v="Karnataka"/>
    <s v="2025-11-16"/>
    <s v="51+"/>
    <n v="478.15"/>
  </r>
  <r>
    <s v="ORD00075"/>
    <d v="2025-09-23T00:00:00"/>
    <s v="CUST0502"/>
    <x v="1"/>
    <x v="13"/>
    <n v="2"/>
    <n v="0"/>
    <n v="8400"/>
    <n v="2400"/>
    <x v="3"/>
    <s v="Delivered"/>
    <n v="4200"/>
    <n v="28.571428571428569"/>
    <s v="Profit"/>
    <s v="Kavya Nair"/>
    <x v="2"/>
    <x v="1"/>
    <s v="Pune"/>
    <s v="Maharashtra"/>
    <s v="2024-02-11"/>
    <s v="51+"/>
    <n v="1200"/>
  </r>
  <r>
    <s v="ORD00076"/>
    <d v="2025-08-16T00:00:00"/>
    <s v="CUST0273"/>
    <x v="2"/>
    <x v="3"/>
    <n v="3"/>
    <n v="0.05"/>
    <n v="42750"/>
    <n v="8647.1"/>
    <x v="0"/>
    <s v="Delivered"/>
    <n v="14250"/>
    <n v="20.227134502923981"/>
    <s v="Profit"/>
    <s v="Akash Verma"/>
    <x v="1"/>
    <x v="0"/>
    <s v="Chennai"/>
    <s v="Tamil Nadu"/>
    <s v="2024-07-10"/>
    <s v="51+"/>
    <n v="2882.3666666666668"/>
  </r>
  <r>
    <s v="ORD00077"/>
    <d v="2026-02-25T00:00:00"/>
    <s v="CUST0229"/>
    <x v="3"/>
    <x v="10"/>
    <n v="1"/>
    <n v="0.15"/>
    <n v="46750"/>
    <n v="2627.54"/>
    <x v="0"/>
    <s v="Delivered"/>
    <n v="46750"/>
    <n v="5.6204064171122994"/>
    <s v="Profit"/>
    <s v="Harini Chopra"/>
    <x v="0"/>
    <x v="0"/>
    <s v="Bengaluru"/>
    <s v="Karnataka"/>
    <s v="2025-05-19"/>
    <s v="26-35"/>
    <n v="2627.54"/>
  </r>
  <r>
    <s v="ORD00078"/>
    <d v="2025-11-30T00:00:00"/>
    <s v="CUST0186"/>
    <x v="3"/>
    <x v="8"/>
    <n v="4"/>
    <n v="0.15"/>
    <n v="15300"/>
    <n v="4351.26"/>
    <x v="0"/>
    <s v="Shipped"/>
    <n v="3825"/>
    <n v="28.439607843137249"/>
    <s v="Profit"/>
    <s v="Vikram Verma"/>
    <x v="1"/>
    <x v="0"/>
    <s v="Coimbatore"/>
    <s v="Tamil Nadu"/>
    <s v="2024-03-12"/>
    <s v="18-25"/>
    <n v="1087.8150000000001"/>
  </r>
  <r>
    <s v="ORD00079"/>
    <d v="2025-11-24T00:00:00"/>
    <s v="CUST0358"/>
    <x v="2"/>
    <x v="2"/>
    <n v="1"/>
    <n v="0.1"/>
    <n v="11700"/>
    <n v="2234.5300000000002"/>
    <x v="0"/>
    <s v="Delivered"/>
    <n v="11700"/>
    <n v="19.098547008547008"/>
    <s v="Profit"/>
    <s v="Sanjay Das"/>
    <x v="0"/>
    <x v="0"/>
    <s v="Hyderabad"/>
    <s v="Telangana"/>
    <s v="2025-08-29"/>
    <s v="18-25"/>
    <n v="2234.5300000000002"/>
  </r>
  <r>
    <s v="ORD00080"/>
    <d v="2025-10-25T00:00:00"/>
    <s v="CUST0223"/>
    <x v="0"/>
    <x v="6"/>
    <n v="4"/>
    <n v="0.1"/>
    <n v="1260"/>
    <n v="381.39"/>
    <x v="0"/>
    <s v="Delivered"/>
    <n v="315"/>
    <n v="30.269047619047619"/>
    <s v="Profit"/>
    <s v="Akash Bose"/>
    <x v="0"/>
    <x v="0"/>
    <s v="Chennai"/>
    <s v="Tamil Nadu"/>
    <s v="2023-12-31"/>
    <s v="18-25"/>
    <n v="95.347499999999997"/>
  </r>
  <r>
    <s v="ORD00081"/>
    <d v="2026-03-28T00:00:00"/>
    <s v="CUST0389"/>
    <x v="0"/>
    <x v="14"/>
    <n v="6"/>
    <n v="0.05"/>
    <n v="2565"/>
    <n v="593.51"/>
    <x v="1"/>
    <s v="Delivered"/>
    <n v="427.5"/>
    <n v="23.138791423001951"/>
    <s v="Profit"/>
    <s v="Manoj Pillai"/>
    <x v="1"/>
    <x v="3"/>
    <s v="Patna"/>
    <s v="Bihar"/>
    <s v="2023-07-09"/>
    <s v="36-50"/>
    <n v="98.918333333333337"/>
  </r>
  <r>
    <s v="ORD00082"/>
    <d v="2026-01-14T00:00:00"/>
    <s v="CUST0307"/>
    <x v="1"/>
    <x v="1"/>
    <n v="2"/>
    <n v="0.05"/>
    <n v="3420"/>
    <n v="1211.81"/>
    <x v="0"/>
    <s v="Delivered"/>
    <n v="1710"/>
    <n v="35.433040935672508"/>
    <s v="Profit"/>
    <s v="Diya Mishra"/>
    <x v="1"/>
    <x v="0"/>
    <s v="Coimbatore"/>
    <s v="Tamil Nadu"/>
    <s v="2024-12-29"/>
    <s v="26-35"/>
    <n v="605.90499999999997"/>
  </r>
  <r>
    <s v="ORD00083"/>
    <d v="2025-12-16T00:00:00"/>
    <s v="CUST0209"/>
    <x v="1"/>
    <x v="12"/>
    <n v="6"/>
    <n v="0.05"/>
    <n v="7980"/>
    <n v="2687.39"/>
    <x v="2"/>
    <s v="Delivered"/>
    <n v="1330"/>
    <n v="33.676566416040103"/>
    <s v="Profit"/>
    <s v="Rahul Naidu"/>
    <x v="0"/>
    <x v="0"/>
    <s v="Hyderabad"/>
    <s v="Telangana"/>
    <s v="2023-02-09"/>
    <s v="36-50"/>
    <n v="447.89833333333331"/>
  </r>
  <r>
    <s v="ORD00084"/>
    <d v="2026-05-10T00:00:00"/>
    <s v="CUST0328"/>
    <x v="3"/>
    <x v="11"/>
    <n v="2"/>
    <n v="0.1"/>
    <n v="4500"/>
    <n v="1236.52"/>
    <x v="1"/>
    <s v="Delivered"/>
    <n v="2250"/>
    <n v="27.478222222222222"/>
    <s v="Profit"/>
    <s v="Priya Patel"/>
    <x v="1"/>
    <x v="2"/>
    <s v="Delhi"/>
    <s v="Delhi"/>
    <s v="2025-03-16"/>
    <s v="18-25"/>
    <n v="618.26"/>
  </r>
  <r>
    <s v="ORD00085"/>
    <d v="2025-08-27T00:00:00"/>
    <s v="CUST0277"/>
    <x v="3"/>
    <x v="11"/>
    <n v="2"/>
    <n v="0.1"/>
    <n v="4500"/>
    <n v="1204.47"/>
    <x v="3"/>
    <s v="Delivered"/>
    <n v="2250"/>
    <n v="26.765999999999998"/>
    <s v="Profit"/>
    <s v="Pooja Sharma"/>
    <x v="1"/>
    <x v="3"/>
    <s v="Patna"/>
    <s v="Bihar"/>
    <s v="2025-02-27"/>
    <s v="18-25"/>
    <n v="602.23500000000001"/>
  </r>
  <r>
    <s v="ORD00086"/>
    <d v="2026-07-23T00:00:00"/>
    <s v="CUST0137"/>
    <x v="2"/>
    <x v="5"/>
    <n v="2"/>
    <n v="0.1"/>
    <n v="19800"/>
    <n v="3728.08"/>
    <x v="2"/>
    <s v="Shipped"/>
    <n v="9900"/>
    <n v="18.828686868686869"/>
    <s v="Profit"/>
    <s v="Nisha Rao"/>
    <x v="1"/>
    <x v="2"/>
    <s v="Delhi"/>
    <s v="Delhi"/>
    <s v="2024-07-02"/>
    <s v="26-35"/>
    <n v="1864.04"/>
  </r>
  <r>
    <s v="ORD00087"/>
    <d v="2026-05-11T00:00:00"/>
    <s v="CUST0169"/>
    <x v="1"/>
    <x v="15"/>
    <n v="3"/>
    <n v="0"/>
    <n v="6600"/>
    <n v="2250"/>
    <x v="3"/>
    <s v="Delivered"/>
    <n v="2200"/>
    <n v="34.090909090909093"/>
    <s v="Profit"/>
    <s v="Sneha Bose"/>
    <x v="0"/>
    <x v="0"/>
    <s v="Hyderabad"/>
    <s v="Telangana"/>
    <s v="2024-09-10"/>
    <s v="26-35"/>
    <n v="750"/>
  </r>
  <r>
    <s v="ORD00088"/>
    <d v="2026-06-13T00:00:00"/>
    <s v="CUST0561"/>
    <x v="1"/>
    <x v="12"/>
    <n v="1"/>
    <n v="0.2"/>
    <n v="1120"/>
    <n v="311.64999999999998"/>
    <x v="0"/>
    <s v="Delivered"/>
    <n v="1120"/>
    <n v="27.825892857142851"/>
    <s v="Profit"/>
    <s v="Harini Joshi"/>
    <x v="1"/>
    <x v="0"/>
    <s v="Coimbatore"/>
    <s v="Tamil Nadu"/>
    <s v="2023-09-10"/>
    <s v="26-35"/>
    <n v="311.64999999999998"/>
  </r>
  <r>
    <s v="ORD00089"/>
    <d v="2026-02-08T00:00:00"/>
    <s v="CUST0307"/>
    <x v="3"/>
    <x v="10"/>
    <n v="2"/>
    <n v="0.1"/>
    <n v="99000"/>
    <n v="12769.91"/>
    <x v="2"/>
    <s v="Delivered"/>
    <n v="49500"/>
    <n v="12.89889898989899"/>
    <s v="Profit"/>
    <s v="Diya Mishra"/>
    <x v="1"/>
    <x v="0"/>
    <s v="Coimbatore"/>
    <s v="Tamil Nadu"/>
    <s v="2024-12-29"/>
    <s v="26-35"/>
    <n v="6384.9549999999999"/>
  </r>
  <r>
    <s v="ORD00090"/>
    <d v="2026-07-21T00:00:00"/>
    <s v="CUST0274"/>
    <x v="3"/>
    <x v="10"/>
    <n v="3"/>
    <n v="0.15"/>
    <n v="140250"/>
    <n v="-34976.239999999998"/>
    <x v="0"/>
    <s v="Cancelled"/>
    <n v="46750"/>
    <n v="-24.938495543672008"/>
    <s v="Loss"/>
    <s v="Meera Bose"/>
    <x v="1"/>
    <x v="0"/>
    <s v="Hyderabad"/>
    <s v="Telangana"/>
    <s v="2025-01-06"/>
    <s v="26-35"/>
    <n v="-11658.74666666667"/>
  </r>
  <r>
    <s v="ORD00091"/>
    <d v="2026-05-10T00:00:00"/>
    <s v="CUST0528"/>
    <x v="3"/>
    <x v="11"/>
    <n v="1"/>
    <n v="0.1"/>
    <n v="2250"/>
    <n v="613.64"/>
    <x v="2"/>
    <s v="Delivered"/>
    <n v="2250"/>
    <n v="27.27288888888889"/>
    <s v="Profit"/>
    <s v="Karthik Menon"/>
    <x v="0"/>
    <x v="0"/>
    <s v="Chennai"/>
    <s v="Tamil Nadu"/>
    <s v="2024-07-24"/>
    <s v="36-50"/>
    <n v="613.64"/>
  </r>
  <r>
    <s v="ORD00092"/>
    <d v="2025-08-01T00:00:00"/>
    <s v="CUST0181"/>
    <x v="2"/>
    <x v="9"/>
    <n v="3"/>
    <n v="0.05"/>
    <n v="25650"/>
    <n v="-7434.27"/>
    <x v="3"/>
    <s v="Returned"/>
    <n v="8550"/>
    <n v="-28.983508771929831"/>
    <s v="Loss"/>
    <s v="Rohan Iyer"/>
    <x v="1"/>
    <x v="1"/>
    <s v="Surat"/>
    <s v="Gujarat"/>
    <s v="2023-03-20"/>
    <s v="36-50"/>
    <n v="-2478.09"/>
  </r>
  <r>
    <s v="ORD00093"/>
    <d v="2025-12-12T00:00:00"/>
    <s v="CUST0259"/>
    <x v="3"/>
    <x v="4"/>
    <n v="1"/>
    <n v="0.15"/>
    <n v="15300"/>
    <n v="1948.46"/>
    <x v="3"/>
    <s v="Delivered"/>
    <n v="15300"/>
    <n v="12.735032679738559"/>
    <s v="Profit"/>
    <s v="Manoj Menon"/>
    <x v="2"/>
    <x v="0"/>
    <s v="Coimbatore"/>
    <s v="Tamil Nadu"/>
    <s v="2023-10-20"/>
    <s v="26-35"/>
    <n v="1948.46"/>
  </r>
  <r>
    <s v="ORD00094"/>
    <d v="2025-09-06T00:00:00"/>
    <s v="CUST0086"/>
    <x v="1"/>
    <x v="12"/>
    <n v="4"/>
    <n v="0.05"/>
    <n v="5320"/>
    <n v="1784.9"/>
    <x v="3"/>
    <s v="Delivered"/>
    <n v="1330"/>
    <n v="33.550751879699249"/>
    <s v="Profit"/>
    <s v="Pooja Khan"/>
    <x v="2"/>
    <x v="1"/>
    <s v=" Chennai "/>
    <s v="Maharashtra"/>
    <s v="2023-05-28"/>
    <s v="36-50"/>
    <n v="446.22500000000002"/>
  </r>
  <r>
    <s v="ORD00095"/>
    <d v="2026-03-20T00:00:00"/>
    <s v="CUST0093"/>
    <x v="3"/>
    <x v="10"/>
    <n v="2"/>
    <n v="0.1"/>
    <n v="99000"/>
    <n v="9299.57"/>
    <x v="0"/>
    <s v="Delivered"/>
    <n v="49500"/>
    <n v="9.3935050505050501"/>
    <s v="Profit"/>
    <s v="Sanjay Rao"/>
    <x v="0"/>
    <x v="3"/>
    <s v="Kolkata"/>
    <s v="West Bengal"/>
    <s v="2023-12-13"/>
    <s v="26-35"/>
    <n v="4649.7849999999999"/>
  </r>
  <r>
    <s v="ORD00096"/>
    <d v="2025-07-04T00:00:00"/>
    <s v="CUST0445"/>
    <x v="3"/>
    <x v="10"/>
    <n v="1"/>
    <n v="0"/>
    <n v="55000"/>
    <n v="9000"/>
    <x v="0"/>
    <s v="Delivered"/>
    <n v="55000"/>
    <n v="16.36363636363636"/>
    <s v="Profit"/>
    <s v="Diya Bose"/>
    <x v="0"/>
    <x v="3"/>
    <s v="Kolkata"/>
    <s v="West Bengal"/>
    <s v="2024-10-18"/>
    <s v="51+"/>
    <n v="9000"/>
  </r>
  <r>
    <s v="ORD00097"/>
    <d v="2026-03-21T00:00:00"/>
    <s v="CUST0349"/>
    <x v="3"/>
    <x v="8"/>
    <n v="1"/>
    <n v="0.15"/>
    <n v="3825"/>
    <n v="986.19"/>
    <x v="2"/>
    <s v="Delivered"/>
    <n v="3825"/>
    <n v="25.782745098039221"/>
    <s v="Profit"/>
    <s v="Aarav Nair"/>
    <x v="1"/>
    <x v="0"/>
    <s v="Hyderabad"/>
    <s v="Telangana"/>
    <s v="2025-07-22"/>
    <s v="26-35"/>
    <n v="986.19"/>
  </r>
  <r>
    <s v="ORD00098"/>
    <d v="2026-06-09T00:00:00"/>
    <s v="CUST0488"/>
    <x v="2"/>
    <x v="9"/>
    <n v="2"/>
    <n v="0.1"/>
    <n v="16200"/>
    <n v="3706.94"/>
    <x v="3"/>
    <s v="Delivered"/>
    <n v="8100"/>
    <n v="22.882345679012349"/>
    <s v="Profit"/>
    <s v="Rohan Chopra"/>
    <x v="2"/>
    <x v="1"/>
    <s v="Surat"/>
    <s v="Gujarat"/>
    <s v="2025-09-23"/>
    <s v="26-35"/>
    <n v="1853.47"/>
  </r>
  <r>
    <s v="ORD00099"/>
    <d v="2026-06-28T00:00:00"/>
    <s v="CUST0526"/>
    <x v="0"/>
    <x v="7"/>
    <n v="2"/>
    <n v="0.3"/>
    <n v="1260"/>
    <n v="218.08"/>
    <x v="3"/>
    <s v="Delivered"/>
    <n v="630"/>
    <n v="17.30793650793651"/>
    <s v="Profit"/>
    <s v="Meera Mehta"/>
    <x v="0"/>
    <x v="1"/>
    <s v="Pune"/>
    <s v="Maharashtra"/>
    <s v="2023-10-08"/>
    <s v="18-25"/>
    <n v="109.04"/>
  </r>
  <r>
    <s v="ORD00100"/>
    <d v="2026-04-27T00:00:00"/>
    <s v="CUST0127"/>
    <x v="2"/>
    <x v="3"/>
    <n v="2"/>
    <n v="0.1"/>
    <n v="27000"/>
    <n v="4872.3999999999996"/>
    <x v="1"/>
    <s v="Delivered"/>
    <n v="13500"/>
    <n v="18.045925925925921"/>
    <s v="Profit"/>
    <s v="Ananya Patel"/>
    <x v="2"/>
    <x v="2"/>
    <s v="Chandigarh"/>
    <s v="Chandigarh"/>
    <s v="2023-08-13"/>
    <s v="26-35"/>
    <n v="2436.1999999999998"/>
  </r>
  <r>
    <s v="ORD00101"/>
    <d v="2026-03-02T00:00:00"/>
    <s v="CUST0483"/>
    <x v="0"/>
    <x v="6"/>
    <n v="3"/>
    <n v="0.2"/>
    <n v="840"/>
    <n v="191.65"/>
    <x v="3"/>
    <s v="Delivered"/>
    <n v="280"/>
    <n v="22.81547619047619"/>
    <s v="Profit"/>
    <s v="Harini Rao"/>
    <x v="2"/>
    <x v="0"/>
    <s v="Bengaluru"/>
    <s v="Karnataka"/>
    <s v="2025-12-26"/>
    <s v="18-25"/>
    <n v="63.883333333333333"/>
  </r>
  <r>
    <s v="ORD00102"/>
    <d v="2026-06-10T00:00:00"/>
    <s v="CUST0059"/>
    <x v="2"/>
    <x v="3"/>
    <n v="6"/>
    <n v="0.05"/>
    <n v="85500"/>
    <n v="18540.32"/>
    <x v="2"/>
    <s v="Delivered"/>
    <n v="14250"/>
    <n v="21.684584795321641"/>
    <s v="Profit"/>
    <s v="Rahul Verma"/>
    <x v="1"/>
    <x v="3"/>
    <s v="Guwahati"/>
    <s v="Assam"/>
    <s v="2023-02-16"/>
    <s v="36-50"/>
    <n v="3090.0533333333328"/>
  </r>
  <r>
    <s v="ORD00103"/>
    <d v="2026-01-31T00:00:00"/>
    <s v="CUST0310"/>
    <x v="1"/>
    <x v="1"/>
    <n v="5"/>
    <n v="0.1"/>
    <n v="8100"/>
    <n v="2652.94"/>
    <x v="0"/>
    <s v="Delivered"/>
    <n v="1620"/>
    <n v="32.752345679012343"/>
    <s v="Profit"/>
    <s v="Karthik Chopra"/>
    <x v="1"/>
    <x v="3"/>
    <s v="Guwahati"/>
    <s v="Assam"/>
    <s v="2024-09-09"/>
    <s v="18-25"/>
    <n v="530.58799999999997"/>
  </r>
  <r>
    <s v="ORD00104"/>
    <d v="2026-02-10T00:00:00"/>
    <s v="CUST0143"/>
    <x v="1"/>
    <x v="12"/>
    <n v="5"/>
    <n v="0"/>
    <n v="7000"/>
    <n v="2500"/>
    <x v="1"/>
    <s v="Delivered"/>
    <n v="1400"/>
    <n v="35.714285714285722"/>
    <s v="Profit"/>
    <s v="Ananya Naidu"/>
    <x v="2"/>
    <x v="0"/>
    <s v="Bengaluru"/>
    <s v="Karnataka"/>
    <s v="2023-04-11"/>
    <s v="36-50"/>
    <n v="500"/>
  </r>
  <r>
    <s v="ORD00105"/>
    <d v="2026-07-03T00:00:00"/>
    <s v="CUST0068"/>
    <x v="0"/>
    <x v="6"/>
    <n v="5"/>
    <n v="0.2"/>
    <n v="1400"/>
    <n v="393.65"/>
    <x v="0"/>
    <s v="Delivered"/>
    <n v="280"/>
    <n v="28.11785714285714"/>
    <s v="Profit"/>
    <s v="Harini Pillai"/>
    <x v="1"/>
    <x v="3"/>
    <s v="Guwahati"/>
    <s v="Assam"/>
    <s v="2024-04-08"/>
    <s v="36-50"/>
    <n v="78.72999999999999"/>
  </r>
  <r>
    <s v="ORD00106"/>
    <d v="2025-08-31T00:00:00"/>
    <s v="CUST0165"/>
    <x v="2"/>
    <x v="2"/>
    <n v="2"/>
    <n v="0"/>
    <n v="26000"/>
    <n v="6400"/>
    <x v="0"/>
    <s v="Delivered"/>
    <n v="13000"/>
    <n v="24.61538461538462"/>
    <s v="Profit"/>
    <s v="Diya Mishra"/>
    <x v="0"/>
    <x v="0"/>
    <s v="Hyderabad"/>
    <s v="Telangana"/>
    <s v="2025-04-25"/>
    <s v="51+"/>
    <n v="3200"/>
  </r>
  <r>
    <s v="ORD00107"/>
    <d v="2025-09-21T00:00:00"/>
    <s v="CUST0395"/>
    <x v="0"/>
    <x v="6"/>
    <n v="4"/>
    <n v="0.05"/>
    <n v="1330"/>
    <n v="432.28"/>
    <x v="0"/>
    <s v="Delivered"/>
    <n v="332.5"/>
    <n v="32.50225563909774"/>
    <s v="Profit"/>
    <s v="Ananya Gupta"/>
    <x v="0"/>
    <x v="2"/>
    <s v="Lucknow"/>
    <s v="Uttar Pradesh"/>
    <s v="2025-01-30"/>
    <s v="18-25"/>
    <n v="108.07"/>
  </r>
  <r>
    <s v="ORD00108"/>
    <d v="2025-09-15T00:00:00"/>
    <s v="CUST0029"/>
    <x v="1"/>
    <x v="12"/>
    <n v="3"/>
    <n v="0"/>
    <n v="4200"/>
    <n v="1500"/>
    <x v="2"/>
    <s v="Delivered"/>
    <n v="1400"/>
    <n v="35.714285714285722"/>
    <s v="Profit"/>
    <s v="Rohan Kulkarni"/>
    <x v="0"/>
    <x v="1"/>
    <s v="Mumbai"/>
    <s v="Maharashtra"/>
    <s v="2023-04-17"/>
    <s v="36-50"/>
    <n v="500"/>
  </r>
  <r>
    <s v="ORD00109"/>
    <d v="2025-08-13T00:00:00"/>
    <s v="CUST0061"/>
    <x v="3"/>
    <x v="11"/>
    <n v="3"/>
    <n v="0.2"/>
    <n v="6000"/>
    <n v="1616.79"/>
    <x v="0"/>
    <s v="Delivered"/>
    <n v="2000"/>
    <n v="26.9465"/>
    <s v="Profit"/>
    <s v="Meera Kulkarni"/>
    <x v="0"/>
    <x v="0"/>
    <s v="Bengaluru"/>
    <s v="Karnataka"/>
    <s v="2024-11-07"/>
    <s v="18-25"/>
    <n v="538.92999999999995"/>
  </r>
  <r>
    <s v="ORD00110"/>
    <d v="2025-11-20T00:00:00"/>
    <s v="CUST0177"/>
    <x v="3"/>
    <x v="10"/>
    <n v="5"/>
    <n v="0.1"/>
    <n v="247500"/>
    <n v="31987.81"/>
    <x v="3"/>
    <s v="Delivered"/>
    <n v="49500"/>
    <n v="12.92436767676768"/>
    <s v="Profit"/>
    <s v="Lakshmi Mehta"/>
    <x v="2"/>
    <x v="1"/>
    <s v="Mumbai"/>
    <s v="Maharashtra"/>
    <s v="2023-11-03"/>
    <s v="26-35"/>
    <n v="6397.5619999999999"/>
  </r>
  <r>
    <s v="ORD00111"/>
    <d v="2025-07-22T00:00:00"/>
    <s v="CUST0076"/>
    <x v="0"/>
    <x v="6"/>
    <n v="3"/>
    <n v="0"/>
    <n v="1050"/>
    <n v="360"/>
    <x v="2"/>
    <s v="Delivered"/>
    <n v="350"/>
    <n v="34.285714285714278"/>
    <s v="Profit"/>
    <s v="Arjun Sharma"/>
    <x v="2"/>
    <x v="3"/>
    <s v="Guwahati"/>
    <s v="Assam"/>
    <s v="2023-12-08"/>
    <s v="51+"/>
    <n v="120"/>
  </r>
  <r>
    <s v="ORD00112"/>
    <d v="2025-11-27T00:00:00"/>
    <s v="CUST0563"/>
    <x v="0"/>
    <x v="6"/>
    <n v="3"/>
    <n v="0.1"/>
    <n v="945"/>
    <n v="296.8"/>
    <x v="0"/>
    <s v="Delivered"/>
    <n v="315"/>
    <n v="31.407407407407401"/>
    <s v="Profit"/>
    <s v="Meera Das"/>
    <x v="1"/>
    <x v="1"/>
    <s v="Ahmedabad"/>
    <s v="Gujarat"/>
    <s v="2023-10-23"/>
    <s v="26-35"/>
    <n v="98.933333333333337"/>
  </r>
  <r>
    <s v="ORD00113"/>
    <d v="2026-06-07T00:00:00"/>
    <s v="CUST0201"/>
    <x v="1"/>
    <x v="13"/>
    <n v="2"/>
    <n v="0.15"/>
    <n v="7140"/>
    <n v="1477.7"/>
    <x v="1"/>
    <s v="Delivered"/>
    <n v="3570"/>
    <n v="20.696078431372548"/>
    <s v="Profit"/>
    <s v="Pooja Joshi"/>
    <x v="1"/>
    <x v="3"/>
    <s v="Kolkata"/>
    <s v="West Bengal"/>
    <s v="2024-09-28"/>
    <s v="18-25"/>
    <n v="738.85"/>
  </r>
  <r>
    <s v="ORD00114"/>
    <d v="2026-02-17T00:00:00"/>
    <s v="CUST0456"/>
    <x v="2"/>
    <x v="9"/>
    <n v="2"/>
    <n v="0.1"/>
    <n v="16200"/>
    <n v="3579.87"/>
    <x v="2"/>
    <s v="Delivered"/>
    <n v="8100"/>
    <n v="22.09796296296296"/>
    <s v="Profit"/>
    <s v="Ananya Das"/>
    <x v="0"/>
    <x v="3"/>
    <s v="Patna"/>
    <s v="Bihar"/>
    <s v="2025-06-07"/>
    <s v="18-25"/>
    <n v="1789.9349999999999"/>
  </r>
  <r>
    <s v="ORD00115"/>
    <d v="2025-07-26T00:00:00"/>
    <s v="CUST0348"/>
    <x v="2"/>
    <x v="2"/>
    <n v="2"/>
    <n v="0.1"/>
    <n v="23400"/>
    <n v="4717.47"/>
    <x v="1"/>
    <s v="Delivered"/>
    <n v="11700"/>
    <n v="20.16012820512821"/>
    <s v="Profit"/>
    <s v="Varun Verma"/>
    <x v="2"/>
    <x v="3"/>
    <s v="Patna"/>
    <s v="Bihar"/>
    <s v="2024-01-11"/>
    <s v="26-35"/>
    <n v="2358.7350000000001"/>
  </r>
  <r>
    <s v="ORD00116"/>
    <d v="2026-04-17T00:00:00"/>
    <s v="CUST0119"/>
    <x v="2"/>
    <x v="3"/>
    <n v="1"/>
    <n v="0.1"/>
    <n v="13500"/>
    <n v="2609.29"/>
    <x v="0"/>
    <s v="Delivered"/>
    <n v="13500"/>
    <n v="19.32807407407407"/>
    <s v="Profit"/>
    <s v="Divya Naidu"/>
    <x v="1"/>
    <x v="0"/>
    <s v="Coimbatore"/>
    <s v="Tamil Nadu"/>
    <s v="2023-05-25"/>
    <s v="36-50"/>
    <n v="2609.29"/>
  </r>
  <r>
    <s v="ORD00117"/>
    <d v="2025-12-19T00:00:00"/>
    <s v="CUST0190"/>
    <x v="3"/>
    <x v="4"/>
    <n v="2"/>
    <n v="0"/>
    <n v="36000"/>
    <n v="7000"/>
    <x v="0"/>
    <s v="Delivered"/>
    <n v="18000"/>
    <n v="19.44444444444445"/>
    <s v="Profit"/>
    <s v="Rohan Naidu"/>
    <x v="0"/>
    <x v="0"/>
    <s v="Coimbatore"/>
    <s v="Tamil Nadu"/>
    <s v="2023-02-24"/>
    <s v="26-35"/>
    <n v="3500"/>
  </r>
  <r>
    <s v="ORD00118"/>
    <d v="2025-07-29T00:00:00"/>
    <s v="CUST0565"/>
    <x v="3"/>
    <x v="11"/>
    <n v="2"/>
    <n v="0.15"/>
    <n v="4250"/>
    <n v="1224.42"/>
    <x v="0"/>
    <s v="Delivered"/>
    <n v="2125"/>
    <n v="28.80988235294118"/>
    <s v="Profit"/>
    <s v="Rahul Bose"/>
    <x v="0"/>
    <x v="0"/>
    <s v="Coimbatore"/>
    <s v="Tamil Nadu"/>
    <s v="2024-03-26"/>
    <s v="51+"/>
    <n v="612.21"/>
  </r>
  <r>
    <s v="ORD00119"/>
    <d v="2026-08-27T00:00:00"/>
    <s v="CUST0077"/>
    <x v="0"/>
    <x v="6"/>
    <n v="3"/>
    <n v="0.1"/>
    <n v="945"/>
    <n v="284.69"/>
    <x v="0"/>
    <s v="Delivered"/>
    <n v="315"/>
    <n v="30.12592592592593"/>
    <s v="Profit"/>
    <s v="Aarav Patel"/>
    <x v="2"/>
    <x v="3"/>
    <s v="Bhubaneswar"/>
    <s v="Odisha"/>
    <s v="2023-01-09"/>
    <s v="36-50"/>
    <n v="94.896666666666661"/>
  </r>
  <r>
    <s v="ORD00120"/>
    <d v="2026-04-05T00:00:00"/>
    <s v="CUST0433"/>
    <x v="2"/>
    <x v="5"/>
    <n v="2"/>
    <n v="0.05"/>
    <n v="20900"/>
    <n v="4524.88"/>
    <x v="1"/>
    <s v="Delivered"/>
    <n v="10450"/>
    <n v="21.650143540669859"/>
    <s v="Profit"/>
    <s v="Aarav Menon"/>
    <x v="0"/>
    <x v="2"/>
    <s v="Jaipur"/>
    <s v="Rajasthan"/>
    <s v="2024-01-23"/>
    <s v="26-35"/>
    <n v="2262.44"/>
  </r>
  <r>
    <s v="ORD00121"/>
    <d v="2025-08-28T00:00:00"/>
    <s v="CUST0163"/>
    <x v="0"/>
    <x v="6"/>
    <n v="1"/>
    <n v="0.2"/>
    <n v="280"/>
    <n v="76.34"/>
    <x v="0"/>
    <s v="Delivered"/>
    <n v="280"/>
    <n v="27.264285714285709"/>
    <s v="Profit"/>
    <s v="Rohan Iyer"/>
    <x v="2"/>
    <x v="2"/>
    <s v="Jaipur"/>
    <s v="Rajasthan"/>
    <s v="2024-05-11"/>
    <s v="18-25"/>
    <n v="76.34"/>
  </r>
  <r>
    <s v="ORD00122"/>
    <d v="2026-03-04T00:00:00"/>
    <s v="CUST0098"/>
    <x v="1"/>
    <x v="13"/>
    <n v="3"/>
    <n v="0.05"/>
    <n v="11970"/>
    <n v="3182.11"/>
    <x v="2"/>
    <s v=" delivered "/>
    <n v="3990"/>
    <n v="26.584043441938181"/>
    <s v="Profit"/>
    <s v="Diya Reddy"/>
    <x v="2"/>
    <x v="2"/>
    <s v="Chandigarh"/>
    <s v="Chandigarh"/>
    <s v="2024-10-06"/>
    <s v="26-35"/>
    <n v="1060.7033333333329"/>
  </r>
  <r>
    <s v="ORD00123"/>
    <d v="2025-10-03T00:00:00"/>
    <s v="CUST0492"/>
    <x v="3"/>
    <x v="10"/>
    <n v="1"/>
    <n v="0.3"/>
    <n v="38500"/>
    <n v="-539.22"/>
    <x v="1"/>
    <s v="Delivered"/>
    <n v="38500"/>
    <n v="-1.400571428571429"/>
    <s v="Loss"/>
    <s v="Shreya Reddy"/>
    <x v="0"/>
    <x v="2"/>
    <s v="Delhi"/>
    <s v="Delhi"/>
    <s v="2023-07-29"/>
    <s v="18-25"/>
    <n v="-539.22"/>
  </r>
  <r>
    <s v="ORD00124"/>
    <d v="2025-11-12T00:00:00"/>
    <s v="CUST0087"/>
    <x v="0"/>
    <x v="7"/>
    <n v="4"/>
    <n v="0.2"/>
    <n v="2880"/>
    <n v="704.25"/>
    <x v="1"/>
    <s v="Delivered"/>
    <n v="720"/>
    <n v="24.453125"/>
    <s v="Profit"/>
    <s v="Ishaan Khan"/>
    <x v="0"/>
    <x v="2"/>
    <s v="Lucknow"/>
    <s v="Uttar Pradesh"/>
    <s v="2023-07-11"/>
    <s v="51+"/>
    <n v="176.0625"/>
  </r>
  <r>
    <s v="ORD00125"/>
    <d v="2025-08-16T00:00:00"/>
    <s v="CUST0256"/>
    <x v="3"/>
    <x v="11"/>
    <n v="3"/>
    <n v="0.1"/>
    <n v="6750"/>
    <n v="2036.49"/>
    <x v="1"/>
    <s v="Shipped"/>
    <n v="2250"/>
    <n v="30.170222222222218"/>
    <s v="Profit"/>
    <s v="Karthik Singh"/>
    <x v="0"/>
    <x v="0"/>
    <s v="Chennai"/>
    <s v="Tamil Nadu"/>
    <s v="2024-11-27"/>
    <s v="26-35"/>
    <n v="678.83"/>
  </r>
  <r>
    <s v="ORD00126"/>
    <d v="2026-05-09T00:00:00"/>
    <s v="CUST0520"/>
    <x v="1"/>
    <x v="12"/>
    <n v="3"/>
    <n v="0.15"/>
    <n v="3570"/>
    <n v="1128.3900000000001"/>
    <x v="3"/>
    <s v="Delivered"/>
    <n v="1190"/>
    <n v="31.607563025210091"/>
    <s v="Profit"/>
    <s v="Karthik Chopra"/>
    <x v="0"/>
    <x v="0"/>
    <s v="Chennai"/>
    <s v="Tamil Nadu"/>
    <s v="2023-12-09"/>
    <s v="26-35"/>
    <n v="376.13000000000011"/>
  </r>
  <r>
    <s v="ORD00127"/>
    <d v="2025-10-10T00:00:00"/>
    <s v="CUST0065"/>
    <x v="1"/>
    <x v="12"/>
    <n v="1"/>
    <n v="0.05"/>
    <n v="1330"/>
    <n v="443.96"/>
    <x v="3"/>
    <s v="Delivered"/>
    <n v="1330"/>
    <n v="33.380451127819548"/>
    <s v="Profit"/>
    <s v="Sneha Singh"/>
    <x v="0"/>
    <x v="0"/>
    <s v="Hyderabad"/>
    <s v="Telangana"/>
    <s v="2023-03-24"/>
    <s v="18-25"/>
    <n v="443.96"/>
  </r>
  <r>
    <s v="ORD00128"/>
    <d v="2025-09-10T00:00:00"/>
    <s v="CUST0231"/>
    <x v="1"/>
    <x v="15"/>
    <n v="3"/>
    <n v="0.15"/>
    <n v="5610"/>
    <n v="1673.87"/>
    <x v="1"/>
    <s v="Delivered"/>
    <n v="1870"/>
    <n v="29.83725490196078"/>
    <s v="Profit"/>
    <s v="Rahul Rao"/>
    <x v="0"/>
    <x v="3"/>
    <s v="Guwahati"/>
    <s v="Assam"/>
    <s v="2024-11-22"/>
    <s v="36-50"/>
    <n v="557.95666666666659"/>
  </r>
  <r>
    <s v="ORD00129"/>
    <d v="2025-11-03T00:00:00"/>
    <s v="CUST0535"/>
    <x v="0"/>
    <x v="0"/>
    <n v="5"/>
    <n v="0.2"/>
    <n v="56000"/>
    <n v="3158.36"/>
    <x v="3"/>
    <s v="Delivered"/>
    <n v="11200"/>
    <n v="5.6399285714285714"/>
    <s v="Profit"/>
    <s v="Sanjay Reddy"/>
    <x v="0"/>
    <x v="0"/>
    <s v="Bengaluru"/>
    <s v="Karnataka"/>
    <s v="2024-03-17"/>
    <s v="18-25"/>
    <n v="631.67200000000003"/>
  </r>
  <r>
    <s v="ORD00130"/>
    <d v="2026-08-31T00:00:00"/>
    <s v="CUST0248"/>
    <x v="0"/>
    <x v="14"/>
    <n v="3"/>
    <n v="0"/>
    <n v="1350"/>
    <n v="330"/>
    <x v="2"/>
    <s v="Shipped"/>
    <n v="450"/>
    <n v="24.444444444444439"/>
    <s v="Profit"/>
    <s v="Meera Das"/>
    <x v="1"/>
    <x v="2"/>
    <s v="Chandigarh"/>
    <s v="Chandigarh"/>
    <s v="2024-12-30"/>
    <s v="18-25"/>
    <n v="110"/>
  </r>
  <r>
    <s v="ORD00131"/>
    <d v="2026-03-04T00:00:00"/>
    <s v="CUST0538"/>
    <x v="3"/>
    <x v="8"/>
    <n v="2"/>
    <n v="0.15"/>
    <n v="7650"/>
    <n v="1928.68"/>
    <x v="1"/>
    <s v="Delivered"/>
    <n v="3825"/>
    <n v="25.21150326797386"/>
    <s v="Profit"/>
    <s v="Sanjay Chopra"/>
    <x v="1"/>
    <x v="0"/>
    <s v="Coimbatore"/>
    <s v="Tamil Nadu"/>
    <s v="2024-01-09"/>
    <s v="36-50"/>
    <n v="964.34"/>
  </r>
  <r>
    <s v="ORD00132"/>
    <d v="2025-07-09T00:00:00"/>
    <s v="CUST0151"/>
    <x v="0"/>
    <x v="6"/>
    <n v="2"/>
    <n v="0.2"/>
    <n v="560"/>
    <n v="141.22999999999999"/>
    <x v="3"/>
    <s v="Shipped"/>
    <n v="280"/>
    <n v="25.219642857142851"/>
    <s v="Profit"/>
    <s v="Akash Nair"/>
    <x v="1"/>
    <x v="3"/>
    <s v="Guwahati"/>
    <s v="Assam"/>
    <s v="2023-03-18"/>
    <s v="36-50"/>
    <n v="70.614999999999995"/>
  </r>
  <r>
    <s v="ORD00133"/>
    <d v="2025-12-14T00:00:00"/>
    <s v="CUST0206"/>
    <x v="2"/>
    <x v="2"/>
    <n v="3"/>
    <n v="0.1"/>
    <n v="35100"/>
    <n v="7685.33"/>
    <x v="0"/>
    <s v="Shipped"/>
    <n v="11700"/>
    <n v="21.89552706552707"/>
    <s v="Profit"/>
    <s v="Arjun Bose"/>
    <x v="1"/>
    <x v="0"/>
    <s v="Coimbatore"/>
    <s v="Tamil Nadu"/>
    <s v="2025-04-20"/>
    <s v="36-50"/>
    <n v="2561.7766666666671"/>
  </r>
  <r>
    <s v="ORD00134"/>
    <d v="2026-08-16T00:00:00"/>
    <s v="CUST0360"/>
    <x v="3"/>
    <x v="11"/>
    <n v="1"/>
    <n v="0.15"/>
    <n v="2125"/>
    <n v="-377.62"/>
    <x v="2"/>
    <s v="Returned"/>
    <n v="2125"/>
    <n v="-17.770352941176469"/>
    <s v="Loss"/>
    <s v="Sneha Reddy"/>
    <x v="2"/>
    <x v="2"/>
    <s v="Lucknow"/>
    <s v="Uttar Pradesh"/>
    <s v="2024-02-17"/>
    <s v="18-25"/>
    <n v="-377.62"/>
  </r>
  <r>
    <s v="ORD00135"/>
    <d v="2025-09-23T00:00:00"/>
    <s v="CUST0391"/>
    <x v="2"/>
    <x v="9"/>
    <n v="1"/>
    <n v="0"/>
    <n v="9000"/>
    <n v="2300"/>
    <x v="3"/>
    <s v="Delivered"/>
    <n v="9000"/>
    <n v="25.55555555555555"/>
    <s v="Profit"/>
    <s v="Divya Das"/>
    <x v="2"/>
    <x v="0"/>
    <s v="Bengaluru"/>
    <s v="Karnataka"/>
    <s v="2023-03-08"/>
    <s v="36-50"/>
    <n v="2300"/>
  </r>
  <r>
    <s v="ORD00136"/>
    <d v="2026-03-22T00:00:00"/>
    <s v="CUST0169"/>
    <x v="2"/>
    <x v="3"/>
    <n v="2"/>
    <n v="0.15"/>
    <n v="25500"/>
    <n v="4674.0200000000004"/>
    <x v="3"/>
    <s v="Delivered"/>
    <n v="12750"/>
    <n v="18.329490196078432"/>
    <s v="Profit"/>
    <s v="Sneha Bose"/>
    <x v="0"/>
    <x v="0"/>
    <s v="Hyderabad"/>
    <s v="Telangana"/>
    <s v="2024-09-10"/>
    <s v="26-35"/>
    <n v="2337.0100000000002"/>
  </r>
  <r>
    <s v="ORD00137"/>
    <d v="2026-04-27T00:00:00"/>
    <s v="CUST0146"/>
    <x v="3"/>
    <x v="10"/>
    <n v="3"/>
    <n v="0.3"/>
    <n v="115500"/>
    <n v="-1549.37"/>
    <x v="0"/>
    <s v="Delivered"/>
    <n v="38500"/>
    <n v="-1.341445887445887"/>
    <s v="Loss"/>
    <s v="Priya Das"/>
    <x v="3"/>
    <x v="3"/>
    <s v="Patna"/>
    <s v="Bihar"/>
    <s v="2024-06-19"/>
    <s v="26-35"/>
    <n v="-516.45666666666659"/>
  </r>
  <r>
    <s v="ORD00138"/>
    <d v="2025-10-29T00:00:00"/>
    <s v="CUST0467"/>
    <x v="1"/>
    <x v="1"/>
    <n v="2"/>
    <n v="0.3"/>
    <n v="2520"/>
    <n v="694.65"/>
    <x v="0"/>
    <s v="Delivered"/>
    <n v="1260"/>
    <n v="27.56547619047619"/>
    <s v="Profit"/>
    <s v="Arjun Gupta"/>
    <x v="2"/>
    <x v="3"/>
    <s v="Patna"/>
    <s v="Bihar"/>
    <s v="2025-10-24"/>
    <s v="36-50"/>
    <n v="347.32499999999999"/>
  </r>
  <r>
    <s v="ORD00139"/>
    <d v="2025-07-18T00:00:00"/>
    <s v="CUST0330"/>
    <x v="0"/>
    <x v="6"/>
    <n v="6"/>
    <n v="0"/>
    <n v="2100"/>
    <n v="720"/>
    <x v="3"/>
    <s v="Delivered"/>
    <n v="350"/>
    <n v="34.285714285714278"/>
    <s v="Profit"/>
    <s v="Pooja Reddy"/>
    <x v="2"/>
    <x v="2"/>
    <s v="Delhi"/>
    <s v="Delhi"/>
    <s v="2024-02-24"/>
    <s v="18-25"/>
    <n v="120"/>
  </r>
  <r>
    <s v="ORD00140"/>
    <d v="2026-06-17T00:00:00"/>
    <s v="CUST0569"/>
    <x v="3"/>
    <x v="11"/>
    <n v="3"/>
    <n v="0"/>
    <n v="7500"/>
    <n v="2400"/>
    <x v="2"/>
    <s v="Delivered"/>
    <n v="2500"/>
    <n v="32"/>
    <s v="Profit"/>
    <s v="Arjun Menon"/>
    <x v="2"/>
    <x v="1"/>
    <s v="Ahmedabad"/>
    <s v="Gujarat"/>
    <s v="2023-09-24"/>
    <s v="26-35"/>
    <n v="800"/>
  </r>
  <r>
    <s v="ORD00141"/>
    <d v="2026-05-07T00:00:00"/>
    <s v="CUST0227"/>
    <x v="2"/>
    <x v="2"/>
    <n v="1"/>
    <n v="0.15"/>
    <n v="11050"/>
    <n v="2056.56"/>
    <x v="1"/>
    <s v="Delivered"/>
    <n v="11050"/>
    <n v="18.611402714932129"/>
    <s v="Profit"/>
    <s v="Harini Menon"/>
    <x v="0"/>
    <x v="2"/>
    <s v="Chandigarh"/>
    <s v="Chandigarh"/>
    <s v="2024-10-13"/>
    <s v="18-25"/>
    <n v="2056.56"/>
  </r>
  <r>
    <s v="ORD00142"/>
    <d v="2025-11-03T00:00:00"/>
    <s v="CUST0289"/>
    <x v="3"/>
    <x v="4"/>
    <n v="5"/>
    <n v="0"/>
    <n v="90000"/>
    <n v="-22273.47"/>
    <x v="0"/>
    <s v="Returned"/>
    <n v="18000"/>
    <n v="-24.7483"/>
    <s v="Loss"/>
    <s v="Rahul Iyer"/>
    <x v="2"/>
    <x v="0"/>
    <s v="Coimbatore"/>
    <s v="Tamil Nadu"/>
    <s v="2023-01-07"/>
    <s v="18-25"/>
    <n v="-4454.6940000000004"/>
  </r>
  <r>
    <s v="ORD00143"/>
    <d v="2025-10-25T00:00:00"/>
    <s v="CUST0364"/>
    <x v="0"/>
    <x v="0"/>
    <n v="3"/>
    <n v="0.15"/>
    <n v="35700"/>
    <n v="-23780.61"/>
    <x v="1"/>
    <s v="Returned"/>
    <n v="11900"/>
    <n v="-66.612352941176468"/>
    <s v="Loss"/>
    <s v="Varun Bose"/>
    <x v="0"/>
    <x v="2"/>
    <s v="Delhi"/>
    <s v="Delhi"/>
    <s v="2024-10-25"/>
    <s v="18-25"/>
    <n v="-7926.87"/>
  </r>
  <r>
    <s v="ORD00144"/>
    <d v="2025-09-28T00:00:00"/>
    <s v="CUST0079"/>
    <x v="1"/>
    <x v="1"/>
    <n v="1"/>
    <n v="0.1"/>
    <n v="1620"/>
    <n v="553.86"/>
    <x v="1"/>
    <s v="Delivered"/>
    <n v="1620"/>
    <n v="34.18888888888889"/>
    <s v="Profit"/>
    <s v="Akash Mehta"/>
    <x v="0"/>
    <x v="0"/>
    <s v="Chennai"/>
    <s v="Tamil Nadu"/>
    <s v="2024-07-12"/>
    <s v="51+"/>
    <n v="553.86"/>
  </r>
  <r>
    <s v="ORD00145"/>
    <d v="2026-02-22T00:00:00"/>
    <s v="CUST0359"/>
    <x v="3"/>
    <x v="8"/>
    <n v="6"/>
    <n v="0.15"/>
    <n v="22950"/>
    <n v="-6813.29"/>
    <x v="1"/>
    <s v="Returned"/>
    <n v="3825"/>
    <n v="-29.687538126361659"/>
    <s v="Loss"/>
    <s v="Ananya Mishra"/>
    <x v="0"/>
    <x v="0"/>
    <s v="Bengaluru"/>
    <s v="Karnataka"/>
    <s v="2024-05-22"/>
    <s v="26-35"/>
    <n v="-1135.5483333333329"/>
  </r>
  <r>
    <s v="ORD00146"/>
    <d v="2026-03-15T00:00:00"/>
    <s v="CUST0370"/>
    <x v="0"/>
    <x v="0"/>
    <n v="1"/>
    <n v="0.15"/>
    <n v="11900"/>
    <n v="1282.1400000000001"/>
    <x v="2"/>
    <s v="Shipped"/>
    <n v="11900"/>
    <n v="10.774285714285719"/>
    <s v="Profit"/>
    <s v="Diya Kulkarni"/>
    <x v="1"/>
    <x v="2"/>
    <s v="Chandigarh"/>
    <s v="Chandigarh"/>
    <s v="2024-04-20"/>
    <s v="26-35"/>
    <n v="1282.1400000000001"/>
  </r>
  <r>
    <s v="ORD00147"/>
    <d v="2025-12-05T00:00:00"/>
    <s v="CUST0598"/>
    <x v="1"/>
    <x v="1"/>
    <n v="1"/>
    <n v="0.05"/>
    <n v="1710"/>
    <n v="583.88"/>
    <x v="0"/>
    <s v="Delivered"/>
    <n v="1710"/>
    <n v="34.145029239766082"/>
    <s v="Profit"/>
    <s v="Arjun Das"/>
    <x v="0"/>
    <x v="0"/>
    <s v="Hyderabad"/>
    <s v="Telangana"/>
    <s v="2024-07-07"/>
    <s v="36-50"/>
    <n v="583.88"/>
  </r>
  <r>
    <s v="ORD00148"/>
    <d v="2026-01-15T00:00:00"/>
    <s v="CUST0034"/>
    <x v="3"/>
    <x v="8"/>
    <n v="3"/>
    <n v="0.15"/>
    <n v="11475"/>
    <n v="3134.31"/>
    <x v="0"/>
    <s v="Delivered"/>
    <n v="3825"/>
    <n v="27.314248366013071"/>
    <s v="Profit"/>
    <s v="Meera Bose"/>
    <x v="0"/>
    <x v="1"/>
    <s v="Ahmedabad"/>
    <s v="Gujarat"/>
    <s v="2023-01-29"/>
    <s v="18-25"/>
    <n v="1044.77"/>
  </r>
  <r>
    <s v="ORD00149"/>
    <d v="2025-07-04T00:00:00"/>
    <s v="CUST0220"/>
    <x v="1"/>
    <x v="12"/>
    <n v="2"/>
    <n v="0.1"/>
    <n v="2520"/>
    <n v="848.36"/>
    <x v="1"/>
    <s v="Delivered"/>
    <n v="1260"/>
    <n v="33.665079365079357"/>
    <s v="Profit"/>
    <s v="Pooja Kulkarni"/>
    <x v="0"/>
    <x v="1"/>
    <s v="Surat"/>
    <s v="Gujarat"/>
    <s v="2024-05-02"/>
    <s v="18-25"/>
    <n v="424.18"/>
  </r>
  <r>
    <s v="ORD00150"/>
    <d v="2025-09-18T00:00:00"/>
    <s v="CUST0467"/>
    <x v="0"/>
    <x v="0"/>
    <n v="2"/>
    <n v="0"/>
    <n v="28000"/>
    <n v="5600"/>
    <x v="2"/>
    <s v="Delivered"/>
    <n v="14000"/>
    <n v="20"/>
    <s v="Profit"/>
    <s v="Arjun Gupta"/>
    <x v="2"/>
    <x v="3"/>
    <s v="Patna"/>
    <s v="Bihar"/>
    <s v="2025-10-24"/>
    <s v="36-50"/>
    <n v="2800"/>
  </r>
  <r>
    <s v="ORD00151"/>
    <d v="2025-12-29T00:00:00"/>
    <s v="CUST0537"/>
    <x v="0"/>
    <x v="7"/>
    <n v="1"/>
    <n v="0.05"/>
    <n v="855"/>
    <n v="244.75"/>
    <x v="0"/>
    <s v="Delivered"/>
    <n v="855"/>
    <n v="28.62573099415205"/>
    <s v="Profit"/>
    <s v="Vikram Pillai"/>
    <x v="0"/>
    <x v="0"/>
    <s v="Bengaluru"/>
    <s v="Karnataka"/>
    <s v="2023-11-18"/>
    <s v="26-35"/>
    <n v="244.75"/>
  </r>
  <r>
    <s v="ORD00152"/>
    <d v="2026-03-09T00:00:00"/>
    <s v="CUST0442"/>
    <x v="1"/>
    <x v="1"/>
    <n v="1"/>
    <n v="0.2"/>
    <n v="1440"/>
    <n v="403.34"/>
    <x v="1"/>
    <s v="Delivered"/>
    <n v="1440"/>
    <n v="28.009722222222219"/>
    <s v="Profit"/>
    <s v="Akash Kulkarni"/>
    <x v="0"/>
    <x v="0"/>
    <s v="Bengaluru"/>
    <s v="Karnataka"/>
    <s v="2023-09-01"/>
    <s v="36-50"/>
    <n v="403.34"/>
  </r>
  <r>
    <s v="ORD00153"/>
    <d v="2025-11-07T00:00:00"/>
    <s v="CUST0189"/>
    <x v="1"/>
    <x v="13"/>
    <n v="2"/>
    <n v="0.1"/>
    <n v="7560"/>
    <n v="1851.84"/>
    <x v="1"/>
    <s v="Delivered"/>
    <n v="3780"/>
    <n v="24.49523809523809"/>
    <s v="Profit"/>
    <s v="Kavya Pillai"/>
    <x v="2"/>
    <x v="1"/>
    <s v="Mumbai"/>
    <s v="Maharashtra"/>
    <s v="2023-12-12"/>
    <s v="18-25"/>
    <n v="925.92"/>
  </r>
  <r>
    <s v="ORD00154"/>
    <d v="2026-01-07T00:00:00"/>
    <s v="CUST0286"/>
    <x v="2"/>
    <x v="5"/>
    <n v="4"/>
    <n v="0.15"/>
    <n v="37400"/>
    <n v="4876.4799999999996"/>
    <x v="3"/>
    <s v="Delivered"/>
    <n v="9350"/>
    <n v="13.038716577540111"/>
    <s v="Profit"/>
    <s v="Meera Rao"/>
    <x v="2"/>
    <x v="3"/>
    <s v="Patna"/>
    <s v="Bihar"/>
    <s v="2023-12-05"/>
    <s v="26-35"/>
    <n v="1219.1199999999999"/>
  </r>
  <r>
    <s v="ORD00155"/>
    <d v="2026-07-16T00:00:00"/>
    <s v="CUST0201"/>
    <x v="0"/>
    <x v="0"/>
    <n v="3"/>
    <n v="0.15"/>
    <n v="35700"/>
    <n v="-15727.63"/>
    <x v="1"/>
    <s v="Cancelled"/>
    <n v="11900"/>
    <n v="-44.054985994397747"/>
    <s v="Loss"/>
    <s v="Pooja Joshi"/>
    <x v="1"/>
    <x v="3"/>
    <s v="Kolkata"/>
    <s v="West Bengal"/>
    <s v="2024-09-28"/>
    <s v="18-25"/>
    <n v="-5242.5433333333331"/>
  </r>
  <r>
    <s v="ORD00156"/>
    <d v="2025-11-23T00:00:00"/>
    <s v="CUST0570"/>
    <x v="3"/>
    <x v="10"/>
    <n v="2"/>
    <n v="0.2"/>
    <n v="88000"/>
    <n v="6846.08"/>
    <x v="1"/>
    <s v="Delivered"/>
    <n v="44000"/>
    <n v="7.7796363636363637"/>
    <s v="Profit"/>
    <s v="Divya Sharma"/>
    <x v="2"/>
    <x v="2"/>
    <s v="Delhi"/>
    <s v="Delhi"/>
    <s v="2024-10-31"/>
    <s v="18-25"/>
    <n v="3423.04"/>
  </r>
  <r>
    <s v="ORD00157"/>
    <d v="2026-05-22T00:00:00"/>
    <s v="CUST0474"/>
    <x v="2"/>
    <x v="2"/>
    <n v="1"/>
    <n v="0"/>
    <n v="13000"/>
    <n v="3200"/>
    <x v="3"/>
    <s v="Delivered"/>
    <n v="13000"/>
    <n v="24.61538461538462"/>
    <s v="Profit"/>
    <s v="Meera Chopra"/>
    <x v="2"/>
    <x v="0"/>
    <s v="Hyderabad"/>
    <s v="Telangana"/>
    <s v="2023-02-16"/>
    <s v="36-50"/>
    <n v="3200"/>
  </r>
  <r>
    <s v="ORD00158"/>
    <d v="2026-05-01T00:00:00"/>
    <s v="CUST0090"/>
    <x v="2"/>
    <x v="3"/>
    <n v="3"/>
    <n v="0.2"/>
    <n v="36000"/>
    <n v="5088.01"/>
    <x v="3"/>
    <s v="Delivered"/>
    <n v="12000"/>
    <n v="14.13336111111111"/>
    <s v="Profit"/>
    <s v="Nisha Bose"/>
    <x v="1"/>
    <x v="0"/>
    <s v="Coimbatore"/>
    <s v="Tamil Nadu"/>
    <s v="2024-09-07"/>
    <s v="51+"/>
    <n v="1696.0033333333331"/>
  </r>
  <r>
    <s v="ORD00159"/>
    <d v="2025-07-26T00:00:00"/>
    <s v="CUST0456"/>
    <x v="0"/>
    <x v="6"/>
    <n v="3"/>
    <n v="0.2"/>
    <n v="840"/>
    <n v="243.17"/>
    <x v="2"/>
    <s v="Delivered"/>
    <n v="280"/>
    <n v="28.948809523809519"/>
    <s v="Profit"/>
    <s v="Ananya Das"/>
    <x v="0"/>
    <x v="3"/>
    <s v="Patna"/>
    <s v="Bihar"/>
    <s v="2025-06-07"/>
    <s v="18-25"/>
    <n v="81.056666666666658"/>
  </r>
  <r>
    <s v="ORD00160"/>
    <d v="2025-12-18T00:00:00"/>
    <s v="CUST0083"/>
    <x v="0"/>
    <x v="0"/>
    <n v="2"/>
    <n v="0"/>
    <n v="28000"/>
    <n v="5600"/>
    <x v="2"/>
    <s v="Delivered"/>
    <n v="14000"/>
    <n v="20"/>
    <s v="Profit"/>
    <s v="Nisha Singh"/>
    <x v="0"/>
    <x v="0"/>
    <s v="Bengaluru"/>
    <s v="Karnataka"/>
    <s v="2024-07-24"/>
    <s v="26-35"/>
    <n v="2800"/>
  </r>
  <r>
    <s v="ORD00161"/>
    <d v="2026-03-08T00:00:00"/>
    <s v="CUST0388"/>
    <x v="3"/>
    <x v="11"/>
    <n v="1"/>
    <n v="0.1"/>
    <n v="2250"/>
    <n v="589.97"/>
    <x v="0"/>
    <s v="Delivered"/>
    <n v="2250"/>
    <n v="26.22088888888889"/>
    <s v="Profit"/>
    <s v="Shreya Kulkarni"/>
    <x v="0"/>
    <x v="0"/>
    <s v="Bengaluru"/>
    <s v="Karnataka"/>
    <s v="2025-08-28"/>
    <s v="36-50"/>
    <n v="589.97"/>
  </r>
  <r>
    <s v="ORD00162"/>
    <d v="2026-05-14T00:00:00"/>
    <s v="CUST0012"/>
    <x v="0"/>
    <x v="6"/>
    <n v="3"/>
    <n v="0"/>
    <n v="1050"/>
    <n v="360"/>
    <x v="1"/>
    <s v="Delivered"/>
    <n v="350"/>
    <n v="34.285714285714278"/>
    <s v="Profit"/>
    <s v="Akash Nair"/>
    <x v="1"/>
    <x v="0"/>
    <s v="Chennai"/>
    <s v="Tamil Nadu"/>
    <s v="2025-11-27"/>
    <s v="36-50"/>
    <n v="120"/>
  </r>
  <r>
    <s v="ORD00163"/>
    <d v="2026-08-23T00:00:00"/>
    <s v="CUST0380"/>
    <x v="2"/>
    <x v="3"/>
    <n v="3"/>
    <n v="0.2"/>
    <n v="36000"/>
    <n v="-17877.89"/>
    <x v="1"/>
    <s v="Returned"/>
    <n v="12000"/>
    <n v="-49.660805555555562"/>
    <s v="Loss"/>
    <s v="Arjun Sharma"/>
    <x v="2"/>
    <x v="1"/>
    <s v="Surat"/>
    <s v="Gujarat"/>
    <s v="2024-07-24"/>
    <s v="36-50"/>
    <n v="-5959.2966666666662"/>
  </r>
  <r>
    <s v="ORD00164"/>
    <d v="2026-01-23T00:00:00"/>
    <s v="CUST0217"/>
    <x v="1"/>
    <x v="15"/>
    <n v="4"/>
    <n v="0.05"/>
    <n v="8360"/>
    <n v="2774.56"/>
    <x v="3"/>
    <s v="Delivered"/>
    <n v="2090"/>
    <n v="33.188516746411487"/>
    <s v="Profit"/>
    <s v="Pooja Mehta"/>
    <x v="0"/>
    <x v="0"/>
    <s v="Hyderabad"/>
    <s v="Telangana"/>
    <s v="2024-11-14"/>
    <s v="51+"/>
    <n v="693.64"/>
  </r>
  <r>
    <s v="ORD00165"/>
    <d v="2026-02-06T00:00:00"/>
    <s v="CUST0160"/>
    <x v="0"/>
    <x v="14"/>
    <n v="4"/>
    <n v="0.15"/>
    <n v="1530"/>
    <n v="257.68"/>
    <x v="1"/>
    <s v="Delivered"/>
    <n v="382.5"/>
    <n v="16.841830065359481"/>
    <s v="Profit"/>
    <s v="Divya Sharma"/>
    <x v="2"/>
    <x v="0"/>
    <s v="Bengaluru"/>
    <s v="Karnataka"/>
    <s v="2024-09-25"/>
    <s v="18-25"/>
    <n v="64.42"/>
  </r>
  <r>
    <s v="ORD00166"/>
    <d v="2026-02-07T00:00:00"/>
    <s v="CUST0439"/>
    <x v="2"/>
    <x v="9"/>
    <n v="6"/>
    <n v="0.05"/>
    <n v="51300"/>
    <n v="12144.84"/>
    <x v="3"/>
    <s v="Delivered"/>
    <n v="8550"/>
    <n v="23.674152046783629"/>
    <s v="Profit"/>
    <s v="Arjun Kulkarni"/>
    <x v="0"/>
    <x v="3"/>
    <s v="Patna"/>
    <s v="Bihar"/>
    <s v="2023-01-03"/>
    <s v="36-50"/>
    <n v="2024.14"/>
  </r>
  <r>
    <s v="ORD00167"/>
    <d v="2025-09-17T00:00:00"/>
    <s v="CUST0179"/>
    <x v="3"/>
    <x v="4"/>
    <n v="2"/>
    <n v="0.15"/>
    <n v="30600"/>
    <n v="3374.87"/>
    <x v="3"/>
    <s v="Delivered"/>
    <n v="15300"/>
    <n v="11.02898692810458"/>
    <s v="Profit"/>
    <s v="Akash Pillai"/>
    <x v="0"/>
    <x v="1"/>
    <s v="Pune"/>
    <s v="Maharashtra"/>
    <s v="2024-09-14"/>
    <s v="51+"/>
    <n v="1687.4349999999999"/>
  </r>
  <r>
    <s v="ORD00168"/>
    <d v="2026-02-22T00:00:00"/>
    <s v="CUST0095"/>
    <x v="0"/>
    <x v="14"/>
    <n v="2"/>
    <n v="0.2"/>
    <n v="720"/>
    <n v="123.61"/>
    <x v="2"/>
    <s v="Delivered"/>
    <n v="360"/>
    <n v="17.168055555555551"/>
    <s v="Profit"/>
    <s v="Manoj Rao"/>
    <x v="1"/>
    <x v="3"/>
    <s v="Guwahati"/>
    <s v="Assam"/>
    <s v="2024-09-25"/>
    <s v="36-50"/>
    <n v="61.805"/>
  </r>
  <r>
    <s v="ORD00169"/>
    <d v="2025-08-11T00:00:00"/>
    <s v="CUST0091"/>
    <x v="1"/>
    <x v="12"/>
    <n v="2"/>
    <n v="0"/>
    <n v="2800"/>
    <n v="1000"/>
    <x v="2"/>
    <s v="Delivered"/>
    <n v="1400"/>
    <n v="35.714285714285722"/>
    <s v="Profit"/>
    <s v="Lakshmi Das"/>
    <x v="1"/>
    <x v="3"/>
    <s v="Patna"/>
    <s v="Bihar"/>
    <s v="2024-07-22"/>
    <s v="26-35"/>
    <n v="500"/>
  </r>
  <r>
    <s v="ORD00170"/>
    <d v="2026-04-03T00:00:00"/>
    <s v="CUST0535"/>
    <x v="3"/>
    <x v="4"/>
    <n v="2"/>
    <n v="0"/>
    <n v="36000"/>
    <n v="7000"/>
    <x v="1"/>
    <s v="Delivered"/>
    <n v="18000"/>
    <n v="19.44444444444445"/>
    <s v="Profit"/>
    <s v="Sanjay Reddy"/>
    <x v="0"/>
    <x v="0"/>
    <s v="Bengaluru"/>
    <s v="Karnataka"/>
    <s v="2024-03-17"/>
    <s v="18-25"/>
    <n v="3500"/>
  </r>
  <r>
    <s v="ORD00171"/>
    <d v="2025-07-26T00:00:00"/>
    <s v="CUST0448"/>
    <x v="0"/>
    <x v="7"/>
    <n v="3"/>
    <n v="0"/>
    <n v="2700"/>
    <n v="-634.95000000000005"/>
    <x v="2"/>
    <s v="Returned"/>
    <n v="900"/>
    <n v="-23.516666666666669"/>
    <s v="Loss"/>
    <s v="Meera Iyer"/>
    <x v="0"/>
    <x v="2"/>
    <s v="Jaipur"/>
    <s v="Rajasthan"/>
    <s v="2023-01-18"/>
    <s v="36-50"/>
    <n v="-211.65"/>
  </r>
  <r>
    <s v="ORD00172"/>
    <d v="2026-06-26T00:00:00"/>
    <s v="CUST0455"/>
    <x v="3"/>
    <x v="4"/>
    <n v="5"/>
    <n v="0.15"/>
    <n v="76500"/>
    <n v="10364.719999999999"/>
    <x v="3"/>
    <s v="Delivered"/>
    <n v="15300"/>
    <n v="13.54865359477124"/>
    <s v="Profit"/>
    <s v="Priya Sharma"/>
    <x v="0"/>
    <x v="0"/>
    <s v="Hyderabad"/>
    <s v="Telangana"/>
    <s v="2023-12-10"/>
    <s v="26-35"/>
    <n v="2072.944"/>
  </r>
  <r>
    <s v="ORD00173"/>
    <d v="2025-09-20T00:00:00"/>
    <s v="CUST0354"/>
    <x v="0"/>
    <x v="7"/>
    <n v="2"/>
    <n v="0.05"/>
    <n v="1710"/>
    <n v="516.67999999999995"/>
    <x v="0"/>
    <s v="Shipped"/>
    <n v="855"/>
    <n v="30.215204678362571"/>
    <s v="Profit"/>
    <s v="Manoj Singh"/>
    <x v="2"/>
    <x v="1"/>
    <s v="Mumbai"/>
    <s v="Maharashtra"/>
    <s v="2025-09-10"/>
    <s v="26-35"/>
    <n v="258.33999999999997"/>
  </r>
  <r>
    <s v="ORD00174"/>
    <d v="2025-09-26T00:00:00"/>
    <s v="CUST0083"/>
    <x v="3"/>
    <x v="4"/>
    <n v="2"/>
    <n v="0.2"/>
    <n v="28800"/>
    <n v="-11651.66"/>
    <x v="1"/>
    <s v="Returned"/>
    <n v="14400"/>
    <n v="-40.457152777777779"/>
    <s v="Loss"/>
    <s v="Nisha Singh"/>
    <x v="0"/>
    <x v="0"/>
    <s v="Bengaluru"/>
    <s v="Karnataka"/>
    <s v="2024-07-24"/>
    <s v="26-35"/>
    <n v="-5825.83"/>
  </r>
  <r>
    <s v="ORD00175"/>
    <d v="2025-11-23T00:00:00"/>
    <s v="CUST0165"/>
    <x v="3"/>
    <x v="4"/>
    <n v="1"/>
    <n v="0"/>
    <n v="18000"/>
    <n v="3500"/>
    <x v="2"/>
    <s v="Delivered"/>
    <n v="18000"/>
    <n v="19.44444444444445"/>
    <s v="Profit"/>
    <s v="Diya Mishra"/>
    <x v="0"/>
    <x v="0"/>
    <s v="Hyderabad"/>
    <s v="Telangana"/>
    <s v="2025-04-25"/>
    <s v="51+"/>
    <n v="3500"/>
  </r>
  <r>
    <s v="ORD00176"/>
    <d v="2025-10-07T00:00:00"/>
    <s v="CUST0413"/>
    <x v="3"/>
    <x v="10"/>
    <n v="2"/>
    <n v="0.05"/>
    <n v="104500"/>
    <n v="-44526.93"/>
    <x v="1"/>
    <s v="Cancelled"/>
    <n v="52250"/>
    <n v="-42.609502392344503"/>
    <s v="Loss"/>
    <s v="Sanjay Bose"/>
    <x v="0"/>
    <x v="0"/>
    <s v="Chennai"/>
    <s v="Tamil Nadu"/>
    <s v="2023-05-01"/>
    <s v="26-35"/>
    <n v="-22263.465"/>
  </r>
  <r>
    <s v="ORD00177"/>
    <d v="2025-12-11T00:00:00"/>
    <s v="CUST0535"/>
    <x v="0"/>
    <x v="7"/>
    <n v="2"/>
    <n v="0.1"/>
    <n v="1620"/>
    <n v="457.05"/>
    <x v="0"/>
    <s v="Delivered"/>
    <n v="810"/>
    <n v="28.212962962962958"/>
    <s v="Profit"/>
    <s v="Sanjay Reddy"/>
    <x v="0"/>
    <x v="0"/>
    <s v="Bengaluru"/>
    <s v="Karnataka"/>
    <s v="2024-03-17"/>
    <s v="18-25"/>
    <n v="228.52500000000001"/>
  </r>
  <r>
    <s v="ORD00178"/>
    <d v="2025-11-25T00:00:00"/>
    <s v="CUST0119"/>
    <x v="0"/>
    <x v="0"/>
    <n v="5"/>
    <n v="0.15"/>
    <n v="59500"/>
    <n v="6418.35"/>
    <x v="0"/>
    <s v="Delivered"/>
    <n v="11900"/>
    <n v="10.787142857142859"/>
    <s v="Profit"/>
    <s v="Divya Naidu"/>
    <x v="1"/>
    <x v="0"/>
    <s v="Coimbatore"/>
    <s v="Tamil Nadu"/>
    <s v="2023-05-25"/>
    <s v="36-50"/>
    <n v="1283.67"/>
  </r>
  <r>
    <s v="ORD00179"/>
    <d v="2025-07-03T00:00:00"/>
    <s v="CUST0085"/>
    <x v="3"/>
    <x v="4"/>
    <n v="1"/>
    <n v="0"/>
    <n v="18000"/>
    <n v="3500"/>
    <x v="2"/>
    <s v="Shipped"/>
    <n v="18000"/>
    <n v="19.44444444444445"/>
    <s v="Profit"/>
    <s v="Meera Gupta"/>
    <x v="1"/>
    <x v="2"/>
    <s v="Chandigarh"/>
    <s v="Chandigarh"/>
    <s v="2025-09-07"/>
    <s v="36-50"/>
    <n v="3500"/>
  </r>
  <r>
    <s v="ORD00180"/>
    <d v="2025-07-30T00:00:00"/>
    <s v="CUST0598"/>
    <x v="0"/>
    <x v="7"/>
    <n v="4"/>
    <n v="0.1"/>
    <n v="3240"/>
    <n v="850.6"/>
    <x v="2"/>
    <s v="Delivered"/>
    <n v="810"/>
    <n v="26.253086419753089"/>
    <s v="Profit"/>
    <s v="Arjun Das"/>
    <x v="0"/>
    <x v="0"/>
    <s v="Hyderabad"/>
    <s v="Telangana"/>
    <s v="2024-07-07"/>
    <s v="36-50"/>
    <n v="212.65"/>
  </r>
  <r>
    <s v="ORD00182"/>
    <d v="2025-10-02T00:00:00"/>
    <s v="CUST0535"/>
    <x v="3"/>
    <x v="8"/>
    <n v="3"/>
    <n v="0"/>
    <n v="13500"/>
    <n v="4500"/>
    <x v="3"/>
    <s v="Delivered"/>
    <n v="4500"/>
    <n v="33.333333333333329"/>
    <s v="Profit"/>
    <s v="Sanjay Reddy"/>
    <x v="0"/>
    <x v="0"/>
    <s v="Bengaluru"/>
    <s v="Karnataka"/>
    <s v="2024-03-17"/>
    <s v="18-25"/>
    <n v="1500"/>
  </r>
  <r>
    <s v="ORD00183"/>
    <d v="2025-09-03T00:00:00"/>
    <s v="CUST0493"/>
    <x v="0"/>
    <x v="6"/>
    <n v="5"/>
    <n v="0.05"/>
    <n v="1662.5"/>
    <n v="97.96"/>
    <x v="3"/>
    <s v="Returned"/>
    <n v="332.5"/>
    <n v="5.8923308270676689"/>
    <s v="Profit"/>
    <s v="Vikram Patel"/>
    <x v="1"/>
    <x v="1"/>
    <s v="Pune"/>
    <s v="Maharashtra"/>
    <s v="2023-09-05"/>
    <s v="36-50"/>
    <n v="19.591999999999999"/>
  </r>
  <r>
    <s v="ORD00184"/>
    <d v="2026-05-15T00:00:00"/>
    <s v="CUST0012"/>
    <x v="3"/>
    <x v="8"/>
    <n v="6"/>
    <n v="0.1"/>
    <n v="24300"/>
    <n v="7599.12"/>
    <x v="0"/>
    <s v="Delivered"/>
    <n v="4050"/>
    <n v="31.272098765432101"/>
    <s v="Profit"/>
    <s v="Akash Nair"/>
    <x v="1"/>
    <x v="0"/>
    <s v="Chennai"/>
    <s v="Tamil Nadu"/>
    <s v="2025-11-27"/>
    <s v="36-50"/>
    <n v="1266.52"/>
  </r>
  <r>
    <s v="ORD00185"/>
    <d v="2026-06-23T00:00:00"/>
    <s v="CUST0292"/>
    <x v="1"/>
    <x v="12"/>
    <n v="2"/>
    <n v="0"/>
    <n v="2800"/>
    <n v="-45.23"/>
    <x v="2"/>
    <s v="Cancelled"/>
    <n v="1400"/>
    <n v="-1.6153571428571429"/>
    <s v="Loss"/>
    <s v="Sanjay Khan"/>
    <x v="0"/>
    <x v="0"/>
    <s v="Bengaluru"/>
    <s v="Karnataka"/>
    <s v="2023-07-05"/>
    <s v="26-35"/>
    <n v="-22.614999999999998"/>
  </r>
  <r>
    <s v="ORD00186"/>
    <d v="2026-06-29T00:00:00"/>
    <s v="CUST0476"/>
    <x v="3"/>
    <x v="8"/>
    <n v="1"/>
    <n v="0"/>
    <n v="4500"/>
    <n v="-92.4"/>
    <x v="3"/>
    <s v="Cancelled"/>
    <n v="4500"/>
    <n v="-2.0533333333333328"/>
    <s v="Loss"/>
    <s v="Ishaan Gupta"/>
    <x v="1"/>
    <x v="0"/>
    <s v="Bengaluru"/>
    <s v="Karnataka"/>
    <s v="2025-07-01"/>
    <s v="18-25"/>
    <n v="-92.4"/>
  </r>
  <r>
    <s v="ORD00187"/>
    <d v="2025-10-04T00:00:00"/>
    <s v="CUST0263"/>
    <x v="0"/>
    <x v="6"/>
    <n v="4"/>
    <n v="0.2"/>
    <n v="1120"/>
    <n v="251.56"/>
    <x v="0"/>
    <s v="Delivered"/>
    <n v="280"/>
    <n v="22.460714285714289"/>
    <s v="Profit"/>
    <s v="Priya Khan"/>
    <x v="0"/>
    <x v="3"/>
    <s v="Kolkata"/>
    <s v="West Bengal"/>
    <s v="2025-03-25"/>
    <s v="26-35"/>
    <n v="62.89"/>
  </r>
  <r>
    <s v="ORD00188"/>
    <d v="2025-07-12T00:00:00"/>
    <s v="CUST0073"/>
    <x v="1"/>
    <x v="15"/>
    <n v="2"/>
    <n v="0.15"/>
    <n v="3740"/>
    <n v="1174.08"/>
    <x v="0"/>
    <s v="Delivered"/>
    <n v="1870"/>
    <n v="31.392513368983959"/>
    <s v="Profit"/>
    <s v="Kavya Pillai"/>
    <x v="0"/>
    <x v="0"/>
    <s v="Hyderabad"/>
    <s v="Telangana"/>
    <s v="2023-04-01"/>
    <s v="26-35"/>
    <n v="587.04"/>
  </r>
  <r>
    <s v="ORD00189"/>
    <d v="2026-06-22T00:00:00"/>
    <s v="CUST0309"/>
    <x v="0"/>
    <x v="6"/>
    <n v="3"/>
    <n v="0.1"/>
    <n v="945"/>
    <n v="299.12"/>
    <x v="3"/>
    <s v="Delivered"/>
    <n v="315"/>
    <n v="31.652910052910059"/>
    <s v="Profit"/>
    <s v="Divya Iyer"/>
    <x v="2"/>
    <x v="2"/>
    <s v="Lucknow"/>
    <s v="Uttar Pradesh"/>
    <s v="2024-10-13"/>
    <s v="26-35"/>
    <n v="99.706666666666663"/>
  </r>
  <r>
    <s v="ORD00190"/>
    <d v="2025-08-26T00:00:00"/>
    <s v="CUST0217"/>
    <x v="3"/>
    <x v="4"/>
    <n v="3"/>
    <n v="0.1"/>
    <n v="48600"/>
    <n v="6825.05"/>
    <x v="1"/>
    <s v="Shipped"/>
    <n v="16200"/>
    <n v="14.043312757201649"/>
    <s v="Profit"/>
    <s v="Pooja Mehta"/>
    <x v="0"/>
    <x v="0"/>
    <s v="Hyderabad"/>
    <s v="Telangana"/>
    <s v="2024-11-14"/>
    <s v="51+"/>
    <n v="2275.0166666666669"/>
  </r>
  <r>
    <s v="ORD00191"/>
    <d v="2026-04-23T00:00:00"/>
    <s v="CUST0217"/>
    <x v="0"/>
    <x v="0"/>
    <n v="5"/>
    <n v="0.2"/>
    <n v="56000"/>
    <n v="3152.77"/>
    <x v="1"/>
    <s v="Shipped"/>
    <n v="11200"/>
    <n v="5.6299464285714276"/>
    <s v="Profit"/>
    <s v="Pooja Mehta"/>
    <x v="0"/>
    <x v="0"/>
    <s v="Hyderabad"/>
    <s v="Telangana"/>
    <s v="2024-11-14"/>
    <s v="51+"/>
    <n v="630.55399999999997"/>
  </r>
  <r>
    <s v="ORD00192"/>
    <d v="2025-08-27T00:00:00"/>
    <s v="CUST0209"/>
    <x v="2"/>
    <x v="2"/>
    <n v="2"/>
    <n v="0.15"/>
    <n v="22100"/>
    <n v="3167.9"/>
    <x v="3"/>
    <s v="Delivered"/>
    <n v="11050"/>
    <n v="14.33438914027149"/>
    <s v="Profit"/>
    <s v="Rahul Naidu"/>
    <x v="0"/>
    <x v="0"/>
    <s v="Hyderabad"/>
    <s v="Telangana"/>
    <s v="2023-02-09"/>
    <s v="36-50"/>
    <n v="1583.95"/>
  </r>
  <r>
    <s v="ORD00193"/>
    <d v="2025-10-09T00:00:00"/>
    <s v="CUST0249"/>
    <x v="3"/>
    <x v="10"/>
    <n v="4"/>
    <n v="0.05"/>
    <n v="209000"/>
    <n v="28313.81"/>
    <x v="0"/>
    <s v="Delivered"/>
    <n v="52250"/>
    <n v="13.54727751196172"/>
    <s v="Profit"/>
    <s v="Aditya Patel"/>
    <x v="0"/>
    <x v="3"/>
    <s v="Kolkata"/>
    <s v="West Bengal"/>
    <s v="2025-03-11"/>
    <s v="36-50"/>
    <n v="7078.4525000000003"/>
  </r>
  <r>
    <s v="ORD00194"/>
    <d v="2026-03-20T00:00:00"/>
    <s v="CUST0216"/>
    <x v="2"/>
    <x v="9"/>
    <n v="5"/>
    <n v="0"/>
    <n v="45000"/>
    <n v="11500"/>
    <x v="1"/>
    <s v="Delivered"/>
    <n v="9000"/>
    <n v="25.55555555555555"/>
    <s v="Profit"/>
    <s v="Karthik Mishra"/>
    <x v="0"/>
    <x v="0"/>
    <s v="Hyderabad"/>
    <s v="Telangana"/>
    <s v="2024-06-25"/>
    <s v="26-35"/>
    <n v="2300"/>
  </r>
  <r>
    <s v="ORD00195"/>
    <d v="2025-11-26T00:00:00"/>
    <s v="CUST0374"/>
    <x v="1"/>
    <x v="12"/>
    <n v="1"/>
    <n v="0.1"/>
    <n v="1260"/>
    <n v="424.48"/>
    <x v="2"/>
    <s v="Shipped"/>
    <n v="1260"/>
    <n v="33.68888888888889"/>
    <s v="Profit"/>
    <s v="Ishaan Chopra"/>
    <x v="0"/>
    <x v="0"/>
    <s v="Bengaluru"/>
    <s v="Karnataka"/>
    <s v="2024-09-12"/>
    <s v="18-25"/>
    <n v="424.48"/>
  </r>
  <r>
    <s v="ORD00196"/>
    <d v="2026-04-19T00:00:00"/>
    <s v="CUST0600"/>
    <x v="0"/>
    <x v="6"/>
    <n v="6"/>
    <n v="0.15"/>
    <n v="1785"/>
    <n v="471.67"/>
    <x v="1"/>
    <s v="Delivered"/>
    <n v="297.5"/>
    <n v="26.42408963585434"/>
    <s v="Profit"/>
    <s v="Shreya Sharma"/>
    <x v="2"/>
    <x v="2"/>
    <s v="Jaipur"/>
    <s v="Rajasthan"/>
    <s v="2024-09-15"/>
    <s v="36-50"/>
    <n v="78.611666666666665"/>
  </r>
  <r>
    <s v="ORD00197"/>
    <d v="2026-02-06T00:00:00"/>
    <s v="CUST0089"/>
    <x v="3"/>
    <x v="10"/>
    <n v="3"/>
    <n v="0.05"/>
    <n v="156750"/>
    <n v="21304.720000000001"/>
    <x v="2"/>
    <s v="Delivered"/>
    <n v="52250"/>
    <n v="13.59152791068581"/>
    <s v="Profit"/>
    <s v="Akash Gupta"/>
    <x v="2"/>
    <x v="2"/>
    <s v="Jaipur"/>
    <s v="Rajasthan"/>
    <s v="2025-10-05"/>
    <s v="26-35"/>
    <n v="7101.5733333333337"/>
  </r>
  <r>
    <s v="ORD00198"/>
    <d v="2026-03-11T00:00:00"/>
    <s v="CUST0490"/>
    <x v="1"/>
    <x v="12"/>
    <n v="1"/>
    <n v="0.1"/>
    <n v="1260"/>
    <n v="394.45"/>
    <x v="2"/>
    <s v="Delivered"/>
    <n v="1260"/>
    <n v="31.30555555555555"/>
    <s v="Profit"/>
    <s v="Nisha Khan"/>
    <x v="0"/>
    <x v="3"/>
    <s v="Bhubaneswar"/>
    <s v="Odisha"/>
    <s v="2025-08-22"/>
    <s v="51+"/>
    <n v="394.45"/>
  </r>
  <r>
    <s v="ORD00199"/>
    <d v="2025-11-07T00:00:00"/>
    <s v="CUST0555"/>
    <x v="3"/>
    <x v="4"/>
    <n v="2"/>
    <n v="0.1"/>
    <n v="32400"/>
    <n v="4270.58"/>
    <x v="0"/>
    <s v="Delivered"/>
    <n v="16200"/>
    <n v="13.1808024691358"/>
    <s v="Profit"/>
    <s v="Aarav Mehta"/>
    <x v="0"/>
    <x v="0"/>
    <s v="Coimbatore"/>
    <s v="Tamil Nadu"/>
    <s v="2023-05-19"/>
    <s v="51+"/>
    <n v="2135.29"/>
  </r>
  <r>
    <s v="ORD00200"/>
    <d v="2025-12-23T00:00:00"/>
    <s v="CUST0187"/>
    <x v="0"/>
    <x v="0"/>
    <n v="3"/>
    <n v="0"/>
    <n v="42000"/>
    <n v="8400"/>
    <x v="2"/>
    <s v="Delivered"/>
    <n v="14000"/>
    <n v="20"/>
    <s v="Profit"/>
    <s v="Nisha Bose"/>
    <x v="0"/>
    <x v="1"/>
    <s v="Mumbai"/>
    <s v="Maharashtra"/>
    <s v="2025-12-11"/>
    <s v="51+"/>
    <n v="2800"/>
  </r>
  <r>
    <s v="ORD00201"/>
    <d v="2025-11-03T00:00:00"/>
    <s v="CUST0111"/>
    <x v="2"/>
    <x v="9"/>
    <n v="1"/>
    <n v="0.05"/>
    <n v="8550"/>
    <n v="-1209.76"/>
    <x v="3"/>
    <s v="Cancelled"/>
    <n v="8550"/>
    <n v="-14.14923976608187"/>
    <s v="Loss"/>
    <s v="Akash Verma"/>
    <x v="0"/>
    <x v="1"/>
    <s v="Pune"/>
    <s v="Maharashtra"/>
    <s v="2023-06-12"/>
    <s v="36-50"/>
    <n v="-1209.76"/>
  </r>
  <r>
    <s v="ORD00202"/>
    <d v="2026-03-20T00:00:00"/>
    <s v="CUST0460"/>
    <x v="3"/>
    <x v="10"/>
    <n v="3"/>
    <n v="0.15"/>
    <n v="140250"/>
    <n v="8694.6299999999992"/>
    <x v="3"/>
    <s v="Delivered"/>
    <n v="46750"/>
    <n v="6.1993796791443847"/>
    <s v="Profit"/>
    <s v="Rohan Nair"/>
    <x v="0"/>
    <x v="0"/>
    <s v="Chennai"/>
    <s v="Tamil Nadu"/>
    <s v="2023-12-17"/>
    <s v="18-25"/>
    <n v="2898.21"/>
  </r>
  <r>
    <s v="ORD00203"/>
    <d v="2026-02-08T00:00:00"/>
    <s v="CUST0178"/>
    <x v="0"/>
    <x v="6"/>
    <n v="2"/>
    <n v="0.1"/>
    <n v="630"/>
    <n v="-169.25"/>
    <x v="3"/>
    <s v="Returned"/>
    <n v="315"/>
    <n v="-26.86507936507936"/>
    <s v="Loss"/>
    <s v="Ananya Pillai"/>
    <x v="0"/>
    <x v="1"/>
    <s v="Pune"/>
    <s v="Maharashtra"/>
    <s v="2025-02-10"/>
    <s v="26-35"/>
    <n v="-84.625"/>
  </r>
  <r>
    <s v="ORD00204"/>
    <d v="2025-08-22T00:00:00"/>
    <s v="CUST0306"/>
    <x v="2"/>
    <x v="9"/>
    <n v="2"/>
    <n v="0.1"/>
    <n v="16200"/>
    <n v="3349.72"/>
    <x v="2"/>
    <s v="Shipped"/>
    <n v="8100"/>
    <n v="20.67728395061728"/>
    <s v="Profit"/>
    <s v="Aditya Das"/>
    <x v="0"/>
    <x v="2"/>
    <s v="Lucknow"/>
    <s v="Uttar Pradesh"/>
    <s v="2023-04-26"/>
    <s v="18-25"/>
    <n v="1674.86"/>
  </r>
  <r>
    <s v="ORD00205"/>
    <d v="2026-06-28T00:00:00"/>
    <s v="CUST0173"/>
    <x v="1"/>
    <x v="13"/>
    <n v="6"/>
    <n v="0.15"/>
    <n v="21420"/>
    <n v="4346.07"/>
    <x v="2"/>
    <s v="Delivered"/>
    <n v="3570"/>
    <n v="20.289775910364149"/>
    <s v="Profit"/>
    <s v="Rohan Rao"/>
    <x v="1"/>
    <x v="0"/>
    <s v="Bengaluru"/>
    <s v="Karnataka"/>
    <s v="2024-03-17"/>
    <s v="18-25"/>
    <n v="724.34499999999991"/>
  </r>
  <r>
    <s v="ORD00206"/>
    <d v="2025-07-01T00:00:00"/>
    <s v="CUST0426"/>
    <x v="0"/>
    <x v="7"/>
    <n v="1"/>
    <n v="0.1"/>
    <n v="810"/>
    <n v="224.08"/>
    <x v="0"/>
    <s v="Delivered"/>
    <n v="810"/>
    <n v="27.6641975308642"/>
    <s v="Profit"/>
    <s v="Sneha Rao"/>
    <x v="1"/>
    <x v="2"/>
    <s v="Lucknow"/>
    <s v="Uttar Pradesh"/>
    <s v="2025-02-23"/>
    <s v="36-50"/>
    <n v="224.08"/>
  </r>
  <r>
    <s v="ORD00207"/>
    <d v="2026-08-01T00:00:00"/>
    <s v="CUST0146"/>
    <x v="3"/>
    <x v="4"/>
    <n v="2"/>
    <n v="0"/>
    <n v="36000"/>
    <n v="-2285.46"/>
    <x v="1"/>
    <s v="Cancelled"/>
    <n v="18000"/>
    <n v="-6.3484999999999996"/>
    <s v="Loss"/>
    <s v="Priya Das"/>
    <x v="3"/>
    <x v="3"/>
    <s v="Patna"/>
    <s v="Bihar"/>
    <s v="2024-06-19"/>
    <s v="26-35"/>
    <n v="-1142.73"/>
  </r>
  <r>
    <s v="ORD00208"/>
    <d v="2026-03-30T00:00:00"/>
    <s v="CUST0357"/>
    <x v="0"/>
    <x v="7"/>
    <n v="3"/>
    <n v="0"/>
    <n v="2700"/>
    <n v="840"/>
    <x v="3"/>
    <s v="Delivered"/>
    <n v="900"/>
    <n v="31.111111111111111"/>
    <s v="Profit"/>
    <s v="Aarav Gupta"/>
    <x v="2"/>
    <x v="2"/>
    <s v="Chandigarh"/>
    <s v="Chandigarh"/>
    <s v="2023-04-16"/>
    <s v="26-35"/>
    <n v="280"/>
  </r>
  <r>
    <s v="ORD00209"/>
    <d v="2025-11-04T00:00:00"/>
    <s v="CUST0154"/>
    <x v="3"/>
    <x v="11"/>
    <n v="3"/>
    <n v="0.1"/>
    <n v="6750"/>
    <n v="1792.16"/>
    <x v="2"/>
    <s v="Delivered"/>
    <n v="2250"/>
    <n v="26.550518518518519"/>
    <s v="Profit"/>
    <s v="Arjun Sharma"/>
    <x v="2"/>
    <x v="2"/>
    <s v="Jaipur"/>
    <s v="Rajasthan"/>
    <s v="2025-06-30"/>
    <s v="26-35"/>
    <n v="597.38666666666666"/>
  </r>
  <r>
    <s v="ORD00210"/>
    <d v="2025-10-26T00:00:00"/>
    <s v="CUST0143"/>
    <x v="1"/>
    <x v="13"/>
    <n v="2"/>
    <n v="0.05"/>
    <n v="7980"/>
    <n v="2164.64"/>
    <x v="0"/>
    <s v="Delivered"/>
    <n v="3990"/>
    <n v="27.125814536340851"/>
    <s v="Profit"/>
    <s v="Ananya Naidu"/>
    <x v="2"/>
    <x v="0"/>
    <s v="Bengaluru"/>
    <s v="Karnataka"/>
    <s v="2023-04-11"/>
    <s v="36-50"/>
    <n v="1082.32"/>
  </r>
  <r>
    <s v="ORD00211"/>
    <d v="2025-11-04T00:00:00"/>
    <s v="CUST0065"/>
    <x v="3"/>
    <x v="8"/>
    <n v="1"/>
    <n v="0.2"/>
    <n v="3600"/>
    <n v="1017.49"/>
    <x v="2"/>
    <s v="Delivered"/>
    <n v="3600"/>
    <n v="28.263611111111111"/>
    <s v="Profit"/>
    <s v="Sneha Singh"/>
    <x v="0"/>
    <x v="0"/>
    <s v="Hyderabad"/>
    <s v="Telangana"/>
    <s v="2023-03-24"/>
    <s v="18-25"/>
    <n v="1017.49"/>
  </r>
  <r>
    <s v="ORD00212"/>
    <d v="2025-07-02T00:00:00"/>
    <s v="CUST0577"/>
    <x v="1"/>
    <x v="13"/>
    <n v="1"/>
    <n v="0.15"/>
    <n v="3570"/>
    <n v="900.58"/>
    <x v="0"/>
    <s v="Delivered"/>
    <n v="3570"/>
    <n v="25.226330532212891"/>
    <s v="Profit"/>
    <s v="Lakshmi Joshi"/>
    <x v="1"/>
    <x v="1"/>
    <s v="Ahmedabad"/>
    <s v="Gujarat"/>
    <s v="2024-09-03"/>
    <s v="26-35"/>
    <n v="900.58"/>
  </r>
  <r>
    <s v="ORD00213"/>
    <d v="2026-07-26T00:00:00"/>
    <s v="CUST0556"/>
    <x v="2"/>
    <x v="3"/>
    <n v="3"/>
    <n v="0.05"/>
    <n v="42750"/>
    <n v="9411.1299999999992"/>
    <x v="3"/>
    <s v="Delivered"/>
    <n v="14250"/>
    <n v="22.014339181286552"/>
    <s v="Profit"/>
    <s v="Karthik Chopra"/>
    <x v="0"/>
    <x v="0"/>
    <s v="Coimbatore"/>
    <s v="Tamil Nadu"/>
    <s v="2024-08-09"/>
    <s v="26-35"/>
    <n v="3137.0433333333331"/>
  </r>
  <r>
    <s v="ORD00214"/>
    <d v="2025-08-12T00:00:00"/>
    <s v="CUST0062"/>
    <x v="3"/>
    <x v="10"/>
    <n v="2"/>
    <n v="0.15"/>
    <n v="93500"/>
    <n v="10458"/>
    <x v="3"/>
    <s v="Delivered"/>
    <n v="46750"/>
    <n v="11.18502673796791"/>
    <s v="Profit"/>
    <s v="Harini Pillai"/>
    <x v="1"/>
    <x v="2"/>
    <s v="Jaipur"/>
    <s v="Rajasthan"/>
    <s v="2023-04-01"/>
    <s v="36-50"/>
    <n v="5229"/>
  </r>
  <r>
    <s v="ORD00215"/>
    <d v="2026-04-23T00:00:00"/>
    <s v="CUST0528"/>
    <x v="3"/>
    <x v="4"/>
    <n v="3"/>
    <n v="0"/>
    <n v="54000"/>
    <n v="10500"/>
    <x v="1"/>
    <s v="Shipped"/>
    <n v="18000"/>
    <n v="19.44444444444445"/>
    <s v="Profit"/>
    <s v="Karthik Menon"/>
    <x v="0"/>
    <x v="0"/>
    <s v="Chennai"/>
    <s v="Tamil Nadu"/>
    <s v="2024-07-24"/>
    <s v="36-50"/>
    <n v="3500"/>
  </r>
  <r>
    <s v="ORD00216"/>
    <d v="2025-09-02T00:00:00"/>
    <s v="CUST0067"/>
    <x v="1"/>
    <x v="13"/>
    <n v="1"/>
    <n v="0"/>
    <n v="4200"/>
    <n v="-555.85"/>
    <x v="0"/>
    <s v="Cancelled"/>
    <n v="4200"/>
    <n v="-13.234523809523809"/>
    <s v="Loss"/>
    <s v="Varun Joshi"/>
    <x v="0"/>
    <x v="0"/>
    <s v="Chennai"/>
    <s v="Tamil Nadu"/>
    <s v="2024-10-29"/>
    <s v="26-35"/>
    <n v="-555.85"/>
  </r>
  <r>
    <s v="ORD00217"/>
    <d v="2026-05-19T00:00:00"/>
    <s v="CUST0585"/>
    <x v="3"/>
    <x v="4"/>
    <n v="2"/>
    <n v="0"/>
    <n v="36000"/>
    <n v="7000"/>
    <x v="0"/>
    <s v="Shipped"/>
    <n v="18000"/>
    <n v="19.44444444444445"/>
    <s v="Profit"/>
    <s v="Diya Reddy"/>
    <x v="1"/>
    <x v="0"/>
    <s v="Bengaluru"/>
    <s v="Karnataka"/>
    <s v="2024-03-03"/>
    <s v="51+"/>
    <n v="3500"/>
  </r>
  <r>
    <s v="ORD00218"/>
    <d v="2026-01-04T00:00:00"/>
    <s v="CUST0334"/>
    <x v="2"/>
    <x v="5"/>
    <n v="1"/>
    <n v="0.05"/>
    <n v="10450"/>
    <n v="2158.36"/>
    <x v="3"/>
    <s v="Delivered"/>
    <n v="10450"/>
    <n v="20.654162679425841"/>
    <s v="Profit"/>
    <s v="Rahul Joshi"/>
    <x v="1"/>
    <x v="0"/>
    <s v="Hyderabad"/>
    <s v="Telangana"/>
    <s v="2024-05-26"/>
    <s v="26-35"/>
    <n v="2158.36"/>
  </r>
  <r>
    <s v="ORD00219"/>
    <d v="2026-06-07T00:00:00"/>
    <s v="CUST0384"/>
    <x v="2"/>
    <x v="9"/>
    <n v="3"/>
    <n v="0.1"/>
    <n v="24300"/>
    <n v="5452.84"/>
    <x v="0"/>
    <s v="Delivered"/>
    <n v="8100"/>
    <n v="22.439670781893"/>
    <s v="Profit"/>
    <s v="Pooja Gupta"/>
    <x v="1"/>
    <x v="1"/>
    <s v="Pune"/>
    <s v="Maharashtra"/>
    <s v="2025-11-14"/>
    <s v="36-50"/>
    <n v="1817.613333333333"/>
  </r>
  <r>
    <s v="ORD00220"/>
    <d v="2026-08-31T00:00:00"/>
    <s v="CUST0145"/>
    <x v="0"/>
    <x v="0"/>
    <n v="3"/>
    <n v="0.1"/>
    <n v="37800"/>
    <n v="4849.01"/>
    <x v="1"/>
    <s v="Delivered"/>
    <n v="12600"/>
    <n v="12.82806878306878"/>
    <s v="Profit"/>
    <s v="Arjun Das"/>
    <x v="0"/>
    <x v="1"/>
    <s v="Ahmedabad"/>
    <s v="Gujarat"/>
    <s v="2023-06-06"/>
    <s v="51+"/>
    <n v="1616.336666666667"/>
  </r>
  <r>
    <s v="ORD00221"/>
    <d v="2025-12-20T00:00:00"/>
    <s v="CUST0355"/>
    <x v="3"/>
    <x v="10"/>
    <n v="1"/>
    <n v="0.2"/>
    <n v="44000"/>
    <n v="3765.11"/>
    <x v="0"/>
    <s v="Shipped"/>
    <n v="44000"/>
    <n v="8.5570681818181829"/>
    <s v="Profit"/>
    <s v="Harini Bose"/>
    <x v="0"/>
    <x v="2"/>
    <s v="Jaipur"/>
    <s v="Rajasthan"/>
    <s v="2025-01-22"/>
    <s v="26-35"/>
    <n v="3765.11"/>
  </r>
  <r>
    <s v="ORD00222"/>
    <d v="2026-04-13T00:00:00"/>
    <s v="CUST0383"/>
    <x v="2"/>
    <x v="9"/>
    <n v="5"/>
    <n v="0.15"/>
    <n v="38250"/>
    <n v="7717.88"/>
    <x v="1"/>
    <s v="Delivered"/>
    <n v="7650"/>
    <n v="20.177464052287579"/>
    <s v="Profit"/>
    <s v="Arjun Mehta"/>
    <x v="0"/>
    <x v="0"/>
    <s v="Chennai"/>
    <s v="Tamil Nadu"/>
    <s v="2024-05-07"/>
    <s v="51+"/>
    <n v="1543.576"/>
  </r>
  <r>
    <s v="ORD00223"/>
    <d v="2025-11-21T00:00:00"/>
    <s v="CUST0492"/>
    <x v="3"/>
    <x v="8"/>
    <n v="5"/>
    <n v="0.05"/>
    <n v="21375"/>
    <n v="6677.26"/>
    <x v="2"/>
    <s v="Delivered"/>
    <n v="4275"/>
    <n v="31.2386432748538"/>
    <s v="Profit"/>
    <s v="Shreya Reddy"/>
    <x v="0"/>
    <x v="2"/>
    <s v="Delhi"/>
    <s v="Delhi"/>
    <s v="2023-07-29"/>
    <s v="18-25"/>
    <n v="1335.452"/>
  </r>
  <r>
    <s v="ORD00224"/>
    <d v="2026-01-07T00:00:00"/>
    <s v="CUST0135"/>
    <x v="2"/>
    <x v="9"/>
    <n v="3"/>
    <n v="0.1"/>
    <n v="24300"/>
    <n v="4815.6499999999996"/>
    <x v="2"/>
    <s v="Delivered"/>
    <n v="8100"/>
    <n v="19.817489711934151"/>
    <s v="Profit"/>
    <s v="Sneha Patel"/>
    <x v="0"/>
    <x v="2"/>
    <s v="Delhi"/>
    <s v="Delhi"/>
    <s v="2024-07-08"/>
    <s v="36-50"/>
    <n v="1605.216666666666"/>
  </r>
  <r>
    <s v="ORD00225"/>
    <d v="2025-07-15T00:00:00"/>
    <s v="CUST0077"/>
    <x v="3"/>
    <x v="10"/>
    <n v="2"/>
    <n v="0.2"/>
    <n v="88000"/>
    <n v="6733.96"/>
    <x v="3"/>
    <s v="Delivered"/>
    <n v="44000"/>
    <n v="7.6522272727272727"/>
    <s v="Profit"/>
    <s v="Aarav Patel"/>
    <x v="2"/>
    <x v="3"/>
    <s v="Bhubaneswar"/>
    <s v="Odisha"/>
    <s v="2023-01-09"/>
    <s v="36-50"/>
    <n v="3366.98"/>
  </r>
  <r>
    <s v="ORD00226"/>
    <d v="2026-06-18T00:00:00"/>
    <s v="CUST0040"/>
    <x v="3"/>
    <x v="11"/>
    <n v="5"/>
    <n v="0.2"/>
    <n v="10000"/>
    <n v="1895.09"/>
    <x v="0"/>
    <s v="Delivered"/>
    <n v="2000"/>
    <n v="18.950900000000001"/>
    <s v="Profit"/>
    <s v="Shreya Reddy"/>
    <x v="0"/>
    <x v="2"/>
    <s v="Delhi"/>
    <s v="Delhi"/>
    <s v="2025-05-04"/>
    <s v="26-35"/>
    <n v="379.01799999999997"/>
  </r>
  <r>
    <s v="ORD00227"/>
    <d v="2025-09-02T00:00:00"/>
    <s v="CUST0173"/>
    <x v="1"/>
    <x v="1"/>
    <n v="2"/>
    <n v="0"/>
    <n v="3600"/>
    <n v="1300"/>
    <x v="2"/>
    <s v="Delivered"/>
    <n v="1800"/>
    <n v="36.111111111111107"/>
    <s v="Profit"/>
    <s v="Rohan Rao"/>
    <x v="1"/>
    <x v="0"/>
    <s v="Bengaluru"/>
    <s v="Karnataka"/>
    <s v="2024-03-17"/>
    <s v="18-25"/>
    <n v="650"/>
  </r>
  <r>
    <s v="ORD00228"/>
    <d v="2026-04-21T00:00:00"/>
    <s v="CUST0291"/>
    <x v="2"/>
    <x v="9"/>
    <n v="1"/>
    <n v="0.2"/>
    <n v="7200"/>
    <n v="827.17"/>
    <x v="1"/>
    <s v="Delivered"/>
    <n v="7200"/>
    <n v="11.488472222222221"/>
    <s v="Profit"/>
    <s v="Divya Chopra"/>
    <x v="1"/>
    <x v="0"/>
    <s v="Bengaluru"/>
    <s v="Karnataka"/>
    <s v="2023-10-19"/>
    <s v="18-25"/>
    <n v="827.17"/>
  </r>
  <r>
    <s v="ORD00229"/>
    <d v="2025-07-07T00:00:00"/>
    <s v="CUST0426"/>
    <x v="0"/>
    <x v="0"/>
    <n v="2"/>
    <n v="0"/>
    <n v="28000"/>
    <n v="5600"/>
    <x v="3"/>
    <s v="Delivered"/>
    <n v="14000"/>
    <n v="20"/>
    <s v="Profit"/>
    <s v="Sneha Rao"/>
    <x v="1"/>
    <x v="2"/>
    <s v="Lucknow"/>
    <s v="Uttar Pradesh"/>
    <s v="2025-02-23"/>
    <s v="36-50"/>
    <n v="2800"/>
  </r>
  <r>
    <s v="ORD00230"/>
    <d v="2026-05-13T00:00:00"/>
    <s v="CUST0379"/>
    <x v="0"/>
    <x v="0"/>
    <n v="4"/>
    <n v="0.1"/>
    <n v="50400"/>
    <n v="8257.7999999999993"/>
    <x v="1"/>
    <s v="Delivered"/>
    <n v="12600"/>
    <n v="16.384523809523809"/>
    <s v="Profit"/>
    <s v="Sneha Pillai"/>
    <x v="0"/>
    <x v="1"/>
    <s v="Surat"/>
    <s v="Gujarat"/>
    <s v="2024-06-25"/>
    <s v="18-25"/>
    <n v="2064.4499999999998"/>
  </r>
  <r>
    <s v="ORD00231"/>
    <d v="2025-11-25T00:00:00"/>
    <s v="CUST0412"/>
    <x v="1"/>
    <x v="1"/>
    <n v="2"/>
    <n v="0.1"/>
    <n v="3240"/>
    <n v="1101.94"/>
    <x v="2"/>
    <s v="Delivered"/>
    <n v="1620"/>
    <n v="34.010493827160502"/>
    <s v="Profit"/>
    <s v="Akash Khan"/>
    <x v="0"/>
    <x v="0"/>
    <s v="Chennai"/>
    <s v="Tamil Nadu"/>
    <s v="2025-03-27"/>
    <s v="26-35"/>
    <n v="550.97"/>
  </r>
  <r>
    <s v="ORD00232"/>
    <d v="2025-10-14T00:00:00"/>
    <s v="CUST0400"/>
    <x v="0"/>
    <x v="6"/>
    <n v="2"/>
    <n v="0"/>
    <n v="700"/>
    <n v="240"/>
    <x v="0"/>
    <s v="Delivered"/>
    <n v="350"/>
    <n v="34.285714285714278"/>
    <s v="Profit"/>
    <s v="Karthik Bose"/>
    <x v="0"/>
    <x v="0"/>
    <s v="Hyderabad"/>
    <s v="Telangana"/>
    <s v="2024-08-01"/>
    <s v="36-50"/>
    <n v="120"/>
  </r>
  <r>
    <s v="ORD00233"/>
    <d v="2026-07-14T00:00:00"/>
    <s v="CUST0557"/>
    <x v="2"/>
    <x v="2"/>
    <n v="2"/>
    <n v="0.1"/>
    <n v="23400"/>
    <n v="4691.91"/>
    <x v="1"/>
    <s v="Delivered"/>
    <n v="11700"/>
    <n v="20.05089743589744"/>
    <s v="Profit"/>
    <s v="Divya Mishra"/>
    <x v="0"/>
    <x v="2"/>
    <s v="Lucknow"/>
    <s v="Uttar Pradesh"/>
    <s v="2024-11-08"/>
    <s v="18-25"/>
    <n v="2345.9549999999999"/>
  </r>
  <r>
    <s v="ORD00234"/>
    <d v="2026-04-29T00:00:00"/>
    <s v="CUST0363"/>
    <x v="3"/>
    <x v="11"/>
    <n v="1"/>
    <n v="0.15"/>
    <n v="2125"/>
    <n v="628.84"/>
    <x v="3"/>
    <s v="Delivered"/>
    <n v="2125"/>
    <n v="29.592470588235301"/>
    <s v="Profit"/>
    <s v="Priya Patel"/>
    <x v="1"/>
    <x v="0"/>
    <s v="Chennai"/>
    <s v="Tamil Nadu"/>
    <s v="2024-01-12"/>
    <s v="51+"/>
    <n v="628.84"/>
  </r>
  <r>
    <s v="ORD00235"/>
    <d v="2026-05-30T00:00:00"/>
    <s v="CUST0063"/>
    <x v="0"/>
    <x v="7"/>
    <n v="2"/>
    <n v="0.1"/>
    <n v="1620"/>
    <n v="447.13"/>
    <x v="0"/>
    <s v="Delivered"/>
    <n v="810"/>
    <n v="27.600617283950619"/>
    <s v="Profit"/>
    <s v="Kavya Nair"/>
    <x v="0"/>
    <x v="2"/>
    <s v="Jaipur"/>
    <s v="Rajasthan"/>
    <s v="2024-06-25"/>
    <s v="51+"/>
    <n v="223.565"/>
  </r>
  <r>
    <s v="ORD00236"/>
    <d v="2026-04-17T00:00:00"/>
    <s v="CUST0468"/>
    <x v="1"/>
    <x v="15"/>
    <n v="1"/>
    <n v="0.1"/>
    <n v="1980"/>
    <n v="625.17999999999995"/>
    <x v="0"/>
    <s v="Delivered"/>
    <n v="1980"/>
    <n v="31.574747474747468"/>
    <s v="Profit"/>
    <s v="Lakshmi Mehta"/>
    <x v="1"/>
    <x v="0"/>
    <s v="Chennai"/>
    <s v="Tamil Nadu"/>
    <s v="2023-03-02"/>
    <s v="26-35"/>
    <n v="625.17999999999995"/>
  </r>
  <r>
    <s v="ORD00237"/>
    <d v="2026-08-05T00:00:00"/>
    <s v="CUST0024"/>
    <x v="2"/>
    <x v="9"/>
    <n v="2"/>
    <n v="0.15"/>
    <n v="15300"/>
    <n v="2369.46"/>
    <x v="1"/>
    <s v="Delivered"/>
    <n v="7650"/>
    <n v="15.48666666666667"/>
    <s v="Profit"/>
    <s v="Lakshmi Pillai"/>
    <x v="1"/>
    <x v="0"/>
    <s v="Coimbatore"/>
    <s v="Tamil Nadu"/>
    <s v="2024-11-26"/>
    <s v="26-35"/>
    <n v="1184.73"/>
  </r>
  <r>
    <s v="ORD00238"/>
    <d v="2025-07-31T00:00:00"/>
    <s v="CUST0050"/>
    <x v="0"/>
    <x v="6"/>
    <n v="4"/>
    <n v="0"/>
    <n v="1400"/>
    <n v="480"/>
    <x v="2"/>
    <s v="Delivered"/>
    <n v="350"/>
    <n v="34.285714285714278"/>
    <s v="Profit"/>
    <s v="Varun Mehta"/>
    <x v="2"/>
    <x v="2"/>
    <s v="Jaipur"/>
    <s v="Rajasthan"/>
    <s v="2025-07-08"/>
    <s v="26-35"/>
    <n v="120"/>
  </r>
  <r>
    <s v="ORD00239"/>
    <d v="2026-05-26T00:00:00"/>
    <s v="CUST0599"/>
    <x v="0"/>
    <x v="7"/>
    <n v="1"/>
    <n v="0.3"/>
    <n v="630"/>
    <n v="137.69"/>
    <x v="2"/>
    <s v="Delivered"/>
    <n v="630"/>
    <n v="21.855555555555551"/>
    <s v="Profit"/>
    <s v="Rahul Das"/>
    <x v="1"/>
    <x v="0"/>
    <s v="Coimbatore"/>
    <s v="Tamil Nadu"/>
    <s v="2024-01-12"/>
    <s v="26-35"/>
    <n v="137.69"/>
  </r>
  <r>
    <s v="ORD00240"/>
    <d v="2026-07-04T00:00:00"/>
    <s v="CUST0193"/>
    <x v="2"/>
    <x v="3"/>
    <n v="4"/>
    <n v="0.2"/>
    <n v="48000"/>
    <n v="5835.48"/>
    <x v="1"/>
    <s v="Delivered"/>
    <n v="12000"/>
    <n v="12.157249999999999"/>
    <s v="Profit"/>
    <s v="Ananya Gupta"/>
    <x v="0"/>
    <x v="1"/>
    <s v="Pune"/>
    <s v="Maharashtra"/>
    <s v="2024-05-12"/>
    <s v="36-50"/>
    <n v="1458.87"/>
  </r>
  <r>
    <s v="ORD00241"/>
    <d v="2026-08-11T00:00:00"/>
    <s v="CUST0529"/>
    <x v="0"/>
    <x v="7"/>
    <n v="3"/>
    <n v="0.05"/>
    <n v="2565"/>
    <n v="750.67"/>
    <x v="0"/>
    <s v="Delivered"/>
    <n v="855"/>
    <n v="29.26588693957115"/>
    <s v="Profit"/>
    <s v="Ananya Rao"/>
    <x v="1"/>
    <x v="1"/>
    <s v="Surat"/>
    <s v="Gujarat"/>
    <s v="2023-10-24"/>
    <s v="18-25"/>
    <n v="250.2233333333333"/>
  </r>
  <r>
    <s v="ORD00242"/>
    <d v="2025-10-23T00:00:00"/>
    <s v="CUST0251"/>
    <x v="2"/>
    <x v="9"/>
    <n v="4"/>
    <n v="0"/>
    <n v="36000"/>
    <n v="9200"/>
    <x v="1"/>
    <s v="Delivered"/>
    <n v="9000"/>
    <n v="25.55555555555555"/>
    <s v="Profit"/>
    <s v="Arjun Verma"/>
    <x v="2"/>
    <x v="0"/>
    <s v="Coimbatore"/>
    <s v="Tamil Nadu"/>
    <s v="2023-06-16"/>
    <s v="36-50"/>
    <n v="2300"/>
  </r>
  <r>
    <s v="ORD00243"/>
    <d v="2026-08-18T00:00:00"/>
    <s v="CUST0123"/>
    <x v="3"/>
    <x v="10"/>
    <n v="3"/>
    <n v="0.15"/>
    <n v="140250"/>
    <n v="14767.04"/>
    <x v="2"/>
    <s v="Shipped"/>
    <n v="46750"/>
    <n v="10.529083778966131"/>
    <s v="Profit"/>
    <s v="Aarav Sharma"/>
    <x v="1"/>
    <x v="2"/>
    <s v="Delhi"/>
    <s v="Delhi"/>
    <s v="2023-01-19"/>
    <s v="26-35"/>
    <n v="4922.3466666666673"/>
  </r>
  <r>
    <s v="ORD00244"/>
    <d v="2026-01-14T00:00:00"/>
    <s v="CUST0597"/>
    <x v="0"/>
    <x v="6"/>
    <n v="2"/>
    <n v="0"/>
    <n v="700"/>
    <n v="240"/>
    <x v="3"/>
    <s v="Delivered"/>
    <n v="350"/>
    <n v="34.285714285714278"/>
    <s v="Profit"/>
    <s v="Harini Menon"/>
    <x v="1"/>
    <x v="0"/>
    <s v="Hyderabad"/>
    <s v="Telangana"/>
    <s v="2025-05-09"/>
    <s v="51+"/>
    <n v="120"/>
  </r>
  <r>
    <s v="ORD00245"/>
    <d v="2025-12-26T00:00:00"/>
    <s v="CUST0104"/>
    <x v="2"/>
    <x v="5"/>
    <n v="4"/>
    <n v="0.15"/>
    <n v="37400"/>
    <n v="5262.6"/>
    <x v="1"/>
    <s v="Delivered"/>
    <n v="9350"/>
    <n v="14.071122994652409"/>
    <s v="Profit"/>
    <s v="Karthik Gupta"/>
    <x v="0"/>
    <x v="2"/>
    <s v="Delhi"/>
    <s v="Delhi"/>
    <s v="2024-07-15"/>
    <s v="36-50"/>
    <n v="1315.65"/>
  </r>
  <r>
    <s v="ORD00246"/>
    <d v="2026-02-05T00:00:00"/>
    <s v="CUST0314"/>
    <x v="0"/>
    <x v="9"/>
    <n v="1"/>
    <n v="0.1"/>
    <n v="8100"/>
    <n v="1668.51"/>
    <x v="3"/>
    <s v="Delivered"/>
    <n v="8100"/>
    <n v="20.59888888888889"/>
    <s v="Profit"/>
    <s v="Aarav Mishra"/>
    <x v="0"/>
    <x v="0"/>
    <s v="Bengaluru"/>
    <s v="Karnataka"/>
    <s v="2025-10-30"/>
    <s v="26-35"/>
    <n v="1668.51"/>
  </r>
  <r>
    <s v="ORD00247"/>
    <d v="2025-12-22T00:00:00"/>
    <s v="CUST0177"/>
    <x v="0"/>
    <x v="7"/>
    <n v="3"/>
    <n v="0.05"/>
    <n v="2565"/>
    <n v="61.4"/>
    <x v="0"/>
    <s v="Cancelled"/>
    <n v="855"/>
    <n v="2.393762183235868"/>
    <s v="Profit"/>
    <s v="Lakshmi Mehta"/>
    <x v="2"/>
    <x v="1"/>
    <s v="Mumbai"/>
    <s v="Maharashtra"/>
    <s v="2023-11-03"/>
    <s v="26-35"/>
    <n v="20.466666666666669"/>
  </r>
  <r>
    <s v="ORD00248"/>
    <d v="2025-12-30T00:00:00"/>
    <s v="CUST0563"/>
    <x v="2"/>
    <x v="2"/>
    <n v="2"/>
    <n v="0"/>
    <n v="26000"/>
    <n v="6400"/>
    <x v="3"/>
    <s v="Delivered"/>
    <n v="13000"/>
    <n v="24.61538461538462"/>
    <s v="Profit"/>
    <s v="Meera Das"/>
    <x v="1"/>
    <x v="1"/>
    <s v="Ahmedabad"/>
    <s v="Gujarat"/>
    <s v="2023-10-23"/>
    <s v="26-35"/>
    <n v="3200"/>
  </r>
  <r>
    <s v="ORD00249"/>
    <d v="2026-05-10T00:00:00"/>
    <s v="CUST0215"/>
    <x v="3"/>
    <x v="8"/>
    <n v="1"/>
    <n v="0.1"/>
    <n v="4050"/>
    <n v="1142.8900000000001"/>
    <x v="0"/>
    <s v="Delivered"/>
    <n v="4050"/>
    <n v="28.219506172839509"/>
    <s v="Profit"/>
    <s v="Pooja Reddy"/>
    <x v="1"/>
    <x v="0"/>
    <s v="Bengaluru"/>
    <s v="Karnataka"/>
    <s v="2025-07-16"/>
    <s v="26-35"/>
    <n v="1142.8900000000001"/>
  </r>
  <r>
    <s v="ORD00250"/>
    <d v="2026-05-22T00:00:00"/>
    <s v="CUST0162"/>
    <x v="3"/>
    <x v="11"/>
    <n v="2"/>
    <n v="0.15"/>
    <n v="4250"/>
    <n v="1083.3"/>
    <x v="3"/>
    <s v="Delivered"/>
    <n v="2125"/>
    <n v="25.489411764705881"/>
    <s v="Profit"/>
    <s v="Lakshmi Bose"/>
    <x v="0"/>
    <x v="0"/>
    <s v="Bengaluru"/>
    <s v="Karnataka"/>
    <s v="2025-06-13"/>
    <s v="26-35"/>
    <n v="541.65"/>
  </r>
  <r>
    <s v="ORD00251"/>
    <d v="2025-07-24T00:00:00"/>
    <s v="CUST0424"/>
    <x v="3"/>
    <x v="11"/>
    <n v="3"/>
    <n v="0.1"/>
    <n v="6750"/>
    <n v="1988.44"/>
    <x v="3"/>
    <s v="Delivered"/>
    <n v="2250"/>
    <n v="29.458370370370371"/>
    <s v="Profit"/>
    <s v="Sanjay Chopra"/>
    <x v="0"/>
    <x v="3"/>
    <s v="Guwahati"/>
    <s v="Assam"/>
    <s v="2023-09-21"/>
    <s v="36-50"/>
    <n v="662.81333333333339"/>
  </r>
  <r>
    <s v="ORD00252"/>
    <d v="2026-07-25T00:00:00"/>
    <s v="CUST0401"/>
    <x v="0"/>
    <x v="6"/>
    <n v="1"/>
    <n v="0.15"/>
    <n v="297.5"/>
    <n v="-140.85"/>
    <x v="1"/>
    <s v="Returned"/>
    <n v="297.5"/>
    <n v="-47.344537815126053"/>
    <s v="Loss"/>
    <s v="Ananya Nair"/>
    <x v="0"/>
    <x v="0"/>
    <s v="Hyderabad"/>
    <s v="Telangana"/>
    <s v="2024-04-08"/>
    <s v="26-35"/>
    <n v="-140.85"/>
  </r>
  <r>
    <s v="ORD00253"/>
    <d v="2026-08-20T00:00:00"/>
    <s v="CUST0301"/>
    <x v="3"/>
    <x v="8"/>
    <n v="3"/>
    <n v="0.1"/>
    <n v="12150"/>
    <n v="3722.2"/>
    <x v="2"/>
    <s v="Delivered"/>
    <n v="4050"/>
    <n v="30.63539094650206"/>
    <s v="Profit"/>
    <s v="Pooja Bose"/>
    <x v="0"/>
    <x v="0"/>
    <s v="Bengaluru"/>
    <s v="Karnataka"/>
    <s v="2025-11-12"/>
    <s v="26-35"/>
    <n v="1240.7333333333329"/>
  </r>
  <r>
    <s v="ORD00254"/>
    <d v="2026-01-24T00:00:00"/>
    <s v="CUST0490"/>
    <x v="0"/>
    <x v="14"/>
    <n v="5"/>
    <n v="0.15"/>
    <n v="1912.5"/>
    <n v="-534.57000000000005"/>
    <x v="2"/>
    <s v="Returned"/>
    <n v="382.5"/>
    <n v="-27.951372549019609"/>
    <s v="Loss"/>
    <s v="Nisha Khan"/>
    <x v="0"/>
    <x v="3"/>
    <s v="Bhubaneswar"/>
    <s v="Odisha"/>
    <s v="2025-08-22"/>
    <s v="51+"/>
    <n v="-106.914"/>
  </r>
  <r>
    <s v="ORD00255"/>
    <d v="2026-06-02T00:00:00"/>
    <s v="CUST0581"/>
    <x v="0"/>
    <x v="6"/>
    <n v="2"/>
    <n v="0.15"/>
    <n v="595"/>
    <n v="151.34"/>
    <x v="3"/>
    <s v="Delivered"/>
    <n v="297.5"/>
    <n v="25.435294117647061"/>
    <s v="Profit"/>
    <s v="Aditya Naidu"/>
    <x v="0"/>
    <x v="0"/>
    <s v="Coimbatore"/>
    <s v="Tamil Nadu"/>
    <s v="2024-10-03"/>
    <s v="18-25"/>
    <n v="75.67"/>
  </r>
  <r>
    <s v="ORD00256"/>
    <d v="2026-07-19T00:00:00"/>
    <s v="CUST0451"/>
    <x v="3"/>
    <x v="4"/>
    <n v="1"/>
    <n v="0"/>
    <n v="18000"/>
    <n v="3500"/>
    <x v="0"/>
    <s v="Delivered"/>
    <n v="18000"/>
    <n v="19.44444444444445"/>
    <s v="Profit"/>
    <s v="Diya Naidu"/>
    <x v="0"/>
    <x v="1"/>
    <s v="Pune"/>
    <s v="Maharashtra"/>
    <s v="2024-06-17"/>
    <s v="26-35"/>
    <n v="3500"/>
  </r>
  <r>
    <s v="ORD00257"/>
    <d v="2026-04-20T00:00:00"/>
    <s v="CUST0540"/>
    <x v="0"/>
    <x v="6"/>
    <n v="1"/>
    <n v="0.1"/>
    <n v="315"/>
    <n v="-94.76"/>
    <x v="2"/>
    <s v="Returned"/>
    <n v="315"/>
    <n v="-30.082539682539679"/>
    <s v="Loss"/>
    <s v="Kavya Rao"/>
    <x v="0"/>
    <x v="0"/>
    <s v="Chennai"/>
    <s v="Tamil Nadu"/>
    <s v="2023-09-30"/>
    <s v="18-25"/>
    <n v="-94.76"/>
  </r>
  <r>
    <s v="ORD00258"/>
    <d v="2026-08-15T00:00:00"/>
    <s v="CUST0325"/>
    <x v="3"/>
    <x v="11"/>
    <n v="1"/>
    <n v="0.05"/>
    <n v="2375"/>
    <n v="706.44"/>
    <x v="3"/>
    <s v="Delivered"/>
    <n v="2375"/>
    <n v="29.74484210526316"/>
    <s v="Profit"/>
    <s v="Arjun Mishra"/>
    <x v="0"/>
    <x v="0"/>
    <s v="Chennai"/>
    <s v="Tamil Nadu"/>
    <s v="2023-05-08"/>
    <s v="51+"/>
    <n v="706.44"/>
  </r>
  <r>
    <s v="ORD00259"/>
    <d v="2026-05-17T00:00:00"/>
    <s v="CUST0057"/>
    <x v="3"/>
    <x v="11"/>
    <n v="2"/>
    <n v="0.05"/>
    <n v="4750"/>
    <n v="1452.71"/>
    <x v="2"/>
    <s v="Delivered"/>
    <n v="2375"/>
    <n v="30.583368421052629"/>
    <s v="Profit"/>
    <s v="Akash Singh"/>
    <x v="2"/>
    <x v="2"/>
    <s v="Chandigarh"/>
    <s v="Chandigarh"/>
    <s v="2024-12-21"/>
    <s v="26-35"/>
    <n v="726.35500000000002"/>
  </r>
  <r>
    <s v="ORD00260"/>
    <d v="2025-08-05T00:00:00"/>
    <s v="CUST0536"/>
    <x v="3"/>
    <x v="4"/>
    <n v="15"/>
    <n v="0.15"/>
    <n v="229500"/>
    <n v="25411.94"/>
    <x v="0"/>
    <s v="Delivered"/>
    <n v="15300"/>
    <n v="11.072740740740739"/>
    <s v="Profit"/>
    <s v="Sneha Nair"/>
    <x v="2"/>
    <x v="2"/>
    <s v="Lucknow"/>
    <s v="Uttar Pradesh"/>
    <s v="2025-10-22"/>
    <s v="36-50"/>
    <n v="1694.1293333333331"/>
  </r>
  <r>
    <s v="ORD00261"/>
    <d v="2026-03-11T00:00:00"/>
    <s v="CUST0155"/>
    <x v="0"/>
    <x v="7"/>
    <n v="1"/>
    <n v="0.15"/>
    <n v="765"/>
    <n v="210.02"/>
    <x v="1"/>
    <s v="Delivered"/>
    <n v="765"/>
    <n v="27.453594771241828"/>
    <s v="Profit"/>
    <s v="Ishaan Sharma"/>
    <x v="0"/>
    <x v="0"/>
    <s v="Bengaluru"/>
    <s v="Karnataka"/>
    <s v="2023-07-08"/>
    <s v="26-35"/>
    <n v="210.02"/>
  </r>
  <r>
    <s v="ORD00262"/>
    <d v="2025-12-17T00:00:00"/>
    <s v="CUST0543"/>
    <x v="3"/>
    <x v="10"/>
    <n v="5"/>
    <n v="0.05"/>
    <n v="261250"/>
    <n v="34600.300000000003"/>
    <x v="0"/>
    <s v="Delivered"/>
    <n v="52250"/>
    <n v="13.24413397129187"/>
    <s v="Profit"/>
    <s v="Ananya Iyer"/>
    <x v="1"/>
    <x v="0"/>
    <s v="Chennai"/>
    <s v="Tamil Nadu"/>
    <s v="2025-10-16"/>
    <s v="26-35"/>
    <n v="6920.06"/>
  </r>
  <r>
    <s v="ORD00263"/>
    <d v="2026-02-18T00:00:00"/>
    <s v="CUST0291"/>
    <x v="3"/>
    <x v="8"/>
    <n v="1"/>
    <n v="0.05"/>
    <n v="4275"/>
    <n v="1388.47"/>
    <x v="0"/>
    <s v="Delivered"/>
    <n v="4275"/>
    <n v="32.478830409356718"/>
    <s v="Profit"/>
    <s v="Divya Chopra"/>
    <x v="1"/>
    <x v="0"/>
    <s v="Bengaluru"/>
    <s v="Karnataka"/>
    <s v="2023-10-19"/>
    <s v="18-25"/>
    <n v="1388.47"/>
  </r>
  <r>
    <s v="ORD00264"/>
    <d v="2025-07-04T00:00:00"/>
    <s v="CUST0253"/>
    <x v="1"/>
    <x v="12"/>
    <n v="3"/>
    <n v="0.15"/>
    <n v="3570"/>
    <n v="241.94"/>
    <x v="1"/>
    <s v="Cancelled"/>
    <n v="1190"/>
    <n v="6.7770308123249299"/>
    <s v="Profit"/>
    <s v="Manoj Joshi"/>
    <x v="1"/>
    <x v="1"/>
    <s v="Ahmedabad"/>
    <s v="Gujarat"/>
    <s v="2025-01-11"/>
    <s v="36-50"/>
    <n v="80.646666666666661"/>
  </r>
  <r>
    <s v="ORD00265"/>
    <d v="2026-02-24T00:00:00"/>
    <s v="CUST0363"/>
    <x v="2"/>
    <x v="5"/>
    <n v="2"/>
    <n v="0.05"/>
    <n v="20900"/>
    <n v="-852.15"/>
    <x v="0"/>
    <s v="Cancelled"/>
    <n v="10450"/>
    <n v="-4.0772727272727272"/>
    <s v="Loss"/>
    <s v="Priya Patel"/>
    <x v="1"/>
    <x v="0"/>
    <s v="Chennai"/>
    <s v="Tamil Nadu"/>
    <s v="2024-01-12"/>
    <s v="51+"/>
    <n v="-426.07499999999999"/>
  </r>
  <r>
    <s v="ORD00266"/>
    <d v="2026-06-18T00:00:00"/>
    <s v="CUST0295"/>
    <x v="0"/>
    <x v="0"/>
    <n v="10"/>
    <n v="0.1"/>
    <n v="126000"/>
    <n v="16576.04"/>
    <x v="1"/>
    <s v="Delivered"/>
    <n v="12600"/>
    <n v="13.1555873015873"/>
    <s v="Profit"/>
    <s v="Pooja Chopra"/>
    <x v="1"/>
    <x v="2"/>
    <s v="Chandigarh"/>
    <s v="Chandigarh"/>
    <s v="2023-09-02"/>
    <s v="18-25"/>
    <n v="1657.604"/>
  </r>
  <r>
    <s v="ORD00267"/>
    <d v="2026-03-11T00:00:00"/>
    <s v="CUST0158"/>
    <x v="1"/>
    <x v="13"/>
    <n v="3"/>
    <n v="0.05"/>
    <n v="11970"/>
    <n v="3315"/>
    <x v="1"/>
    <s v="Delivered"/>
    <n v="3990"/>
    <n v="27.694235588972429"/>
    <s v="Profit"/>
    <s v="Ananya Reddy"/>
    <x v="2"/>
    <x v="0"/>
    <s v="Bengaluru"/>
    <s v="Karnataka"/>
    <s v="2024-04-04"/>
    <s v="18-25"/>
    <n v="1105"/>
  </r>
  <r>
    <s v="ORD00268"/>
    <d v="2026-05-04T00:00:00"/>
    <s v="CUST0307"/>
    <x v="3"/>
    <x v="11"/>
    <n v="1"/>
    <n v="0"/>
    <n v="2500"/>
    <n v="800"/>
    <x v="2"/>
    <s v="Shipped"/>
    <n v="2500"/>
    <n v="32"/>
    <s v="Profit"/>
    <s v="Diya Mishra"/>
    <x v="1"/>
    <x v="0"/>
    <s v="Coimbatore"/>
    <s v="Tamil Nadu"/>
    <s v="2024-12-29"/>
    <s v="26-35"/>
    <n v="800"/>
  </r>
  <r>
    <s v="ORD00269"/>
    <d v="2026-06-25T00:00:00"/>
    <s v="CUST0559"/>
    <x v="2"/>
    <x v="5"/>
    <n v="4"/>
    <n v="0.15"/>
    <n v="37400"/>
    <n v="5124.3500000000004"/>
    <x v="1"/>
    <s v="Delivered"/>
    <n v="9350"/>
    <n v="13.701470588235299"/>
    <s v="Profit"/>
    <s v="Karthik Pillai"/>
    <x v="2"/>
    <x v="1"/>
    <s v="Ahmedabad"/>
    <s v="Gujarat"/>
    <s v="2024-02-26"/>
    <s v="51+"/>
    <n v="1281.0875000000001"/>
  </r>
  <r>
    <s v="ORD00270"/>
    <d v="2025-07-24T00:00:00"/>
    <s v="CUST0527"/>
    <x v="1"/>
    <x v="15"/>
    <n v="2"/>
    <n v="0.15"/>
    <n v="3740"/>
    <n v="1103.53"/>
    <x v="0"/>
    <s v="Delivered"/>
    <n v="1870"/>
    <n v="29.506149732620319"/>
    <s v="Profit"/>
    <s v="Aarav Patel"/>
    <x v="0"/>
    <x v="0"/>
    <s v="Hyderabad"/>
    <s v="Telangana"/>
    <s v="2024-04-04"/>
    <s v="26-35"/>
    <n v="551.76499999999999"/>
  </r>
  <r>
    <s v="ORD00271"/>
    <d v="2025-12-02T00:00:00"/>
    <s v="CUST0581"/>
    <x v="2"/>
    <x v="5"/>
    <n v="1"/>
    <n v="0.1"/>
    <n v="9900"/>
    <n v="1899.68"/>
    <x v="3"/>
    <s v="Delivered"/>
    <n v="9900"/>
    <n v="19.188686868686869"/>
    <s v="Profit"/>
    <s v="Aditya Naidu"/>
    <x v="0"/>
    <x v="0"/>
    <s v="Coimbatore"/>
    <s v="Tamil Nadu"/>
    <s v="2024-10-03"/>
    <s v="18-25"/>
    <n v="1899.68"/>
  </r>
  <r>
    <s v="ORD00272"/>
    <d v="2025-09-16T00:00:00"/>
    <s v="CUST0312"/>
    <x v="3"/>
    <x v="8"/>
    <n v="3"/>
    <n v="0.15"/>
    <n v="11475"/>
    <n v="3102.39"/>
    <x v="3"/>
    <s v="Delivered"/>
    <n v="3825"/>
    <n v="27.036078431372541"/>
    <s v="Profit"/>
    <s v="Kavya Menon"/>
    <x v="1"/>
    <x v="1"/>
    <s v="Mumbai"/>
    <s v="Maharashtra"/>
    <s v="2023-05-26"/>
    <s v="26-35"/>
    <n v="1034.1300000000001"/>
  </r>
  <r>
    <s v="ORD00273"/>
    <d v="2025-11-01T00:00:00"/>
    <s v="CUST0573"/>
    <x v="0"/>
    <x v="14"/>
    <n v="1"/>
    <n v="0.1"/>
    <n v="405"/>
    <n v="79.650000000000006"/>
    <x v="0"/>
    <s v="Delivered"/>
    <n v="405"/>
    <n v="19.666666666666671"/>
    <s v="Profit"/>
    <s v="Aditya Pillai"/>
    <x v="0"/>
    <x v="1"/>
    <s v="Surat"/>
    <s v="Gujarat"/>
    <s v="2024-03-11"/>
    <s v="18-25"/>
    <n v="79.650000000000006"/>
  </r>
  <r>
    <s v="ORD00274"/>
    <d v="2025-09-01T00:00:00"/>
    <s v="CUST0556"/>
    <x v="3"/>
    <x v="8"/>
    <n v="2"/>
    <n v="0.1"/>
    <n v="8100"/>
    <n v="2328.4299999999998"/>
    <x v="0"/>
    <s v="Delivered"/>
    <n v="4050"/>
    <n v="28.746049382716048"/>
    <s v="Profit"/>
    <s v="Karthik Chopra"/>
    <x v="0"/>
    <x v="0"/>
    <s v="Coimbatore"/>
    <s v="Tamil Nadu"/>
    <s v="2024-08-09"/>
    <s v="26-35"/>
    <n v="1164.2149999999999"/>
  </r>
  <r>
    <s v="ORD00275"/>
    <d v="2025-08-19T00:00:00"/>
    <s v="CUST0537"/>
    <x v="2"/>
    <x v="5"/>
    <n v="6"/>
    <n v="0.15"/>
    <n v="56100"/>
    <n v="9805.2900000000009"/>
    <x v="0"/>
    <s v="Delivered"/>
    <n v="9350"/>
    <n v="17.478235294117649"/>
    <s v="Profit"/>
    <s v="Vikram Pillai"/>
    <x v="0"/>
    <x v="0"/>
    <s v="Bengaluru"/>
    <s v="Karnataka"/>
    <s v="2023-11-18"/>
    <s v="26-35"/>
    <n v="1634.2149999999999"/>
  </r>
  <r>
    <s v="ORD00276"/>
    <d v="2025-08-13T00:00:00"/>
    <s v="CUST0273"/>
    <x v="2"/>
    <x v="5"/>
    <n v="2"/>
    <n v="0"/>
    <n v="22000"/>
    <n v="5200"/>
    <x v="1"/>
    <s v="Delivered"/>
    <n v="11000"/>
    <n v="23.63636363636364"/>
    <s v="Profit"/>
    <s v="Akash Verma"/>
    <x v="1"/>
    <x v="0"/>
    <s v="Chennai"/>
    <s v="Tamil Nadu"/>
    <s v="2024-07-10"/>
    <s v="51+"/>
    <n v="2600"/>
  </r>
  <r>
    <s v="ORD00277"/>
    <d v="2026-02-16T00:00:00"/>
    <s v="CUST0526"/>
    <x v="3"/>
    <x v="8"/>
    <n v="3"/>
    <n v="0.15"/>
    <n v="11475"/>
    <n v="3148.55"/>
    <x v="1"/>
    <s v="Delivered"/>
    <n v="3825"/>
    <n v="27.43834422657952"/>
    <s v="Profit"/>
    <s v="Meera Mehta"/>
    <x v="0"/>
    <x v="1"/>
    <s v="Pune"/>
    <s v="Maharashtra"/>
    <s v="2023-10-08"/>
    <s v="18-25"/>
    <n v="1049.5166666666671"/>
  </r>
  <r>
    <s v="ORD00278"/>
    <d v="2026-02-09T00:00:00"/>
    <s v="CUST0120"/>
    <x v="3"/>
    <x v="10"/>
    <n v="6"/>
    <n v="0.15"/>
    <n v="280500"/>
    <n v="21094.6"/>
    <x v="0"/>
    <s v="Shipped"/>
    <n v="46750"/>
    <n v="7.5203565062388584"/>
    <s v="Profit"/>
    <s v="Sanjay Sharma"/>
    <x v="2"/>
    <x v="0"/>
    <s v="Bengaluru"/>
    <s v="Karnataka"/>
    <s v="2024-05-20"/>
    <s v="26-35"/>
    <n v="3515.766666666666"/>
  </r>
  <r>
    <s v="ORD00279"/>
    <d v="2026-05-14T00:00:00"/>
    <s v="CUST0224"/>
    <x v="2"/>
    <x v="3"/>
    <n v="2"/>
    <n v="0"/>
    <n v="30000"/>
    <n v="7000"/>
    <x v="0"/>
    <s v="Delivered"/>
    <n v="15000"/>
    <n v="23.333333333333329"/>
    <s v="Profit"/>
    <s v="Varun Menon"/>
    <x v="1"/>
    <x v="1"/>
    <s v="Mumbai"/>
    <s v="Maharashtra"/>
    <s v="2023-02-06"/>
    <s v="18-25"/>
    <n v="3500"/>
  </r>
  <r>
    <s v="ORD00280"/>
    <d v="2025-11-07T00:00:00"/>
    <s v="CUST0321"/>
    <x v="3"/>
    <x v="4"/>
    <n v="1"/>
    <n v="0"/>
    <n v="18000"/>
    <n v="3500"/>
    <x v="3"/>
    <s v="Delivered"/>
    <n v="18000"/>
    <n v="19.44444444444445"/>
    <s v="Profit"/>
    <s v="Kavya Sharma"/>
    <x v="0"/>
    <x v="1"/>
    <s v="Pune"/>
    <s v="Maharashtra"/>
    <s v="2024-07-02"/>
    <s v="26-35"/>
    <n v="3500"/>
  </r>
  <r>
    <s v="ORD00281"/>
    <d v="2025-11-16T00:00:00"/>
    <s v="CUST0362"/>
    <x v="1"/>
    <x v="15"/>
    <n v="5"/>
    <n v="0.15"/>
    <n v="9350"/>
    <n v="7.56"/>
    <x v="0"/>
    <s v="Returned"/>
    <n v="1870"/>
    <n v="8.0855614973262033E-2"/>
    <s v="Profit"/>
    <s v="Karthik Joshi"/>
    <x v="0"/>
    <x v="0"/>
    <s v="Coimbatore"/>
    <s v="Tamil Nadu"/>
    <s v="2025-09-08"/>
    <s v="26-35"/>
    <n v="1.512"/>
  </r>
  <r>
    <s v="ORD00282"/>
    <d v="2025-07-15T00:00:00"/>
    <s v="CUST0599"/>
    <x v="0"/>
    <x v="7"/>
    <n v="3"/>
    <n v="0.15"/>
    <n v="2295"/>
    <n v="557.67999999999995"/>
    <x v="1"/>
    <s v="Delivered"/>
    <n v="765"/>
    <n v="24.299782135076249"/>
    <s v="Profit"/>
    <s v="Rahul Das"/>
    <x v="1"/>
    <x v="0"/>
    <s v="Coimbatore"/>
    <s v="Tamil Nadu"/>
    <s v="2024-01-12"/>
    <s v="26-35"/>
    <n v="185.89333333333329"/>
  </r>
  <r>
    <s v="ORD00283"/>
    <d v="2025-09-27T00:00:00"/>
    <s v="CUST0007"/>
    <x v="2"/>
    <x v="5"/>
    <n v="1"/>
    <n v="0.1"/>
    <n v="9900"/>
    <n v="1823.54"/>
    <x v="2"/>
    <s v="Delivered"/>
    <n v="9900"/>
    <n v="18.419595959595959"/>
    <s v="Profit"/>
    <s v="Harini Khan"/>
    <x v="0"/>
    <x v="0"/>
    <s v="Bengaluru"/>
    <s v="Karnataka"/>
    <s v="2025-07-02"/>
    <s v="36-50"/>
    <n v="1823.54"/>
  </r>
  <r>
    <s v="ORD00284"/>
    <d v="2026-07-10T00:00:00"/>
    <s v="CUST0079"/>
    <x v="2"/>
    <x v="5"/>
    <n v="3"/>
    <n v="0.1"/>
    <n v="29700"/>
    <n v="5554.7"/>
    <x v="3"/>
    <s v="Delivered"/>
    <n v="9900"/>
    <n v="18.7026936026936"/>
    <s v="Profit"/>
    <s v="Akash Mehta"/>
    <x v="0"/>
    <x v="0"/>
    <s v="Chennai"/>
    <s v="Tamil Nadu"/>
    <s v="2024-07-12"/>
    <s v="51+"/>
    <n v="1851.5666666666671"/>
  </r>
  <r>
    <s v="ORD00285"/>
    <d v="2025-10-10T00:00:00"/>
    <s v="CUST0090"/>
    <x v="0"/>
    <x v="6"/>
    <n v="1"/>
    <n v="0.1"/>
    <n v="315"/>
    <n v="95.41"/>
    <x v="1"/>
    <s v="Shipped"/>
    <n v="315"/>
    <n v="30.288888888888891"/>
    <s v="Profit"/>
    <s v="Nisha Bose"/>
    <x v="1"/>
    <x v="0"/>
    <s v="Coimbatore"/>
    <s v="Tamil Nadu"/>
    <s v="2024-09-07"/>
    <s v="51+"/>
    <n v="95.41"/>
  </r>
  <r>
    <s v="ORD00286"/>
    <d v="2026-06-18T00:00:00"/>
    <s v="CUST0229"/>
    <x v="0"/>
    <x v="0"/>
    <n v="1"/>
    <n v="0.1"/>
    <n v="12600"/>
    <n v="1883.38"/>
    <x v="3"/>
    <s v="Delivered"/>
    <n v="12600"/>
    <n v="14.947460317460321"/>
    <s v="Profit"/>
    <s v="Harini Chopra"/>
    <x v="0"/>
    <x v="0"/>
    <s v="Bengaluru"/>
    <s v="Karnataka"/>
    <s v="2025-05-19"/>
    <s v="26-35"/>
    <n v="1883.38"/>
  </r>
  <r>
    <s v="ORD00287"/>
    <d v="2026-07-29T00:00:00"/>
    <s v="CUST0493"/>
    <x v="1"/>
    <x v="15"/>
    <n v="4"/>
    <n v="0.1"/>
    <n v="7920"/>
    <n v="2357.9"/>
    <x v="2"/>
    <s v="Delivered"/>
    <n v="1980"/>
    <n v="29.771464646464651"/>
    <s v="Profit"/>
    <s v="Vikram Patel"/>
    <x v="1"/>
    <x v="1"/>
    <s v="Pune"/>
    <s v="Maharashtra"/>
    <s v="2023-09-05"/>
    <s v="36-50"/>
    <n v="589.47500000000002"/>
  </r>
  <r>
    <s v="ORD00288"/>
    <d v="2025-11-25T00:00:00"/>
    <s v="CUST0233"/>
    <x v="1"/>
    <x v="12"/>
    <n v="1"/>
    <n v="0.1"/>
    <n v="1260"/>
    <n v="382.85"/>
    <x v="0"/>
    <s v="Delivered"/>
    <n v="1260"/>
    <n v="30.38492063492064"/>
    <s v="Profit"/>
    <s v="Aarav Menon"/>
    <x v="0"/>
    <x v="2"/>
    <s v="Chandigarh"/>
    <s v="Chandigarh"/>
    <s v="2023-12-22"/>
    <s v="26-35"/>
    <n v="382.85"/>
  </r>
  <r>
    <s v="ORD00289"/>
    <d v="2026-04-17T00:00:00"/>
    <s v="CUST0541"/>
    <x v="3"/>
    <x v="8"/>
    <n v="10"/>
    <n v="0.15"/>
    <n v="38250"/>
    <n v="9863"/>
    <x v="3"/>
    <s v="Delivered"/>
    <n v="3825"/>
    <n v="25.785620915032681"/>
    <s v="Profit"/>
    <s v="Rahul Mishra"/>
    <x v="0"/>
    <x v="3"/>
    <s v="Kolkata"/>
    <s v="West Bengal"/>
    <s v="2025-05-13"/>
    <s v="51+"/>
    <n v="986.3"/>
  </r>
  <r>
    <s v="ORD00290"/>
    <d v="2026-07-19T00:00:00"/>
    <s v="CUST0149"/>
    <x v="1"/>
    <x v="12"/>
    <n v="3"/>
    <n v="0"/>
    <n v="4200"/>
    <n v="1500"/>
    <x v="0"/>
    <s v="Delivered"/>
    <n v="1400"/>
    <n v="35.714285714285722"/>
    <s v="Profit"/>
    <s v="Diya Pillai"/>
    <x v="1"/>
    <x v="3"/>
    <s v="Kolkata"/>
    <s v="West Bengal"/>
    <s v="2024-09-28"/>
    <s v="36-50"/>
    <n v="500"/>
  </r>
  <r>
    <s v="ORD00291"/>
    <d v="2026-07-04T00:00:00"/>
    <s v="CUST0030"/>
    <x v="0"/>
    <x v="0"/>
    <n v="1"/>
    <n v="0.1"/>
    <n v="12600"/>
    <n v="1766.21"/>
    <x v="0"/>
    <s v="Delivered"/>
    <n v="12600"/>
    <n v="14.017539682539679"/>
    <s v="Profit"/>
    <s v="Rahul Sharma"/>
    <x v="0"/>
    <x v="1"/>
    <s v="Mumbai"/>
    <s v="Maharashtra"/>
    <s v="2025-03-19"/>
    <s v="36-50"/>
    <n v="1766.21"/>
  </r>
  <r>
    <s v="ORD00292"/>
    <d v="2026-01-23T00:00:00"/>
    <s v="CUST0018"/>
    <x v="0"/>
    <x v="6"/>
    <n v="3"/>
    <n v="0.15"/>
    <n v="892.5"/>
    <n v="239.35"/>
    <x v="3"/>
    <s v="Delivered"/>
    <n v="297.5"/>
    <n v="26.817927170868341"/>
    <s v="Profit"/>
    <s v="Aditya Mehta"/>
    <x v="0"/>
    <x v="0"/>
    <s v="Hyderabad"/>
    <s v="Telangana"/>
    <s v="2025-01-15"/>
    <s v="51+"/>
    <n v="79.783333333333331"/>
  </r>
  <r>
    <s v="ORD00293"/>
    <d v="2026-01-16T00:00:00"/>
    <s v="CUST0463"/>
    <x v="3"/>
    <x v="4"/>
    <n v="3"/>
    <n v="0.05"/>
    <n v="51300"/>
    <n v="-24366.53"/>
    <x v="0"/>
    <s v="Returned"/>
    <n v="17100"/>
    <n v="-47.498109161793373"/>
    <s v="Loss"/>
    <s v="Shreya Patel"/>
    <x v="0"/>
    <x v="0"/>
    <s v="Coimbatore"/>
    <s v="Tamil Nadu"/>
    <s v="2024-02-20"/>
    <s v="51+"/>
    <n v="-8122.1766666666663"/>
  </r>
  <r>
    <s v="ORD00294"/>
    <d v="2026-06-10T00:00:00"/>
    <s v="CUST0311"/>
    <x v="1"/>
    <x v="15"/>
    <n v="3"/>
    <n v="0"/>
    <n v="6600"/>
    <n v="2250"/>
    <x v="3"/>
    <s v="Delivered"/>
    <n v="2200"/>
    <n v="34.090909090909093"/>
    <s v="Profit"/>
    <s v="Sneha Verma"/>
    <x v="2"/>
    <x v="1"/>
    <s v="Surat"/>
    <s v="Gujarat"/>
    <s v="2025-03-27"/>
    <s v="18-25"/>
    <n v="750"/>
  </r>
  <r>
    <s v="ORD00295"/>
    <d v="2026-04-28T00:00:00"/>
    <s v="CUST0192"/>
    <x v="3"/>
    <x v="10"/>
    <n v="4"/>
    <n v="0.1"/>
    <n v="198000"/>
    <n v="20646.25"/>
    <x v="1"/>
    <s v="Delivered"/>
    <n v="49500"/>
    <n v="10.42739898989899"/>
    <s v="Profit"/>
    <s v="Kavya Verma"/>
    <x v="2"/>
    <x v="3"/>
    <s v="Bhubaneswar"/>
    <s v="Odisha"/>
    <s v="2023-06-15"/>
    <s v="36-50"/>
    <n v="5161.5625"/>
  </r>
  <r>
    <s v="ORD00296"/>
    <d v="2026-01-06T00:00:00"/>
    <s v="CUST0535"/>
    <x v="0"/>
    <x v="14"/>
    <n v="2"/>
    <n v="0"/>
    <n v="900"/>
    <n v="220"/>
    <x v="0"/>
    <s v="Delivered"/>
    <n v="450"/>
    <n v="24.444444444444439"/>
    <s v="Profit"/>
    <s v="Sanjay Reddy"/>
    <x v="0"/>
    <x v="0"/>
    <s v="Bengaluru"/>
    <s v="Karnataka"/>
    <s v="2024-03-17"/>
    <s v="18-25"/>
    <n v="110"/>
  </r>
  <r>
    <s v="ORD00297"/>
    <d v="2026-08-31T00:00:00"/>
    <s v="CUST0143"/>
    <x v="2"/>
    <x v="2"/>
    <n v="4"/>
    <n v="0.15"/>
    <n v="44200"/>
    <n v="-7221.14"/>
    <x v="0"/>
    <s v="Returned"/>
    <n v="11050"/>
    <n v="-16.337420814479639"/>
    <s v="Loss"/>
    <s v="Ananya Naidu"/>
    <x v="2"/>
    <x v="0"/>
    <s v="Bengaluru"/>
    <s v="Karnataka"/>
    <s v="2023-04-11"/>
    <s v="36-50"/>
    <n v="-1805.2850000000001"/>
  </r>
  <r>
    <s v="ORD00298"/>
    <d v="2026-03-11T00:00:00"/>
    <s v="CUST0519"/>
    <x v="0"/>
    <x v="0"/>
    <n v="2"/>
    <n v="0.1"/>
    <n v="25200"/>
    <n v="3492.42"/>
    <x v="0"/>
    <s v="Delivered"/>
    <n v="12600"/>
    <n v="13.858809523809519"/>
    <s v="Profit"/>
    <s v="Rahul Bose"/>
    <x v="1"/>
    <x v="1"/>
    <s v="Pune"/>
    <s v="Maharashtra"/>
    <s v="2025-12-27"/>
    <s v="26-35"/>
    <n v="1746.21"/>
  </r>
  <r>
    <s v="ORD00299"/>
    <d v="2025-11-09T00:00:00"/>
    <s v="CUST0228"/>
    <x v="3"/>
    <x v="4"/>
    <n v="6"/>
    <n v="0"/>
    <n v="108000"/>
    <n v="-31668.09"/>
    <x v="3"/>
    <s v="Returned"/>
    <n v="18000"/>
    <n v="-29.322305555555559"/>
    <s v="Loss"/>
    <s v="Rohan Reddy"/>
    <x v="2"/>
    <x v="0"/>
    <s v="Coimbatore"/>
    <s v="Tamil Nadu"/>
    <s v="2025-11-28"/>
    <s v="36-50"/>
    <n v="-5278.0150000000003"/>
  </r>
  <r>
    <s v="ORD00300"/>
    <d v="2025-12-11T00:00:00"/>
    <s v="CUST0359"/>
    <x v="3"/>
    <x v="11"/>
    <n v="3"/>
    <n v="0"/>
    <n v="7500"/>
    <n v="2400"/>
    <x v="2"/>
    <s v="Delivered"/>
    <n v="2500"/>
    <n v="32"/>
    <s v="Profit"/>
    <s v="Ananya Mishra"/>
    <x v="0"/>
    <x v="0"/>
    <s v="Bengaluru"/>
    <s v="Karnataka"/>
    <s v="2024-05-22"/>
    <s v="26-35"/>
    <n v="800"/>
  </r>
  <r>
    <s v="ORD00301"/>
    <d v="2025-07-06T00:00:00"/>
    <s v="CUST0521"/>
    <x v="3"/>
    <x v="11"/>
    <n v="1"/>
    <n v="0.15"/>
    <n v="2125"/>
    <n v="540"/>
    <x v="3"/>
    <s v="Delivered"/>
    <n v="2125"/>
    <n v="25.411764705882351"/>
    <s v="Profit"/>
    <s v="Priya Singh"/>
    <x v="0"/>
    <x v="0"/>
    <s v="Bengaluru"/>
    <s v="Karnataka"/>
    <s v="2025-11-16"/>
    <s v="51+"/>
    <n v="540"/>
  </r>
  <r>
    <s v="ORD00302"/>
    <d v="2025-09-28T00:00:00"/>
    <s v="CUST0442"/>
    <x v="2"/>
    <x v="5"/>
    <n v="2"/>
    <n v="0.15"/>
    <n v="18700"/>
    <n v="2762.17"/>
    <x v="2"/>
    <s v="Delivered"/>
    <n v="9350"/>
    <n v="14.77096256684492"/>
    <s v="Profit"/>
    <s v="Akash Kulkarni"/>
    <x v="0"/>
    <x v="0"/>
    <s v="Bengaluru"/>
    <s v="Karnataka"/>
    <s v="2023-09-01"/>
    <s v="36-50"/>
    <n v="1381.085"/>
  </r>
  <r>
    <s v="ORD00303"/>
    <d v="2025-07-06T00:00:00"/>
    <s v="CUST0331"/>
    <x v="0"/>
    <x v="14"/>
    <n v="5"/>
    <n v="0.2"/>
    <n v="1800"/>
    <n v="191.59"/>
    <x v="2"/>
    <s v="Shipped"/>
    <n v="360"/>
    <n v="10.64388888888889"/>
    <s v="Profit"/>
    <s v="Kavya Kulkarni"/>
    <x v="0"/>
    <x v="2"/>
    <s v="Chandigarh"/>
    <s v="Chandigarh"/>
    <s v="2023-08-28"/>
    <s v="36-50"/>
    <n v="38.317999999999998"/>
  </r>
  <r>
    <s v="ORD00304"/>
    <d v="2026-08-20T00:00:00"/>
    <s v="CUST0102"/>
    <x v="2"/>
    <x v="2"/>
    <n v="3"/>
    <n v="0.1"/>
    <n v="35100"/>
    <n v="6320.12"/>
    <x v="1"/>
    <s v="Shipped"/>
    <n v="11700"/>
    <n v="18.00603988603989"/>
    <s v="Profit"/>
    <s v="Akash Bose"/>
    <x v="0"/>
    <x v="2"/>
    <s v="Jaipur"/>
    <s v="Rajasthan"/>
    <s v="2023-03-30"/>
    <s v="36-50"/>
    <n v="2106.706666666666"/>
  </r>
  <r>
    <s v="ORD00305"/>
    <d v="2026-05-03T00:00:00"/>
    <s v="CUST0581"/>
    <x v="3"/>
    <x v="4"/>
    <n v="1"/>
    <n v="0"/>
    <n v="18000"/>
    <n v="3500"/>
    <x v="3"/>
    <s v="Shipped"/>
    <n v="18000"/>
    <n v="19.44444444444445"/>
    <s v="Profit"/>
    <s v="Aditya Naidu"/>
    <x v="0"/>
    <x v="0"/>
    <s v="Coimbatore"/>
    <s v="Tamil Nadu"/>
    <s v="2024-10-03"/>
    <s v="18-25"/>
    <n v="3500"/>
  </r>
  <r>
    <s v="ORD00306"/>
    <d v="2026-03-02T00:00:00"/>
    <s v="CUST0094"/>
    <x v="0"/>
    <x v="14"/>
    <n v="1"/>
    <n v="0.05"/>
    <n v="427.5"/>
    <n v="99.43"/>
    <x v="3"/>
    <s v="Delivered"/>
    <n v="427.5"/>
    <n v="23.25847953216374"/>
    <s v="Profit"/>
    <s v="Akash Joshi"/>
    <x v="1"/>
    <x v="3"/>
    <s v="Kolkata"/>
    <s v="West Bengal"/>
    <s v="2025-06-22"/>
    <s v="36-50"/>
    <n v="99.43"/>
  </r>
  <r>
    <s v="ORD00307"/>
    <d v="2025-08-21T00:00:00"/>
    <s v="CUST0081"/>
    <x v="3"/>
    <x v="10"/>
    <n v="1"/>
    <n v="0.3"/>
    <n v="38500"/>
    <n v="632.82000000000005"/>
    <x v="1"/>
    <s v="Delivered"/>
    <n v="38500"/>
    <n v="1.6436883116883121"/>
    <s v="Profit"/>
    <s v="Ananya Rao"/>
    <x v="2"/>
    <x v="0"/>
    <s v="Chennai"/>
    <s v="Tamil Nadu"/>
    <s v="2023-10-09"/>
    <s v="36-50"/>
    <n v="632.82000000000005"/>
  </r>
  <r>
    <s v="ORD00308"/>
    <d v="2025-07-01T00:00:00"/>
    <s v="CUST0596"/>
    <x v="3"/>
    <x v="4"/>
    <n v="6"/>
    <n v="0"/>
    <n v="108000"/>
    <n v="21000"/>
    <x v="3"/>
    <s v="Delivered"/>
    <n v="18000"/>
    <n v="19.44444444444445"/>
    <s v="Profit"/>
    <s v="Manoj Rao"/>
    <x v="0"/>
    <x v="0"/>
    <s v="Bengaluru"/>
    <s v="Karnataka"/>
    <s v="2024-01-21"/>
    <s v="18-25"/>
    <n v="3500"/>
  </r>
  <r>
    <s v="ORD00309"/>
    <d v="2026-01-01T00:00:00"/>
    <s v="CUST0289"/>
    <x v="2"/>
    <x v="3"/>
    <n v="2"/>
    <n v="0.15"/>
    <n v="25500"/>
    <n v="4086.26"/>
    <x v="2"/>
    <s v="Shipped"/>
    <n v="12750"/>
    <n v="16.02454901960785"/>
    <s v="Profit"/>
    <s v="Rahul Iyer"/>
    <x v="2"/>
    <x v="0"/>
    <s v="Coimbatore"/>
    <s v="Tamil Nadu"/>
    <s v="2023-01-07"/>
    <s v="18-25"/>
    <n v="2043.13"/>
  </r>
  <r>
    <s v="ORD00310"/>
    <d v="2026-02-01T00:00:00"/>
    <s v="CUST0464"/>
    <x v="3"/>
    <x v="11"/>
    <n v="2"/>
    <n v="0.1"/>
    <n v="4500"/>
    <n v="-1933.04"/>
    <x v="3"/>
    <s v="Returned"/>
    <n v="2250"/>
    <n v="-42.956444444444443"/>
    <s v="Loss"/>
    <s v="Arjun Gupta"/>
    <x v="2"/>
    <x v="2"/>
    <s v="Jaipur"/>
    <s v="Rajasthan"/>
    <s v="2024-06-16"/>
    <s v="36-50"/>
    <n v="-966.52"/>
  </r>
  <r>
    <s v="ORD00311"/>
    <d v="2025-10-13T00:00:00"/>
    <s v="CUST0400"/>
    <x v="0"/>
    <x v="14"/>
    <n v="2"/>
    <n v="0"/>
    <n v="900"/>
    <n v="220"/>
    <x v="4"/>
    <s v="Delivered"/>
    <n v="450"/>
    <n v="24.444444444444439"/>
    <s v="Profit"/>
    <s v="Karthik Bose"/>
    <x v="0"/>
    <x v="0"/>
    <s v="Hyderabad"/>
    <s v="Telangana"/>
    <s v="2024-08-01"/>
    <s v="36-50"/>
    <n v="110"/>
  </r>
  <r>
    <s v="ORD00312"/>
    <d v="2026-04-03T00:00:00"/>
    <s v="CUST0232"/>
    <x v="3"/>
    <x v="8"/>
    <n v="1"/>
    <n v="0.15"/>
    <n v="3825"/>
    <n v="1041.42"/>
    <x v="3"/>
    <s v="Delivered"/>
    <n v="3825"/>
    <n v="27.22666666666667"/>
    <s v="Profit"/>
    <s v="Priya Menon"/>
    <x v="0"/>
    <x v="1"/>
    <s v="Pune"/>
    <s v="Maharashtra"/>
    <s v="2024-06-24"/>
    <s v="18-25"/>
    <n v="1041.42"/>
  </r>
  <r>
    <s v="ORD00313"/>
    <d v="2026-02-17T00:00:00"/>
    <s v="CUST0534"/>
    <x v="2"/>
    <x v="5"/>
    <n v="1"/>
    <n v="0.1"/>
    <n v="9900"/>
    <n v="1970.22"/>
    <x v="2"/>
    <s v="Delivered"/>
    <n v="9900"/>
    <n v="19.901212121212119"/>
    <s v="Profit"/>
    <s v="Ananya Patel"/>
    <x v="1"/>
    <x v="1"/>
    <s v="Pune"/>
    <s v="Maharashtra"/>
    <s v="2023-08-14"/>
    <s v="26-35"/>
    <n v="1970.22"/>
  </r>
  <r>
    <s v="ORD00314"/>
    <d v="2026-08-25T00:00:00"/>
    <s v="CUST0488"/>
    <x v="2"/>
    <x v="3"/>
    <n v="3"/>
    <n v="0.15"/>
    <n v="38250"/>
    <n v="7243.27"/>
    <x v="3"/>
    <s v="Delivered"/>
    <n v="12750"/>
    <n v="18.93665359477124"/>
    <s v="Profit"/>
    <s v="Rohan Chopra"/>
    <x v="2"/>
    <x v="1"/>
    <s v="Surat"/>
    <s v="Gujarat"/>
    <s v="2025-09-23"/>
    <s v="26-35"/>
    <n v="2414.4233333333341"/>
  </r>
  <r>
    <s v="ORD00315"/>
    <d v="2025-09-26T00:00:00"/>
    <s v="CUST0040"/>
    <x v="0"/>
    <x v="0"/>
    <n v="2"/>
    <n v="0.2"/>
    <n v="22400"/>
    <n v="2865.94"/>
    <x v="2"/>
    <s v="Delivered"/>
    <n v="11200"/>
    <n v="12.794375"/>
    <s v="Profit"/>
    <s v="Shreya Reddy"/>
    <x v="0"/>
    <x v="2"/>
    <s v="Delhi"/>
    <s v="Delhi"/>
    <s v="2025-05-04"/>
    <s v="26-35"/>
    <n v="1432.97"/>
  </r>
  <r>
    <s v="ORD00316"/>
    <d v="2025-10-31T00:00:00"/>
    <s v="CUST0442"/>
    <x v="0"/>
    <x v="6"/>
    <n v="3"/>
    <n v="0.05"/>
    <n v="997.5"/>
    <n v="333.83"/>
    <x v="1"/>
    <s v="Shipped"/>
    <n v="332.5"/>
    <n v="33.466666666666669"/>
    <s v="Profit"/>
    <s v="Akash Kulkarni"/>
    <x v="0"/>
    <x v="0"/>
    <s v="Bengaluru"/>
    <s v="Karnataka"/>
    <s v="2023-09-01"/>
    <s v="36-50"/>
    <n v="111.2766666666667"/>
  </r>
  <r>
    <s v="ORD00317"/>
    <d v="2026-07-12T00:00:00"/>
    <s v="CUST0121"/>
    <x v="0"/>
    <x v="14"/>
    <n v="4"/>
    <n v="0.15"/>
    <n v="1530"/>
    <n v="272.26"/>
    <x v="3"/>
    <s v="Delivered"/>
    <n v="382.5"/>
    <n v="17.79477124183007"/>
    <s v="Profit"/>
    <s v="Meera Menon"/>
    <x v="0"/>
    <x v="0"/>
    <s v="Bengaluru"/>
    <s v="Karnataka"/>
    <s v="2023-11-16"/>
    <s v="26-35"/>
    <n v="68.064999999999998"/>
  </r>
  <r>
    <s v="ORD00318"/>
    <d v="2025-12-28T00:00:00"/>
    <s v="CUST0431"/>
    <x v="3"/>
    <x v="10"/>
    <n v="2"/>
    <n v="0.2"/>
    <n v="88000"/>
    <n v="-60094.92"/>
    <x v="0"/>
    <s v="Cancelled"/>
    <n v="44000"/>
    <n v="-68.289681818181819"/>
    <s v="Loss"/>
    <s v="Manoj Naidu"/>
    <x v="1"/>
    <x v="0"/>
    <s v="Bengaluru"/>
    <s v="Karnataka"/>
    <s v="2023-01-16"/>
    <s v="36-50"/>
    <n v="-30047.46"/>
  </r>
  <r>
    <s v="ORD00319"/>
    <d v="2026-07-13T00:00:00"/>
    <s v="CUST0520"/>
    <x v="0"/>
    <x v="6"/>
    <n v="3"/>
    <n v="0.1"/>
    <n v="945"/>
    <n v="296.91000000000003"/>
    <x v="1"/>
    <s v="Delivered"/>
    <n v="315"/>
    <n v="31.419047619047621"/>
    <s v="Profit"/>
    <s v="Karthik Chopra"/>
    <x v="0"/>
    <x v="0"/>
    <s v="Chennai"/>
    <s v="Tamil Nadu"/>
    <s v="2023-12-09"/>
    <s v="26-35"/>
    <n v="98.970000000000013"/>
  </r>
  <r>
    <s v="ORD00320"/>
    <d v="2026-05-22T00:00:00"/>
    <s v="CUST0305"/>
    <x v="3"/>
    <x v="10"/>
    <n v="15"/>
    <n v="0"/>
    <n v="825000"/>
    <n v="135000"/>
    <x v="3"/>
    <s v="Delivered"/>
    <n v="55000"/>
    <n v="16.36363636363636"/>
    <s v="Profit"/>
    <s v="Nisha Mishra"/>
    <x v="0"/>
    <x v="2"/>
    <s v="Jaipur"/>
    <s v="Rajasthan"/>
    <s v="2024-11-15"/>
    <s v="26-35"/>
    <n v="9000"/>
  </r>
  <r>
    <s v="ORD00321"/>
    <d v="2025-09-23T00:00:00"/>
    <s v="CUST0024"/>
    <x v="3"/>
    <x v="8"/>
    <n v="1"/>
    <n v="0"/>
    <n v="4500"/>
    <n v="1500"/>
    <x v="3"/>
    <s v="Shipped"/>
    <n v="4500"/>
    <n v="33.333333333333329"/>
    <s v="Profit"/>
    <s v="Lakshmi Pillai"/>
    <x v="1"/>
    <x v="0"/>
    <s v="Coimbatore"/>
    <s v="Tamil Nadu"/>
    <s v="2024-11-26"/>
    <s v="26-35"/>
    <n v="1500"/>
  </r>
  <r>
    <s v="ORD00322"/>
    <d v="2026-07-31T00:00:00"/>
    <s v="CUST0305"/>
    <x v="3"/>
    <x v="4"/>
    <n v="3"/>
    <n v="0.1"/>
    <n v="48600"/>
    <n v="-24739.96"/>
    <x v="1"/>
    <s v="Cancelled"/>
    <n v="16200"/>
    <n v="-50.905267489711939"/>
    <s v="Loss"/>
    <s v="Nisha Mishra"/>
    <x v="0"/>
    <x v="2"/>
    <s v="Jaipur"/>
    <s v="Rajasthan"/>
    <s v="2024-11-15"/>
    <s v="26-35"/>
    <n v="-8246.6533333333336"/>
  </r>
  <r>
    <s v="ORD00323"/>
    <d v="2026-01-09T00:00:00"/>
    <s v="CUST0442"/>
    <x v="0"/>
    <x v="0"/>
    <n v="3"/>
    <n v="0.05"/>
    <n v="39900"/>
    <n v="7197.63"/>
    <x v="0"/>
    <s v="Shipped"/>
    <n v="13300"/>
    <n v="18.039172932330828"/>
    <s v="Profit"/>
    <s v="Akash Kulkarni"/>
    <x v="0"/>
    <x v="0"/>
    <s v="Bengaluru"/>
    <s v="Karnataka"/>
    <s v="2023-09-01"/>
    <s v="36-50"/>
    <n v="2399.21"/>
  </r>
  <r>
    <s v="ORD00324"/>
    <d v="2025-12-13T00:00:00"/>
    <s v="CUST0302"/>
    <x v="1"/>
    <x v="15"/>
    <n v="6"/>
    <n v="0.1"/>
    <n v="11880"/>
    <n v="-249.63"/>
    <x v="0"/>
    <s v="Cancelled"/>
    <n v="1980"/>
    <n v="-2.1012626262626259"/>
    <s v="Loss"/>
    <s v="Ananya Iyer"/>
    <x v="0"/>
    <x v="1"/>
    <s v="Pune"/>
    <s v="Maharashtra"/>
    <s v="2025-09-02"/>
    <s v="26-35"/>
    <n v="-41.604999999999997"/>
  </r>
  <r>
    <s v="ORD00325"/>
    <d v="2025-11-14T00:00:00"/>
    <s v="CUST0544"/>
    <x v="1"/>
    <x v="1"/>
    <n v="6"/>
    <n v="0.3"/>
    <n v="7560"/>
    <n v="2376.11"/>
    <x v="0"/>
    <s v="Delivered"/>
    <n v="1260"/>
    <n v="31.43002645502645"/>
    <s v="Profit"/>
    <s v="Rohan Menon"/>
    <x v="1"/>
    <x v="0"/>
    <s v="Hyderabad"/>
    <s v="Telangana"/>
    <s v="2024-05-08"/>
    <s v="26-35"/>
    <n v="396.01833333333337"/>
  </r>
  <r>
    <s v="ORD00326"/>
    <d v="2026-07-27T00:00:00"/>
    <s v="CUST0536"/>
    <x v="3"/>
    <x v="10"/>
    <n v="1"/>
    <n v="0.05"/>
    <n v="52250"/>
    <n v="7384.5"/>
    <x v="2"/>
    <s v="Delivered"/>
    <n v="52250"/>
    <n v="14.13301435406699"/>
    <s v="Profit"/>
    <s v="Sneha Nair"/>
    <x v="2"/>
    <x v="2"/>
    <s v="Lucknow"/>
    <s v="Uttar Pradesh"/>
    <s v="2025-10-22"/>
    <s v="36-50"/>
    <n v="7384.5"/>
  </r>
  <r>
    <s v="ORD00327"/>
    <d v="2025-11-15T00:00:00"/>
    <s v="CUST0127"/>
    <x v="0"/>
    <x v="6"/>
    <n v="2"/>
    <n v="0.05"/>
    <n v="665"/>
    <n v="-114.29"/>
    <x v="2"/>
    <s v="Cancelled"/>
    <n v="332.5"/>
    <n v="-17.186466165413531"/>
    <s v="Loss"/>
    <s v="Ananya Patel"/>
    <x v="2"/>
    <x v="2"/>
    <s v="Chandigarh"/>
    <s v="Chandigarh"/>
    <s v="2023-08-13"/>
    <s v="26-35"/>
    <n v="-57.145000000000003"/>
  </r>
  <r>
    <s v="ORD00328"/>
    <d v="2025-11-24T00:00:00"/>
    <s v="CUST0141"/>
    <x v="3"/>
    <x v="10"/>
    <n v="2"/>
    <n v="0.1"/>
    <n v="99000"/>
    <n v="-26422.9"/>
    <x v="3"/>
    <s v="Cancelled"/>
    <n v="49500"/>
    <n v="-26.68979797979798"/>
    <s v="Loss"/>
    <s v="Kavya Reddy"/>
    <x v="2"/>
    <x v="0"/>
    <s v="Bengaluru"/>
    <s v="Karnataka"/>
    <s v="2023-09-02"/>
    <s v="26-35"/>
    <n v="-13211.45"/>
  </r>
  <r>
    <s v="ORD00329"/>
    <d v="2026-07-10T00:00:00"/>
    <s v="CUST0284"/>
    <x v="1"/>
    <x v="13"/>
    <n v="1"/>
    <n v="0"/>
    <n v="4200"/>
    <n v="-130.09"/>
    <x v="1"/>
    <s v="Cancelled"/>
    <n v="4200"/>
    <n v="-3.097380952380953"/>
    <s v="Loss"/>
    <s v="Pooja Mehta"/>
    <x v="0"/>
    <x v="0"/>
    <s v="Chennai"/>
    <s v="Tamil Nadu"/>
    <s v="2024-07-24"/>
    <s v="36-50"/>
    <n v="-130.09"/>
  </r>
  <r>
    <s v="ORD00330"/>
    <d v="2025-07-26T00:00:00"/>
    <s v="CUST0431"/>
    <x v="2"/>
    <x v="3"/>
    <n v="1"/>
    <n v="0"/>
    <n v="15000"/>
    <n v="3500"/>
    <x v="2"/>
    <s v="Delivered"/>
    <n v="15000"/>
    <n v="23.333333333333329"/>
    <s v="Profit"/>
    <s v="Manoj Naidu"/>
    <x v="1"/>
    <x v="0"/>
    <s v="Bengaluru"/>
    <s v="Karnataka"/>
    <s v="2023-01-16"/>
    <s v="36-50"/>
    <n v="3500"/>
  </r>
  <r>
    <s v="ORD00331"/>
    <d v="2025-08-14T00:00:00"/>
    <s v="CUST0521"/>
    <x v="3"/>
    <x v="11"/>
    <n v="1"/>
    <n v="0.1"/>
    <n v="2250"/>
    <n v="595.33000000000004"/>
    <x v="0"/>
    <s v="Delivered"/>
    <n v="2250"/>
    <n v="26.45911111111111"/>
    <s v="Profit"/>
    <s v="Priya Singh"/>
    <x v="0"/>
    <x v="0"/>
    <s v="Bengaluru"/>
    <s v="Karnataka"/>
    <s v="2025-11-16"/>
    <s v="51+"/>
    <n v="595.33000000000004"/>
  </r>
  <r>
    <s v="ORD00332"/>
    <d v="2025-10-26T00:00:00"/>
    <s v="CUST0463"/>
    <x v="3"/>
    <x v="8"/>
    <n v="4"/>
    <n v="0"/>
    <n v="18000"/>
    <n v="-191.98"/>
    <x v="0"/>
    <s v="Cancelled"/>
    <n v="4500"/>
    <n v="-1.066555555555555"/>
    <s v="Loss"/>
    <s v="Shreya Patel"/>
    <x v="0"/>
    <x v="0"/>
    <s v="Coimbatore"/>
    <s v="Tamil Nadu"/>
    <s v="2024-02-20"/>
    <s v="51+"/>
    <n v="-47.994999999999997"/>
  </r>
  <r>
    <s v="ORD00333"/>
    <d v="2025-07-27T00:00:00"/>
    <s v="CUST0401"/>
    <x v="0"/>
    <x v="6"/>
    <n v="2"/>
    <n v="0"/>
    <n v="700"/>
    <n v="240"/>
    <x v="3"/>
    <s v="Delivered"/>
    <n v="350"/>
    <n v="34.285714285714278"/>
    <s v="Profit"/>
    <s v="Ananya Nair"/>
    <x v="0"/>
    <x v="0"/>
    <s v="Hyderabad"/>
    <s v="Telangana"/>
    <s v="2024-04-08"/>
    <s v="26-35"/>
    <n v="120"/>
  </r>
  <r>
    <s v="ORD00334"/>
    <d v="2026-08-07T00:00:00"/>
    <s v="CUST0186"/>
    <x v="1"/>
    <x v="1"/>
    <n v="4"/>
    <n v="0.05"/>
    <n v="6840"/>
    <n v="2416.88"/>
    <x v="2"/>
    <s v="Delivered"/>
    <n v="1710"/>
    <n v="35.334502923976608"/>
    <s v="Profit"/>
    <s v="Vikram Verma"/>
    <x v="1"/>
    <x v="0"/>
    <s v="Coimbatore"/>
    <s v="Tamil Nadu"/>
    <s v="2024-03-12"/>
    <s v="18-25"/>
    <n v="604.22"/>
  </r>
  <r>
    <s v="ORD00335"/>
    <d v="2026-07-02T00:00:00"/>
    <s v="CUST0219"/>
    <x v="3"/>
    <x v="11"/>
    <n v="5"/>
    <n v="0.1"/>
    <n v="11250"/>
    <n v="-951.92"/>
    <x v="3"/>
    <s v="Cancelled"/>
    <n v="2250"/>
    <n v="-8.4615111111111112"/>
    <s v="Loss"/>
    <s v="Rahul Menon"/>
    <x v="1"/>
    <x v="3"/>
    <s v="Patna"/>
    <s v="Bihar"/>
    <s v="2023-10-06"/>
    <s v="36-50"/>
    <n v="-190.38399999999999"/>
  </r>
  <r>
    <s v="ORD00336"/>
    <d v="2026-06-26T00:00:00"/>
    <s v="CUST0161"/>
    <x v="0"/>
    <x v="6"/>
    <n v="2"/>
    <n v="0.1"/>
    <n v="630"/>
    <n v="195.42"/>
    <x v="2"/>
    <s v="Delivered"/>
    <n v="315"/>
    <n v="31.019047619047619"/>
    <s v="Profit"/>
    <s v="Rohan Reddy"/>
    <x v="2"/>
    <x v="0"/>
    <s v="Bengaluru"/>
    <s v="Karnataka"/>
    <s v="2025-07-10"/>
    <s v="51+"/>
    <n v="97.71"/>
  </r>
  <r>
    <s v="ORD00337"/>
    <d v="2025-10-18T00:00:00"/>
    <s v="CUST0157"/>
    <x v="1"/>
    <x v="15"/>
    <n v="5"/>
    <n v="0.1"/>
    <n v="9900"/>
    <n v="-1806.34"/>
    <x v="3"/>
    <s v="Cancelled"/>
    <n v="1980"/>
    <n v="-18.245858585858581"/>
    <s v="Loss"/>
    <s v="Diya Rao"/>
    <x v="1"/>
    <x v="0"/>
    <s v="Bengaluru"/>
    <s v="Karnataka"/>
    <s v="2024-02-13"/>
    <s v="51+"/>
    <n v="-361.26799999999997"/>
  </r>
  <r>
    <s v="ORD00338"/>
    <d v="2025-07-29T00:00:00"/>
    <s v="CUST0498"/>
    <x v="3"/>
    <x v="8"/>
    <n v="3"/>
    <n v="0.1"/>
    <n v="12150"/>
    <n v="3548.55"/>
    <x v="2"/>
    <s v="Delivered"/>
    <n v="4050"/>
    <n v="29.20617283950617"/>
    <s v="Profit"/>
    <s v="Lakshmi Menon"/>
    <x v="1"/>
    <x v="2"/>
    <s v="Jaipur"/>
    <s v="Rajasthan"/>
    <s v="2023-06-04"/>
    <s v="26-35"/>
    <n v="1182.8499999999999"/>
  </r>
  <r>
    <s v="ORD00339"/>
    <d v="2025-09-12T00:00:00"/>
    <s v="CUST0494"/>
    <x v="1"/>
    <x v="1"/>
    <n v="2"/>
    <n v="0.1"/>
    <n v="3240"/>
    <n v="1028.49"/>
    <x v="3"/>
    <s v="Delivered"/>
    <n v="1620"/>
    <n v="31.74351851851852"/>
    <s v="Profit"/>
    <s v="Varun Nair"/>
    <x v="0"/>
    <x v="1"/>
    <s v="Ahmedabad"/>
    <s v="Gujarat"/>
    <s v="2024-06-07"/>
    <s v="18-25"/>
    <n v="514.245"/>
  </r>
  <r>
    <s v="ORD00340"/>
    <d v="2026-04-03T00:00:00"/>
    <s v="CUST0359"/>
    <x v="2"/>
    <x v="2"/>
    <n v="1"/>
    <n v="0.1"/>
    <n v="11700"/>
    <n v="2097.02"/>
    <x v="0"/>
    <s v="Delivered"/>
    <n v="11700"/>
    <n v="17.923247863247859"/>
    <s v="Profit"/>
    <s v="Ananya Mishra"/>
    <x v="0"/>
    <x v="0"/>
    <s v="Bengaluru"/>
    <s v="Karnataka"/>
    <s v="2024-05-22"/>
    <s v="26-35"/>
    <n v="2097.02"/>
  </r>
  <r>
    <s v="ORD00341"/>
    <d v="2026-05-18T00:00:00"/>
    <s v="CUST0066"/>
    <x v="3"/>
    <x v="11"/>
    <n v="2"/>
    <n v="0.05"/>
    <n v="4750"/>
    <n v="1455.15"/>
    <x v="3"/>
    <s v="Shipped"/>
    <n v="2375"/>
    <n v="30.634736842105269"/>
    <s v="Profit"/>
    <s v="Aarav Gupta"/>
    <x v="0"/>
    <x v="2"/>
    <s v="Jaipur"/>
    <s v="Rajasthan"/>
    <s v="2024-06-18"/>
    <s v="51+"/>
    <n v="727.57500000000005"/>
  </r>
  <r>
    <s v="ORD00342"/>
    <d v="2026-01-28T00:00:00"/>
    <s v="CUST0274"/>
    <x v="2"/>
    <x v="3"/>
    <n v="1"/>
    <n v="0.15"/>
    <n v="12750"/>
    <n v="1662.15"/>
    <x v="2"/>
    <s v="Delivered"/>
    <n v="12750"/>
    <n v="13.036470588235289"/>
    <s v="Profit"/>
    <s v="Meera Bose"/>
    <x v="1"/>
    <x v="0"/>
    <s v="Hyderabad"/>
    <s v="Telangana"/>
    <s v="2025-01-06"/>
    <s v="26-35"/>
    <n v="1662.15"/>
  </r>
  <r>
    <s v="ORD00343"/>
    <d v="2025-11-12T00:00:00"/>
    <s v="CUST0048"/>
    <x v="3"/>
    <x v="4"/>
    <n v="1"/>
    <n v="0.1"/>
    <n v="16200"/>
    <n v="2512.25"/>
    <x v="1"/>
    <s v="Delivered"/>
    <n v="16200"/>
    <n v="15.50771604938272"/>
    <s v="Profit"/>
    <s v="Rohan Das"/>
    <x v="0"/>
    <x v="1"/>
    <s v="Ahmedabad"/>
    <s v="Gujarat"/>
    <s v="2025-04-11"/>
    <s v="26-35"/>
    <n v="2512.25"/>
  </r>
  <r>
    <s v="ORD00344"/>
    <d v="2025-08-27T00:00:00"/>
    <s v="CUST0599"/>
    <x v="0"/>
    <x v="14"/>
    <n v="1"/>
    <n v="0.15"/>
    <n v="382.5"/>
    <n v="74.56"/>
    <x v="3"/>
    <s v="Delivered"/>
    <n v="382.5"/>
    <n v="19.492810457516342"/>
    <s v="Profit"/>
    <s v="Rahul Das"/>
    <x v="1"/>
    <x v="0"/>
    <s v="Coimbatore"/>
    <s v="Tamil Nadu"/>
    <s v="2024-01-12"/>
    <s v="26-35"/>
    <n v="74.56"/>
  </r>
  <r>
    <s v="ORD00345"/>
    <d v="2026-05-17T00:00:00"/>
    <s v="CUST0030"/>
    <x v="3"/>
    <x v="8"/>
    <n v="6"/>
    <n v="0"/>
    <n v="27000"/>
    <n v="9000"/>
    <x v="0"/>
    <s v="Delivered"/>
    <n v="4500"/>
    <n v="33.333333333333329"/>
    <s v="Profit"/>
    <s v="Rahul Sharma"/>
    <x v="0"/>
    <x v="1"/>
    <s v="Mumbai"/>
    <s v="Maharashtra"/>
    <s v="2025-03-19"/>
    <s v="36-50"/>
    <n v="1500"/>
  </r>
  <r>
    <s v="ORD00346"/>
    <d v="2026-01-05T00:00:00"/>
    <s v="CUST0489"/>
    <x v="1"/>
    <x v="12"/>
    <n v="15"/>
    <n v="0.15"/>
    <n v="17850"/>
    <n v="5579.16"/>
    <x v="3"/>
    <s v="Delivered"/>
    <n v="1190"/>
    <n v="31.255798319327731"/>
    <s v="Profit"/>
    <s v="Kavya Das"/>
    <x v="0"/>
    <x v="0"/>
    <s v="Coimbatore"/>
    <s v="Tamil Nadu"/>
    <s v="2024-03-29"/>
    <s v="26-35"/>
    <n v="371.94400000000002"/>
  </r>
  <r>
    <s v="ORD00347"/>
    <d v="2025-09-18T00:00:00"/>
    <s v="CUST0213"/>
    <x v="0"/>
    <x v="0"/>
    <n v="1"/>
    <n v="0.15"/>
    <n v="11900"/>
    <n v="1118.8599999999999"/>
    <x v="3"/>
    <s v="Delivered"/>
    <n v="11900"/>
    <n v="9.4021848739495795"/>
    <s v="Profit"/>
    <s v="Shreya Bose"/>
    <x v="1"/>
    <x v="2"/>
    <s v="Lucknow"/>
    <s v="Uttar Pradesh"/>
    <s v="2025-03-13"/>
    <s v="26-35"/>
    <n v="1118.8599999999999"/>
  </r>
  <r>
    <s v="ORD00348"/>
    <d v="2026-06-29T00:00:00"/>
    <s v="CUST0484"/>
    <x v="2"/>
    <x v="5"/>
    <n v="4"/>
    <n v="0.1"/>
    <n v="39600"/>
    <n v="7832.8"/>
    <x v="3"/>
    <s v="Shipped"/>
    <n v="9900"/>
    <n v="19.77979797979798"/>
    <s v="Profit"/>
    <s v="Rahul Pillai"/>
    <x v="0"/>
    <x v="2"/>
    <s v="Delhi"/>
    <s v="Delhi"/>
    <s v="2025-05-08"/>
    <s v="36-50"/>
    <n v="1958.2"/>
  </r>
  <r>
    <s v="ORD00349"/>
    <d v="2025-10-30T00:00:00"/>
    <s v="CUST0218"/>
    <x v="3"/>
    <x v="10"/>
    <n v="1"/>
    <n v="0.2"/>
    <n v="44000"/>
    <n v="-26190.62"/>
    <x v="0"/>
    <s v="Returned"/>
    <n v="44000"/>
    <n v="-59.524136363636359"/>
    <s v="Loss"/>
    <s v="Shreya Sharma"/>
    <x v="2"/>
    <x v="2"/>
    <s v="Lucknow"/>
    <s v="Uttar Pradesh"/>
    <s v="2025-01-22"/>
    <s v="36-50"/>
    <n v="-26190.62"/>
  </r>
  <r>
    <s v="ORD00350"/>
    <d v="2025-08-02T00:00:00"/>
    <s v="CUST0383"/>
    <x v="2"/>
    <x v="3"/>
    <n v="1"/>
    <n v="0"/>
    <n v="15000"/>
    <n v="3500"/>
    <x v="3"/>
    <s v="Delivered"/>
    <n v="15000"/>
    <n v="23.333333333333329"/>
    <s v="Profit"/>
    <s v="Arjun Mehta"/>
    <x v="0"/>
    <x v="0"/>
    <s v="Chennai"/>
    <s v="Tamil Nadu"/>
    <s v="2024-05-07"/>
    <s v="51+"/>
    <n v="3500"/>
  </r>
  <r>
    <s v="ORD00351"/>
    <d v="2026-02-23T00:00:00"/>
    <s v="CUST0482"/>
    <x v="3"/>
    <x v="4"/>
    <n v="4"/>
    <n v="0.05"/>
    <n v="68400"/>
    <n v="11899.2"/>
    <x v="0"/>
    <s v="Delivered"/>
    <n v="17100"/>
    <n v="17.396491228070179"/>
    <s v="Profit"/>
    <s v="Divya Reddy"/>
    <x v="0"/>
    <x v="0"/>
    <s v="Chennai"/>
    <s v="Tamil Nadu"/>
    <s v="2025-06-12"/>
    <s v="26-35"/>
    <n v="2974.8"/>
  </r>
  <r>
    <s v="ORD00352"/>
    <d v="2026-05-03T00:00:00"/>
    <s v="CUST0359"/>
    <x v="2"/>
    <x v="2"/>
    <n v="6"/>
    <n v="0.05"/>
    <n v="74100"/>
    <n v="16069.17"/>
    <x v="1"/>
    <s v="Delivered"/>
    <n v="12350"/>
    <n v="21.68578947368421"/>
    <s v="Profit"/>
    <s v="Ananya Mishra"/>
    <x v="0"/>
    <x v="0"/>
    <s v="Bengaluru"/>
    <s v="Karnataka"/>
    <s v="2024-05-22"/>
    <s v="26-35"/>
    <n v="2678.1950000000002"/>
  </r>
  <r>
    <s v="ORD00353"/>
    <d v="2026-07-14T00:00:00"/>
    <s v="CUST0482"/>
    <x v="2"/>
    <x v="5"/>
    <n v="3"/>
    <n v="0"/>
    <n v="33000"/>
    <n v="7800"/>
    <x v="3"/>
    <s v="Delivered"/>
    <n v="11000"/>
    <n v="23.63636363636364"/>
    <s v="Profit"/>
    <s v="Divya Reddy"/>
    <x v="0"/>
    <x v="0"/>
    <s v="Chennai"/>
    <s v="Tamil Nadu"/>
    <s v="2025-06-12"/>
    <s v="26-35"/>
    <n v="2600"/>
  </r>
  <r>
    <s v="ORD00354"/>
    <d v="2025-07-01T00:00:00"/>
    <s v="CUST0491"/>
    <x v="3"/>
    <x v="8"/>
    <n v="1"/>
    <n v="0.05"/>
    <n v="4275"/>
    <n v="1309.93"/>
    <x v="0"/>
    <s v="Delivered"/>
    <n v="4275"/>
    <n v="30.641637426900591"/>
    <s v="Profit"/>
    <s v="Ishaan Chopra"/>
    <x v="1"/>
    <x v="2"/>
    <s v="Chandigarh"/>
    <s v="Chandigarh"/>
    <s v="2024-04-16"/>
    <s v="18-25"/>
    <n v="1309.93"/>
  </r>
  <r>
    <s v="ORD00355"/>
    <d v="2025-08-11T00:00:00"/>
    <s v="CUST0315"/>
    <x v="3"/>
    <x v="8"/>
    <n v="3"/>
    <n v="0.2"/>
    <n v="10800"/>
    <n v="3038.84"/>
    <x v="1"/>
    <s v="Delivered"/>
    <n v="3600"/>
    <n v="28.137407407407409"/>
    <s v="Profit"/>
    <s v="Harini Verma"/>
    <x v="0"/>
    <x v="0"/>
    <s v="Coimbatore"/>
    <s v="Tamil Nadu"/>
    <s v="2024-10-22"/>
    <s v="18-25"/>
    <n v="1012.9466666666671"/>
  </r>
  <r>
    <s v="ORD00356"/>
    <d v="2025-08-15T00:00:00"/>
    <s v="CUST0358"/>
    <x v="2"/>
    <x v="9"/>
    <n v="2"/>
    <n v="0"/>
    <n v="18000"/>
    <n v="4600"/>
    <x v="3"/>
    <s v="Delivered"/>
    <n v="9000"/>
    <n v="25.55555555555555"/>
    <s v="Profit"/>
    <s v="Sanjay Das"/>
    <x v="0"/>
    <x v="0"/>
    <s v="Hyderabad"/>
    <s v="Telangana"/>
    <s v="2025-08-29"/>
    <s v="18-25"/>
    <n v="2300"/>
  </r>
  <r>
    <s v="ORD00357"/>
    <d v="2026-08-02T00:00:00"/>
    <s v="CUST0099"/>
    <x v="2"/>
    <x v="9"/>
    <n v="4"/>
    <n v="0"/>
    <n v="36000"/>
    <n v="9200"/>
    <x v="2"/>
    <s v="Delivered"/>
    <n v="9000"/>
    <n v="25.55555555555555"/>
    <s v="Profit"/>
    <s v="Ananya Mehta"/>
    <x v="1"/>
    <x v="2"/>
    <s v="Chandigarh"/>
    <s v="Chandigarh"/>
    <s v="2025-06-15"/>
    <s v="36-50"/>
    <n v="2300"/>
  </r>
  <r>
    <s v="ORD00358"/>
    <d v="2026-01-12T00:00:00"/>
    <s v="CUST0144"/>
    <x v="3"/>
    <x v="8"/>
    <n v="1"/>
    <n v="0.1"/>
    <n v="4050"/>
    <n v="1149.83"/>
    <x v="0"/>
    <s v="Delivered"/>
    <n v="4050"/>
    <n v="28.39086419753086"/>
    <s v="Profit"/>
    <s v="Priya Gupta"/>
    <x v="0"/>
    <x v="1"/>
    <s v="Surat"/>
    <s v="Gujarat"/>
    <s v="2025-12-26"/>
    <s v="51+"/>
    <n v="1149.83"/>
  </r>
  <r>
    <s v="ORD00359"/>
    <d v="2026-01-21T00:00:00"/>
    <s v="CUST0441"/>
    <x v="0"/>
    <x v="6"/>
    <n v="3"/>
    <n v="0.1"/>
    <n v="945"/>
    <n v="283.95999999999998"/>
    <x v="3"/>
    <s v="Delivered"/>
    <n v="315"/>
    <n v="30.048677248677251"/>
    <s v="Profit"/>
    <s v="Arjun Joshi"/>
    <x v="0"/>
    <x v="0"/>
    <s v="Bengaluru"/>
    <s v="Karnataka"/>
    <s v="2024-05-10"/>
    <s v="18-25"/>
    <n v="94.653333333333322"/>
  </r>
  <r>
    <s v="ORD00360"/>
    <d v="2025-09-28T00:00:00"/>
    <s v="CUST0149"/>
    <x v="1"/>
    <x v="1"/>
    <n v="3"/>
    <n v="0"/>
    <n v="5400"/>
    <n v="1950"/>
    <x v="3"/>
    <s v="Delivered"/>
    <n v="1800"/>
    <n v="36.111111111111107"/>
    <s v="Profit"/>
    <s v="Diya Pillai"/>
    <x v="1"/>
    <x v="3"/>
    <s v="Kolkata"/>
    <s v="West Bengal"/>
    <s v="2024-09-28"/>
    <s v="36-50"/>
    <n v="650"/>
  </r>
  <r>
    <s v="ORD00361"/>
    <d v="2026-05-02T00:00:00"/>
    <s v="CUST0105"/>
    <x v="1"/>
    <x v="1"/>
    <n v="3"/>
    <n v="0.1"/>
    <n v="4860"/>
    <n v="1559.37"/>
    <x v="3"/>
    <s v="Delivered"/>
    <n v="1620"/>
    <n v="32.0858024691358"/>
    <s v="Profit"/>
    <s v="Ishaan Pillai"/>
    <x v="1"/>
    <x v="1"/>
    <s v="Surat"/>
    <s v="Gujarat"/>
    <s v="2024-11-21"/>
    <s v="26-35"/>
    <n v="519.79"/>
  </r>
  <r>
    <s v="ORD00362"/>
    <d v="2025-07-15T00:00:00"/>
    <s v="CUST0181"/>
    <x v="3"/>
    <x v="8"/>
    <n v="2"/>
    <n v="0.05"/>
    <n v="8550"/>
    <n v="2711.79"/>
    <x v="3"/>
    <s v="Delivered"/>
    <n v="4275"/>
    <n v="31.716842105263161"/>
    <s v="Profit"/>
    <s v="Rohan Iyer"/>
    <x v="1"/>
    <x v="1"/>
    <s v="Surat"/>
    <s v="Gujarat"/>
    <s v="2023-03-20"/>
    <s v="36-50"/>
    <n v="1355.895"/>
  </r>
  <r>
    <s v="ORD00363"/>
    <d v="2025-09-18T00:00:00"/>
    <s v="CUST0396"/>
    <x v="2"/>
    <x v="2"/>
    <n v="3"/>
    <n v="0.05"/>
    <n v="37050"/>
    <n v="-20998.51"/>
    <x v="1"/>
    <s v="Cancelled"/>
    <n v="12350"/>
    <n v="-56.676140350877191"/>
    <s v="Loss"/>
    <s v="Rahul Mishra"/>
    <x v="0"/>
    <x v="0"/>
    <s v="Bengaluru"/>
    <s v="Karnataka"/>
    <s v="2023-05-26"/>
    <s v="18-25"/>
    <n v="-6999.5033333333331"/>
  </r>
  <r>
    <s v="ORD00364"/>
    <d v="2025-08-19T00:00:00"/>
    <s v="CUST0476"/>
    <x v="2"/>
    <x v="9"/>
    <n v="6"/>
    <n v="0.05"/>
    <n v="51300"/>
    <n v="11679.01"/>
    <x v="0"/>
    <s v="Delivered"/>
    <n v="8550"/>
    <n v="22.76610136452242"/>
    <s v="Profit"/>
    <s v="Ishaan Gupta"/>
    <x v="1"/>
    <x v="0"/>
    <s v="Bengaluru"/>
    <s v="Karnataka"/>
    <s v="2025-07-01"/>
    <s v="18-25"/>
    <n v="1946.501666666667"/>
  </r>
  <r>
    <s v="ORD00365"/>
    <d v="2026-08-01T00:00:00"/>
    <s v="CUST0297"/>
    <x v="3"/>
    <x v="4"/>
    <n v="4"/>
    <n v="0.1"/>
    <n v="64800"/>
    <n v="8643.76"/>
    <x v="1"/>
    <s v="Delivered"/>
    <n v="16200"/>
    <n v="13.339135802469141"/>
    <s v="Profit"/>
    <s v="Varun Menon"/>
    <x v="1"/>
    <x v="2"/>
    <s v="Chandigarh"/>
    <s v="Chandigarh"/>
    <s v="2025-02-14"/>
    <s v="18-25"/>
    <n v="2160.94"/>
  </r>
  <r>
    <s v="ORD00366"/>
    <d v="2026-07-29T00:00:00"/>
    <s v="CUST0533"/>
    <x v="0"/>
    <x v="14"/>
    <n v="1"/>
    <n v="0.15"/>
    <n v="382.5"/>
    <n v="76.790000000000006"/>
    <x v="1"/>
    <s v="Delivered"/>
    <n v="382.5"/>
    <n v="20.075816993464059"/>
    <s v="Profit"/>
    <s v="Sneha Pillai"/>
    <x v="0"/>
    <x v="1"/>
    <s v="Pune"/>
    <s v="Maharashtra"/>
    <s v="2023-06-15"/>
    <s v="18-25"/>
    <n v="76.790000000000006"/>
  </r>
  <r>
    <s v="ORD00367"/>
    <d v="2026-08-14T00:00:00"/>
    <s v="CUST0275"/>
    <x v="0"/>
    <x v="6"/>
    <n v="1"/>
    <n v="0.1"/>
    <n v="315"/>
    <n v="101.25"/>
    <x v="1"/>
    <s v="Delivered"/>
    <n v="315"/>
    <n v="32.142857142857153"/>
    <s v="Profit"/>
    <s v="Divya Verma"/>
    <x v="0"/>
    <x v="2"/>
    <s v="Lucknow"/>
    <s v="Uttar Pradesh"/>
    <s v="2025-01-09"/>
    <s v="26-35"/>
    <n v="101.25"/>
  </r>
  <r>
    <s v="ORD00368"/>
    <d v="2025-08-12T00:00:00"/>
    <s v="CUST0302"/>
    <x v="2"/>
    <x v="5"/>
    <n v="1"/>
    <n v="0.15"/>
    <n v="9350"/>
    <n v="1694.44"/>
    <x v="0"/>
    <s v="Delivered"/>
    <n v="9350"/>
    <n v="18.122352941176469"/>
    <s v="Profit"/>
    <s v="Ananya Iyer"/>
    <x v="0"/>
    <x v="1"/>
    <s v="Pune"/>
    <s v="Maharashtra"/>
    <s v="2025-09-02"/>
    <s v="26-35"/>
    <n v="1694.44"/>
  </r>
  <r>
    <s v="ORD00369"/>
    <d v="2025-10-08T00:00:00"/>
    <s v="CUST0039"/>
    <x v="0"/>
    <x v="14"/>
    <n v="10"/>
    <n v="0.3"/>
    <n v="3150"/>
    <n v="483.1"/>
    <x v="2"/>
    <s v="Shipped"/>
    <n v="315"/>
    <n v="15.336507936507941"/>
    <s v="Profit"/>
    <s v="Varun Joshi"/>
    <x v="0"/>
    <x v="0"/>
    <s v="Coimbatore"/>
    <s v="Tamil Nadu"/>
    <s v="2025-08-21"/>
    <s v="51+"/>
    <n v="48.31"/>
  </r>
  <r>
    <s v="ORD00370"/>
    <d v="2025-07-20T00:00:00"/>
    <s v="CUST0015"/>
    <x v="2"/>
    <x v="5"/>
    <n v="3"/>
    <n v="0.2"/>
    <n v="26400"/>
    <n v="3248.42"/>
    <x v="3"/>
    <s v="Delivered"/>
    <n v="8800"/>
    <n v="12.30462121212121"/>
    <s v="Profit"/>
    <s v="Diya Pillai"/>
    <x v="1"/>
    <x v="0"/>
    <s v="Coimbatore"/>
    <s v="Tamil Nadu"/>
    <s v="2024-09-16"/>
    <s v="51+"/>
    <n v="1082.8066666666671"/>
  </r>
  <r>
    <s v="ORD00371"/>
    <d v="2026-07-04T00:00:00"/>
    <s v="CUST0316"/>
    <x v="3"/>
    <x v="11"/>
    <n v="5"/>
    <n v="0.15"/>
    <n v="10625"/>
    <n v="3032.38"/>
    <x v="0"/>
    <s v="Delivered"/>
    <n v="2125"/>
    <n v="28.540047058823529"/>
    <s v="Profit"/>
    <s v="Sneha Iyer"/>
    <x v="2"/>
    <x v="3"/>
    <s v="Guwahati"/>
    <s v="Assam"/>
    <s v="2024-04-21"/>
    <s v="26-35"/>
    <n v="606.476"/>
  </r>
  <r>
    <s v="ORD00372"/>
    <d v="2025-10-29T00:00:00"/>
    <s v="CUST0415"/>
    <x v="0"/>
    <x v="0"/>
    <n v="2"/>
    <n v="0.1"/>
    <n v="25200"/>
    <n v="3410.72"/>
    <x v="0"/>
    <s v="Shipped"/>
    <n v="12600"/>
    <n v="13.53460317460317"/>
    <s v="Profit"/>
    <s v="Manoj Bose"/>
    <x v="1"/>
    <x v="0"/>
    <s v="Bengaluru"/>
    <s v="Karnataka"/>
    <s v="2024-07-04"/>
    <s v="36-50"/>
    <n v="1705.36"/>
  </r>
  <r>
    <s v="ORD00373"/>
    <d v="2025-08-02T00:00:00"/>
    <s v="CUST0036"/>
    <x v="2"/>
    <x v="9"/>
    <n v="2"/>
    <n v="0"/>
    <n v="18000"/>
    <n v="4600"/>
    <x v="2"/>
    <s v="Delivered"/>
    <n v="9000"/>
    <n v="25.55555555555555"/>
    <s v="Profit"/>
    <s v="Priya Patel"/>
    <x v="2"/>
    <x v="3"/>
    <s v="Guwahati"/>
    <s v="Assam"/>
    <s v="2023-10-18"/>
    <s v="26-35"/>
    <n v="2300"/>
  </r>
  <r>
    <s v="ORD00374"/>
    <d v="2026-03-02T00:00:00"/>
    <s v="CUST0065"/>
    <x v="3"/>
    <x v="4"/>
    <n v="2"/>
    <n v="0.1"/>
    <n v="32400"/>
    <n v="4464.7"/>
    <x v="0"/>
    <s v="Delivered"/>
    <n v="16200"/>
    <n v="13.779938271604941"/>
    <s v="Profit"/>
    <s v="Sneha Singh"/>
    <x v="0"/>
    <x v="0"/>
    <s v="Hyderabad"/>
    <s v="Telangana"/>
    <s v="2023-03-24"/>
    <s v="18-25"/>
    <n v="2232.35"/>
  </r>
  <r>
    <s v="ORD00375"/>
    <d v="2026-03-11T00:00:00"/>
    <s v="CUST0092"/>
    <x v="1"/>
    <x v="15"/>
    <n v="2"/>
    <n v="0"/>
    <n v="4400"/>
    <n v="1500"/>
    <x v="0"/>
    <s v="Shipped"/>
    <n v="2200"/>
    <n v="34.090909090909093"/>
    <s v="Profit"/>
    <s v="Harini Khan"/>
    <x v="0"/>
    <x v="2"/>
    <s v="Jaipur"/>
    <s v="Rajasthan"/>
    <s v="2025-12-12"/>
    <s v="36-50"/>
    <n v="750"/>
  </r>
  <r>
    <s v="ORD00376"/>
    <d v="2026-07-02T00:00:00"/>
    <s v="CUST0201"/>
    <x v="3"/>
    <x v="10"/>
    <n v="1"/>
    <n v="0.1"/>
    <n v="49500"/>
    <n v="-21459.22"/>
    <x v="2"/>
    <s v="Cancelled"/>
    <n v="49500"/>
    <n v="-43.351959595959599"/>
    <s v="Loss"/>
    <s v="Pooja Joshi"/>
    <x v="1"/>
    <x v="3"/>
    <s v="Kolkata"/>
    <s v="West Bengal"/>
    <s v="2024-09-28"/>
    <s v="18-25"/>
    <n v="-21459.22"/>
  </r>
  <r>
    <s v="ORD00377"/>
    <d v="2026-06-01T00:00:00"/>
    <s v="CUST0075"/>
    <x v="1"/>
    <x v="12"/>
    <n v="6"/>
    <n v="0.1"/>
    <n v="7560"/>
    <n v="2524.65"/>
    <x v="1"/>
    <s v="Delivered"/>
    <n v="1260"/>
    <n v="33.394841269841272"/>
    <s v="Profit"/>
    <s v="Karthik Sharma"/>
    <x v="0"/>
    <x v="0"/>
    <s v="Bengaluru"/>
    <s v="Karnataka"/>
    <s v="2025-09-08"/>
    <s v="36-50"/>
    <n v="420.77499999999998"/>
  </r>
  <r>
    <s v="ORD00378"/>
    <d v="2025-12-26T00:00:00"/>
    <s v="CUST0169"/>
    <x v="1"/>
    <x v="1"/>
    <n v="2"/>
    <n v="0.15"/>
    <n v="3060"/>
    <n v="949.44"/>
    <x v="1"/>
    <s v="Delivered"/>
    <n v="1530"/>
    <n v="31.02745098039216"/>
    <s v="Profit"/>
    <s v="Sneha Bose"/>
    <x v="0"/>
    <x v="0"/>
    <s v="Hyderabad"/>
    <s v="Telangana"/>
    <s v="2024-09-10"/>
    <s v="26-35"/>
    <n v="474.72"/>
  </r>
  <r>
    <s v="ORD00379"/>
    <d v="2026-08-29T00:00:00"/>
    <s v="CUST0509"/>
    <x v="1"/>
    <x v="13"/>
    <n v="1"/>
    <n v="0.05"/>
    <n v="3990"/>
    <n v="1062.95"/>
    <x v="3"/>
    <s v="Shipped"/>
    <n v="3990"/>
    <n v="26.640350877192979"/>
    <s v="Profit"/>
    <s v="Akash Das"/>
    <x v="2"/>
    <x v="3"/>
    <s v="Patna"/>
    <s v="Bihar"/>
    <s v="2024-11-26"/>
    <s v="36-50"/>
    <n v="1062.95"/>
  </r>
  <r>
    <s v="ORD00380"/>
    <d v="2026-07-17T00:00:00"/>
    <s v="CUST0486"/>
    <x v="2"/>
    <x v="9"/>
    <n v="4"/>
    <n v="0.1"/>
    <n v="32400"/>
    <n v="6598.81"/>
    <x v="0"/>
    <s v="Delivered"/>
    <n v="8100"/>
    <n v="20.366697530864201"/>
    <s v="Profit"/>
    <s v="Shreya Chopra"/>
    <x v="0"/>
    <x v="1"/>
    <s v="Ahmedabad"/>
    <s v="Gujarat"/>
    <s v="2025-10-26"/>
    <s v="18-25"/>
    <n v="1649.7025000000001"/>
  </r>
  <r>
    <s v="ORD00381"/>
    <d v="2026-05-07T00:00:00"/>
    <s v="CUST0402"/>
    <x v="0"/>
    <x v="7"/>
    <n v="3"/>
    <n v="0.1"/>
    <n v="2430"/>
    <n v="666.86"/>
    <x v="3"/>
    <s v="Delivered"/>
    <n v="810"/>
    <n v="27.44279835390946"/>
    <s v="Profit"/>
    <s v="Diya Pillai"/>
    <x v="1"/>
    <x v="0"/>
    <s v="Chennai"/>
    <s v="Tamil Nadu"/>
    <s v="2025-08-08"/>
    <s v="36-50"/>
    <n v="222.28666666666669"/>
  </r>
  <r>
    <s v="ORD00382"/>
    <d v="2026-07-20T00:00:00"/>
    <s v="CUST0545"/>
    <x v="3"/>
    <x v="8"/>
    <n v="2"/>
    <n v="0.1"/>
    <n v="8100"/>
    <n v="2467.38"/>
    <x v="0"/>
    <s v="Shipped"/>
    <n v="4050"/>
    <n v="30.461481481481481"/>
    <s v="Profit"/>
    <s v="Manoj Mehta"/>
    <x v="2"/>
    <x v="0"/>
    <s v="Chennai"/>
    <s v="Tamil Nadu"/>
    <s v="2025-12-28"/>
    <s v="26-35"/>
    <n v="1233.69"/>
  </r>
  <r>
    <s v="ORD00383"/>
    <d v="2025-07-17T00:00:00"/>
    <s v="CUST0103"/>
    <x v="2"/>
    <x v="9"/>
    <n v="2"/>
    <n v="0.15"/>
    <n v="15300"/>
    <n v="3370.34"/>
    <x v="2"/>
    <s v="Shipped"/>
    <n v="7650"/>
    <n v="22.028366013071899"/>
    <s v="Profit"/>
    <s v="Rohan Rao"/>
    <x v="0"/>
    <x v="0"/>
    <s v="Bengaluru"/>
    <s v="Karnataka"/>
    <s v="2023-11-09"/>
    <s v="36-50"/>
    <n v="1685.17"/>
  </r>
  <r>
    <s v="ORD00384"/>
    <d v="2026-01-24T00:00:00"/>
    <s v="CUST0287"/>
    <x v="1"/>
    <x v="1"/>
    <n v="2"/>
    <n v="0.05"/>
    <n v="3420"/>
    <n v="1173.8599999999999"/>
    <x v="3"/>
    <s v="Delivered"/>
    <n v="1710"/>
    <n v="34.323391812865488"/>
    <s v="Profit"/>
    <s v="Akash Pillai"/>
    <x v="1"/>
    <x v="0"/>
    <s v="Chennai"/>
    <s v="Tamil Nadu"/>
    <s v="2023-07-20"/>
    <s v="18-25"/>
    <n v="586.92999999999995"/>
  </r>
  <r>
    <s v="ORD00385"/>
    <d v="2026-05-24T00:00:00"/>
    <s v="CUST0525"/>
    <x v="3"/>
    <x v="8"/>
    <n v="1"/>
    <n v="0"/>
    <n v="4500"/>
    <n v="1500"/>
    <x v="3"/>
    <s v="Delivered"/>
    <n v="4500"/>
    <n v="33.333333333333329"/>
    <s v="Profit"/>
    <s v="Varun Gupta"/>
    <x v="2"/>
    <x v="2"/>
    <s v="Delhi"/>
    <s v="Delhi"/>
    <s v="2023-05-14"/>
    <s v="36-50"/>
    <n v="1500"/>
  </r>
  <r>
    <s v="ORD00386"/>
    <d v="2025-08-16T00:00:00"/>
    <s v="CUST0256"/>
    <x v="0"/>
    <x v="6"/>
    <n v="3"/>
    <n v="0.2"/>
    <n v="840"/>
    <n v="219.32"/>
    <x v="0"/>
    <s v="Delivered"/>
    <n v="280"/>
    <n v="26.109523809523811"/>
    <s v="Profit"/>
    <s v="Karthik Singh"/>
    <x v="0"/>
    <x v="0"/>
    <s v="Chennai"/>
    <s v="Tamil Nadu"/>
    <s v="2024-11-27"/>
    <s v="26-35"/>
    <n v="73.106666666666669"/>
  </r>
  <r>
    <s v="ORD00387"/>
    <d v="2026-08-24T00:00:00"/>
    <s v="CUST0043"/>
    <x v="3"/>
    <x v="4"/>
    <n v="1"/>
    <n v="0.2"/>
    <n v="14400"/>
    <n v="-10792.44"/>
    <x v="2"/>
    <s v="Cancelled"/>
    <n v="14400"/>
    <n v="-74.947500000000005"/>
    <s v="Loss"/>
    <s v="Meera Mehta"/>
    <x v="1"/>
    <x v="1"/>
    <s v="Mumbai"/>
    <s v="Maharashtra"/>
    <s v="2024-04-22"/>
    <s v="51+"/>
    <n v="-10792.44"/>
  </r>
  <r>
    <s v="ORD00388"/>
    <d v="2025-11-01T00:00:00"/>
    <s v="CUST0390"/>
    <x v="3"/>
    <x v="10"/>
    <n v="1"/>
    <n v="0.1"/>
    <n v="49500"/>
    <n v="5028.3999999999996"/>
    <x v="2"/>
    <s v="Delivered"/>
    <n v="49500"/>
    <n v="10.158383838383839"/>
    <s v="Profit"/>
    <s v="Aditya Bose"/>
    <x v="0"/>
    <x v="3"/>
    <s v="Bhubaneswar"/>
    <s v="Odisha"/>
    <s v="2024-04-07"/>
    <s v="26-35"/>
    <n v="5028.3999999999996"/>
  </r>
  <r>
    <s v="ORD00389"/>
    <d v="2026-01-05T00:00:00"/>
    <s v="CUST0212"/>
    <x v="2"/>
    <x v="2"/>
    <n v="3"/>
    <n v="0.2"/>
    <n v="31200"/>
    <n v="3827.91"/>
    <x v="2"/>
    <s v="Delivered"/>
    <n v="10400"/>
    <n v="12.26894230769231"/>
    <s v="Profit"/>
    <s v="Vikram Singh"/>
    <x v="0"/>
    <x v="1"/>
    <s v="Mumbai"/>
    <s v="Maharashtra"/>
    <s v="2025-06-26"/>
    <s v="26-35"/>
    <n v="1275.97"/>
  </r>
  <r>
    <s v="ORD00390"/>
    <d v="2025-11-21T00:00:00"/>
    <s v="CUST0489"/>
    <x v="2"/>
    <x v="2"/>
    <n v="1"/>
    <n v="0.15"/>
    <n v="11050"/>
    <n v="1634.96"/>
    <x v="2"/>
    <s v="Delivered"/>
    <n v="11050"/>
    <n v="14.79601809954751"/>
    <s v="Profit"/>
    <s v="Kavya Das"/>
    <x v="0"/>
    <x v="0"/>
    <s v="Coimbatore"/>
    <s v="Tamil Nadu"/>
    <s v="2024-03-29"/>
    <s v="26-35"/>
    <n v="1634.96"/>
  </r>
  <r>
    <s v="ORD00391"/>
    <d v="2025-09-12T00:00:00"/>
    <s v="CUST0119"/>
    <x v="1"/>
    <x v="16"/>
    <n v="1"/>
    <n v="0"/>
    <n v="1800"/>
    <n v="650"/>
    <x v="2"/>
    <s v="Delivered"/>
    <n v="1800"/>
    <n v="36.111111111111107"/>
    <s v="Profit"/>
    <s v="Divya Naidu"/>
    <x v="1"/>
    <x v="0"/>
    <s v="Coimbatore"/>
    <s v="Tamil Nadu"/>
    <s v="2023-05-25"/>
    <s v="36-50"/>
    <n v="650"/>
  </r>
  <r>
    <s v="ORD00392"/>
    <d v="2025-10-14T00:00:00"/>
    <s v="CUST0400"/>
    <x v="3"/>
    <x v="11"/>
    <n v="3"/>
    <n v="0"/>
    <n v="7500"/>
    <n v="2400"/>
    <x v="0"/>
    <s v="Delivered"/>
    <n v="2500"/>
    <n v="32"/>
    <s v="Profit"/>
    <s v="Karthik Bose"/>
    <x v="0"/>
    <x v="0"/>
    <s v="Hyderabad"/>
    <s v="Telangana"/>
    <s v="2024-08-01"/>
    <s v="36-50"/>
    <n v="800"/>
  </r>
  <r>
    <s v="ORD00393"/>
    <d v="2026-06-22T00:00:00"/>
    <s v="CUST0126"/>
    <x v="3"/>
    <x v="4"/>
    <n v="5"/>
    <n v="0"/>
    <n v="90000"/>
    <n v="17500"/>
    <x v="0"/>
    <s v="Delivered"/>
    <n v="18000"/>
    <n v="19.44444444444445"/>
    <s v="Profit"/>
    <s v="Manoj Mehta"/>
    <x v="1"/>
    <x v="0"/>
    <s v="Bengaluru"/>
    <s v="Karnataka"/>
    <s v="2025-10-04"/>
    <s v="36-50"/>
    <n v="3500"/>
  </r>
  <r>
    <s v="ORD00394"/>
    <d v="2025-10-12T00:00:00"/>
    <s v="CUST0353"/>
    <x v="3"/>
    <x v="11"/>
    <n v="4"/>
    <n v="0.1"/>
    <n v="9000"/>
    <n v="-914.54"/>
    <x v="2"/>
    <s v="Cancelled"/>
    <n v="2250"/>
    <n v="-10.161555555555561"/>
    <s v="Loss"/>
    <s v="Aditya Iyer"/>
    <x v="2"/>
    <x v="0"/>
    <s v="Hyderabad"/>
    <s v="Telangana"/>
    <s v="2024-08-21"/>
    <s v="36-50"/>
    <n v="-228.63499999999999"/>
  </r>
  <r>
    <s v="ORD00395"/>
    <d v="2025-09-15T00:00:00"/>
    <s v="CUST0458"/>
    <x v="3"/>
    <x v="4"/>
    <n v="1"/>
    <n v="0.1"/>
    <n v="16200"/>
    <n v="-8357.6200000000008"/>
    <x v="3"/>
    <s v="Returned"/>
    <n v="16200"/>
    <n v="-51.590246913580252"/>
    <s v="Loss"/>
    <s v="Diya Nair"/>
    <x v="0"/>
    <x v="2"/>
    <s v="Lucknow"/>
    <s v="Uttar Pradesh"/>
    <s v="2024-12-31"/>
    <s v="26-35"/>
    <n v="-8357.6200000000008"/>
  </r>
  <r>
    <s v="ORD00396"/>
    <d v="2026-06-04T00:00:00"/>
    <s v="CUST0286"/>
    <x v="1"/>
    <x v="1"/>
    <n v="1"/>
    <n v="0"/>
    <n v="1800"/>
    <n v="650"/>
    <x v="1"/>
    <s v="Shipped"/>
    <n v="1800"/>
    <n v="36.111111111111107"/>
    <s v="Profit"/>
    <s v="Meera Rao"/>
    <x v="2"/>
    <x v="3"/>
    <s v="Patna"/>
    <s v="Bihar"/>
    <s v="2023-12-05"/>
    <s v="26-35"/>
    <n v="650"/>
  </r>
  <r>
    <s v="ORD00397"/>
    <d v="2026-04-06T00:00:00"/>
    <s v="CUST0378"/>
    <x v="2"/>
    <x v="3"/>
    <n v="6"/>
    <n v="0.15"/>
    <n v="76500"/>
    <n v="11902.95"/>
    <x v="2"/>
    <s v="Delivered"/>
    <n v="12750"/>
    <n v="15.55941176470588"/>
    <s v="Profit"/>
    <s v="Aarav Joshi"/>
    <x v="2"/>
    <x v="0"/>
    <s v="Bengaluru"/>
    <s v="Karnataka"/>
    <s v="2025-12-14"/>
    <s v="26-35"/>
    <n v="1983.825"/>
  </r>
  <r>
    <s v="ORD00398"/>
    <d v="2025-10-30T00:00:00"/>
    <s v="CUST0523"/>
    <x v="2"/>
    <x v="5"/>
    <n v="1"/>
    <n v="0.05"/>
    <n v="10450"/>
    <n v="2188.42"/>
    <x v="1"/>
    <s v="Delivered"/>
    <n v="10450"/>
    <n v="20.941818181818181"/>
    <s v="Profit"/>
    <s v="Vikram Kulkarni"/>
    <x v="0"/>
    <x v="2"/>
    <s v="Chandigarh"/>
    <s v="Chandigarh"/>
    <s v="2023-09-25"/>
    <s v="51+"/>
    <n v="2188.42"/>
  </r>
  <r>
    <s v="ORD00399"/>
    <d v="2025-09-26T00:00:00"/>
    <s v="CUST0292"/>
    <x v="2"/>
    <x v="9"/>
    <n v="3"/>
    <n v="0.1"/>
    <n v="24300"/>
    <n v="4652.3500000000004"/>
    <x v="2"/>
    <s v="Delivered"/>
    <n v="8100"/>
    <n v="19.145473251028811"/>
    <s v="Profit"/>
    <s v="Sanjay Khan"/>
    <x v="0"/>
    <x v="0"/>
    <s v="Bengaluru"/>
    <s v="Karnataka"/>
    <s v="2023-07-05"/>
    <s v="26-35"/>
    <n v="1550.783333333334"/>
  </r>
  <r>
    <s v="ORD00400"/>
    <d v="2026-05-23T00:00:00"/>
    <s v="CUST0459"/>
    <x v="0"/>
    <x v="6"/>
    <n v="1"/>
    <n v="0.05"/>
    <n v="332.5"/>
    <n v="105.46"/>
    <x v="2"/>
    <s v="Delivered"/>
    <n v="332.5"/>
    <n v="31.71729323308271"/>
    <s v="Profit"/>
    <s v="Nisha Das"/>
    <x v="0"/>
    <x v="2"/>
    <s v="Chandigarh"/>
    <s v="Chandigarh"/>
    <s v="2024-10-03"/>
    <s v="26-35"/>
    <n v="105.46"/>
  </r>
  <r>
    <s v="ORD00401"/>
    <d v="2026-06-22T00:00:00"/>
    <s v="CUST0600"/>
    <x v="0"/>
    <x v="7"/>
    <n v="4"/>
    <n v="0.05"/>
    <n v="3420"/>
    <n v="1000.26"/>
    <x v="0"/>
    <s v="Delivered"/>
    <n v="855"/>
    <n v="29.247368421052631"/>
    <s v="Profit"/>
    <s v="Shreya Sharma"/>
    <x v="2"/>
    <x v="2"/>
    <s v="Jaipur"/>
    <s v="Rajasthan"/>
    <s v="2024-09-15"/>
    <s v="36-50"/>
    <n v="250.065"/>
  </r>
  <r>
    <s v="ORD00402"/>
    <d v="2025-12-15T00:00:00"/>
    <s v="CUST0081"/>
    <x v="1"/>
    <x v="13"/>
    <n v="2"/>
    <n v="0"/>
    <n v="8400"/>
    <n v="2400"/>
    <x v="3"/>
    <s v="Delivered"/>
    <n v="4200"/>
    <n v="28.571428571428569"/>
    <s v="Profit"/>
    <s v="Ananya Rao"/>
    <x v="2"/>
    <x v="0"/>
    <s v="Chennai"/>
    <s v="Tamil Nadu"/>
    <s v="2023-10-09"/>
    <s v="36-50"/>
    <n v="1200"/>
  </r>
  <r>
    <s v="ORD00403"/>
    <d v="2026-06-05T00:00:00"/>
    <s v="CUST0021"/>
    <x v="0"/>
    <x v="0"/>
    <n v="2"/>
    <n v="0.1"/>
    <n v="25200"/>
    <n v="4042.56"/>
    <x v="0"/>
    <s v="Delivered"/>
    <n v="12600"/>
    <n v="16.04190476190476"/>
    <s v="Profit"/>
    <s v="Varun Nair"/>
    <x v="2"/>
    <x v="1"/>
    <s v="Ahmedabad"/>
    <s v="Gujarat"/>
    <s v="2025-11-12"/>
    <s v="36-50"/>
    <n v="2021.28"/>
  </r>
  <r>
    <s v="ORD00404"/>
    <d v="2026-04-30T00:00:00"/>
    <s v="CUST0544"/>
    <x v="0"/>
    <x v="6"/>
    <n v="4"/>
    <n v="0.05"/>
    <n v="1330"/>
    <n v="444.75"/>
    <x v="3"/>
    <s v="Delivered"/>
    <n v="332.5"/>
    <n v="33.439849624060152"/>
    <s v="Profit"/>
    <s v="Rohan Menon"/>
    <x v="1"/>
    <x v="0"/>
    <s v="Hyderabad"/>
    <s v="Telangana"/>
    <s v="2024-05-08"/>
    <s v="26-35"/>
    <n v="111.1875"/>
  </r>
  <r>
    <s v="ORD00405"/>
    <d v="2025-10-10T00:00:00"/>
    <s v="CUST0016"/>
    <x v="1"/>
    <x v="12"/>
    <n v="3"/>
    <n v="0.1"/>
    <n v="3780"/>
    <n v="1150.1199999999999"/>
    <x v="2"/>
    <s v="Shipped"/>
    <n v="1260"/>
    <n v="30.42645502645502"/>
    <s v="Profit"/>
    <s v="Ananya Menon"/>
    <x v="0"/>
    <x v="2"/>
    <s v="Jaipur"/>
    <s v="Rajasthan"/>
    <s v="2023-11-11"/>
    <s v="18-25"/>
    <n v="383.37333333333328"/>
  </r>
  <r>
    <s v="ORD00406"/>
    <d v="2025-08-08T00:00:00"/>
    <s v="CUST0452"/>
    <x v="1"/>
    <x v="15"/>
    <n v="1"/>
    <n v="0.2"/>
    <n v="1760"/>
    <n v="500.01"/>
    <x v="1"/>
    <s v="Delivered"/>
    <n v="1760"/>
    <n v="28.409659090909091"/>
    <s v="Profit"/>
    <s v="Varun Das"/>
    <x v="0"/>
    <x v="2"/>
    <s v="Lucknow"/>
    <s v="Uttar Pradesh"/>
    <s v="2024-09-25"/>
    <s v="36-50"/>
    <n v="500.01"/>
  </r>
  <r>
    <s v="ORD00407"/>
    <d v="2026-05-09T00:00:00"/>
    <s v="CUST0316"/>
    <x v="1"/>
    <x v="12"/>
    <n v="2"/>
    <n v="0"/>
    <n v="2800"/>
    <n v="1000"/>
    <x v="3"/>
    <s v="Shipped"/>
    <n v="1400"/>
    <n v="35.714285714285722"/>
    <s v="Profit"/>
    <s v="Sneha Iyer"/>
    <x v="2"/>
    <x v="3"/>
    <s v="Guwahati"/>
    <s v="Assam"/>
    <s v="2024-04-21"/>
    <s v="26-35"/>
    <n v="500"/>
  </r>
  <r>
    <s v="ORD00408"/>
    <d v="2026-06-21T00:00:00"/>
    <s v="CUST0415"/>
    <x v="3"/>
    <x v="10"/>
    <n v="1"/>
    <n v="0"/>
    <n v="55000"/>
    <n v="9000"/>
    <x v="3"/>
    <s v="Delivered"/>
    <n v="55000"/>
    <n v="16.36363636363636"/>
    <s v="Profit"/>
    <s v="Manoj Bose"/>
    <x v="1"/>
    <x v="0"/>
    <s v="Bengaluru"/>
    <s v="Karnataka"/>
    <s v="2024-07-04"/>
    <s v="36-50"/>
    <n v="9000"/>
  </r>
  <r>
    <s v="ORD00409"/>
    <d v="2025-11-03T00:00:00"/>
    <s v="CUST0503"/>
    <x v="3"/>
    <x v="10"/>
    <n v="3"/>
    <n v="0.05"/>
    <n v="156750"/>
    <n v="-64087.53"/>
    <x v="1"/>
    <s v="Returned"/>
    <n v="52250"/>
    <n v="-40.88518660287081"/>
    <s v="Loss"/>
    <s v="Manoj Nair"/>
    <x v="2"/>
    <x v="0"/>
    <s v="Hyderabad"/>
    <s v="Telangana"/>
    <s v="2025-08-16"/>
    <s v="51+"/>
    <n v="-21362.51"/>
  </r>
  <r>
    <s v="ORD00410"/>
    <d v="2026-01-22T00:00:00"/>
    <s v="CUST0024"/>
    <x v="3"/>
    <x v="4"/>
    <n v="1"/>
    <n v="0.15"/>
    <n v="15300"/>
    <n v="2072.46"/>
    <x v="2"/>
    <s v="Delivered"/>
    <n v="15300"/>
    <n v="13.545490196078431"/>
    <s v="Profit"/>
    <s v="Lakshmi Pillai"/>
    <x v="1"/>
    <x v="0"/>
    <s v="Coimbatore"/>
    <s v="Tamil Nadu"/>
    <s v="2024-11-26"/>
    <s v="26-35"/>
    <n v="2072.46"/>
  </r>
  <r>
    <s v="ORD00411"/>
    <d v="2025-07-19T00:00:00"/>
    <s v="CUST0168"/>
    <x v="0"/>
    <x v="14"/>
    <n v="2"/>
    <n v="0"/>
    <n v="900"/>
    <n v="220"/>
    <x v="2"/>
    <s v="Delivered"/>
    <n v="450"/>
    <n v="24.444444444444439"/>
    <s v="Profit"/>
    <s v="Shreya Sharma"/>
    <x v="1"/>
    <x v="1"/>
    <s v="Ahmedabad"/>
    <s v="Gujarat"/>
    <s v="2025-04-13"/>
    <s v="51+"/>
    <n v="110"/>
  </r>
  <r>
    <s v="ORD00412"/>
    <d v="2026-02-26T00:00:00"/>
    <s v="CUST0023"/>
    <x v="3"/>
    <x v="4"/>
    <n v="3"/>
    <n v="0.1"/>
    <n v="48600"/>
    <n v="6875.92"/>
    <x v="3"/>
    <s v="Delivered"/>
    <n v="16200"/>
    <n v="14.14798353909465"/>
    <s v="Profit"/>
    <s v="Diya Naidu"/>
    <x v="0"/>
    <x v="3"/>
    <s v="Guwahati"/>
    <s v="Assam"/>
    <s v="2024-03-23"/>
    <s v="36-50"/>
    <n v="2291.9733333333329"/>
  </r>
  <r>
    <s v="ORD00413"/>
    <d v="2026-05-19T00:00:00"/>
    <s v="CUST0581"/>
    <x v="0"/>
    <x v="6"/>
    <n v="2"/>
    <n v="0.1"/>
    <n v="630"/>
    <n v="196.59"/>
    <x v="0"/>
    <s v="Shipped"/>
    <n v="315"/>
    <n v="31.204761904761909"/>
    <s v="Profit"/>
    <s v="Aditya Naidu"/>
    <x v="0"/>
    <x v="0"/>
    <s v="Coimbatore"/>
    <s v="Tamil Nadu"/>
    <s v="2024-10-03"/>
    <s v="18-25"/>
    <n v="98.295000000000002"/>
  </r>
  <r>
    <s v="ORD00414"/>
    <d v="2025-11-30T00:00:00"/>
    <s v="CUST0240"/>
    <x v="0"/>
    <x v="6"/>
    <n v="4"/>
    <n v="0.2"/>
    <n v="1120"/>
    <n v="-502.77"/>
    <x v="1"/>
    <s v="Cancelled"/>
    <n v="280"/>
    <n v="-44.890178571428571"/>
    <s v="Loss"/>
    <s v="Kavya Joshi"/>
    <x v="0"/>
    <x v="1"/>
    <s v="Mumbai"/>
    <s v="Maharashtra"/>
    <s v="2024-05-21"/>
    <s v="51+"/>
    <n v="-125.6925"/>
  </r>
  <r>
    <s v="ORD00415"/>
    <d v="2026-06-13T00:00:00"/>
    <s v="CUST0468"/>
    <x v="2"/>
    <x v="3"/>
    <n v="2"/>
    <n v="0"/>
    <n v="30000"/>
    <n v="-688.63"/>
    <x v="2"/>
    <s v="Cancelled"/>
    <n v="15000"/>
    <n v="-2.295433333333333"/>
    <s v="Loss"/>
    <s v="Lakshmi Mehta"/>
    <x v="1"/>
    <x v="0"/>
    <s v="Chennai"/>
    <s v="Tamil Nadu"/>
    <s v="2023-03-02"/>
    <s v="26-35"/>
    <n v="-344.315"/>
  </r>
  <r>
    <s v="ORD00416"/>
    <d v="2026-08-19T00:00:00"/>
    <s v="CUST0009"/>
    <x v="3"/>
    <x v="8"/>
    <n v="2"/>
    <n v="0.15"/>
    <n v="7650"/>
    <n v="1919.19"/>
    <x v="3"/>
    <s v="Shipped"/>
    <n v="3825"/>
    <n v="25.087450980392159"/>
    <s v="Profit"/>
    <s v="Sanjay Gupta"/>
    <x v="1"/>
    <x v="3"/>
    <s v="Guwahati"/>
    <s v="Assam"/>
    <s v="2023-09-12"/>
    <s v="51+"/>
    <n v="959.59500000000003"/>
  </r>
  <r>
    <s v="ORD00417"/>
    <d v="2026-06-04T00:00:00"/>
    <s v="CUST0314"/>
    <x v="0"/>
    <x v="0"/>
    <n v="2"/>
    <n v="0.15"/>
    <n v="23800"/>
    <n v="-9932.1"/>
    <x v="3"/>
    <s v="Returned"/>
    <n v="11900"/>
    <n v="-41.73151260504202"/>
    <s v="Loss"/>
    <s v="Aarav Mishra"/>
    <x v="0"/>
    <x v="0"/>
    <s v="Bengaluru"/>
    <s v="Karnataka"/>
    <s v="2025-10-30"/>
    <s v="26-35"/>
    <n v="-4966.05"/>
  </r>
  <r>
    <s v="ORD00418"/>
    <d v="2026-08-13T00:00:00"/>
    <s v="CUST0413"/>
    <x v="0"/>
    <x v="14"/>
    <n v="1"/>
    <n v="0.1"/>
    <n v="405"/>
    <n v="74.78"/>
    <x v="1"/>
    <s v="Delivered"/>
    <n v="405"/>
    <n v="18.464197530864201"/>
    <s v="Profit"/>
    <s v="Sanjay Bose"/>
    <x v="0"/>
    <x v="0"/>
    <s v="Chennai"/>
    <s v="Tamil Nadu"/>
    <s v="2023-05-01"/>
    <s v="26-35"/>
    <n v="74.78"/>
  </r>
  <r>
    <s v="ORD00419"/>
    <d v="2025-07-10T00:00:00"/>
    <s v="CUST0396"/>
    <x v="2"/>
    <x v="5"/>
    <n v="4"/>
    <n v="0.15"/>
    <n v="37400"/>
    <n v="5101.57"/>
    <x v="2"/>
    <s v="Delivered"/>
    <n v="9350"/>
    <n v="13.6405614973262"/>
    <s v="Profit"/>
    <s v="Rahul Mishra"/>
    <x v="0"/>
    <x v="0"/>
    <s v="Bengaluru"/>
    <s v="Karnataka"/>
    <s v="2023-05-26"/>
    <s v="18-25"/>
    <n v="1275.3924999999999"/>
  </r>
  <r>
    <s v="ORD00420"/>
    <d v="2026-02-17T00:00:00"/>
    <s v="CUST0014"/>
    <x v="2"/>
    <x v="3"/>
    <n v="4"/>
    <n v="0.05"/>
    <n v="57000"/>
    <n v="12611.84"/>
    <x v="1"/>
    <s v="Delivered"/>
    <n v="14250"/>
    <n v="22.126035087719298"/>
    <s v="Profit"/>
    <s v="Lakshmi Verma"/>
    <x v="2"/>
    <x v="0"/>
    <s v="Chennai"/>
    <s v="Tamil Nadu"/>
    <s v="2024-11-24"/>
    <s v="36-50"/>
    <n v="3152.96"/>
  </r>
  <r>
    <s v="ORD00421"/>
    <d v="2025-11-23T00:00:00"/>
    <s v="CUST0033"/>
    <x v="3"/>
    <x v="10"/>
    <n v="2"/>
    <n v="0.05"/>
    <n v="104500"/>
    <n v="-51722.05"/>
    <x v="1"/>
    <s v="Returned"/>
    <n v="52250"/>
    <n v="-49.494784688995217"/>
    <s v="Loss"/>
    <s v="Ananya Das"/>
    <x v="0"/>
    <x v="2"/>
    <s v="Delhi"/>
    <s v="Delhi"/>
    <s v="2023-12-18"/>
    <s v="18-25"/>
    <n v="-25861.025000000001"/>
  </r>
  <r>
    <s v="ORD00422"/>
    <d v="2026-03-22T00:00:00"/>
    <s v="CUST0545"/>
    <x v="3"/>
    <x v="4"/>
    <n v="1"/>
    <n v="0"/>
    <n v="18000"/>
    <n v="3500"/>
    <x v="1"/>
    <s v="Delivered"/>
    <n v="18000"/>
    <n v="19.44444444444445"/>
    <s v="Profit"/>
    <s v="Manoj Mehta"/>
    <x v="2"/>
    <x v="0"/>
    <s v="Chennai"/>
    <s v="Tamil Nadu"/>
    <s v="2025-12-28"/>
    <s v="26-35"/>
    <n v="3500"/>
  </r>
  <r>
    <s v="ORD00423"/>
    <d v="2026-02-05T00:00:00"/>
    <s v="CUST0117"/>
    <x v="1"/>
    <x v="13"/>
    <n v="2"/>
    <n v="0.05"/>
    <n v="7980"/>
    <n v="-1875.3"/>
    <x v="2"/>
    <s v="Cancelled"/>
    <n v="3990"/>
    <n v="-23.5"/>
    <s v="Loss"/>
    <s v="Aarav Patel"/>
    <x v="0"/>
    <x v="2"/>
    <s v="Lucknow"/>
    <s v="Uttar Pradesh"/>
    <s v="2025-09-18"/>
    <s v="26-35"/>
    <n v="-937.65"/>
  </r>
  <r>
    <s v="ORD00424"/>
    <d v="2025-07-01T00:00:00"/>
    <s v="CUST0184"/>
    <x v="3"/>
    <x v="4"/>
    <n v="4"/>
    <n v="0.15"/>
    <n v="61200"/>
    <n v="8843.77"/>
    <x v="0"/>
    <s v="Delivered"/>
    <n v="15300"/>
    <n v="14.4506045751634"/>
    <s v="Profit"/>
    <s v="Rahul Iyer"/>
    <x v="2"/>
    <x v="2"/>
    <s v="Jaipur"/>
    <s v="Rajasthan"/>
    <s v="2024-10-21"/>
    <s v="18-25"/>
    <n v="2210.9425000000001"/>
  </r>
  <r>
    <s v="ORD00425"/>
    <d v="2026-04-16T00:00:00"/>
    <s v="CUST0108"/>
    <x v="2"/>
    <x v="9"/>
    <n v="1"/>
    <n v="0.2"/>
    <n v="7200"/>
    <n v="1393.87"/>
    <x v="3"/>
    <s v="Delivered"/>
    <n v="7200"/>
    <n v="19.359305555555551"/>
    <s v="Profit"/>
    <s v="Ananya Sharma"/>
    <x v="1"/>
    <x v="2"/>
    <s v="Chandigarh"/>
    <s v="Chandigarh"/>
    <s v="2025-12-04"/>
    <s v="26-35"/>
    <n v="1393.87"/>
  </r>
  <r>
    <s v="ORD00426"/>
    <d v="2026-07-25T00:00:00"/>
    <s v="CUST0428"/>
    <x v="3"/>
    <x v="4"/>
    <n v="5"/>
    <n v="0.15"/>
    <n v="76500"/>
    <n v="6983.7"/>
    <x v="3"/>
    <s v="Delivered"/>
    <n v="15300"/>
    <n v="9.1290196078431372"/>
    <s v="Profit"/>
    <s v="Akash Iyer"/>
    <x v="2"/>
    <x v="2"/>
    <s v="Chandigarh"/>
    <s v="Chandigarh"/>
    <s v="2024-08-10"/>
    <s v="26-35"/>
    <n v="1396.74"/>
  </r>
  <r>
    <s v="ORD00427"/>
    <d v="2025-11-27T00:00:00"/>
    <s v="CUST0176"/>
    <x v="2"/>
    <x v="5"/>
    <n v="2"/>
    <n v="0.05"/>
    <n v="20900"/>
    <n v="4460.49"/>
    <x v="1"/>
    <s v="Delivered"/>
    <n v="10450"/>
    <n v="21.342057416267942"/>
    <s v="Profit"/>
    <s v="Diya Patel"/>
    <x v="0"/>
    <x v="2"/>
    <s v="Jaipur"/>
    <s v="Rajasthan"/>
    <s v="2023-08-21"/>
    <s v="26-35"/>
    <n v="2230.2449999999999"/>
  </r>
  <r>
    <s v="ORD00428"/>
    <d v="2025-09-11T00:00:00"/>
    <s v="CUST0514"/>
    <x v="3"/>
    <x v="11"/>
    <n v="3"/>
    <n v="0.05"/>
    <n v="7125"/>
    <n v="2094.0100000000002"/>
    <x v="2"/>
    <s v="Shipped"/>
    <n v="2375"/>
    <n v="29.389614035087721"/>
    <s v="Profit"/>
    <s v="Manoj Iyer"/>
    <x v="0"/>
    <x v="2"/>
    <s v="Lucknow"/>
    <s v="Uttar Pradesh"/>
    <s v="2023-09-19"/>
    <s v="36-50"/>
    <n v="698.00333333333344"/>
  </r>
  <r>
    <s v="ORD00429"/>
    <d v="2026-07-02T00:00:00"/>
    <s v="CUST0052"/>
    <x v="2"/>
    <x v="9"/>
    <n v="2"/>
    <n v="0.2"/>
    <n v="14400"/>
    <n v="1704.79"/>
    <x v="2"/>
    <s v="Shipped"/>
    <n v="7200"/>
    <n v="11.838819444444439"/>
    <s v="Profit"/>
    <s v="Arjun Verma"/>
    <x v="2"/>
    <x v="0"/>
    <s v="Lucknow"/>
    <s v="Uttar Pradesh"/>
    <s v="2023-11-01"/>
    <s v="26-35"/>
    <n v="852.39499999999998"/>
  </r>
  <r>
    <s v="ORD00430"/>
    <d v="2026-03-05T00:00:00"/>
    <s v="CUST0483"/>
    <x v="2"/>
    <x v="2"/>
    <n v="3"/>
    <n v="0"/>
    <n v="39000"/>
    <n v="-17825.11"/>
    <x v="1"/>
    <s v="Returned"/>
    <n v="13000"/>
    <n v="-45.705410256410246"/>
    <s v="Loss"/>
    <s v="Harini Rao"/>
    <x v="2"/>
    <x v="0"/>
    <s v="Bengaluru"/>
    <s v="Karnataka"/>
    <s v="2025-12-26"/>
    <s v="18-25"/>
    <n v="-5941.7033333333338"/>
  </r>
  <r>
    <s v="ORD00431"/>
    <d v="2025-12-05T00:00:00"/>
    <s v="CUST0589"/>
    <x v="3"/>
    <x v="4"/>
    <n v="6"/>
    <n v="0.05"/>
    <n v="102600"/>
    <n v="18105.73"/>
    <x v="3"/>
    <s v="Delivered"/>
    <n v="17100"/>
    <n v="17.646910331384021"/>
    <s v="Profit"/>
    <s v="Sanjay Patel"/>
    <x v="2"/>
    <x v="2"/>
    <s v="Delhi"/>
    <s v="Delhi"/>
    <s v="2024-12-17"/>
    <s v="36-50"/>
    <n v="3017.621666666666"/>
  </r>
  <r>
    <s v="ORD00432"/>
    <d v="2025-09-13T00:00:00"/>
    <s v="CUST0560"/>
    <x v="1"/>
    <x v="13"/>
    <n v="2"/>
    <n v="0.05"/>
    <n v="7980"/>
    <n v="2131.48"/>
    <x v="1"/>
    <s v="Delivered"/>
    <n v="3990"/>
    <n v="26.71027568922306"/>
    <s v="Profit"/>
    <s v="Rohan Rao"/>
    <x v="0"/>
    <x v="0"/>
    <s v="Bengaluru"/>
    <s v="Karnataka"/>
    <s v="2023-05-29"/>
    <s v="18-25"/>
    <n v="1065.74"/>
  </r>
  <r>
    <s v="ORD00433"/>
    <d v="2026-03-25T00:00:00"/>
    <s v="CUST0387"/>
    <x v="3"/>
    <x v="4"/>
    <n v="2"/>
    <n v="0.2"/>
    <n v="28800"/>
    <n v="2872.09"/>
    <x v="0"/>
    <s v="Shipped"/>
    <n v="14400"/>
    <n v="9.9725347222222229"/>
    <s v="Profit"/>
    <s v="Varun Kulkarni"/>
    <x v="0"/>
    <x v="1"/>
    <s v="Pune"/>
    <s v="Maharashtra"/>
    <s v="2024-04-15"/>
    <s v="18-25"/>
    <n v="1436.0450000000001"/>
  </r>
  <r>
    <s v="ORD00434"/>
    <d v="2026-08-06T00:00:00"/>
    <s v="CUST0131"/>
    <x v="3"/>
    <x v="11"/>
    <n v="4"/>
    <n v="0"/>
    <n v="10000"/>
    <n v="3200"/>
    <x v="0"/>
    <s v="Shipped"/>
    <n v="2500"/>
    <n v="32"/>
    <s v="Profit"/>
    <s v="Harini Das"/>
    <x v="0"/>
    <x v="0"/>
    <s v="Chennai"/>
    <s v="Tamil Nadu"/>
    <s v="2024-10-14"/>
    <s v="26-35"/>
    <n v="800"/>
  </r>
  <r>
    <s v="ORD00435"/>
    <d v="2025-10-18T00:00:00"/>
    <s v="CUST0369"/>
    <x v="2"/>
    <x v="9"/>
    <n v="4"/>
    <n v="0.05"/>
    <n v="34200"/>
    <n v="-13623.62"/>
    <x v="0"/>
    <s v="Returned"/>
    <n v="8550"/>
    <n v="-39.835146198830422"/>
    <s v="Loss"/>
    <s v="Lakshmi Gupta"/>
    <x v="0"/>
    <x v="3"/>
    <s v="Bhubaneswar"/>
    <s v="Odisha"/>
    <s v="2023-10-13"/>
    <s v="36-50"/>
    <n v="-3405.9050000000002"/>
  </r>
  <r>
    <s v="ORD00436"/>
    <d v="2025-10-25T00:00:00"/>
    <s v="CUST0018"/>
    <x v="3"/>
    <x v="11"/>
    <n v="1"/>
    <n v="0.05"/>
    <n v="2375"/>
    <n v="740.55"/>
    <x v="2"/>
    <s v="Delivered"/>
    <n v="2375"/>
    <n v="31.18105263157894"/>
    <s v="Profit"/>
    <s v="Aditya Mehta"/>
    <x v="0"/>
    <x v="0"/>
    <s v="Hyderabad"/>
    <s v="Telangana"/>
    <s v="2025-01-15"/>
    <s v="51+"/>
    <n v="740.55"/>
  </r>
  <r>
    <s v="ORD00437"/>
    <d v="2026-05-10T00:00:00"/>
    <s v="CUST0035"/>
    <x v="0"/>
    <x v="0"/>
    <n v="1"/>
    <n v="0"/>
    <n v="14000"/>
    <n v="-6824.88"/>
    <x v="3"/>
    <s v="Returned"/>
    <n v="14000"/>
    <n v="-48.749142857142857"/>
    <s v="Loss"/>
    <s v="Karthik Verma"/>
    <x v="1"/>
    <x v="3"/>
    <s v="Guwahati"/>
    <s v="Assam"/>
    <s v="2025-01-09"/>
    <s v="51+"/>
    <n v="-6824.88"/>
  </r>
  <r>
    <s v="ORD00438"/>
    <d v="2026-08-29T00:00:00"/>
    <s v="CUST0158"/>
    <x v="3"/>
    <x v="10"/>
    <n v="1"/>
    <n v="0.15"/>
    <n v="46750"/>
    <n v="4614.74"/>
    <x v="3"/>
    <s v="Delivered"/>
    <n v="46750"/>
    <n v="9.8711016042780741"/>
    <s v="Profit"/>
    <s v="Ananya Reddy"/>
    <x v="2"/>
    <x v="0"/>
    <s v="Bengaluru"/>
    <s v="Karnataka"/>
    <s v="2024-04-04"/>
    <s v="18-25"/>
    <n v="4614.74"/>
  </r>
  <r>
    <s v="ORD00439"/>
    <d v="2025-12-08T00:00:00"/>
    <s v="CUST0242"/>
    <x v="1"/>
    <x v="15"/>
    <n v="1"/>
    <n v="0.05"/>
    <n v="2090"/>
    <n v="677.16"/>
    <x v="2"/>
    <s v="Delivered"/>
    <n v="2090"/>
    <n v="32.4"/>
    <s v="Profit"/>
    <s v="Priya Singh"/>
    <x v="0"/>
    <x v="1"/>
    <s v="Pune"/>
    <s v="Maharashtra"/>
    <s v="2024-11-26"/>
    <s v="26-35"/>
    <n v="677.16"/>
  </r>
  <r>
    <s v="ORD00440"/>
    <d v="2026-05-30T00:00:00"/>
    <s v="CUST0090"/>
    <x v="0"/>
    <x v="6"/>
    <n v="2"/>
    <n v="0.15"/>
    <n v="595"/>
    <n v="-211.8"/>
    <x v="2"/>
    <s v="Returned"/>
    <n v="297.5"/>
    <n v="-35.596638655462193"/>
    <s v="Loss"/>
    <s v="Nisha Bose"/>
    <x v="1"/>
    <x v="0"/>
    <s v="Coimbatore"/>
    <s v="Tamil Nadu"/>
    <s v="2024-09-07"/>
    <s v="51+"/>
    <n v="-105.9"/>
  </r>
  <r>
    <s v="ORD00441"/>
    <d v="2025-12-17T00:00:00"/>
    <s v="CUST0113"/>
    <x v="2"/>
    <x v="2"/>
    <n v="1"/>
    <n v="0.05"/>
    <n v="12350"/>
    <n v="2771.37"/>
    <x v="2"/>
    <s v="Shipped"/>
    <n v="12350"/>
    <n v="22.440242914979759"/>
    <s v="Profit"/>
    <s v="Diya Pillai"/>
    <x v="2"/>
    <x v="1"/>
    <s v="Ahmedabad"/>
    <s v="Gujarat"/>
    <s v="2024-08-29"/>
    <s v="26-35"/>
    <n v="2771.37"/>
  </r>
  <r>
    <s v="ORD00442"/>
    <d v="2026-07-24T00:00:00"/>
    <s v="CUST0556"/>
    <x v="3"/>
    <x v="4"/>
    <n v="1"/>
    <n v="0.3"/>
    <n v="12600"/>
    <n v="-552.54"/>
    <x v="1"/>
    <s v="Delivered"/>
    <n v="12600"/>
    <n v="-4.3852380952380949"/>
    <s v="Loss"/>
    <s v="Karthik Chopra"/>
    <x v="0"/>
    <x v="0"/>
    <s v="Coimbatore"/>
    <s v="Tamil Nadu"/>
    <s v="2024-08-09"/>
    <s v="26-35"/>
    <n v="-552.54"/>
  </r>
  <r>
    <s v="ORD00443"/>
    <d v="2025-12-03T00:00:00"/>
    <s v="CUST0166"/>
    <x v="3"/>
    <x v="11"/>
    <n v="1"/>
    <n v="0.05"/>
    <n v="2375"/>
    <n v="725.07"/>
    <x v="2"/>
    <s v="Delivered"/>
    <n v="2375"/>
    <n v="30.529263157894739"/>
    <s v="Profit"/>
    <s v="Arjun Gupta"/>
    <x v="2"/>
    <x v="0"/>
    <s v="Chennai"/>
    <s v="Tamil Nadu"/>
    <s v="2024-10-19"/>
    <s v="18-25"/>
    <n v="725.07"/>
  </r>
  <r>
    <s v="ORD00444"/>
    <d v="2025-10-25T00:00:00"/>
    <s v="CUST0293"/>
    <x v="3"/>
    <x v="10"/>
    <n v="4"/>
    <n v="0.1"/>
    <n v="198000"/>
    <n v="-54115.05"/>
    <x v="0"/>
    <s v="Cancelled"/>
    <n v="49500"/>
    <n v="-27.330833333333342"/>
    <s v="Loss"/>
    <s v="Ishaan Singh"/>
    <x v="2"/>
    <x v="2"/>
    <s v="Delhi"/>
    <s v="Delhi"/>
    <s v="2023-03-09"/>
    <s v="26-35"/>
    <n v="-13528.762500000001"/>
  </r>
  <r>
    <s v="ORD00445"/>
    <d v="2025-07-27T00:00:00"/>
    <s v="CUST0199"/>
    <x v="2"/>
    <x v="5"/>
    <n v="2"/>
    <n v="0.1"/>
    <n v="19800"/>
    <n v="3949.64"/>
    <x v="0"/>
    <s v="Delivered"/>
    <n v="9900"/>
    <n v="19.947676767676771"/>
    <s v="Profit"/>
    <s v="Shreya Pillai"/>
    <x v="0"/>
    <x v="2"/>
    <s v="Jaipur"/>
    <s v="Rajasthan"/>
    <s v="2023-07-08"/>
    <s v="26-35"/>
    <n v="1974.82"/>
  </r>
  <r>
    <s v="ORD00446"/>
    <d v="2025-12-22T00:00:00"/>
    <s v="CUST0244"/>
    <x v="3"/>
    <x v="4"/>
    <n v="6"/>
    <n v="0"/>
    <n v="108000"/>
    <n v="21000"/>
    <x v="1"/>
    <s v="Shipped"/>
    <n v="18000"/>
    <n v="19.44444444444445"/>
    <s v="Profit"/>
    <s v="Ishaan Khan"/>
    <x v="0"/>
    <x v="0"/>
    <s v="Bengaluru"/>
    <s v="Karnataka"/>
    <s v="2024-01-08"/>
    <s v="36-50"/>
    <n v="3500"/>
  </r>
  <r>
    <s v="ORD00447"/>
    <d v="2026-08-07T00:00:00"/>
    <s v="CUST0479"/>
    <x v="0"/>
    <x v="0"/>
    <n v="5"/>
    <n v="0.05"/>
    <n v="66500"/>
    <n v="12261.38"/>
    <x v="0"/>
    <s v="Delivered"/>
    <n v="13300"/>
    <n v="18.438165413533831"/>
    <s v="Profit"/>
    <s v="Rohan Sharma"/>
    <x v="0"/>
    <x v="3"/>
    <s v="Guwahati"/>
    <s v="Assam"/>
    <s v="2023-04-27"/>
    <s v="36-50"/>
    <n v="2452.2759999999998"/>
  </r>
  <r>
    <s v="ORD00448"/>
    <d v="2025-12-26T00:00:00"/>
    <s v="CUST0300"/>
    <x v="0"/>
    <x v="7"/>
    <n v="5"/>
    <n v="0"/>
    <n v="4500"/>
    <n v="1400"/>
    <x v="3"/>
    <s v="Delivered"/>
    <n v="900"/>
    <n v="31.111111111111111"/>
    <s v="Profit"/>
    <s v="Ananya Patel"/>
    <x v="0"/>
    <x v="2"/>
    <s v="Chandigarh"/>
    <s v="Chandigarh"/>
    <s v="2025-08-18"/>
    <s v="18-25"/>
    <n v="280"/>
  </r>
  <r>
    <s v="ORD00449"/>
    <d v="2026-06-22T00:00:00"/>
    <s v="CUST0476"/>
    <x v="1"/>
    <x v="15"/>
    <n v="4"/>
    <n v="0.2"/>
    <n v="7040"/>
    <n v="1868.4"/>
    <x v="0"/>
    <s v="Delivered"/>
    <n v="1760"/>
    <n v="26.53977272727273"/>
    <s v="Profit"/>
    <s v="Ishaan Gupta"/>
    <x v="1"/>
    <x v="0"/>
    <s v="Bengaluru"/>
    <s v="Karnataka"/>
    <s v="2025-07-01"/>
    <s v="18-25"/>
    <n v="467.1"/>
  </r>
  <r>
    <s v="ORD00450"/>
    <d v="2026-08-27T00:00:00"/>
    <s v="CUST0442"/>
    <x v="0"/>
    <x v="7"/>
    <n v="2"/>
    <n v="0"/>
    <n v="1800"/>
    <n v="75.349999999999994"/>
    <x v="1"/>
    <s v="Cancelled"/>
    <n v="900"/>
    <n v="4.1861111111111109"/>
    <s v="Profit"/>
    <s v="Akash Kulkarni"/>
    <x v="0"/>
    <x v="0"/>
    <s v="Bengaluru"/>
    <s v="Karnataka"/>
    <s v="2023-09-01"/>
    <s v="36-50"/>
    <n v="37.674999999999997"/>
  </r>
  <r>
    <s v="ORD00451"/>
    <d v="2026-03-15T00:00:00"/>
    <s v="CUST0180"/>
    <x v="0"/>
    <x v="7"/>
    <n v="1"/>
    <n v="0.15"/>
    <n v="765"/>
    <n v="-63.32"/>
    <x v="1"/>
    <s v="Cancelled"/>
    <n v="765"/>
    <n v="-8.2771241830065367"/>
    <s v="Loss"/>
    <s v="Meera Menon"/>
    <x v="0"/>
    <x v="1"/>
    <s v="Ahmedabad"/>
    <s v="Gujarat"/>
    <s v="2025-07-11"/>
    <s v="36-50"/>
    <n v="-63.32"/>
  </r>
  <r>
    <s v="ORD00452"/>
    <d v="2026-08-21T00:00:00"/>
    <s v="CUST0341"/>
    <x v="0"/>
    <x v="6"/>
    <n v="2"/>
    <n v="0.1"/>
    <n v="630"/>
    <n v="-244.17"/>
    <x v="2"/>
    <s v="Returned"/>
    <n v="315"/>
    <n v="-38.75714285714286"/>
    <s v="Loss"/>
    <s v="Arjun Mehta"/>
    <x v="1"/>
    <x v="0"/>
    <s v="Coimbatore"/>
    <s v="Tamil Nadu"/>
    <s v="2023-11-21"/>
    <s v="26-35"/>
    <n v="-122.08499999999999"/>
  </r>
  <r>
    <s v="ORD00453"/>
    <d v="2025-11-29T00:00:00"/>
    <s v="CUST0103"/>
    <x v="2"/>
    <x v="2"/>
    <n v="1"/>
    <n v="0.05"/>
    <n v="12350"/>
    <n v="-2086.61"/>
    <x v="1"/>
    <s v="Returned"/>
    <n v="12350"/>
    <n v="-16.895627530364369"/>
    <s v="Loss"/>
    <s v="Rohan Rao"/>
    <x v="0"/>
    <x v="0"/>
    <s v="Bengaluru"/>
    <s v="Karnataka"/>
    <s v="2023-11-09"/>
    <s v="36-50"/>
    <n v="-2086.61"/>
  </r>
  <r>
    <s v="ORD00454"/>
    <d v="2026-07-10T00:00:00"/>
    <s v="CUST0165"/>
    <x v="2"/>
    <x v="9"/>
    <n v="3"/>
    <n v="0.1"/>
    <n v="24300"/>
    <n v="5489.87"/>
    <x v="3"/>
    <s v="Shipped"/>
    <n v="8100"/>
    <n v="22.59205761316872"/>
    <s v="Profit"/>
    <s v="Diya Mishra"/>
    <x v="0"/>
    <x v="0"/>
    <s v="Hyderabad"/>
    <s v="Telangana"/>
    <s v="2025-04-25"/>
    <s v="51+"/>
    <n v="1829.9566666666669"/>
  </r>
  <r>
    <s v="ORD00455"/>
    <d v="2026-05-22T00:00:00"/>
    <s v="CUST0079"/>
    <x v="3"/>
    <x v="11"/>
    <n v="6"/>
    <n v="0.05"/>
    <n v="14250"/>
    <n v="4217.91"/>
    <x v="2"/>
    <s v="Delivered"/>
    <n v="2375"/>
    <n v="29.599368421052631"/>
    <s v="Profit"/>
    <s v="Akash Mehta"/>
    <x v="0"/>
    <x v="0"/>
    <s v="Chennai"/>
    <s v="Tamil Nadu"/>
    <s v="2024-07-12"/>
    <s v="51+"/>
    <n v="702.98500000000001"/>
  </r>
  <r>
    <s v="ORD00456"/>
    <d v="2026-07-24T00:00:00"/>
    <s v="CUST0204"/>
    <x v="3"/>
    <x v="4"/>
    <n v="3"/>
    <n v="0"/>
    <n v="54000"/>
    <n v="10500"/>
    <x v="3"/>
    <s v="Delivered"/>
    <n v="18000"/>
    <n v="19.44444444444445"/>
    <s v="Profit"/>
    <s v="Karthik Mehta"/>
    <x v="0"/>
    <x v="1"/>
    <s v="Surat"/>
    <s v="Gujarat"/>
    <s v="2025-07-25"/>
    <s v="26-35"/>
    <n v="3500"/>
  </r>
  <r>
    <s v="ORD00457"/>
    <d v="2026-05-05T00:00:00"/>
    <s v="CUST0518"/>
    <x v="2"/>
    <x v="2"/>
    <n v="1"/>
    <n v="0.05"/>
    <n v="12350"/>
    <n v="-3530.41"/>
    <x v="3"/>
    <s v="Returned"/>
    <n v="12350"/>
    <n v="-28.58631578947368"/>
    <s v="Loss"/>
    <s v="Nisha Patel"/>
    <x v="2"/>
    <x v="2"/>
    <s v="Jaipur"/>
    <s v="Rajasthan"/>
    <s v="2025-04-19"/>
    <s v="36-50"/>
    <n v="-3530.41"/>
  </r>
  <r>
    <s v="ORD00458"/>
    <d v="2025-11-17T00:00:00"/>
    <s v="CUST0304"/>
    <x v="2"/>
    <x v="5"/>
    <n v="2"/>
    <n v="0.2"/>
    <n v="17600"/>
    <n v="2501.79"/>
    <x v="3"/>
    <s v="Delivered"/>
    <n v="8800"/>
    <n v="14.214715909090909"/>
    <s v="Profit"/>
    <s v="Ishaan Khan"/>
    <x v="2"/>
    <x v="0"/>
    <s v="Bengaluru"/>
    <s v="Karnataka"/>
    <s v="2024-12-10"/>
    <s v="26-35"/>
    <n v="1250.895"/>
  </r>
  <r>
    <s v="ORD00459"/>
    <d v="2025-09-02T00:00:00"/>
    <s v="CUST0443"/>
    <x v="3"/>
    <x v="8"/>
    <n v="3"/>
    <n v="0.1"/>
    <n v="12150"/>
    <n v="-5352.05"/>
    <x v="1"/>
    <s v="Cancelled"/>
    <n v="4050"/>
    <n v="-44.049794238683127"/>
    <s v="Loss"/>
    <s v="Akash Sharma"/>
    <x v="1"/>
    <x v="0"/>
    <s v="Coimbatore"/>
    <s v="Tamil Nadu"/>
    <s v="2023-10-10"/>
    <s v="51+"/>
    <n v="-1784.0166666666671"/>
  </r>
  <r>
    <s v="ORD00460"/>
    <d v="2025-09-08T00:00:00"/>
    <s v="CUST0329"/>
    <x v="3"/>
    <x v="4"/>
    <n v="10"/>
    <n v="0.2"/>
    <n v="144000"/>
    <n v="9693.25"/>
    <x v="1"/>
    <s v="Delivered"/>
    <n v="14400"/>
    <n v="6.7314236111111114"/>
    <s v="Profit"/>
    <s v="Shreya Pillai"/>
    <x v="0"/>
    <x v="3"/>
    <s v="Bhubaneswar"/>
    <s v="Odisha"/>
    <s v="2024-08-08"/>
    <s v="26-35"/>
    <n v="969.32500000000005"/>
  </r>
  <r>
    <s v="ORD00461"/>
    <d v="2026-02-28T00:00:00"/>
    <s v="CUST0503"/>
    <x v="0"/>
    <x v="14"/>
    <n v="2"/>
    <n v="0.15"/>
    <n v="765"/>
    <n v="132.97999999999999"/>
    <x v="0"/>
    <s v="Delivered"/>
    <n v="382.5"/>
    <n v="17.383006535947711"/>
    <s v="Profit"/>
    <s v="Manoj Nair"/>
    <x v="2"/>
    <x v="0"/>
    <s v="Hyderabad"/>
    <s v="Telangana"/>
    <s v="2025-08-16"/>
    <s v="51+"/>
    <n v="66.489999999999995"/>
  </r>
  <r>
    <s v="ORD00462"/>
    <d v="2026-07-28T00:00:00"/>
    <s v="CUST0056"/>
    <x v="1"/>
    <x v="15"/>
    <n v="2"/>
    <n v="0"/>
    <n v="4400"/>
    <n v="1500"/>
    <x v="2"/>
    <s v="Delivered"/>
    <n v="2200"/>
    <n v="34.090909090909093"/>
    <s v="Profit"/>
    <s v="Vikram Pillai"/>
    <x v="0"/>
    <x v="3"/>
    <s v="Patna"/>
    <s v="Bihar"/>
    <s v="2024-11-12"/>
    <s v="18-25"/>
    <n v="750"/>
  </r>
  <r>
    <s v="ORD00463"/>
    <d v="2025-10-22T00:00:00"/>
    <s v="CUST0431"/>
    <x v="1"/>
    <x v="15"/>
    <n v="3"/>
    <n v="0"/>
    <n v="6600"/>
    <n v="2250"/>
    <x v="3"/>
    <s v="Delivered"/>
    <n v="2200"/>
    <n v="34.090909090909093"/>
    <s v="Profit"/>
    <s v="Manoj Naidu"/>
    <x v="1"/>
    <x v="0"/>
    <s v="Bengaluru"/>
    <s v="Karnataka"/>
    <s v="2023-01-16"/>
    <s v="36-50"/>
    <n v="750"/>
  </r>
  <r>
    <s v="ORD00464"/>
    <d v="2026-01-07T00:00:00"/>
    <s v="CUST0490"/>
    <x v="2"/>
    <x v="2"/>
    <n v="2"/>
    <n v="0"/>
    <n v="26000"/>
    <n v="6400"/>
    <x v="1"/>
    <s v="Delivered"/>
    <n v="13000"/>
    <n v="24.61538461538462"/>
    <s v="Profit"/>
    <s v="Nisha Khan"/>
    <x v="0"/>
    <x v="3"/>
    <s v="Bhubaneswar"/>
    <s v="Odisha"/>
    <s v="2025-08-22"/>
    <s v="51+"/>
    <n v="3200"/>
  </r>
  <r>
    <s v="ORD00465"/>
    <d v="2026-06-04T00:00:00"/>
    <s v="CUST0161"/>
    <x v="3"/>
    <x v="4"/>
    <n v="1"/>
    <n v="0"/>
    <n v="18000"/>
    <n v="3500"/>
    <x v="1"/>
    <s v="Delivered"/>
    <n v="18000"/>
    <n v="19.44444444444445"/>
    <s v="Profit"/>
    <s v="Rohan Reddy"/>
    <x v="2"/>
    <x v="0"/>
    <s v="Bengaluru"/>
    <s v="Karnataka"/>
    <s v="2025-07-10"/>
    <s v="51+"/>
    <n v="3500"/>
  </r>
  <r>
    <s v="ORD00466"/>
    <d v="2025-10-07T00:00:00"/>
    <s v="CUST0298"/>
    <x v="3"/>
    <x v="10"/>
    <n v="1"/>
    <n v="0.1"/>
    <n v="49500"/>
    <n v="5611.4"/>
    <x v="0"/>
    <s v="Delivered"/>
    <n v="49500"/>
    <n v="11.336161616161609"/>
    <s v="Profit"/>
    <s v="Diya Joshi"/>
    <x v="0"/>
    <x v="0"/>
    <s v="Chennai"/>
    <s v="Tamil Nadu"/>
    <s v="2025-01-10"/>
    <s v="18-25"/>
    <n v="5611.4"/>
  </r>
  <r>
    <s v="ORD00467"/>
    <d v="2026-03-14T00:00:00"/>
    <s v="CUST0526"/>
    <x v="3"/>
    <x v="10"/>
    <n v="1"/>
    <n v="0.1"/>
    <n v="49500"/>
    <n v="5016.67"/>
    <x v="3"/>
    <s v="Delivered"/>
    <n v="49500"/>
    <n v="10.13468686868687"/>
    <s v="Profit"/>
    <s v="Meera Mehta"/>
    <x v="0"/>
    <x v="1"/>
    <s v="Pune"/>
    <s v="Maharashtra"/>
    <s v="2023-10-08"/>
    <s v="18-25"/>
    <n v="5016.67"/>
  </r>
  <r>
    <s v="ORD00468"/>
    <d v="2026-07-12T00:00:00"/>
    <s v="CUST0447"/>
    <x v="2"/>
    <x v="2"/>
    <n v="5"/>
    <n v="0"/>
    <n v="65000"/>
    <n v="16000"/>
    <x v="3"/>
    <s v="Shipped"/>
    <n v="13000"/>
    <n v="24.61538461538462"/>
    <s v="Profit"/>
    <s v="Aarav Iyer"/>
    <x v="2"/>
    <x v="0"/>
    <s v="Hyderabad"/>
    <s v="Telangana"/>
    <s v="2024-09-12"/>
    <s v="36-50"/>
    <n v="3200"/>
  </r>
  <r>
    <s v="ORD00469"/>
    <d v="2026-08-10T00:00:00"/>
    <s v="CUST0305"/>
    <x v="0"/>
    <x v="0"/>
    <n v="5"/>
    <n v="0.1"/>
    <n v="63000"/>
    <n v="10318.73"/>
    <x v="2"/>
    <s v="Delivered"/>
    <n v="12600"/>
    <n v="16.378936507936501"/>
    <s v="Profit"/>
    <s v="Nisha Mishra"/>
    <x v="0"/>
    <x v="2"/>
    <s v="Jaipur"/>
    <s v="Rajasthan"/>
    <s v="2024-11-15"/>
    <s v="26-35"/>
    <n v="2063.7460000000001"/>
  </r>
  <r>
    <s v="ORD00470"/>
    <d v="2026-01-28T00:00:00"/>
    <s v="CUST0476"/>
    <x v="0"/>
    <x v="14"/>
    <n v="5"/>
    <n v="0.1"/>
    <n v="2025"/>
    <n v="419.86"/>
    <x v="2"/>
    <s v="Delivered"/>
    <n v="405"/>
    <n v="20.733827160493831"/>
    <s v="Profit"/>
    <s v="Ishaan Gupta"/>
    <x v="1"/>
    <x v="0"/>
    <s v="Bengaluru"/>
    <s v="Karnataka"/>
    <s v="2025-07-01"/>
    <s v="18-25"/>
    <n v="83.972000000000008"/>
  </r>
  <r>
    <s v="ORD00471"/>
    <d v="2025-12-17T00:00:00"/>
    <s v="CUST0406"/>
    <x v="2"/>
    <x v="2"/>
    <n v="1"/>
    <n v="0.1"/>
    <n v="11700"/>
    <n v="2344.5100000000002"/>
    <x v="2"/>
    <s v="Returned"/>
    <n v="11700"/>
    <n v="20.03854700854701"/>
    <s v="Profit"/>
    <s v="Ananya Naidu"/>
    <x v="0"/>
    <x v="3"/>
    <s v="Patna"/>
    <s v="Bihar"/>
    <s v="2025-10-21"/>
    <s v="26-35"/>
    <n v="2344.5100000000002"/>
  </r>
  <r>
    <s v="ORD00472"/>
    <d v="2026-06-01T00:00:00"/>
    <s v="CUST0208"/>
    <x v="1"/>
    <x v="15"/>
    <n v="4"/>
    <n v="0.1"/>
    <n v="7920"/>
    <n v="2574.15"/>
    <x v="1"/>
    <s v="Delivered"/>
    <n v="1980"/>
    <n v="32.501893939393938"/>
    <s v="Profit"/>
    <s v="Sneha Pillai"/>
    <x v="0"/>
    <x v="0"/>
    <s v="Hyderabad"/>
    <s v="Telangana"/>
    <s v="2025-02-01"/>
    <s v="26-35"/>
    <n v="643.53750000000002"/>
  </r>
  <r>
    <s v="ORD00473"/>
    <d v="2025-12-01T00:00:00"/>
    <s v="CUST0330"/>
    <x v="0"/>
    <x v="7"/>
    <n v="1"/>
    <n v="0"/>
    <n v="900"/>
    <n v="280"/>
    <x v="0"/>
    <s v="Delivered"/>
    <n v="900"/>
    <n v="31.111111111111111"/>
    <s v="Profit"/>
    <s v="Pooja Reddy"/>
    <x v="2"/>
    <x v="2"/>
    <s v="Delhi"/>
    <s v="Delhi"/>
    <s v="2024-02-24"/>
    <s v="18-25"/>
    <n v="280"/>
  </r>
  <r>
    <s v="ORD00474"/>
    <d v="2026-06-27T00:00:00"/>
    <s v="CUST0315"/>
    <x v="1"/>
    <x v="13"/>
    <n v="10"/>
    <n v="0.05"/>
    <n v="39900"/>
    <n v="10531.78"/>
    <x v="1"/>
    <s v="Delivered"/>
    <n v="3990"/>
    <n v="26.395438596491228"/>
    <s v="Profit"/>
    <s v="Harini Verma"/>
    <x v="0"/>
    <x v="0"/>
    <s v="Coimbatore"/>
    <s v="Tamil Nadu"/>
    <s v="2024-10-22"/>
    <s v="18-25"/>
    <n v="1053.1780000000001"/>
  </r>
  <r>
    <s v="ORD00475"/>
    <d v="2026-03-19T00:00:00"/>
    <s v="CUST0131"/>
    <x v="3"/>
    <x v="4"/>
    <n v="3"/>
    <n v="0.05"/>
    <n v="51300"/>
    <n v="8936.11"/>
    <x v="3"/>
    <s v="Delivered"/>
    <n v="17100"/>
    <n v="17.41931773879142"/>
    <s v="Profit"/>
    <s v="Harini Das"/>
    <x v="0"/>
    <x v="0"/>
    <s v="Chennai"/>
    <s v="Tamil Nadu"/>
    <s v="2024-10-14"/>
    <s v="26-35"/>
    <n v="2978.7033333333329"/>
  </r>
  <r>
    <s v="ORD00476"/>
    <d v="2026-04-03T00:00:00"/>
    <s v="CUST0227"/>
    <x v="2"/>
    <x v="2"/>
    <n v="5"/>
    <n v="0.05"/>
    <n v="61750"/>
    <n v="13423.6"/>
    <x v="1"/>
    <s v="Delivered"/>
    <n v="12350"/>
    <n v="21.738623481781381"/>
    <s v="Profit"/>
    <s v="Harini Menon"/>
    <x v="0"/>
    <x v="2"/>
    <s v="Chandigarh"/>
    <s v="Chandigarh"/>
    <s v="2024-10-13"/>
    <s v="18-25"/>
    <n v="2684.72"/>
  </r>
  <r>
    <s v="ORD00477"/>
    <d v="2025-11-22T00:00:00"/>
    <s v="CUST0203"/>
    <x v="2"/>
    <x v="9"/>
    <n v="1"/>
    <n v="0.1"/>
    <n v="8100"/>
    <n v="1878.32"/>
    <x v="1"/>
    <s v="Delivered"/>
    <n v="8100"/>
    <n v="23.189135802469131"/>
    <s v="Profit"/>
    <s v="Arjun Gupta"/>
    <x v="2"/>
    <x v="0"/>
    <s v="Chennai"/>
    <s v="Tamil Nadu"/>
    <s v="2025-03-25"/>
    <s v="36-50"/>
    <n v="1878.32"/>
  </r>
  <r>
    <s v="ORD00478"/>
    <d v="2026-02-04T00:00:00"/>
    <s v="CUST0410"/>
    <x v="0"/>
    <x v="14"/>
    <n v="4"/>
    <n v="0"/>
    <n v="1800"/>
    <n v="440"/>
    <x v="3"/>
    <s v="Shipped"/>
    <n v="450"/>
    <n v="24.444444444444439"/>
    <s v="Profit"/>
    <s v="Pooja Iyer"/>
    <x v="1"/>
    <x v="0"/>
    <s v="Bengaluru"/>
    <s v="Karnataka"/>
    <s v="2025-07-08"/>
    <s v="18-25"/>
    <n v="110"/>
  </r>
  <r>
    <s v="ORD00479"/>
    <d v="2025-08-26T00:00:00"/>
    <s v="CUST0538"/>
    <x v="3"/>
    <x v="11"/>
    <n v="6"/>
    <n v="0.05"/>
    <n v="14250"/>
    <n v="4256.16"/>
    <x v="2"/>
    <s v="Delivered"/>
    <n v="2375"/>
    <n v="29.867789473684208"/>
    <s v="Profit"/>
    <s v="Sanjay Chopra"/>
    <x v="1"/>
    <x v="0"/>
    <s v="Coimbatore"/>
    <s v="Tamil Nadu"/>
    <s v="2024-01-09"/>
    <s v="36-50"/>
    <n v="709.36"/>
  </r>
  <r>
    <s v="ORD00480"/>
    <d v="2026-06-07T00:00:00"/>
    <s v="CUST0498"/>
    <x v="1"/>
    <x v="13"/>
    <n v="1"/>
    <n v="0.2"/>
    <n v="3360"/>
    <n v="788.8"/>
    <x v="2"/>
    <s v="Delivered"/>
    <n v="3360"/>
    <n v="23.476190476190471"/>
    <s v="Profit"/>
    <s v="Lakshmi Menon"/>
    <x v="1"/>
    <x v="2"/>
    <s v="Jaipur"/>
    <s v="Rajasthan"/>
    <s v="2023-06-04"/>
    <s v="26-35"/>
    <n v="788.8"/>
  </r>
  <r>
    <s v="ORD00481"/>
    <d v="2026-01-16T00:00:00"/>
    <s v="CUST0393"/>
    <x v="0"/>
    <x v="6"/>
    <n v="2"/>
    <n v="0"/>
    <n v="700"/>
    <n v="240"/>
    <x v="0"/>
    <s v="Delivered"/>
    <n v="350"/>
    <n v="34.285714285714278"/>
    <s v="Profit"/>
    <s v="Vikram Patel"/>
    <x v="1"/>
    <x v="1"/>
    <s v="Mumbai"/>
    <s v="Maharashtra"/>
    <s v="2024-07-03"/>
    <s v="36-50"/>
    <n v="120"/>
  </r>
  <r>
    <s v="ORD00482"/>
    <d v="2026-07-08T00:00:00"/>
    <s v="CUST0052"/>
    <x v="3"/>
    <x v="4"/>
    <n v="1"/>
    <n v="0.1"/>
    <n v="16200"/>
    <n v="-8142.82"/>
    <x v="3"/>
    <s v="Returned"/>
    <n v="16200"/>
    <n v="-50.264320987654322"/>
    <s v="Loss"/>
    <s v="Arjun Verma"/>
    <x v="2"/>
    <x v="0"/>
    <s v="Lucknow"/>
    <s v="Uttar Pradesh"/>
    <s v="2023-11-01"/>
    <s v="26-35"/>
    <n v="-8142.82"/>
  </r>
  <r>
    <s v="ORD00483"/>
    <d v="2025-08-16T00:00:00"/>
    <s v="CUST0158"/>
    <x v="2"/>
    <x v="5"/>
    <n v="4"/>
    <n v="0"/>
    <n v="44000"/>
    <n v="10400"/>
    <x v="2"/>
    <s v="Delivered"/>
    <n v="11000"/>
    <n v="23.63636363636364"/>
    <s v="Profit"/>
    <s v="Ananya Reddy"/>
    <x v="2"/>
    <x v="0"/>
    <s v="Bengaluru"/>
    <s v="Karnataka"/>
    <s v="2024-04-04"/>
    <s v="18-25"/>
    <n v="2600"/>
  </r>
  <r>
    <s v="ORD00484"/>
    <d v="2025-07-20T00:00:00"/>
    <s v="CUST0075"/>
    <x v="3"/>
    <x v="10"/>
    <n v="3"/>
    <n v="0.05"/>
    <n v="156750"/>
    <n v="21231.32"/>
    <x v="2"/>
    <s v="Delivered"/>
    <n v="52250"/>
    <n v="13.54470175438597"/>
    <s v="Profit"/>
    <s v="Karthik Sharma"/>
    <x v="0"/>
    <x v="0"/>
    <s v="Bengaluru"/>
    <s v="Karnataka"/>
    <s v="2025-09-08"/>
    <s v="36-50"/>
    <n v="7077.1066666666666"/>
  </r>
  <r>
    <s v="ORD00485"/>
    <d v="2026-06-23T00:00:00"/>
    <s v="CUST0208"/>
    <x v="3"/>
    <x v="10"/>
    <n v="15"/>
    <n v="0.05"/>
    <n v="783750"/>
    <n v="110045.41"/>
    <x v="3"/>
    <s v="Delivered"/>
    <n v="52250"/>
    <n v="14.040881658692189"/>
    <s v="Profit"/>
    <s v="Sneha Pillai"/>
    <x v="0"/>
    <x v="0"/>
    <s v="Hyderabad"/>
    <s v="Telangana"/>
    <s v="2025-02-01"/>
    <s v="26-35"/>
    <n v="7336.3606666666656"/>
  </r>
  <r>
    <s v="ORD00486"/>
    <d v="2025-08-21T00:00:00"/>
    <s v="CUST0516"/>
    <x v="2"/>
    <x v="3"/>
    <n v="2"/>
    <n v="0.05"/>
    <n v="28500"/>
    <n v="6031.46"/>
    <x v="1"/>
    <s v="Delivered"/>
    <n v="14250"/>
    <n v="21.163017543859649"/>
    <s v="Profit"/>
    <s v="Rahul Mishra"/>
    <x v="1"/>
    <x v="0"/>
    <s v="Hyderabad"/>
    <s v="Telangana"/>
    <s v="2024-01-31"/>
    <s v="26-35"/>
    <n v="3015.73"/>
  </r>
  <r>
    <s v="ORD00487"/>
    <d v="2026-04-25T00:00:00"/>
    <s v="CUST0556"/>
    <x v="1"/>
    <x v="1"/>
    <n v="5"/>
    <n v="0.15"/>
    <n v="7650"/>
    <n v="2103.88"/>
    <x v="0"/>
    <s v="Delivered"/>
    <n v="1530"/>
    <n v="27.501699346405228"/>
    <s v="Profit"/>
    <s v="Karthik Chopra"/>
    <x v="0"/>
    <x v="0"/>
    <s v="Coimbatore"/>
    <s v="Tamil Nadu"/>
    <s v="2024-08-09"/>
    <s v="26-35"/>
    <n v="420.77600000000001"/>
  </r>
  <r>
    <s v="ORD00488"/>
    <d v="2026-08-20T00:00:00"/>
    <s v="CUST0335"/>
    <x v="3"/>
    <x v="10"/>
    <n v="4"/>
    <n v="0"/>
    <n v="220000"/>
    <n v="36000"/>
    <x v="1"/>
    <s v="Delivered"/>
    <n v="55000"/>
    <n v="16.36363636363636"/>
    <s v="Profit"/>
    <s v="Diya Pillai"/>
    <x v="0"/>
    <x v="0"/>
    <s v="Bengaluru"/>
    <s v="Karnataka"/>
    <s v="2025-05-24"/>
    <s v="36-50"/>
    <n v="9000"/>
  </r>
  <r>
    <s v="ORD00489"/>
    <d v="2026-02-25T00:00:00"/>
    <s v="CUST0074"/>
    <x v="3"/>
    <x v="8"/>
    <n v="3"/>
    <n v="0"/>
    <n v="13500"/>
    <n v="4500"/>
    <x v="0"/>
    <s v="Shipped"/>
    <n v="4500"/>
    <n v="33.333333333333329"/>
    <s v="Profit"/>
    <s v="Sanjay Rao"/>
    <x v="2"/>
    <x v="3"/>
    <s v="Kolkata"/>
    <s v="West Bengal"/>
    <s v="2025-12-13"/>
    <s v="26-35"/>
    <n v="1500"/>
  </r>
  <r>
    <s v="ORD00490"/>
    <d v="2026-02-07T00:00:00"/>
    <s v="CUST0106"/>
    <x v="1"/>
    <x v="13"/>
    <n v="3"/>
    <n v="0.1"/>
    <n v="11340"/>
    <n v="2782.79"/>
    <x v="3"/>
    <s v="Delivered"/>
    <n v="3780"/>
    <n v="24.53959435626102"/>
    <s v="Profit"/>
    <s v="Kavya Nair"/>
    <x v="1"/>
    <x v="0"/>
    <s v="Coimbatore"/>
    <s v="Tamil Nadu"/>
    <s v="2025-07-06"/>
    <s v="36-50"/>
    <n v="927.59666666666669"/>
  </r>
  <r>
    <s v="ORD00491"/>
    <d v="2025-07-29T00:00:00"/>
    <s v="CUST0025"/>
    <x v="3"/>
    <x v="8"/>
    <n v="1"/>
    <n v="0.05"/>
    <n v="4275"/>
    <n v="-1020.33"/>
    <x v="0"/>
    <s v="Cancelled"/>
    <n v="4275"/>
    <n v="-23.867368421052628"/>
    <s v="Loss"/>
    <s v="Aditya Rao"/>
    <x v="0"/>
    <x v="2"/>
    <s v="Chandigarh"/>
    <s v="Chandigarh"/>
    <s v="2025-12-16"/>
    <s v="26-35"/>
    <n v="-1020.33"/>
  </r>
  <r>
    <s v="ORD00492"/>
    <d v="2025-09-08T00:00:00"/>
    <s v="CUST0150"/>
    <x v="3"/>
    <x v="10"/>
    <n v="2"/>
    <n v="0.15"/>
    <n v="93500"/>
    <n v="10020.549999999999"/>
    <x v="0"/>
    <s v="Delivered"/>
    <n v="46750"/>
    <n v="10.717165775401069"/>
    <s v="Profit"/>
    <s v="Varun Nair"/>
    <x v="2"/>
    <x v="2"/>
    <s v="Lucknow"/>
    <s v="Uttar Pradesh"/>
    <s v="2024-10-24"/>
    <s v="36-50"/>
    <n v="5010.2749999999996"/>
  </r>
  <r>
    <s v="ORD00493"/>
    <d v="2025-12-19T00:00:00"/>
    <s v="CUST0081"/>
    <x v="0"/>
    <x v="6"/>
    <n v="2"/>
    <n v="0.3"/>
    <n v="490"/>
    <n v="79.349999999999994"/>
    <x v="1"/>
    <s v="Delivered"/>
    <n v="245"/>
    <n v="16.19387755102041"/>
    <s v="Profit"/>
    <s v="Ananya Rao"/>
    <x v="2"/>
    <x v="0"/>
    <s v="Chennai"/>
    <s v="Tamil Nadu"/>
    <s v="2023-10-09"/>
    <s v="36-50"/>
    <n v="39.674999999999997"/>
  </r>
  <r>
    <s v="ORD00494"/>
    <d v="2026-01-31T00:00:00"/>
    <s v="CUST0560"/>
    <x v="2"/>
    <x v="3"/>
    <n v="3"/>
    <n v="0.05"/>
    <n v="42750"/>
    <n v="9184.94"/>
    <x v="2"/>
    <s v="Delivered"/>
    <n v="14250"/>
    <n v="21.485239766081872"/>
    <s v="Profit"/>
    <s v="Rohan Rao"/>
    <x v="0"/>
    <x v="0"/>
    <s v="Bengaluru"/>
    <s v="Karnataka"/>
    <s v="2023-05-29"/>
    <s v="18-25"/>
    <n v="3061.646666666667"/>
  </r>
  <r>
    <s v="ORD00495"/>
    <d v="2026-05-15T00:00:00"/>
    <s v="CUST0502"/>
    <x v="1"/>
    <x v="1"/>
    <n v="2"/>
    <n v="0"/>
    <n v="3600"/>
    <n v="1300"/>
    <x v="1"/>
    <s v="Delivered"/>
    <n v="1800"/>
    <n v="36.111111111111107"/>
    <s v="Profit"/>
    <s v="Kavya Nair"/>
    <x v="2"/>
    <x v="1"/>
    <s v="Pune"/>
    <s v="Maharashtra"/>
    <s v="2024-02-11"/>
    <s v="51+"/>
    <n v="650"/>
  </r>
  <r>
    <s v="ORD00496"/>
    <d v="2026-02-09T00:00:00"/>
    <s v="CUST0100"/>
    <x v="0"/>
    <x v="14"/>
    <n v="3"/>
    <n v="0.05"/>
    <n v="1282.5"/>
    <n v="287.51"/>
    <x v="0"/>
    <s v="Delivered"/>
    <n v="427.5"/>
    <n v="22.417933723196882"/>
    <s v="Profit"/>
    <s v="Priya Singh"/>
    <x v="1"/>
    <x v="0"/>
    <s v="Chennai"/>
    <s v="Tamil Nadu"/>
    <s v="2023-03-14"/>
    <s v="26-35"/>
    <n v="95.836666666666659"/>
  </r>
  <r>
    <s v="ORD00497"/>
    <d v="2026-01-09T00:00:00"/>
    <s v="CUST0170"/>
    <x v="0"/>
    <x v="0"/>
    <n v="3"/>
    <n v="0.05"/>
    <n v="39900"/>
    <n v="7438.88"/>
    <x v="1"/>
    <s v="Delivered"/>
    <n v="13300"/>
    <n v="18.643809523809519"/>
    <s v="Profit"/>
    <s v="Meera Iyer"/>
    <x v="2"/>
    <x v="0"/>
    <s v="Hyderabad"/>
    <s v="Telangana"/>
    <s v="2025-04-02"/>
    <s v="36-50"/>
    <n v="2479.626666666667"/>
  </r>
  <r>
    <s v="ORD00498"/>
    <d v="2025-12-20T00:00:00"/>
    <s v="CUST0292"/>
    <x v="2"/>
    <x v="3"/>
    <n v="2"/>
    <n v="0.15"/>
    <n v="25500"/>
    <n v="3648.54"/>
    <x v="3"/>
    <s v="Delivered"/>
    <n v="12750"/>
    <n v="14.308"/>
    <s v="Profit"/>
    <s v="Sanjay Khan"/>
    <x v="0"/>
    <x v="0"/>
    <s v="Bengaluru"/>
    <s v="Karnataka"/>
    <s v="2023-07-05"/>
    <s v="26-35"/>
    <n v="1824.27"/>
  </r>
  <r>
    <s v="ORD00499"/>
    <d v="2026-01-11T00:00:00"/>
    <s v="CUST0059"/>
    <x v="3"/>
    <x v="10"/>
    <n v="4"/>
    <n v="0.1"/>
    <n v="198000"/>
    <n v="-44039.61"/>
    <x v="0"/>
    <s v="Cancelled"/>
    <n v="49500"/>
    <n v="-22.24222727272727"/>
    <s v="Loss"/>
    <s v="Rahul Verma"/>
    <x v="1"/>
    <x v="3"/>
    <s v="Guwahati"/>
    <s v="Assam"/>
    <s v="2023-02-16"/>
    <s v="36-50"/>
    <n v="-11009.9025"/>
  </r>
  <r>
    <s v="ORD00500"/>
    <d v="2025-07-27T00:00:00"/>
    <s v="CUST0334"/>
    <x v="1"/>
    <x v="12"/>
    <n v="3"/>
    <n v="0.15"/>
    <n v="3570"/>
    <n v="1074.1400000000001"/>
    <x v="0"/>
    <s v="Delivered"/>
    <n v="1190"/>
    <n v="30.087955182072829"/>
    <s v="Profit"/>
    <s v="Rahul Joshi"/>
    <x v="1"/>
    <x v="0"/>
    <s v="Hyderabad"/>
    <s v="Telangana"/>
    <s v="2024-05-26"/>
    <s v="26-35"/>
    <n v="358.04666666666668"/>
  </r>
  <r>
    <s v="ORD00501"/>
    <d v="2025-08-03T00:00:00"/>
    <s v="CUST0483"/>
    <x v="0"/>
    <x v="0"/>
    <n v="1"/>
    <n v="0"/>
    <n v="14000"/>
    <n v="-6237.65"/>
    <x v="2"/>
    <s v="Returned"/>
    <n v="14000"/>
    <n v="-44.554642857142859"/>
    <s v="Loss"/>
    <s v="Harini Rao"/>
    <x v="2"/>
    <x v="0"/>
    <s v="Bengaluru"/>
    <s v="Karnataka"/>
    <s v="2025-12-26"/>
    <s v="18-25"/>
    <n v="-6237.65"/>
  </r>
  <r>
    <s v="ORD00502"/>
    <d v="2026-04-06T00:00:00"/>
    <s v="CUST0412"/>
    <x v="0"/>
    <x v="17"/>
    <n v="2"/>
    <n v="0"/>
    <n v="900"/>
    <n v="220"/>
    <x v="3"/>
    <s v="Delivered"/>
    <n v="450"/>
    <n v="24.444444444444439"/>
    <s v="Profit"/>
    <s v="Akash Khan"/>
    <x v="0"/>
    <x v="0"/>
    <s v="Chennai"/>
    <s v="Tamil Nadu"/>
    <s v="2025-03-27"/>
    <s v="26-35"/>
    <n v="110"/>
  </r>
  <r>
    <s v="ORD00503"/>
    <d v="2026-07-08T00:00:00"/>
    <s v="CUST0207"/>
    <x v="0"/>
    <x v="0"/>
    <n v="3"/>
    <n v="0"/>
    <n v="42000"/>
    <n v="8400"/>
    <x v="2"/>
    <s v="Shipped"/>
    <n v="14000"/>
    <n v="20"/>
    <s v="Profit"/>
    <s v="Divya Chopra"/>
    <x v="0"/>
    <x v="1"/>
    <s v="Pune"/>
    <s v="Maharashtra"/>
    <s v="2025-03-02"/>
    <s v="26-35"/>
    <n v="2800"/>
  </r>
  <r>
    <s v="ORD00504"/>
    <d v="2025-09-22T00:00:00"/>
    <s v="CUST0134"/>
    <x v="0"/>
    <x v="6"/>
    <n v="3"/>
    <n v="0.05"/>
    <n v="997.5"/>
    <n v="316.12"/>
    <x v="1"/>
    <s v="Delivered"/>
    <n v="332.5"/>
    <n v="31.691228070175441"/>
    <s v="Profit"/>
    <s v="Pooja Kulkarni"/>
    <x v="0"/>
    <x v="2"/>
    <s v="Delhi"/>
    <s v="Delhi"/>
    <s v="2023-11-17"/>
    <s v="26-35"/>
    <n v="105.37333333333331"/>
  </r>
  <r>
    <s v="ORD00505"/>
    <d v="2025-09-20T00:00:00"/>
    <s v="CUST0021"/>
    <x v="3"/>
    <x v="4"/>
    <n v="3"/>
    <n v="0.05"/>
    <n v="51300"/>
    <n v="8908.73"/>
    <x v="1"/>
    <s v="Delivered"/>
    <n v="17100"/>
    <n v="17.365945419103308"/>
    <s v="Profit"/>
    <s v="Varun Nair"/>
    <x v="2"/>
    <x v="1"/>
    <s v="Ahmedabad"/>
    <s v="Gujarat"/>
    <s v="2025-11-12"/>
    <s v="36-50"/>
    <n v="2969.5766666666659"/>
  </r>
  <r>
    <s v="ORD00506"/>
    <d v="2025-08-19T00:00:00"/>
    <s v="CUST0131"/>
    <x v="3"/>
    <x v="4"/>
    <n v="1"/>
    <n v="0.1"/>
    <n v="16200"/>
    <n v="2503.96"/>
    <x v="1"/>
    <s v="Delivered"/>
    <n v="16200"/>
    <n v="15.456543209876539"/>
    <s v="Profit"/>
    <s v="Harini Das"/>
    <x v="0"/>
    <x v="0"/>
    <s v="Chennai"/>
    <s v="Tamil Nadu"/>
    <s v="2024-10-14"/>
    <s v="26-35"/>
    <n v="2503.96"/>
  </r>
  <r>
    <s v="ORD00507"/>
    <d v="2025-08-05T00:00:00"/>
    <s v="CUST0106"/>
    <x v="2"/>
    <x v="5"/>
    <n v="1"/>
    <n v="0.05"/>
    <n v="10450"/>
    <n v="2141.36"/>
    <x v="3"/>
    <s v="Shipped"/>
    <n v="10450"/>
    <n v="20.49148325358852"/>
    <s v="Profit"/>
    <s v="Kavya Nair"/>
    <x v="1"/>
    <x v="0"/>
    <s v="Coimbatore"/>
    <s v="Tamil Nadu"/>
    <s v="2025-07-06"/>
    <s v="36-50"/>
    <n v="2141.36"/>
  </r>
  <r>
    <s v="ORD00508"/>
    <d v="2025-12-11T00:00:00"/>
    <s v="CUST0188"/>
    <x v="3"/>
    <x v="4"/>
    <n v="4"/>
    <n v="0.1"/>
    <n v="64800"/>
    <n v="8623.65"/>
    <x v="0"/>
    <s v="Delivered"/>
    <n v="16200"/>
    <n v="13.30810185185185"/>
    <s v="Profit"/>
    <s v="Ishaan Pillai"/>
    <x v="0"/>
    <x v="2"/>
    <s v="Delhi"/>
    <s v="Delhi"/>
    <s v="2025-06-05"/>
    <s v="36-50"/>
    <n v="2155.9124999999999"/>
  </r>
  <r>
    <s v="ORD00509"/>
    <d v="2025-12-04T00:00:00"/>
    <s v="CUST0407"/>
    <x v="2"/>
    <x v="3"/>
    <n v="1"/>
    <n v="0"/>
    <n v="15000"/>
    <n v="3500"/>
    <x v="2"/>
    <s v="Delivered"/>
    <n v="15000"/>
    <n v="23.333333333333329"/>
    <s v="Profit"/>
    <s v="Sneha Verma"/>
    <x v="2"/>
    <x v="2"/>
    <s v="Lucknow"/>
    <s v="Uttar Pradesh"/>
    <s v="2024-09-16"/>
    <s v="36-50"/>
    <n v="3500"/>
  </r>
  <r>
    <s v="ORD00510"/>
    <d v="2025-09-08T00:00:00"/>
    <s v="CUST0316"/>
    <x v="3"/>
    <x v="10"/>
    <n v="2"/>
    <n v="0"/>
    <n v="110000"/>
    <n v="18000"/>
    <x v="2"/>
    <s v="Shipped"/>
    <n v="55000"/>
    <n v="16.36363636363636"/>
    <s v="Profit"/>
    <s v="Sneha Iyer"/>
    <x v="2"/>
    <x v="3"/>
    <s v="Guwahati"/>
    <s v="Assam"/>
    <s v="2024-04-21"/>
    <s v="26-35"/>
    <n v="9000"/>
  </r>
  <r>
    <s v="ORD00511"/>
    <d v="2025-09-21T00:00:00"/>
    <s v="CUST0019"/>
    <x v="3"/>
    <x v="8"/>
    <n v="6"/>
    <n v="0.05"/>
    <n v="25650"/>
    <n v="8224.7900000000009"/>
    <x v="2"/>
    <s v="Delivered"/>
    <n v="4275"/>
    <n v="32.065458089668617"/>
    <s v="Profit"/>
    <s v="Ishaan Pillai"/>
    <x v="0"/>
    <x v="1"/>
    <s v="Ahmedabad"/>
    <s v="Gujarat"/>
    <s v="2023-06-28"/>
    <s v="36-50"/>
    <n v="1370.7983333333329"/>
  </r>
  <r>
    <s v="ORD00512"/>
    <d v="2026-07-30T00:00:00"/>
    <s v="CUST0229"/>
    <x v="3"/>
    <x v="11"/>
    <n v="4"/>
    <n v="0.1"/>
    <n v="9000"/>
    <n v="2735.29"/>
    <x v="2"/>
    <s v="Delivered"/>
    <n v="2250"/>
    <n v="30.39211111111111"/>
    <s v="Profit"/>
    <s v="Harini Chopra"/>
    <x v="0"/>
    <x v="0"/>
    <s v="Bengaluru"/>
    <s v="Karnataka"/>
    <s v="2025-05-19"/>
    <s v="26-35"/>
    <n v="683.82249999999999"/>
  </r>
  <r>
    <s v="ORD00513"/>
    <d v="2026-07-28T00:00:00"/>
    <s v="CUST0352"/>
    <x v="1"/>
    <x v="13"/>
    <n v="15"/>
    <n v="0.05"/>
    <n v="59850"/>
    <n v="15789.27"/>
    <x v="1"/>
    <s v="Delivered"/>
    <n v="3990"/>
    <n v="26.381403508771928"/>
    <s v="Profit"/>
    <s v="Ishaan Verma"/>
    <x v="0"/>
    <x v="1"/>
    <s v="Ahmedabad"/>
    <s v="Gujarat"/>
    <s v="2024-05-01"/>
    <s v="51+"/>
    <n v="1052.6179999999999"/>
  </r>
  <r>
    <s v="ORD00514"/>
    <d v="2025-08-27T00:00:00"/>
    <s v="CUST0108"/>
    <x v="0"/>
    <x v="6"/>
    <n v="3"/>
    <n v="0.1"/>
    <n v="945"/>
    <n v="281.86"/>
    <x v="3"/>
    <s v="Delivered"/>
    <n v="315"/>
    <n v="29.826455026455029"/>
    <s v="Profit"/>
    <s v="Ananya Sharma"/>
    <x v="1"/>
    <x v="2"/>
    <s v="Chandigarh"/>
    <s v="Chandigarh"/>
    <s v="2025-12-04"/>
    <s v="26-35"/>
    <n v="93.953333333333333"/>
  </r>
  <r>
    <s v="ORD00515"/>
    <d v="2026-07-21T00:00:00"/>
    <s v="CUST0394"/>
    <x v="3"/>
    <x v="10"/>
    <n v="1"/>
    <n v="0.05"/>
    <n v="52250"/>
    <n v="7677.2"/>
    <x v="0"/>
    <s v="Delivered"/>
    <n v="52250"/>
    <n v="14.693205741626789"/>
    <s v="Profit"/>
    <s v="Shreya Nair"/>
    <x v="1"/>
    <x v="2"/>
    <s v="Jaipur"/>
    <s v="Rajasthan"/>
    <s v="2024-07-08"/>
    <s v="26-35"/>
    <n v="7677.2"/>
  </r>
  <r>
    <s v="ORD00516"/>
    <d v="2026-06-20T00:00:00"/>
    <s v="CUST0156"/>
    <x v="2"/>
    <x v="2"/>
    <n v="3"/>
    <n v="0.15"/>
    <n v="33150"/>
    <n v="5652.11"/>
    <x v="3"/>
    <s v="Delivered"/>
    <n v="11050"/>
    <n v="17.05010558069381"/>
    <s v="Profit"/>
    <s v="Meera Patel"/>
    <x v="2"/>
    <x v="0"/>
    <s v="Coimbatore"/>
    <s v="Tamil Nadu"/>
    <s v="2024-10-11"/>
    <s v="26-35"/>
    <n v="1884.0366666666671"/>
  </r>
  <r>
    <s v="ORD00517"/>
    <d v="2025-10-08T00:00:00"/>
    <s v="CUST0540"/>
    <x v="3"/>
    <x v="4"/>
    <n v="2"/>
    <n v="0.05"/>
    <n v="34200"/>
    <n v="-11599.72"/>
    <x v="2"/>
    <s v="Cancelled"/>
    <n v="17100"/>
    <n v="-33.917309941520472"/>
    <s v="Loss"/>
    <s v="Kavya Rao"/>
    <x v="0"/>
    <x v="0"/>
    <s v="Chennai"/>
    <s v="Tamil Nadu"/>
    <s v="2023-09-30"/>
    <s v="18-25"/>
    <n v="-5799.86"/>
  </r>
  <r>
    <s v="ORD00518"/>
    <d v="2026-06-05T00:00:00"/>
    <s v="CUST0338"/>
    <x v="2"/>
    <x v="9"/>
    <n v="3"/>
    <n v="0.15"/>
    <n v="22950"/>
    <n v="3998.81"/>
    <x v="0"/>
    <s v="Delivered"/>
    <n v="7650"/>
    <n v="17.424008714596951"/>
    <s v="Profit"/>
    <s v="Kavya Bose"/>
    <x v="1"/>
    <x v="0"/>
    <s v="Hyderabad"/>
    <s v="Telangana"/>
    <s v="2024-10-27"/>
    <s v="26-35"/>
    <n v="1332.936666666667"/>
  </r>
  <r>
    <s v="ORD00519"/>
    <d v="2025-07-24T00:00:00"/>
    <s v="CUST0491"/>
    <x v="1"/>
    <x v="12"/>
    <n v="10"/>
    <n v="0.2"/>
    <n v="11200"/>
    <n v="3502.39"/>
    <x v="1"/>
    <s v="Delivered"/>
    <n v="1120"/>
    <n v="31.27133928571428"/>
    <s v="Profit"/>
    <s v="Ishaan Chopra"/>
    <x v="1"/>
    <x v="2"/>
    <s v="Chandigarh"/>
    <s v="Chandigarh"/>
    <s v="2024-04-16"/>
    <s v="18-25"/>
    <n v="350.23899999999998"/>
  </r>
  <r>
    <s v="ORD00520"/>
    <d v="2025-08-09T00:00:00"/>
    <s v="CUST0432"/>
    <x v="0"/>
    <x v="6"/>
    <n v="5"/>
    <n v="0.15"/>
    <n v="1487.5"/>
    <n v="394.1"/>
    <x v="3"/>
    <s v="Delivered"/>
    <n v="297.5"/>
    <n v="26.494117647058822"/>
    <s v="Profit"/>
    <s v="Pooja Singh"/>
    <x v="1"/>
    <x v="0"/>
    <s v="Coimbatore"/>
    <s v="Tamil Nadu"/>
    <s v="2023-02-17"/>
    <s v="18-25"/>
    <n v="78.820000000000007"/>
  </r>
  <r>
    <s v="ORD00521"/>
    <d v="2025-09-29T00:00:00"/>
    <s v="CUST0169"/>
    <x v="2"/>
    <x v="3"/>
    <n v="1"/>
    <n v="0.2"/>
    <n v="12000"/>
    <n v="-7967.41"/>
    <x v="1"/>
    <s v="Returned"/>
    <n v="12000"/>
    <n v="-66.395083333333332"/>
    <s v="Loss"/>
    <s v="Sneha Bose"/>
    <x v="0"/>
    <x v="0"/>
    <s v="Hyderabad"/>
    <s v="Telangana"/>
    <s v="2024-09-10"/>
    <s v="26-35"/>
    <n v="-7967.41"/>
  </r>
  <r>
    <s v="ORD00522"/>
    <d v="2025-11-06T00:00:00"/>
    <s v="CUST0289"/>
    <x v="3"/>
    <x v="10"/>
    <n v="5"/>
    <n v="0.1"/>
    <n v="247500"/>
    <n v="31519.439999999999"/>
    <x v="1"/>
    <s v="Delivered"/>
    <n v="49500"/>
    <n v="12.73512727272727"/>
    <s v="Profit"/>
    <s v="Rahul Iyer"/>
    <x v="2"/>
    <x v="0"/>
    <s v="Coimbatore"/>
    <s v="Tamil Nadu"/>
    <s v="2023-01-07"/>
    <s v="18-25"/>
    <n v="6303.8879999999999"/>
  </r>
  <r>
    <s v="ORD00523"/>
    <d v="2026-02-11T00:00:00"/>
    <s v="CUST0510"/>
    <x v="0"/>
    <x v="7"/>
    <n v="3"/>
    <n v="0.05"/>
    <n v="2565"/>
    <n v="763.44"/>
    <x v="3"/>
    <s v="Delivered"/>
    <n v="855"/>
    <n v="29.763742690058479"/>
    <s v="Profit"/>
    <s v="Vikram Singh"/>
    <x v="1"/>
    <x v="0"/>
    <s v="Coimbatore"/>
    <s v="Tamil Nadu"/>
    <s v="2024-08-20"/>
    <s v="36-50"/>
    <n v="254.48"/>
  </r>
  <r>
    <s v="ORD00524"/>
    <d v="2025-07-14T00:00:00"/>
    <s v="CUST0228"/>
    <x v="2"/>
    <x v="5"/>
    <n v="2"/>
    <n v="0.15"/>
    <n v="18700"/>
    <n v="2458.5100000000002"/>
    <x v="3"/>
    <s v="Delivered"/>
    <n v="9350"/>
    <n v="13.14711229946524"/>
    <s v="Profit"/>
    <s v="Rohan Reddy"/>
    <x v="2"/>
    <x v="0"/>
    <s v="Coimbatore"/>
    <s v="Tamil Nadu"/>
    <s v="2025-11-28"/>
    <s v="36-50"/>
    <n v="1229.2550000000001"/>
  </r>
  <r>
    <s v="ORD00525"/>
    <d v="2026-08-24T00:00:00"/>
    <s v="CUST0382"/>
    <x v="3"/>
    <x v="10"/>
    <n v="4"/>
    <n v="0.2"/>
    <n v="176000"/>
    <n v="11064.01"/>
    <x v="0"/>
    <s v="Shipped"/>
    <n v="44000"/>
    <n v="6.2863693181818183"/>
    <s v="Profit"/>
    <s v="Karthik Rao"/>
    <x v="2"/>
    <x v="1"/>
    <s v="Surat"/>
    <s v="Gujarat"/>
    <s v="2023-03-30"/>
    <s v="18-25"/>
    <n v="2766.0025000000001"/>
  </r>
  <r>
    <s v="ORD00526"/>
    <d v="2025-12-18T00:00:00"/>
    <s v="CUST0557"/>
    <x v="1"/>
    <x v="12"/>
    <n v="1"/>
    <n v="0.1"/>
    <n v="1260"/>
    <n v="435.7"/>
    <x v="2"/>
    <s v="Delivered"/>
    <n v="1260"/>
    <n v="34.579365079365083"/>
    <s v="Profit"/>
    <s v="Divya Mishra"/>
    <x v="0"/>
    <x v="2"/>
    <s v="Lucknow"/>
    <s v="Uttar Pradesh"/>
    <s v="2024-11-08"/>
    <s v="18-25"/>
    <n v="435.7"/>
  </r>
  <r>
    <s v="ORD00527"/>
    <d v="2026-07-17T00:00:00"/>
    <s v="CUST0509"/>
    <x v="0"/>
    <x v="7"/>
    <n v="4"/>
    <n v="0"/>
    <n v="3600"/>
    <n v="1120"/>
    <x v="3"/>
    <s v="Delivered"/>
    <n v="900"/>
    <n v="31.111111111111111"/>
    <s v="Profit"/>
    <s v="Akash Das"/>
    <x v="2"/>
    <x v="3"/>
    <s v="Patna"/>
    <s v="Bihar"/>
    <s v="2024-11-26"/>
    <s v="36-50"/>
    <n v="280"/>
  </r>
  <r>
    <s v="ORD00528"/>
    <d v="2025-11-07T00:00:00"/>
    <s v="CUST0070"/>
    <x v="0"/>
    <x v="14"/>
    <n v="4"/>
    <n v="0.2"/>
    <n v="1440"/>
    <n v="186.24"/>
    <x v="2"/>
    <s v="Delivered"/>
    <n v="360"/>
    <n v="12.93333333333333"/>
    <s v="Profit"/>
    <s v="Manoj Iyer"/>
    <x v="2"/>
    <x v="1"/>
    <s v="Ahmedabad"/>
    <s v="Gujarat"/>
    <s v="2024-06-06"/>
    <s v="18-25"/>
    <n v="46.56"/>
  </r>
  <r>
    <s v="ORD00529"/>
    <d v="2026-04-22T00:00:00"/>
    <s v="CUST0583"/>
    <x v="3"/>
    <x v="11"/>
    <n v="2"/>
    <n v="0.05"/>
    <n v="4750"/>
    <n v="213.18"/>
    <x v="2"/>
    <s v="Returned"/>
    <n v="2375"/>
    <n v="4.4880000000000004"/>
    <s v="Profit"/>
    <s v="Shreya Menon"/>
    <x v="2"/>
    <x v="1"/>
    <s v="Ahmedabad"/>
    <s v="Gujarat"/>
    <s v="2023-09-05"/>
    <s v="26-35"/>
    <n v="106.59"/>
  </r>
  <r>
    <s v="ORD00530"/>
    <d v="2025-07-13T00:00:00"/>
    <s v="CUST0243"/>
    <x v="1"/>
    <x v="12"/>
    <n v="3"/>
    <n v="0"/>
    <n v="4200"/>
    <n v="-176.18"/>
    <x v="2"/>
    <s v="Cancelled"/>
    <n v="1400"/>
    <n v="-4.1947619047619042"/>
    <s v="Loss"/>
    <s v="Manoj Das"/>
    <x v="1"/>
    <x v="3"/>
    <s v="Kolkata"/>
    <s v="West Bengal"/>
    <s v="2023-02-23"/>
    <s v="26-35"/>
    <n v="-58.726666666666667"/>
  </r>
  <r>
    <s v="ORD00531"/>
    <d v="2026-03-22T00:00:00"/>
    <s v="CUST0501"/>
    <x v="0"/>
    <x v="7"/>
    <n v="1"/>
    <n v="0.1"/>
    <n v="810"/>
    <n v="221.85"/>
    <x v="0"/>
    <s v="Shipped"/>
    <n v="810"/>
    <n v="27.388888888888889"/>
    <s v="Profit"/>
    <s v="Rahul Pillai"/>
    <x v="1"/>
    <x v="0"/>
    <s v="Bengaluru"/>
    <s v="Karnataka"/>
    <s v="2024-03-13"/>
    <s v="36-50"/>
    <n v="221.85"/>
  </r>
  <r>
    <s v="ORD00532"/>
    <d v="2025-12-29T00:00:00"/>
    <s v="CUST0526"/>
    <x v="3"/>
    <x v="8"/>
    <n v="2"/>
    <n v="0"/>
    <n v="9000"/>
    <n v="-3830.26"/>
    <x v="0"/>
    <s v="Cancelled"/>
    <n v="4500"/>
    <n v="-42.558444444444447"/>
    <s v="Loss"/>
    <s v="Meera Mehta"/>
    <x v="0"/>
    <x v="1"/>
    <s v="Pune"/>
    <s v="Maharashtra"/>
    <s v="2023-10-08"/>
    <s v="18-25"/>
    <n v="-1915.13"/>
  </r>
  <r>
    <s v="ORD00533"/>
    <d v="2026-01-12T00:00:00"/>
    <s v="CUST0298"/>
    <x v="3"/>
    <x v="4"/>
    <n v="2"/>
    <n v="0"/>
    <n v="36000"/>
    <n v="7000"/>
    <x v="0"/>
    <s v="Delivered"/>
    <n v="18000"/>
    <n v="19.44444444444445"/>
    <s v="Profit"/>
    <s v="Diya Joshi"/>
    <x v="0"/>
    <x v="0"/>
    <s v="Chennai"/>
    <s v="Tamil Nadu"/>
    <s v="2025-01-10"/>
    <s v="18-25"/>
    <n v="3500"/>
  </r>
  <r>
    <s v="ORD00534"/>
    <d v="2026-07-21T00:00:00"/>
    <s v="CUST0084"/>
    <x v="3"/>
    <x v="10"/>
    <n v="6"/>
    <n v="0.1"/>
    <n v="297000"/>
    <n v="26359.51"/>
    <x v="3"/>
    <s v="Delivered"/>
    <n v="49500"/>
    <n v="8.8752558922558915"/>
    <s v="Profit"/>
    <s v="Meera Menon"/>
    <x v="1"/>
    <x v="1"/>
    <s v="Mumbai"/>
    <s v="Maharashtra"/>
    <s v="2023-11-10"/>
    <s v="18-25"/>
    <n v="4393.2516666666661"/>
  </r>
  <r>
    <s v="ORD00535"/>
    <d v="2026-08-15T00:00:00"/>
    <s v="CUST0080"/>
    <x v="3"/>
    <x v="8"/>
    <n v="3"/>
    <n v="0.1"/>
    <n v="12150"/>
    <n v="3798.12"/>
    <x v="2"/>
    <s v="Shipped"/>
    <n v="4050"/>
    <n v="31.26024691358025"/>
    <s v="Profit"/>
    <s v="Vikram Verma"/>
    <x v="1"/>
    <x v="3"/>
    <s v="Patna"/>
    <s v="Bihar"/>
    <s v="2024-09-20"/>
    <s v="51+"/>
    <n v="1266.04"/>
  </r>
  <r>
    <s v="ORD00536"/>
    <d v="2025-12-21T00:00:00"/>
    <s v="CUST0302"/>
    <x v="2"/>
    <x v="3"/>
    <n v="3"/>
    <n v="0.1"/>
    <n v="40500"/>
    <n v="7729.72"/>
    <x v="3"/>
    <s v="Shipped"/>
    <n v="13500"/>
    <n v="19.085728395061729"/>
    <s v="Profit"/>
    <s v="Ananya Iyer"/>
    <x v="0"/>
    <x v="1"/>
    <s v="Pune"/>
    <s v="Maharashtra"/>
    <s v="2025-09-02"/>
    <s v="26-35"/>
    <n v="2576.5733333333328"/>
  </r>
  <r>
    <s v="ORD00537"/>
    <d v="2026-06-09T00:00:00"/>
    <s v="CUST0115"/>
    <x v="2"/>
    <x v="5"/>
    <n v="1"/>
    <n v="0"/>
    <n v="11000"/>
    <n v="2600"/>
    <x v="2"/>
    <s v="Shipped"/>
    <n v="11000"/>
    <n v="23.63636363636364"/>
    <s v="Profit"/>
    <s v="Nisha Iyer"/>
    <x v="1"/>
    <x v="2"/>
    <s v="Chandigarh"/>
    <s v="Chandigarh"/>
    <s v="2025-03-06"/>
    <s v="36-50"/>
    <n v="2600"/>
  </r>
  <r>
    <s v="ORD00538"/>
    <d v="2025-12-10T00:00:00"/>
    <s v="CUST0462"/>
    <x v="3"/>
    <x v="4"/>
    <n v="1"/>
    <n v="0.1"/>
    <n v="16200"/>
    <n v="2491.94"/>
    <x v="1"/>
    <s v="Delivered"/>
    <n v="16200"/>
    <n v="15.382345679012349"/>
    <s v="Profit"/>
    <s v="Lakshmi Iyer"/>
    <x v="0"/>
    <x v="2"/>
    <s v="Delhi"/>
    <s v="Delhi"/>
    <s v="2025-05-06"/>
    <s v="36-50"/>
    <n v="2491.94"/>
  </r>
  <r>
    <s v="ORD00539"/>
    <d v="2026-04-24T00:00:00"/>
    <s v="CUST0057"/>
    <x v="0"/>
    <x v="0"/>
    <n v="1"/>
    <n v="0"/>
    <n v="14000"/>
    <n v="2800"/>
    <x v="3"/>
    <s v="Delivered"/>
    <n v="14000"/>
    <n v="20"/>
    <s v="Profit"/>
    <s v="Akash Singh"/>
    <x v="2"/>
    <x v="2"/>
    <s v="Chandigarh"/>
    <s v="Chandigarh"/>
    <s v="2024-12-21"/>
    <s v="26-35"/>
    <n v="2800"/>
  </r>
  <r>
    <s v="ORD00540"/>
    <d v="2026-06-01T00:00:00"/>
    <s v="CUST0516"/>
    <x v="1"/>
    <x v="13"/>
    <n v="5"/>
    <n v="0"/>
    <n v="21000"/>
    <n v="6000"/>
    <x v="0"/>
    <s v="Delivered"/>
    <n v="4200"/>
    <n v="28.571428571428569"/>
    <s v="Profit"/>
    <s v="Rahul Mishra"/>
    <x v="1"/>
    <x v="0"/>
    <s v="Hyderabad"/>
    <s v="Telangana"/>
    <s v="2024-01-31"/>
    <s v="26-35"/>
    <n v="1200"/>
  </r>
  <r>
    <s v="ORD00541"/>
    <d v="2025-07-11T00:00:00"/>
    <s v="CUST0031"/>
    <x v="1"/>
    <x v="12"/>
    <n v="1"/>
    <n v="0"/>
    <n v="1400"/>
    <n v="-582.52"/>
    <x v="3"/>
    <s v="Returned"/>
    <n v="1400"/>
    <n v="-41.60857142857143"/>
    <s v="Loss"/>
    <s v="Priya Mishra"/>
    <x v="2"/>
    <x v="0"/>
    <s v="Bengaluru"/>
    <s v="Karnataka"/>
    <s v="2023-05-09"/>
    <s v="51+"/>
    <n v="-582.52"/>
  </r>
  <r>
    <s v="ORD00542"/>
    <d v="2025-09-15T00:00:00"/>
    <s v="CUST0256"/>
    <x v="3"/>
    <x v="11"/>
    <n v="4"/>
    <n v="0.1"/>
    <n v="9000"/>
    <n v="2539.13"/>
    <x v="1"/>
    <s v="Delivered"/>
    <n v="2250"/>
    <n v="28.212555555555561"/>
    <s v="Profit"/>
    <s v="Karthik Singh"/>
    <x v="0"/>
    <x v="0"/>
    <s v="Chennai"/>
    <s v="Tamil Nadu"/>
    <s v="2024-11-27"/>
    <s v="26-35"/>
    <n v="634.78250000000003"/>
  </r>
  <r>
    <s v="ORD00543"/>
    <d v="2025-12-23T00:00:00"/>
    <s v="CUST0481"/>
    <x v="2"/>
    <x v="5"/>
    <n v="2"/>
    <n v="0.2"/>
    <n v="17600"/>
    <n v="2582.94"/>
    <x v="1"/>
    <s v="Delivered"/>
    <n v="8800"/>
    <n v="14.675795454545449"/>
    <s v="Profit"/>
    <s v="Diya Kulkarni"/>
    <x v="1"/>
    <x v="2"/>
    <s v="Lucknow"/>
    <s v="Uttar Pradesh"/>
    <s v="2024-07-28"/>
    <s v="26-35"/>
    <n v="1291.47"/>
  </r>
  <r>
    <s v="ORD00544"/>
    <d v="2026-07-25T00:00:00"/>
    <s v="CUST0081"/>
    <x v="1"/>
    <x v="13"/>
    <n v="1"/>
    <n v="0.15"/>
    <n v="3570"/>
    <n v="857.15"/>
    <x v="2"/>
    <s v="Shipped"/>
    <n v="3570"/>
    <n v="24.009803921568629"/>
    <s v="Profit"/>
    <s v="Ananya Rao"/>
    <x v="2"/>
    <x v="0"/>
    <s v="Chennai"/>
    <s v="Tamil Nadu"/>
    <s v="2023-10-09"/>
    <s v="36-50"/>
    <n v="857.15"/>
  </r>
  <r>
    <s v="ORD00545"/>
    <d v="2025-08-03T00:00:00"/>
    <s v="CUST0179"/>
    <x v="3"/>
    <x v="10"/>
    <n v="6"/>
    <n v="0.1"/>
    <n v="297000"/>
    <n v="-207952.52"/>
    <x v="0"/>
    <s v="Cancelled"/>
    <n v="49500"/>
    <n v="-70.017683501683507"/>
    <s v="Loss"/>
    <s v="Akash Pillai"/>
    <x v="0"/>
    <x v="1"/>
    <s v="Pune"/>
    <s v="Maharashtra"/>
    <s v="2024-09-14"/>
    <s v="51+"/>
    <n v="-34658.753333333327"/>
  </r>
  <r>
    <s v="ORD00546"/>
    <d v="2026-07-15T00:00:00"/>
    <s v="CUST0398"/>
    <x v="3"/>
    <x v="4"/>
    <n v="2"/>
    <n v="0.05"/>
    <n v="34200"/>
    <n v="6020.64"/>
    <x v="2"/>
    <s v="Delivered"/>
    <n v="17100"/>
    <n v="17.604210526315789"/>
    <s v="Profit"/>
    <s v="Meera Gupta"/>
    <x v="1"/>
    <x v="3"/>
    <s v="Bhubaneswar"/>
    <s v="Odisha"/>
    <s v="2024-02-27"/>
    <s v="36-50"/>
    <n v="3010.32"/>
  </r>
  <r>
    <s v="ORD00547"/>
    <d v="2025-11-21T00:00:00"/>
    <s v="CUST0348"/>
    <x v="2"/>
    <x v="9"/>
    <n v="2"/>
    <n v="0.15"/>
    <n v="15300"/>
    <n v="3327.02"/>
    <x v="2"/>
    <s v="Delivered"/>
    <n v="7650"/>
    <n v="21.74522875816994"/>
    <s v="Profit"/>
    <s v="Varun Verma"/>
    <x v="2"/>
    <x v="3"/>
    <s v="Patna"/>
    <s v="Bihar"/>
    <s v="2024-01-11"/>
    <s v="26-35"/>
    <n v="1663.51"/>
  </r>
  <r>
    <s v="ORD00548"/>
    <d v="2025-12-19T00:00:00"/>
    <s v="CUST0392"/>
    <x v="3"/>
    <x v="11"/>
    <n v="2"/>
    <n v="0.15"/>
    <n v="4250"/>
    <n v="989.97"/>
    <x v="3"/>
    <s v="Delivered"/>
    <n v="2125"/>
    <n v="23.29341176470588"/>
    <s v="Profit"/>
    <s v="Pooja Patel"/>
    <x v="2"/>
    <x v="1"/>
    <s v="Ahmedabad"/>
    <s v="Gujarat"/>
    <s v="2024-11-07"/>
    <s v="36-50"/>
    <n v="494.98500000000001"/>
  </r>
  <r>
    <s v="ORD00549"/>
    <d v="2026-06-01T00:00:00"/>
    <s v="CUST0452"/>
    <x v="0"/>
    <x v="14"/>
    <n v="4"/>
    <n v="0.1"/>
    <n v="1620"/>
    <n v="327.84"/>
    <x v="2"/>
    <s v="Shipped"/>
    <n v="405"/>
    <n v="20.237037037037041"/>
    <s v="Profit"/>
    <s v="Varun Das"/>
    <x v="0"/>
    <x v="2"/>
    <s v="Lucknow"/>
    <s v="Uttar Pradesh"/>
    <s v="2024-09-25"/>
    <s v="36-50"/>
    <n v="81.96"/>
  </r>
  <r>
    <s v="ORD00550"/>
    <d v="2026-07-05T00:00:00"/>
    <s v="CUST0278"/>
    <x v="1"/>
    <x v="15"/>
    <n v="6"/>
    <n v="0.15"/>
    <n v="11220"/>
    <n v="3512.45"/>
    <x v="2"/>
    <s v="Delivered"/>
    <n v="1870"/>
    <n v="31.305258467023169"/>
    <s v="Profit"/>
    <s v="Sneha Mehta"/>
    <x v="1"/>
    <x v="3"/>
    <s v="Guwahati"/>
    <s v="Assam"/>
    <s v="2025-03-21"/>
    <s v="26-35"/>
    <n v="585.4083333333333"/>
  </r>
  <r>
    <s v="ORD00551"/>
    <d v="2025-10-14T00:00:00"/>
    <s v="CUST0170"/>
    <x v="2"/>
    <x v="5"/>
    <n v="1"/>
    <n v="0.1"/>
    <n v="9900"/>
    <n v="1852.76"/>
    <x v="3"/>
    <s v="Delivered"/>
    <n v="9900"/>
    <n v="18.71474747474748"/>
    <s v="Profit"/>
    <s v="Meera Iyer"/>
    <x v="2"/>
    <x v="0"/>
    <s v="Hyderabad"/>
    <s v="Telangana"/>
    <s v="2025-04-02"/>
    <s v="36-50"/>
    <n v="1852.76"/>
  </r>
  <r>
    <s v="ORD00552"/>
    <d v="2026-04-28T00:00:00"/>
    <s v="CUST0246"/>
    <x v="3"/>
    <x v="4"/>
    <n v="2"/>
    <n v="0.1"/>
    <n v="32400"/>
    <n v="4633.43"/>
    <x v="3"/>
    <s v="Shipped"/>
    <n v="16200"/>
    <n v="14.300709876543211"/>
    <s v="Profit"/>
    <s v="Rohan Nair"/>
    <x v="0"/>
    <x v="2"/>
    <s v="Chandigarh"/>
    <s v="Chandigarh"/>
    <s v="2023-05-17"/>
    <s v="18-25"/>
    <n v="2316.7150000000001"/>
  </r>
  <r>
    <s v="ORD00553"/>
    <d v="2025-10-12T00:00:00"/>
    <s v="CUST0537"/>
    <x v="0"/>
    <x v="6"/>
    <n v="6"/>
    <n v="0"/>
    <n v="2100"/>
    <n v="720"/>
    <x v="1"/>
    <s v="Delivered"/>
    <n v="350"/>
    <n v="34.285714285714278"/>
    <s v="Profit"/>
    <s v="Vikram Pillai"/>
    <x v="0"/>
    <x v="0"/>
    <s v="Bengaluru"/>
    <s v="Karnataka"/>
    <s v="2023-11-18"/>
    <s v="26-35"/>
    <n v="120"/>
  </r>
  <r>
    <s v="ORD00554"/>
    <d v="2025-07-01T00:00:00"/>
    <s v="CUST0498"/>
    <x v="1"/>
    <x v="13"/>
    <n v="4"/>
    <n v="0.1"/>
    <n v="15120"/>
    <n v="4015.96"/>
    <x v="3"/>
    <s v="Delivered"/>
    <n v="3780"/>
    <n v="26.56058201058201"/>
    <s v="Profit"/>
    <s v="Lakshmi Menon"/>
    <x v="1"/>
    <x v="2"/>
    <s v="Jaipur"/>
    <s v="Rajasthan"/>
    <s v="2023-06-04"/>
    <s v="26-35"/>
    <n v="1003.99"/>
  </r>
  <r>
    <s v="ORD00555"/>
    <d v="2026-07-14T00:00:00"/>
    <s v="CUST0213"/>
    <x v="3"/>
    <x v="4"/>
    <n v="1"/>
    <n v="0"/>
    <n v="18000"/>
    <n v="3500"/>
    <x v="2"/>
    <s v="Delivered"/>
    <n v="18000"/>
    <n v="19.44444444444445"/>
    <s v="Profit"/>
    <s v="Shreya Bose"/>
    <x v="1"/>
    <x v="2"/>
    <s v="Lucknow"/>
    <s v="Uttar Pradesh"/>
    <s v="2025-03-13"/>
    <s v="26-35"/>
    <n v="3500"/>
  </r>
  <r>
    <s v="ORD00556"/>
    <d v="2026-06-27T00:00:00"/>
    <s v="CUST0026"/>
    <x v="1"/>
    <x v="13"/>
    <n v="3"/>
    <n v="0"/>
    <n v="12600"/>
    <n v="3600"/>
    <x v="1"/>
    <s v="Delivered"/>
    <n v="4200"/>
    <n v="28.571428571428569"/>
    <s v="Profit"/>
    <s v="Arjun Mehta"/>
    <x v="2"/>
    <x v="0"/>
    <s v="Coimbatore"/>
    <s v="Tamil Nadu"/>
    <s v="2025-07-27"/>
    <s v="26-35"/>
    <n v="1200"/>
  </r>
  <r>
    <s v="ORD00557"/>
    <d v="2025-10-14T00:00:00"/>
    <s v="CUST0156"/>
    <x v="0"/>
    <x v="0"/>
    <n v="5"/>
    <n v="0.05"/>
    <n v="66500"/>
    <n v="11831.33"/>
    <x v="1"/>
    <s v="Delivered"/>
    <n v="13300"/>
    <n v="17.79147368421053"/>
    <s v="Profit"/>
    <s v="Meera Patel"/>
    <x v="2"/>
    <x v="0"/>
    <s v="Coimbatore"/>
    <s v="Tamil Nadu"/>
    <s v="2024-10-11"/>
    <s v="26-35"/>
    <n v="2366.2660000000001"/>
  </r>
  <r>
    <s v="ORD00558"/>
    <d v="2026-08-17T00:00:00"/>
    <s v="CUST0141"/>
    <x v="3"/>
    <x v="8"/>
    <n v="3"/>
    <n v="0.1"/>
    <n v="12150"/>
    <n v="1.59"/>
    <x v="1"/>
    <s v="Cancelled"/>
    <n v="4050"/>
    <n v="1.308641975308642E-2"/>
    <s v="Profit"/>
    <s v="Kavya Reddy"/>
    <x v="2"/>
    <x v="0"/>
    <s v="Bengaluru"/>
    <s v="Karnataka"/>
    <s v="2023-09-02"/>
    <s v="26-35"/>
    <n v="0.53"/>
  </r>
  <r>
    <s v="ORD00559"/>
    <d v="2026-03-13T00:00:00"/>
    <s v="CUST0560"/>
    <x v="2"/>
    <x v="3"/>
    <n v="3"/>
    <n v="0.1"/>
    <n v="40500"/>
    <n v="7641.43"/>
    <x v="1"/>
    <s v="Delivered"/>
    <n v="13500"/>
    <n v="18.867728395061729"/>
    <s v="Profit"/>
    <s v="Rohan Rao"/>
    <x v="0"/>
    <x v="0"/>
    <s v="Bengaluru"/>
    <s v="Karnataka"/>
    <s v="2023-05-29"/>
    <s v="18-25"/>
    <n v="2547.143333333333"/>
  </r>
  <r>
    <s v="ORD00560"/>
    <d v="2025-10-28T00:00:00"/>
    <s v="CUST0195"/>
    <x v="0"/>
    <x v="14"/>
    <n v="3"/>
    <n v="0.2"/>
    <n v="1080"/>
    <n v="-207.23"/>
    <x v="0"/>
    <s v="Returned"/>
    <n v="360"/>
    <n v="-19.18796296296296"/>
    <s v="Loss"/>
    <s v="Nisha Kulkarni"/>
    <x v="1"/>
    <x v="0"/>
    <s v="Coimbatore"/>
    <s v="Tamil Nadu"/>
    <s v="2024-04-23"/>
    <s v="18-25"/>
    <n v="-69.076666666666668"/>
  </r>
  <r>
    <s v="ORD00561"/>
    <d v="2026-04-15T00:00:00"/>
    <s v="CUST0216"/>
    <x v="2"/>
    <x v="9"/>
    <n v="1"/>
    <n v="0.1"/>
    <n v="8100"/>
    <n v="1795.95"/>
    <x v="0"/>
    <s v="Delivered"/>
    <n v="8100"/>
    <n v="22.172222222222221"/>
    <s v="Profit"/>
    <s v="Karthik Mishra"/>
    <x v="0"/>
    <x v="0"/>
    <s v="Hyderabad"/>
    <s v="Telangana"/>
    <s v="2024-06-25"/>
    <s v="26-35"/>
    <n v="1795.95"/>
  </r>
  <r>
    <s v="ORD00562"/>
    <d v="2025-11-16T00:00:00"/>
    <s v="CUST0134"/>
    <x v="0"/>
    <x v="7"/>
    <n v="4"/>
    <n v="0.05"/>
    <n v="3420"/>
    <n v="974.25"/>
    <x v="3"/>
    <s v="Delivered"/>
    <n v="855"/>
    <n v="28.486842105263161"/>
    <s v="Profit"/>
    <s v="Pooja Kulkarni"/>
    <x v="0"/>
    <x v="2"/>
    <s v="Delhi"/>
    <s v="Delhi"/>
    <s v="2023-11-17"/>
    <s v="26-35"/>
    <n v="243.5625"/>
  </r>
  <r>
    <s v="ORD00563"/>
    <d v="2026-04-14T00:00:00"/>
    <s v="CUST0096"/>
    <x v="3"/>
    <x v="8"/>
    <n v="6"/>
    <n v="0.05"/>
    <n v="25650"/>
    <n v="7986.74"/>
    <x v="2"/>
    <s v="Delivered"/>
    <n v="4275"/>
    <n v="31.137387914230018"/>
    <s v="Profit"/>
    <s v="Harini Bose"/>
    <x v="1"/>
    <x v="1"/>
    <s v="Pune"/>
    <s v="Maharashtra"/>
    <s v="2025-01-14"/>
    <s v="51+"/>
    <n v="1331.123333333333"/>
  </r>
  <r>
    <s v="ORD00564"/>
    <d v="2026-08-30T00:00:00"/>
    <s v="CUST0497"/>
    <x v="0"/>
    <x v="0"/>
    <n v="4"/>
    <n v="0.05"/>
    <n v="53200"/>
    <n v="-7951.38"/>
    <x v="3"/>
    <s v="Cancelled"/>
    <n v="13300"/>
    <n v="-14.9462030075188"/>
    <s v="Loss"/>
    <s v="Karthik Singh"/>
    <x v="0"/>
    <x v="1"/>
    <s v="Ahmedabad"/>
    <s v="Gujarat"/>
    <s v="2023-10-15"/>
    <s v="36-50"/>
    <n v="-1987.845"/>
  </r>
  <r>
    <s v="ORD00565"/>
    <d v="2026-03-06T00:00:00"/>
    <s v="CUST0511"/>
    <x v="2"/>
    <x v="9"/>
    <n v="2"/>
    <n v="0.2"/>
    <n v="14400"/>
    <n v="1822.24"/>
    <x v="3"/>
    <s v="Shipped"/>
    <n v="7200"/>
    <n v="12.65444444444444"/>
    <s v="Profit"/>
    <s v="Sneha Naidu"/>
    <x v="1"/>
    <x v="2"/>
    <s v="Delhi"/>
    <s v="Delhi"/>
    <s v="2023-05-20"/>
    <s v="18-25"/>
    <n v="911.12"/>
  </r>
  <r>
    <s v="ORD00566"/>
    <d v="2025-11-02T00:00:00"/>
    <s v="CUST0503"/>
    <x v="0"/>
    <x v="0"/>
    <n v="1"/>
    <n v="0.1"/>
    <n v="12600"/>
    <n v="1639.14"/>
    <x v="3"/>
    <s v="Delivered"/>
    <n v="12600"/>
    <n v="13.009047619047619"/>
    <s v="Profit"/>
    <s v="Manoj Nair"/>
    <x v="2"/>
    <x v="0"/>
    <s v="Hyderabad"/>
    <s v="Telangana"/>
    <s v="2025-08-16"/>
    <s v="51+"/>
    <n v="1639.14"/>
  </r>
  <r>
    <s v="ORD00567"/>
    <d v="2025-10-12T00:00:00"/>
    <s v="CUST0222"/>
    <x v="0"/>
    <x v="7"/>
    <n v="4"/>
    <n v="0.1"/>
    <n v="3240"/>
    <n v="818.33"/>
    <x v="2"/>
    <s v="Delivered"/>
    <n v="810"/>
    <n v="25.257098765432101"/>
    <s v="Profit"/>
    <s v="Nisha Mehta"/>
    <x v="2"/>
    <x v="1"/>
    <s v="Mumbai"/>
    <s v="Maharashtra"/>
    <s v="2025-08-16"/>
    <s v="26-35"/>
    <n v="204.58250000000001"/>
  </r>
  <r>
    <s v="ORD00568"/>
    <d v="2025-11-27T00:00:00"/>
    <s v="CUST0132"/>
    <x v="0"/>
    <x v="7"/>
    <n v="1"/>
    <n v="0.15"/>
    <n v="765"/>
    <n v="190.59"/>
    <x v="3"/>
    <s v="Delivered"/>
    <n v="765"/>
    <n v="24.913725490196079"/>
    <s v="Profit"/>
    <s v="Akash Rao"/>
    <x v="2"/>
    <x v="1"/>
    <s v="Pune"/>
    <s v="Maharashtra"/>
    <s v="2023-10-01"/>
    <s v="36-50"/>
    <n v="190.59"/>
  </r>
  <r>
    <s v="ORD00569"/>
    <d v="2025-09-13T00:00:00"/>
    <s v="CUST0396"/>
    <x v="2"/>
    <x v="5"/>
    <n v="1"/>
    <n v="0.1"/>
    <n v="9900"/>
    <n v="1809.31"/>
    <x v="0"/>
    <s v="Delivered"/>
    <n v="9900"/>
    <n v="18.27585858585859"/>
    <s v="Profit"/>
    <s v="Rahul Mishra"/>
    <x v="0"/>
    <x v="0"/>
    <s v="Bengaluru"/>
    <s v="Karnataka"/>
    <s v="2023-05-26"/>
    <s v="18-25"/>
    <n v="1809.31"/>
  </r>
  <r>
    <s v="ORD00570"/>
    <d v="2026-05-25T00:00:00"/>
    <s v="CUST0163"/>
    <x v="0"/>
    <x v="0"/>
    <n v="3"/>
    <n v="0.1"/>
    <n v="37800"/>
    <n v="5315.48"/>
    <x v="1"/>
    <s v="Delivered"/>
    <n v="12600"/>
    <n v="14.0621164021164"/>
    <s v="Profit"/>
    <s v="Rohan Iyer"/>
    <x v="2"/>
    <x v="2"/>
    <s v="Jaipur"/>
    <s v="Rajasthan"/>
    <s v="2024-05-11"/>
    <s v="18-25"/>
    <n v="1771.8266666666671"/>
  </r>
  <r>
    <s v="ORD00571"/>
    <d v="2026-02-04T00:00:00"/>
    <s v="CUST0144"/>
    <x v="0"/>
    <x v="6"/>
    <n v="5"/>
    <n v="0"/>
    <n v="1750"/>
    <n v="600"/>
    <x v="1"/>
    <s v="Delivered"/>
    <n v="350"/>
    <n v="34.285714285714278"/>
    <s v="Profit"/>
    <s v="Priya Gupta"/>
    <x v="0"/>
    <x v="1"/>
    <s v="Surat"/>
    <s v="Gujarat"/>
    <s v="2025-12-26"/>
    <s v="51+"/>
    <n v="120"/>
  </r>
  <r>
    <s v="ORD00572"/>
    <d v="2026-04-08T00:00:00"/>
    <s v="CUST0313"/>
    <x v="0"/>
    <x v="7"/>
    <n v="2"/>
    <n v="0.1"/>
    <n v="1620"/>
    <n v="443.7"/>
    <x v="1"/>
    <s v="Delivered"/>
    <n v="810"/>
    <n v="27.388888888888889"/>
    <s v="Profit"/>
    <s v="Ananya Reddy"/>
    <x v="2"/>
    <x v="2"/>
    <s v="Chandigarh"/>
    <s v="Chandigarh"/>
    <s v="2025-09-06"/>
    <s v="26-35"/>
    <n v="221.85"/>
  </r>
  <r>
    <s v="ORD00573"/>
    <d v="2025-09-25T00:00:00"/>
    <s v="CUST0130"/>
    <x v="0"/>
    <x v="0"/>
    <n v="1"/>
    <n v="0.1"/>
    <n v="12600"/>
    <n v="2014.56"/>
    <x v="3"/>
    <s v="Delivered"/>
    <n v="12600"/>
    <n v="15.988571428571429"/>
    <s v="Profit"/>
    <s v="Harini Nair"/>
    <x v="0"/>
    <x v="2"/>
    <s v="Delhi"/>
    <s v="Delhi"/>
    <s v="2025-03-01"/>
    <s v="18-25"/>
    <n v="2014.56"/>
  </r>
  <r>
    <s v="ORD00574"/>
    <d v="2026-07-14T00:00:00"/>
    <s v="CUST0264"/>
    <x v="1"/>
    <x v="1"/>
    <n v="4"/>
    <n v="0.2"/>
    <n v="5760"/>
    <n v="1455.88"/>
    <x v="0"/>
    <s v="Delivered"/>
    <n v="1440"/>
    <n v="25.275694444444451"/>
    <s v="Profit"/>
    <s v="Sneha Kulkarni"/>
    <x v="1"/>
    <x v="0"/>
    <s v="Chennai"/>
    <s v="Tamil Nadu"/>
    <s v="2024-02-11"/>
    <s v="51+"/>
    <n v="363.97"/>
  </r>
  <r>
    <s v="ORD00575"/>
    <d v="2025-08-12T00:00:00"/>
    <s v="CUST0399"/>
    <x v="2"/>
    <x v="2"/>
    <n v="3"/>
    <n v="0.1"/>
    <n v="35100"/>
    <n v="7627.83"/>
    <x v="0"/>
    <s v="Shipped"/>
    <n v="11700"/>
    <n v="21.731709401709399"/>
    <s v="Profit"/>
    <s v="Kavya Iyer"/>
    <x v="0"/>
    <x v="2"/>
    <s v="Lucknow"/>
    <s v="Uttar Pradesh"/>
    <s v="2023-10-24"/>
    <s v="26-35"/>
    <n v="2542.61"/>
  </r>
  <r>
    <s v="ORD00576"/>
    <d v="2025-10-01T00:00:00"/>
    <s v="CUST0596"/>
    <x v="3"/>
    <x v="8"/>
    <n v="3"/>
    <n v="0"/>
    <n v="13500"/>
    <n v="4500"/>
    <x v="1"/>
    <s v="Delivered"/>
    <n v="4500"/>
    <n v="33.333333333333329"/>
    <s v="Profit"/>
    <s v="Manoj Rao"/>
    <x v="0"/>
    <x v="0"/>
    <s v="Bengaluru"/>
    <s v="Karnataka"/>
    <s v="2024-01-21"/>
    <s v="18-25"/>
    <n v="1500"/>
  </r>
  <r>
    <s v="ORD00577"/>
    <d v="2026-02-23T00:00:00"/>
    <s v="CUST0260"/>
    <x v="3"/>
    <x v="10"/>
    <n v="3"/>
    <n v="0"/>
    <n v="165000"/>
    <n v="27000"/>
    <x v="3"/>
    <s v="Delivered"/>
    <n v="55000"/>
    <n v="16.36363636363636"/>
    <s v="Profit"/>
    <s v="Harini Khan"/>
    <x v="0"/>
    <x v="3"/>
    <s v="Bhubaneswar"/>
    <s v="Odisha"/>
    <s v="2023-01-28"/>
    <s v="26-35"/>
    <n v="9000"/>
  </r>
  <r>
    <s v="ORD00578"/>
    <d v="2026-05-01T00:00:00"/>
    <s v="CUST0146"/>
    <x v="2"/>
    <x v="5"/>
    <n v="2"/>
    <n v="0.1"/>
    <n v="19800"/>
    <n v="3632.73"/>
    <x v="2"/>
    <s v="Delivered"/>
    <n v="9900"/>
    <n v="18.347121212121209"/>
    <s v="Profit"/>
    <s v="Priya Das"/>
    <x v="3"/>
    <x v="3"/>
    <s v="Patna"/>
    <s v="Bihar"/>
    <s v="2024-06-19"/>
    <s v="26-35"/>
    <n v="1816.365"/>
  </r>
  <r>
    <s v="ORD00579"/>
    <d v="2026-06-04T00:00:00"/>
    <s v="CUST0334"/>
    <x v="3"/>
    <x v="10"/>
    <n v="1"/>
    <n v="0.15"/>
    <n v="46750"/>
    <n v="-25389.09"/>
    <x v="1"/>
    <s v="Returned"/>
    <n v="46750"/>
    <n v="-54.308213903743322"/>
    <s v="Loss"/>
    <s v="Rahul Joshi"/>
    <x v="1"/>
    <x v="0"/>
    <s v="Hyderabad"/>
    <s v="Telangana"/>
    <s v="2024-05-26"/>
    <s v="26-35"/>
    <n v="-25389.09"/>
  </r>
  <r>
    <s v="ORD00580"/>
    <d v="2026-07-22T00:00:00"/>
    <s v="CUST0308"/>
    <x v="0"/>
    <x v="7"/>
    <n v="10"/>
    <n v="0.1"/>
    <n v="8100"/>
    <n v="2137.08"/>
    <x v="1"/>
    <s v="Delivered"/>
    <n v="810"/>
    <n v="26.383703703703699"/>
    <s v="Profit"/>
    <s v="Divya Naidu"/>
    <x v="2"/>
    <x v="0"/>
    <s v="Bengaluru"/>
    <s v="Karnataka"/>
    <s v="2025-12-11"/>
    <s v="51+"/>
    <n v="213.708"/>
  </r>
  <r>
    <s v="ORD00581"/>
    <d v="2025-12-22T00:00:00"/>
    <s v="CUST0555"/>
    <x v="1"/>
    <x v="12"/>
    <n v="1"/>
    <n v="0.15"/>
    <n v="1190"/>
    <n v="-25.65"/>
    <x v="1"/>
    <s v="Returned"/>
    <n v="1190"/>
    <n v="-2.155462184873949"/>
    <s v="Loss"/>
    <s v="Aarav Mehta"/>
    <x v="0"/>
    <x v="0"/>
    <s v="Coimbatore"/>
    <s v="Tamil Nadu"/>
    <s v="2023-05-19"/>
    <s v="51+"/>
    <n v="-25.65"/>
  </r>
  <r>
    <s v="ORD00582"/>
    <d v="2025-07-06T00:00:00"/>
    <s v="CUST0118"/>
    <x v="3"/>
    <x v="4"/>
    <n v="1"/>
    <n v="0.05"/>
    <n v="17100"/>
    <n v="3063.36"/>
    <x v="3"/>
    <s v="Delivered"/>
    <n v="17100"/>
    <n v="17.914385964912281"/>
    <s v="Profit"/>
    <s v="Aarav Iyer"/>
    <x v="0"/>
    <x v="1"/>
    <s v="Mumbai"/>
    <s v="Maharashtra"/>
    <s v="2025-03-16"/>
    <s v="36-50"/>
    <n v="3063.36"/>
  </r>
  <r>
    <s v="ORD00583"/>
    <d v="2026-05-11T00:00:00"/>
    <s v="CUST0241"/>
    <x v="0"/>
    <x v="14"/>
    <n v="2"/>
    <n v="0"/>
    <n v="900"/>
    <n v="220"/>
    <x v="2"/>
    <s v="Delivered"/>
    <n v="450"/>
    <n v="24.444444444444439"/>
    <s v="Profit"/>
    <s v="Harini Menon"/>
    <x v="0"/>
    <x v="1"/>
    <s v="Pune"/>
    <s v="Maharashtra"/>
    <s v="2023-01-16"/>
    <s v="18-25"/>
    <n v="110"/>
  </r>
  <r>
    <s v="ORD00584"/>
    <d v="2026-08-08T00:00:00"/>
    <s v="CUST0402"/>
    <x v="0"/>
    <x v="7"/>
    <n v="1"/>
    <n v="0"/>
    <n v="900"/>
    <n v="280"/>
    <x v="2"/>
    <s v="Delivered"/>
    <n v="900"/>
    <n v="31.111111111111111"/>
    <s v="Profit"/>
    <s v="Diya Pillai"/>
    <x v="1"/>
    <x v="0"/>
    <s v="Chennai"/>
    <s v="Tamil Nadu"/>
    <s v="2025-08-08"/>
    <s v="36-50"/>
    <n v="280"/>
  </r>
  <r>
    <s v="ORD00585"/>
    <d v="2025-07-04T00:00:00"/>
    <s v="CUST0337"/>
    <x v="2"/>
    <x v="5"/>
    <n v="3"/>
    <n v="0.1"/>
    <n v="29700"/>
    <n v="6108.03"/>
    <x v="3"/>
    <s v="Delivered"/>
    <n v="9900"/>
    <n v="20.56575757575758"/>
    <s v="Profit"/>
    <s v="Varun Das"/>
    <x v="1"/>
    <x v="3"/>
    <s v="Kolkata"/>
    <s v="West Bengal"/>
    <s v="2023-06-16"/>
    <s v="51+"/>
    <n v="2036.01"/>
  </r>
  <r>
    <s v="ORD00586"/>
    <d v="2026-06-13T00:00:00"/>
    <s v="CUST0319"/>
    <x v="0"/>
    <x v="0"/>
    <n v="2"/>
    <n v="0.05"/>
    <n v="26600"/>
    <n v="4421.34"/>
    <x v="2"/>
    <s v="Delivered"/>
    <n v="13300"/>
    <n v="16.62157894736842"/>
    <s v="Profit"/>
    <s v="Vikram Sharma"/>
    <x v="0"/>
    <x v="0"/>
    <s v="Bengaluru"/>
    <s v="Karnataka"/>
    <s v="2024-01-16"/>
    <s v="26-35"/>
    <n v="2210.67"/>
  </r>
  <r>
    <s v="ORD00587"/>
    <d v="2026-02-17T00:00:00"/>
    <s v="CUST0586"/>
    <x v="2"/>
    <x v="2"/>
    <n v="1"/>
    <n v="0.1"/>
    <n v="11700"/>
    <n v="2332.7399999999998"/>
    <x v="3"/>
    <s v="Delivered"/>
    <n v="11700"/>
    <n v="19.937948717948721"/>
    <s v="Profit"/>
    <s v="Sanjay Mehta"/>
    <x v="1"/>
    <x v="0"/>
    <s v="Chennai"/>
    <s v="Tamil Nadu"/>
    <s v="2023-09-11"/>
    <s v="26-35"/>
    <n v="2332.7399999999998"/>
  </r>
  <r>
    <s v="ORD00588"/>
    <d v="2025-10-15T00:00:00"/>
    <s v="CUST0489"/>
    <x v="1"/>
    <x v="12"/>
    <n v="1"/>
    <n v="0.2"/>
    <n v="1120"/>
    <n v="364.85"/>
    <x v="1"/>
    <s v="Delivered"/>
    <n v="1120"/>
    <n v="32.575892857142847"/>
    <s v="Profit"/>
    <s v="Kavya Das"/>
    <x v="0"/>
    <x v="0"/>
    <s v="Coimbatore"/>
    <s v="Tamil Nadu"/>
    <s v="2024-03-29"/>
    <s v="26-35"/>
    <n v="364.85"/>
  </r>
  <r>
    <s v="ORD00589"/>
    <d v="2025-07-10T00:00:00"/>
    <s v="CUST0444"/>
    <x v="2"/>
    <x v="9"/>
    <n v="3"/>
    <n v="0.2"/>
    <n v="21600"/>
    <n v="4109.97"/>
    <x v="2"/>
    <s v="Delivered"/>
    <n v="7200"/>
    <n v="19.027638888888891"/>
    <s v="Profit"/>
    <s v="Harini Naidu"/>
    <x v="0"/>
    <x v="3"/>
    <s v="Guwahati"/>
    <s v="Assam"/>
    <s v="2023-05-21"/>
    <s v="18-25"/>
    <n v="1369.99"/>
  </r>
  <r>
    <s v="ORD00590"/>
    <d v="2025-12-04T00:00:00"/>
    <s v="CUST0065"/>
    <x v="3"/>
    <x v="11"/>
    <n v="1"/>
    <n v="0"/>
    <n v="2500"/>
    <n v="800"/>
    <x v="1"/>
    <s v="Delivered"/>
    <n v="2500"/>
    <n v="32"/>
    <s v="Profit"/>
    <s v="Sneha Singh"/>
    <x v="0"/>
    <x v="0"/>
    <s v="Hyderabad"/>
    <s v="Telangana"/>
    <s v="2023-03-24"/>
    <s v="18-25"/>
    <n v="800"/>
  </r>
  <r>
    <s v="ORD00591"/>
    <d v="2026-02-05T00:00:00"/>
    <s v="CUST0205"/>
    <x v="2"/>
    <x v="9"/>
    <n v="1"/>
    <n v="0.1"/>
    <n v="8100"/>
    <n v="1543.95"/>
    <x v="2"/>
    <s v="Delivered"/>
    <n v="8100"/>
    <n v="19.06111111111111"/>
    <s v="Profit"/>
    <s v="Diya Mishra"/>
    <x v="1"/>
    <x v="3"/>
    <s v="Kolkata"/>
    <s v="West Bengal"/>
    <s v="2025-10-19"/>
    <s v="18-25"/>
    <n v="1543.95"/>
  </r>
  <r>
    <s v="ORD00592"/>
    <d v="2025-12-18T00:00:00"/>
    <s v="CUST0336"/>
    <x v="1"/>
    <x v="13"/>
    <n v="1"/>
    <n v="0.1"/>
    <n v="3780"/>
    <n v="869.68"/>
    <x v="1"/>
    <s v="Delivered"/>
    <n v="3780"/>
    <n v="23.00740740740741"/>
    <s v="Profit"/>
    <s v="Akash Khan"/>
    <x v="0"/>
    <x v="1"/>
    <s v="Surat"/>
    <s v="Gujarat"/>
    <s v="2023-09-13"/>
    <s v="36-50"/>
    <n v="869.68"/>
  </r>
  <r>
    <s v="ORD00593"/>
    <d v="2025-10-15T00:00:00"/>
    <s v="CUST0463"/>
    <x v="3"/>
    <x v="4"/>
    <n v="5"/>
    <n v="0"/>
    <n v="90000"/>
    <n v="17500"/>
    <x v="3"/>
    <s v="Delivered"/>
    <n v="18000"/>
    <n v="19.44444444444445"/>
    <s v="Profit"/>
    <s v="Shreya Patel"/>
    <x v="0"/>
    <x v="0"/>
    <s v="Coimbatore"/>
    <s v="Tamil Nadu"/>
    <s v="2024-02-20"/>
    <s v="51+"/>
    <n v="3500"/>
  </r>
  <r>
    <s v="ORD00594"/>
    <d v="2025-10-03T00:00:00"/>
    <s v="CUST0596"/>
    <x v="3"/>
    <x v="10"/>
    <n v="4"/>
    <n v="0.05"/>
    <n v="209000"/>
    <n v="28668.28"/>
    <x v="3"/>
    <s v="Delivered"/>
    <n v="52250"/>
    <n v="13.71688038277512"/>
    <s v="Profit"/>
    <s v="Manoj Rao"/>
    <x v="0"/>
    <x v="0"/>
    <s v="Bengaluru"/>
    <s v="Karnataka"/>
    <s v="2024-01-21"/>
    <s v="18-25"/>
    <n v="7167.07"/>
  </r>
  <r>
    <s v="ORD00595"/>
    <d v="2026-08-28T00:00:00"/>
    <s v="CUST0251"/>
    <x v="2"/>
    <x v="2"/>
    <n v="3"/>
    <n v="0"/>
    <n v="39000"/>
    <n v="9600"/>
    <x v="0"/>
    <s v="Delivered"/>
    <n v="13000"/>
    <n v="24.61538461538462"/>
    <s v="Profit"/>
    <s v="Arjun Verma"/>
    <x v="2"/>
    <x v="0"/>
    <s v="Coimbatore"/>
    <s v="Tamil Nadu"/>
    <s v="2023-06-16"/>
    <s v="36-50"/>
    <n v="3200"/>
  </r>
  <r>
    <s v="ORD00596"/>
    <d v="2026-06-03T00:00:00"/>
    <s v="CUST0067"/>
    <x v="2"/>
    <x v="9"/>
    <n v="6"/>
    <n v="0.05"/>
    <n v="51300"/>
    <n v="-11212.54"/>
    <x v="2"/>
    <s v="Returned"/>
    <n v="8550"/>
    <n v="-21.856803118908381"/>
    <s v="Loss"/>
    <s v="Varun Joshi"/>
    <x v="0"/>
    <x v="0"/>
    <s v="Chennai"/>
    <s v="Tamil Nadu"/>
    <s v="2024-10-29"/>
    <s v="26-35"/>
    <n v="-1868.7566666666669"/>
  </r>
  <r>
    <s v="ORD00597"/>
    <d v="2026-02-26T00:00:00"/>
    <s v="CUST0163"/>
    <x v="0"/>
    <x v="6"/>
    <n v="1"/>
    <n v="0.2"/>
    <n v="280"/>
    <n v="81.98"/>
    <x v="1"/>
    <s v="Delivered"/>
    <n v="280"/>
    <n v="29.278571428571428"/>
    <s v="Profit"/>
    <s v="Rohan Iyer"/>
    <x v="2"/>
    <x v="2"/>
    <s v="Jaipur"/>
    <s v="Rajasthan"/>
    <s v="2024-05-11"/>
    <s v="18-25"/>
    <n v="81.98"/>
  </r>
  <r>
    <s v="ORD00598"/>
    <d v="2026-04-25T00:00:00"/>
    <s v="CUST0543"/>
    <x v="0"/>
    <x v="0"/>
    <n v="5"/>
    <n v="0.05"/>
    <n v="66500"/>
    <n v="11295.4"/>
    <x v="2"/>
    <s v="Delivered"/>
    <n v="13300"/>
    <n v="16.985563909774431"/>
    <s v="Profit"/>
    <s v="Ananya Iyer"/>
    <x v="1"/>
    <x v="0"/>
    <s v="Chennai"/>
    <s v="Tamil Nadu"/>
    <s v="2025-10-16"/>
    <s v="26-35"/>
    <n v="2259.08"/>
  </r>
  <r>
    <s v="ORD00599"/>
    <d v="2026-01-19T00:00:00"/>
    <s v="CUST0259"/>
    <x v="3"/>
    <x v="8"/>
    <n v="15"/>
    <n v="0.05"/>
    <n v="64125"/>
    <n v="20078.18"/>
    <x v="1"/>
    <s v="Shipped"/>
    <n v="4275"/>
    <n v="31.311001949317738"/>
    <s v="Profit"/>
    <s v="Manoj Menon"/>
    <x v="2"/>
    <x v="0"/>
    <s v="Coimbatore"/>
    <s v="Tamil Nadu"/>
    <s v="2023-10-20"/>
    <s v="26-35"/>
    <n v="1338.545333333333"/>
  </r>
  <r>
    <s v="ORD00600"/>
    <d v="2025-10-03T00:00:00"/>
    <s v="CUST0286"/>
    <x v="0"/>
    <x v="7"/>
    <n v="2"/>
    <n v="0.1"/>
    <n v="1620"/>
    <n v="431.21"/>
    <x v="2"/>
    <s v="Delivered"/>
    <n v="810"/>
    <n v="26.617901234567899"/>
    <s v="Profit"/>
    <s v="Meera Rao"/>
    <x v="2"/>
    <x v="3"/>
    <s v="Patna"/>
    <s v="Bihar"/>
    <s v="2023-12-05"/>
    <s v="26-35"/>
    <n v="215.60499999999999"/>
  </r>
  <r>
    <s v="ORD00601"/>
    <d v="2026-03-17T00:00:00"/>
    <s v="CUST0504"/>
    <x v="2"/>
    <x v="5"/>
    <n v="2"/>
    <n v="0.1"/>
    <n v="19800"/>
    <n v="3774.01"/>
    <x v="0"/>
    <s v="Delivered"/>
    <n v="9900"/>
    <n v="19.060656565656569"/>
    <s v="Profit"/>
    <s v="Karthik Khan"/>
    <x v="2"/>
    <x v="1"/>
    <s v="Pune"/>
    <s v="Maharashtra"/>
    <s v="2024-10-02"/>
    <s v="36-50"/>
    <n v="1887.0050000000001"/>
  </r>
  <r>
    <s v="ORD00602"/>
    <d v="2025-07-18T00:00:00"/>
    <s v="CUST0108"/>
    <x v="1"/>
    <x v="15"/>
    <n v="3"/>
    <n v="0.2"/>
    <n v="5280"/>
    <n v="1647.38"/>
    <x v="0"/>
    <s v="Delivered"/>
    <n v="1760"/>
    <n v="31.20037878787879"/>
    <s v="Profit"/>
    <s v="Ananya Sharma"/>
    <x v="1"/>
    <x v="2"/>
    <s v="Chandigarh"/>
    <s v="Chandigarh"/>
    <s v="2025-12-04"/>
    <s v="26-35"/>
    <n v="549.12666666666667"/>
  </r>
  <r>
    <s v="ORD00603"/>
    <d v="2025-09-08T00:00:00"/>
    <s v="CUST0234"/>
    <x v="0"/>
    <x v="14"/>
    <n v="10"/>
    <n v="0.1"/>
    <n v="4050"/>
    <n v="747.66"/>
    <x v="1"/>
    <s v="Shipped"/>
    <n v="405"/>
    <n v="18.460740740740739"/>
    <s v="Profit"/>
    <s v="Ishaan Sharma"/>
    <x v="0"/>
    <x v="4"/>
    <s v="Jaipur"/>
    <s v="Rajasthan"/>
    <s v="2024-04-02"/>
    <s v="26-35"/>
    <n v="74.765999999999991"/>
  </r>
  <r>
    <s v="ORD00604"/>
    <d v="2025-10-02T00:00:00"/>
    <s v="CUST0343"/>
    <x v="0"/>
    <x v="0"/>
    <n v="5"/>
    <n v="0.2"/>
    <n v="56000"/>
    <n v="4207.96"/>
    <x v="2"/>
    <s v="Delivered"/>
    <n v="11200"/>
    <n v="7.5142142857142851"/>
    <s v="Profit"/>
    <s v="Meera Iyer"/>
    <x v="0"/>
    <x v="0"/>
    <s v="Bengaluru"/>
    <s v="Karnataka"/>
    <s v="2024-08-02"/>
    <s v="36-50"/>
    <n v="841.59199999999998"/>
  </r>
  <r>
    <s v="ORD00605"/>
    <d v="2025-09-30T00:00:00"/>
    <s v="CUST0397"/>
    <x v="2"/>
    <x v="2"/>
    <n v="2"/>
    <n v="0"/>
    <n v="26000"/>
    <n v="6400"/>
    <x v="0"/>
    <s v="Shipped"/>
    <n v="13000"/>
    <n v="24.61538461538462"/>
    <s v="Profit"/>
    <s v="Akash Reddy"/>
    <x v="0"/>
    <x v="1"/>
    <s v="Pune"/>
    <s v="Maharashtra"/>
    <s v="2023-04-16"/>
    <s v="36-50"/>
    <n v="3200"/>
  </r>
  <r>
    <s v="ORD00606"/>
    <d v="2026-06-12T00:00:00"/>
    <s v="CUST0106"/>
    <x v="3"/>
    <x v="4"/>
    <n v="1"/>
    <n v="0.05"/>
    <n v="17100"/>
    <n v="2851.14"/>
    <x v="0"/>
    <s v="Delivered"/>
    <n v="17100"/>
    <n v="16.673333333333328"/>
    <s v="Profit"/>
    <s v="Kavya Nair"/>
    <x v="1"/>
    <x v="0"/>
    <s v="Coimbatore"/>
    <s v="Tamil Nadu"/>
    <s v="2025-07-06"/>
    <s v="36-50"/>
    <n v="2851.14"/>
  </r>
  <r>
    <s v="ORD00607"/>
    <d v="2026-06-22T00:00:00"/>
    <s v="CUST0598"/>
    <x v="0"/>
    <x v="6"/>
    <n v="2"/>
    <n v="0.1"/>
    <n v="630"/>
    <n v="184.68"/>
    <x v="0"/>
    <s v="Delivered"/>
    <n v="315"/>
    <n v="29.31428571428572"/>
    <s v="Profit"/>
    <s v="Arjun Das"/>
    <x v="0"/>
    <x v="0"/>
    <s v="Hyderabad"/>
    <s v="Telangana"/>
    <s v="2024-07-07"/>
    <s v="36-50"/>
    <n v="92.34"/>
  </r>
  <r>
    <s v="ORD00608"/>
    <d v="2026-03-04T00:00:00"/>
    <s v="CUST0078"/>
    <x v="2"/>
    <x v="5"/>
    <n v="2"/>
    <n v="0.15"/>
    <n v="18700"/>
    <n v="2640.99"/>
    <x v="2"/>
    <s v="Delivered"/>
    <n v="9350"/>
    <n v="14.12294117647059"/>
    <s v="Profit"/>
    <s v="Harini Khan"/>
    <x v="0"/>
    <x v="3"/>
    <s v="Bhubaneswar"/>
    <s v="Odisha"/>
    <s v="2024-10-05"/>
    <s v="26-35"/>
    <n v="1320.4949999999999"/>
  </r>
  <r>
    <s v="ORD00609"/>
    <d v="2025-08-17T00:00:00"/>
    <s v="CUST0332"/>
    <x v="2"/>
    <x v="5"/>
    <n v="5"/>
    <n v="0.1"/>
    <n v="49500"/>
    <n v="9490.06"/>
    <x v="3"/>
    <s v="Delivered"/>
    <n v="9900"/>
    <n v="19.171838383838381"/>
    <s v="Profit"/>
    <s v="Vikram Rao"/>
    <x v="1"/>
    <x v="0"/>
    <s v="Coimbatore"/>
    <s v="Tamil Nadu"/>
    <s v="2023-07-04"/>
    <s v="26-35"/>
    <n v="1898.0119999999999"/>
  </r>
  <r>
    <s v="ORD00610"/>
    <d v="2026-04-19T00:00:00"/>
    <s v="CUST0474"/>
    <x v="1"/>
    <x v="1"/>
    <n v="6"/>
    <n v="0.1"/>
    <n v="9720"/>
    <n v="3278.41"/>
    <x v="0"/>
    <s v="Delivered"/>
    <n v="1620"/>
    <n v="33.728497942386831"/>
    <s v="Profit"/>
    <s v="Meera Chopra"/>
    <x v="2"/>
    <x v="0"/>
    <s v="Hyderabad"/>
    <s v="Telangana"/>
    <s v="2023-02-16"/>
    <s v="36-50"/>
    <n v="546.40166666666664"/>
  </r>
  <r>
    <s v="ORD00611"/>
    <d v="2025-10-19T00:00:00"/>
    <s v="CUST0559"/>
    <x v="1"/>
    <x v="15"/>
    <n v="3"/>
    <n v="0.05"/>
    <n v="6270"/>
    <n v="1987.46"/>
    <x v="0"/>
    <s v="Shipped"/>
    <n v="2090"/>
    <n v="31.697926634768741"/>
    <s v="Profit"/>
    <s v="Karthik Pillai"/>
    <x v="2"/>
    <x v="1"/>
    <s v="Ahmedabad"/>
    <s v="Gujarat"/>
    <s v="2024-02-26"/>
    <s v="51+"/>
    <n v="662.48666666666668"/>
  </r>
  <r>
    <s v="ORD00612"/>
    <d v="2026-06-23T00:00:00"/>
    <s v="CUST0213"/>
    <x v="1"/>
    <x v="13"/>
    <n v="2"/>
    <n v="0"/>
    <n v="8400"/>
    <n v="2400"/>
    <x v="3"/>
    <s v="Delivered"/>
    <n v="4200"/>
    <n v="28.571428571428569"/>
    <s v="Profit"/>
    <s v="Shreya Bose"/>
    <x v="1"/>
    <x v="2"/>
    <s v="Lucknow"/>
    <s v="Uttar Pradesh"/>
    <s v="2025-03-13"/>
    <s v="26-35"/>
    <n v="1200"/>
  </r>
  <r>
    <s v="ORD00613"/>
    <d v="2026-03-22T00:00:00"/>
    <s v="CUST0405"/>
    <x v="1"/>
    <x v="15"/>
    <n v="3"/>
    <n v="0.1"/>
    <n v="5940"/>
    <n v="1937.1"/>
    <x v="0"/>
    <s v="Delivered"/>
    <n v="1980"/>
    <n v="32.611111111111107"/>
    <s v="Profit"/>
    <s v="Varun Naidu"/>
    <x v="0"/>
    <x v="0"/>
    <s v="Chennai"/>
    <s v="Tamil Nadu"/>
    <s v="2024-05-06"/>
    <s v="26-35"/>
    <n v="645.69999999999993"/>
  </r>
  <r>
    <s v="ORD00614"/>
    <d v="2025-08-25T00:00:00"/>
    <s v="CUST0350"/>
    <x v="0"/>
    <x v="0"/>
    <n v="3"/>
    <n v="0.15"/>
    <n v="35700"/>
    <n v="5516.62"/>
    <x v="1"/>
    <s v="Delivered"/>
    <n v="11900"/>
    <n v="15.452717086834729"/>
    <s v="Profit"/>
    <s v="Diya Pillai"/>
    <x v="2"/>
    <x v="1"/>
    <s v="Pune"/>
    <s v="Maharashtra"/>
    <s v="2025-08-02"/>
    <s v="18-25"/>
    <n v="1838.873333333333"/>
  </r>
  <r>
    <s v="ORD00615"/>
    <d v="2026-02-09T00:00:00"/>
    <s v="CUST0592"/>
    <x v="3"/>
    <x v="8"/>
    <n v="10"/>
    <n v="0.1"/>
    <n v="40500"/>
    <n v="12242.37"/>
    <x v="2"/>
    <s v="Delivered"/>
    <n v="4050"/>
    <n v="30.228074074074069"/>
    <s v="Profit"/>
    <s v="Priya Kulkarni"/>
    <x v="0"/>
    <x v="3"/>
    <s v="Patna"/>
    <s v="Bihar"/>
    <s v="2023-07-25"/>
    <s v="26-35"/>
    <n v="1224.2370000000001"/>
  </r>
  <r>
    <s v="ORD00616"/>
    <d v="2026-06-13T00:00:00"/>
    <s v="CUST0390"/>
    <x v="2"/>
    <x v="5"/>
    <n v="4"/>
    <n v="0.1"/>
    <n v="39600"/>
    <n v="7179.85"/>
    <x v="0"/>
    <s v="Shipped"/>
    <n v="9900"/>
    <n v="18.13093434343434"/>
    <s v="Profit"/>
    <s v="Aditya Bose"/>
    <x v="0"/>
    <x v="3"/>
    <s v="Bhubaneswar"/>
    <s v="Odisha"/>
    <s v="2024-04-07"/>
    <s v="26-35"/>
    <n v="1794.9625000000001"/>
  </r>
  <r>
    <s v="ORD00617"/>
    <d v="2026-03-22T00:00:00"/>
    <s v="CUST0288"/>
    <x v="1"/>
    <x v="1"/>
    <n v="5"/>
    <n v="0.1"/>
    <n v="8100"/>
    <n v="2672.59"/>
    <x v="1"/>
    <s v="Delivered"/>
    <n v="1620"/>
    <n v="32.994938271604937"/>
    <s v="Profit"/>
    <s v="Karthik Reddy"/>
    <x v="1"/>
    <x v="2"/>
    <s v="Lucknow"/>
    <s v="Uttar Pradesh"/>
    <s v="2024-02-24"/>
    <s v="36-50"/>
    <n v="534.51800000000003"/>
  </r>
  <r>
    <s v="ORD00618"/>
    <d v="2025-07-18T00:00:00"/>
    <s v="CUST0037"/>
    <x v="3"/>
    <x v="4"/>
    <n v="3"/>
    <n v="0.1"/>
    <n v="48600"/>
    <n v="7697.35"/>
    <x v="3"/>
    <s v="Delivered"/>
    <n v="16200"/>
    <n v="15.838168724279839"/>
    <s v="Profit"/>
    <s v="Aarav Iyer"/>
    <x v="0"/>
    <x v="1"/>
    <s v="Pune"/>
    <s v="Maharashtra"/>
    <s v="2024-02-21"/>
    <s v="26-35"/>
    <n v="2565.7833333333328"/>
  </r>
  <r>
    <s v="ORD00619"/>
    <d v="2026-02-17T00:00:00"/>
    <s v="CUST0298"/>
    <x v="1"/>
    <x v="12"/>
    <n v="3"/>
    <n v="0.15"/>
    <n v="3570"/>
    <n v="1202.6300000000001"/>
    <x v="1"/>
    <s v="Delivered"/>
    <n v="1190"/>
    <n v="33.687114845938368"/>
    <s v="Profit"/>
    <s v="Diya Joshi"/>
    <x v="0"/>
    <x v="0"/>
    <s v="Chennai"/>
    <s v="Tamil Nadu"/>
    <s v="2025-01-10"/>
    <s v="18-25"/>
    <n v="400.87666666666672"/>
  </r>
  <r>
    <s v="ORD00620"/>
    <d v="2026-04-25T00:00:00"/>
    <s v="CUST0455"/>
    <x v="1"/>
    <x v="1"/>
    <n v="6"/>
    <n v="0"/>
    <n v="10800"/>
    <n v="3900"/>
    <x v="0"/>
    <s v="Delivered"/>
    <n v="1800"/>
    <n v="36.111111111111107"/>
    <s v="Profit"/>
    <s v="Priya Sharma"/>
    <x v="0"/>
    <x v="0"/>
    <s v="Hyderabad"/>
    <s v="Telangana"/>
    <s v="2023-12-10"/>
    <s v="26-35"/>
    <n v="650"/>
  </r>
  <r>
    <s v="ORD00621"/>
    <d v="2026-01-04T00:00:00"/>
    <s v="CUST0106"/>
    <x v="0"/>
    <x v="0"/>
    <n v="3"/>
    <n v="0.15"/>
    <n v="35700"/>
    <n v="3869.78"/>
    <x v="5"/>
    <s v="Delivered"/>
    <n v="11900"/>
    <n v="10.83971988795518"/>
    <s v="Profit"/>
    <s v="Kavya Nair"/>
    <x v="1"/>
    <x v="0"/>
    <s v="Coimbatore"/>
    <s v="Tamil Nadu"/>
    <s v="2025-07-06"/>
    <s v="36-50"/>
    <n v="1289.926666666667"/>
  </r>
  <r>
    <s v="ORD00622"/>
    <d v="2025-10-10T00:00:00"/>
    <s v="CUST0542"/>
    <x v="2"/>
    <x v="9"/>
    <n v="6"/>
    <n v="0.15"/>
    <n v="45900"/>
    <n v="-18627.03"/>
    <x v="2"/>
    <s v="Returned"/>
    <n v="7650"/>
    <n v="-40.58176470588235"/>
    <s v="Loss"/>
    <s v="Vikram Rao"/>
    <x v="1"/>
    <x v="0"/>
    <s v="Bengaluru"/>
    <s v="Karnataka"/>
    <s v="2023-06-19"/>
    <s v="36-50"/>
    <n v="-3104.5050000000001"/>
  </r>
  <r>
    <s v="ORD00623"/>
    <d v="2025-08-17T00:00:00"/>
    <s v="CUST0194"/>
    <x v="3"/>
    <x v="4"/>
    <n v="1"/>
    <n v="0.05"/>
    <n v="17100"/>
    <n v="2837.97"/>
    <x v="0"/>
    <s v="Delivered"/>
    <n v="17100"/>
    <n v="16.596315789473689"/>
    <s v="Profit"/>
    <s v="Diya Singh"/>
    <x v="0"/>
    <x v="3"/>
    <s v="Guwahati"/>
    <s v="Assam"/>
    <s v="2025-09-18"/>
    <s v="51+"/>
    <n v="2837.97"/>
  </r>
  <r>
    <s v="ORD00624"/>
    <d v="2026-06-24T00:00:00"/>
    <s v="CUST0384"/>
    <x v="2"/>
    <x v="2"/>
    <n v="6"/>
    <n v="0.05"/>
    <n v="74100"/>
    <n v="17101.169999999998"/>
    <x v="0"/>
    <s v="Delivered"/>
    <n v="12350"/>
    <n v="23.078502024291499"/>
    <s v="Profit"/>
    <s v="Pooja Gupta"/>
    <x v="1"/>
    <x v="1"/>
    <s v="Pune"/>
    <s v="Maharashtra"/>
    <s v="2025-11-14"/>
    <s v="36-50"/>
    <n v="2850.1950000000002"/>
  </r>
  <r>
    <s v="ORD00625"/>
    <d v="2025-10-14T00:00:00"/>
    <s v="CUST0046"/>
    <x v="2"/>
    <x v="5"/>
    <n v="5"/>
    <n v="0.15"/>
    <n v="46750"/>
    <n v="9124.07"/>
    <x v="3"/>
    <s v="Shipped"/>
    <n v="9350"/>
    <n v="19.51672727272727"/>
    <s v="Profit"/>
    <s v="Kavya Pillai"/>
    <x v="1"/>
    <x v="3"/>
    <s v="Kolkata"/>
    <s v="West Bengal"/>
    <s v="2025-11-12"/>
    <s v="36-50"/>
    <n v="1824.8140000000001"/>
  </r>
  <r>
    <s v="ORD00626"/>
    <d v="2026-03-15T00:00:00"/>
    <s v="CUST0141"/>
    <x v="2"/>
    <x v="2"/>
    <n v="2"/>
    <n v="0.15"/>
    <n v="22100"/>
    <n v="4146.4399999999996"/>
    <x v="1"/>
    <s v="Delivered"/>
    <n v="11050"/>
    <n v="18.76217194570135"/>
    <s v="Profit"/>
    <s v="Kavya Reddy"/>
    <x v="2"/>
    <x v="0"/>
    <s v="Bengaluru"/>
    <s v="Karnataka"/>
    <s v="2023-09-02"/>
    <s v="26-35"/>
    <n v="2073.2199999999998"/>
  </r>
  <r>
    <s v="ORD00627"/>
    <d v="2025-07-28T00:00:00"/>
    <s v="CUST0438"/>
    <x v="2"/>
    <x v="3"/>
    <n v="2"/>
    <n v="0.15"/>
    <n v="25500"/>
    <n v="3530.78"/>
    <x v="2"/>
    <s v="Delivered"/>
    <n v="12750"/>
    <n v="13.846196078431371"/>
    <s v="Profit"/>
    <s v="Diya Nair"/>
    <x v="0"/>
    <x v="3"/>
    <s v="Bhubaneswar"/>
    <s v="Odisha"/>
    <s v="2024-03-15"/>
    <s v="51+"/>
    <n v="1765.39"/>
  </r>
  <r>
    <s v="ORD00628"/>
    <d v="2026-06-02T00:00:00"/>
    <s v="CUST0303"/>
    <x v="0"/>
    <x v="0"/>
    <n v="1"/>
    <n v="0.05"/>
    <n v="13300"/>
    <n v="2467.23"/>
    <x v="0"/>
    <s v="Shipped"/>
    <n v="13300"/>
    <n v="18.550601503759399"/>
    <s v="Profit"/>
    <s v="Aarav Sharma"/>
    <x v="1"/>
    <x v="0"/>
    <s v="Bengaluru"/>
    <s v="Karnataka"/>
    <s v="2024-12-30"/>
    <s v="26-35"/>
    <n v="2467.23"/>
  </r>
  <r>
    <s v="ORD00629"/>
    <d v="2025-09-02T00:00:00"/>
    <s v="CUST0427"/>
    <x v="0"/>
    <x v="7"/>
    <n v="1"/>
    <n v="0.15"/>
    <n v="765"/>
    <n v="205.66"/>
    <x v="3"/>
    <s v="Delivered"/>
    <n v="765"/>
    <n v="26.883660130718951"/>
    <s v="Profit"/>
    <s v="Nisha Mehta"/>
    <x v="1"/>
    <x v="0"/>
    <s v="Chennai"/>
    <s v="Tamil Nadu"/>
    <s v="2025-08-11"/>
    <s v="51+"/>
    <n v="205.66"/>
  </r>
  <r>
    <s v="ORD00630"/>
    <d v="2025-09-09T00:00:00"/>
    <s v="CUST0401"/>
    <x v="3"/>
    <x v="11"/>
    <n v="1"/>
    <n v="0.05"/>
    <n v="2375"/>
    <n v="697.36"/>
    <x v="0"/>
    <s v="Delivered"/>
    <n v="2375"/>
    <n v="29.36252631578947"/>
    <s v="Profit"/>
    <s v="Ananya Nair"/>
    <x v="0"/>
    <x v="0"/>
    <s v="Hyderabad"/>
    <s v="Telangana"/>
    <s v="2024-04-08"/>
    <s v="26-35"/>
    <n v="697.36"/>
  </r>
  <r>
    <s v="ORD00631"/>
    <d v="2025-07-04T00:00:00"/>
    <s v="CUST0440"/>
    <x v="3"/>
    <x v="11"/>
    <n v="4"/>
    <n v="0"/>
    <n v="10000"/>
    <n v="3200"/>
    <x v="3"/>
    <s v="Delivered"/>
    <n v="2500"/>
    <n v="32"/>
    <s v="Profit"/>
    <s v="Harini Sharma"/>
    <x v="1"/>
    <x v="0"/>
    <s v="Hyderabad"/>
    <s v="Telangana"/>
    <s v="2024-06-03"/>
    <s v="18-25"/>
    <n v="800"/>
  </r>
  <r>
    <s v="ORD00632"/>
    <d v="2025-11-25T00:00:00"/>
    <s v="CUST0304"/>
    <x v="0"/>
    <x v="14"/>
    <n v="3"/>
    <n v="0.15"/>
    <n v="1147.5"/>
    <n v="197.11"/>
    <x v="0"/>
    <s v="Delivered"/>
    <n v="382.5"/>
    <n v="17.177342047930281"/>
    <s v="Profit"/>
    <s v="Ishaan Khan"/>
    <x v="2"/>
    <x v="0"/>
    <s v="Bengaluru"/>
    <s v="Karnataka"/>
    <s v="2024-12-10"/>
    <s v="26-35"/>
    <n v="65.703333333333333"/>
  </r>
  <r>
    <s v="ORD00633"/>
    <d v="2025-10-11T00:00:00"/>
    <s v="CUST0208"/>
    <x v="3"/>
    <x v="10"/>
    <n v="2"/>
    <n v="0.2"/>
    <n v="88000"/>
    <n v="2679.99"/>
    <x v="0"/>
    <s v="Delivered"/>
    <n v="44000"/>
    <n v="3.045443181818182"/>
    <s v="Profit"/>
    <s v="Sneha Pillai"/>
    <x v="0"/>
    <x v="0"/>
    <s v="Hyderabad"/>
    <s v="Telangana"/>
    <s v="2025-02-01"/>
    <s v="26-35"/>
    <n v="1339.9949999999999"/>
  </r>
  <r>
    <s v="ORD00634"/>
    <d v="2026-02-27T00:00:00"/>
    <s v="CUST0088"/>
    <x v="1"/>
    <x v="1"/>
    <n v="6"/>
    <n v="0"/>
    <n v="10800"/>
    <n v="3900"/>
    <x v="0"/>
    <s v="Delivered"/>
    <n v="1800"/>
    <n v="36.111111111111107"/>
    <s v="Profit"/>
    <s v="Sneha Verma"/>
    <x v="1"/>
    <x v="0"/>
    <s v="Chennai"/>
    <s v="Tamil Nadu"/>
    <s v="2023-06-12"/>
    <s v="26-35"/>
    <n v="650"/>
  </r>
  <r>
    <s v="ORD00635"/>
    <d v="2025-12-22T00:00:00"/>
    <s v="CUST0582"/>
    <x v="0"/>
    <x v="14"/>
    <n v="4"/>
    <n v="0.15"/>
    <n v="1530"/>
    <n v="313.24"/>
    <x v="3"/>
    <s v="Delivered"/>
    <n v="382.5"/>
    <n v="20.47320261437909"/>
    <s v="Profit"/>
    <s v="Harini Verma"/>
    <x v="0"/>
    <x v="1"/>
    <s v="Surat"/>
    <s v="Gujarat"/>
    <s v="2024-11-22"/>
    <s v="26-35"/>
    <n v="78.31"/>
  </r>
  <r>
    <s v="ORD00636"/>
    <d v="2025-08-31T00:00:00"/>
    <s v="CUST0386"/>
    <x v="1"/>
    <x v="15"/>
    <n v="3"/>
    <n v="0.15"/>
    <n v="5610"/>
    <n v="1414.02"/>
    <x v="1"/>
    <s v="Shipped"/>
    <n v="1870"/>
    <n v="25.205347593582889"/>
    <s v="Profit"/>
    <s v="Pooja Kulkarni"/>
    <x v="0"/>
    <x v="0"/>
    <s v="Chennai"/>
    <s v="Tamil Nadu"/>
    <s v="2023-03-27"/>
    <s v="26-35"/>
    <n v="471.34"/>
  </r>
  <r>
    <s v="ORD00637"/>
    <d v="2026-04-12T00:00:00"/>
    <s v="CUST0093"/>
    <x v="2"/>
    <x v="5"/>
    <n v="4"/>
    <n v="0.1"/>
    <n v="39600"/>
    <n v="-13063.28"/>
    <x v="3"/>
    <s v="Returned"/>
    <n v="9900"/>
    <n v="-32.988080808080809"/>
    <s v="Loss"/>
    <s v="Sanjay Rao"/>
    <x v="0"/>
    <x v="3"/>
    <s v="Kolkata"/>
    <s v="West Bengal"/>
    <s v="2023-12-13"/>
    <s v="26-35"/>
    <n v="-3265.82"/>
  </r>
  <r>
    <s v="ORD00638"/>
    <d v="2026-05-15T00:00:00"/>
    <s v="CUST0353"/>
    <x v="1"/>
    <x v="13"/>
    <n v="3"/>
    <n v="0.1"/>
    <n v="11340"/>
    <n v="-5006.32"/>
    <x v="2"/>
    <s v="Returned"/>
    <n v="3780"/>
    <n v="-44.14744268077601"/>
    <s v="Loss"/>
    <s v="Aditya Iyer"/>
    <x v="2"/>
    <x v="0"/>
    <s v="Hyderabad"/>
    <s v="Telangana"/>
    <s v="2024-08-21"/>
    <s v="36-50"/>
    <n v="-1668.7733333333331"/>
  </r>
  <r>
    <s v="ORD00639"/>
    <d v="2025-10-25T00:00:00"/>
    <s v="CUST0360"/>
    <x v="2"/>
    <x v="5"/>
    <n v="6"/>
    <n v="0"/>
    <n v="66000"/>
    <n v="15600"/>
    <x v="1"/>
    <s v="Delivered"/>
    <n v="11000"/>
    <n v="23.63636363636364"/>
    <s v="Profit"/>
    <s v="Sneha Reddy"/>
    <x v="2"/>
    <x v="2"/>
    <s v="Lucknow"/>
    <s v="Uttar Pradesh"/>
    <s v="2024-02-17"/>
    <s v="18-25"/>
    <n v="2600"/>
  </r>
  <r>
    <s v="ORD00640"/>
    <d v="2026-06-27T00:00:00"/>
    <s v="CUST0332"/>
    <x v="0"/>
    <x v="7"/>
    <n v="5"/>
    <n v="0.05"/>
    <n v="4275"/>
    <n v="1215.6099999999999"/>
    <x v="3"/>
    <s v="Shipped"/>
    <n v="855"/>
    <n v="28.435321637426899"/>
    <s v="Profit"/>
    <s v="Vikram Rao"/>
    <x v="1"/>
    <x v="0"/>
    <s v="Coimbatore"/>
    <s v="Tamil Nadu"/>
    <s v="2023-07-04"/>
    <s v="26-35"/>
    <n v="243.12200000000001"/>
  </r>
  <r>
    <s v="ORD00641"/>
    <d v="2025-08-13T00:00:00"/>
    <s v="CUST0396"/>
    <x v="1"/>
    <x v="15"/>
    <n v="10"/>
    <n v="0"/>
    <n v="22000"/>
    <n v="7500"/>
    <x v="1"/>
    <s v="Shipped"/>
    <n v="2200"/>
    <n v="34.090909090909093"/>
    <s v="Profit"/>
    <s v="Rahul Mishra"/>
    <x v="0"/>
    <x v="0"/>
    <s v="Bengaluru"/>
    <s v="Karnataka"/>
    <s v="2023-05-26"/>
    <s v="18-25"/>
    <n v="750"/>
  </r>
  <r>
    <s v="ORD00642"/>
    <d v="2026-04-28T00:00:00"/>
    <s v="CUST0500"/>
    <x v="3"/>
    <x v="11"/>
    <n v="2"/>
    <n v="0.15"/>
    <n v="4250"/>
    <n v="1067.45"/>
    <x v="2"/>
    <s v="Delivered"/>
    <n v="2125"/>
    <n v="25.116470588235291"/>
    <s v="Profit"/>
    <s v="Akash Bose"/>
    <x v="0"/>
    <x v="1"/>
    <s v="Mumbai"/>
    <s v="Maharashtra"/>
    <s v="2024-06-01"/>
    <s v="36-50"/>
    <n v="533.72500000000002"/>
  </r>
  <r>
    <s v="ORD00643"/>
    <d v="2025-12-21T00:00:00"/>
    <s v="CUST0067"/>
    <x v="3"/>
    <x v="8"/>
    <n v="1"/>
    <n v="0.15"/>
    <n v="3825"/>
    <n v="986.39"/>
    <x v="3"/>
    <s v="Delivered"/>
    <n v="3825"/>
    <n v="25.787973856209149"/>
    <s v="Profit"/>
    <s v="Varun Joshi"/>
    <x v="0"/>
    <x v="0"/>
    <s v="Chennai"/>
    <s v="Tamil Nadu"/>
    <s v="2024-10-29"/>
    <s v="26-35"/>
    <n v="986.39"/>
  </r>
  <r>
    <s v="ORD00644"/>
    <d v="2025-08-05T00:00:00"/>
    <s v="CUST0098"/>
    <x v="3"/>
    <x v="11"/>
    <n v="1"/>
    <n v="0"/>
    <n v="2500"/>
    <n v="800"/>
    <x v="0"/>
    <s v="Delivered"/>
    <n v="2500"/>
    <n v="32"/>
    <s v="Profit"/>
    <s v="Diya Reddy"/>
    <x v="2"/>
    <x v="2"/>
    <s v="Chandigarh"/>
    <s v="Chandigarh"/>
    <s v="2024-10-06"/>
    <s v="26-35"/>
    <n v="800"/>
  </r>
  <r>
    <s v="ORD00645"/>
    <d v="2025-09-26T00:00:00"/>
    <s v="CUST0193"/>
    <x v="2"/>
    <x v="9"/>
    <n v="1"/>
    <n v="0.05"/>
    <n v="8550"/>
    <n v="2084.02"/>
    <x v="3"/>
    <s v="Delivered"/>
    <n v="8550"/>
    <n v="24.37450292397661"/>
    <s v="Profit"/>
    <s v="Ananya Gupta"/>
    <x v="0"/>
    <x v="1"/>
    <s v="Pune"/>
    <s v="Maharashtra"/>
    <s v="2024-05-12"/>
    <s v="36-50"/>
    <n v="2084.02"/>
  </r>
  <r>
    <s v="ORD00646"/>
    <d v="2025-11-16T00:00:00"/>
    <s v="CUST0208"/>
    <x v="2"/>
    <x v="5"/>
    <n v="2"/>
    <n v="0.15"/>
    <n v="18700"/>
    <n v="3465.64"/>
    <x v="0"/>
    <s v="Delivered"/>
    <n v="9350"/>
    <n v="18.532834224598929"/>
    <s v="Profit"/>
    <s v="Sneha Pillai"/>
    <x v="0"/>
    <x v="0"/>
    <s v="Hyderabad"/>
    <s v="Telangana"/>
    <s v="2025-02-01"/>
    <s v="26-35"/>
    <n v="1732.82"/>
  </r>
  <r>
    <s v="ORD00647"/>
    <d v="2025-11-20T00:00:00"/>
    <s v="CUST0274"/>
    <x v="1"/>
    <x v="12"/>
    <n v="5"/>
    <n v="0"/>
    <n v="7000"/>
    <n v="2500"/>
    <x v="2"/>
    <s v="Shipped"/>
    <n v="1400"/>
    <n v="35.714285714285722"/>
    <s v="Profit"/>
    <s v="Meera Bose"/>
    <x v="1"/>
    <x v="0"/>
    <s v="Hyderabad"/>
    <s v="Telangana"/>
    <s v="2025-01-06"/>
    <s v="26-35"/>
    <n v="500"/>
  </r>
  <r>
    <s v="ORD00648"/>
    <d v="2026-05-25T00:00:00"/>
    <s v="CUST0015"/>
    <x v="3"/>
    <x v="11"/>
    <n v="4"/>
    <n v="0.2"/>
    <n v="8000"/>
    <n v="2073.5100000000002"/>
    <x v="2"/>
    <s v="Delivered"/>
    <n v="2000"/>
    <n v="25.918875"/>
    <s v="Profit"/>
    <s v="Diya Pillai"/>
    <x v="1"/>
    <x v="0"/>
    <s v="Coimbatore"/>
    <s v="Tamil Nadu"/>
    <s v="2024-09-16"/>
    <s v="51+"/>
    <n v="518.37750000000005"/>
  </r>
  <r>
    <s v="ORD00649"/>
    <d v="2026-06-18T00:00:00"/>
    <s v="CUST0167"/>
    <x v="3"/>
    <x v="4"/>
    <n v="3"/>
    <n v="0"/>
    <n v="54000"/>
    <n v="10500"/>
    <x v="2"/>
    <s v="Delivered"/>
    <n v="18000"/>
    <n v="19.44444444444445"/>
    <s v="Profit"/>
    <s v="Aarav Mehta"/>
    <x v="0"/>
    <x v="0"/>
    <s v="Hyderabad"/>
    <s v="Telangana"/>
    <s v="2024-10-15"/>
    <s v="51+"/>
    <n v="3500"/>
  </r>
  <r>
    <s v="ORD00650"/>
    <d v="2026-04-06T00:00:00"/>
    <s v="CUST0024"/>
    <x v="3"/>
    <x v="10"/>
    <n v="1"/>
    <n v="0.05"/>
    <n v="52250"/>
    <n v="7405.35"/>
    <x v="1"/>
    <s v="Delivered"/>
    <n v="52250"/>
    <n v="14.172918660287079"/>
    <s v="Profit"/>
    <s v="Lakshmi Pillai"/>
    <x v="1"/>
    <x v="0"/>
    <s v="Coimbatore"/>
    <s v="Tamil Nadu"/>
    <s v="2024-11-26"/>
    <s v="26-35"/>
    <n v="7405.35"/>
  </r>
  <r>
    <s v="ORD00651"/>
    <d v="2025-08-07T00:00:00"/>
    <s v="CUST0553"/>
    <x v="0"/>
    <x v="7"/>
    <n v="1"/>
    <n v="0.2"/>
    <n v="720"/>
    <n v="164.81"/>
    <x v="3"/>
    <s v="Shipped"/>
    <n v="720"/>
    <n v="22.890277777777779"/>
    <s v="Profit"/>
    <s v="Diya Mishra"/>
    <x v="2"/>
    <x v="0"/>
    <s v="Coimbatore"/>
    <s v="Tamil Nadu"/>
    <s v="2025-01-24"/>
    <s v="36-50"/>
    <n v="164.81"/>
  </r>
  <r>
    <s v="ORD00652"/>
    <d v="2026-03-12T00:00:00"/>
    <s v="CUST0386"/>
    <x v="3"/>
    <x v="11"/>
    <n v="2"/>
    <n v="0"/>
    <n v="5000"/>
    <n v="1600"/>
    <x v="2"/>
    <s v="Delivered"/>
    <n v="2500"/>
    <n v="32"/>
    <s v="Profit"/>
    <s v="Pooja Kulkarni"/>
    <x v="0"/>
    <x v="0"/>
    <s v="Chennai"/>
    <s v="Tamil Nadu"/>
    <s v="2023-03-27"/>
    <s v="26-35"/>
    <n v="800"/>
  </r>
  <r>
    <s v="ORD00653"/>
    <d v="2026-03-03T00:00:00"/>
    <s v="CUST0427"/>
    <x v="3"/>
    <x v="10"/>
    <n v="4"/>
    <n v="0.1"/>
    <n v="198000"/>
    <n v="19501.830000000002"/>
    <x v="0"/>
    <s v="Delivered"/>
    <n v="49500"/>
    <n v="9.8494090909090914"/>
    <s v="Profit"/>
    <s v="Nisha Mehta"/>
    <x v="1"/>
    <x v="0"/>
    <s v="Chennai"/>
    <s v="Tamil Nadu"/>
    <s v="2025-08-11"/>
    <s v="51+"/>
    <n v="4875.4575000000004"/>
  </r>
  <r>
    <s v="ORD00654"/>
    <d v="2026-02-24T00:00:00"/>
    <s v="CUST0217"/>
    <x v="3"/>
    <x v="8"/>
    <n v="3"/>
    <n v="0.1"/>
    <n v="12150"/>
    <n v="-5367.55"/>
    <x v="1"/>
    <s v="Returned"/>
    <n v="4050"/>
    <n v="-44.177366255144037"/>
    <s v="Loss"/>
    <s v="Pooja Mehta"/>
    <x v="0"/>
    <x v="0"/>
    <s v="Hyderabad"/>
    <s v="Telangana"/>
    <s v="2024-11-14"/>
    <s v="51+"/>
    <n v="-1789.1833333333329"/>
  </r>
  <r>
    <s v="ORD00655"/>
    <d v="2026-03-13T00:00:00"/>
    <s v="CUST0521"/>
    <x v="3"/>
    <x v="10"/>
    <n v="5"/>
    <n v="0.15"/>
    <n v="233750"/>
    <n v="18676.47"/>
    <x v="0"/>
    <s v="Delivered"/>
    <n v="46750"/>
    <n v="7.9899336898395719"/>
    <s v="Profit"/>
    <s v="Priya Singh"/>
    <x v="0"/>
    <x v="0"/>
    <s v="Bengaluru"/>
    <s v="Karnataka"/>
    <s v="2025-11-16"/>
    <s v="51+"/>
    <n v="3735.2939999999999"/>
  </r>
  <r>
    <s v="ORD00656"/>
    <d v="2025-11-05T00:00:00"/>
    <s v="CUST0039"/>
    <x v="3"/>
    <x v="11"/>
    <n v="1"/>
    <n v="0.1"/>
    <n v="2250"/>
    <n v="623.54"/>
    <x v="2"/>
    <s v="Delivered"/>
    <n v="2250"/>
    <n v="27.712888888888891"/>
    <s v="Profit"/>
    <s v="Varun Joshi"/>
    <x v="0"/>
    <x v="0"/>
    <s v="Coimbatore"/>
    <s v="Tamil Nadu"/>
    <s v="2025-08-21"/>
    <s v="51+"/>
    <n v="623.54"/>
  </r>
  <r>
    <s v="ORD00657"/>
    <d v="2025-10-23T00:00:00"/>
    <s v="CUST0287"/>
    <x v="3"/>
    <x v="4"/>
    <n v="2"/>
    <n v="0.15"/>
    <n v="30600"/>
    <n v="4492.49"/>
    <x v="3"/>
    <s v="Shipped"/>
    <n v="15300"/>
    <n v="14.68133986928105"/>
    <s v="Profit"/>
    <s v="Akash Pillai"/>
    <x v="1"/>
    <x v="0"/>
    <s v="Chennai"/>
    <s v="Tamil Nadu"/>
    <s v="2023-07-20"/>
    <s v="18-25"/>
    <n v="2246.2449999999999"/>
  </r>
  <r>
    <s v="ORD00658"/>
    <d v="2026-02-08T00:00:00"/>
    <s v="CUST0154"/>
    <x v="3"/>
    <x v="8"/>
    <n v="3"/>
    <n v="0.15"/>
    <n v="11475"/>
    <n v="-2479.0500000000002"/>
    <x v="0"/>
    <s v="Returned"/>
    <n v="3825"/>
    <n v="-21.603921568627449"/>
    <s v="Loss"/>
    <s v="Arjun Sharma"/>
    <x v="2"/>
    <x v="2"/>
    <s v="Jaipur"/>
    <s v="Rajasthan"/>
    <s v="2025-06-30"/>
    <s v="26-35"/>
    <n v="-826.35"/>
  </r>
  <r>
    <s v="ORD00659"/>
    <d v="2026-02-06T00:00:00"/>
    <s v="CUST0083"/>
    <x v="1"/>
    <x v="12"/>
    <n v="1"/>
    <n v="0.1"/>
    <n v="1260"/>
    <n v="384.12"/>
    <x v="0"/>
    <s v="Delivered"/>
    <n v="1260"/>
    <n v="30.485714285714291"/>
    <s v="Profit"/>
    <s v="Nisha Singh"/>
    <x v="0"/>
    <x v="0"/>
    <s v="Bengaluru"/>
    <s v="Karnataka"/>
    <s v="2024-07-24"/>
    <s v="26-35"/>
    <n v="384.12"/>
  </r>
  <r>
    <s v="ORD00660"/>
    <d v="2026-06-29T00:00:00"/>
    <s v="CUST0485"/>
    <x v="3"/>
    <x v="10"/>
    <n v="2"/>
    <n v="0.1"/>
    <n v="99000"/>
    <n v="10438.049999999999"/>
    <x v="3"/>
    <s v="Delivered"/>
    <n v="49500"/>
    <n v="10.54348484848485"/>
    <s v="Profit"/>
    <s v="Lakshmi Patel"/>
    <x v="0"/>
    <x v="2"/>
    <s v="Jaipur"/>
    <s v="Rajasthan"/>
    <s v="2024-10-30"/>
    <s v="26-35"/>
    <n v="5219.0249999999996"/>
  </r>
  <r>
    <s v="ORD00661"/>
    <d v="2026-04-05T00:00:00"/>
    <s v="CUST0359"/>
    <x v="2"/>
    <x v="2"/>
    <n v="4"/>
    <n v="0.1"/>
    <n v="46800"/>
    <n v="-12680.53"/>
    <x v="2"/>
    <s v="Cancelled"/>
    <n v="11700"/>
    <n v="-27.095149572649579"/>
    <s v="Loss"/>
    <s v="Ananya Mishra"/>
    <x v="0"/>
    <x v="0"/>
    <s v="Bengaluru"/>
    <s v="Karnataka"/>
    <s v="2024-05-22"/>
    <s v="26-35"/>
    <n v="-3170.1325000000002"/>
  </r>
  <r>
    <s v="ORD00662"/>
    <d v="2026-06-01T00:00:00"/>
    <s v="CUST0190"/>
    <x v="3"/>
    <x v="4"/>
    <n v="1"/>
    <n v="0.05"/>
    <n v="17100"/>
    <n v="2966.48"/>
    <x v="2"/>
    <s v="Delivered"/>
    <n v="17100"/>
    <n v="17.34783625730994"/>
    <s v="Profit"/>
    <s v="Rohan Naidu"/>
    <x v="0"/>
    <x v="0"/>
    <s v="Coimbatore"/>
    <s v="Tamil Nadu"/>
    <s v="2023-02-24"/>
    <s v="26-35"/>
    <n v="2966.48"/>
  </r>
  <r>
    <s v="ORD00663"/>
    <d v="2026-08-13T00:00:00"/>
    <s v="CUST0169"/>
    <x v="3"/>
    <x v="10"/>
    <n v="3"/>
    <n v="0.1"/>
    <n v="148500"/>
    <n v="17526.02"/>
    <x v="1"/>
    <s v="Shipped"/>
    <n v="49500"/>
    <n v="11.802033670033669"/>
    <s v="Profit"/>
    <s v="Sneha Bose"/>
    <x v="0"/>
    <x v="0"/>
    <s v="Hyderabad"/>
    <s v="Telangana"/>
    <s v="2024-09-10"/>
    <s v="26-35"/>
    <n v="5842.0066666666671"/>
  </r>
  <r>
    <s v="ORD00664"/>
    <d v="2026-04-19T00:00:00"/>
    <s v="CUST0358"/>
    <x v="3"/>
    <x v="10"/>
    <n v="1"/>
    <n v="0"/>
    <n v="55000"/>
    <n v="9000"/>
    <x v="0"/>
    <s v="Delivered"/>
    <n v="55000"/>
    <n v="16.36363636363636"/>
    <s v="Profit"/>
    <s v="Sanjay Das"/>
    <x v="0"/>
    <x v="0"/>
    <s v="Hyderabad"/>
    <s v="Telangana"/>
    <s v="2025-08-29"/>
    <s v="18-25"/>
    <n v="9000"/>
  </r>
  <r>
    <s v="ORD00665"/>
    <d v="2026-02-26T00:00:00"/>
    <s v="CUST0251"/>
    <x v="3"/>
    <x v="8"/>
    <n v="3"/>
    <n v="0"/>
    <n v="13500"/>
    <n v="4500"/>
    <x v="1"/>
    <s v="Delivered"/>
    <n v="4500"/>
    <n v="33.333333333333329"/>
    <s v="Profit"/>
    <s v="Arjun Verma"/>
    <x v="2"/>
    <x v="0"/>
    <s v="Coimbatore"/>
    <s v="Tamil Nadu"/>
    <s v="2023-06-16"/>
    <s v="36-50"/>
    <n v="1500"/>
  </r>
  <r>
    <s v="ORD00666"/>
    <d v="2026-05-20T00:00:00"/>
    <s v="CUST0151"/>
    <x v="3"/>
    <x v="10"/>
    <n v="4"/>
    <n v="0"/>
    <n v="220000"/>
    <n v="36000"/>
    <x v="3"/>
    <s v="Delivered"/>
    <n v="55000"/>
    <n v="16.36363636363636"/>
    <s v="Profit"/>
    <s v="Akash Nair"/>
    <x v="1"/>
    <x v="3"/>
    <s v="Guwahati"/>
    <s v="Assam"/>
    <s v="2023-03-18"/>
    <s v="36-50"/>
    <n v="9000"/>
  </r>
  <r>
    <s v="ORD00667"/>
    <d v="2026-08-12T00:00:00"/>
    <s v="CUST0487"/>
    <x v="0"/>
    <x v="6"/>
    <n v="2"/>
    <n v="0"/>
    <n v="700"/>
    <n v="240"/>
    <x v="0"/>
    <s v="Delivered"/>
    <n v="350"/>
    <n v="34.285714285714278"/>
    <s v="Profit"/>
    <s v="Arjun Mishra"/>
    <x v="0"/>
    <x v="2"/>
    <s v="Jaipur"/>
    <s v="Rajasthan"/>
    <s v="2024-05-23"/>
    <s v="51+"/>
    <n v="120"/>
  </r>
  <r>
    <s v="ORD00668"/>
    <d v="2025-12-18T00:00:00"/>
    <s v="CUST0014"/>
    <x v="2"/>
    <x v="5"/>
    <n v="3"/>
    <n v="0"/>
    <n v="33000"/>
    <n v="7800"/>
    <x v="2"/>
    <s v="Shipped"/>
    <n v="11000"/>
    <n v="23.63636363636364"/>
    <s v="Profit"/>
    <s v="Lakshmi Verma"/>
    <x v="2"/>
    <x v="0"/>
    <s v="Chennai"/>
    <s v="Tamil Nadu"/>
    <s v="2024-11-24"/>
    <s v="36-50"/>
    <n v="2600"/>
  </r>
  <r>
    <s v="ORD00669"/>
    <d v="2026-08-17T00:00:00"/>
    <s v="CUST0097"/>
    <x v="1"/>
    <x v="12"/>
    <n v="1"/>
    <n v="0.15"/>
    <n v="1190"/>
    <n v="386.07"/>
    <x v="0"/>
    <s v="Delivered"/>
    <n v="1190"/>
    <n v="32.442857142857143"/>
    <s v="Profit"/>
    <s v="Manoj Patel"/>
    <x v="2"/>
    <x v="1"/>
    <s v="Pune"/>
    <s v="Maharashtra"/>
    <s v="2023-09-25"/>
    <s v="26-35"/>
    <n v="386.07"/>
  </r>
  <r>
    <s v="ORD00670"/>
    <d v="2026-03-06T00:00:00"/>
    <s v="CUST0255"/>
    <x v="1"/>
    <x v="12"/>
    <n v="3"/>
    <n v="0"/>
    <n v="4200"/>
    <n v="1500"/>
    <x v="0"/>
    <s v="Delivered"/>
    <n v="1400"/>
    <n v="35.714285714285722"/>
    <s v="Profit"/>
    <s v="Aarav Menon"/>
    <x v="2"/>
    <x v="2"/>
    <s v="Delhi"/>
    <s v="Delhi"/>
    <s v="2025-10-02"/>
    <s v="36-50"/>
    <n v="500"/>
  </r>
  <r>
    <s v="ORD00671"/>
    <d v="2026-03-11T00:00:00"/>
    <s v="CUST0258"/>
    <x v="0"/>
    <x v="6"/>
    <n v="4"/>
    <n v="0.05"/>
    <n v="1330"/>
    <n v="440.73"/>
    <x v="1"/>
    <s v="Delivered"/>
    <n v="332.5"/>
    <n v="33.137593984962407"/>
    <s v="Profit"/>
    <s v="Priya Naidu"/>
    <x v="0"/>
    <x v="0"/>
    <s v="Bengaluru"/>
    <s v="Karnataka"/>
    <s v="2023-07-05"/>
    <s v="26-35"/>
    <n v="110.1825"/>
  </r>
  <r>
    <s v="ORD00672"/>
    <d v="2026-06-09T00:00:00"/>
    <s v="CUST0180"/>
    <x v="0"/>
    <x v="6"/>
    <n v="1"/>
    <n v="0"/>
    <n v="350"/>
    <n v="120"/>
    <x v="0"/>
    <s v="Shipped"/>
    <n v="350"/>
    <n v="34.285714285714278"/>
    <s v="Profit"/>
    <s v="Meera Menon"/>
    <x v="0"/>
    <x v="1"/>
    <s v="Ahmedabad"/>
    <s v="Gujarat"/>
    <s v="2025-07-11"/>
    <s v="36-50"/>
    <n v="120"/>
  </r>
  <r>
    <s v="ORD00673"/>
    <d v="2026-08-18T00:00:00"/>
    <s v="CUST0079"/>
    <x v="2"/>
    <x v="5"/>
    <n v="1"/>
    <n v="0.2"/>
    <n v="8800"/>
    <n v="979.81"/>
    <x v="1"/>
    <s v="Delivered"/>
    <n v="8800"/>
    <n v="11.134204545454541"/>
    <s v="Profit"/>
    <s v="Akash Mehta"/>
    <x v="0"/>
    <x v="0"/>
    <s v="Chennai"/>
    <s v="Tamil Nadu"/>
    <s v="2024-07-12"/>
    <s v="51+"/>
    <n v="979.81"/>
  </r>
  <r>
    <s v="ORD00674"/>
    <d v="2026-06-04T00:00:00"/>
    <s v="CUST0315"/>
    <x v="2"/>
    <x v="3"/>
    <n v="3"/>
    <n v="0"/>
    <n v="45000"/>
    <n v="10500"/>
    <x v="2"/>
    <s v="Delivered"/>
    <n v="15000"/>
    <n v="23.333333333333329"/>
    <s v="Profit"/>
    <s v="Harini Verma"/>
    <x v="0"/>
    <x v="0"/>
    <s v="Coimbatore"/>
    <s v="Tamil Nadu"/>
    <s v="2024-10-22"/>
    <s v="18-25"/>
    <n v="3500"/>
  </r>
  <r>
    <s v="ORD00675"/>
    <d v="2025-08-24T00:00:00"/>
    <s v="CUST0036"/>
    <x v="3"/>
    <x v="8"/>
    <n v="4"/>
    <n v="0.2"/>
    <n v="14400"/>
    <n v="3869.87"/>
    <x v="3"/>
    <s v="Delivered"/>
    <n v="3600"/>
    <n v="26.874097222222218"/>
    <s v="Profit"/>
    <s v="Priya Patel"/>
    <x v="2"/>
    <x v="3"/>
    <s v="Guwahati"/>
    <s v="Assam"/>
    <s v="2023-10-18"/>
    <s v="26-35"/>
    <n v="967.46749999999997"/>
  </r>
  <r>
    <s v="ORD00676"/>
    <d v="2026-04-30T00:00:00"/>
    <s v="CUST0200"/>
    <x v="1"/>
    <x v="15"/>
    <n v="6"/>
    <n v="0.1"/>
    <n v="11880"/>
    <n v="3462.83"/>
    <x v="3"/>
    <s v="Delivered"/>
    <n v="1980"/>
    <n v="29.148400673400669"/>
    <s v="Profit"/>
    <s v="Nisha Mishra"/>
    <x v="2"/>
    <x v="0"/>
    <s v="Bengaluru"/>
    <s v="Karnataka"/>
    <s v="2023-10-31"/>
    <s v="51+"/>
    <n v="577.13833333333332"/>
  </r>
  <r>
    <s v="ORD00677"/>
    <d v="2026-05-16T00:00:00"/>
    <s v="CUST0372"/>
    <x v="0"/>
    <x v="14"/>
    <n v="1"/>
    <n v="0.05"/>
    <n v="427.5"/>
    <n v="-105.75"/>
    <x v="3"/>
    <s v="Cancelled"/>
    <n v="427.5"/>
    <n v="-24.736842105263161"/>
    <s v="Loss"/>
    <s v="Akash Das"/>
    <x v="1"/>
    <x v="0"/>
    <s v="Bengaluru"/>
    <s v="Karnataka"/>
    <s v="2024-08-19"/>
    <s v="36-50"/>
    <n v="-105.75"/>
  </r>
  <r>
    <s v="ORD00678"/>
    <d v="2025-08-03T00:00:00"/>
    <s v="CUST0196"/>
    <x v="1"/>
    <x v="13"/>
    <n v="1"/>
    <n v="0.15"/>
    <n v="3570"/>
    <n v="733.88"/>
    <x v="3"/>
    <s v="Shipped"/>
    <n v="3570"/>
    <n v="20.556862745098041"/>
    <s v="Profit"/>
    <s v="Nisha Sharma"/>
    <x v="2"/>
    <x v="2"/>
    <s v="Lucknow"/>
    <s v="Uttar Pradesh"/>
    <s v="2025-03-20"/>
    <s v="26-35"/>
    <n v="733.88"/>
  </r>
  <r>
    <s v="ORD00679"/>
    <d v="2025-08-24T00:00:00"/>
    <s v="CUST0467"/>
    <x v="2"/>
    <x v="2"/>
    <n v="1"/>
    <n v="0.15"/>
    <n v="11050"/>
    <n v="-3287.59"/>
    <x v="1"/>
    <s v="Returned"/>
    <n v="11050"/>
    <n v="-29.751945701357471"/>
    <s v="Loss"/>
    <s v="Arjun Gupta"/>
    <x v="2"/>
    <x v="3"/>
    <s v="Patna"/>
    <s v="Bihar"/>
    <s v="2025-10-24"/>
    <s v="36-50"/>
    <n v="-3287.59"/>
  </r>
  <r>
    <s v="ORD00680"/>
    <d v="2025-10-15T00:00:00"/>
    <s v="CUST0308"/>
    <x v="3"/>
    <x v="4"/>
    <n v="1"/>
    <n v="0.15"/>
    <n v="15300"/>
    <n v="-8307.49"/>
    <x v="2"/>
    <s v="Returned"/>
    <n v="15300"/>
    <n v="-54.29732026143791"/>
    <s v="Loss"/>
    <s v="Divya Naidu"/>
    <x v="2"/>
    <x v="0"/>
    <s v="Bengaluru"/>
    <s v="Karnataka"/>
    <s v="2025-12-11"/>
    <s v="51+"/>
    <n v="-8307.49"/>
  </r>
  <r>
    <s v="ORD00681"/>
    <d v="2026-02-05T00:00:00"/>
    <s v="CUST0508"/>
    <x v="3"/>
    <x v="11"/>
    <n v="4"/>
    <n v="0"/>
    <n v="10000"/>
    <n v="3200"/>
    <x v="1"/>
    <s v="Delivered"/>
    <n v="2500"/>
    <n v="32"/>
    <s v="Profit"/>
    <s v="Karthik Naidu"/>
    <x v="0"/>
    <x v="3"/>
    <s v="Guwahati"/>
    <s v="Assam"/>
    <s v="2024-10-11"/>
    <s v="18-25"/>
    <n v="800"/>
  </r>
  <r>
    <s v="ORD00682"/>
    <d v="2025-09-23T00:00:00"/>
    <s v="CUST0092"/>
    <x v="3"/>
    <x v="8"/>
    <n v="15"/>
    <n v="0.1"/>
    <n v="60750"/>
    <n v="-18225.88"/>
    <x v="1"/>
    <s v="Returned"/>
    <n v="4050"/>
    <n v="-30.001448559670781"/>
    <s v="Loss"/>
    <s v="Harini Khan"/>
    <x v="0"/>
    <x v="2"/>
    <s v="Jaipur"/>
    <s v="Rajasthan"/>
    <s v="2025-12-12"/>
    <s v="36-50"/>
    <n v="-1215.058666666667"/>
  </r>
  <r>
    <s v="ORD00683"/>
    <d v="2026-04-01T00:00:00"/>
    <s v="CUST0596"/>
    <x v="1"/>
    <x v="1"/>
    <n v="1"/>
    <n v="0.15"/>
    <n v="1530"/>
    <n v="457.44"/>
    <x v="2"/>
    <s v="Delivered"/>
    <n v="1530"/>
    <n v="29.898039215686271"/>
    <s v="Profit"/>
    <s v="Manoj Rao"/>
    <x v="0"/>
    <x v="0"/>
    <s v="Bengaluru"/>
    <s v="Karnataka"/>
    <s v="2024-01-21"/>
    <s v="18-25"/>
    <n v="457.44"/>
  </r>
  <r>
    <s v="ORD00684"/>
    <d v="2026-04-26T00:00:00"/>
    <s v="CUST0559"/>
    <x v="3"/>
    <x v="4"/>
    <n v="4"/>
    <n v="0.05"/>
    <n v="68400"/>
    <n v="11548.81"/>
    <x v="0"/>
    <s v="Shipped"/>
    <n v="17100"/>
    <n v="16.88422514619883"/>
    <s v="Profit"/>
    <s v="Karthik Pillai"/>
    <x v="2"/>
    <x v="1"/>
    <s v="Ahmedabad"/>
    <s v="Gujarat"/>
    <s v="2024-02-26"/>
    <s v="51+"/>
    <n v="2887.2024999999999"/>
  </r>
  <r>
    <s v="ORD00685"/>
    <d v="2025-07-30T00:00:00"/>
    <s v="CUST0506"/>
    <x v="0"/>
    <x v="6"/>
    <n v="1"/>
    <n v="0.2"/>
    <n v="280"/>
    <n v="88.45"/>
    <x v="3"/>
    <s v="Shipped"/>
    <n v="280"/>
    <n v="31.589285714285719"/>
    <s v="Profit"/>
    <s v="Sneha Mehta"/>
    <x v="0"/>
    <x v="2"/>
    <s v="Jaipur"/>
    <s v="Rajasthan"/>
    <s v="2025-02-24"/>
    <s v="51+"/>
    <n v="88.45"/>
  </r>
  <r>
    <s v="ORD00686"/>
    <d v="2025-11-14T00:00:00"/>
    <s v="CUST0039"/>
    <x v="1"/>
    <x v="1"/>
    <n v="1"/>
    <n v="0.15"/>
    <n v="1530"/>
    <n v="-250.74"/>
    <x v="0"/>
    <s v="Returned"/>
    <n v="1530"/>
    <n v="-16.388235294117649"/>
    <s v="Loss"/>
    <s v="Varun Joshi"/>
    <x v="0"/>
    <x v="0"/>
    <s v="Coimbatore"/>
    <s v="Tamil Nadu"/>
    <s v="2025-08-21"/>
    <s v="51+"/>
    <n v="-250.74"/>
  </r>
  <r>
    <s v="ORD00687"/>
    <d v="2025-09-28T00:00:00"/>
    <s v="CUST0238"/>
    <x v="3"/>
    <x v="11"/>
    <n v="4"/>
    <n v="0.1"/>
    <n v="9000"/>
    <n v="2736.27"/>
    <x v="3"/>
    <s v="Delivered"/>
    <n v="2250"/>
    <n v="30.402999999999999"/>
    <s v="Profit"/>
    <s v="Vikram Sharma"/>
    <x v="2"/>
    <x v="0"/>
    <s v="Bengaluru"/>
    <s v="Karnataka"/>
    <s v="2025-03-30"/>
    <s v="26-35"/>
    <n v="684.0675"/>
  </r>
  <r>
    <s v="ORD00688"/>
    <d v="2026-05-03T00:00:00"/>
    <s v="CUST0390"/>
    <x v="2"/>
    <x v="9"/>
    <n v="1"/>
    <n v="0.1"/>
    <n v="8100"/>
    <n v="1589.47"/>
    <x v="1"/>
    <s v="Shipped"/>
    <n v="8100"/>
    <n v="19.62308641975309"/>
    <s v="Profit"/>
    <s v="Aditya Bose"/>
    <x v="0"/>
    <x v="3"/>
    <s v="Bhubaneswar"/>
    <s v="Odisha"/>
    <s v="2024-04-07"/>
    <s v="26-35"/>
    <n v="1589.47"/>
  </r>
  <r>
    <s v="ORD00689"/>
    <d v="2025-09-22T00:00:00"/>
    <s v="CUST0161"/>
    <x v="1"/>
    <x v="15"/>
    <n v="1"/>
    <n v="0.1"/>
    <n v="1980"/>
    <n v="-809.4"/>
    <x v="1"/>
    <s v="Returned"/>
    <n v="1980"/>
    <n v="-40.878787878787882"/>
    <s v="Loss"/>
    <s v="Rohan Reddy"/>
    <x v="2"/>
    <x v="0"/>
    <s v="Bengaluru"/>
    <s v="Karnataka"/>
    <s v="2025-07-10"/>
    <s v="51+"/>
    <n v="-809.4"/>
  </r>
  <r>
    <s v="ORD00690"/>
    <d v="2025-12-22T00:00:00"/>
    <s v="CUST0267"/>
    <x v="0"/>
    <x v="0"/>
    <n v="1"/>
    <n v="0.05"/>
    <n v="13300"/>
    <n v="2252.4299999999998"/>
    <x v="1"/>
    <s v="Delivered"/>
    <n v="13300"/>
    <n v="16.93556390977443"/>
    <s v="Profit"/>
    <s v="Arjun Kulkarni"/>
    <x v="1"/>
    <x v="3"/>
    <s v="Patna"/>
    <s v="Bihar"/>
    <s v="2023-05-20"/>
    <s v="26-35"/>
    <n v="2252.4299999999998"/>
  </r>
  <r>
    <s v="ORD00691"/>
    <d v="2026-01-29T00:00:00"/>
    <s v="CUST0208"/>
    <x v="2"/>
    <x v="9"/>
    <n v="2"/>
    <n v="0"/>
    <n v="18000"/>
    <n v="4600"/>
    <x v="0"/>
    <s v="Delivered"/>
    <n v="9000"/>
    <n v="25.55555555555555"/>
    <s v="Profit"/>
    <s v="Sneha Pillai"/>
    <x v="0"/>
    <x v="0"/>
    <s v="Hyderabad"/>
    <s v="Telangana"/>
    <s v="2025-02-01"/>
    <s v="26-35"/>
    <n v="2300"/>
  </r>
  <r>
    <s v="ORD00692"/>
    <d v="2026-04-25T00:00:00"/>
    <s v="CUST0128"/>
    <x v="0"/>
    <x v="7"/>
    <n v="5"/>
    <n v="0.05"/>
    <n v="4275"/>
    <n v="1264.6400000000001"/>
    <x v="2"/>
    <s v="Delivered"/>
    <n v="855"/>
    <n v="29.582222222222232"/>
    <s v="Profit"/>
    <s v="Sneha Mishra"/>
    <x v="2"/>
    <x v="0"/>
    <s v="Chennai"/>
    <s v="Tamil Nadu"/>
    <s v="2024-09-12"/>
    <s v="36-50"/>
    <n v="252.928"/>
  </r>
  <r>
    <s v="ORD00693"/>
    <d v="2026-04-23T00:00:00"/>
    <s v="CUST0368"/>
    <x v="3"/>
    <x v="4"/>
    <n v="4"/>
    <n v="0.1"/>
    <n v="64800"/>
    <n v="8480.39"/>
    <x v="1"/>
    <s v="Shipped"/>
    <n v="16200"/>
    <n v="13.08702160493827"/>
    <s v="Profit"/>
    <s v="Ananya Reddy"/>
    <x v="1"/>
    <x v="3"/>
    <s v="Patna"/>
    <s v="Bihar"/>
    <s v="2025-07-31"/>
    <s v="26-35"/>
    <n v="2120.0974999999999"/>
  </r>
  <r>
    <s v="ORD00694"/>
    <d v="2026-06-18T00:00:00"/>
    <s v="CUST0457"/>
    <x v="1"/>
    <x v="12"/>
    <n v="1"/>
    <n v="0"/>
    <n v="1400"/>
    <n v="-356.05"/>
    <x v="1"/>
    <s v="Returned"/>
    <n v="1400"/>
    <n v="-25.43214285714286"/>
    <s v="Loss"/>
    <s v="Karthik Bose"/>
    <x v="2"/>
    <x v="0"/>
    <s v="Hyderabad"/>
    <s v="Telangana"/>
    <s v="2025-04-05"/>
    <s v="51+"/>
    <n v="-356.05"/>
  </r>
  <r>
    <s v="ORD00695"/>
    <d v="2026-08-02T00:00:00"/>
    <s v="CUST0510"/>
    <x v="2"/>
    <x v="3"/>
    <n v="2"/>
    <n v="0"/>
    <n v="30000"/>
    <n v="7000"/>
    <x v="3"/>
    <s v="Delivered"/>
    <n v="15000"/>
    <n v="23.333333333333329"/>
    <s v="Profit"/>
    <s v="Vikram Singh"/>
    <x v="1"/>
    <x v="0"/>
    <s v="Coimbatore"/>
    <s v="Tamil Nadu"/>
    <s v="2024-08-20"/>
    <s v="36-50"/>
    <n v="3500"/>
  </r>
  <r>
    <s v="ORD00696"/>
    <d v="2026-02-26T00:00:00"/>
    <s v="CUST0190"/>
    <x v="3"/>
    <x v="11"/>
    <n v="3"/>
    <n v="0.3"/>
    <n v="5250"/>
    <n v="675.64"/>
    <x v="3"/>
    <s v="Delivered"/>
    <n v="1750"/>
    <n v="12.86933333333333"/>
    <s v="Profit"/>
    <s v="Rohan Naidu"/>
    <x v="0"/>
    <x v="0"/>
    <s v="Coimbatore"/>
    <s v="Tamil Nadu"/>
    <s v="2023-02-24"/>
    <s v="26-35"/>
    <n v="225.21333333333331"/>
  </r>
  <r>
    <s v="ORD00697"/>
    <d v="2026-04-18T00:00:00"/>
    <s v="CUST0094"/>
    <x v="3"/>
    <x v="11"/>
    <n v="3"/>
    <n v="0"/>
    <n v="7500"/>
    <n v="2400"/>
    <x v="3"/>
    <s v="Delivered"/>
    <n v="2500"/>
    <n v="32"/>
    <s v="Profit"/>
    <s v="Akash Joshi"/>
    <x v="1"/>
    <x v="3"/>
    <s v="Kolkata"/>
    <s v="West Bengal"/>
    <s v="2025-06-22"/>
    <s v="36-50"/>
    <n v="800"/>
  </r>
  <r>
    <s v="ORD00698"/>
    <d v="2026-06-16T00:00:00"/>
    <s v="CUST0026"/>
    <x v="0"/>
    <x v="14"/>
    <n v="3"/>
    <n v="0.05"/>
    <n v="1282.5"/>
    <n v="291.68"/>
    <x v="1"/>
    <s v="Delivered"/>
    <n v="427.5"/>
    <n v="22.743079922027292"/>
    <s v="Profit"/>
    <s v="Arjun Mehta"/>
    <x v="2"/>
    <x v="0"/>
    <s v="Coimbatore"/>
    <s v="Tamil Nadu"/>
    <s v="2025-07-27"/>
    <s v="26-35"/>
    <n v="97.226666666666674"/>
  </r>
  <r>
    <s v="ORD00699"/>
    <d v="2026-01-25T00:00:00"/>
    <s v="CUST0508"/>
    <x v="1"/>
    <x v="12"/>
    <n v="1"/>
    <n v="0.1"/>
    <n v="1260"/>
    <n v="420.27"/>
    <x v="2"/>
    <s v="Delivered"/>
    <n v="1260"/>
    <n v="33.354761904761901"/>
    <s v="Profit"/>
    <s v="Karthik Naidu"/>
    <x v="0"/>
    <x v="3"/>
    <s v="Guwahati"/>
    <s v="Assam"/>
    <s v="2024-10-11"/>
    <s v="18-25"/>
    <n v="420.27"/>
  </r>
  <r>
    <s v="ORD00700"/>
    <d v="2026-08-03T00:00:00"/>
    <s v="CUST0114"/>
    <x v="2"/>
    <x v="3"/>
    <n v="3"/>
    <n v="0.1"/>
    <n v="40500"/>
    <n v="7508.08"/>
    <x v="0"/>
    <s v="Delivered"/>
    <n v="13500"/>
    <n v="18.538469135802469"/>
    <s v="Profit"/>
    <s v="Aarav Reddy"/>
    <x v="1"/>
    <x v="0"/>
    <s v="Coimbatore"/>
    <s v="Tamil Nadu"/>
    <s v="2023-11-15"/>
    <s v="18-25"/>
    <n v="2502.6933333333332"/>
  </r>
  <r>
    <s v="ORD00701"/>
    <d v="2025-07-13T00:00:00"/>
    <s v="CUST0257"/>
    <x v="2"/>
    <x v="9"/>
    <n v="1"/>
    <n v="0.2"/>
    <n v="7200"/>
    <n v="1364.22"/>
    <x v="0"/>
    <s v="Delivered"/>
    <n v="7200"/>
    <n v="18.947500000000002"/>
    <s v="Profit"/>
    <s v="Rahul Patel"/>
    <x v="0"/>
    <x v="2"/>
    <s v="Delhi"/>
    <s v="Delhi"/>
    <s v="2025-10-24"/>
    <s v="36-50"/>
    <n v="1364.22"/>
  </r>
  <r>
    <s v="ORD00702"/>
    <d v="2025-11-29T00:00:00"/>
    <s v="CUST0408"/>
    <x v="4"/>
    <x v="7"/>
    <n v="4"/>
    <n v="0.15"/>
    <n v="3060"/>
    <n v="856.58"/>
    <x v="3"/>
    <s v="Delivered"/>
    <n v="765"/>
    <n v="27.992810457516342"/>
    <s v="Profit"/>
    <s v="Akash Joshi"/>
    <x v="1"/>
    <x v="1"/>
    <s v="Ahmedabad"/>
    <s v="Gujarat"/>
    <s v="2025-10-05"/>
    <s v="26-35"/>
    <n v="214.14500000000001"/>
  </r>
  <r>
    <s v="ORD00703"/>
    <d v="2026-01-07T00:00:00"/>
    <s v="CUST0305"/>
    <x v="2"/>
    <x v="9"/>
    <n v="2"/>
    <n v="0.2"/>
    <n v="14400"/>
    <n v="1615.86"/>
    <x v="3"/>
    <s v="Delivered"/>
    <n v="7200"/>
    <n v="11.22125"/>
    <s v="Profit"/>
    <s v="Nisha Mishra"/>
    <x v="0"/>
    <x v="2"/>
    <s v="Jaipur"/>
    <s v="Rajasthan"/>
    <s v="2024-11-15"/>
    <s v="26-35"/>
    <n v="807.93"/>
  </r>
  <r>
    <s v="ORD00704"/>
    <d v="2026-08-22T00:00:00"/>
    <s v="CUST0420"/>
    <x v="3"/>
    <x v="10"/>
    <n v="2"/>
    <n v="0.15"/>
    <n v="93500"/>
    <n v="8454.44"/>
    <x v="3"/>
    <s v="Delivered"/>
    <n v="46750"/>
    <n v="9.0421818181818185"/>
    <s v="Profit"/>
    <s v="Ishaan Gupta"/>
    <x v="0"/>
    <x v="2"/>
    <s v="Delhi"/>
    <s v="Delhi"/>
    <s v="2024-04-07"/>
    <s v="36-50"/>
    <n v="4227.22"/>
  </r>
  <r>
    <s v="ORD00705"/>
    <d v="2026-01-31T00:00:00"/>
    <s v="CUST0441"/>
    <x v="1"/>
    <x v="15"/>
    <n v="3"/>
    <n v="0.05"/>
    <n v="6270"/>
    <n v="1979.59"/>
    <x v="0"/>
    <s v="Delivered"/>
    <n v="2090"/>
    <n v="31.572408293460921"/>
    <s v="Profit"/>
    <s v="Arjun Joshi"/>
    <x v="0"/>
    <x v="0"/>
    <s v="Bengaluru"/>
    <s v="Karnataka"/>
    <s v="2024-05-10"/>
    <s v="18-25"/>
    <n v="659.86333333333334"/>
  </r>
  <r>
    <s v="ORD00706"/>
    <d v="2026-03-10T00:00:00"/>
    <s v="CUST0531"/>
    <x v="2"/>
    <x v="9"/>
    <n v="2"/>
    <n v="0.15"/>
    <n v="15300"/>
    <n v="2597.56"/>
    <x v="1"/>
    <s v="Delivered"/>
    <n v="7650"/>
    <n v="16.977516339869279"/>
    <s v="Profit"/>
    <s v="Kavya Mishra"/>
    <x v="2"/>
    <x v="0"/>
    <s v="Coimbatore"/>
    <s v="Tamil Nadu"/>
    <s v="2023-10-06"/>
    <s v="26-35"/>
    <n v="1298.78"/>
  </r>
  <r>
    <s v="ORD00707"/>
    <d v="2026-05-21T00:00:00"/>
    <s v="CUST0264"/>
    <x v="3"/>
    <x v="8"/>
    <n v="4"/>
    <n v="0.05"/>
    <n v="17100"/>
    <n v="5346.23"/>
    <x v="0"/>
    <s v="Shipped"/>
    <n v="4275"/>
    <n v="31.264502923976611"/>
    <s v="Profit"/>
    <s v="Sneha Kulkarni"/>
    <x v="1"/>
    <x v="0"/>
    <s v="Chennai"/>
    <s v="Tamil Nadu"/>
    <s v="2024-02-11"/>
    <s v="51+"/>
    <n v="1336.5574999999999"/>
  </r>
  <r>
    <s v="ORD00708"/>
    <d v="2025-08-03T00:00:00"/>
    <s v="CUST0432"/>
    <x v="0"/>
    <x v="6"/>
    <n v="2"/>
    <n v="0.2"/>
    <n v="560"/>
    <n v="135.97"/>
    <x v="2"/>
    <s v="Delivered"/>
    <n v="280"/>
    <n v="24.280357142857142"/>
    <s v="Profit"/>
    <s v="Pooja Singh"/>
    <x v="1"/>
    <x v="0"/>
    <s v="Coimbatore"/>
    <s v="Tamil Nadu"/>
    <s v="2023-02-17"/>
    <s v="18-25"/>
    <n v="67.984999999999999"/>
  </r>
  <r>
    <s v="ORD00709"/>
    <d v="2026-03-05T00:00:00"/>
    <s v="CUST0509"/>
    <x v="3"/>
    <x v="10"/>
    <n v="5"/>
    <n v="0.1"/>
    <n v="247500"/>
    <n v="28916.07"/>
    <x v="2"/>
    <s v="Delivered"/>
    <n v="49500"/>
    <n v="11.68326060606061"/>
    <s v="Profit"/>
    <s v="Akash Das"/>
    <x v="2"/>
    <x v="3"/>
    <s v="Patna"/>
    <s v="Bihar"/>
    <s v="2024-11-26"/>
    <s v="36-50"/>
    <n v="5783.2139999999999"/>
  </r>
  <r>
    <s v="ORD00710"/>
    <d v="2026-07-24T00:00:00"/>
    <s v="CUST0022"/>
    <x v="0"/>
    <x v="0"/>
    <n v="5"/>
    <n v="0.05"/>
    <n v="66500"/>
    <n v="12148.6"/>
    <x v="2"/>
    <s v="Delivered"/>
    <n v="13300"/>
    <n v="18.26857142857143"/>
    <s v="Profit"/>
    <s v="Diya Kulkarni"/>
    <x v="0"/>
    <x v="3"/>
    <s v="Kolkata"/>
    <s v="West Bengal"/>
    <s v="2025-02-13"/>
    <s v="18-25"/>
    <n v="2429.7199999999998"/>
  </r>
  <r>
    <s v="ORD00711"/>
    <d v="2026-03-19T00:00:00"/>
    <s v="CUST0508"/>
    <x v="0"/>
    <x v="14"/>
    <n v="4"/>
    <n v="0"/>
    <n v="1800"/>
    <n v="440"/>
    <x v="3"/>
    <s v="Shipped"/>
    <n v="450"/>
    <n v="24.444444444444439"/>
    <s v="Profit"/>
    <s v="Karthik Naidu"/>
    <x v="0"/>
    <x v="3"/>
    <s v="Guwahati"/>
    <s v="Assam"/>
    <s v="2024-10-11"/>
    <s v="18-25"/>
    <n v="110"/>
  </r>
  <r>
    <s v="ORD00712"/>
    <d v="2025-08-28T00:00:00"/>
    <s v="CUST0273"/>
    <x v="3"/>
    <x v="4"/>
    <n v="5"/>
    <n v="0.05"/>
    <n v="85500"/>
    <n v="-39700.82"/>
    <x v="1"/>
    <s v="Cancelled"/>
    <n v="17100"/>
    <n v="-46.433707602339183"/>
    <s v="Loss"/>
    <s v="Akash Verma"/>
    <x v="1"/>
    <x v="0"/>
    <s v="Chennai"/>
    <s v="Tamil Nadu"/>
    <s v="2024-07-10"/>
    <s v="51+"/>
    <n v="-7940.1639999999998"/>
  </r>
  <r>
    <s v="ORD00713"/>
    <d v="2025-11-23T00:00:00"/>
    <s v="CUST0528"/>
    <x v="3"/>
    <x v="8"/>
    <n v="1"/>
    <n v="0.2"/>
    <n v="3600"/>
    <n v="1023.98"/>
    <x v="1"/>
    <s v="Delivered"/>
    <n v="3600"/>
    <n v="28.443888888888889"/>
    <s v="Profit"/>
    <s v="Karthik Menon"/>
    <x v="0"/>
    <x v="0"/>
    <s v="Chennai"/>
    <s v="Tamil Nadu"/>
    <s v="2024-07-24"/>
    <s v="36-50"/>
    <n v="1023.98"/>
  </r>
  <r>
    <s v="ORD00714"/>
    <d v="2026-01-28T00:00:00"/>
    <s v="CUST0522"/>
    <x v="2"/>
    <x v="5"/>
    <n v="2"/>
    <n v="0.15"/>
    <n v="18700"/>
    <n v="3271.9"/>
    <x v="3"/>
    <s v="Delivered"/>
    <n v="9350"/>
    <n v="17.49679144385027"/>
    <s v="Profit"/>
    <s v="Karthik Joshi"/>
    <x v="2"/>
    <x v="0"/>
    <s v="Bengaluru"/>
    <s v="Karnataka"/>
    <s v="2023-06-28"/>
    <s v="36-50"/>
    <n v="1635.95"/>
  </r>
  <r>
    <s v="ORD00715"/>
    <d v="2026-01-24T00:00:00"/>
    <s v="CUST0256"/>
    <x v="3"/>
    <x v="11"/>
    <n v="1"/>
    <n v="0.15"/>
    <n v="2125"/>
    <n v="579.29999999999995"/>
    <x v="0"/>
    <s v="Delivered"/>
    <n v="2125"/>
    <n v="27.261176470588229"/>
    <s v="Profit"/>
    <s v="Karthik Singh"/>
    <x v="0"/>
    <x v="0"/>
    <s v="Chennai"/>
    <s v="Tamil Nadu"/>
    <s v="2024-11-27"/>
    <s v="26-35"/>
    <n v="579.29999999999995"/>
  </r>
  <r>
    <s v="ORD00716"/>
    <d v="2025-09-24T00:00:00"/>
    <s v="CUST0274"/>
    <x v="0"/>
    <x v="0"/>
    <n v="1"/>
    <n v="0"/>
    <n v="14000"/>
    <n v="-4675.03"/>
    <x v="2"/>
    <s v="Returned"/>
    <n v="14000"/>
    <n v="-33.393071428571417"/>
    <s v="Loss"/>
    <s v="Meera Bose"/>
    <x v="1"/>
    <x v="0"/>
    <s v="Hyderabad"/>
    <s v="Telangana"/>
    <s v="2025-01-06"/>
    <s v="26-35"/>
    <n v="-4675.03"/>
  </r>
  <r>
    <s v="ORD00717"/>
    <d v="2025-07-07T00:00:00"/>
    <s v="CUST0151"/>
    <x v="1"/>
    <x v="1"/>
    <n v="1"/>
    <n v="0"/>
    <n v="1800"/>
    <n v="650"/>
    <x v="0"/>
    <s v="Delivered"/>
    <n v="1800"/>
    <n v="36.111111111111107"/>
    <s v="Profit"/>
    <s v="Akash Nair"/>
    <x v="1"/>
    <x v="3"/>
    <s v="Guwahati"/>
    <s v="Assam"/>
    <s v="2023-03-18"/>
    <s v="36-50"/>
    <n v="650"/>
  </r>
  <r>
    <s v="ORD00718"/>
    <d v="2026-05-29T00:00:00"/>
    <s v="CUST0401"/>
    <x v="1"/>
    <x v="1"/>
    <n v="5"/>
    <n v="0"/>
    <n v="9000"/>
    <n v="360.01"/>
    <x v="2"/>
    <s v="Cancelled"/>
    <n v="1800"/>
    <n v="4.000111111111111"/>
    <s v="Profit"/>
    <s v="Ananya Nair"/>
    <x v="0"/>
    <x v="0"/>
    <s v="Hyderabad"/>
    <s v="Telangana"/>
    <s v="2024-04-08"/>
    <s v="26-35"/>
    <n v="72.001999999999995"/>
  </r>
  <r>
    <s v="ORD00719"/>
    <d v="2026-05-10T00:00:00"/>
    <s v="CUST0351"/>
    <x v="0"/>
    <x v="6"/>
    <n v="1"/>
    <n v="0"/>
    <n v="350"/>
    <n v="120"/>
    <x v="1"/>
    <s v="Delivered"/>
    <n v="350"/>
    <n v="34.285714285714278"/>
    <s v="Profit"/>
    <s v="Aarav Naidu"/>
    <x v="0"/>
    <x v="0"/>
    <s v="Hyderabad"/>
    <s v="Telangana"/>
    <s v="2024-09-17"/>
    <s v="26-35"/>
    <n v="120"/>
  </r>
  <r>
    <s v="ORD00720"/>
    <d v="2026-01-27T00:00:00"/>
    <s v="CUST0432"/>
    <x v="0"/>
    <x v="14"/>
    <n v="1"/>
    <n v="0.15"/>
    <n v="382.5"/>
    <n v="-166.64"/>
    <x v="1"/>
    <s v="Returned"/>
    <n v="382.5"/>
    <n v="-43.566013071895419"/>
    <s v="Loss"/>
    <s v="Pooja Singh"/>
    <x v="1"/>
    <x v="0"/>
    <s v="Coimbatore"/>
    <s v="Tamil Nadu"/>
    <s v="2023-02-17"/>
    <s v="18-25"/>
    <n v="-166.64"/>
  </r>
  <r>
    <s v="ORD00721"/>
    <d v="2025-10-15T00:00:00"/>
    <s v="CUST0248"/>
    <x v="2"/>
    <x v="3"/>
    <n v="4"/>
    <n v="0"/>
    <n v="60000"/>
    <n v="14000"/>
    <x v="3"/>
    <s v="Delivered"/>
    <n v="15000"/>
    <n v="23.333333333333329"/>
    <s v="Profit"/>
    <s v="Meera Das"/>
    <x v="1"/>
    <x v="2"/>
    <s v="Chandigarh"/>
    <s v="Chandigarh"/>
    <s v="2024-12-30"/>
    <s v="18-25"/>
    <n v="3500"/>
  </r>
  <r>
    <s v="ORD00722"/>
    <d v="2026-03-20T00:00:00"/>
    <s v="CUST0068"/>
    <x v="1"/>
    <x v="12"/>
    <n v="2"/>
    <n v="0.05"/>
    <n v="2660"/>
    <n v="921.04"/>
    <x v="0"/>
    <s v="Delivered"/>
    <n v="1330"/>
    <n v="34.625563909774428"/>
    <s v="Profit"/>
    <s v="Harini Pillai"/>
    <x v="1"/>
    <x v="3"/>
    <s v="Guwahati"/>
    <s v="Assam"/>
    <s v="2024-04-08"/>
    <s v="36-50"/>
    <n v="460.52"/>
  </r>
  <r>
    <s v="ORD00723"/>
    <d v="2026-02-28T00:00:00"/>
    <s v="CUST0110"/>
    <x v="3"/>
    <x v="11"/>
    <n v="1"/>
    <n v="0.05"/>
    <n v="2375"/>
    <n v="743.43"/>
    <x v="0"/>
    <s v="Delivered"/>
    <n v="2375"/>
    <n v="31.302315789473681"/>
    <s v="Profit"/>
    <s v="Ananya Gupta"/>
    <x v="0"/>
    <x v="3"/>
    <s v="Patna"/>
    <s v="Tamil Nadu"/>
    <s v="2025-06-10"/>
    <s v="26-35"/>
    <n v="743.43"/>
  </r>
  <r>
    <s v="ORD00724"/>
    <d v="2026-04-11T00:00:00"/>
    <s v="CUST0223"/>
    <x v="2"/>
    <x v="5"/>
    <n v="4"/>
    <n v="0.05"/>
    <n v="41800"/>
    <n v="8709.68"/>
    <x v="0"/>
    <s v="Delivered"/>
    <n v="10450"/>
    <n v="20.836555023923449"/>
    <s v="Profit"/>
    <s v="Akash Bose"/>
    <x v="0"/>
    <x v="0"/>
    <s v="Chennai"/>
    <s v="Tamil Nadu"/>
    <s v="2023-12-31"/>
    <s v="18-25"/>
    <n v="2177.42"/>
  </r>
  <r>
    <s v="ORD00725"/>
    <d v="2025-07-17T00:00:00"/>
    <s v="CUST0457"/>
    <x v="3"/>
    <x v="11"/>
    <n v="2"/>
    <n v="0.1"/>
    <n v="4500"/>
    <n v="-2196.14"/>
    <x v="1"/>
    <s v="Cancelled"/>
    <n v="2250"/>
    <n v="-48.803111111111107"/>
    <s v="Loss"/>
    <s v="Karthik Bose"/>
    <x v="2"/>
    <x v="0"/>
    <s v="Hyderabad"/>
    <s v="Telangana"/>
    <s v="2025-04-05"/>
    <s v="51+"/>
    <n v="-1098.07"/>
  </r>
  <r>
    <s v="ORD00726"/>
    <d v="2026-06-16T00:00:00"/>
    <s v="CUST0501"/>
    <x v="2"/>
    <x v="9"/>
    <n v="1"/>
    <n v="0.05"/>
    <n v="8550"/>
    <n v="1981.83"/>
    <x v="0"/>
    <s v="Shipped"/>
    <n v="8550"/>
    <n v="23.179298245614039"/>
    <s v="Profit"/>
    <s v="Rahul Pillai"/>
    <x v="1"/>
    <x v="0"/>
    <s v="Bengaluru"/>
    <s v="Karnataka"/>
    <s v="2024-03-13"/>
    <s v="36-50"/>
    <n v="1981.83"/>
  </r>
  <r>
    <s v="ORD00727"/>
    <d v="2025-11-18T00:00:00"/>
    <s v="CUST0287"/>
    <x v="2"/>
    <x v="2"/>
    <n v="2"/>
    <n v="0.05"/>
    <n v="24700"/>
    <n v="5295.82"/>
    <x v="2"/>
    <s v="Shipped"/>
    <n v="12350"/>
    <n v="21.440566801619429"/>
    <s v="Profit"/>
    <s v="Akash Pillai"/>
    <x v="1"/>
    <x v="0"/>
    <s v="Chennai"/>
    <s v="Tamil Nadu"/>
    <s v="2023-07-20"/>
    <s v="18-25"/>
    <n v="2647.91"/>
  </r>
  <r>
    <s v="ORD00728"/>
    <d v="2025-12-29T00:00:00"/>
    <s v="CUST0293"/>
    <x v="0"/>
    <x v="6"/>
    <n v="10"/>
    <n v="0.2"/>
    <n v="2800"/>
    <n v="681.31"/>
    <x v="3"/>
    <s v="Delivered"/>
    <n v="280"/>
    <n v="24.3325"/>
    <s v="Profit"/>
    <s v="Ishaan Singh"/>
    <x v="2"/>
    <x v="2"/>
    <s v="Delhi"/>
    <s v="Delhi"/>
    <s v="2023-03-09"/>
    <s v="26-35"/>
    <n v="68.131"/>
  </r>
  <r>
    <s v="ORD00729"/>
    <d v="2026-05-23T00:00:00"/>
    <s v="CUST0228"/>
    <x v="3"/>
    <x v="4"/>
    <n v="3"/>
    <n v="0.1"/>
    <n v="48600"/>
    <n v="6612.62"/>
    <x v="1"/>
    <s v="Delivered"/>
    <n v="16200"/>
    <n v="13.60621399176955"/>
    <s v="Profit"/>
    <s v="Rohan Reddy"/>
    <x v="2"/>
    <x v="0"/>
    <s v="Coimbatore"/>
    <s v="Tamil Nadu"/>
    <s v="2025-11-28"/>
    <s v="36-50"/>
    <n v="2204.206666666666"/>
  </r>
  <r>
    <s v="ORD00730"/>
    <d v="2025-11-29T00:00:00"/>
    <s v="CUST0378"/>
    <x v="1"/>
    <x v="1"/>
    <n v="1"/>
    <n v="0.1"/>
    <n v="1620"/>
    <n v="526.77"/>
    <x v="0"/>
    <s v="Delivered"/>
    <n v="1620"/>
    <n v="32.516666666666673"/>
    <s v="Profit"/>
    <s v="Aarav Joshi"/>
    <x v="2"/>
    <x v="0"/>
    <s v="Bengaluru"/>
    <s v="Karnataka"/>
    <s v="2025-12-14"/>
    <s v="26-35"/>
    <n v="526.77"/>
  </r>
  <r>
    <s v="ORD00731"/>
    <d v="2025-11-14T00:00:00"/>
    <s v="CUST0135"/>
    <x v="3"/>
    <x v="11"/>
    <n v="2"/>
    <n v="0.2"/>
    <n v="4000"/>
    <n v="990.04"/>
    <x v="0"/>
    <s v="Delivered"/>
    <n v="2000"/>
    <n v="24.751000000000001"/>
    <s v="Profit"/>
    <s v="Sneha Patel"/>
    <x v="0"/>
    <x v="2"/>
    <s v="Delhi"/>
    <s v="Delhi"/>
    <s v="2024-07-08"/>
    <s v="36-50"/>
    <n v="495.02"/>
  </r>
  <r>
    <s v="ORD00732"/>
    <d v="2026-02-12T00:00:00"/>
    <s v="CUST0587"/>
    <x v="2"/>
    <x v="3"/>
    <n v="4"/>
    <n v="0.1"/>
    <n v="54000"/>
    <n v="9367.14"/>
    <x v="3"/>
    <s v="Delivered"/>
    <n v="13500"/>
    <n v="17.34655555555555"/>
    <s v="Profit"/>
    <s v="Ishaan Kulkarni"/>
    <x v="2"/>
    <x v="3"/>
    <s v="Guwahati"/>
    <s v="Assam"/>
    <s v="2025-01-05"/>
    <s v="26-35"/>
    <n v="2341.7849999999999"/>
  </r>
  <r>
    <s v="ORD00733"/>
    <d v="2026-07-16T00:00:00"/>
    <s v="CUST0419"/>
    <x v="3"/>
    <x v="8"/>
    <n v="5"/>
    <n v="0.15"/>
    <n v="19125"/>
    <n v="5089.5600000000004"/>
    <x v="0"/>
    <s v="Delivered"/>
    <n v="3825"/>
    <n v="26.612078431372549"/>
    <s v="Profit"/>
    <s v="Ishaan Singh"/>
    <x v="0"/>
    <x v="2"/>
    <s v="Chandigarh"/>
    <s v="Chandigarh"/>
    <s v="2024-05-23"/>
    <s v="18-25"/>
    <n v="1017.912"/>
  </r>
  <r>
    <s v="ORD00734"/>
    <d v="2025-11-07T00:00:00"/>
    <s v="CUST0465"/>
    <x v="3"/>
    <x v="10"/>
    <n v="3"/>
    <n v="0.15"/>
    <n v="140250"/>
    <n v="7282.08"/>
    <x v="1"/>
    <s v="Delivered"/>
    <n v="46750"/>
    <n v="5.1922139037433146"/>
    <s v="Profit"/>
    <s v="Ananya Pillai"/>
    <x v="2"/>
    <x v="2"/>
    <s v="Delhi"/>
    <s v="Delhi"/>
    <s v="2023-04-30"/>
    <s v="26-35"/>
    <n v="2427.36"/>
  </r>
  <r>
    <s v="ORD00735"/>
    <d v="2025-08-21T00:00:00"/>
    <s v="CUST0556"/>
    <x v="3"/>
    <x v="10"/>
    <n v="2"/>
    <n v="0.1"/>
    <n v="99000"/>
    <n v="11234.06"/>
    <x v="1"/>
    <s v="Shipped"/>
    <n v="49500"/>
    <n v="11.347535353535349"/>
    <s v="Profit"/>
    <s v="Karthik Chopra"/>
    <x v="0"/>
    <x v="0"/>
    <s v="Coimbatore"/>
    <s v="Tamil Nadu"/>
    <s v="2024-08-09"/>
    <s v="26-35"/>
    <n v="5617.03"/>
  </r>
  <r>
    <s v="ORD00736"/>
    <d v="2025-07-09T00:00:00"/>
    <s v="CUST0540"/>
    <x v="2"/>
    <x v="3"/>
    <n v="1"/>
    <n v="0"/>
    <n v="15000"/>
    <n v="3500"/>
    <x v="2"/>
    <s v="Delivered"/>
    <n v="15000"/>
    <n v="23.333333333333329"/>
    <s v="Profit"/>
    <s v="Kavya Rao"/>
    <x v="0"/>
    <x v="0"/>
    <s v="Chennai"/>
    <s v="Tamil Nadu"/>
    <s v="2023-09-30"/>
    <s v="18-25"/>
    <n v="3500"/>
  </r>
  <r>
    <s v="ORD00737"/>
    <d v="2026-02-20T00:00:00"/>
    <s v="CUST0311"/>
    <x v="0"/>
    <x v="14"/>
    <n v="3"/>
    <n v="0"/>
    <n v="1350"/>
    <n v="330"/>
    <x v="3"/>
    <s v="Delivered"/>
    <n v="450"/>
    <n v="24.444444444444439"/>
    <s v="Profit"/>
    <s v="Sneha Verma"/>
    <x v="2"/>
    <x v="1"/>
    <s v="Surat"/>
    <s v="Gujarat"/>
    <s v="2025-03-27"/>
    <s v="18-25"/>
    <n v="110"/>
  </r>
  <r>
    <s v="ORD00738"/>
    <d v="2026-05-04T00:00:00"/>
    <s v="CUST0225"/>
    <x v="0"/>
    <x v="0"/>
    <n v="2"/>
    <n v="0.1"/>
    <n v="25200"/>
    <n v="3464.44"/>
    <x v="2"/>
    <s v="Delivered"/>
    <n v="12600"/>
    <n v="13.747777777777779"/>
    <s v="Profit"/>
    <s v="Meera Khan"/>
    <x v="2"/>
    <x v="0"/>
    <s v="Coimbatore"/>
    <s v="Tamil Nadu"/>
    <s v="2025-12-18"/>
    <s v="26-35"/>
    <n v="1732.22"/>
  </r>
  <r>
    <s v="ORD00739"/>
    <d v="2026-05-12T00:00:00"/>
    <s v="CUST0328"/>
    <x v="2"/>
    <x v="5"/>
    <n v="6"/>
    <n v="0.15"/>
    <n v="56100"/>
    <n v="7208.98"/>
    <x v="3"/>
    <s v="Delivered"/>
    <n v="9350"/>
    <n v="12.85023172905526"/>
    <s v="Profit"/>
    <s v="Priya Patel"/>
    <x v="1"/>
    <x v="2"/>
    <s v="Delhi"/>
    <s v="Delhi"/>
    <s v="2025-03-16"/>
    <s v="18-25"/>
    <n v="1201.4966666666669"/>
  </r>
  <r>
    <s v="ORD00740"/>
    <d v="2026-02-12T00:00:00"/>
    <s v="CUST0045"/>
    <x v="2"/>
    <x v="2"/>
    <n v="3"/>
    <n v="0.15"/>
    <n v="33150"/>
    <n v="5457.41"/>
    <x v="2"/>
    <s v="Delivered"/>
    <n v="11050"/>
    <n v="16.46277526395173"/>
    <s v="Profit"/>
    <s v="Sanjay Nair"/>
    <x v="0"/>
    <x v="1"/>
    <s v="Surat"/>
    <s v="Gujarat"/>
    <s v="2024-10-17"/>
    <s v="26-35"/>
    <n v="1819.136666666667"/>
  </r>
  <r>
    <s v="ORD00741"/>
    <d v="2026-02-09T00:00:00"/>
    <s v="CUST0554"/>
    <x v="1"/>
    <x v="13"/>
    <n v="4"/>
    <n v="0"/>
    <n v="16800"/>
    <n v="4800"/>
    <x v="0"/>
    <s v="Delivered"/>
    <n v="4200"/>
    <n v="28.571428571428569"/>
    <s v="Profit"/>
    <s v="Aarav Gupta"/>
    <x v="0"/>
    <x v="1"/>
    <s v="Surat"/>
    <s v="Gujarat"/>
    <s v="2024-05-24"/>
    <s v="26-35"/>
    <n v="1200"/>
  </r>
  <r>
    <s v="ORD00742"/>
    <d v="2026-07-18T00:00:00"/>
    <s v="CUST0250"/>
    <x v="2"/>
    <x v="5"/>
    <n v="6"/>
    <n v="0.15"/>
    <n v="56100"/>
    <n v="8496.9699999999993"/>
    <x v="2"/>
    <s v="Delivered"/>
    <n v="9350"/>
    <n v="15.14611408199643"/>
    <s v="Profit"/>
    <s v="Sanjay Das"/>
    <x v="1"/>
    <x v="1"/>
    <s v="Ahmedabad"/>
    <s v="Gujarat"/>
    <s v="2024-08-01"/>
    <s v="26-35"/>
    <n v="1416.1616666666671"/>
  </r>
  <r>
    <s v="ORD00743"/>
    <d v="2026-03-03T00:00:00"/>
    <s v="CUST0215"/>
    <x v="2"/>
    <x v="3"/>
    <n v="2"/>
    <n v="0.1"/>
    <n v="27000"/>
    <n v="5537.18"/>
    <x v="2"/>
    <s v="Delivered"/>
    <n v="13500"/>
    <n v="20.508074074074081"/>
    <s v="Profit"/>
    <s v="Pooja Reddy"/>
    <x v="1"/>
    <x v="0"/>
    <s v="Bengaluru"/>
    <s v="Karnataka"/>
    <s v="2025-07-16"/>
    <s v="26-35"/>
    <n v="2768.59"/>
  </r>
  <r>
    <s v="ORD00744"/>
    <d v="2025-11-03T00:00:00"/>
    <s v="CUST0325"/>
    <x v="0"/>
    <x v="14"/>
    <n v="2"/>
    <n v="0.2"/>
    <n v="720"/>
    <n v="132.59"/>
    <x v="2"/>
    <s v="Delivered"/>
    <n v="360"/>
    <n v="18.415277777777781"/>
    <s v="Profit"/>
    <s v="Arjun Mishra"/>
    <x v="0"/>
    <x v="0"/>
    <s v="Chennai"/>
    <s v="Tamil Nadu"/>
    <s v="2023-05-08"/>
    <s v="51+"/>
    <n v="66.295000000000002"/>
  </r>
  <r>
    <s v="ORD00745"/>
    <d v="2025-12-25T00:00:00"/>
    <s v="CUST0088"/>
    <x v="0"/>
    <x v="6"/>
    <n v="5"/>
    <n v="0.15"/>
    <n v="1487.5"/>
    <n v="-513.5"/>
    <x v="1"/>
    <s v="Returned"/>
    <n v="297.5"/>
    <n v="-34.521008403361343"/>
    <s v="Loss"/>
    <s v="Sneha Verma"/>
    <x v="1"/>
    <x v="0"/>
    <s v="Chennai"/>
    <s v="Tamil Nadu"/>
    <s v="2023-06-12"/>
    <s v="26-35"/>
    <n v="-102.7"/>
  </r>
  <r>
    <s v="ORD00746"/>
    <d v="2025-11-24T00:00:00"/>
    <s v="CUST0209"/>
    <x v="2"/>
    <x v="9"/>
    <n v="3"/>
    <n v="0.1"/>
    <n v="24300"/>
    <n v="5540.63"/>
    <x v="0"/>
    <s v="Shipped"/>
    <n v="8100"/>
    <n v="22.800946502057609"/>
    <s v="Profit"/>
    <s v="Rahul Naidu"/>
    <x v="0"/>
    <x v="0"/>
    <s v="Hyderabad"/>
    <s v="Telangana"/>
    <s v="2023-02-09"/>
    <s v="36-50"/>
    <n v="1846.876666666667"/>
  </r>
  <r>
    <s v="ORD00747"/>
    <d v="2025-07-27T00:00:00"/>
    <s v="CUST0426"/>
    <x v="0"/>
    <x v="14"/>
    <n v="2"/>
    <n v="0.1"/>
    <n v="810"/>
    <n v="158.5"/>
    <x v="3"/>
    <s v="Delivered"/>
    <n v="405"/>
    <n v="19.567901234567898"/>
    <s v="Profit"/>
    <s v="Sneha Rao"/>
    <x v="1"/>
    <x v="2"/>
    <s v="Lucknow"/>
    <s v="Uttar Pradesh"/>
    <s v="2025-02-23"/>
    <s v="36-50"/>
    <n v="79.25"/>
  </r>
  <r>
    <s v="ORD00748"/>
    <d v="2026-05-22T00:00:00"/>
    <s v="CUST0039"/>
    <x v="0"/>
    <x v="0"/>
    <n v="1"/>
    <n v="0.05"/>
    <n v="13300"/>
    <n v="2423.2399999999998"/>
    <x v="0"/>
    <s v="Delivered"/>
    <n v="13300"/>
    <n v="18.219849624060149"/>
    <s v="Profit"/>
    <s v="Varun Joshi"/>
    <x v="0"/>
    <x v="0"/>
    <s v="Coimbatore"/>
    <s v="Tamil Nadu"/>
    <s v="2025-08-21"/>
    <s v="51+"/>
    <n v="2423.2399999999998"/>
  </r>
  <r>
    <s v="ORD00749"/>
    <d v="2025-09-01T00:00:00"/>
    <s v="CUST0040"/>
    <x v="3"/>
    <x v="8"/>
    <n v="3"/>
    <n v="0.05"/>
    <n v="12825"/>
    <n v="4177.3500000000004"/>
    <x v="0"/>
    <s v="Delivered"/>
    <n v="4275"/>
    <n v="32.571929824561408"/>
    <s v="Profit"/>
    <s v="Shreya Reddy"/>
    <x v="0"/>
    <x v="2"/>
    <s v="Delhi"/>
    <s v="Delhi"/>
    <s v="2025-05-04"/>
    <s v="26-35"/>
    <n v="1392.45"/>
  </r>
  <r>
    <s v="ORD00750"/>
    <d v="2025-10-07T00:00:00"/>
    <s v="CUST0456"/>
    <x v="1"/>
    <x v="15"/>
    <n v="4"/>
    <n v="0"/>
    <n v="8800"/>
    <n v="-4028.74"/>
    <x v="0"/>
    <s v="Returned"/>
    <n v="2200"/>
    <n v="-45.781136363636357"/>
    <s v="Loss"/>
    <s v="Ananya Das"/>
    <x v="0"/>
    <x v="3"/>
    <s v="Patna"/>
    <s v="Bihar"/>
    <s v="2025-06-07"/>
    <s v="18-25"/>
    <n v="-1007.1849999999999"/>
  </r>
  <r>
    <s v="ORD00751"/>
    <d v="2026-03-30T00:00:00"/>
    <s v="CUST0036"/>
    <x v="2"/>
    <x v="3"/>
    <n v="3"/>
    <n v="0.15"/>
    <n v="38250"/>
    <n v="6575.73"/>
    <x v="3"/>
    <s v="Delivered"/>
    <n v="12750"/>
    <n v="17.191450980392151"/>
    <s v="Profit"/>
    <s v="Priya Patel"/>
    <x v="2"/>
    <x v="3"/>
    <s v="Guwahati"/>
    <s v="Assam"/>
    <s v="2023-10-18"/>
    <s v="26-35"/>
    <n v="2191.91"/>
  </r>
  <r>
    <s v="ORD00752"/>
    <d v="2025-10-02T00:00:00"/>
    <s v="CUST0577"/>
    <x v="0"/>
    <x v="0"/>
    <n v="3"/>
    <n v="0.1"/>
    <n v="37800"/>
    <n v="6137.31"/>
    <x v="1"/>
    <s v="Delivered"/>
    <n v="12600"/>
    <n v="16.236269841269841"/>
    <s v="Profit"/>
    <s v="Lakshmi Joshi"/>
    <x v="1"/>
    <x v="1"/>
    <s v="Ahmedabad"/>
    <s v="Gujarat"/>
    <s v="2024-09-03"/>
    <s v="26-35"/>
    <n v="2045.77"/>
  </r>
  <r>
    <s v="ORD00753"/>
    <d v="2026-04-04T00:00:00"/>
    <s v="CUST0460"/>
    <x v="3"/>
    <x v="10"/>
    <n v="6"/>
    <n v="0.1"/>
    <n v="297000"/>
    <n v="34887.35"/>
    <x v="3"/>
    <s v="Delivered"/>
    <n v="49500"/>
    <n v="11.74658249158249"/>
    <s v="Profit"/>
    <s v="Rohan Nair"/>
    <x v="0"/>
    <x v="0"/>
    <s v="Chennai"/>
    <s v="Tamil Nadu"/>
    <s v="2023-12-17"/>
    <s v="18-25"/>
    <n v="5814.5583333333334"/>
  </r>
  <r>
    <s v="ORD00754"/>
    <d v="2025-10-26T00:00:00"/>
    <s v="CUST0304"/>
    <x v="3"/>
    <x v="4"/>
    <n v="1"/>
    <n v="0.2"/>
    <n v="14400"/>
    <n v="1373.38"/>
    <x v="0"/>
    <s v="Delivered"/>
    <n v="14400"/>
    <n v="9.5373611111111121"/>
    <s v="Profit"/>
    <s v="Ishaan Khan"/>
    <x v="2"/>
    <x v="0"/>
    <s v="Bengaluru"/>
    <s v="Karnataka"/>
    <s v="2024-12-10"/>
    <s v="26-35"/>
    <n v="1373.38"/>
  </r>
  <r>
    <s v="ORD00755"/>
    <d v="2025-12-04T00:00:00"/>
    <s v="CUST0208"/>
    <x v="0"/>
    <x v="0"/>
    <n v="1"/>
    <n v="0.05"/>
    <n v="13300"/>
    <n v="-8078.26"/>
    <x v="3"/>
    <s v="Cancelled"/>
    <n v="13300"/>
    <n v="-60.738796992481213"/>
    <s v="Loss"/>
    <s v="Sneha Pillai"/>
    <x v="0"/>
    <x v="0"/>
    <s v="Hyderabad"/>
    <s v="Telangana"/>
    <s v="2025-02-01"/>
    <s v="26-35"/>
    <n v="-8078.26"/>
  </r>
  <r>
    <s v="ORD00756"/>
    <d v="2026-03-20T00:00:00"/>
    <s v="CUST0106"/>
    <x v="2"/>
    <x v="3"/>
    <n v="3"/>
    <n v="0"/>
    <n v="45000"/>
    <n v="10500"/>
    <x v="2"/>
    <s v="Delivered"/>
    <n v="15000"/>
    <n v="23.333333333333329"/>
    <s v="Profit"/>
    <s v="Kavya Nair"/>
    <x v="1"/>
    <x v="0"/>
    <s v="Coimbatore"/>
    <s v="Tamil Nadu"/>
    <s v="2025-07-06"/>
    <s v="36-50"/>
    <n v="3500"/>
  </r>
  <r>
    <s v="ORD00757"/>
    <d v="2026-01-09T00:00:00"/>
    <s v="CUST0443"/>
    <x v="3"/>
    <x v="8"/>
    <n v="3"/>
    <n v="0"/>
    <n v="13500"/>
    <n v="4500"/>
    <x v="3"/>
    <s v="Delivered"/>
    <n v="4500"/>
    <n v="33.333333333333329"/>
    <s v="Profit"/>
    <s v="Akash Sharma"/>
    <x v="1"/>
    <x v="0"/>
    <s v="Coimbatore"/>
    <s v="Tamil Nadu"/>
    <s v="2023-10-10"/>
    <s v="51+"/>
    <n v="1500"/>
  </r>
  <r>
    <s v="ORD00758"/>
    <d v="2025-10-01T00:00:00"/>
    <s v="CUST0302"/>
    <x v="2"/>
    <x v="3"/>
    <n v="2"/>
    <n v="0.1"/>
    <n v="27000"/>
    <n v="4856.21"/>
    <x v="0"/>
    <s v="Delivered"/>
    <n v="13500"/>
    <n v="17.985962962962962"/>
    <s v="Profit"/>
    <s v="Ananya Iyer"/>
    <x v="0"/>
    <x v="1"/>
    <s v="Pune"/>
    <s v="Maharashtra"/>
    <s v="2025-09-02"/>
    <s v="26-35"/>
    <n v="2428.105"/>
  </r>
  <r>
    <s v="ORD00759"/>
    <d v="2026-05-12T00:00:00"/>
    <s v="CUST0579"/>
    <x v="3"/>
    <x v="4"/>
    <n v="4"/>
    <n v="0.15"/>
    <n v="61200"/>
    <n v="8464.36"/>
    <x v="0"/>
    <s v="Delivered"/>
    <n v="15300"/>
    <n v="13.83065359477124"/>
    <s v="Profit"/>
    <s v="Manoj Reddy"/>
    <x v="1"/>
    <x v="2"/>
    <s v="Chandigarh"/>
    <s v="Chandigarh"/>
    <s v="2024-10-31"/>
    <s v="26-35"/>
    <n v="2116.09"/>
  </r>
  <r>
    <s v="ORD00760"/>
    <d v="2026-03-17T00:00:00"/>
    <s v="CUST0370"/>
    <x v="3"/>
    <x v="11"/>
    <n v="1"/>
    <n v="0.2"/>
    <n v="2000"/>
    <n v="560.27"/>
    <x v="0"/>
    <s v="Shipped"/>
    <n v="2000"/>
    <n v="28.013500000000001"/>
    <s v="Profit"/>
    <s v="Diya Kulkarni"/>
    <x v="1"/>
    <x v="2"/>
    <s v="Chandigarh"/>
    <s v="Chandigarh"/>
    <s v="2024-04-20"/>
    <s v="26-35"/>
    <n v="560.27"/>
  </r>
  <r>
    <s v="ORD00761"/>
    <d v="2026-07-02T00:00:00"/>
    <s v="CUST0420"/>
    <x v="2"/>
    <x v="3"/>
    <n v="4"/>
    <n v="0.05"/>
    <n v="57000"/>
    <n v="11485.99"/>
    <x v="2"/>
    <s v="Delivered"/>
    <n v="14250"/>
    <n v="20.150859649122811"/>
    <s v="Profit"/>
    <s v="Ishaan Gupta"/>
    <x v="0"/>
    <x v="2"/>
    <s v="Delhi"/>
    <s v="Delhi"/>
    <s v="2024-04-07"/>
    <s v="36-50"/>
    <n v="2871.4974999999999"/>
  </r>
  <r>
    <s v="ORD00762"/>
    <d v="2025-12-25T00:00:00"/>
    <s v="CUST0166"/>
    <x v="3"/>
    <x v="10"/>
    <n v="2"/>
    <n v="0"/>
    <n v="110000"/>
    <n v="-47446.06"/>
    <x v="0"/>
    <s v="Cancelled"/>
    <n v="55000"/>
    <n v="-43.132781818181812"/>
    <s v="Loss"/>
    <s v="Arjun Gupta"/>
    <x v="2"/>
    <x v="0"/>
    <s v="Chennai"/>
    <s v="Tamil Nadu"/>
    <s v="2024-10-19"/>
    <s v="18-25"/>
    <n v="-23723.03"/>
  </r>
  <r>
    <s v="ORD00763"/>
    <d v="2026-05-14T00:00:00"/>
    <s v="CUST0220"/>
    <x v="3"/>
    <x v="8"/>
    <n v="3"/>
    <n v="0"/>
    <n v="13500"/>
    <n v="4500"/>
    <x v="1"/>
    <s v="Delivered"/>
    <n v="4500"/>
    <n v="33.333333333333329"/>
    <s v="Profit"/>
    <s v="Pooja Kulkarni"/>
    <x v="0"/>
    <x v="1"/>
    <s v="Surat"/>
    <s v="Gujarat"/>
    <s v="2024-05-02"/>
    <s v="18-25"/>
    <n v="1500"/>
  </r>
  <r>
    <s v="ORD00764"/>
    <d v="2025-09-18T00:00:00"/>
    <s v="CUST0149"/>
    <x v="0"/>
    <x v="14"/>
    <n v="3"/>
    <n v="0"/>
    <n v="1350"/>
    <n v="330"/>
    <x v="2"/>
    <s v="Delivered"/>
    <n v="450"/>
    <n v="24.444444444444439"/>
    <s v="Profit"/>
    <s v="Diya Pillai"/>
    <x v="1"/>
    <x v="3"/>
    <s v="Kolkata"/>
    <s v="West Bengal"/>
    <s v="2024-09-28"/>
    <s v="36-50"/>
    <n v="110"/>
  </r>
  <r>
    <s v="ORD00765"/>
    <d v="2025-07-16T00:00:00"/>
    <s v="CUST0484"/>
    <x v="3"/>
    <x v="10"/>
    <n v="2"/>
    <n v="0"/>
    <n v="110000"/>
    <n v="18000"/>
    <x v="2"/>
    <s v="Shipped"/>
    <n v="55000"/>
    <n v="16.36363636363636"/>
    <s v="Profit"/>
    <s v="Rahul Pillai"/>
    <x v="0"/>
    <x v="2"/>
    <s v="Delhi"/>
    <s v="Delhi"/>
    <s v="2025-05-08"/>
    <s v="36-50"/>
    <n v="9000"/>
  </r>
  <r>
    <s v="ORD00766"/>
    <d v="2026-02-13T00:00:00"/>
    <s v="CUST0257"/>
    <x v="2"/>
    <x v="2"/>
    <n v="2"/>
    <n v="0"/>
    <n v="26000"/>
    <n v="-14078.14"/>
    <x v="3"/>
    <s v="Cancelled"/>
    <n v="13000"/>
    <n v="-54.146692307692298"/>
    <s v="Loss"/>
    <s v="Rahul Patel"/>
    <x v="0"/>
    <x v="2"/>
    <s v="Delhi"/>
    <s v="Delhi"/>
    <s v="2025-10-24"/>
    <s v="36-50"/>
    <n v="-7039.07"/>
  </r>
  <r>
    <s v="ORD00767"/>
    <d v="2025-12-28T00:00:00"/>
    <s v="CUST0301"/>
    <x v="2"/>
    <x v="5"/>
    <n v="2"/>
    <n v="0"/>
    <n v="22000"/>
    <n v="5200"/>
    <x v="2"/>
    <s v="Delivered"/>
    <n v="11000"/>
    <n v="23.63636363636364"/>
    <s v="Profit"/>
    <s v="Pooja Bose"/>
    <x v="0"/>
    <x v="0"/>
    <s v="Bengaluru"/>
    <s v="Karnataka"/>
    <s v="2025-11-12"/>
    <s v="26-35"/>
    <n v="2600"/>
  </r>
  <r>
    <s v="ORD00768"/>
    <d v="2025-10-18T00:00:00"/>
    <s v="CUST0522"/>
    <x v="1"/>
    <x v="13"/>
    <n v="4"/>
    <n v="0.15"/>
    <n v="14280"/>
    <n v="-2741.85"/>
    <x v="2"/>
    <s v="Cancelled"/>
    <n v="3570"/>
    <n v="-19.20063025210084"/>
    <s v="Loss"/>
    <s v="Karthik Joshi"/>
    <x v="2"/>
    <x v="0"/>
    <s v="Bengaluru"/>
    <s v="Karnataka"/>
    <s v="2023-06-28"/>
    <s v="36-50"/>
    <n v="-685.46249999999998"/>
  </r>
  <r>
    <s v="ORD00769"/>
    <d v="2026-03-19T00:00:00"/>
    <s v="CUST0357"/>
    <x v="0"/>
    <x v="7"/>
    <n v="2"/>
    <n v="0.05"/>
    <n v="1710"/>
    <n v="488"/>
    <x v="3"/>
    <s v="Delivered"/>
    <n v="855"/>
    <n v="28.53801169590643"/>
    <s v="Profit"/>
    <s v="Aarav Gupta"/>
    <x v="2"/>
    <x v="2"/>
    <s v="Chandigarh"/>
    <s v="Chandigarh"/>
    <s v="2023-04-16"/>
    <s v="26-35"/>
    <n v="244"/>
  </r>
  <r>
    <s v="ORD00770"/>
    <d v="2026-01-17T00:00:00"/>
    <s v="CUST0418"/>
    <x v="3"/>
    <x v="10"/>
    <n v="2"/>
    <n v="0.15"/>
    <n v="93500"/>
    <n v="4264.63"/>
    <x v="1"/>
    <s v="Shipped"/>
    <n v="46750"/>
    <n v="4.5611016042780754"/>
    <s v="Profit"/>
    <s v="Pooja Menon"/>
    <x v="2"/>
    <x v="1"/>
    <s v="Pune"/>
    <s v="Maharashtra"/>
    <s v="2023-08-14"/>
    <s v="18-25"/>
    <n v="2132.3150000000001"/>
  </r>
  <r>
    <s v="ORD00771"/>
    <d v="2026-05-21T00:00:00"/>
    <s v="CUST0264"/>
    <x v="1"/>
    <x v="12"/>
    <n v="6"/>
    <n v="0.15"/>
    <n v="7140"/>
    <n v="-1493.28"/>
    <x v="0"/>
    <s v="Returned"/>
    <n v="1190"/>
    <n v="-20.914285714285711"/>
    <s v="Loss"/>
    <s v="Sneha Kulkarni"/>
    <x v="1"/>
    <x v="0"/>
    <s v="Chennai"/>
    <s v="Tamil Nadu"/>
    <s v="2024-02-11"/>
    <s v="51+"/>
    <n v="-248.88"/>
  </r>
  <r>
    <s v="ORD00772"/>
    <d v="2026-08-15T00:00:00"/>
    <s v="CUST0024"/>
    <x v="3"/>
    <x v="4"/>
    <n v="4"/>
    <n v="0.1"/>
    <n v="64800"/>
    <n v="10663.59"/>
    <x v="0"/>
    <s v="Delivered"/>
    <n v="16200"/>
    <n v="16.45615740740741"/>
    <s v="Profit"/>
    <s v="Lakshmi Pillai"/>
    <x v="1"/>
    <x v="0"/>
    <s v="Coimbatore"/>
    <s v="Tamil Nadu"/>
    <s v="2024-11-26"/>
    <s v="26-35"/>
    <n v="2665.8975"/>
  </r>
  <r>
    <s v="ORD00773"/>
    <d v="2025-08-12T00:00:00"/>
    <s v="CUST0558"/>
    <x v="3"/>
    <x v="11"/>
    <n v="2"/>
    <n v="0.1"/>
    <n v="4500"/>
    <n v="1185.97"/>
    <x v="1"/>
    <s v="Shipped"/>
    <n v="2250"/>
    <n v="26.35488888888889"/>
    <s v="Profit"/>
    <s v="Harini Nair"/>
    <x v="0"/>
    <x v="3"/>
    <s v="Kolkata"/>
    <s v="West Bengal"/>
    <s v="2024-05-13"/>
    <s v="36-50"/>
    <n v="592.98500000000001"/>
  </r>
  <r>
    <s v="ORD00774"/>
    <d v="2026-02-22T00:00:00"/>
    <s v="CUST0319"/>
    <x v="3"/>
    <x v="4"/>
    <n v="2"/>
    <n v="0.1"/>
    <n v="32400"/>
    <n v="5238.8900000000003"/>
    <x v="0"/>
    <s v="Shipped"/>
    <n v="16200"/>
    <n v="16.169413580246911"/>
    <s v="Profit"/>
    <s v="Vikram Sharma"/>
    <x v="0"/>
    <x v="0"/>
    <s v="Bengaluru"/>
    <s v="Karnataka"/>
    <s v="2024-01-16"/>
    <s v="26-35"/>
    <n v="2619.4450000000002"/>
  </r>
  <r>
    <s v="ORD00775"/>
    <d v="2025-12-16T00:00:00"/>
    <s v="CUST0101"/>
    <x v="0"/>
    <x v="7"/>
    <n v="2"/>
    <n v="0.1"/>
    <n v="1620"/>
    <n v="436.58"/>
    <x v="1"/>
    <s v="Delivered"/>
    <n v="810"/>
    <n v="26.949382716049382"/>
    <s v="Profit"/>
    <s v="Ishaan Verma"/>
    <x v="0"/>
    <x v="3"/>
    <s v="Guwahati"/>
    <s v="Assam"/>
    <s v="2023-01-28"/>
    <s v="26-35"/>
    <n v="218.29"/>
  </r>
  <r>
    <s v="ORD00776"/>
    <d v="2026-07-26T00:00:00"/>
    <s v="CUST0287"/>
    <x v="0"/>
    <x v="0"/>
    <n v="3"/>
    <n v="0.15"/>
    <n v="35700"/>
    <n v="4146.8500000000004"/>
    <x v="2"/>
    <s v="Delivered"/>
    <n v="11900"/>
    <n v="11.61582633053221"/>
    <s v="Profit"/>
    <s v="Akash Pillai"/>
    <x v="1"/>
    <x v="0"/>
    <s v="Chennai"/>
    <s v="Tamil Nadu"/>
    <s v="2023-07-20"/>
    <s v="18-25"/>
    <n v="1382.283333333334"/>
  </r>
  <r>
    <s v="ORD00777"/>
    <d v="2026-05-26T00:00:00"/>
    <s v="CUST0508"/>
    <x v="2"/>
    <x v="9"/>
    <n v="4"/>
    <n v="0.1"/>
    <n v="32400"/>
    <n v="6992.4"/>
    <x v="2"/>
    <s v="Shipped"/>
    <n v="8100"/>
    <n v="21.581481481481479"/>
    <s v="Profit"/>
    <s v="Karthik Naidu"/>
    <x v="0"/>
    <x v="3"/>
    <s v="Guwahati"/>
    <s v="Assam"/>
    <s v="2024-10-11"/>
    <s v="18-25"/>
    <n v="1748.1"/>
  </r>
  <r>
    <s v="ORD00778"/>
    <d v="2026-08-14T00:00:00"/>
    <s v="CUST0073"/>
    <x v="3"/>
    <x v="8"/>
    <n v="1"/>
    <n v="0"/>
    <n v="4500"/>
    <n v="1500"/>
    <x v="1"/>
    <s v="Delivered"/>
    <n v="4500"/>
    <n v="33.333333333333329"/>
    <s v="Profit"/>
    <s v="Kavya Pillai"/>
    <x v="0"/>
    <x v="0"/>
    <s v="Hyderabad"/>
    <s v="Telangana"/>
    <s v="2023-04-01"/>
    <s v="26-35"/>
    <n v="1500"/>
  </r>
  <r>
    <s v="ORD00779"/>
    <d v="2026-06-06T00:00:00"/>
    <s v="CUST0370"/>
    <x v="3"/>
    <x v="4"/>
    <n v="4"/>
    <n v="0"/>
    <n v="72000"/>
    <n v="14000"/>
    <x v="2"/>
    <s v="Shipped"/>
    <n v="18000"/>
    <n v="19.44444444444445"/>
    <s v="Profit"/>
    <s v="Diya Kulkarni"/>
    <x v="1"/>
    <x v="2"/>
    <s v="Chandigarh"/>
    <s v="Chandigarh"/>
    <s v="2024-04-20"/>
    <s v="26-35"/>
    <n v="3500"/>
  </r>
  <r>
    <s v="ORD00780"/>
    <d v="2025-12-24T00:00:00"/>
    <s v="CUST0170"/>
    <x v="0"/>
    <x v="0"/>
    <n v="4"/>
    <n v="0.05"/>
    <n v="53200"/>
    <n v="9152.57"/>
    <x v="1"/>
    <s v="Delivered"/>
    <n v="13300"/>
    <n v="17.204078947368419"/>
    <s v="Profit"/>
    <s v="Meera Iyer"/>
    <x v="2"/>
    <x v="0"/>
    <s v="Hyderabad"/>
    <s v="Telangana"/>
    <s v="2025-04-02"/>
    <s v="36-50"/>
    <n v="2288.1424999999999"/>
  </r>
  <r>
    <s v="ORD00781"/>
    <d v="2026-06-04T00:00:00"/>
    <s v="CUST0528"/>
    <x v="2"/>
    <x v="9"/>
    <n v="3"/>
    <n v="0.15"/>
    <n v="22950"/>
    <n v="-4106.0600000000004"/>
    <x v="1"/>
    <s v="Returned"/>
    <n v="7650"/>
    <n v="-17.89132897603486"/>
    <s v="Loss"/>
    <s v="Karthik Menon"/>
    <x v="0"/>
    <x v="0"/>
    <s v="Chennai"/>
    <s v="Tamil Nadu"/>
    <s v="2024-07-24"/>
    <s v="36-50"/>
    <n v="-1368.686666666667"/>
  </r>
  <r>
    <s v="ORD00782"/>
    <d v="2026-05-12T00:00:00"/>
    <s v="CUST0223"/>
    <x v="0"/>
    <x v="14"/>
    <n v="6"/>
    <n v="0.1"/>
    <n v="2430"/>
    <n v="480.76"/>
    <x v="0"/>
    <s v="Delivered"/>
    <n v="405"/>
    <n v="19.78436213991769"/>
    <s v="Profit"/>
    <s v="Akash Bose"/>
    <x v="0"/>
    <x v="0"/>
    <s v="Chennai"/>
    <s v="Tamil Nadu"/>
    <s v="2023-12-31"/>
    <s v="18-25"/>
    <n v="80.126666666666665"/>
  </r>
  <r>
    <s v="ORD00783"/>
    <d v="2026-01-13T00:00:00"/>
    <s v="CUST0491"/>
    <x v="3"/>
    <x v="10"/>
    <n v="1"/>
    <n v="0.1"/>
    <n v="49500"/>
    <n v="5683.81"/>
    <x v="1"/>
    <s v="Delivered"/>
    <n v="49500"/>
    <n v="11.48244444444444"/>
    <s v="Profit"/>
    <s v="Ishaan Chopra"/>
    <x v="1"/>
    <x v="2"/>
    <s v="Chandigarh"/>
    <s v="Chandigarh"/>
    <s v="2024-04-16"/>
    <s v="18-25"/>
    <n v="5683.81"/>
  </r>
  <r>
    <s v="ORD00784"/>
    <d v="2026-08-10T00:00:00"/>
    <s v="CUST0520"/>
    <x v="3"/>
    <x v="11"/>
    <n v="6"/>
    <n v="0"/>
    <n v="15000"/>
    <n v="4800"/>
    <x v="1"/>
    <s v="Delivered"/>
    <n v="2500"/>
    <n v="32"/>
    <s v="Profit"/>
    <s v="Karthik Chopra"/>
    <x v="0"/>
    <x v="0"/>
    <s v="Chennai"/>
    <s v="Tamil Nadu"/>
    <s v="2023-12-09"/>
    <s v="26-35"/>
    <n v="800"/>
  </r>
  <r>
    <s v="ORD00785"/>
    <d v="2025-10-19T00:00:00"/>
    <s v="CUST0553"/>
    <x v="3"/>
    <x v="8"/>
    <n v="1"/>
    <n v="0.1"/>
    <n v="4050"/>
    <n v="-131.9"/>
    <x v="3"/>
    <s v="Cancelled"/>
    <n v="4050"/>
    <n v="-3.2567901234567902"/>
    <s v="Loss"/>
    <s v="Diya Mishra"/>
    <x v="2"/>
    <x v="0"/>
    <s v="Coimbatore"/>
    <s v="Tamil Nadu"/>
    <s v="2025-01-24"/>
    <s v="36-50"/>
    <n v="-131.9"/>
  </r>
  <r>
    <s v="ORD00786"/>
    <d v="2025-09-30T00:00:00"/>
    <s v="CUST0519"/>
    <x v="0"/>
    <x v="14"/>
    <n v="2"/>
    <n v="0.15"/>
    <n v="765"/>
    <n v="-323.83"/>
    <x v="1"/>
    <s v="Returned"/>
    <n v="382.5"/>
    <n v="-42.330718954248361"/>
    <s v="Loss"/>
    <s v="Rahul Bose"/>
    <x v="1"/>
    <x v="1"/>
    <s v="Pune"/>
    <s v="Maharashtra"/>
    <s v="2025-12-27"/>
    <s v="26-35"/>
    <n v="-161.91499999999999"/>
  </r>
  <r>
    <s v="ORD00787"/>
    <d v="2026-06-01T00:00:00"/>
    <s v="CUST0056"/>
    <x v="2"/>
    <x v="5"/>
    <n v="2"/>
    <n v="0.05"/>
    <n v="20900"/>
    <n v="4527.7299999999996"/>
    <x v="1"/>
    <s v="Delivered"/>
    <n v="10450"/>
    <n v="21.663779904306221"/>
    <s v="Profit"/>
    <s v="Vikram Pillai"/>
    <x v="0"/>
    <x v="3"/>
    <s v="Patna"/>
    <s v="Bihar"/>
    <s v="2024-11-12"/>
    <s v="18-25"/>
    <n v="2263.8649999999998"/>
  </r>
  <r>
    <s v="ORD00788"/>
    <d v="2026-07-08T00:00:00"/>
    <s v="CUST0286"/>
    <x v="3"/>
    <x v="10"/>
    <n v="2"/>
    <n v="0"/>
    <n v="110000"/>
    <n v="18000"/>
    <x v="3"/>
    <s v="Delivered"/>
    <n v="55000"/>
    <n v="16.36363636363636"/>
    <s v="Profit"/>
    <s v="Meera Rao"/>
    <x v="2"/>
    <x v="3"/>
    <s v="Patna"/>
    <s v="Bihar"/>
    <s v="2023-12-05"/>
    <s v="26-35"/>
    <n v="9000"/>
  </r>
  <r>
    <s v="ORD00789"/>
    <d v="2026-06-17T00:00:00"/>
    <s v="CUST0452"/>
    <x v="0"/>
    <x v="7"/>
    <n v="2"/>
    <n v="0.05"/>
    <n v="1710"/>
    <n v="496.38"/>
    <x v="1"/>
    <s v="Delivered"/>
    <n v="855"/>
    <n v="29.0280701754386"/>
    <s v="Profit"/>
    <s v="Varun Das"/>
    <x v="0"/>
    <x v="2"/>
    <s v="Lucknow"/>
    <s v="Uttar Pradesh"/>
    <s v="2024-09-25"/>
    <s v="36-50"/>
    <n v="248.19"/>
  </r>
  <r>
    <s v="ORD00790"/>
    <d v="2026-02-26T00:00:00"/>
    <s v="CUST0345"/>
    <x v="0"/>
    <x v="7"/>
    <n v="2"/>
    <n v="0.1"/>
    <n v="1620"/>
    <n v="408.7"/>
    <x v="3"/>
    <s v="Delivered"/>
    <n v="810"/>
    <n v="25.228395061728389"/>
    <s v="Profit"/>
    <s v="Pooja Iyer"/>
    <x v="1"/>
    <x v="3"/>
    <s v="Guwahati"/>
    <s v="Assam"/>
    <s v="2023-09-04"/>
    <s v="26-35"/>
    <n v="204.35"/>
  </r>
  <r>
    <s v="ORD00791"/>
    <d v="2026-04-29T00:00:00"/>
    <s v="CUST0251"/>
    <x v="1"/>
    <x v="1"/>
    <n v="2"/>
    <n v="0.3"/>
    <n v="2520"/>
    <n v="785.04"/>
    <x v="3"/>
    <s v="Delivered"/>
    <n v="1260"/>
    <n v="31.152380952380948"/>
    <s v="Profit"/>
    <s v="Arjun Verma"/>
    <x v="2"/>
    <x v="0"/>
    <s v="Coimbatore"/>
    <s v="Tamil Nadu"/>
    <s v="2023-06-16"/>
    <s v="36-50"/>
    <n v="392.52"/>
  </r>
  <r>
    <s v="ORD00792"/>
    <d v="2025-12-24T00:00:00"/>
    <s v="CUST0319"/>
    <x v="3"/>
    <x v="8"/>
    <n v="4"/>
    <n v="0"/>
    <n v="18000"/>
    <n v="6000"/>
    <x v="0"/>
    <s v="Delivered"/>
    <n v="4500"/>
    <n v="33.333333333333329"/>
    <s v="Profit"/>
    <s v="Vikram Sharma"/>
    <x v="0"/>
    <x v="0"/>
    <s v="Bengaluru"/>
    <s v="Karnataka"/>
    <s v="2024-01-16"/>
    <s v="26-35"/>
    <n v="1500"/>
  </r>
  <r>
    <s v="ORD00793"/>
    <d v="2026-01-20T00:00:00"/>
    <s v="CUST0527"/>
    <x v="1"/>
    <x v="15"/>
    <n v="3"/>
    <n v="0.15"/>
    <n v="5610"/>
    <n v="1409.01"/>
    <x v="0"/>
    <s v="Shipped"/>
    <n v="1870"/>
    <n v="25.116042780748661"/>
    <s v="Profit"/>
    <s v="Aarav Patel"/>
    <x v="0"/>
    <x v="0"/>
    <s v="Hyderabad"/>
    <s v="Telangana"/>
    <s v="2024-04-04"/>
    <s v="26-35"/>
    <n v="469.67"/>
  </r>
  <r>
    <s v="ORD00794"/>
    <d v="2025-11-30T00:00:00"/>
    <s v="CUST0383"/>
    <x v="0"/>
    <x v="7"/>
    <n v="1"/>
    <n v="0.1"/>
    <n v="810"/>
    <n v="216.3"/>
    <x v="0"/>
    <s v="Delivered"/>
    <n v="810"/>
    <n v="26.703703703703709"/>
    <s v="Profit"/>
    <s v="Arjun Mehta"/>
    <x v="0"/>
    <x v="0"/>
    <s v="Chennai"/>
    <s v="Tamil Nadu"/>
    <s v="2024-05-07"/>
    <s v="51+"/>
    <n v="216.3"/>
  </r>
  <r>
    <s v="ORD00795"/>
    <d v="2026-04-17T00:00:00"/>
    <s v="CUST0598"/>
    <x v="0"/>
    <x v="0"/>
    <n v="5"/>
    <n v="0.05"/>
    <n v="66500"/>
    <n v="12017.17"/>
    <x v="2"/>
    <s v="Delivered"/>
    <n v="13300"/>
    <n v="18.07093233082707"/>
    <s v="Profit"/>
    <s v="Arjun Das"/>
    <x v="0"/>
    <x v="0"/>
    <s v="Hyderabad"/>
    <s v="Telangana"/>
    <s v="2024-07-07"/>
    <s v="36-50"/>
    <n v="2403.4340000000002"/>
  </r>
  <r>
    <s v="ORD00796"/>
    <d v="2025-09-08T00:00:00"/>
    <s v="CUST0262"/>
    <x v="1"/>
    <x v="1"/>
    <n v="2"/>
    <n v="0.1"/>
    <n v="3240"/>
    <n v="1090.54"/>
    <x v="0"/>
    <s v="Delivered"/>
    <n v="1620"/>
    <n v="33.65864197530864"/>
    <s v="Profit"/>
    <s v="Varun Menon"/>
    <x v="1"/>
    <x v="2"/>
    <s v="Chandigarh"/>
    <s v="Chandigarh"/>
    <s v="2025-12-16"/>
    <s v="36-50"/>
    <n v="545.27"/>
  </r>
  <r>
    <s v="ORD00797"/>
    <d v="2025-11-22T00:00:00"/>
    <s v="CUST0349"/>
    <x v="2"/>
    <x v="2"/>
    <n v="2"/>
    <n v="0.2"/>
    <n v="20800"/>
    <n v="3423.21"/>
    <x v="0"/>
    <s v="Delivered"/>
    <n v="10400"/>
    <n v="16.457740384615381"/>
    <s v="Profit"/>
    <s v="Aarav Nair"/>
    <x v="1"/>
    <x v="0"/>
    <s v="Hyderabad"/>
    <s v="Telangana"/>
    <s v="2025-07-22"/>
    <s v="26-35"/>
    <n v="1711.605"/>
  </r>
  <r>
    <s v="ORD00798"/>
    <d v="2025-08-24T00:00:00"/>
    <s v="CUST0298"/>
    <x v="0"/>
    <x v="7"/>
    <n v="1"/>
    <n v="0.1"/>
    <n v="810"/>
    <n v="212.24"/>
    <x v="3"/>
    <s v="Delivered"/>
    <n v="810"/>
    <n v="26.20246913580247"/>
    <s v="Profit"/>
    <s v="Diya Joshi"/>
    <x v="0"/>
    <x v="0"/>
    <s v="Chennai"/>
    <s v="Tamil Nadu"/>
    <s v="2025-01-10"/>
    <s v="18-25"/>
    <n v="212.24"/>
  </r>
  <r>
    <s v="ORD00799"/>
    <d v="2025-12-28T00:00:00"/>
    <s v="CUST0379"/>
    <x v="3"/>
    <x v="11"/>
    <n v="5"/>
    <n v="0.3"/>
    <n v="8750"/>
    <n v="2107.64"/>
    <x v="3"/>
    <s v="Delivered"/>
    <n v="1750"/>
    <n v="24.087314285714289"/>
    <s v="Profit"/>
    <s v="Sneha Pillai"/>
    <x v="0"/>
    <x v="1"/>
    <s v="Surat"/>
    <s v="Gujarat"/>
    <s v="2024-06-25"/>
    <s v="18-25"/>
    <n v="421.52800000000002"/>
  </r>
  <r>
    <s v="ORD00800"/>
    <d v="2026-03-11T00:00:00"/>
    <s v="CUST0171"/>
    <x v="3"/>
    <x v="8"/>
    <n v="4"/>
    <n v="0.05"/>
    <n v="17100"/>
    <n v="5418.14"/>
    <x v="2"/>
    <s v="Delivered"/>
    <n v="4275"/>
    <n v="31.685029239766081"/>
    <s v="Profit"/>
    <s v="Nisha Reddy"/>
    <x v="0"/>
    <x v="2"/>
    <s v="Jaipur"/>
    <s v="Rajasthan"/>
    <s v="2025-06-10"/>
    <s v="36-50"/>
    <n v="1354.5350000000001"/>
  </r>
  <r>
    <s v="ORD00801"/>
    <d v="2026-06-23T00:00:00"/>
    <s v="CUST0556"/>
    <x v="3"/>
    <x v="8"/>
    <n v="6"/>
    <n v="0"/>
    <n v="27000"/>
    <n v="9000"/>
    <x v="0"/>
    <s v="Delivered"/>
    <n v="4500"/>
    <n v="33.333333333333329"/>
    <s v="Profit"/>
    <s v="Karthik Chopra"/>
    <x v="0"/>
    <x v="0"/>
    <s v="Coimbatore"/>
    <s v="Tamil Nadu"/>
    <s v="2024-08-09"/>
    <s v="26-35"/>
    <n v="1500"/>
  </r>
  <r>
    <s v="ORD00802"/>
    <d v="2026-07-24T00:00:00"/>
    <s v="CUST0543"/>
    <x v="3"/>
    <x v="4"/>
    <n v="1"/>
    <n v="0.1"/>
    <n v="16200"/>
    <n v="-3745.24"/>
    <x v="0"/>
    <s v="Returned"/>
    <n v="16200"/>
    <n v="-23.118765432098769"/>
    <s v="Loss"/>
    <s v="Ananya Iyer"/>
    <x v="1"/>
    <x v="0"/>
    <s v="Chennai"/>
    <s v="Tamil Nadu"/>
    <s v="2025-10-16"/>
    <s v="26-35"/>
    <n v="-3745.24"/>
  </r>
  <r>
    <s v="ORD00803"/>
    <d v="2026-04-04T00:00:00"/>
    <s v="CUST0285"/>
    <x v="1"/>
    <x v="13"/>
    <n v="1"/>
    <n v="0.1"/>
    <n v="3780"/>
    <n v="892.99"/>
    <x v="2"/>
    <m/>
    <n v="3780"/>
    <n v="23.62407407407407"/>
    <s v="Profit"/>
    <s v="Ishaan Reddy"/>
    <x v="1"/>
    <x v="3"/>
    <s v="Kolkata"/>
    <s v="West Bengal"/>
    <s v="2024-07-01"/>
    <s v="26-35"/>
    <n v="892.99"/>
  </r>
  <r>
    <s v="ORD00804"/>
    <d v="2026-06-27T00:00:00"/>
    <s v="CUST0285"/>
    <x v="2"/>
    <x v="5"/>
    <n v="2"/>
    <n v="0.05"/>
    <n v="20900"/>
    <n v="-1033.6400000000001"/>
    <x v="1"/>
    <s v="Returned"/>
    <n v="10450"/>
    <n v="-4.9456459330143554"/>
    <s v="Loss"/>
    <s v="Ishaan Reddy"/>
    <x v="1"/>
    <x v="3"/>
    <s v="Kolkata"/>
    <s v="West Bengal"/>
    <s v="2024-07-01"/>
    <s v="26-35"/>
    <n v="-516.82000000000005"/>
  </r>
  <r>
    <s v="ORD00805"/>
    <d v="2025-10-28T00:00:00"/>
    <s v="CUST0569"/>
    <x v="0"/>
    <x v="7"/>
    <n v="3"/>
    <n v="0.1"/>
    <n v="2430"/>
    <n v="641.34"/>
    <x v="3"/>
    <s v="Delivered"/>
    <n v="810"/>
    <n v="26.392592592592599"/>
    <s v="Profit"/>
    <s v="Arjun Menon"/>
    <x v="2"/>
    <x v="1"/>
    <s v="Ahmedabad"/>
    <s v="Gujarat"/>
    <s v="2023-09-24"/>
    <s v="26-35"/>
    <n v="213.78"/>
  </r>
  <r>
    <s v="ORD00806"/>
    <d v="2025-08-03T00:00:00"/>
    <s v="CUST0583"/>
    <x v="3"/>
    <x v="10"/>
    <n v="4"/>
    <n v="0"/>
    <n v="220000"/>
    <n v="36000"/>
    <x v="3"/>
    <s v="Delivered"/>
    <n v="55000"/>
    <n v="16.36363636363636"/>
    <s v="Profit"/>
    <s v="Shreya Menon"/>
    <x v="2"/>
    <x v="1"/>
    <s v="Ahmedabad"/>
    <s v="Gujarat"/>
    <s v="2023-09-05"/>
    <s v="26-35"/>
    <n v="9000"/>
  </r>
  <r>
    <s v="ORD00807"/>
    <d v="2026-01-31T00:00:00"/>
    <s v="CUST0230"/>
    <x v="1"/>
    <x v="1"/>
    <n v="15"/>
    <n v="0.05"/>
    <n v="25650"/>
    <n v="8838.24"/>
    <x v="3"/>
    <s v="Delivered"/>
    <n v="1710"/>
    <n v="34.457076023391807"/>
    <s v="Profit"/>
    <s v="Ishaan Iyer"/>
    <x v="0"/>
    <x v="0"/>
    <s v="Bengaluru"/>
    <s v="Karnataka"/>
    <s v="2025-11-29"/>
    <s v="26-35"/>
    <n v="589.21600000000001"/>
  </r>
  <r>
    <s v="ORD00808"/>
    <d v="2025-11-02T00:00:00"/>
    <s v="CUST0245"/>
    <x v="3"/>
    <x v="11"/>
    <n v="5"/>
    <n v="0.2"/>
    <n v="10000"/>
    <n v="2497.5700000000002"/>
    <x v="1"/>
    <s v="Delivered"/>
    <n v="2000"/>
    <n v="24.9757"/>
    <s v="Profit"/>
    <s v="Shreya Sharma"/>
    <x v="0"/>
    <x v="2"/>
    <s v="Lucknow"/>
    <s v="Uttar Pradesh"/>
    <s v="2024-04-20"/>
    <s v="51+"/>
    <n v="499.51400000000001"/>
  </r>
  <r>
    <s v="ORD00809"/>
    <d v="2025-10-16T00:00:00"/>
    <s v="CUST0388"/>
    <x v="2"/>
    <x v="3"/>
    <n v="1"/>
    <n v="0.1"/>
    <n v="13500"/>
    <n v="2805.98"/>
    <x v="2"/>
    <s v="Delivered"/>
    <n v="13500"/>
    <n v="20.785037037037039"/>
    <s v="Profit"/>
    <s v="Shreya Kulkarni"/>
    <x v="0"/>
    <x v="0"/>
    <s v="Bengaluru"/>
    <s v="Karnataka"/>
    <s v="2025-08-28"/>
    <s v="36-50"/>
    <n v="2805.98"/>
  </r>
  <r>
    <s v="ORD00810"/>
    <d v="2026-02-16T00:00:00"/>
    <s v="CUST0011"/>
    <x v="0"/>
    <x v="6"/>
    <n v="6"/>
    <n v="0.1"/>
    <n v="1890"/>
    <n v="547.35"/>
    <x v="0"/>
    <s v="Delivered"/>
    <n v="315"/>
    <n v="28.960317460317459"/>
    <s v="Profit"/>
    <s v="Kavya Menon"/>
    <x v="0"/>
    <x v="3"/>
    <s v="Guwahati"/>
    <s v="Assam"/>
    <s v="2023-05-10"/>
    <s v="26-35"/>
    <n v="91.225000000000009"/>
  </r>
  <r>
    <s v="ORD00811"/>
    <d v="2026-01-25T00:00:00"/>
    <s v="CUST0165"/>
    <x v="1"/>
    <x v="15"/>
    <n v="2"/>
    <n v="0.1"/>
    <n v="3960"/>
    <n v="1232.56"/>
    <x v="0"/>
    <s v="Delivered"/>
    <n v="1980"/>
    <n v="31.12525252525252"/>
    <s v="Profit"/>
    <s v="Diya Mishra"/>
    <x v="0"/>
    <x v="0"/>
    <s v="Hyderabad"/>
    <s v="Telangana"/>
    <s v="2025-04-25"/>
    <s v="51+"/>
    <n v="616.28"/>
  </r>
  <r>
    <s v="ORD00812"/>
    <d v="2025-07-17T00:00:00"/>
    <s v="CUST0466"/>
    <x v="0"/>
    <x v="6"/>
    <n v="10"/>
    <n v="0.2"/>
    <n v="2800"/>
    <n v="652.37"/>
    <x v="2"/>
    <s v="Delivered"/>
    <n v="280"/>
    <n v="23.298928571428569"/>
    <s v="Profit"/>
    <s v="Manoj Gupta"/>
    <x v="0"/>
    <x v="3"/>
    <s v="Patna"/>
    <s v="Bihar"/>
    <s v="2024-05-02"/>
    <s v="26-35"/>
    <n v="65.236999999999995"/>
  </r>
  <r>
    <s v="ORD00813"/>
    <d v="2026-05-12T00:00:00"/>
    <s v="CUST0414"/>
    <x v="0"/>
    <x v="0"/>
    <n v="3"/>
    <n v="0.15"/>
    <n v="35700"/>
    <n v="3200.29"/>
    <x v="0"/>
    <s v="Shipped"/>
    <n v="11900"/>
    <n v="8.9643977591036421"/>
    <s v="Profit"/>
    <s v="Aarav Singh"/>
    <x v="1"/>
    <x v="2"/>
    <s v="Chandigarh"/>
    <s v="Chandigarh"/>
    <s v="2023-07-07"/>
    <s v="36-50"/>
    <n v="1066.7633333333331"/>
  </r>
  <r>
    <s v="ORD00814"/>
    <d v="2025-10-23T00:00:00"/>
    <s v="CUST0335"/>
    <x v="3"/>
    <x v="4"/>
    <n v="2"/>
    <n v="0.15"/>
    <n v="30600"/>
    <n v="3351.42"/>
    <x v="3"/>
    <s v="Delivered"/>
    <n v="15300"/>
    <n v="10.95235294117647"/>
    <s v="Profit"/>
    <s v="Diya Pillai"/>
    <x v="0"/>
    <x v="0"/>
    <s v="Bengaluru"/>
    <s v="Karnataka"/>
    <s v="2025-05-24"/>
    <s v="36-50"/>
    <n v="1675.71"/>
  </r>
  <r>
    <s v="ORD00815"/>
    <d v="2025-11-27T00:00:00"/>
    <s v="CUST0289"/>
    <x v="3"/>
    <x v="8"/>
    <n v="4"/>
    <n v="0"/>
    <n v="18000"/>
    <n v="-5028.3599999999997"/>
    <x v="2"/>
    <s v="Returned"/>
    <n v="4500"/>
    <n v="-27.935333333333329"/>
    <s v="Loss"/>
    <s v="Rahul Iyer"/>
    <x v="2"/>
    <x v="0"/>
    <s v="Coimbatore"/>
    <s v="Tamil Nadu"/>
    <s v="2023-01-07"/>
    <s v="18-25"/>
    <n v="-1257.0899999999999"/>
  </r>
  <r>
    <s v="ORD00816"/>
    <d v="2026-03-30T00:00:00"/>
    <s v="CUST0479"/>
    <x v="0"/>
    <x v="6"/>
    <n v="5"/>
    <n v="0.1"/>
    <n v="1575"/>
    <n v="478.74"/>
    <x v="1"/>
    <s v="Shipped"/>
    <n v="315"/>
    <n v="30.39619047619048"/>
    <s v="Profit"/>
    <s v="Rohan Sharma"/>
    <x v="0"/>
    <x v="3"/>
    <s v="Guwahati"/>
    <s v="Assam"/>
    <s v="2023-04-27"/>
    <s v="36-50"/>
    <n v="95.748000000000005"/>
  </r>
  <r>
    <s v="ORD00817"/>
    <d v="2025-10-09T00:00:00"/>
    <s v="CUST0206"/>
    <x v="0"/>
    <x v="6"/>
    <n v="2"/>
    <n v="0.05"/>
    <n v="665"/>
    <n v="2.42"/>
    <x v="0"/>
    <s v="Cancelled"/>
    <n v="332.5"/>
    <n v="0.36390977443609018"/>
    <s v="Profit"/>
    <s v="Arjun Bose"/>
    <x v="1"/>
    <x v="0"/>
    <s v="Coimbatore"/>
    <s v="Tamil Nadu"/>
    <s v="2025-04-20"/>
    <s v="36-50"/>
    <n v="1.21"/>
  </r>
  <r>
    <s v="ORD00818"/>
    <d v="2026-03-24T00:00:00"/>
    <s v="CUST0293"/>
    <x v="2"/>
    <x v="2"/>
    <n v="1"/>
    <n v="0.05"/>
    <n v="12350"/>
    <n v="2887.72"/>
    <x v="2"/>
    <s v="Shipped"/>
    <n v="12350"/>
    <n v="23.382348178137651"/>
    <s v="Profit"/>
    <s v="Ishaan Singh"/>
    <x v="2"/>
    <x v="2"/>
    <s v="Delhi"/>
    <s v="Delhi"/>
    <s v="2023-03-09"/>
    <s v="26-35"/>
    <n v="2887.72"/>
  </r>
  <r>
    <s v="ORD00819"/>
    <d v="2026-01-13T00:00:00"/>
    <s v="CUST0451"/>
    <x v="0"/>
    <x v="7"/>
    <n v="2"/>
    <n v="0"/>
    <n v="1800"/>
    <n v="560"/>
    <x v="2"/>
    <s v="Shipped"/>
    <n v="900"/>
    <n v="31.111111111111111"/>
    <s v="Profit"/>
    <s v="Diya Naidu"/>
    <x v="0"/>
    <x v="1"/>
    <s v="Pune"/>
    <s v="Maharashtra"/>
    <s v="2024-06-17"/>
    <s v="26-35"/>
    <n v="280"/>
  </r>
  <r>
    <s v="ORD00820"/>
    <d v="2025-11-24T00:00:00"/>
    <s v="CUST0263"/>
    <x v="1"/>
    <x v="1"/>
    <n v="3"/>
    <n v="0.15"/>
    <n v="4590"/>
    <n v="120.78"/>
    <x v="0"/>
    <s v="Cancelled"/>
    <n v="1530"/>
    <n v="2.6313725490196078"/>
    <s v="Profit"/>
    <s v="Priya Khan"/>
    <x v="0"/>
    <x v="3"/>
    <s v="Kolkata"/>
    <s v="West Bengal"/>
    <s v="2025-03-25"/>
    <s v="26-35"/>
    <n v="40.26"/>
  </r>
  <r>
    <s v="ORD00821"/>
    <d v="2026-08-27T00:00:00"/>
    <s v="CUST0314"/>
    <x v="0"/>
    <x v="14"/>
    <n v="1"/>
    <n v="0"/>
    <n v="450"/>
    <n v="110"/>
    <x v="1"/>
    <s v="Delivered"/>
    <n v="450"/>
    <n v="24.444444444444439"/>
    <s v="Profit"/>
    <s v="Aarav Mishra"/>
    <x v="0"/>
    <x v="0"/>
    <s v="Bengaluru"/>
    <s v="Karnataka"/>
    <s v="2025-10-30"/>
    <s v="26-35"/>
    <n v="110"/>
  </r>
  <r>
    <s v="ORD00822"/>
    <d v="2026-08-03T00:00:00"/>
    <s v="CUST0291"/>
    <x v="2"/>
    <x v="2"/>
    <n v="3"/>
    <n v="0.05"/>
    <n v="37050"/>
    <n v="8516.6299999999992"/>
    <x v="3"/>
    <s v="Delivered"/>
    <n v="12350"/>
    <n v="22.986855600539808"/>
    <s v="Profit"/>
    <s v="Divya Chopra"/>
    <x v="1"/>
    <x v="0"/>
    <s v="Bengaluru"/>
    <s v="Karnataka"/>
    <s v="2023-10-19"/>
    <s v="18-25"/>
    <n v="2838.876666666667"/>
  </r>
  <r>
    <s v="ORD00823"/>
    <d v="2026-02-08T00:00:00"/>
    <s v="CUST0170"/>
    <x v="1"/>
    <x v="12"/>
    <n v="4"/>
    <n v="0.05"/>
    <n v="5320"/>
    <n v="1819.03"/>
    <x v="1"/>
    <s v="Delivered"/>
    <n v="1330"/>
    <n v="34.192293233082708"/>
    <s v="Profit"/>
    <s v="Meera Iyer"/>
    <x v="2"/>
    <x v="0"/>
    <s v="Hyderabad"/>
    <s v="Telangana"/>
    <s v="2025-04-02"/>
    <s v="36-50"/>
    <n v="454.75749999999999"/>
  </r>
  <r>
    <s v="ORD00824"/>
    <d v="2025-07-25T00:00:00"/>
    <s v="CUST0299"/>
    <x v="2"/>
    <x v="9"/>
    <n v="4"/>
    <n v="0.15"/>
    <n v="30600"/>
    <n v="5437.84"/>
    <x v="1"/>
    <s v="Delivered"/>
    <n v="7650"/>
    <n v="17.77071895424837"/>
    <s v="Profit"/>
    <s v="Diya Das"/>
    <x v="0"/>
    <x v="1"/>
    <s v="Ahmedabad"/>
    <s v="Gujarat"/>
    <s v="2023-09-07"/>
    <s v="36-50"/>
    <n v="1359.46"/>
  </r>
  <r>
    <s v="ORD00825"/>
    <d v="2026-01-26T00:00:00"/>
    <s v="CUST0135"/>
    <x v="3"/>
    <x v="11"/>
    <n v="1"/>
    <n v="0"/>
    <n v="2500"/>
    <n v="800"/>
    <x v="1"/>
    <s v="Delivered"/>
    <n v="2500"/>
    <n v="32"/>
    <s v="Profit"/>
    <s v="Sneha Patel"/>
    <x v="0"/>
    <x v="2"/>
    <s v="Delhi"/>
    <s v="Delhi"/>
    <s v="2024-07-08"/>
    <s v="36-50"/>
    <n v="800"/>
  </r>
  <r>
    <s v="ORD00826"/>
    <d v="2026-08-14T00:00:00"/>
    <s v="CUST0318"/>
    <x v="3"/>
    <x v="11"/>
    <n v="5"/>
    <n v="0.05"/>
    <n v="11875"/>
    <n v="-5004.01"/>
    <x v="2"/>
    <s v="Cancelled"/>
    <n v="2375"/>
    <n v="-42.139031578947368"/>
    <s v="Loss"/>
    <s v="Kavya Menon"/>
    <x v="1"/>
    <x v="2"/>
    <s v="Lucknow"/>
    <s v="Uttar Pradesh"/>
    <s v="2023-08-09"/>
    <s v="18-25"/>
    <n v="-1000.802"/>
  </r>
  <r>
    <s v="ORD00827"/>
    <d v="2026-03-30T00:00:00"/>
    <s v="CUST0463"/>
    <x v="0"/>
    <x v="7"/>
    <n v="1"/>
    <n v="0"/>
    <n v="900"/>
    <n v="-141.81"/>
    <x v="3"/>
    <s v="Cancelled"/>
    <n v="900"/>
    <n v="-15.756666666666669"/>
    <s v="Loss"/>
    <s v="Shreya Patel"/>
    <x v="0"/>
    <x v="0"/>
    <s v="Coimbatore"/>
    <s v="Tamil Nadu"/>
    <s v="2024-02-20"/>
    <s v="51+"/>
    <n v="-141.81"/>
  </r>
  <r>
    <s v="ORD00828"/>
    <d v="2025-10-17T00:00:00"/>
    <s v="CUST0055"/>
    <x v="0"/>
    <x v="7"/>
    <n v="3"/>
    <n v="0.1"/>
    <n v="2430"/>
    <n v="-143.37"/>
    <x v="2"/>
    <s v="Returned"/>
    <n v="810"/>
    <n v="-5.9"/>
    <s v="Loss"/>
    <s v="Harini Kulkarni"/>
    <x v="0"/>
    <x v="3"/>
    <s v="Guwahati"/>
    <s v="Assam"/>
    <s v="2024-05-17"/>
    <s v="51+"/>
    <n v="-47.79"/>
  </r>
  <r>
    <s v="ORD00829"/>
    <d v="2026-06-28T00:00:00"/>
    <s v="CUST0439"/>
    <x v="2"/>
    <x v="2"/>
    <n v="3"/>
    <n v="0.2"/>
    <n v="31200"/>
    <n v="3944.1"/>
    <x v="2"/>
    <s v="Delivered"/>
    <n v="10400"/>
    <n v="12.64134615384615"/>
    <s v="Profit"/>
    <s v="Arjun Kulkarni"/>
    <x v="0"/>
    <x v="3"/>
    <s v="Patna"/>
    <s v="Bihar"/>
    <s v="2023-01-03"/>
    <s v="36-50"/>
    <n v="1314.7"/>
  </r>
  <r>
    <s v="ORD00830"/>
    <d v="2026-03-10T00:00:00"/>
    <s v="CUST0161"/>
    <x v="0"/>
    <x v="0"/>
    <n v="1"/>
    <n v="0"/>
    <n v="14000"/>
    <n v="-3317.18"/>
    <x v="1"/>
    <s v="Cancelled"/>
    <n v="14000"/>
    <n v="-23.69414285714285"/>
    <s v="Loss"/>
    <s v="Rohan Reddy"/>
    <x v="2"/>
    <x v="0"/>
    <s v="Bengaluru"/>
    <s v="Karnataka"/>
    <s v="2025-07-10"/>
    <s v="51+"/>
    <n v="-3317.18"/>
  </r>
  <r>
    <s v="ORD00831"/>
    <d v="2025-08-23T00:00:00"/>
    <s v="CUST0462"/>
    <x v="2"/>
    <x v="3"/>
    <n v="5"/>
    <n v="0.05"/>
    <n v="71250"/>
    <n v="14677.84"/>
    <x v="0"/>
    <s v="Shipped"/>
    <n v="14250"/>
    <n v="20.60047719298246"/>
    <s v="Profit"/>
    <s v="Lakshmi Iyer"/>
    <x v="0"/>
    <x v="2"/>
    <s v="Delhi"/>
    <s v="Delhi"/>
    <s v="2025-05-06"/>
    <s v="36-50"/>
    <n v="2935.5680000000002"/>
  </r>
  <r>
    <s v="ORD00832"/>
    <d v="2026-08-06T00:00:00"/>
    <s v="CUST0208"/>
    <x v="2"/>
    <x v="3"/>
    <n v="2"/>
    <n v="0.15"/>
    <n v="25500"/>
    <n v="-6442.38"/>
    <x v="0"/>
    <s v="Cancelled"/>
    <n v="12750"/>
    <n v="-25.26423529411765"/>
    <s v="Loss"/>
    <s v="Sneha Pillai"/>
    <x v="0"/>
    <x v="0"/>
    <s v="Hyderabad"/>
    <s v="Telangana"/>
    <s v="2025-02-01"/>
    <s v="26-35"/>
    <n v="-3221.19"/>
  </r>
  <r>
    <s v="ORD00833"/>
    <d v="2025-10-31T00:00:00"/>
    <s v="CUST0531"/>
    <x v="2"/>
    <x v="3"/>
    <n v="3"/>
    <n v="0.1"/>
    <n v="40500"/>
    <n v="8375.94"/>
    <x v="0"/>
    <s v="Delivered"/>
    <n v="13500"/>
    <n v="20.681333333333331"/>
    <s v="Profit"/>
    <s v="Kavya Mishra"/>
    <x v="2"/>
    <x v="0"/>
    <s v="Coimbatore"/>
    <s v="Tamil Nadu"/>
    <s v="2023-10-06"/>
    <s v="26-35"/>
    <n v="2791.98"/>
  </r>
  <r>
    <s v="ORD00834"/>
    <d v="2026-03-18T00:00:00"/>
    <s v="CUST0284"/>
    <x v="2"/>
    <x v="5"/>
    <n v="2"/>
    <n v="0.05"/>
    <n v="20900"/>
    <n v="4575.57"/>
    <x v="2"/>
    <s v="Delivered"/>
    <n v="10450"/>
    <n v="21.892679425837319"/>
    <s v="Profit"/>
    <s v="Pooja Mehta"/>
    <x v="0"/>
    <x v="0"/>
    <s v="Chennai"/>
    <s v="Tamil Nadu"/>
    <s v="2024-07-24"/>
    <s v="36-50"/>
    <n v="2287.7849999999999"/>
  </r>
  <r>
    <s v="ORD00835"/>
    <d v="2025-07-01T00:00:00"/>
    <s v="CUST0091"/>
    <x v="2"/>
    <x v="3"/>
    <n v="1"/>
    <n v="0.1"/>
    <n v="13500"/>
    <n v="2472.5100000000002"/>
    <x v="2"/>
    <s v="Delivered"/>
    <n v="13500"/>
    <n v="18.314888888888891"/>
    <s v="Profit"/>
    <s v="Lakshmi Das"/>
    <x v="1"/>
    <x v="3"/>
    <s v="Patna"/>
    <s v="Bihar"/>
    <s v="2024-07-22"/>
    <s v="26-35"/>
    <n v="2472.5100000000002"/>
  </r>
  <r>
    <s v="ORD00836"/>
    <d v="2026-01-19T00:00:00"/>
    <s v="CUST0068"/>
    <x v="3"/>
    <x v="11"/>
    <n v="3"/>
    <n v="0.15"/>
    <n v="6375"/>
    <n v="1703.58"/>
    <x v="0"/>
    <s v="Delivered"/>
    <n v="2125"/>
    <n v="26.72282352941177"/>
    <s v="Profit"/>
    <s v="Harini Pillai"/>
    <x v="1"/>
    <x v="3"/>
    <s v="Guwahati"/>
    <s v="Assam"/>
    <s v="2024-04-08"/>
    <s v="36-50"/>
    <n v="567.86"/>
  </r>
  <r>
    <s v="ORD00837"/>
    <d v="2026-04-06T00:00:00"/>
    <s v="CUST0363"/>
    <x v="3"/>
    <x v="11"/>
    <n v="3"/>
    <n v="0.15"/>
    <n v="6375"/>
    <n v="1572.37"/>
    <x v="0"/>
    <s v="Shipped"/>
    <n v="2125"/>
    <n v="24.66462745098039"/>
    <s v="Profit"/>
    <s v="Priya Patel"/>
    <x v="1"/>
    <x v="0"/>
    <s v="Chennai"/>
    <s v="Tamil Nadu"/>
    <s v="2024-01-12"/>
    <s v="51+"/>
    <n v="524.12333333333333"/>
  </r>
  <r>
    <s v="ORD00838"/>
    <d v="2026-05-22T00:00:00"/>
    <s v="CUST0262"/>
    <x v="3"/>
    <x v="8"/>
    <n v="1"/>
    <n v="0.05"/>
    <n v="4275"/>
    <n v="1359.45"/>
    <x v="1"/>
    <s v="Delivered"/>
    <n v="4275"/>
    <n v="31.8"/>
    <s v="Profit"/>
    <s v="Varun Menon"/>
    <x v="1"/>
    <x v="2"/>
    <s v="Chandigarh"/>
    <s v="Chandigarh"/>
    <s v="2025-12-16"/>
    <s v="36-50"/>
    <n v="1359.45"/>
  </r>
  <r>
    <s v="ORD00839"/>
    <d v="2026-07-16T00:00:00"/>
    <s v="CUST0363"/>
    <x v="2"/>
    <x v="3"/>
    <n v="3"/>
    <n v="0.1"/>
    <n v="40500"/>
    <n v="7840.21"/>
    <x v="1"/>
    <s v="Delivered"/>
    <n v="13500"/>
    <n v="19.35854320987654"/>
    <s v="Profit"/>
    <s v="Priya Patel"/>
    <x v="1"/>
    <x v="0"/>
    <s v="Chennai"/>
    <s v="Tamil Nadu"/>
    <s v="2024-01-12"/>
    <s v="51+"/>
    <n v="2613.4033333333332"/>
  </r>
  <r>
    <s v="ORD00840"/>
    <d v="2026-06-23T00:00:00"/>
    <s v="CUST0269"/>
    <x v="3"/>
    <x v="4"/>
    <n v="1"/>
    <n v="0"/>
    <n v="18000"/>
    <n v="3500"/>
    <x v="3"/>
    <s v="Shipped"/>
    <n v="18000"/>
    <n v="19.44444444444445"/>
    <s v="Profit"/>
    <s v="Manoj Das"/>
    <x v="1"/>
    <x v="2"/>
    <s v="Delhi"/>
    <s v="Delhi"/>
    <s v="2025-06-23"/>
    <s v="36-50"/>
    <n v="3500"/>
  </r>
  <r>
    <s v="ORD00841"/>
    <d v="2026-02-07T00:00:00"/>
    <s v="CUST0556"/>
    <x v="1"/>
    <x v="1"/>
    <n v="3"/>
    <n v="0.05"/>
    <n v="5130"/>
    <n v="-1728.63"/>
    <x v="3"/>
    <s v="Returned"/>
    <n v="1710"/>
    <n v="-33.69649122807018"/>
    <s v="Loss"/>
    <s v="Karthik Chopra"/>
    <x v="0"/>
    <x v="0"/>
    <s v="Coimbatore"/>
    <s v="Tamil Nadu"/>
    <s v="2024-08-09"/>
    <s v="26-35"/>
    <n v="-576.21"/>
  </r>
  <r>
    <s v="ORD00842"/>
    <d v="2026-03-17T00:00:00"/>
    <s v="CUST0440"/>
    <x v="0"/>
    <x v="0"/>
    <n v="2"/>
    <n v="0"/>
    <n v="28000"/>
    <n v="5600"/>
    <x v="2"/>
    <s v="Delivered"/>
    <n v="14000"/>
    <n v="20"/>
    <s v="Profit"/>
    <s v="Harini Sharma"/>
    <x v="1"/>
    <x v="0"/>
    <s v="Hyderabad"/>
    <s v="Telangana"/>
    <s v="2024-06-03"/>
    <s v="18-25"/>
    <n v="2800"/>
  </r>
  <r>
    <s v="ORD00843"/>
    <d v="2025-08-23T00:00:00"/>
    <s v="CUST0343"/>
    <x v="3"/>
    <x v="11"/>
    <n v="5"/>
    <n v="0.05"/>
    <n v="11875"/>
    <n v="3655.54"/>
    <x v="1"/>
    <s v="Delivered"/>
    <n v="2375"/>
    <n v="30.783494736842101"/>
    <s v="Profit"/>
    <s v="Meera Iyer"/>
    <x v="0"/>
    <x v="0"/>
    <s v="Bengaluru"/>
    <s v="Karnataka"/>
    <s v="2024-08-02"/>
    <s v="36-50"/>
    <n v="731.10799999999995"/>
  </r>
  <r>
    <s v="ORD00844"/>
    <d v="2026-08-26T00:00:00"/>
    <s v="CUST0146"/>
    <x v="2"/>
    <x v="3"/>
    <n v="1"/>
    <n v="0.05"/>
    <n v="14250"/>
    <n v="3102.79"/>
    <x v="0"/>
    <s v="Delivered"/>
    <n v="14250"/>
    <n v="21.7739649122807"/>
    <s v="Profit"/>
    <s v="Priya Das"/>
    <x v="3"/>
    <x v="3"/>
    <s v="Patna"/>
    <s v="Bihar"/>
    <s v="2024-06-19"/>
    <s v="26-35"/>
    <n v="3102.79"/>
  </r>
  <r>
    <s v="ORD00845"/>
    <d v="2026-07-07T00:00:00"/>
    <s v="CUST0159"/>
    <x v="2"/>
    <x v="9"/>
    <n v="1"/>
    <n v="0.2"/>
    <n v="7200"/>
    <n v="930.37"/>
    <x v="1"/>
    <s v="Delivered"/>
    <n v="7200"/>
    <n v="12.921805555555551"/>
    <s v="Profit"/>
    <s v="Rahul Reddy"/>
    <x v="1"/>
    <x v="2"/>
    <s v="Jaipur"/>
    <s v="Rajasthan"/>
    <s v="2025-07-05"/>
    <s v="51+"/>
    <n v="930.37"/>
  </r>
  <r>
    <s v="ORD00846"/>
    <d v="2026-03-31T00:00:00"/>
    <s v="CUST0142"/>
    <x v="1"/>
    <x v="13"/>
    <n v="1"/>
    <n v="0.2"/>
    <n v="3360"/>
    <n v="756.52"/>
    <x v="1"/>
    <s v="Shipped"/>
    <n v="3360"/>
    <n v="22.515476190476189"/>
    <s v="Profit"/>
    <s v="Pooja Bose"/>
    <x v="0"/>
    <x v="1"/>
    <s v="Surat"/>
    <s v="Gujarat"/>
    <s v="2025-05-21"/>
    <s v="51+"/>
    <n v="756.52"/>
  </r>
  <r>
    <s v="ORD00847"/>
    <d v="2026-08-07T00:00:00"/>
    <s v="CUST0375"/>
    <x v="2"/>
    <x v="2"/>
    <n v="1"/>
    <n v="0.1"/>
    <n v="11700"/>
    <n v="2415.37"/>
    <x v="3"/>
    <s v="Shipped"/>
    <n v="11700"/>
    <n v="20.64418803418803"/>
    <s v="Profit"/>
    <s v="Sneha Pillai"/>
    <x v="0"/>
    <x v="0"/>
    <s v="Bengaluru"/>
    <s v="Karnataka"/>
    <s v="2024-01-03"/>
    <s v="26-35"/>
    <n v="2415.37"/>
  </r>
  <r>
    <s v="ORD00848"/>
    <d v="2026-08-15T00:00:00"/>
    <s v="CUST0159"/>
    <x v="3"/>
    <x v="10"/>
    <n v="1"/>
    <n v="0.05"/>
    <n v="52250"/>
    <n v="6932.43"/>
    <x v="0"/>
    <s v="Delivered"/>
    <n v="52250"/>
    <n v="13.26780861244019"/>
    <s v="Profit"/>
    <s v="Rahul Reddy"/>
    <x v="1"/>
    <x v="2"/>
    <s v="Jaipur"/>
    <s v="Rajasthan"/>
    <s v="2025-07-05"/>
    <s v="51+"/>
    <n v="6932.43"/>
  </r>
  <r>
    <s v="ORD00849"/>
    <d v="2025-12-18T00:00:00"/>
    <s v="CUST0409"/>
    <x v="1"/>
    <x v="1"/>
    <n v="1"/>
    <n v="0"/>
    <n v="1800"/>
    <n v="650"/>
    <x v="2"/>
    <s v="Delivered"/>
    <n v="1800"/>
    <n v="36.111111111111107"/>
    <s v="Profit"/>
    <s v="Arjun Khan"/>
    <x v="2"/>
    <x v="2"/>
    <s v="Chandigarh"/>
    <s v="Chandigarh"/>
    <s v="2025-06-20"/>
    <s v="18-25"/>
    <n v="650"/>
  </r>
  <r>
    <s v="ORD00850"/>
    <d v="2026-08-02T00:00:00"/>
    <s v="CUST0522"/>
    <x v="3"/>
    <x v="10"/>
    <n v="2"/>
    <n v="0.05"/>
    <n v="104500"/>
    <n v="14298.14"/>
    <x v="0"/>
    <s v="Shipped"/>
    <n v="52250"/>
    <n v="13.682430622009569"/>
    <s v="Profit"/>
    <s v="Karthik Joshi"/>
    <x v="2"/>
    <x v="0"/>
    <s v="Bengaluru"/>
    <s v="Karnataka"/>
    <s v="2023-06-28"/>
    <s v="36-50"/>
    <n v="7149.07"/>
  </r>
  <r>
    <s v="ORD00851"/>
    <d v="2026-04-06T00:00:00"/>
    <s v="CUST0505"/>
    <x v="3"/>
    <x v="10"/>
    <n v="4"/>
    <n v="0.1"/>
    <n v="198000"/>
    <n v="21473.15"/>
    <x v="3"/>
    <s v="Delivered"/>
    <n v="49500"/>
    <n v="10.84502525252525"/>
    <s v="Profit"/>
    <s v="Aarav Pillai"/>
    <x v="0"/>
    <x v="2"/>
    <s v="Lucknow"/>
    <s v="Uttar Pradesh"/>
    <s v="2025-05-09"/>
    <s v="51+"/>
    <n v="5368.2875000000004"/>
  </r>
  <r>
    <s v="ORD00852"/>
    <d v="2026-03-24T00:00:00"/>
    <s v="CUST0377"/>
    <x v="2"/>
    <x v="5"/>
    <n v="1"/>
    <n v="0.1"/>
    <n v="9900"/>
    <n v="-2167.67"/>
    <x v="2"/>
    <s v="Returned"/>
    <n v="9900"/>
    <n v="-21.895656565656569"/>
    <s v="Loss"/>
    <s v="Aarav Joshi"/>
    <x v="0"/>
    <x v="1"/>
    <s v="Ahmedabad"/>
    <s v="Gujarat"/>
    <s v="2025-02-16"/>
    <s v="26-35"/>
    <n v="-2167.67"/>
  </r>
  <r>
    <s v="ORD00853"/>
    <d v="2026-05-26T00:00:00"/>
    <s v="CUST0024"/>
    <x v="1"/>
    <x v="12"/>
    <n v="2"/>
    <n v="0"/>
    <n v="2800"/>
    <n v="1000"/>
    <x v="0"/>
    <s v="Delivered"/>
    <n v="1400"/>
    <n v="35.714285714285722"/>
    <s v="Profit"/>
    <s v="Lakshmi Pillai"/>
    <x v="1"/>
    <x v="0"/>
    <s v="Coimbatore"/>
    <s v="Tamil Nadu"/>
    <s v="2024-11-26"/>
    <s v="26-35"/>
    <n v="500"/>
  </r>
  <r>
    <s v="ORD00854"/>
    <d v="2026-01-19T00:00:00"/>
    <s v="CUST0162"/>
    <x v="0"/>
    <x v="0"/>
    <n v="3"/>
    <n v="0.1"/>
    <n v="37800"/>
    <n v="6020.17"/>
    <x v="1"/>
    <s v="Shipped"/>
    <n v="12600"/>
    <n v="15.92637566137566"/>
    <s v="Profit"/>
    <s v="Lakshmi Bose"/>
    <x v="0"/>
    <x v="0"/>
    <s v="Bengaluru"/>
    <s v="Karnataka"/>
    <s v="2025-06-13"/>
    <s v="26-35"/>
    <n v="2006.7233333333329"/>
  </r>
  <r>
    <s v="ORD00855"/>
    <d v="2025-09-28T00:00:00"/>
    <s v="CUST0183"/>
    <x v="1"/>
    <x v="15"/>
    <n v="3"/>
    <n v="0.1"/>
    <n v="5940"/>
    <n v="1763.63"/>
    <x v="1"/>
    <s v="Delivered"/>
    <n v="1980"/>
    <n v="29.69074074074075"/>
    <s v="Profit"/>
    <s v="Meera Kulkarni"/>
    <x v="0"/>
    <x v="0"/>
    <s v="Coimbatore"/>
    <s v="Tamil Nadu"/>
    <s v="2024-09-21"/>
    <s v="26-35"/>
    <n v="587.87666666666667"/>
  </r>
  <r>
    <s v="ORD00856"/>
    <d v="2025-10-15T00:00:00"/>
    <s v="CUST0287"/>
    <x v="1"/>
    <x v="12"/>
    <n v="4"/>
    <n v="0"/>
    <n v="5600"/>
    <n v="2000"/>
    <x v="3"/>
    <s v="Delivered"/>
    <n v="1400"/>
    <n v="35.714285714285722"/>
    <s v="Profit"/>
    <s v="Akash Pillai"/>
    <x v="1"/>
    <x v="0"/>
    <s v="Chennai"/>
    <s v="Tamil Nadu"/>
    <s v="2023-07-20"/>
    <s v="18-25"/>
    <n v="500"/>
  </r>
  <r>
    <s v="ORD00857"/>
    <d v="2025-12-01T00:00:00"/>
    <s v="CUST0274"/>
    <x v="0"/>
    <x v="0"/>
    <n v="2"/>
    <n v="0.05"/>
    <n v="26600"/>
    <n v="-2045.46"/>
    <x v="2"/>
    <s v="Returned"/>
    <n v="13300"/>
    <n v="-7.6896992481203004"/>
    <s v="Loss"/>
    <s v="Meera Bose"/>
    <x v="1"/>
    <x v="0"/>
    <s v="Hyderabad"/>
    <s v="Telangana"/>
    <s v="2025-01-06"/>
    <s v="26-35"/>
    <n v="-1022.73"/>
  </r>
  <r>
    <s v="ORD00858"/>
    <d v="2026-03-08T00:00:00"/>
    <s v="CUST0577"/>
    <x v="3"/>
    <x v="11"/>
    <n v="2"/>
    <n v="0.05"/>
    <n v="4750"/>
    <n v="1424.61"/>
    <x v="3"/>
    <s v="Delivered"/>
    <n v="2375"/>
    <n v="29.991789473684211"/>
    <s v="Profit"/>
    <s v="Lakshmi Joshi"/>
    <x v="1"/>
    <x v="1"/>
    <s v="Ahmedabad"/>
    <s v="Gujarat"/>
    <s v="2024-09-03"/>
    <s v="26-35"/>
    <n v="712.30499999999995"/>
  </r>
  <r>
    <s v="ORD00859"/>
    <d v="2025-11-09T00:00:00"/>
    <s v="CUST0553"/>
    <x v="0"/>
    <x v="7"/>
    <n v="3"/>
    <n v="0.1"/>
    <n v="2430"/>
    <n v="-361.19"/>
    <x v="3"/>
    <s v="Returned"/>
    <n v="810"/>
    <n v="-14.86378600823045"/>
    <s v="Loss"/>
    <s v="Diya Mishra"/>
    <x v="2"/>
    <x v="0"/>
    <s v="Coimbatore"/>
    <s v="Tamil Nadu"/>
    <s v="2025-01-24"/>
    <s v="36-50"/>
    <n v="-120.3966666666667"/>
  </r>
  <r>
    <s v="ORD00860"/>
    <d v="2026-06-09T00:00:00"/>
    <s v="CUST0105"/>
    <x v="0"/>
    <x v="14"/>
    <n v="3"/>
    <n v="0.2"/>
    <n v="1080"/>
    <n v="140.22999999999999"/>
    <x v="3"/>
    <s v="Delivered"/>
    <n v="360"/>
    <n v="12.984259259259259"/>
    <s v="Profit"/>
    <s v="Ishaan Pillai"/>
    <x v="1"/>
    <x v="1"/>
    <s v="Surat"/>
    <s v="Gujarat"/>
    <s v="2024-11-21"/>
    <s v="26-35"/>
    <n v="46.743333333333332"/>
  </r>
  <r>
    <s v="ORD00861"/>
    <d v="2026-08-27T00:00:00"/>
    <s v="CUST0318"/>
    <x v="2"/>
    <x v="9"/>
    <n v="2"/>
    <n v="0.05"/>
    <n v="17100"/>
    <n v="4173.78"/>
    <x v="2"/>
    <s v="Delivered"/>
    <n v="8550"/>
    <n v="24.408070175438599"/>
    <s v="Profit"/>
    <s v="Kavya Menon"/>
    <x v="1"/>
    <x v="2"/>
    <s v="Lucknow"/>
    <s v="Uttar Pradesh"/>
    <s v="2023-08-09"/>
    <s v="18-25"/>
    <n v="2086.89"/>
  </r>
  <r>
    <s v="ORD00862"/>
    <d v="2026-08-05T00:00:00"/>
    <s v="CUST0160"/>
    <x v="1"/>
    <x v="12"/>
    <n v="3"/>
    <n v="0"/>
    <n v="4200"/>
    <n v="1500"/>
    <x v="1"/>
    <s v="Delivered"/>
    <n v="1400"/>
    <n v="35.714285714285722"/>
    <s v="Profit"/>
    <s v="Divya Sharma"/>
    <x v="2"/>
    <x v="0"/>
    <s v="Bengaluru"/>
    <s v="Karnataka"/>
    <s v="2024-09-25"/>
    <s v="18-25"/>
    <n v="500"/>
  </r>
  <r>
    <s v="ORD00863"/>
    <d v="2025-08-09T00:00:00"/>
    <s v="CUST0544"/>
    <x v="2"/>
    <x v="2"/>
    <n v="2"/>
    <n v="0.15"/>
    <n v="22100"/>
    <n v="3690.32"/>
    <x v="1"/>
    <s v="Delivered"/>
    <n v="11050"/>
    <n v="16.698280542986431"/>
    <s v="Profit"/>
    <s v="Rohan Menon"/>
    <x v="1"/>
    <x v="0"/>
    <s v="Hyderabad"/>
    <s v="Telangana"/>
    <s v="2024-05-08"/>
    <s v="26-35"/>
    <n v="1845.16"/>
  </r>
  <r>
    <s v="ORD00864"/>
    <d v="2026-06-18T00:00:00"/>
    <s v="CUST0173"/>
    <x v="3"/>
    <x v="10"/>
    <n v="5"/>
    <n v="0.1"/>
    <n v="247500"/>
    <n v="22315.94"/>
    <x v="3"/>
    <s v="Delivered"/>
    <n v="49500"/>
    <n v="9.0165414141414129"/>
    <s v="Profit"/>
    <s v="Rohan Rao"/>
    <x v="1"/>
    <x v="0"/>
    <s v="Bengaluru"/>
    <s v="Karnataka"/>
    <s v="2024-03-17"/>
    <s v="18-25"/>
    <n v="4463.1880000000001"/>
  </r>
  <r>
    <s v="ORD00865"/>
    <d v="2025-11-07T00:00:00"/>
    <s v="CUST0075"/>
    <x v="3"/>
    <x v="8"/>
    <n v="2"/>
    <n v="0.15"/>
    <n v="7650"/>
    <n v="2155.12"/>
    <x v="1"/>
    <s v="Delivered"/>
    <n v="3825"/>
    <n v="28.171503267973861"/>
    <s v="Profit"/>
    <s v="Karthik Sharma"/>
    <x v="0"/>
    <x v="0"/>
    <s v="Bengaluru"/>
    <s v="Karnataka"/>
    <s v="2025-09-08"/>
    <s v="36-50"/>
    <n v="1077.56"/>
  </r>
  <r>
    <s v="ORD00866"/>
    <d v="2025-12-13T00:00:00"/>
    <s v="CUST0108"/>
    <x v="1"/>
    <x v="15"/>
    <n v="2"/>
    <n v="0.05"/>
    <n v="4180"/>
    <n v="1370.2"/>
    <x v="2"/>
    <s v="Delivered"/>
    <n v="2090"/>
    <n v="32.779904306220097"/>
    <s v="Profit"/>
    <s v="Ananya Sharma"/>
    <x v="1"/>
    <x v="2"/>
    <s v="Chandigarh"/>
    <s v="Chandigarh"/>
    <s v="2025-12-04"/>
    <s v="26-35"/>
    <n v="685.1"/>
  </r>
  <r>
    <s v="ORD00867"/>
    <d v="2026-03-11T00:00:00"/>
    <s v="CUST0522"/>
    <x v="1"/>
    <x v="1"/>
    <n v="4"/>
    <n v="0.15"/>
    <n v="6120"/>
    <n v="2074.33"/>
    <x v="2"/>
    <s v="Delivered"/>
    <n v="1530"/>
    <n v="33.894281045751633"/>
    <s v="Profit"/>
    <s v="Karthik Joshi"/>
    <x v="2"/>
    <x v="0"/>
    <s v="Bengaluru"/>
    <s v="Karnataka"/>
    <s v="2023-06-28"/>
    <s v="36-50"/>
    <n v="518.58249999999998"/>
  </r>
  <r>
    <s v="ORD00868"/>
    <d v="2026-06-29T00:00:00"/>
    <s v="CUST0137"/>
    <x v="2"/>
    <x v="2"/>
    <n v="1"/>
    <n v="0.15"/>
    <n v="11050"/>
    <n v="2152.39"/>
    <x v="1"/>
    <s v="Delivered"/>
    <n v="11050"/>
    <n v="19.47864253393665"/>
    <s v="Profit"/>
    <s v="Nisha Rao"/>
    <x v="1"/>
    <x v="2"/>
    <s v="Delhi"/>
    <s v="Delhi"/>
    <s v="2024-07-02"/>
    <s v="26-35"/>
    <n v="2152.39"/>
  </r>
  <r>
    <s v="ORD00869"/>
    <d v="2025-08-29T00:00:00"/>
    <s v="CUST0496"/>
    <x v="1"/>
    <x v="12"/>
    <n v="1"/>
    <n v="0.05"/>
    <n v="1330"/>
    <n v="466.75"/>
    <x v="1"/>
    <s v="Delivered"/>
    <n v="1330"/>
    <n v="35.093984962406019"/>
    <s v="Profit"/>
    <s v="Akash Pillai"/>
    <x v="0"/>
    <x v="3"/>
    <s v="Bhubaneswar"/>
    <s v="Odisha"/>
    <s v="2024-06-06"/>
    <s v="36-50"/>
    <n v="466.75"/>
  </r>
  <r>
    <s v="ORD00870"/>
    <d v="2026-05-08T00:00:00"/>
    <s v="CUST0522"/>
    <x v="0"/>
    <x v="0"/>
    <n v="15"/>
    <n v="0.1"/>
    <n v="189000"/>
    <n v="26903.1"/>
    <x v="2"/>
    <s v="Delivered"/>
    <n v="12600"/>
    <n v="14.23444444444444"/>
    <s v="Profit"/>
    <s v="Karthik Joshi"/>
    <x v="2"/>
    <x v="0"/>
    <s v="Bengaluru"/>
    <s v="Karnataka"/>
    <s v="2023-06-28"/>
    <s v="36-50"/>
    <n v="1793.54"/>
  </r>
  <r>
    <s v="ORD00871"/>
    <d v="2026-02-22T00:00:00"/>
    <s v="CUST0519"/>
    <x v="3"/>
    <x v="4"/>
    <n v="3"/>
    <n v="0.1"/>
    <n v="48600"/>
    <n v="7747.61"/>
    <x v="1"/>
    <s v="Delivered"/>
    <n v="16200"/>
    <n v="15.94158436213992"/>
    <s v="Profit"/>
    <s v="Rahul Bose"/>
    <x v="1"/>
    <x v="1"/>
    <s v="Pune"/>
    <s v="Maharashtra"/>
    <s v="2025-12-27"/>
    <s v="26-35"/>
    <n v="2582.536666666666"/>
  </r>
  <r>
    <s v="ORD00872"/>
    <d v="2025-07-16T00:00:00"/>
    <s v="CUST0013"/>
    <x v="0"/>
    <x v="6"/>
    <n v="2"/>
    <n v="0.2"/>
    <n v="560"/>
    <n v="133.74"/>
    <x v="0"/>
    <s v="Delivered"/>
    <n v="280"/>
    <n v="23.88214285714286"/>
    <s v="Profit"/>
    <s v="Aarav Iyer"/>
    <x v="0"/>
    <x v="2"/>
    <s v="Chandigarh"/>
    <s v="Chandigarh"/>
    <s v="2025-09-04"/>
    <s v="26-35"/>
    <n v="66.87"/>
  </r>
  <r>
    <s v="ORD00873"/>
    <d v="2025-08-22T00:00:00"/>
    <s v="CUST0566"/>
    <x v="2"/>
    <x v="3"/>
    <n v="15"/>
    <n v="0"/>
    <n v="225000"/>
    <n v="52500"/>
    <x v="3"/>
    <s v="Delivered"/>
    <n v="15000"/>
    <n v="23.333333333333329"/>
    <s v="Profit"/>
    <s v="Arjun Rao"/>
    <x v="0"/>
    <x v="3"/>
    <s v="Kolkata"/>
    <s v="West Bengal"/>
    <s v="2023-09-05"/>
    <s v="26-35"/>
    <n v="3500"/>
  </r>
  <r>
    <s v="ORD00874"/>
    <d v="2025-12-15T00:00:00"/>
    <s v="CUST0220"/>
    <x v="1"/>
    <x v="12"/>
    <n v="3"/>
    <n v="0.05"/>
    <n v="3990"/>
    <n v="1374.83"/>
    <x v="0"/>
    <s v="Delivered"/>
    <n v="1330"/>
    <n v="34.456892230576443"/>
    <s v="Profit"/>
    <s v="Pooja Kulkarni"/>
    <x v="0"/>
    <x v="1"/>
    <s v="Surat"/>
    <s v="Gujarat"/>
    <s v="2024-05-02"/>
    <s v="18-25"/>
    <n v="458.27666666666659"/>
  </r>
  <r>
    <s v="ORD00875"/>
    <d v="2026-05-29T00:00:00"/>
    <s v="CUST0599"/>
    <x v="2"/>
    <x v="5"/>
    <n v="1"/>
    <n v="0.1"/>
    <n v="9900"/>
    <n v="1752.36"/>
    <x v="0"/>
    <s v="Delivered"/>
    <n v="9900"/>
    <n v="17.700606060606059"/>
    <s v="Profit"/>
    <s v="Rahul Das"/>
    <x v="1"/>
    <x v="0"/>
    <s v="Coimbatore"/>
    <s v="Tamil Nadu"/>
    <s v="2024-01-12"/>
    <s v="26-35"/>
    <n v="1752.36"/>
  </r>
  <r>
    <s v="ORD00876"/>
    <d v="2026-01-25T00:00:00"/>
    <s v="CUST0170"/>
    <x v="1"/>
    <x v="1"/>
    <n v="1"/>
    <n v="0.1"/>
    <n v="1620"/>
    <n v="561.30999999999995"/>
    <x v="3"/>
    <s v="Delivered"/>
    <n v="1620"/>
    <n v="34.648765432098763"/>
    <s v="Profit"/>
    <s v="Meera Iyer"/>
    <x v="2"/>
    <x v="0"/>
    <s v="Hyderabad"/>
    <s v="Telangana"/>
    <s v="2025-04-02"/>
    <s v="36-50"/>
    <n v="561.30999999999995"/>
  </r>
  <r>
    <s v="ORD00877"/>
    <d v="2026-04-18T00:00:00"/>
    <s v="CUST0066"/>
    <x v="3"/>
    <x v="4"/>
    <n v="1"/>
    <n v="0.3"/>
    <n v="12600"/>
    <n v="1029.99"/>
    <x v="3"/>
    <s v="Delivered"/>
    <n v="12600"/>
    <n v="8.1745238095238086"/>
    <s v="Profit"/>
    <s v="Aarav Gupta"/>
    <x v="0"/>
    <x v="2"/>
    <s v="Jaipur"/>
    <s v="Rajasthan"/>
    <s v="2024-06-18"/>
    <s v="51+"/>
    <n v="1029.99"/>
  </r>
  <r>
    <s v="ORD00878"/>
    <d v="2025-12-30T00:00:00"/>
    <s v="CUST0007"/>
    <x v="3"/>
    <x v="10"/>
    <n v="2"/>
    <n v="0.1"/>
    <n v="99000"/>
    <n v="9671.6299999999992"/>
    <x v="1"/>
    <s v="Delivered"/>
    <n v="49500"/>
    <n v="9.7693232323232326"/>
    <s v="Profit"/>
    <s v="Harini Khan"/>
    <x v="0"/>
    <x v="0"/>
    <s v="Bengaluru"/>
    <s v="Karnataka"/>
    <s v="2025-07-02"/>
    <s v="36-50"/>
    <n v="4835.8149999999996"/>
  </r>
  <r>
    <s v="ORD00879"/>
    <d v="2026-06-18T00:00:00"/>
    <s v="CUST0023"/>
    <x v="3"/>
    <x v="4"/>
    <n v="2"/>
    <n v="0.15"/>
    <n v="30600"/>
    <n v="2815.65"/>
    <x v="3"/>
    <s v="Delivered"/>
    <n v="15300"/>
    <n v="9.2014705882352938"/>
    <s v="Profit"/>
    <s v="Diya Naidu"/>
    <x v="0"/>
    <x v="3"/>
    <s v="Guwahati"/>
    <s v="Assam"/>
    <s v="2024-03-23"/>
    <s v="36-50"/>
    <n v="1407.825"/>
  </r>
  <r>
    <s v="ORD00880"/>
    <d v="2026-07-07T00:00:00"/>
    <s v="CUST0565"/>
    <x v="3"/>
    <x v="11"/>
    <n v="2"/>
    <n v="0.3"/>
    <n v="3500"/>
    <n v="510.67"/>
    <x v="3"/>
    <s v="Delivered"/>
    <n v="1750"/>
    <n v="14.59057142857143"/>
    <s v="Profit"/>
    <s v="Rahul Bose"/>
    <x v="0"/>
    <x v="0"/>
    <s v="Coimbatore"/>
    <s v="Tamil Nadu"/>
    <s v="2024-03-26"/>
    <s v="51+"/>
    <n v="255.33500000000001"/>
  </r>
  <r>
    <s v="ORD00881"/>
    <d v="2026-05-22T00:00:00"/>
    <s v="CUST0527"/>
    <x v="0"/>
    <x v="7"/>
    <n v="15"/>
    <n v="0"/>
    <n v="13500"/>
    <n v="4200"/>
    <x v="1"/>
    <s v="Delivered"/>
    <n v="900"/>
    <n v="31.111111111111111"/>
    <s v="Profit"/>
    <s v="Aarav Patel"/>
    <x v="0"/>
    <x v="0"/>
    <s v="Hyderabad"/>
    <s v="Telangana"/>
    <s v="2024-04-04"/>
    <s v="26-35"/>
    <n v="280"/>
  </r>
  <r>
    <s v="ORD00882"/>
    <d v="2026-08-04T00:00:00"/>
    <s v="CUST0079"/>
    <x v="3"/>
    <x v="11"/>
    <n v="1"/>
    <n v="0.1"/>
    <n v="2250"/>
    <n v="682.34"/>
    <x v="1"/>
    <s v="Delivered"/>
    <n v="2250"/>
    <n v="30.326222222222221"/>
    <s v="Profit"/>
    <s v="Akash Mehta"/>
    <x v="0"/>
    <x v="0"/>
    <s v="Chennai"/>
    <s v="Tamil Nadu"/>
    <s v="2024-07-12"/>
    <s v="51+"/>
    <n v="682.34"/>
  </r>
  <r>
    <s v="ORD00883"/>
    <d v="2026-03-21T00:00:00"/>
    <s v="CUST0405"/>
    <x v="0"/>
    <x v="0"/>
    <n v="2"/>
    <n v="0"/>
    <n v="28000"/>
    <n v="5600"/>
    <x v="1"/>
    <s v="Delivered"/>
    <n v="14000"/>
    <n v="20"/>
    <s v="Profit"/>
    <s v="Varun Naidu"/>
    <x v="0"/>
    <x v="0"/>
    <s v="Chennai"/>
    <s v="Tamil Nadu"/>
    <s v="2024-05-06"/>
    <s v="26-35"/>
    <n v="2800"/>
  </r>
  <r>
    <s v="ORD00884"/>
    <d v="2025-09-24T00:00:00"/>
    <s v="CUST0518"/>
    <x v="3"/>
    <x v="11"/>
    <n v="1"/>
    <n v="0.2"/>
    <n v="2000"/>
    <n v="541.66"/>
    <x v="0"/>
    <s v="Delivered"/>
    <n v="2000"/>
    <n v="27.082999999999991"/>
    <s v="Profit"/>
    <s v="Nisha Patel"/>
    <x v="2"/>
    <x v="2"/>
    <s v="Jaipur"/>
    <s v="Rajasthan"/>
    <s v="2025-04-19"/>
    <s v="36-50"/>
    <n v="541.66"/>
  </r>
  <r>
    <s v="ORD00885"/>
    <d v="2026-06-04T00:00:00"/>
    <s v="CUST0160"/>
    <x v="0"/>
    <x v="14"/>
    <n v="3"/>
    <n v="0.1"/>
    <n v="1215"/>
    <n v="235.6"/>
    <x v="3"/>
    <s v="Delivered"/>
    <n v="405"/>
    <n v="19.390946502057609"/>
    <s v="Profit"/>
    <s v="Divya Sharma"/>
    <x v="2"/>
    <x v="0"/>
    <s v="Bengaluru"/>
    <s v="Karnataka"/>
    <s v="2024-09-25"/>
    <s v="18-25"/>
    <n v="78.533333333333331"/>
  </r>
  <r>
    <s v="ORD00886"/>
    <d v="2025-09-18T00:00:00"/>
    <s v="CUST0295"/>
    <x v="2"/>
    <x v="9"/>
    <n v="3"/>
    <n v="0.15"/>
    <n v="22950"/>
    <n v="4577.3"/>
    <x v="1"/>
    <s v="Delivered"/>
    <n v="7650"/>
    <n v="19.944662309368191"/>
    <s v="Profit"/>
    <s v="Pooja Chopra"/>
    <x v="1"/>
    <x v="2"/>
    <s v="Chandigarh"/>
    <s v="Chandigarh"/>
    <s v="2023-09-02"/>
    <s v="18-25"/>
    <n v="1525.7666666666671"/>
  </r>
  <r>
    <s v="ORD00887"/>
    <d v="2026-03-06T00:00:00"/>
    <s v="CUST0442"/>
    <x v="3"/>
    <x v="8"/>
    <n v="1"/>
    <n v="0.1"/>
    <n v="4050"/>
    <n v="1270.98"/>
    <x v="1"/>
    <s v="Shipped"/>
    <n v="4050"/>
    <n v="31.382222222222222"/>
    <s v="Profit"/>
    <s v="Akash Kulkarni"/>
    <x v="0"/>
    <x v="0"/>
    <s v="Bengaluru"/>
    <s v="Karnataka"/>
    <s v="2023-09-01"/>
    <s v="36-50"/>
    <n v="1270.98"/>
  </r>
  <r>
    <s v="ORD00888"/>
    <d v="2025-09-10T00:00:00"/>
    <s v="CUST0596"/>
    <x v="0"/>
    <x v="7"/>
    <n v="1"/>
    <n v="0.2"/>
    <n v="720"/>
    <n v="140.80000000000001"/>
    <x v="2"/>
    <s v="Delivered"/>
    <n v="720"/>
    <n v="19.555555555555561"/>
    <s v="Profit"/>
    <s v="Manoj Rao"/>
    <x v="0"/>
    <x v="0"/>
    <s v="Bengaluru"/>
    <s v="Karnataka"/>
    <s v="2024-01-21"/>
    <s v="18-25"/>
    <n v="140.80000000000001"/>
  </r>
  <r>
    <s v="ORD00889"/>
    <d v="2026-07-17T00:00:00"/>
    <s v="CUST0457"/>
    <x v="1"/>
    <x v="12"/>
    <n v="5"/>
    <n v="0.1"/>
    <n v="6300"/>
    <n v="2175.35"/>
    <x v="2"/>
    <s v="Delivered"/>
    <n v="1260"/>
    <n v="34.529365079365078"/>
    <s v="Profit"/>
    <s v="Karthik Bose"/>
    <x v="2"/>
    <x v="0"/>
    <s v="Hyderabad"/>
    <s v="Telangana"/>
    <s v="2025-04-05"/>
    <s v="51+"/>
    <n v="435.07"/>
  </r>
  <r>
    <s v="ORD00890"/>
    <d v="2026-06-02T00:00:00"/>
    <s v="CUST0385"/>
    <x v="1"/>
    <x v="12"/>
    <n v="2"/>
    <n v="0"/>
    <n v="2800"/>
    <n v="1000"/>
    <x v="2"/>
    <s v="Shipped"/>
    <n v="1400"/>
    <n v="35.714285714285722"/>
    <s v="Profit"/>
    <s v="Karthik Singh"/>
    <x v="0"/>
    <x v="0"/>
    <s v="Coimbatore"/>
    <s v="Tamil Nadu"/>
    <s v="2023-06-06"/>
    <s v="26-35"/>
    <n v="500"/>
  </r>
  <r>
    <s v="ORD00891"/>
    <d v="2025-10-24T00:00:00"/>
    <s v="CUST0102"/>
    <x v="0"/>
    <x v="0"/>
    <n v="3"/>
    <n v="0.15"/>
    <n v="35700"/>
    <n v="3262.77"/>
    <x v="0"/>
    <s v="Delivered"/>
    <n v="11900"/>
    <n v="9.1394117647058817"/>
    <s v="Profit"/>
    <s v="Akash Bose"/>
    <x v="0"/>
    <x v="2"/>
    <s v="Jaipur"/>
    <s v="Rajasthan"/>
    <s v="2023-03-30"/>
    <s v="36-50"/>
    <n v="1087.5899999999999"/>
  </r>
  <r>
    <s v="ORD00892"/>
    <d v="2025-12-12T00:00:00"/>
    <s v="CUST0471"/>
    <x v="2"/>
    <x v="5"/>
    <n v="10"/>
    <n v="0.1"/>
    <n v="99000"/>
    <n v="-56936.13"/>
    <x v="3"/>
    <s v="Cancelled"/>
    <n v="9900"/>
    <n v="-57.511242424242432"/>
    <s v="Loss"/>
    <s v="Divya Kulkarni"/>
    <x v="1"/>
    <x v="2"/>
    <s v="Jaipur"/>
    <s v="Rajasthan"/>
    <s v="2025-04-16"/>
    <s v="26-35"/>
    <n v="-5693.6129999999994"/>
  </r>
  <r>
    <s v="ORD00893"/>
    <d v="2026-02-18T00:00:00"/>
    <s v="CUST0119"/>
    <x v="0"/>
    <x v="6"/>
    <n v="2"/>
    <n v="0.2"/>
    <n v="560"/>
    <n v="169.56"/>
    <x v="2"/>
    <s v="Delivered"/>
    <n v="280"/>
    <n v="30.278571428571428"/>
    <s v="Profit"/>
    <s v="Divya Naidu"/>
    <x v="1"/>
    <x v="0"/>
    <s v="Coimbatore"/>
    <s v="Tamil Nadu"/>
    <s v="2023-05-25"/>
    <s v="36-50"/>
    <n v="84.78"/>
  </r>
  <r>
    <s v="ORD00894"/>
    <d v="2026-01-19T00:00:00"/>
    <s v="CUST0303"/>
    <x v="2"/>
    <x v="9"/>
    <n v="1"/>
    <n v="0.15"/>
    <n v="7650"/>
    <n v="1430.6"/>
    <x v="0"/>
    <s v="Delivered"/>
    <n v="7650"/>
    <n v="18.700653594771239"/>
    <s v="Profit"/>
    <s v="Aarav Sharma"/>
    <x v="1"/>
    <x v="0"/>
    <s v="Bengaluru"/>
    <s v="Karnataka"/>
    <s v="2024-12-30"/>
    <s v="26-35"/>
    <n v="1430.6"/>
  </r>
  <r>
    <s v="ORD00895"/>
    <d v="2026-06-09T00:00:00"/>
    <s v="CUST0273"/>
    <x v="2"/>
    <x v="9"/>
    <n v="3"/>
    <n v="0.1"/>
    <n v="24300"/>
    <n v="5277.84"/>
    <x v="2"/>
    <s v="Delivered"/>
    <n v="8100"/>
    <n v="21.719506172839509"/>
    <s v="Profit"/>
    <s v="Akash Verma"/>
    <x v="1"/>
    <x v="0"/>
    <s v="Chennai"/>
    <s v="Tamil Nadu"/>
    <s v="2024-07-10"/>
    <s v="51+"/>
    <n v="1759.28"/>
  </r>
  <r>
    <s v="ORD00896"/>
    <d v="2025-11-30T00:00:00"/>
    <s v="CUST0489"/>
    <x v="0"/>
    <x v="0"/>
    <n v="1"/>
    <n v="0.05"/>
    <n v="13300"/>
    <n v="2416.91"/>
    <x v="3"/>
    <s v="Delivered"/>
    <n v="13300"/>
    <n v="18.172255639097742"/>
    <s v="Profit"/>
    <s v="Kavya Das"/>
    <x v="0"/>
    <x v="0"/>
    <s v="Coimbatore"/>
    <s v="Tamil Nadu"/>
    <s v="2024-03-29"/>
    <s v="26-35"/>
    <n v="2416.91"/>
  </r>
  <r>
    <s v="ORD00897"/>
    <d v="2026-01-11T00:00:00"/>
    <s v="CUST0441"/>
    <x v="2"/>
    <x v="3"/>
    <n v="3"/>
    <n v="0"/>
    <n v="45000"/>
    <n v="-22495.200000000001"/>
    <x v="3"/>
    <s v="Cancelled"/>
    <n v="15000"/>
    <n v="-49.989333333333327"/>
    <s v="Loss"/>
    <s v="Arjun Joshi"/>
    <x v="0"/>
    <x v="0"/>
    <s v="Bengaluru"/>
    <s v="Karnataka"/>
    <s v="2024-05-10"/>
    <s v="18-25"/>
    <n v="-7498.4000000000005"/>
  </r>
  <r>
    <s v="ORD00898"/>
    <d v="2025-12-17T00:00:00"/>
    <s v="CUST0244"/>
    <x v="0"/>
    <x v="7"/>
    <n v="1"/>
    <n v="0.15"/>
    <n v="765"/>
    <n v="201.88"/>
    <x v="3"/>
    <s v="Delivered"/>
    <n v="765"/>
    <n v="26.389542483660129"/>
    <s v="Profit"/>
    <s v="Ishaan Khan"/>
    <x v="0"/>
    <x v="0"/>
    <s v="Bengaluru"/>
    <s v="Karnataka"/>
    <s v="2024-01-08"/>
    <s v="36-50"/>
    <n v="201.88"/>
  </r>
  <r>
    <s v="ORD00899"/>
    <d v="2026-02-22T00:00:00"/>
    <s v="CUST0541"/>
    <x v="3"/>
    <x v="8"/>
    <n v="3"/>
    <n v="0"/>
    <n v="13500"/>
    <n v="-2904.99"/>
    <x v="2"/>
    <s v="Returned"/>
    <n v="4500"/>
    <n v="-21.518444444444441"/>
    <s v="Loss"/>
    <s v="Rahul Mishra"/>
    <x v="0"/>
    <x v="3"/>
    <s v="Kolkata"/>
    <s v="West Bengal"/>
    <s v="2025-05-13"/>
    <s v="51+"/>
    <n v="-968.32999999999993"/>
  </r>
  <r>
    <s v="ORD00900"/>
    <d v="2026-03-29T00:00:00"/>
    <s v="CUST0361"/>
    <x v="3"/>
    <x v="10"/>
    <n v="3"/>
    <n v="0"/>
    <n v="165000"/>
    <n v="27000"/>
    <x v="3"/>
    <s v="Delivered"/>
    <n v="55000"/>
    <n v="16.36363636363636"/>
    <s v="Profit"/>
    <s v="Ananya Das"/>
    <x v="0"/>
    <x v="1"/>
    <s v="Surat"/>
    <s v="Gujarat"/>
    <s v="2024-08-27"/>
    <s v="26-35"/>
    <n v="9000"/>
  </r>
  <r>
    <s v="ORD00901"/>
    <d v="2026-08-09T00:00:00"/>
    <s v="CUST0058"/>
    <x v="0"/>
    <x v="7"/>
    <n v="1"/>
    <n v="0.15"/>
    <n v="765"/>
    <n v="194.97"/>
    <x v="0"/>
    <s v="Shipped"/>
    <n v="765"/>
    <n v="25.48627450980392"/>
    <s v="Profit"/>
    <s v="Divya Nair"/>
    <x v="2"/>
    <x v="3"/>
    <s v="Guwahati"/>
    <s v="Assam"/>
    <s v="2023-01-13"/>
    <s v="26-35"/>
    <n v="194.97"/>
  </r>
  <r>
    <s v="ORD00902"/>
    <d v="2025-12-03T00:00:00"/>
    <s v="CUST0034"/>
    <x v="1"/>
    <x v="15"/>
    <n v="2"/>
    <n v="0.05"/>
    <n v="4180"/>
    <n v="1368.7"/>
    <x v="1"/>
    <s v="Delivered"/>
    <n v="2090"/>
    <n v="32.744019138755981"/>
    <s v="Profit"/>
    <s v="Meera Bose"/>
    <x v="0"/>
    <x v="1"/>
    <s v="Ahmedabad"/>
    <s v="Gujarat"/>
    <s v="2023-01-29"/>
    <s v="18-25"/>
    <n v="684.35"/>
  </r>
  <r>
    <s v="ORD00903"/>
    <d v="2025-11-03T00:00:00"/>
    <s v="CUST0335"/>
    <x v="3"/>
    <x v="10"/>
    <n v="6"/>
    <n v="0.2"/>
    <n v="264000"/>
    <n v="2743.28"/>
    <x v="1"/>
    <s v="Delivered"/>
    <n v="44000"/>
    <n v="1.0391212121212119"/>
    <s v="Profit"/>
    <s v="Diya Pillai"/>
    <x v="0"/>
    <x v="0"/>
    <s v="Bengaluru"/>
    <s v="Karnataka"/>
    <s v="2025-05-24"/>
    <s v="36-50"/>
    <n v="457.21333333333342"/>
  </r>
  <r>
    <s v="ORD00904"/>
    <d v="2025-11-23T00:00:00"/>
    <s v="CUST0077"/>
    <x v="0"/>
    <x v="7"/>
    <n v="1"/>
    <n v="0"/>
    <n v="900"/>
    <n v="280"/>
    <x v="3"/>
    <s v="Shipped"/>
    <n v="900"/>
    <n v="31.111111111111111"/>
    <s v="Profit"/>
    <s v="Aarav Patel"/>
    <x v="2"/>
    <x v="3"/>
    <s v="Bhubaneswar"/>
    <s v="Odisha"/>
    <s v="2023-01-09"/>
    <s v="36-50"/>
    <n v="280"/>
  </r>
  <r>
    <s v="ORD00905"/>
    <d v="2025-09-26T00:00:00"/>
    <s v="CUST0232"/>
    <x v="0"/>
    <x v="6"/>
    <n v="1"/>
    <n v="0.05"/>
    <n v="332.5"/>
    <n v="110.03"/>
    <x v="1"/>
    <s v="Shipped"/>
    <n v="332.5"/>
    <n v="33.091729323308272"/>
    <s v="Profit"/>
    <s v="Priya Menon"/>
    <x v="0"/>
    <x v="1"/>
    <s v="Pune"/>
    <s v="Maharashtra"/>
    <s v="2024-06-24"/>
    <s v="18-25"/>
    <n v="110.03"/>
  </r>
  <r>
    <s v="ORD00906"/>
    <d v="2025-10-23T00:00:00"/>
    <s v="CUST0292"/>
    <x v="1"/>
    <x v="15"/>
    <n v="2"/>
    <n v="0.15"/>
    <n v="3740"/>
    <n v="1104.8399999999999"/>
    <x v="2"/>
    <s v="Delivered"/>
    <n v="1870"/>
    <n v="29.54117647058823"/>
    <s v="Profit"/>
    <s v="Sanjay Khan"/>
    <x v="0"/>
    <x v="0"/>
    <s v="Bengaluru"/>
    <s v="Karnataka"/>
    <s v="2023-07-05"/>
    <s v="26-35"/>
    <n v="552.41999999999996"/>
  </r>
  <r>
    <s v="ORD00907"/>
    <d v="2025-11-21T00:00:00"/>
    <s v="CUST0376"/>
    <x v="3"/>
    <x v="8"/>
    <n v="6"/>
    <n v="0.15"/>
    <n v="22950"/>
    <n v="6726.19"/>
    <x v="1"/>
    <s v="Shipped"/>
    <n v="3825"/>
    <n v="29.3080174291939"/>
    <s v="Profit"/>
    <s v="Ishaan Patel"/>
    <x v="0"/>
    <x v="3"/>
    <s v="Guwahati"/>
    <s v="Assam"/>
    <s v="2024-01-17"/>
    <s v="26-35"/>
    <n v="1121.031666666667"/>
  </r>
  <r>
    <s v="ORD00908"/>
    <d v="2025-09-15T00:00:00"/>
    <s v="CUST0166"/>
    <x v="3"/>
    <x v="11"/>
    <n v="2"/>
    <n v="0.1"/>
    <n v="4500"/>
    <n v="1178.31"/>
    <x v="2"/>
    <s v="Delivered"/>
    <n v="2250"/>
    <n v="26.184666666666669"/>
    <s v="Profit"/>
    <s v="Arjun Gupta"/>
    <x v="2"/>
    <x v="0"/>
    <s v="Chennai"/>
    <s v="Tamil Nadu"/>
    <s v="2024-10-19"/>
    <s v="18-25"/>
    <n v="589.15499999999997"/>
  </r>
  <r>
    <s v="ORD00909"/>
    <d v="2025-12-07T00:00:00"/>
    <s v="CUST0336"/>
    <x v="0"/>
    <x v="7"/>
    <n v="6"/>
    <n v="0.1"/>
    <n v="4860"/>
    <n v="1390.12"/>
    <x v="0"/>
    <s v="Delivered"/>
    <n v="810"/>
    <n v="28.603292181069961"/>
    <s v="Profit"/>
    <s v="Akash Khan"/>
    <x v="0"/>
    <x v="1"/>
    <s v="Surat"/>
    <s v="Gujarat"/>
    <s v="2023-09-13"/>
    <s v="36-50"/>
    <n v="231.68666666666661"/>
  </r>
  <r>
    <s v="ORD00910"/>
    <d v="2026-05-22T00:00:00"/>
    <s v="CUST0353"/>
    <x v="3"/>
    <x v="8"/>
    <n v="4"/>
    <n v="0.15"/>
    <n v="15300"/>
    <n v="4259.47"/>
    <x v="2"/>
    <s v="Delivered"/>
    <n v="3825"/>
    <n v="27.839673202614382"/>
    <s v="Profit"/>
    <s v="Aditya Iyer"/>
    <x v="2"/>
    <x v="0"/>
    <s v="Hyderabad"/>
    <s v="Telangana"/>
    <s v="2024-08-21"/>
    <s v="36-50"/>
    <n v="1064.8675000000001"/>
  </r>
  <r>
    <s v="ORD00911"/>
    <d v="2025-08-08T00:00:00"/>
    <s v="CUST0432"/>
    <x v="3"/>
    <x v="8"/>
    <n v="3"/>
    <n v="0.05"/>
    <n v="12825"/>
    <n v="4062.9"/>
    <x v="3"/>
    <s v="Delivered"/>
    <n v="4275"/>
    <n v="31.679532163742689"/>
    <s v="Profit"/>
    <s v="Pooja Singh"/>
    <x v="1"/>
    <x v="0"/>
    <s v="Coimbatore"/>
    <s v="Tamil Nadu"/>
    <s v="2023-02-17"/>
    <s v="18-25"/>
    <n v="1354.3"/>
  </r>
  <r>
    <s v="ORD00912"/>
    <d v="2025-07-07T00:00:00"/>
    <s v="CUST0518"/>
    <x v="2"/>
    <x v="9"/>
    <n v="3"/>
    <n v="0"/>
    <n v="22950"/>
    <n v="3549.09"/>
    <x v="1"/>
    <s v="Shipped"/>
    <n v="7650"/>
    <n v="15.464444444444441"/>
    <s v="Profit"/>
    <s v="Nisha Patel"/>
    <x v="2"/>
    <x v="2"/>
    <s v="Jaipur"/>
    <s v="Rajasthan"/>
    <s v="2025-04-19"/>
    <s v="36-50"/>
    <n v="1183.03"/>
  </r>
  <r>
    <s v="ORD00913"/>
    <d v="2026-07-30T00:00:00"/>
    <s v="CUST0500"/>
    <x v="3"/>
    <x v="11"/>
    <n v="4"/>
    <n v="0.15"/>
    <n v="8500"/>
    <n v="2443.09"/>
    <x v="2"/>
    <s v="Delivered"/>
    <n v="2125"/>
    <n v="28.742235294117641"/>
    <s v="Profit"/>
    <s v="Akash Bose"/>
    <x v="0"/>
    <x v="1"/>
    <s v="Mumbai"/>
    <s v="Maharashtra"/>
    <s v="2024-06-01"/>
    <s v="36-50"/>
    <n v="610.77250000000004"/>
  </r>
  <r>
    <s v="ORD00914"/>
    <d v="2025-08-15T00:00:00"/>
    <s v="CUST0216"/>
    <x v="3"/>
    <x v="10"/>
    <n v="2"/>
    <n v="0"/>
    <n v="110000"/>
    <n v="18000"/>
    <x v="1"/>
    <s v="Delivered"/>
    <n v="55000"/>
    <n v="16.36363636363636"/>
    <s v="Profit"/>
    <s v="Karthik Mishra"/>
    <x v="0"/>
    <x v="0"/>
    <s v="Hyderabad"/>
    <s v="Telangana"/>
    <s v="2024-06-25"/>
    <s v="26-35"/>
    <n v="9000"/>
  </r>
  <r>
    <s v="ORD00915"/>
    <d v="2025-10-01T00:00:00"/>
    <s v="CUST0436"/>
    <x v="3"/>
    <x v="11"/>
    <n v="1"/>
    <n v="0"/>
    <n v="2500"/>
    <n v="800"/>
    <x v="3"/>
    <s v="Delivered"/>
    <n v="2500"/>
    <n v="32"/>
    <s v="Profit"/>
    <s v="Divya Patel"/>
    <x v="0"/>
    <x v="1"/>
    <s v="Surat"/>
    <s v="Gujarat"/>
    <s v="2025-10-12"/>
    <s v="26-35"/>
    <n v="800"/>
  </r>
  <r>
    <s v="ORD00916"/>
    <d v="2026-08-11T00:00:00"/>
    <s v="CUST0202"/>
    <x v="3"/>
    <x v="10"/>
    <n v="3"/>
    <n v="0"/>
    <n v="165000"/>
    <n v="27000"/>
    <x v="0"/>
    <s v="Delivered"/>
    <n v="55000"/>
    <n v="16.36363636363636"/>
    <s v="Profit"/>
    <s v="Manoj Gupta"/>
    <x v="1"/>
    <x v="1"/>
    <s v="Pune"/>
    <s v="Maharashtra"/>
    <s v="2023-12-07"/>
    <s v="26-35"/>
    <n v="9000"/>
  </r>
  <r>
    <s v="ORD00917"/>
    <d v="2026-03-25T00:00:00"/>
    <s v="CUST0444"/>
    <x v="0"/>
    <x v="6"/>
    <n v="1"/>
    <n v="0.05"/>
    <n v="332.5"/>
    <n v="110.15"/>
    <x v="3"/>
    <s v="Delivered"/>
    <n v="332.5"/>
    <n v="33.127819548872182"/>
    <s v="Profit"/>
    <s v="Harini Naidu"/>
    <x v="0"/>
    <x v="3"/>
    <s v="Guwahati"/>
    <s v="Assam"/>
    <s v="2023-05-21"/>
    <s v="18-25"/>
    <n v="110.15"/>
  </r>
  <r>
    <s v="ORD00918"/>
    <d v="2026-05-05T00:00:00"/>
    <s v="CUST0381"/>
    <x v="2"/>
    <x v="3"/>
    <n v="1"/>
    <n v="0"/>
    <n v="15000"/>
    <n v="3500"/>
    <x v="2"/>
    <s v="Delivered"/>
    <n v="15000"/>
    <n v="23.333333333333329"/>
    <s v="Profit"/>
    <s v="Nisha Pillai"/>
    <x v="1"/>
    <x v="1"/>
    <s v="Mumbai"/>
    <s v="Maharashtra"/>
    <s v="2023-03-15"/>
    <s v="26-35"/>
    <n v="3500"/>
  </r>
  <r>
    <s v="ORD00919"/>
    <d v="2026-01-08T00:00:00"/>
    <s v="CUST0540"/>
    <x v="1"/>
    <x v="13"/>
    <n v="3"/>
    <n v="0.2"/>
    <n v="10080"/>
    <n v="2083.16"/>
    <x v="0"/>
    <s v="Delivered"/>
    <n v="3360"/>
    <n v="20.666269841269841"/>
    <s v="Profit"/>
    <s v="Kavya Rao"/>
    <x v="0"/>
    <x v="0"/>
    <s v="Chennai"/>
    <s v="Tamil Nadu"/>
    <s v="2023-09-30"/>
    <s v="18-25"/>
    <n v="694.38666666666666"/>
  </r>
  <r>
    <s v="ORD00920"/>
    <d v="2026-05-26T00:00:00"/>
    <s v="CUST0481"/>
    <x v="1"/>
    <x v="15"/>
    <n v="1"/>
    <n v="0.15"/>
    <n v="1870"/>
    <n v="517.20000000000005"/>
    <x v="2"/>
    <s v="Delivered"/>
    <n v="1870"/>
    <n v="27.657754010695189"/>
    <s v="Profit"/>
    <s v="Diya Kulkarni"/>
    <x v="1"/>
    <x v="2"/>
    <s v="Lucknow"/>
    <s v="Uttar Pradesh"/>
    <s v="2024-07-28"/>
    <s v="26-35"/>
    <n v="517.20000000000005"/>
  </r>
  <r>
    <s v="ORD00921"/>
    <d v="2025-10-27T00:00:00"/>
    <s v="CUST0182"/>
    <x v="0"/>
    <x v="0"/>
    <n v="1"/>
    <n v="0"/>
    <n v="14000"/>
    <n v="2800"/>
    <x v="1"/>
    <s v="Delivered"/>
    <n v="14000"/>
    <n v="20"/>
    <s v="Profit"/>
    <s v="Shreya Iyer"/>
    <x v="2"/>
    <x v="3"/>
    <s v="Patna"/>
    <s v="Bihar"/>
    <s v="2023-07-03"/>
    <s v="36-50"/>
    <n v="2800"/>
  </r>
  <r>
    <s v="ORD00922"/>
    <d v="2025-08-30T00:00:00"/>
    <s v="CUST0442"/>
    <x v="1"/>
    <x v="13"/>
    <n v="2"/>
    <n v="0.15"/>
    <n v="7140"/>
    <n v="1731.24"/>
    <x v="0"/>
    <s v="Delivered"/>
    <n v="3570"/>
    <n v="24.247058823529411"/>
    <s v="Profit"/>
    <s v="Akash Kulkarni"/>
    <x v="0"/>
    <x v="0"/>
    <s v="Bengaluru"/>
    <s v="Karnataka"/>
    <s v="2023-09-01"/>
    <s v="36-50"/>
    <n v="865.62"/>
  </r>
  <r>
    <s v="ORD00923"/>
    <d v="2025-09-08T00:00:00"/>
    <s v="CUST0169"/>
    <x v="1"/>
    <x v="13"/>
    <n v="2"/>
    <n v="0.15"/>
    <n v="7140"/>
    <n v="1331.37"/>
    <x v="2"/>
    <s v="Delivered"/>
    <n v="3570"/>
    <n v="18.64663865546218"/>
    <s v="Profit"/>
    <s v="Sneha Bose"/>
    <x v="0"/>
    <x v="0"/>
    <s v="Hyderabad"/>
    <s v="Telangana"/>
    <s v="2024-09-10"/>
    <s v="26-35"/>
    <n v="665.68499999999995"/>
  </r>
  <r>
    <s v="ORD00924"/>
    <d v="2025-12-31T00:00:00"/>
    <s v="CUST0071"/>
    <x v="2"/>
    <x v="9"/>
    <n v="2"/>
    <n v="0.15"/>
    <n v="15300"/>
    <n v="2879.27"/>
    <x v="1"/>
    <s v="Delivered"/>
    <n v="7650"/>
    <n v="18.81875816993464"/>
    <s v="Profit"/>
    <s v="Sneha Nair"/>
    <x v="1"/>
    <x v="2"/>
    <s v="Jaipur"/>
    <s v="Rajasthan"/>
    <s v="2025-08-08"/>
    <s v="26-35"/>
    <n v="1439.635"/>
  </r>
  <r>
    <s v="ORD00925"/>
    <d v="2026-04-11T00:00:00"/>
    <s v="CUST0021"/>
    <x v="2"/>
    <x v="9"/>
    <n v="4"/>
    <n v="0.15"/>
    <n v="30600"/>
    <n v="5010.82"/>
    <x v="1"/>
    <s v="Delivered"/>
    <n v="7650"/>
    <n v="16.375228758169929"/>
    <s v="Profit"/>
    <s v="Varun Nair"/>
    <x v="2"/>
    <x v="1"/>
    <s v="Ahmedabad"/>
    <s v="Gujarat"/>
    <s v="2025-11-12"/>
    <s v="36-50"/>
    <n v="1252.7049999999999"/>
  </r>
  <r>
    <s v="ORD00926"/>
    <d v="2026-06-01T00:00:00"/>
    <s v="CUST0094"/>
    <x v="3"/>
    <x v="11"/>
    <n v="4"/>
    <n v="0"/>
    <n v="10000"/>
    <n v="3200"/>
    <x v="1"/>
    <s v="Delivered"/>
    <n v="2500"/>
    <n v="32"/>
    <s v="Profit"/>
    <s v="Akash Joshi"/>
    <x v="1"/>
    <x v="3"/>
    <s v="Kolkata"/>
    <s v="West Bengal"/>
    <s v="2025-06-22"/>
    <s v="36-50"/>
    <n v="800"/>
  </r>
  <r>
    <s v="ORD00927"/>
    <d v="2025-07-06T00:00:00"/>
    <s v="CUST0301"/>
    <x v="0"/>
    <x v="6"/>
    <n v="1"/>
    <n v="0.15"/>
    <n v="297.5"/>
    <n v="82.97"/>
    <x v="0"/>
    <s v="Delivered"/>
    <n v="297.5"/>
    <n v="27.889075630252101"/>
    <s v="Profit"/>
    <s v="Pooja Bose"/>
    <x v="0"/>
    <x v="0"/>
    <s v="Bengaluru"/>
    <s v="Karnataka"/>
    <s v="2025-11-12"/>
    <s v="26-35"/>
    <n v="82.97"/>
  </r>
  <r>
    <s v="ORD00928"/>
    <d v="2025-12-17T00:00:00"/>
    <s v="CUST0217"/>
    <x v="1"/>
    <x v="12"/>
    <n v="2"/>
    <n v="0.3"/>
    <n v="1960"/>
    <n v="411.64"/>
    <x v="2"/>
    <s v="Delivered"/>
    <n v="980"/>
    <n v="21.002040816326531"/>
    <s v="Profit"/>
    <s v="Pooja Mehta"/>
    <x v="0"/>
    <x v="0"/>
    <s v="Hyderabad"/>
    <s v="Telangana"/>
    <s v="2024-11-14"/>
    <s v="51+"/>
    <n v="205.82"/>
  </r>
  <r>
    <s v="ORD00929"/>
    <d v="2025-09-18T00:00:00"/>
    <s v="CUST0238"/>
    <x v="0"/>
    <x v="0"/>
    <n v="2"/>
    <n v="0"/>
    <n v="28000"/>
    <n v="5600"/>
    <x v="1"/>
    <s v="Delivered"/>
    <n v="14000"/>
    <n v="20"/>
    <s v="Profit"/>
    <s v="Vikram Sharma"/>
    <x v="2"/>
    <x v="0"/>
    <s v="Bengaluru"/>
    <s v="Karnataka"/>
    <s v="2025-03-30"/>
    <s v="26-35"/>
    <n v="2800"/>
  </r>
  <r>
    <s v="ORD00930"/>
    <d v="2025-11-15T00:00:00"/>
    <s v="CUST0168"/>
    <x v="3"/>
    <x v="11"/>
    <n v="3"/>
    <n v="0"/>
    <n v="7500"/>
    <n v="2400"/>
    <x v="3"/>
    <s v="Delivered"/>
    <n v="2500"/>
    <n v="32"/>
    <s v="Profit"/>
    <s v="Shreya Sharma"/>
    <x v="1"/>
    <x v="1"/>
    <s v="Ahmedabad"/>
    <s v="Gujarat"/>
    <s v="2025-04-13"/>
    <s v="51+"/>
    <n v="800"/>
  </r>
  <r>
    <s v="ORD00931"/>
    <d v="2026-01-06T00:00:00"/>
    <s v="CUST0245"/>
    <x v="0"/>
    <x v="0"/>
    <n v="5"/>
    <n v="0.1"/>
    <n v="63000"/>
    <n v="10121.25"/>
    <x v="0"/>
    <s v="Delivered"/>
    <n v="12600"/>
    <n v="16.06547619047619"/>
    <s v="Profit"/>
    <s v="Shreya Sharma"/>
    <x v="0"/>
    <x v="2"/>
    <s v="Lucknow"/>
    <s v="Uttar Pradesh"/>
    <s v="2024-04-20"/>
    <s v="51+"/>
    <n v="2024.25"/>
  </r>
  <r>
    <s v="ORD00932"/>
    <d v="2025-12-16T00:00:00"/>
    <s v="CUST0170"/>
    <x v="3"/>
    <x v="10"/>
    <n v="3"/>
    <n v="0.05"/>
    <n v="156750"/>
    <n v="21712.27"/>
    <x v="1"/>
    <s v="Delivered"/>
    <n v="52250"/>
    <n v="13.85152791068581"/>
    <s v="Profit"/>
    <s v="Meera Iyer"/>
    <x v="2"/>
    <x v="0"/>
    <s v="Hyderabad"/>
    <s v="Telangana"/>
    <s v="2025-04-02"/>
    <s v="36-50"/>
    <n v="7237.4233333333332"/>
  </r>
  <r>
    <s v="ORD00933"/>
    <d v="2026-07-12T00:00:00"/>
    <s v="CUST0231"/>
    <x v="1"/>
    <x v="15"/>
    <n v="2"/>
    <n v="0.1"/>
    <n v="3960"/>
    <n v="1240.3"/>
    <x v="2"/>
    <s v="Delivered"/>
    <n v="1980"/>
    <n v="31.320707070707069"/>
    <s v="Profit"/>
    <s v="Rahul Rao"/>
    <x v="0"/>
    <x v="3"/>
    <s v="Guwahati"/>
    <s v="Assam"/>
    <s v="2024-11-22"/>
    <s v="36-50"/>
    <n v="620.15"/>
  </r>
  <r>
    <s v="ORD00934"/>
    <d v="2025-10-09T00:00:00"/>
    <s v="CUST0263"/>
    <x v="3"/>
    <x v="10"/>
    <n v="2"/>
    <n v="0.1"/>
    <n v="99000"/>
    <n v="11297.6"/>
    <x v="1"/>
    <s v="Delivered"/>
    <n v="49500"/>
    <n v="11.41171717171717"/>
    <s v="Profit"/>
    <s v="Priya Khan"/>
    <x v="0"/>
    <x v="3"/>
    <s v="Kolkata"/>
    <s v="West Bengal"/>
    <s v="2025-03-25"/>
    <s v="26-35"/>
    <n v="5648.8"/>
  </r>
  <r>
    <s v="ORD00935"/>
    <d v="2025-07-25T00:00:00"/>
    <s v="CUST0067"/>
    <x v="2"/>
    <x v="2"/>
    <n v="1"/>
    <n v="0.15"/>
    <n v="11050"/>
    <n v="2201.77"/>
    <x v="3"/>
    <s v="Delivered"/>
    <n v="11050"/>
    <n v="19.925520361990952"/>
    <s v="Profit"/>
    <s v="Varun Joshi"/>
    <x v="0"/>
    <x v="0"/>
    <s v="Chennai"/>
    <s v="Tamil Nadu"/>
    <s v="2024-10-29"/>
    <s v="26-35"/>
    <n v="2201.77"/>
  </r>
  <r>
    <s v="ORD00936"/>
    <d v="2025-10-18T00:00:00"/>
    <s v="CUST0252"/>
    <x v="1"/>
    <x v="1"/>
    <n v="2"/>
    <n v="0"/>
    <n v="3600"/>
    <n v="1300"/>
    <x v="2"/>
    <s v="Delivered"/>
    <n v="1800"/>
    <n v="36.111111111111107"/>
    <s v="Profit"/>
    <s v="Ishaan Pillai"/>
    <x v="0"/>
    <x v="0"/>
    <s v="Coimbatore"/>
    <s v="Tamil Nadu"/>
    <s v="2024-06-19"/>
    <s v="36-50"/>
    <n v="650"/>
  </r>
  <r>
    <s v="ORD00937"/>
    <d v="2025-07-12T00:00:00"/>
    <s v="CUST0533"/>
    <x v="0"/>
    <x v="14"/>
    <n v="3"/>
    <n v="0"/>
    <n v="1350"/>
    <n v="330"/>
    <x v="0"/>
    <s v="Delivered"/>
    <n v="450"/>
    <n v="24.444444444444439"/>
    <s v="Profit"/>
    <s v="Sneha Pillai"/>
    <x v="0"/>
    <x v="1"/>
    <s v="Pune"/>
    <s v="Maharashtra"/>
    <s v="2023-06-15"/>
    <s v="18-25"/>
    <n v="110"/>
  </r>
  <r>
    <s v="ORD00938"/>
    <d v="2026-02-18T00:00:00"/>
    <s v="CUST0084"/>
    <x v="0"/>
    <x v="7"/>
    <n v="1"/>
    <n v="0.05"/>
    <n v="855"/>
    <n v="251.57"/>
    <x v="2"/>
    <s v="Delivered"/>
    <n v="855"/>
    <n v="29.4233918128655"/>
    <s v="Profit"/>
    <s v="Meera Menon"/>
    <x v="1"/>
    <x v="1"/>
    <s v="Mumbai"/>
    <s v="Maharashtra"/>
    <s v="2023-11-10"/>
    <s v="18-25"/>
    <n v="251.57"/>
  </r>
  <r>
    <s v="ORD00939"/>
    <d v="2025-10-05T00:00:00"/>
    <s v="CUST0039"/>
    <x v="3"/>
    <x v="10"/>
    <n v="1"/>
    <n v="0.15"/>
    <n v="46750"/>
    <n v="5167.29"/>
    <x v="0"/>
    <s v="Delivered"/>
    <n v="46750"/>
    <n v="11.05302673796791"/>
    <s v="Profit"/>
    <s v="Varun Joshi"/>
    <x v="0"/>
    <x v="0"/>
    <s v="Coimbatore"/>
    <s v="Tamil Nadu"/>
    <s v="2025-08-21"/>
    <s v="51+"/>
    <n v="5167.29"/>
  </r>
  <r>
    <s v="ORD00940"/>
    <d v="2026-03-01T00:00:00"/>
    <s v="CUST0473"/>
    <x v="1"/>
    <x v="12"/>
    <n v="4"/>
    <n v="0.2"/>
    <n v="4480"/>
    <n v="-974.48"/>
    <x v="0"/>
    <s v="Cancelled"/>
    <n v="1120"/>
    <n v="-21.75178571428572"/>
    <s v="Loss"/>
    <s v="Ananya Rao"/>
    <x v="2"/>
    <x v="2"/>
    <s v="Chandigarh"/>
    <s v="Chandigarh"/>
    <s v="2025-12-18"/>
    <s v="51+"/>
    <n v="-243.62"/>
  </r>
  <r>
    <s v="ORD00941"/>
    <d v="2026-03-28T00:00:00"/>
    <s v="CUST0332"/>
    <x v="3"/>
    <x v="4"/>
    <n v="2"/>
    <n v="0"/>
    <n v="36000"/>
    <n v="7000"/>
    <x v="2"/>
    <s v="Delivered"/>
    <n v="18000"/>
    <n v="19.44444444444445"/>
    <s v="Profit"/>
    <s v="Vikram Rao"/>
    <x v="1"/>
    <x v="0"/>
    <s v="Coimbatore"/>
    <s v="Tamil Nadu"/>
    <s v="2023-07-04"/>
    <s v="26-35"/>
    <n v="3500"/>
  </r>
  <r>
    <s v="ORD00942"/>
    <d v="2025-09-20T00:00:00"/>
    <s v="CUST0315"/>
    <x v="0"/>
    <x v="0"/>
    <n v="4"/>
    <n v="0.15"/>
    <n v="47600"/>
    <n v="5010.26"/>
    <x v="2"/>
    <s v="Delivered"/>
    <n v="11900"/>
    <n v="10.52575630252101"/>
    <s v="Profit"/>
    <s v="Harini Verma"/>
    <x v="0"/>
    <x v="0"/>
    <s v="Coimbatore"/>
    <s v="Tamil Nadu"/>
    <s v="2024-10-22"/>
    <s v="18-25"/>
    <n v="1252.5650000000001"/>
  </r>
  <r>
    <s v="ORD00943"/>
    <d v="2026-01-12T00:00:00"/>
    <s v="CUST0003"/>
    <x v="3"/>
    <x v="10"/>
    <n v="3"/>
    <n v="0.2"/>
    <n v="132000"/>
    <n v="5867.34"/>
    <x v="0"/>
    <s v="Delivered"/>
    <n v="44000"/>
    <n v="4.4449545454545456"/>
    <s v="Profit"/>
    <s v="Sanjay Mehta"/>
    <x v="2"/>
    <x v="1"/>
    <s v="Ahmedabad"/>
    <s v="Gujarat"/>
    <s v="2025-05-11"/>
    <s v="26-35"/>
    <n v="1955.78"/>
  </r>
  <r>
    <s v="ORD00944"/>
    <d v="2025-10-04T00:00:00"/>
    <s v="CUST0234"/>
    <x v="2"/>
    <x v="9"/>
    <n v="3"/>
    <n v="0"/>
    <n v="27000"/>
    <n v="6900"/>
    <x v="1"/>
    <s v="Delivered"/>
    <n v="9000"/>
    <n v="25.55555555555555"/>
    <s v="Profit"/>
    <s v="Ishaan Sharma"/>
    <x v="0"/>
    <x v="4"/>
    <s v="Jaipur"/>
    <s v="Rajasthan"/>
    <s v="2024-04-02"/>
    <s v="26-35"/>
    <n v="2300"/>
  </r>
  <r>
    <s v="ORD00945"/>
    <d v="2026-04-30T00:00:00"/>
    <s v="CUST0301"/>
    <x v="0"/>
    <x v="0"/>
    <n v="1"/>
    <n v="0.1"/>
    <n v="12600"/>
    <n v="1997.26"/>
    <x v="1"/>
    <s v="Delivered"/>
    <n v="12600"/>
    <n v="15.85126984126984"/>
    <s v="Profit"/>
    <s v="Pooja Bose"/>
    <x v="0"/>
    <x v="0"/>
    <s v="Bengaluru"/>
    <s v="Karnataka"/>
    <s v="2025-11-12"/>
    <s v="26-35"/>
    <n v="1997.26"/>
  </r>
  <r>
    <s v="ORD00946"/>
    <d v="2025-10-15T00:00:00"/>
    <s v="CUST0452"/>
    <x v="0"/>
    <x v="14"/>
    <n v="4"/>
    <n v="0.05"/>
    <n v="1710"/>
    <n v="376.6"/>
    <x v="2"/>
    <s v="Delivered"/>
    <n v="427.5"/>
    <n v="22.023391812865501"/>
    <s v="Profit"/>
    <s v="Varun Das"/>
    <x v="0"/>
    <x v="2"/>
    <s v="Lucknow"/>
    <s v="Uttar Pradesh"/>
    <s v="2024-09-25"/>
    <s v="36-50"/>
    <n v="94.15"/>
  </r>
  <r>
    <s v="ORD00947"/>
    <d v="2025-09-05T00:00:00"/>
    <s v="CUST0182"/>
    <x v="2"/>
    <x v="3"/>
    <n v="3"/>
    <n v="0.2"/>
    <n v="36000"/>
    <n v="3914.08"/>
    <x v="3"/>
    <s v="Shipped"/>
    <n v="12000"/>
    <n v="10.87244444444444"/>
    <s v="Profit"/>
    <s v="Shreya Iyer"/>
    <x v="2"/>
    <x v="3"/>
    <s v="Patna"/>
    <s v="Bihar"/>
    <s v="2023-07-03"/>
    <s v="36-50"/>
    <n v="1304.6933333333329"/>
  </r>
  <r>
    <s v="ORD00948"/>
    <d v="2025-10-04T00:00:00"/>
    <s v="CUST0387"/>
    <x v="0"/>
    <x v="6"/>
    <n v="3"/>
    <n v="0.2"/>
    <n v="840"/>
    <n v="199.34"/>
    <x v="1"/>
    <s v="Delivered"/>
    <n v="280"/>
    <n v="23.730952380952381"/>
    <s v="Profit"/>
    <s v="Varun Kulkarni"/>
    <x v="0"/>
    <x v="1"/>
    <s v="Pune"/>
    <s v="Maharashtra"/>
    <s v="2024-04-15"/>
    <s v="18-25"/>
    <n v="66.446666666666673"/>
  </r>
  <r>
    <s v="ORD00949"/>
    <d v="2026-03-20T00:00:00"/>
    <s v="CUST0141"/>
    <x v="2"/>
    <x v="2"/>
    <n v="2"/>
    <n v="0.05"/>
    <n v="24700"/>
    <n v="5520.84"/>
    <x v="1"/>
    <s v="Delivered"/>
    <n v="12350"/>
    <n v="22.35157894736842"/>
    <s v="Profit"/>
    <s v="Kavya Reddy"/>
    <x v="2"/>
    <x v="0"/>
    <s v="Bengaluru"/>
    <s v="Karnataka"/>
    <s v="2023-09-02"/>
    <s v="26-35"/>
    <n v="2760.42"/>
  </r>
  <r>
    <s v="ORD00950"/>
    <d v="2026-07-15T00:00:00"/>
    <s v="CUST0256"/>
    <x v="1"/>
    <x v="12"/>
    <n v="3"/>
    <n v="0.15"/>
    <n v="3570"/>
    <n v="1165.72"/>
    <x v="1"/>
    <s v="Delivered"/>
    <n v="1190"/>
    <n v="32.653221288515397"/>
    <s v="Profit"/>
    <s v="Karthik Singh"/>
    <x v="0"/>
    <x v="0"/>
    <s v="Chennai"/>
    <s v="Tamil Nadu"/>
    <s v="2024-11-27"/>
    <s v="26-35"/>
    <n v="388.57333333333332"/>
  </r>
  <r>
    <s v="ORD00951"/>
    <d v="2025-08-05T00:00:00"/>
    <s v="CUST0423"/>
    <x v="3"/>
    <x v="4"/>
    <n v="5"/>
    <n v="0"/>
    <n v="90000"/>
    <n v="17500"/>
    <x v="1"/>
    <s v="Delivered"/>
    <n v="18000"/>
    <n v="19.44444444444445"/>
    <s v="Profit"/>
    <s v="Rohan Nair"/>
    <x v="0"/>
    <x v="2"/>
    <s v="Chandigarh"/>
    <s v="Chandigarh"/>
    <s v="2023-06-08"/>
    <s v="51+"/>
    <n v="3500"/>
  </r>
  <r>
    <s v="ORD00952"/>
    <d v="2025-09-01T00:00:00"/>
    <s v="CUST0431"/>
    <x v="3"/>
    <x v="10"/>
    <n v="5"/>
    <n v="0"/>
    <n v="275000"/>
    <n v="45000"/>
    <x v="2"/>
    <s v="Delivered"/>
    <n v="55000"/>
    <n v="16.36363636363636"/>
    <s v="Profit"/>
    <s v="Manoj Naidu"/>
    <x v="1"/>
    <x v="0"/>
    <s v="Bengaluru"/>
    <s v="Karnataka"/>
    <s v="2023-01-16"/>
    <s v="36-50"/>
    <n v="9000"/>
  </r>
  <r>
    <s v="ORD00953"/>
    <d v="2025-10-14T00:00:00"/>
    <s v="CUST0051"/>
    <x v="2"/>
    <x v="5"/>
    <n v="1"/>
    <n v="0"/>
    <n v="11000"/>
    <n v="2600"/>
    <x v="1"/>
    <s v="Delivered"/>
    <n v="11000"/>
    <n v="23.63636363636364"/>
    <s v="Profit"/>
    <s v="Aditya Sharma"/>
    <x v="0"/>
    <x v="3"/>
    <s v="Guwahati"/>
    <s v="Assam"/>
    <s v="2025-06-30"/>
    <s v="26-35"/>
    <n v="2600"/>
  </r>
  <r>
    <s v="ORD00954"/>
    <d v="2025-08-17T00:00:00"/>
    <s v="CUST0488"/>
    <x v="0"/>
    <x v="7"/>
    <n v="2"/>
    <n v="0.05"/>
    <n v="1710"/>
    <n v="508.34"/>
    <x v="2"/>
    <s v="Delivered"/>
    <n v="855"/>
    <n v="29.72748538011696"/>
    <s v="Profit"/>
    <s v="Rohan Chopra"/>
    <x v="2"/>
    <x v="1"/>
    <s v="Surat"/>
    <s v="Gujarat"/>
    <s v="2025-09-23"/>
    <s v="26-35"/>
    <n v="254.17"/>
  </r>
  <r>
    <s v="ORD00955"/>
    <d v="2026-04-24T00:00:00"/>
    <s v="CUST0195"/>
    <x v="3"/>
    <x v="10"/>
    <n v="1"/>
    <n v="0.1"/>
    <n v="49500"/>
    <n v="4410.79"/>
    <x v="3"/>
    <s v="Shipped"/>
    <n v="49500"/>
    <n v="8.9106868686868701"/>
    <s v="Profit"/>
    <s v="Nisha Kulkarni"/>
    <x v="1"/>
    <x v="0"/>
    <s v="Coimbatore"/>
    <s v="Tamil Nadu"/>
    <s v="2024-04-23"/>
    <s v="18-25"/>
    <n v="4410.79"/>
  </r>
  <r>
    <s v="ORD00956"/>
    <d v="2026-03-23T00:00:00"/>
    <s v="CUST0073"/>
    <x v="1"/>
    <x v="13"/>
    <n v="1"/>
    <n v="0.15"/>
    <n v="3570"/>
    <n v="888.02"/>
    <x v="2"/>
    <s v="Shipped"/>
    <n v="3570"/>
    <n v="24.874509803921569"/>
    <s v="Profit"/>
    <s v="Kavya Pillai"/>
    <x v="0"/>
    <x v="0"/>
    <s v="Hyderabad"/>
    <s v="Telangana"/>
    <s v="2023-04-01"/>
    <s v="26-35"/>
    <n v="888.02"/>
  </r>
  <r>
    <s v="ORD00957"/>
    <d v="2026-07-01T00:00:00"/>
    <s v="CUST0080"/>
    <x v="2"/>
    <x v="9"/>
    <n v="2"/>
    <n v="0.05"/>
    <n v="17100"/>
    <n v="-1760.57"/>
    <x v="2"/>
    <s v="Returned"/>
    <n v="8550"/>
    <n v="-10.29573099415205"/>
    <s v="Loss"/>
    <s v="Vikram Verma"/>
    <x v="1"/>
    <x v="3"/>
    <s v="Patna"/>
    <s v="Bihar"/>
    <s v="2024-09-20"/>
    <s v="51+"/>
    <n v="-880.28499999999997"/>
  </r>
  <r>
    <s v="ORD00958"/>
    <d v="2025-08-09T00:00:00"/>
    <s v="CUST0569"/>
    <x v="3"/>
    <x v="11"/>
    <n v="2"/>
    <n v="0"/>
    <n v="5000"/>
    <n v="1600"/>
    <x v="0"/>
    <s v="Delivered"/>
    <n v="2500"/>
    <n v="32"/>
    <s v="Profit"/>
    <s v="Arjun Menon"/>
    <x v="2"/>
    <x v="1"/>
    <s v="Ahmedabad"/>
    <s v="Gujarat"/>
    <s v="2023-09-24"/>
    <s v="26-35"/>
    <n v="800"/>
  </r>
  <r>
    <s v="ORD00959"/>
    <d v="2025-08-10T00:00:00"/>
    <s v="CUST0501"/>
    <x v="2"/>
    <x v="2"/>
    <n v="3"/>
    <n v="0.05"/>
    <n v="37050"/>
    <n v="8378.65"/>
    <x v="1"/>
    <s v="Delivered"/>
    <n v="12350"/>
    <n v="22.614439946018891"/>
    <s v="Profit"/>
    <s v="Rahul Pillai"/>
    <x v="1"/>
    <x v="0"/>
    <s v="Bengaluru"/>
    <s v="Karnataka"/>
    <s v="2024-03-13"/>
    <s v="36-50"/>
    <n v="2792.8833333333332"/>
  </r>
  <r>
    <s v="ORD00960"/>
    <d v="2025-09-27T00:00:00"/>
    <s v="CUST0281"/>
    <x v="2"/>
    <x v="9"/>
    <n v="2"/>
    <n v="0.15"/>
    <n v="15300"/>
    <n v="3306.24"/>
    <x v="0"/>
    <s v="Delivered"/>
    <n v="7650"/>
    <n v="21.609411764705879"/>
    <s v="Profit"/>
    <s v="Divya Reddy"/>
    <x v="0"/>
    <x v="0"/>
    <s v="Coimbatore"/>
    <s v="Tamil Nadu"/>
    <s v="2025-04-27"/>
    <s v="36-50"/>
    <n v="1653.12"/>
  </r>
  <r>
    <s v="ORD00961"/>
    <d v="2026-06-11T00:00:00"/>
    <s v="CUST0289"/>
    <x v="1"/>
    <x v="13"/>
    <n v="1"/>
    <n v="0"/>
    <n v="4200"/>
    <n v="1200"/>
    <x v="2"/>
    <s v="Delivered"/>
    <n v="4200"/>
    <n v="28.571428571428569"/>
    <s v="Profit"/>
    <s v="Rahul Iyer"/>
    <x v="2"/>
    <x v="0"/>
    <s v="Coimbatore"/>
    <s v="Tamil Nadu"/>
    <s v="2023-01-07"/>
    <s v="18-25"/>
    <n v="1200"/>
  </r>
  <r>
    <s v="ORD00962"/>
    <d v="2026-03-16T00:00:00"/>
    <s v="CUST0256"/>
    <x v="2"/>
    <x v="2"/>
    <n v="1"/>
    <n v="0.1"/>
    <n v="11700"/>
    <n v="2291.73"/>
    <x v="3"/>
    <s v="Shipped"/>
    <n v="11700"/>
    <n v="19.587435897435899"/>
    <s v="Profit"/>
    <s v="Karthik Singh"/>
    <x v="0"/>
    <x v="0"/>
    <s v="Chennai"/>
    <s v="Tamil Nadu"/>
    <s v="2024-11-27"/>
    <s v="26-35"/>
    <n v="2291.73"/>
  </r>
  <r>
    <s v="ORD00963"/>
    <d v="2025-12-03T00:00:00"/>
    <s v="CUST0594"/>
    <x v="3"/>
    <x v="11"/>
    <n v="3"/>
    <n v="0"/>
    <n v="7500"/>
    <n v="-1609.55"/>
    <x v="1"/>
    <s v="Returned"/>
    <n v="2500"/>
    <n v="-21.460666666666668"/>
    <s v="Loss"/>
    <s v="Ishaan Bose"/>
    <x v="1"/>
    <x v="0"/>
    <s v="Coimbatore"/>
    <s v="Tamil Nadu"/>
    <s v="2024-06-29"/>
    <s v="51+"/>
    <n v="-536.51666666666665"/>
  </r>
  <r>
    <s v="ORD00964"/>
    <d v="2025-11-16T00:00:00"/>
    <s v="CUST0576"/>
    <x v="0"/>
    <x v="7"/>
    <n v="2"/>
    <n v="0.15"/>
    <n v="1530"/>
    <n v="349.98"/>
    <x v="2"/>
    <s v="Delivered"/>
    <n v="765"/>
    <n v="22.874509803921569"/>
    <s v="Profit"/>
    <s v="Harini Pillai"/>
    <x v="0"/>
    <x v="0"/>
    <s v="Hyderabad"/>
    <s v="Telangana"/>
    <s v="2023-05-25"/>
    <s v="26-35"/>
    <n v="174.99"/>
  </r>
  <r>
    <s v="ORD00965"/>
    <d v="2025-11-16T00:00:00"/>
    <s v="CUST0030"/>
    <x v="1"/>
    <x v="12"/>
    <n v="1"/>
    <n v="0"/>
    <n v="1400"/>
    <n v="500"/>
    <x v="0"/>
    <s v="Shipped"/>
    <n v="1400"/>
    <n v="35.714285714285722"/>
    <s v="Profit"/>
    <s v="Rahul Sharma"/>
    <x v="0"/>
    <x v="1"/>
    <s v="Mumbai"/>
    <s v="Maharashtra"/>
    <s v="2025-03-19"/>
    <s v="36-50"/>
    <n v="500"/>
  </r>
  <r>
    <s v="ORD00966"/>
    <d v="2025-11-16T00:00:00"/>
    <s v="CUST0283"/>
    <x v="1"/>
    <x v="1"/>
    <n v="3"/>
    <n v="0.05"/>
    <n v="5130"/>
    <n v="1806.97"/>
    <x v="0"/>
    <s v="Delivered"/>
    <n v="1710"/>
    <n v="35.223586744639377"/>
    <s v="Profit"/>
    <s v="Manoj Gupta"/>
    <x v="0"/>
    <x v="1"/>
    <s v="Surat"/>
    <s v="Gujarat"/>
    <s v="2025-04-15"/>
    <s v="36-50"/>
    <n v="602.32333333333338"/>
  </r>
  <r>
    <s v="ORD00967"/>
    <d v="2026-08-05T00:00:00"/>
    <s v="CUST0432"/>
    <x v="2"/>
    <x v="3"/>
    <n v="3"/>
    <n v="0.05"/>
    <n v="42750"/>
    <n v="8674.08"/>
    <x v="0"/>
    <s v="Delivered"/>
    <n v="14250"/>
    <n v="20.29024561403509"/>
    <s v="Profit"/>
    <s v="Pooja Singh"/>
    <x v="1"/>
    <x v="0"/>
    <s v="Coimbatore"/>
    <s v="Tamil Nadu"/>
    <s v="2023-02-17"/>
    <s v="18-25"/>
    <n v="2891.36"/>
  </r>
  <r>
    <s v="ORD00968"/>
    <d v="2026-07-21T00:00:00"/>
    <s v="CUST0195"/>
    <x v="0"/>
    <x v="6"/>
    <n v="2"/>
    <n v="0"/>
    <n v="700"/>
    <n v="240"/>
    <x v="0"/>
    <s v="Delivered"/>
    <n v="350"/>
    <n v="34.285714285714278"/>
    <s v="Profit"/>
    <s v="Nisha Kulkarni"/>
    <x v="1"/>
    <x v="0"/>
    <s v="Coimbatore"/>
    <s v="Tamil Nadu"/>
    <s v="2024-04-23"/>
    <s v="18-25"/>
    <n v="120"/>
  </r>
  <r>
    <s v="ORD00969"/>
    <d v="2026-04-05T00:00:00"/>
    <s v="CUST0380"/>
    <x v="3"/>
    <x v="11"/>
    <n v="6"/>
    <n v="0.05"/>
    <n v="14250"/>
    <n v="4322.45"/>
    <x v="2"/>
    <s v="Delivered"/>
    <n v="2375"/>
    <n v="30.33298245614035"/>
    <s v="Profit"/>
    <s v="Arjun Sharma"/>
    <x v="2"/>
    <x v="1"/>
    <s v="Surat"/>
    <s v="Gujarat"/>
    <s v="2024-07-24"/>
    <s v="36-50"/>
    <n v="720.4083333333333"/>
  </r>
  <r>
    <s v="ORD00970"/>
    <d v="2025-09-03T00:00:00"/>
    <s v="CUST0280"/>
    <x v="1"/>
    <x v="15"/>
    <n v="1"/>
    <n v="0.15"/>
    <n v="1870"/>
    <n v="551.64"/>
    <x v="1"/>
    <s v="Shipped"/>
    <n v="1870"/>
    <n v="29.499465240641712"/>
    <s v="Profit"/>
    <s v="Vikram Kulkarni"/>
    <x v="0"/>
    <x v="1"/>
    <s v="Mumbai"/>
    <s v="Maharashtra"/>
    <s v="2025-06-23"/>
    <s v="26-35"/>
    <n v="551.64"/>
  </r>
  <r>
    <s v="ORD00971"/>
    <d v="2026-03-26T00:00:00"/>
    <s v="CUST0362"/>
    <x v="2"/>
    <x v="2"/>
    <n v="4"/>
    <n v="0.2"/>
    <n v="41600"/>
    <n v="5538.29"/>
    <x v="1"/>
    <s v="Shipped"/>
    <n v="10400"/>
    <n v="13.313197115384609"/>
    <s v="Profit"/>
    <s v="Karthik Joshi"/>
    <x v="0"/>
    <x v="0"/>
    <s v="Coimbatore"/>
    <s v="Tamil Nadu"/>
    <s v="2025-09-08"/>
    <s v="26-35"/>
    <n v="1384.5725"/>
  </r>
  <r>
    <s v="ORD00972"/>
    <d v="2026-05-09T00:00:00"/>
    <s v="CUST0020"/>
    <x v="1"/>
    <x v="13"/>
    <n v="2"/>
    <n v="0.1"/>
    <n v="7560"/>
    <n v="1892.86"/>
    <x v="2"/>
    <s v="Delivered"/>
    <n v="3780"/>
    <n v="25.037830687830692"/>
    <s v="Profit"/>
    <s v="Aarav Pillai"/>
    <x v="0"/>
    <x v="2"/>
    <s v="Lucknow"/>
    <s v="Uttar Pradesh"/>
    <s v="2025-11-30"/>
    <s v="26-35"/>
    <n v="946.43"/>
  </r>
  <r>
    <s v="ORD00973"/>
    <d v="2025-09-22T00:00:00"/>
    <s v="CUST0556"/>
    <x v="3"/>
    <x v="8"/>
    <n v="1"/>
    <n v="0.05"/>
    <n v="4275"/>
    <n v="1380.38"/>
    <x v="3"/>
    <s v="Shipped"/>
    <n v="4275"/>
    <n v="32.289590643274863"/>
    <s v="Profit"/>
    <s v="Karthik Chopra"/>
    <x v="0"/>
    <x v="0"/>
    <s v="Coimbatore"/>
    <s v="Tamil Nadu"/>
    <s v="2024-08-09"/>
    <s v="26-35"/>
    <n v="1380.38"/>
  </r>
  <r>
    <s v="ORD00974"/>
    <d v="2025-08-24T00:00:00"/>
    <s v="CUST0089"/>
    <x v="3"/>
    <x v="8"/>
    <n v="2"/>
    <n v="0"/>
    <n v="9000"/>
    <n v="3000"/>
    <x v="3"/>
    <s v="Shipped"/>
    <n v="4500"/>
    <n v="33.333333333333329"/>
    <s v="Profit"/>
    <s v="Akash Gupta"/>
    <x v="2"/>
    <x v="2"/>
    <s v="Jaipur"/>
    <s v="Rajasthan"/>
    <s v="2025-10-05"/>
    <s v="26-35"/>
    <n v="1500"/>
  </r>
  <r>
    <s v="ORD00975"/>
    <d v="2025-12-08T00:00:00"/>
    <s v="CUST0120"/>
    <x v="2"/>
    <x v="3"/>
    <n v="3"/>
    <n v="0.1"/>
    <n v="40500"/>
    <n v="7642.07"/>
    <x v="0"/>
    <s v="Delivered"/>
    <n v="13500"/>
    <n v="18.869308641975309"/>
    <s v="Profit"/>
    <s v="Sanjay Sharma"/>
    <x v="2"/>
    <x v="0"/>
    <s v="Bengaluru"/>
    <s v="Karnataka"/>
    <s v="2024-05-20"/>
    <s v="26-35"/>
    <n v="2547.356666666667"/>
  </r>
  <r>
    <s v="ORD00976"/>
    <d v="2025-08-26T00:00:00"/>
    <s v="CUST0337"/>
    <x v="0"/>
    <x v="14"/>
    <n v="1"/>
    <n v="0.15"/>
    <n v="382.5"/>
    <n v="-190.19"/>
    <x v="2"/>
    <s v="Cancelled"/>
    <n v="382.5"/>
    <n v="-49.722875816993472"/>
    <s v="Loss"/>
    <s v="Varun Das"/>
    <x v="1"/>
    <x v="3"/>
    <s v="Kolkata"/>
    <s v="West Bengal"/>
    <s v="2023-06-16"/>
    <s v="51+"/>
    <n v="-190.19"/>
  </r>
  <r>
    <s v="ORD00977"/>
    <d v="2025-10-06T00:00:00"/>
    <s v="CUST0355"/>
    <x v="2"/>
    <x v="3"/>
    <n v="6"/>
    <n v="0"/>
    <n v="90000"/>
    <n v="21000"/>
    <x v="3"/>
    <s v="Delivered"/>
    <n v="15000"/>
    <n v="23.333333333333329"/>
    <s v="Profit"/>
    <s v="Harini Bose"/>
    <x v="0"/>
    <x v="2"/>
    <s v="Jaipur"/>
    <s v="Rajasthan"/>
    <s v="2025-01-22"/>
    <s v="26-35"/>
    <n v="3500"/>
  </r>
  <r>
    <s v="ORD00978"/>
    <d v="2025-12-19T00:00:00"/>
    <s v="CUST0483"/>
    <x v="1"/>
    <x v="13"/>
    <n v="5"/>
    <n v="0.2"/>
    <n v="16800"/>
    <n v="3232.95"/>
    <x v="0"/>
    <s v="Delivered"/>
    <n v="3360"/>
    <n v="19.243749999999999"/>
    <s v="Profit"/>
    <s v="Harini Rao"/>
    <x v="2"/>
    <x v="0"/>
    <s v="Bengaluru"/>
    <s v="Karnataka"/>
    <s v="2025-12-26"/>
    <s v="18-25"/>
    <n v="646.58999999999992"/>
  </r>
  <r>
    <s v="ORD00979"/>
    <d v="2026-04-03T00:00:00"/>
    <s v="CUST0519"/>
    <x v="3"/>
    <x v="10"/>
    <n v="3"/>
    <n v="0.1"/>
    <n v="148500"/>
    <n v="14359.04"/>
    <x v="3"/>
    <s v="Delivered"/>
    <n v="49500"/>
    <n v="9.6693872053872063"/>
    <s v="Profit"/>
    <s v="Rahul Bose"/>
    <x v="1"/>
    <x v="1"/>
    <s v="Pune"/>
    <s v="Maharashtra"/>
    <s v="2025-12-27"/>
    <s v="26-35"/>
    <n v="4786.3466666666673"/>
  </r>
  <r>
    <s v="ORD00980"/>
    <d v="2025-07-21T00:00:00"/>
    <s v="CUST0405"/>
    <x v="1"/>
    <x v="13"/>
    <n v="1"/>
    <n v="0"/>
    <n v="4200"/>
    <n v="1200"/>
    <x v="1"/>
    <s v="Delivered"/>
    <n v="4200"/>
    <n v="28.571428571428569"/>
    <s v="Profit"/>
    <s v="Varun Naidu"/>
    <x v="0"/>
    <x v="0"/>
    <s v="Chennai"/>
    <s v="Tamil Nadu"/>
    <s v="2024-05-06"/>
    <s v="26-35"/>
    <n v="1200"/>
  </r>
  <r>
    <s v="ORD00981"/>
    <d v="2026-01-05T00:00:00"/>
    <s v="CUST0401"/>
    <x v="0"/>
    <x v="7"/>
    <n v="2"/>
    <n v="0.2"/>
    <n v="1440"/>
    <n v="379.44"/>
    <x v="1"/>
    <s v="Shipped"/>
    <n v="720"/>
    <n v="26.35"/>
    <s v="Profit"/>
    <s v="Ananya Nair"/>
    <x v="0"/>
    <x v="0"/>
    <s v="Hyderabad"/>
    <s v="Telangana"/>
    <s v="2024-04-08"/>
    <s v="26-35"/>
    <n v="189.72"/>
  </r>
  <r>
    <s v="ORD00982"/>
    <d v="2026-01-15T00:00:00"/>
    <s v="CUST0372"/>
    <x v="2"/>
    <x v="3"/>
    <n v="6"/>
    <n v="0"/>
    <n v="90000"/>
    <n v="21000"/>
    <x v="0"/>
    <s v="Delivered"/>
    <n v="15000"/>
    <n v="23.333333333333329"/>
    <s v="Profit"/>
    <s v="Akash Das"/>
    <x v="1"/>
    <x v="0"/>
    <s v="Bengaluru"/>
    <s v="Karnataka"/>
    <s v="2024-08-19"/>
    <s v="36-50"/>
    <n v="3500"/>
  </r>
  <r>
    <s v="ORD00983"/>
    <d v="2025-12-15T00:00:00"/>
    <s v="CUST0290"/>
    <x v="0"/>
    <x v="14"/>
    <n v="2"/>
    <n v="0.05"/>
    <n v="855"/>
    <n v="188.39"/>
    <x v="0"/>
    <s v="Delivered"/>
    <n v="427.5"/>
    <n v="22.033918128654971"/>
    <s v="Profit"/>
    <s v="Aarav Bose"/>
    <x v="2"/>
    <x v="1"/>
    <s v="Ahmedabad"/>
    <s v="Gujarat"/>
    <s v="2025-02-14"/>
    <s v="18-25"/>
    <n v="94.194999999999993"/>
  </r>
  <r>
    <s v="ORD00984"/>
    <d v="2025-08-12T00:00:00"/>
    <s v="CUST0451"/>
    <x v="2"/>
    <x v="3"/>
    <n v="1"/>
    <n v="0.05"/>
    <n v="14250"/>
    <n v="3001.67"/>
    <x v="2"/>
    <s v="Delivered"/>
    <n v="14250"/>
    <n v="21.064350877192979"/>
    <s v="Profit"/>
    <s v="Diya Naidu"/>
    <x v="0"/>
    <x v="1"/>
    <s v="Pune"/>
    <s v="Maharashtra"/>
    <s v="2024-06-17"/>
    <s v="26-35"/>
    <n v="3001.67"/>
  </r>
  <r>
    <s v="ORD00985"/>
    <d v="2026-05-10T00:00:00"/>
    <s v="CUST0359"/>
    <x v="0"/>
    <x v="0"/>
    <n v="4"/>
    <n v="0.1"/>
    <n v="50400"/>
    <n v="6440.6"/>
    <x v="0"/>
    <s v="Delivered"/>
    <n v="12600"/>
    <n v="12.77896825396825"/>
    <s v="Profit"/>
    <s v="Ananya Mishra"/>
    <x v="0"/>
    <x v="0"/>
    <s v="Bengaluru"/>
    <s v="Karnataka"/>
    <s v="2024-05-22"/>
    <s v="26-35"/>
    <n v="1610.15"/>
  </r>
  <r>
    <s v="ORD00986"/>
    <d v="2026-05-17T00:00:00"/>
    <s v="CUST0431"/>
    <x v="1"/>
    <x v="1"/>
    <n v="2"/>
    <n v="0.15"/>
    <n v="3060"/>
    <n v="-1394.73"/>
    <x v="0"/>
    <s v="Cancelled"/>
    <n v="1530"/>
    <n v="-45.579411764705888"/>
    <s v="Loss"/>
    <s v="Manoj Naidu"/>
    <x v="1"/>
    <x v="0"/>
    <s v="Bengaluru"/>
    <s v="Karnataka"/>
    <s v="2023-01-16"/>
    <s v="36-50"/>
    <n v="-697.36500000000001"/>
  </r>
  <r>
    <s v="ORD00987"/>
    <d v="2026-06-25T00:00:00"/>
    <s v="CUST0292"/>
    <x v="1"/>
    <x v="12"/>
    <n v="2"/>
    <n v="0.05"/>
    <n v="2660"/>
    <n v="900.66"/>
    <x v="0"/>
    <s v="Delivered"/>
    <n v="1330"/>
    <n v="33.859398496240601"/>
    <s v="Profit"/>
    <s v="Sanjay Khan"/>
    <x v="0"/>
    <x v="0"/>
    <s v="Bengaluru"/>
    <s v="Karnataka"/>
    <s v="2023-07-05"/>
    <s v="26-35"/>
    <n v="450.33"/>
  </r>
  <r>
    <s v="ORD00988"/>
    <d v="2026-04-24T00:00:00"/>
    <s v="CUST0404"/>
    <x v="3"/>
    <x v="10"/>
    <n v="2"/>
    <n v="0"/>
    <n v="110000"/>
    <n v="18000"/>
    <x v="2"/>
    <s v="Delivered"/>
    <n v="55000"/>
    <n v="16.36363636363636"/>
    <s v="Profit"/>
    <s v="Pooja Kulkarni"/>
    <x v="0"/>
    <x v="1"/>
    <s v="Ahmedabad"/>
    <s v="Gujarat"/>
    <s v="2025-04-01"/>
    <s v="36-50"/>
    <n v="9000"/>
  </r>
  <r>
    <s v="ORD00989"/>
    <d v="2026-05-22T00:00:00"/>
    <s v="CUST0391"/>
    <x v="0"/>
    <x v="6"/>
    <n v="6"/>
    <n v="0.05"/>
    <n v="1995"/>
    <n v="644.59"/>
    <x v="2"/>
    <s v="Delivered"/>
    <n v="332.5"/>
    <n v="32.310275689223062"/>
    <s v="Profit"/>
    <s v="Divya Das"/>
    <x v="2"/>
    <x v="0"/>
    <s v="Bengaluru"/>
    <s v="Karnataka"/>
    <s v="2023-03-08"/>
    <s v="36-50"/>
    <n v="107.4316666666667"/>
  </r>
  <r>
    <s v="ORD00990"/>
    <d v="2026-08-31T00:00:00"/>
    <s v="CUST0128"/>
    <x v="3"/>
    <x v="11"/>
    <n v="1"/>
    <n v="0.05"/>
    <n v="2375"/>
    <n v="741.64"/>
    <x v="1"/>
    <s v="Delivered"/>
    <n v="2375"/>
    <n v="31.226947368421051"/>
    <s v="Profit"/>
    <s v="Sneha Mishra"/>
    <x v="2"/>
    <x v="0"/>
    <s v="Chennai"/>
    <s v="Tamil Nadu"/>
    <s v="2024-09-12"/>
    <s v="36-50"/>
    <n v="741.64"/>
  </r>
  <r>
    <s v="ORD00991"/>
    <d v="2025-12-17T00:00:00"/>
    <s v="CUST0066"/>
    <x v="0"/>
    <x v="7"/>
    <n v="3"/>
    <n v="0.1"/>
    <n v="2430"/>
    <n v="-897.03"/>
    <x v="0"/>
    <s v="Returned"/>
    <n v="810"/>
    <n v="-36.914814814814811"/>
    <s v="Loss"/>
    <s v="Aarav Gupta"/>
    <x v="0"/>
    <x v="2"/>
    <s v="Jaipur"/>
    <s v="Rajasthan"/>
    <s v="2024-06-18"/>
    <s v="51+"/>
    <n v="-299.01"/>
  </r>
  <r>
    <s v="ORD00992"/>
    <d v="2026-03-08T00:00:00"/>
    <s v="CUST0198"/>
    <x v="2"/>
    <x v="5"/>
    <n v="1"/>
    <n v="0.05"/>
    <n v="10450"/>
    <n v="2186.7600000000002"/>
    <x v="1"/>
    <s v="Delivered"/>
    <n v="10450"/>
    <n v="20.925933014354069"/>
    <s v="Profit"/>
    <s v="Varun Joshi"/>
    <x v="1"/>
    <x v="3"/>
    <s v="Bhubaneswar"/>
    <s v="Odisha"/>
    <s v="2024-08-06"/>
    <s v="36-50"/>
    <n v="2186.7600000000002"/>
  </r>
  <r>
    <s v="ORD00993"/>
    <d v="2026-03-30T00:00:00"/>
    <s v="CUST0289"/>
    <x v="0"/>
    <x v="14"/>
    <n v="1"/>
    <n v="0.15"/>
    <n v="382.5"/>
    <n v="57.66"/>
    <x v="3"/>
    <s v="Delivered"/>
    <n v="382.5"/>
    <n v="15.07450980392157"/>
    <s v="Profit"/>
    <s v="Rahul Iyer"/>
    <x v="2"/>
    <x v="0"/>
    <s v="Coimbatore"/>
    <s v="Tamil Nadu"/>
    <s v="2023-01-07"/>
    <s v="18-25"/>
    <n v="57.66"/>
  </r>
  <r>
    <s v="ORD00994"/>
    <d v="2026-03-15T00:00:00"/>
    <s v="CUST0374"/>
    <x v="3"/>
    <x v="8"/>
    <n v="5"/>
    <n v="0.1"/>
    <n v="20250"/>
    <n v="6067.31"/>
    <x v="2"/>
    <s v="Delivered"/>
    <n v="4050"/>
    <n v="29.962024691358021"/>
    <s v="Profit"/>
    <s v="Ishaan Chopra"/>
    <x v="0"/>
    <x v="0"/>
    <s v="Bengaluru"/>
    <s v="Karnataka"/>
    <s v="2024-09-12"/>
    <s v="18-25"/>
    <n v="1213.462"/>
  </r>
  <r>
    <s v="ORD00995"/>
    <d v="2025-08-14T00:00:00"/>
    <s v="CUST0391"/>
    <x v="3"/>
    <x v="4"/>
    <n v="2"/>
    <n v="0.1"/>
    <n v="32400"/>
    <n v="4920.91"/>
    <x v="1"/>
    <s v="Delivered"/>
    <n v="16200"/>
    <n v="15.18799382716049"/>
    <s v="Profit"/>
    <s v="Divya Das"/>
    <x v="2"/>
    <x v="0"/>
    <s v="Bengaluru"/>
    <s v="Karnataka"/>
    <s v="2023-03-08"/>
    <s v="36-50"/>
    <n v="2460.4549999999999"/>
  </r>
  <r>
    <s v="ORD00996"/>
    <d v="2026-06-30T00:00:00"/>
    <s v="CUST0073"/>
    <x v="0"/>
    <x v="14"/>
    <n v="2"/>
    <n v="0.1"/>
    <n v="810"/>
    <n v="167.95"/>
    <x v="3"/>
    <s v="Delivered"/>
    <n v="405"/>
    <n v="20.73456790123457"/>
    <s v="Profit"/>
    <s v="Kavya Pillai"/>
    <x v="0"/>
    <x v="0"/>
    <s v="Hyderabad"/>
    <s v="Telangana"/>
    <s v="2023-04-01"/>
    <s v="26-35"/>
    <n v="83.974999999999994"/>
  </r>
  <r>
    <s v="ORD00997"/>
    <d v="2026-06-16T00:00:00"/>
    <s v="CUST0143"/>
    <x v="2"/>
    <x v="9"/>
    <n v="4"/>
    <n v="0.1"/>
    <n v="32400"/>
    <n v="7413.39"/>
    <x v="0"/>
    <s v="Delivered"/>
    <n v="8100"/>
    <n v="22.880833333333339"/>
    <s v="Profit"/>
    <s v="Ananya Naidu"/>
    <x v="2"/>
    <x v="0"/>
    <s v="Bengaluru"/>
    <s v="Karnataka"/>
    <s v="2023-04-11"/>
    <s v="36-50"/>
    <n v="1853.3475000000001"/>
  </r>
  <r>
    <s v="ORD00998"/>
    <d v="2026-02-05T00:00:00"/>
    <s v="CUST0182"/>
    <x v="2"/>
    <x v="2"/>
    <n v="1"/>
    <n v="0.1"/>
    <n v="11700"/>
    <n v="2181.77"/>
    <x v="0"/>
    <s v="Delivered"/>
    <n v="11700"/>
    <n v="18.64760683760684"/>
    <s v="Profit"/>
    <s v="Shreya Iyer"/>
    <x v="2"/>
    <x v="3"/>
    <s v="Patna"/>
    <s v="Bihar"/>
    <s v="2023-07-03"/>
    <s v="36-50"/>
    <n v="2181.77"/>
  </r>
  <r>
    <s v="ORD00999"/>
    <d v="2025-07-25T00:00:00"/>
    <s v="CUST0464"/>
    <x v="0"/>
    <x v="6"/>
    <n v="10"/>
    <n v="0.05"/>
    <n v="3325"/>
    <n v="155.75"/>
    <x v="0"/>
    <s v="Returned"/>
    <n v="332.5"/>
    <n v="4.6842105263157894"/>
    <s v="Profit"/>
    <s v="Arjun Gupta"/>
    <x v="2"/>
    <x v="2"/>
    <s v="Jaipur"/>
    <s v="Rajasthan"/>
    <s v="2024-06-16"/>
    <s v="36-50"/>
    <n v="15.574999999999999"/>
  </r>
  <r>
    <s v="ORD01000"/>
    <d v="2025-11-21T00:00:00"/>
    <s v="CUST0548"/>
    <x v="0"/>
    <x v="7"/>
    <n v="1"/>
    <n v="0.05"/>
    <n v="855"/>
    <n v="251.91"/>
    <x v="0"/>
    <s v="Delivered"/>
    <n v="855"/>
    <n v="29.463157894736842"/>
    <s v="Profit"/>
    <s v="Diya Mishra"/>
    <x v="1"/>
    <x v="2"/>
    <s v="Chandigarh"/>
    <s v="Chandigarh"/>
    <s v="2023-12-31"/>
    <s v="36-50"/>
    <n v="251.91"/>
  </r>
  <r>
    <s v="ORD01001"/>
    <d v="2025-11-16T00:00:00"/>
    <s v="CUST0311"/>
    <x v="3"/>
    <x v="11"/>
    <n v="4"/>
    <n v="0"/>
    <n v="10000"/>
    <n v="3200"/>
    <x v="0"/>
    <s v="Delivered"/>
    <n v="2500"/>
    <n v="32"/>
    <s v="Profit"/>
    <s v="Sneha Verma"/>
    <x v="2"/>
    <x v="1"/>
    <s v="Surat"/>
    <s v="Gujarat"/>
    <s v="2025-03-27"/>
    <s v="18-25"/>
    <n v="800"/>
  </r>
  <r>
    <s v="ORD01002"/>
    <d v="2026-07-05T00:00:00"/>
    <s v="CUST0156"/>
    <x v="2"/>
    <x v="2"/>
    <n v="1"/>
    <n v="0.1"/>
    <n v="11700"/>
    <n v="2442.29"/>
    <x v="1"/>
    <s v="Delivered"/>
    <n v="11700"/>
    <n v="20.8742735042735"/>
    <s v="Profit"/>
    <s v="Meera Patel"/>
    <x v="2"/>
    <x v="0"/>
    <s v="Coimbatore"/>
    <s v="Tamil Nadu"/>
    <s v="2024-10-11"/>
    <s v="26-35"/>
    <n v="2442.29"/>
  </r>
  <r>
    <s v="ORD01003"/>
    <d v="2026-06-22T00:00:00"/>
    <s v="CUST0107"/>
    <x v="1"/>
    <x v="12"/>
    <n v="3"/>
    <n v="0.1"/>
    <n v="3780"/>
    <n v="-543.53"/>
    <x v="2"/>
    <s v="Cancelled"/>
    <n v="1260"/>
    <n v="-14.37910052910053"/>
    <s v="Loss"/>
    <s v="Ishaan Sharma"/>
    <x v="0"/>
    <x v="3"/>
    <s v="Bhubaneswar"/>
    <s v="Odisha"/>
    <s v="2024-11-29"/>
    <s v="26-35"/>
    <n v="-181.17666666666659"/>
  </r>
  <r>
    <s v="ORD01004"/>
    <d v="2026-04-03T00:00:00"/>
    <s v="CUST0372"/>
    <x v="1"/>
    <x v="12"/>
    <n v="3"/>
    <n v="0.1"/>
    <n v="3780"/>
    <n v="215.33"/>
    <x v="3"/>
    <s v="Returned"/>
    <n v="1260"/>
    <n v="5.696560846560847"/>
    <s v="Profit"/>
    <s v="Akash Das"/>
    <x v="1"/>
    <x v="0"/>
    <s v="Bengaluru"/>
    <s v="Karnataka"/>
    <s v="2024-08-19"/>
    <s v="36-50"/>
    <n v="71.776666666666671"/>
  </r>
  <r>
    <s v="ORD01005"/>
    <d v="2026-01-06T00:00:00"/>
    <s v="CUST0101"/>
    <x v="1"/>
    <x v="15"/>
    <n v="3"/>
    <n v="0.15"/>
    <n v="5610"/>
    <n v="1574.65"/>
    <x v="3"/>
    <s v="Delivered"/>
    <n v="1870"/>
    <n v="28.06862745098039"/>
    <s v="Profit"/>
    <s v="Ishaan Verma"/>
    <x v="0"/>
    <x v="3"/>
    <s v="Guwahati"/>
    <s v="Assam"/>
    <s v="2023-01-28"/>
    <s v="26-35"/>
    <n v="524.88333333333333"/>
  </r>
  <r>
    <s v="ORD01006"/>
    <d v="2026-08-04T00:00:00"/>
    <s v="CUST0178"/>
    <x v="0"/>
    <x v="14"/>
    <n v="2"/>
    <n v="0"/>
    <n v="900"/>
    <n v="220"/>
    <x v="1"/>
    <s v="Delivered"/>
    <n v="450"/>
    <n v="24.444444444444439"/>
    <s v="Profit"/>
    <s v="Ananya Pillai"/>
    <x v="0"/>
    <x v="1"/>
    <s v="Pune"/>
    <s v="Maharashtra"/>
    <s v="2025-02-10"/>
    <s v="26-35"/>
    <n v="110"/>
  </r>
  <r>
    <s v="ORD01007"/>
    <d v="2026-07-30T00:00:00"/>
    <s v="CUST0572"/>
    <x v="0"/>
    <x v="6"/>
    <n v="1"/>
    <n v="0.2"/>
    <n v="280"/>
    <n v="71.069999999999993"/>
    <x v="2"/>
    <s v="Shipped"/>
    <n v="280"/>
    <n v="25.382142857142849"/>
    <s v="Profit"/>
    <s v="Manoj Kulkarni"/>
    <x v="1"/>
    <x v="2"/>
    <s v="Lucknow"/>
    <s v="Uttar Pradesh"/>
    <s v="2024-03-30"/>
    <s v="18-25"/>
    <n v="71.069999999999993"/>
  </r>
  <r>
    <s v="ORD01008"/>
    <d v="2025-12-16T00:00:00"/>
    <s v="CUST0306"/>
    <x v="3"/>
    <x v="8"/>
    <n v="15"/>
    <n v="0"/>
    <n v="67500"/>
    <n v="22500"/>
    <x v="3"/>
    <s v="Delivered"/>
    <n v="4500"/>
    <n v="33.333333333333329"/>
    <s v="Profit"/>
    <s v="Aditya Das"/>
    <x v="0"/>
    <x v="2"/>
    <s v="Lucknow"/>
    <s v="Uttar Pradesh"/>
    <s v="2023-04-26"/>
    <s v="18-25"/>
    <n v="1500"/>
  </r>
  <r>
    <s v="ORD01009"/>
    <d v="2025-12-18T00:00:00"/>
    <s v="CUST0242"/>
    <x v="3"/>
    <x v="8"/>
    <n v="1"/>
    <n v="0"/>
    <n v="4500"/>
    <n v="1500"/>
    <x v="1"/>
    <s v="Delivered"/>
    <n v="4500"/>
    <n v="33.333333333333329"/>
    <s v="Profit"/>
    <s v="Priya Singh"/>
    <x v="0"/>
    <x v="1"/>
    <s v="Pune"/>
    <s v="Maharashtra"/>
    <s v="2024-11-26"/>
    <s v="26-35"/>
    <n v="1500"/>
  </r>
  <r>
    <s v="ORD01010"/>
    <d v="2025-12-21T00:00:00"/>
    <s v="CUST0273"/>
    <x v="0"/>
    <x v="0"/>
    <n v="3"/>
    <n v="0.1"/>
    <n v="37800"/>
    <n v="6053.18"/>
    <x v="0"/>
    <s v="Delivered"/>
    <n v="12600"/>
    <n v="16.013703703703701"/>
    <s v="Profit"/>
    <s v="Akash Verma"/>
    <x v="1"/>
    <x v="0"/>
    <s v="Chennai"/>
    <s v="Tamil Nadu"/>
    <s v="2024-07-10"/>
    <s v="51+"/>
    <n v="2017.7266666666669"/>
  </r>
  <r>
    <s v="ORD01011"/>
    <d v="2025-10-30T00:00:00"/>
    <s v="CUST0280"/>
    <x v="2"/>
    <x v="3"/>
    <n v="3"/>
    <n v="0"/>
    <n v="45000"/>
    <n v="10500"/>
    <x v="0"/>
    <s v="Delivered"/>
    <n v="15000"/>
    <n v="23.333333333333329"/>
    <s v="Profit"/>
    <s v="Vikram Kulkarni"/>
    <x v="0"/>
    <x v="1"/>
    <s v="Mumbai"/>
    <s v="Maharashtra"/>
    <s v="2025-06-23"/>
    <s v="26-35"/>
    <n v="3500"/>
  </r>
  <r>
    <s v="ORD01012"/>
    <d v="2026-01-25T00:00:00"/>
    <s v="CUST0265"/>
    <x v="0"/>
    <x v="7"/>
    <n v="6"/>
    <n v="0"/>
    <n v="5400"/>
    <n v="1680"/>
    <x v="0"/>
    <s v="Shipped"/>
    <n v="900"/>
    <n v="31.111111111111111"/>
    <s v="Profit"/>
    <s v="Aditya Rao"/>
    <x v="0"/>
    <x v="2"/>
    <s v="Jaipur"/>
    <s v="Rajasthan"/>
    <s v="2023-07-24"/>
    <s v="51+"/>
    <n v="280"/>
  </r>
  <r>
    <s v="ORD01013"/>
    <d v="2025-09-24T00:00:00"/>
    <s v="CUST0046"/>
    <x v="0"/>
    <x v="0"/>
    <n v="1"/>
    <n v="0.15"/>
    <n v="11900"/>
    <n v="1096.6500000000001"/>
    <x v="2"/>
    <s v="Delivered"/>
    <n v="11900"/>
    <n v="9.2155462184873951"/>
    <s v="Profit"/>
    <s v="Kavya Pillai"/>
    <x v="1"/>
    <x v="3"/>
    <s v="Kolkata"/>
    <s v="West Bengal"/>
    <s v="2025-11-12"/>
    <s v="36-50"/>
    <n v="1096.6500000000001"/>
  </r>
  <r>
    <s v="ORD01014"/>
    <d v="2026-04-26T00:00:00"/>
    <s v="CUST0571"/>
    <x v="2"/>
    <x v="9"/>
    <n v="5"/>
    <n v="0"/>
    <n v="45000"/>
    <n v="11500"/>
    <x v="3"/>
    <s v="Delivered"/>
    <n v="9000"/>
    <n v="25.55555555555555"/>
    <s v="Profit"/>
    <s v="Vikram Mehta"/>
    <x v="2"/>
    <x v="3"/>
    <s v="Bhubaneswar"/>
    <s v="Odisha"/>
    <s v="2023-10-30"/>
    <s v="36-50"/>
    <n v="2300"/>
  </r>
  <r>
    <s v="ORD01015"/>
    <d v="2025-07-05T00:00:00"/>
    <s v="CUST0175"/>
    <x v="0"/>
    <x v="14"/>
    <n v="2"/>
    <n v="0.1"/>
    <n v="810"/>
    <n v="167.77"/>
    <x v="1"/>
    <s v="Delivered"/>
    <n v="405"/>
    <n v="20.712345679012351"/>
    <s v="Profit"/>
    <s v="Akash Mehta"/>
    <x v="0"/>
    <x v="1"/>
    <s v="Ahmedabad"/>
    <s v="Gujarat"/>
    <s v="2023-12-29"/>
    <s v="36-50"/>
    <n v="83.885000000000005"/>
  </r>
  <r>
    <s v="ORD01016"/>
    <d v="2025-08-30T00:00:00"/>
    <s v="CUST0216"/>
    <x v="0"/>
    <x v="6"/>
    <n v="1"/>
    <n v="0.05"/>
    <n v="332.5"/>
    <n v="109.72"/>
    <x v="3"/>
    <s v="Delivered"/>
    <n v="332.5"/>
    <n v="32.998496240601497"/>
    <s v="Profit"/>
    <s v="Karthik Mishra"/>
    <x v="0"/>
    <x v="0"/>
    <s v="Hyderabad"/>
    <s v="Telangana"/>
    <s v="2024-06-25"/>
    <s v="26-35"/>
    <n v="109.72"/>
  </r>
  <r>
    <s v="ORD01017"/>
    <d v="2026-03-18T00:00:00"/>
    <s v="CUST0513"/>
    <x v="3"/>
    <x v="10"/>
    <n v="2"/>
    <n v="0.2"/>
    <n v="88000"/>
    <n v="3419.33"/>
    <x v="1"/>
    <s v="Delivered"/>
    <n v="44000"/>
    <n v="3.8856022727272719"/>
    <s v="Profit"/>
    <s v="Varun Das"/>
    <x v="1"/>
    <x v="2"/>
    <s v="Jaipur"/>
    <s v="Rajasthan"/>
    <s v="2025-05-03"/>
    <s v="18-25"/>
    <n v="1709.665"/>
  </r>
  <r>
    <s v="ORD01018"/>
    <d v="2026-06-21T00:00:00"/>
    <s v="CUST0274"/>
    <x v="1"/>
    <x v="12"/>
    <n v="3"/>
    <n v="0.05"/>
    <n v="3990"/>
    <n v="1325.28"/>
    <x v="2"/>
    <s v="Delivered"/>
    <n v="1330"/>
    <n v="33.215037593984967"/>
    <s v="Profit"/>
    <s v="Meera Bose"/>
    <x v="1"/>
    <x v="0"/>
    <s v="Hyderabad"/>
    <s v="Telangana"/>
    <s v="2025-01-06"/>
    <s v="26-35"/>
    <n v="441.76"/>
  </r>
  <r>
    <s v="ORD01019"/>
    <d v="2026-05-23T00:00:00"/>
    <s v="CUST0298"/>
    <x v="1"/>
    <x v="12"/>
    <n v="1"/>
    <n v="0.2"/>
    <n v="1120"/>
    <n v="274.81"/>
    <x v="3"/>
    <s v="Delivered"/>
    <n v="1120"/>
    <n v="24.53660714285714"/>
    <s v="Profit"/>
    <s v="Diya Joshi"/>
    <x v="0"/>
    <x v="0"/>
    <s v="Chennai"/>
    <s v="Tamil Nadu"/>
    <s v="2025-01-10"/>
    <s v="18-25"/>
    <n v="274.81"/>
  </r>
  <r>
    <s v="ORD01020"/>
    <d v="2026-01-06T00:00:00"/>
    <s v="CUST0499"/>
    <x v="3"/>
    <x v="8"/>
    <n v="3"/>
    <n v="0"/>
    <n v="13500"/>
    <n v="4500"/>
    <x v="0"/>
    <s v="Delivered"/>
    <n v="4500"/>
    <n v="33.333333333333329"/>
    <s v="Profit"/>
    <s v="Meera Singh"/>
    <x v="0"/>
    <x v="1"/>
    <s v="Pune"/>
    <s v="Maharashtra"/>
    <s v="2025-06-01"/>
    <s v="36-50"/>
    <n v="1500"/>
  </r>
  <r>
    <s v="ORD01021"/>
    <d v="2025-08-09T00:00:00"/>
    <s v="CUST0333"/>
    <x v="3"/>
    <x v="11"/>
    <n v="10"/>
    <n v="0.1"/>
    <n v="22500"/>
    <n v="6575.49"/>
    <x v="1"/>
    <s v="Delivered"/>
    <n v="2250"/>
    <n v="29.224399999999999"/>
    <s v="Profit"/>
    <s v="Aditya Gupta"/>
    <x v="0"/>
    <x v="0"/>
    <s v="Chennai"/>
    <s v="Tamil Nadu"/>
    <s v="2023-02-18"/>
    <s v="26-35"/>
    <n v="657.54899999999998"/>
  </r>
  <r>
    <s v="ORD01022"/>
    <d v="2026-04-12T00:00:00"/>
    <s v="CUST0174"/>
    <x v="2"/>
    <x v="9"/>
    <n v="2"/>
    <n v="0.05"/>
    <n v="17100"/>
    <n v="4052.25"/>
    <x v="3"/>
    <s v="Delivered"/>
    <n v="8550"/>
    <n v="23.69736842105263"/>
    <s v="Profit"/>
    <s v="Sneha Mehta"/>
    <x v="1"/>
    <x v="3"/>
    <s v="Patna"/>
    <s v="Bihar"/>
    <s v="2025-05-15"/>
    <s v="26-35"/>
    <n v="2026.125"/>
  </r>
  <r>
    <s v="ORD01023"/>
    <d v="2026-07-08T00:00:00"/>
    <s v="CUST0245"/>
    <x v="3"/>
    <x v="10"/>
    <n v="2"/>
    <n v="0.1"/>
    <n v="148500"/>
    <n v="16266.21"/>
    <x v="3"/>
    <s v="Delivered"/>
    <n v="74250"/>
    <n v="10.95367676767677"/>
    <s v="Profit"/>
    <s v="Shreya Sharma"/>
    <x v="0"/>
    <x v="2"/>
    <s v="Lucknow"/>
    <s v="Uttar Pradesh"/>
    <s v="2024-04-20"/>
    <s v="51+"/>
    <n v="8133.1049999999996"/>
  </r>
  <r>
    <s v="ORD01024"/>
    <d v="2025-10-15T00:00:00"/>
    <s v="CUST0203"/>
    <x v="3"/>
    <x v="4"/>
    <n v="1"/>
    <n v="0"/>
    <n v="18000"/>
    <n v="3500"/>
    <x v="1"/>
    <s v="Delivered"/>
    <n v="18000"/>
    <n v="19.44444444444445"/>
    <s v="Profit"/>
    <s v="Arjun Gupta"/>
    <x v="2"/>
    <x v="0"/>
    <s v="Chennai"/>
    <s v="Tamil Nadu"/>
    <s v="2025-03-25"/>
    <s v="36-50"/>
    <n v="3500"/>
  </r>
  <r>
    <s v="ORD01025"/>
    <d v="2026-03-29T00:00:00"/>
    <s v="CUST0141"/>
    <x v="0"/>
    <x v="7"/>
    <n v="3"/>
    <n v="0"/>
    <n v="2700"/>
    <n v="-688.97"/>
    <x v="3"/>
    <s v="Returned"/>
    <n v="900"/>
    <n v="-25.517407407407411"/>
    <s v="Loss"/>
    <s v="Kavya Reddy"/>
    <x v="2"/>
    <x v="0"/>
    <s v="Bengaluru"/>
    <s v="Karnataka"/>
    <s v="2023-09-02"/>
    <s v="26-35"/>
    <n v="-229.65666666666669"/>
  </r>
  <r>
    <s v="ORD01026"/>
    <d v="2026-07-17T00:00:00"/>
    <s v="CUST0162"/>
    <x v="0"/>
    <x v="14"/>
    <n v="6"/>
    <n v="0.15"/>
    <n v="2295"/>
    <n v="459.12"/>
    <x v="0"/>
    <s v="Delivered"/>
    <n v="382.5"/>
    <n v="20.005228758169931"/>
    <s v="Profit"/>
    <s v="Lakshmi Bose"/>
    <x v="0"/>
    <x v="0"/>
    <s v="Bengaluru"/>
    <s v="Karnataka"/>
    <s v="2025-06-13"/>
    <s v="26-35"/>
    <n v="76.52"/>
  </r>
  <r>
    <s v="ORD01027"/>
    <d v="2025-09-12T00:00:00"/>
    <s v="CUST0152"/>
    <x v="2"/>
    <x v="2"/>
    <n v="1"/>
    <n v="0"/>
    <n v="13000"/>
    <n v="3200"/>
    <x v="2"/>
    <s v="Shipped"/>
    <n v="13000"/>
    <n v="24.61538461538462"/>
    <s v="Profit"/>
    <s v="Harini Rao"/>
    <x v="0"/>
    <x v="0"/>
    <s v="Coimbatore"/>
    <s v="Tamil Nadu"/>
    <s v="2025-12-02"/>
    <s v="51+"/>
    <n v="3200"/>
  </r>
  <r>
    <s v="ORD01028"/>
    <d v="2025-08-05T00:00:00"/>
    <s v="CUST0489"/>
    <x v="3"/>
    <x v="11"/>
    <n v="3"/>
    <n v="0.15"/>
    <n v="6375"/>
    <n v="1581.31"/>
    <x v="2"/>
    <s v="Delivered"/>
    <n v="2125"/>
    <n v="24.804862745098038"/>
    <s v="Profit"/>
    <s v="Kavya Das"/>
    <x v="0"/>
    <x v="0"/>
    <s v="Coimbatore"/>
    <s v="Tamil Nadu"/>
    <s v="2024-03-29"/>
    <s v="26-35"/>
    <n v="527.10333333333335"/>
  </r>
  <r>
    <s v="ORD01029"/>
    <d v="2026-06-17T00:00:00"/>
    <s v="CUST0558"/>
    <x v="0"/>
    <x v="0"/>
    <n v="1"/>
    <n v="0.15"/>
    <n v="11900"/>
    <n v="1546.65"/>
    <x v="1"/>
    <s v="Delivered"/>
    <n v="11900"/>
    <n v="12.997058823529411"/>
    <s v="Profit"/>
    <s v="Harini Nair"/>
    <x v="0"/>
    <x v="3"/>
    <s v="Kolkata"/>
    <s v="West Bengal"/>
    <s v="2024-05-13"/>
    <s v="36-50"/>
    <n v="1546.65"/>
  </r>
  <r>
    <s v="ORD01030"/>
    <d v="2025-08-16T00:00:00"/>
    <s v="CUST0045"/>
    <x v="2"/>
    <x v="5"/>
    <n v="3"/>
    <n v="0.15"/>
    <n v="28050"/>
    <n v="-9050.15"/>
    <x v="3"/>
    <s v="Cancelled"/>
    <n v="9350"/>
    <n v="-32.264349376114083"/>
    <s v="Loss"/>
    <s v="Sanjay Nair"/>
    <x v="0"/>
    <x v="1"/>
    <s v="Surat"/>
    <s v="Gujarat"/>
    <s v="2024-10-17"/>
    <s v="26-35"/>
    <n v="-3016.7166666666672"/>
  </r>
  <r>
    <s v="ORD01031"/>
    <d v="2026-06-11T00:00:00"/>
    <s v="CUST0059"/>
    <x v="1"/>
    <x v="1"/>
    <n v="3"/>
    <n v="0"/>
    <n v="5400"/>
    <n v="1950"/>
    <x v="3"/>
    <s v="Delivered"/>
    <n v="1800"/>
    <n v="36.111111111111107"/>
    <s v="Profit"/>
    <s v="Rahul Verma"/>
    <x v="1"/>
    <x v="3"/>
    <s v="Guwahati"/>
    <s v="Assam"/>
    <s v="2023-02-16"/>
    <s v="36-50"/>
    <n v="650"/>
  </r>
  <r>
    <s v="ORD01032"/>
    <d v="2025-12-17T00:00:00"/>
    <s v="CUST0207"/>
    <x v="3"/>
    <x v="8"/>
    <n v="1"/>
    <n v="0.15"/>
    <n v="3825"/>
    <n v="1172.5899999999999"/>
    <x v="0"/>
    <s v="Shipped"/>
    <n v="3825"/>
    <n v="30.6559477124183"/>
    <s v="Profit"/>
    <s v="Divya Chopra"/>
    <x v="0"/>
    <x v="1"/>
    <s v="Pune"/>
    <s v="Maharashtra"/>
    <s v="2025-03-02"/>
    <s v="26-35"/>
    <n v="1172.5899999999999"/>
  </r>
  <r>
    <s v="ORD01033"/>
    <d v="2025-12-10T00:00:00"/>
    <s v="CUST0332"/>
    <x v="2"/>
    <x v="9"/>
    <n v="2"/>
    <n v="0.05"/>
    <n v="17100"/>
    <n v="3890.96"/>
    <x v="2"/>
    <s v="Delivered"/>
    <n v="8550"/>
    <n v="22.754152046783631"/>
    <s v="Profit"/>
    <s v="Vikram Rao"/>
    <x v="1"/>
    <x v="0"/>
    <s v="Coimbatore"/>
    <s v="Tamil Nadu"/>
    <s v="2023-07-04"/>
    <s v="26-35"/>
    <n v="1945.48"/>
  </r>
  <r>
    <s v="ORD01034"/>
    <d v="2026-07-15T00:00:00"/>
    <s v="CUST0482"/>
    <x v="0"/>
    <x v="7"/>
    <n v="1"/>
    <n v="0.1"/>
    <n v="810"/>
    <n v="205.23"/>
    <x v="2"/>
    <s v="Delivered"/>
    <n v="810"/>
    <n v="25.337037037037039"/>
    <s v="Profit"/>
    <s v="Divya Reddy"/>
    <x v="0"/>
    <x v="0"/>
    <s v="Chennai"/>
    <s v="Tamil Nadu"/>
    <s v="2025-06-12"/>
    <s v="26-35"/>
    <n v="205.23"/>
  </r>
  <r>
    <s v="ORD01035"/>
    <d v="2025-12-20T00:00:00"/>
    <s v="CUST0131"/>
    <x v="1"/>
    <x v="1"/>
    <n v="1"/>
    <n v="0.05"/>
    <n v="1710"/>
    <n v="579.75"/>
    <x v="3"/>
    <s v="Delivered"/>
    <n v="1710"/>
    <n v="33.903508771929822"/>
    <s v="Profit"/>
    <s v="Harini Das"/>
    <x v="0"/>
    <x v="0"/>
    <s v="Chennai"/>
    <s v="Tamil Nadu"/>
    <s v="2024-10-14"/>
    <s v="26-35"/>
    <n v="579.75"/>
  </r>
  <r>
    <s v="ORD01036"/>
    <d v="2025-10-03T00:00:00"/>
    <s v="CUST0007"/>
    <x v="3"/>
    <x v="4"/>
    <n v="4"/>
    <n v="0.1"/>
    <n v="64800"/>
    <n v="8495"/>
    <x v="3"/>
    <s v="Shipped"/>
    <n v="16200"/>
    <n v="13.10956790123457"/>
    <s v="Profit"/>
    <s v="Harini Khan"/>
    <x v="0"/>
    <x v="0"/>
    <s v="Bengaluru"/>
    <s v="Karnataka"/>
    <s v="2025-07-02"/>
    <s v="36-50"/>
    <n v="2123.75"/>
  </r>
  <r>
    <s v="ORD01037"/>
    <d v="2026-05-11T00:00:00"/>
    <s v="CUST0186"/>
    <x v="3"/>
    <x v="10"/>
    <n v="2"/>
    <n v="0.15"/>
    <n v="93500"/>
    <n v="4406.08"/>
    <x v="0"/>
    <s v="Delivered"/>
    <n v="46750"/>
    <n v="4.7123850267379677"/>
    <s v="Profit"/>
    <s v="Vikram Verma"/>
    <x v="1"/>
    <x v="0"/>
    <s v="Coimbatore"/>
    <s v="Tamil Nadu"/>
    <s v="2024-03-12"/>
    <s v="18-25"/>
    <n v="2203.04"/>
  </r>
  <r>
    <s v="ORD01038"/>
    <d v="2026-04-03T00:00:00"/>
    <s v="CUST0336"/>
    <x v="2"/>
    <x v="5"/>
    <n v="1"/>
    <n v="0.15"/>
    <n v="9350"/>
    <n v="-3431.2"/>
    <x v="3"/>
    <s v="Cancelled"/>
    <n v="9350"/>
    <n v="-36.697326203208547"/>
    <s v="Loss"/>
    <s v="Akash Khan"/>
    <x v="0"/>
    <x v="1"/>
    <s v="Surat"/>
    <s v="Gujarat"/>
    <s v="2023-09-13"/>
    <s v="36-50"/>
    <n v="-3431.2"/>
  </r>
  <r>
    <s v="ORD01039"/>
    <d v="2026-04-26T00:00:00"/>
    <s v="CUST0084"/>
    <x v="2"/>
    <x v="3"/>
    <n v="1"/>
    <n v="0.1"/>
    <n v="13500"/>
    <n v="2336.08"/>
    <x v="0"/>
    <s v="Shipped"/>
    <n v="13500"/>
    <n v="17.3042962962963"/>
    <s v="Profit"/>
    <s v="Meera Menon"/>
    <x v="1"/>
    <x v="1"/>
    <s v="Mumbai"/>
    <s v="Maharashtra"/>
    <s v="2023-11-10"/>
    <s v="18-25"/>
    <n v="2336.08"/>
  </r>
  <r>
    <s v="ORD01040"/>
    <d v="2025-12-01T00:00:00"/>
    <s v="CUST0166"/>
    <x v="2"/>
    <x v="3"/>
    <n v="1"/>
    <n v="0.1"/>
    <n v="13500"/>
    <n v="2657.93"/>
    <x v="2"/>
    <s v="Delivered"/>
    <n v="13500"/>
    <n v="19.688370370370372"/>
    <s v="Profit"/>
    <s v="Arjun Gupta"/>
    <x v="2"/>
    <x v="0"/>
    <s v="Chennai"/>
    <s v="Tamil Nadu"/>
    <s v="2024-10-19"/>
    <s v="18-25"/>
    <n v="2657.93"/>
  </r>
  <r>
    <s v="ORD01041"/>
    <d v="2026-06-07T00:00:00"/>
    <s v="CUST0048"/>
    <x v="0"/>
    <x v="7"/>
    <n v="3"/>
    <n v="0"/>
    <n v="2700"/>
    <n v="840"/>
    <x v="3"/>
    <s v="Shipped"/>
    <n v="900"/>
    <n v="31.111111111111111"/>
    <s v="Profit"/>
    <s v="Rohan Das"/>
    <x v="0"/>
    <x v="1"/>
    <s v="Ahmedabad"/>
    <s v="Gujarat"/>
    <s v="2025-04-11"/>
    <s v="26-35"/>
    <n v="280"/>
  </r>
  <r>
    <s v="ORD01042"/>
    <d v="2025-10-06T00:00:00"/>
    <s v="CUST0326"/>
    <x v="1"/>
    <x v="15"/>
    <n v="1"/>
    <n v="0.05"/>
    <n v="2090"/>
    <n v="659.75"/>
    <x v="3"/>
    <s v="Shipped"/>
    <n v="2090"/>
    <n v="31.56698564593302"/>
    <s v="Profit"/>
    <s v="Karthik Das"/>
    <x v="0"/>
    <x v="2"/>
    <s v="Lucknow"/>
    <s v="Uttar Pradesh"/>
    <s v="2025-07-07"/>
    <s v="51+"/>
    <n v="659.75"/>
  </r>
  <r>
    <s v="ORD01043"/>
    <d v="2026-01-01T00:00:00"/>
    <s v="CUST0515"/>
    <x v="0"/>
    <x v="7"/>
    <n v="10"/>
    <n v="0.05"/>
    <n v="8550"/>
    <n v="2524.4699999999998"/>
    <x v="0"/>
    <s v="Delivered"/>
    <n v="855"/>
    <n v="29.525964912280699"/>
    <s v="Profit"/>
    <s v="Priya Rao"/>
    <x v="2"/>
    <x v="0"/>
    <s v="Chennai"/>
    <s v="Tamil Nadu"/>
    <s v="2025-06-05"/>
    <s v="18-25"/>
    <n v="252.447"/>
  </r>
  <r>
    <s v="ORD01044"/>
    <d v="2026-08-26T00:00:00"/>
    <s v="CUST0437"/>
    <x v="0"/>
    <x v="0"/>
    <n v="3"/>
    <n v="0.15"/>
    <n v="35700"/>
    <n v="4257.72"/>
    <x v="1"/>
    <s v="Delivered"/>
    <n v="11900"/>
    <n v="11.92638655462185"/>
    <s v="Profit"/>
    <s v="Rahul Kulkarni"/>
    <x v="0"/>
    <x v="1"/>
    <s v="Surat"/>
    <s v="Gujarat"/>
    <s v="2023-12-14"/>
    <s v="18-25"/>
    <n v="1419.24"/>
  </r>
  <r>
    <s v="ORD01045"/>
    <d v="2026-01-29T00:00:00"/>
    <s v="CUST0119"/>
    <x v="3"/>
    <x v="10"/>
    <n v="2"/>
    <n v="0"/>
    <n v="110000"/>
    <n v="18000"/>
    <x v="0"/>
    <s v="Delivered"/>
    <n v="55000"/>
    <n v="16.36363636363636"/>
    <s v="Profit"/>
    <s v="Divya Naidu"/>
    <x v="1"/>
    <x v="0"/>
    <s v="Coimbatore"/>
    <s v="Tamil Nadu"/>
    <s v="2023-05-25"/>
    <s v="36-50"/>
    <n v="9000"/>
  </r>
  <r>
    <s v="ORD01046"/>
    <d v="2026-02-10T00:00:00"/>
    <s v="CUST0483"/>
    <x v="0"/>
    <x v="6"/>
    <n v="3"/>
    <n v="0.1"/>
    <n v="945"/>
    <n v="-6.07"/>
    <x v="0"/>
    <s v="Cancelled"/>
    <n v="315"/>
    <n v="-0.64232804232804241"/>
    <s v="Loss"/>
    <s v="Harini Rao"/>
    <x v="2"/>
    <x v="0"/>
    <s v="Bengaluru"/>
    <s v="Karnataka"/>
    <s v="2025-12-26"/>
    <s v="18-25"/>
    <n v="-2.023333333333333"/>
  </r>
  <r>
    <s v="ORD01047"/>
    <d v="2025-09-30T00:00:00"/>
    <s v="CUST0270"/>
    <x v="0"/>
    <x v="14"/>
    <n v="3"/>
    <n v="0.1"/>
    <n v="1215"/>
    <n v="245.33"/>
    <x v="3"/>
    <s v="Delivered"/>
    <n v="405"/>
    <n v="20.191769547325102"/>
    <s v="Profit"/>
    <s v="Sanjay Bose"/>
    <x v="1"/>
    <x v="1"/>
    <s v="Pune"/>
    <s v="Maharashtra"/>
    <s v="2024-03-11"/>
    <s v="18-25"/>
    <n v="81.776666666666671"/>
  </r>
  <r>
    <s v="ORD01048"/>
    <d v="2025-11-18T00:00:00"/>
    <s v="CUST0590"/>
    <x v="1"/>
    <x v="15"/>
    <n v="6"/>
    <n v="0"/>
    <n v="13200"/>
    <n v="4500"/>
    <x v="0"/>
    <s v="Delivered"/>
    <n v="2200"/>
    <n v="34.090909090909093"/>
    <s v="Profit"/>
    <s v="Aarav Bose"/>
    <x v="0"/>
    <x v="1"/>
    <s v="Pune"/>
    <s v="Maharashtra"/>
    <s v="2025-08-22"/>
    <s v="36-50"/>
    <n v="750"/>
  </r>
  <r>
    <s v="ORD01049"/>
    <d v="2026-08-15T00:00:00"/>
    <s v="CUST0382"/>
    <x v="2"/>
    <x v="2"/>
    <n v="1"/>
    <n v="0.15"/>
    <n v="11050"/>
    <n v="1601.25"/>
    <x v="2"/>
    <s v="Delivered"/>
    <n v="11050"/>
    <n v="14.490950226244349"/>
    <s v="Profit"/>
    <s v="Karthik Rao"/>
    <x v="2"/>
    <x v="1"/>
    <s v="Surat"/>
    <s v="Gujarat"/>
    <s v="2023-03-30"/>
    <s v="18-25"/>
    <n v="1601.25"/>
  </r>
  <r>
    <s v="ORD01050"/>
    <d v="2026-05-27T00:00:00"/>
    <s v="CUST0429"/>
    <x v="0"/>
    <x v="0"/>
    <n v="1"/>
    <n v="0.1"/>
    <n v="12600"/>
    <n v="1705.5"/>
    <x v="2"/>
    <s v="Delivered"/>
    <n v="12600"/>
    <n v="13.53571428571429"/>
    <s v="Profit"/>
    <s v="Pooja Mishra"/>
    <x v="1"/>
    <x v="3"/>
    <s v="Bhubaneswar"/>
    <s v="Odisha"/>
    <s v="2023-01-22"/>
    <s v="36-50"/>
    <n v="1705.5"/>
  </r>
  <r>
    <s v="ORD01051"/>
    <d v="2025-11-05T00:00:00"/>
    <s v="CUST0229"/>
    <x v="0"/>
    <x v="0"/>
    <n v="1"/>
    <n v="0.3"/>
    <n v="9800"/>
    <n v="159.04"/>
    <x v="0"/>
    <s v="Delivered"/>
    <n v="9800"/>
    <n v="1.622857142857143"/>
    <s v="Profit"/>
    <s v="Harini Chopra"/>
    <x v="0"/>
    <x v="0"/>
    <s v="Bengaluru"/>
    <s v="Karnataka"/>
    <s v="2025-05-19"/>
    <s v="26-35"/>
    <n v="159.04"/>
  </r>
  <r>
    <s v="ORD01052"/>
    <d v="2025-11-28T00:00:00"/>
    <s v="CUST0037"/>
    <x v="3"/>
    <x v="8"/>
    <n v="1"/>
    <n v="0"/>
    <n v="4500"/>
    <n v="-521.44000000000005"/>
    <x v="2"/>
    <s v="Cancelled"/>
    <n v="4500"/>
    <n v="-11.587555555555561"/>
    <s v="Loss"/>
    <s v="Aarav Iyer"/>
    <x v="0"/>
    <x v="1"/>
    <s v="Pune"/>
    <s v="Maharashtra"/>
    <s v="2024-02-21"/>
    <s v="26-35"/>
    <n v="-521.44000000000005"/>
  </r>
  <r>
    <s v="ORD01053"/>
    <d v="2026-07-14T00:00:00"/>
    <s v="CUST0386"/>
    <x v="3"/>
    <x v="8"/>
    <n v="1"/>
    <n v="0.1"/>
    <n v="4050"/>
    <n v="1119.72"/>
    <x v="1"/>
    <s v="Shipped"/>
    <n v="4050"/>
    <n v="27.64740740740741"/>
    <s v="Profit"/>
    <s v="Pooja Kulkarni"/>
    <x v="0"/>
    <x v="0"/>
    <s v="Chennai"/>
    <s v="Tamil Nadu"/>
    <s v="2023-03-27"/>
    <s v="26-35"/>
    <n v="1119.72"/>
  </r>
  <r>
    <s v="ORD01054"/>
    <d v="2026-08-24T00:00:00"/>
    <s v="CUST0444"/>
    <x v="2"/>
    <x v="3"/>
    <n v="2"/>
    <n v="0.2"/>
    <n v="24000"/>
    <n v="3030.6"/>
    <x v="1"/>
    <s v="Delivered"/>
    <n v="12000"/>
    <n v="12.6275"/>
    <s v="Profit"/>
    <s v="Harini Naidu"/>
    <x v="0"/>
    <x v="3"/>
    <s v="Guwahati"/>
    <s v="Assam"/>
    <s v="2023-05-21"/>
    <s v="18-25"/>
    <n v="1515.3"/>
  </r>
  <r>
    <s v="ORD01055"/>
    <d v="2025-10-16T00:00:00"/>
    <s v="CUST0516"/>
    <x v="0"/>
    <x v="14"/>
    <n v="2"/>
    <n v="0"/>
    <n v="900"/>
    <n v="220"/>
    <x v="0"/>
    <s v="Shipped"/>
    <n v="450"/>
    <n v="24.444444444444439"/>
    <s v="Profit"/>
    <s v="Rahul Mishra"/>
    <x v="1"/>
    <x v="0"/>
    <s v="Hyderabad"/>
    <s v="Telangana"/>
    <s v="2024-01-31"/>
    <s v="26-35"/>
    <n v="110"/>
  </r>
  <r>
    <s v="ORD01056"/>
    <d v="2025-08-17T00:00:00"/>
    <s v="CUST0326"/>
    <x v="3"/>
    <x v="4"/>
    <n v="3"/>
    <n v="0.05"/>
    <n v="51300"/>
    <n v="8770.65"/>
    <x v="3"/>
    <s v="Delivered"/>
    <n v="17100"/>
    <n v="17.096783625730989"/>
    <s v="Profit"/>
    <s v="Karthik Das"/>
    <x v="0"/>
    <x v="2"/>
    <s v="Lucknow"/>
    <s v="Uttar Pradesh"/>
    <s v="2025-07-07"/>
    <s v="51+"/>
    <n v="2923.55"/>
  </r>
  <r>
    <s v="ORD01057"/>
    <d v="2026-05-19T00:00:00"/>
    <s v="CUST0259"/>
    <x v="1"/>
    <x v="1"/>
    <n v="3"/>
    <n v="0"/>
    <n v="5400"/>
    <n v="-326.83"/>
    <x v="3"/>
    <s v="Returned"/>
    <n v="1800"/>
    <n v="-6.052407407407407"/>
    <s v="Loss"/>
    <s v="Manoj Menon"/>
    <x v="2"/>
    <x v="0"/>
    <s v="Coimbatore"/>
    <s v="Tamil Nadu"/>
    <s v="2023-10-20"/>
    <s v="26-35"/>
    <n v="-108.9433333333333"/>
  </r>
  <r>
    <s v="ORD01058"/>
    <d v="2025-10-27T00:00:00"/>
    <s v="CUST0532"/>
    <x v="3"/>
    <x v="11"/>
    <n v="1"/>
    <n v="0.1"/>
    <n v="2250"/>
    <n v="594.76"/>
    <x v="1"/>
    <s v="Delivered"/>
    <n v="2250"/>
    <n v="26.433777777777781"/>
    <s v="Profit"/>
    <s v="Kavya Khan"/>
    <x v="0"/>
    <x v="2"/>
    <s v="Chandigarh"/>
    <s v="Chandigarh"/>
    <s v="2025-09-23"/>
    <s v="18-25"/>
    <n v="594.76"/>
  </r>
  <r>
    <s v="ORD01059"/>
    <d v="2025-10-25T00:00:00"/>
    <s v="CUST0375"/>
    <x v="1"/>
    <x v="15"/>
    <n v="6"/>
    <n v="0.1"/>
    <n v="11880"/>
    <n v="3746.23"/>
    <x v="0"/>
    <s v="Shipped"/>
    <n v="1980"/>
    <n v="31.533922558922558"/>
    <s v="Profit"/>
    <s v="Sneha Pillai"/>
    <x v="0"/>
    <x v="0"/>
    <s v="Bengaluru"/>
    <s v="Karnataka"/>
    <s v="2024-01-03"/>
    <s v="26-35"/>
    <n v="624.37166666666667"/>
  </r>
  <r>
    <s v="ORD01060"/>
    <d v="2026-03-17T00:00:00"/>
    <s v="CUST0332"/>
    <x v="2"/>
    <x v="2"/>
    <n v="4"/>
    <n v="0.15"/>
    <n v="44200"/>
    <n v="7755.41"/>
    <x v="0"/>
    <s v="Delivered"/>
    <n v="11050"/>
    <n v="17.546176470588239"/>
    <s v="Profit"/>
    <s v="Vikram Rao"/>
    <x v="1"/>
    <x v="0"/>
    <s v="Coimbatore"/>
    <s v="Tamil Nadu"/>
    <s v="2023-07-04"/>
    <s v="26-35"/>
    <n v="1938.8525"/>
  </r>
  <r>
    <s v="ORD01061"/>
    <d v="2025-09-06T00:00:00"/>
    <s v="CUST0411"/>
    <x v="0"/>
    <x v="7"/>
    <n v="1"/>
    <n v="0.15"/>
    <n v="765"/>
    <n v="195.23"/>
    <x v="1"/>
    <s v="Delivered"/>
    <n v="765"/>
    <n v="25.520261437908498"/>
    <s v="Profit"/>
    <s v="Arjun Mehta"/>
    <x v="1"/>
    <x v="0"/>
    <s v="Bengaluru"/>
    <s v="Karnataka"/>
    <s v="2023-02-18"/>
    <s v="36-50"/>
    <n v="195.23"/>
  </r>
  <r>
    <s v="ORD01062"/>
    <d v="2025-09-02T00:00:00"/>
    <s v="CUST0089"/>
    <x v="2"/>
    <x v="2"/>
    <n v="2"/>
    <n v="0"/>
    <n v="26000"/>
    <n v="6400"/>
    <x v="1"/>
    <s v="Delivered"/>
    <n v="13000"/>
    <n v="24.61538461538462"/>
    <s v="Profit"/>
    <s v="Akash Gupta"/>
    <x v="2"/>
    <x v="2"/>
    <s v="Jaipur"/>
    <s v="Rajasthan"/>
    <s v="2025-10-05"/>
    <s v="26-35"/>
    <n v="3200"/>
  </r>
  <r>
    <s v="ORD01063"/>
    <d v="2025-10-24T00:00:00"/>
    <s v="CUST0363"/>
    <x v="3"/>
    <x v="4"/>
    <n v="2"/>
    <n v="0"/>
    <n v="36000"/>
    <n v="7000"/>
    <x v="3"/>
    <s v="Delivered"/>
    <n v="18000"/>
    <n v="19.44444444444445"/>
    <s v="Profit"/>
    <s v="Priya Patel"/>
    <x v="1"/>
    <x v="0"/>
    <s v="Chennai"/>
    <s v="Tamil Nadu"/>
    <s v="2024-01-12"/>
    <s v="51+"/>
    <n v="3500"/>
  </r>
  <r>
    <s v="ORD01064"/>
    <d v="2025-09-19T00:00:00"/>
    <s v="CUST0375"/>
    <x v="0"/>
    <x v="6"/>
    <n v="2"/>
    <n v="0.15"/>
    <n v="595"/>
    <n v="166.84"/>
    <x v="3"/>
    <s v="Shipped"/>
    <n v="297.5"/>
    <n v="28.040336134453781"/>
    <s v="Profit"/>
    <s v="Sneha Pillai"/>
    <x v="0"/>
    <x v="0"/>
    <s v="Bengaluru"/>
    <s v="Karnataka"/>
    <s v="2024-01-03"/>
    <s v="26-35"/>
    <n v="83.42"/>
  </r>
  <r>
    <s v="ORD01065"/>
    <d v="2025-10-09T00:00:00"/>
    <s v="CUST0178"/>
    <x v="2"/>
    <x v="3"/>
    <n v="1"/>
    <n v="0"/>
    <n v="15000"/>
    <n v="3500"/>
    <x v="2"/>
    <s v="Delivered"/>
    <n v="15000"/>
    <n v="23.333333333333329"/>
    <s v="Profit"/>
    <s v="Ananya Pillai"/>
    <x v="0"/>
    <x v="1"/>
    <s v="Pune"/>
    <s v="Maharashtra"/>
    <s v="2025-02-10"/>
    <s v="26-35"/>
    <n v="3500"/>
  </r>
  <r>
    <s v="ORD01066"/>
    <d v="2025-07-18T00:00:00"/>
    <s v="CUST0287"/>
    <x v="0"/>
    <x v="0"/>
    <n v="2"/>
    <n v="0.15"/>
    <n v="23800"/>
    <n v="-15023.69"/>
    <x v="3"/>
    <s v="Cancelled"/>
    <n v="11900"/>
    <n v="-63.124747899159658"/>
    <s v="Loss"/>
    <s v="Akash Pillai"/>
    <x v="1"/>
    <x v="0"/>
    <s v="Chennai"/>
    <s v="Tamil Nadu"/>
    <s v="2023-07-20"/>
    <s v="18-25"/>
    <n v="-7511.8450000000003"/>
  </r>
  <r>
    <s v="ORD01067"/>
    <d v="2026-04-02T00:00:00"/>
    <s v="CUST0230"/>
    <x v="1"/>
    <x v="12"/>
    <n v="1"/>
    <n v="0.15"/>
    <n v="1190"/>
    <n v="395.33"/>
    <x v="1"/>
    <s v="Delivered"/>
    <n v="1190"/>
    <n v="33.221008403361338"/>
    <s v="Profit"/>
    <s v="Ishaan Iyer"/>
    <x v="0"/>
    <x v="0"/>
    <s v="Bengaluru"/>
    <s v="Karnataka"/>
    <s v="2025-11-29"/>
    <s v="26-35"/>
    <n v="395.33"/>
  </r>
  <r>
    <s v="ORD01068"/>
    <d v="2026-05-26T00:00:00"/>
    <s v="CUST0264"/>
    <x v="2"/>
    <x v="5"/>
    <n v="1"/>
    <n v="0.1"/>
    <n v="9900"/>
    <n v="1813.08"/>
    <x v="3"/>
    <s v="Delivered"/>
    <n v="9900"/>
    <n v="18.313939393939389"/>
    <s v="Profit"/>
    <s v="Sneha Kulkarni"/>
    <x v="1"/>
    <x v="0"/>
    <s v="Chennai"/>
    <s v="Tamil Nadu"/>
    <s v="2024-02-11"/>
    <s v="51+"/>
    <n v="1813.08"/>
  </r>
  <r>
    <s v="ORD01069"/>
    <d v="2025-08-14T00:00:00"/>
    <s v="CUST0099"/>
    <x v="2"/>
    <x v="2"/>
    <n v="5"/>
    <n v="0.15"/>
    <n v="55250"/>
    <n v="-34088.47"/>
    <x v="3"/>
    <s v="Cancelled"/>
    <n v="11050"/>
    <n v="-61.698588235294118"/>
    <s v="Loss"/>
    <s v="Ananya Mehta"/>
    <x v="1"/>
    <x v="2"/>
    <s v="Chandigarh"/>
    <s v="Chandigarh"/>
    <s v="2025-06-15"/>
    <s v="36-50"/>
    <n v="-6817.6940000000004"/>
  </r>
  <r>
    <s v="ORD01070"/>
    <d v="2026-03-12T00:00:00"/>
    <s v="CUST0017"/>
    <x v="0"/>
    <x v="0"/>
    <n v="4"/>
    <n v="0.15"/>
    <n v="47600"/>
    <n v="7360.59"/>
    <x v="0"/>
    <s v="Delivered"/>
    <n v="11900"/>
    <n v="15.4634243697479"/>
    <s v="Profit"/>
    <s v="Varun Rao"/>
    <x v="0"/>
    <x v="1"/>
    <s v="Surat"/>
    <s v="Gujarat"/>
    <s v="2025-10-21"/>
    <s v="26-35"/>
    <n v="1840.1475"/>
  </r>
  <r>
    <s v="ORD01071"/>
    <d v="2025-08-18T00:00:00"/>
    <s v="CUST0351"/>
    <x v="0"/>
    <x v="6"/>
    <n v="2"/>
    <n v="0.05"/>
    <n v="665"/>
    <n v="212.14"/>
    <x v="2"/>
    <s v="Delivered"/>
    <n v="332.5"/>
    <n v="31.90075187969925"/>
    <s v="Profit"/>
    <s v="Aarav Naidu"/>
    <x v="0"/>
    <x v="0"/>
    <s v="Hyderabad"/>
    <s v="Telangana"/>
    <s v="2024-09-17"/>
    <s v="26-35"/>
    <n v="106.07"/>
  </r>
  <r>
    <s v="ORD01072"/>
    <d v="2025-07-05T00:00:00"/>
    <s v="CUST0429"/>
    <x v="3"/>
    <x v="11"/>
    <n v="3"/>
    <n v="0"/>
    <n v="7500"/>
    <n v="2400"/>
    <x v="0"/>
    <s v="Shipped"/>
    <n v="2500"/>
    <n v="32"/>
    <s v="Profit"/>
    <s v="Pooja Mishra"/>
    <x v="1"/>
    <x v="3"/>
    <s v="Bhubaneswar"/>
    <s v="Odisha"/>
    <s v="2023-01-22"/>
    <s v="36-50"/>
    <n v="800"/>
  </r>
  <r>
    <s v="ORD01073"/>
    <d v="2026-01-17T00:00:00"/>
    <s v="CUST0061"/>
    <x v="1"/>
    <x v="15"/>
    <n v="5"/>
    <n v="0.2"/>
    <n v="8800"/>
    <n v="2168.88"/>
    <x v="0"/>
    <s v="Shipped"/>
    <n v="1760"/>
    <n v="24.646363636363638"/>
    <s v="Profit"/>
    <s v="Meera Kulkarni"/>
    <x v="0"/>
    <x v="0"/>
    <s v="Bengaluru"/>
    <s v="Karnataka"/>
    <s v="2024-11-07"/>
    <s v="18-25"/>
    <n v="433.77600000000001"/>
  </r>
  <r>
    <s v="ORD01074"/>
    <d v="2025-10-09T00:00:00"/>
    <s v="CUST0447"/>
    <x v="3"/>
    <x v="8"/>
    <n v="3"/>
    <n v="0.2"/>
    <n v="10800"/>
    <n v="2232.29"/>
    <x v="2"/>
    <s v="Shipped"/>
    <n v="3600"/>
    <n v="20.66935185185185"/>
    <s v="Profit"/>
    <s v="Aarav Iyer"/>
    <x v="2"/>
    <x v="0"/>
    <s v="Hyderabad"/>
    <s v="Telangana"/>
    <s v="2024-09-12"/>
    <s v="36-50"/>
    <n v="744.09666666666669"/>
  </r>
  <r>
    <s v="ORD01075"/>
    <d v="2025-11-08T00:00:00"/>
    <s v="CUST0426"/>
    <x v="2"/>
    <x v="9"/>
    <n v="3"/>
    <n v="0.05"/>
    <n v="25650"/>
    <n v="6268.09"/>
    <x v="3"/>
    <s v="Delivered"/>
    <n v="8550"/>
    <n v="24.436998050682259"/>
    <s v="Profit"/>
    <s v="Sneha Rao"/>
    <x v="1"/>
    <x v="2"/>
    <s v="Lucknow"/>
    <s v="Uttar Pradesh"/>
    <s v="2025-02-23"/>
    <s v="36-50"/>
    <n v="2089.3633333333328"/>
  </r>
  <r>
    <s v="ORD01076"/>
    <d v="2026-01-22T00:00:00"/>
    <s v="CUST0301"/>
    <x v="3"/>
    <x v="4"/>
    <n v="5"/>
    <n v="0.1"/>
    <n v="81000"/>
    <n v="11223.95"/>
    <x v="1"/>
    <s v="Delivered"/>
    <n v="16200"/>
    <n v="13.856728395061729"/>
    <s v="Profit"/>
    <s v="Pooja Bose"/>
    <x v="0"/>
    <x v="0"/>
    <s v="Bengaluru"/>
    <s v="Karnataka"/>
    <s v="2025-11-12"/>
    <s v="26-35"/>
    <n v="2244.79"/>
  </r>
  <r>
    <s v="ORD01077"/>
    <d v="2026-04-07T00:00:00"/>
    <s v="CUST0102"/>
    <x v="2"/>
    <x v="9"/>
    <n v="3"/>
    <n v="0.05"/>
    <n v="25650"/>
    <n v="-3774.6"/>
    <x v="1"/>
    <s v="Cancelled"/>
    <n v="8550"/>
    <n v="-14.715789473684209"/>
    <s v="Loss"/>
    <s v="Akash Bose"/>
    <x v="0"/>
    <x v="2"/>
    <s v="Jaipur"/>
    <s v="Rajasthan"/>
    <s v="2023-03-30"/>
    <s v="36-50"/>
    <n v="-1258.2"/>
  </r>
  <r>
    <s v="ORD01078"/>
    <d v="2026-07-18T00:00:00"/>
    <s v="CUST0596"/>
    <x v="3"/>
    <x v="8"/>
    <n v="2"/>
    <n v="0"/>
    <n v="9000"/>
    <n v="3000"/>
    <x v="1"/>
    <s v="Delivered"/>
    <n v="4500"/>
    <n v="33.333333333333329"/>
    <s v="Profit"/>
    <s v="Manoj Rao"/>
    <x v="0"/>
    <x v="0"/>
    <s v="Bengaluru"/>
    <s v="Karnataka"/>
    <s v="2024-01-21"/>
    <s v="18-25"/>
    <n v="1500"/>
  </r>
  <r>
    <s v="ORD01079"/>
    <d v="2026-07-23T00:00:00"/>
    <s v="CUST0197"/>
    <x v="0"/>
    <x v="6"/>
    <n v="4"/>
    <n v="0.15"/>
    <n v="1190"/>
    <n v="310.64999999999998"/>
    <x v="0"/>
    <s v="Delivered"/>
    <n v="297.5"/>
    <n v="26.105042016806721"/>
    <s v="Profit"/>
    <s v="Varun Sharma"/>
    <x v="1"/>
    <x v="2"/>
    <s v="Chandigarh"/>
    <s v="Chandigarh"/>
    <s v="2025-06-08"/>
    <s v="26-35"/>
    <n v="77.662499999999994"/>
  </r>
  <r>
    <s v="ORD01080"/>
    <d v="2026-01-08T00:00:00"/>
    <s v="CUST0224"/>
    <x v="3"/>
    <x v="10"/>
    <n v="3"/>
    <n v="0"/>
    <n v="165000"/>
    <n v="27000"/>
    <x v="1"/>
    <s v="Delivered"/>
    <n v="55000"/>
    <n v="16.36363636363636"/>
    <s v="Profit"/>
    <s v="Varun Menon"/>
    <x v="1"/>
    <x v="1"/>
    <s v="Mumbai"/>
    <s v="Maharashtra"/>
    <s v="2023-02-06"/>
    <s v="18-25"/>
    <n v="9000"/>
  </r>
  <r>
    <s v="ORD01081"/>
    <d v="2026-08-20T00:00:00"/>
    <s v="CUST0347"/>
    <x v="1"/>
    <x v="15"/>
    <n v="4"/>
    <n v="0"/>
    <n v="8800"/>
    <n v="3000"/>
    <x v="0"/>
    <s v="Delivered"/>
    <n v="2200"/>
    <n v="34.090909090909093"/>
    <s v="Profit"/>
    <s v="Shreya Iyer"/>
    <x v="0"/>
    <x v="0"/>
    <s v="Bengaluru"/>
    <s v="Karnataka"/>
    <s v="2023-08-21"/>
    <s v="36-50"/>
    <n v="750"/>
  </r>
  <r>
    <s v="ORD01082"/>
    <d v="2026-06-06T00:00:00"/>
    <s v="CUST0570"/>
    <x v="2"/>
    <x v="5"/>
    <n v="4"/>
    <n v="0.05"/>
    <n v="41800"/>
    <n v="9305.9699999999993"/>
    <x v="1"/>
    <s v="Delivered"/>
    <n v="10450"/>
    <n v="22.263086124401909"/>
    <s v="Profit"/>
    <s v="Divya Sharma"/>
    <x v="2"/>
    <x v="2"/>
    <s v="Delhi"/>
    <s v="Delhi"/>
    <s v="2024-10-31"/>
    <s v="18-25"/>
    <n v="2326.4924999999998"/>
  </r>
  <r>
    <s v="ORD01083"/>
    <d v="2026-07-22T00:00:00"/>
    <s v="CUST0474"/>
    <x v="3"/>
    <x v="11"/>
    <n v="2"/>
    <n v="0"/>
    <n v="5000"/>
    <n v="1600"/>
    <x v="0"/>
    <s v="Delivered"/>
    <n v="2500"/>
    <n v="32"/>
    <s v="Profit"/>
    <s v="Meera Chopra"/>
    <x v="2"/>
    <x v="0"/>
    <s v="Hyderabad"/>
    <s v="Telangana"/>
    <s v="2023-02-16"/>
    <s v="36-50"/>
    <n v="800"/>
  </r>
  <r>
    <s v="ORD01084"/>
    <d v="2025-08-31T00:00:00"/>
    <s v="CUST0283"/>
    <x v="0"/>
    <x v="6"/>
    <n v="4"/>
    <n v="0.2"/>
    <n v="1120"/>
    <n v="315.54000000000002"/>
    <x v="0"/>
    <s v="Shipped"/>
    <n v="280"/>
    <n v="28.173214285714291"/>
    <s v="Profit"/>
    <s v="Manoj Gupta"/>
    <x v="0"/>
    <x v="1"/>
    <s v="Surat"/>
    <s v="Gujarat"/>
    <s v="2025-04-15"/>
    <s v="36-50"/>
    <n v="78.885000000000005"/>
  </r>
  <r>
    <s v="ORD01085"/>
    <d v="2026-07-08T00:00:00"/>
    <s v="CUST0475"/>
    <x v="1"/>
    <x v="13"/>
    <n v="10"/>
    <n v="0.15"/>
    <n v="35700"/>
    <n v="8368.7800000000007"/>
    <x v="3"/>
    <s v="Delivered"/>
    <n v="3570"/>
    <n v="23.441960784313729"/>
    <s v="Profit"/>
    <s v="Divya Verma"/>
    <x v="0"/>
    <x v="0"/>
    <s v="Bengaluru"/>
    <s v="Karnataka"/>
    <s v="2025-12-10"/>
    <s v="26-35"/>
    <n v="836.87800000000004"/>
  </r>
  <r>
    <s v="ORD01086"/>
    <d v="2025-08-31T00:00:00"/>
    <s v="CUST0031"/>
    <x v="0"/>
    <x v="6"/>
    <n v="1"/>
    <n v="0.15"/>
    <n v="297.5"/>
    <n v="96.32"/>
    <x v="2"/>
    <s v="Delivered"/>
    <n v="297.5"/>
    <n v="32.376470588235293"/>
    <s v="Profit"/>
    <s v="Priya Mishra"/>
    <x v="2"/>
    <x v="0"/>
    <s v="Bengaluru"/>
    <s v="Karnataka"/>
    <s v="2023-05-09"/>
    <s v="51+"/>
    <n v="96.32"/>
  </r>
  <r>
    <s v="ORD01087"/>
    <d v="2026-08-23T00:00:00"/>
    <s v="CUST0287"/>
    <x v="2"/>
    <x v="2"/>
    <n v="2"/>
    <n v="0.15"/>
    <n v="22100"/>
    <n v="4101.05"/>
    <x v="1"/>
    <s v="Delivered"/>
    <n v="11050"/>
    <n v="18.556787330316741"/>
    <s v="Profit"/>
    <s v="Akash Pillai"/>
    <x v="1"/>
    <x v="0"/>
    <s v="Chennai"/>
    <s v="Tamil Nadu"/>
    <s v="2023-07-20"/>
    <s v="18-25"/>
    <n v="2050.5250000000001"/>
  </r>
  <r>
    <s v="ORD01088"/>
    <d v="2025-11-19T00:00:00"/>
    <s v="CUST0440"/>
    <x v="0"/>
    <x v="6"/>
    <n v="1"/>
    <n v="0.1"/>
    <n v="315"/>
    <n v="-54.87"/>
    <x v="3"/>
    <s v="Cancelled"/>
    <n v="315"/>
    <n v="-17.419047619047621"/>
    <s v="Loss"/>
    <s v="Harini Sharma"/>
    <x v="1"/>
    <x v="0"/>
    <s v="Hyderabad"/>
    <s v="Telangana"/>
    <s v="2024-06-03"/>
    <s v="18-25"/>
    <n v="-54.87"/>
  </r>
  <r>
    <s v="ORD01089"/>
    <d v="2026-03-04T00:00:00"/>
    <s v="CUST0225"/>
    <x v="1"/>
    <x v="15"/>
    <n v="2"/>
    <n v="0"/>
    <n v="4400"/>
    <n v="1500"/>
    <x v="3"/>
    <s v="Delivered"/>
    <n v="2200"/>
    <n v="34.090909090909093"/>
    <s v="Profit"/>
    <s v="Meera Khan"/>
    <x v="2"/>
    <x v="0"/>
    <s v="Coimbatore"/>
    <s v="Tamil Nadu"/>
    <s v="2025-12-18"/>
    <s v="26-35"/>
    <n v="750"/>
  </r>
  <r>
    <s v="ORD01090"/>
    <d v="2025-12-10T00:00:00"/>
    <s v="CUST0209"/>
    <x v="0"/>
    <x v="6"/>
    <n v="4"/>
    <n v="0.1"/>
    <n v="1260"/>
    <n v="416.24"/>
    <x v="3"/>
    <s v="Delivered"/>
    <n v="315"/>
    <n v="33.034920634920631"/>
    <s v="Profit"/>
    <s v="Rahul Naidu"/>
    <x v="0"/>
    <x v="0"/>
    <s v="Hyderabad"/>
    <s v="Telangana"/>
    <s v="2023-02-09"/>
    <s v="36-50"/>
    <n v="104.06"/>
  </r>
  <r>
    <s v="ORD01091"/>
    <d v="2026-08-13T00:00:00"/>
    <s v="CUST0343"/>
    <x v="3"/>
    <x v="11"/>
    <n v="2"/>
    <n v="0.05"/>
    <n v="4750"/>
    <n v="1455.95"/>
    <x v="1"/>
    <s v="Delivered"/>
    <n v="2375"/>
    <n v="30.651578947368421"/>
    <s v="Profit"/>
    <s v="Meera Iyer"/>
    <x v="0"/>
    <x v="0"/>
    <s v="Bengaluru"/>
    <s v="Karnataka"/>
    <s v="2024-08-02"/>
    <s v="36-50"/>
    <n v="727.97500000000002"/>
  </r>
  <r>
    <s v="ORD01092"/>
    <d v="2025-08-05T00:00:00"/>
    <s v="CUST0197"/>
    <x v="0"/>
    <x v="6"/>
    <n v="2"/>
    <n v="0.1"/>
    <n v="630"/>
    <n v="184.76"/>
    <x v="2"/>
    <s v="Delivered"/>
    <n v="315"/>
    <n v="29.326984126984119"/>
    <s v="Profit"/>
    <s v="Varun Sharma"/>
    <x v="1"/>
    <x v="2"/>
    <s v="Chandigarh"/>
    <s v="Chandigarh"/>
    <s v="2025-06-08"/>
    <s v="26-35"/>
    <n v="92.38"/>
  </r>
  <r>
    <s v="ORD01093"/>
    <d v="2025-12-07T00:00:00"/>
    <s v="CUST0166"/>
    <x v="3"/>
    <x v="11"/>
    <n v="4"/>
    <n v="0.05"/>
    <n v="9500"/>
    <n v="2887.6"/>
    <x v="2"/>
    <s v="Delivered"/>
    <n v="2375"/>
    <n v="30.395789473684211"/>
    <s v="Profit"/>
    <s v="Arjun Gupta"/>
    <x v="2"/>
    <x v="0"/>
    <s v="Chennai"/>
    <s v="Tamil Nadu"/>
    <s v="2024-10-19"/>
    <s v="18-25"/>
    <n v="721.9"/>
  </r>
  <r>
    <s v="ORD01094"/>
    <d v="2025-08-01T00:00:00"/>
    <s v="CUST0119"/>
    <x v="2"/>
    <x v="3"/>
    <n v="1"/>
    <n v="0.1"/>
    <n v="13500"/>
    <n v="2372.11"/>
    <x v="2"/>
    <s v="Delivered"/>
    <n v="13500"/>
    <n v="17.57118518518519"/>
    <s v="Profit"/>
    <s v="Divya Naidu"/>
    <x v="1"/>
    <x v="0"/>
    <s v="Coimbatore"/>
    <s v="Tamil Nadu"/>
    <s v="2023-05-25"/>
    <s v="36-50"/>
    <n v="2372.11"/>
  </r>
  <r>
    <s v="ORD01095"/>
    <d v="2025-11-30T00:00:00"/>
    <s v="CUST0404"/>
    <x v="3"/>
    <x v="10"/>
    <n v="3"/>
    <n v="0"/>
    <n v="165000"/>
    <n v="27000"/>
    <x v="1"/>
    <s v="Delivered"/>
    <n v="55000"/>
    <n v="16.36363636363636"/>
    <s v="Profit"/>
    <s v="Pooja Kulkarni"/>
    <x v="0"/>
    <x v="1"/>
    <s v="Ahmedabad"/>
    <s v="Gujarat"/>
    <s v="2025-04-01"/>
    <s v="36-50"/>
    <n v="9000"/>
  </r>
  <r>
    <s v="ORD01096"/>
    <d v="2026-02-04T00:00:00"/>
    <s v="CUST0600"/>
    <x v="2"/>
    <x v="9"/>
    <n v="1"/>
    <n v="0.15"/>
    <n v="7650"/>
    <n v="1425.62"/>
    <x v="0"/>
    <s v="Shipped"/>
    <n v="7650"/>
    <n v="18.635555555555559"/>
    <s v="Profit"/>
    <s v="Shreya Sharma"/>
    <x v="2"/>
    <x v="2"/>
    <s v="Jaipur"/>
    <s v="Rajasthan"/>
    <s v="2024-09-15"/>
    <s v="36-50"/>
    <n v="1425.62"/>
  </r>
  <r>
    <s v="ORD01097"/>
    <d v="2025-12-11T00:00:00"/>
    <s v="CUST0449"/>
    <x v="2"/>
    <x v="2"/>
    <n v="3"/>
    <n v="0.3"/>
    <n v="27300"/>
    <n v="1543.52"/>
    <x v="2"/>
    <s v="Shipped"/>
    <n v="9100"/>
    <n v="5.6539194139194144"/>
    <s v="Profit"/>
    <s v="Ishaan Kulkarni"/>
    <x v="0"/>
    <x v="1"/>
    <s v="Pune"/>
    <s v="Maharashtra"/>
    <s v="2023-06-12"/>
    <s v="36-50"/>
    <n v="514.50666666666666"/>
  </r>
  <r>
    <s v="ORD01098"/>
    <d v="2025-11-22T00:00:00"/>
    <s v="CUST0510"/>
    <x v="2"/>
    <x v="9"/>
    <n v="2"/>
    <n v="0.1"/>
    <n v="16200"/>
    <n v="-2303.4"/>
    <x v="3"/>
    <s v="Returned"/>
    <n v="8100"/>
    <n v="-14.21851851851852"/>
    <s v="Loss"/>
    <s v="Vikram Singh"/>
    <x v="1"/>
    <x v="0"/>
    <s v="Coimbatore"/>
    <s v="Tamil Nadu"/>
    <s v="2024-08-20"/>
    <s v="36-50"/>
    <n v="-1151.7"/>
  </r>
  <r>
    <s v="ORD01099"/>
    <d v="2026-04-20T00:00:00"/>
    <s v="CUST0573"/>
    <x v="1"/>
    <x v="13"/>
    <n v="1"/>
    <n v="0.1"/>
    <n v="3780"/>
    <n v="926.73"/>
    <x v="1"/>
    <s v="Delivered"/>
    <n v="3780"/>
    <n v="24.516666666666669"/>
    <s v="Profit"/>
    <s v="Aditya Pillai"/>
    <x v="0"/>
    <x v="1"/>
    <s v="Surat"/>
    <s v="Gujarat"/>
    <s v="2024-03-11"/>
    <s v="18-25"/>
    <n v="926.73"/>
  </r>
  <r>
    <s v="ORD01100"/>
    <d v="2026-08-22T00:00:00"/>
    <s v="CUST0407"/>
    <x v="0"/>
    <x v="6"/>
    <n v="1"/>
    <n v="0.2"/>
    <n v="280"/>
    <n v="73.400000000000006"/>
    <x v="2"/>
    <s v="Delivered"/>
    <n v="280"/>
    <n v="26.214285714285719"/>
    <s v="Profit"/>
    <s v="Sneha Verma"/>
    <x v="2"/>
    <x v="2"/>
    <s v="Lucknow"/>
    <s v="Uttar Pradesh"/>
    <s v="2024-09-16"/>
    <s v="36-50"/>
    <n v="73.400000000000006"/>
  </r>
  <r>
    <s v="ORD01101"/>
    <d v="2026-02-26T00:00:00"/>
    <s v="CUST0195"/>
    <x v="2"/>
    <x v="2"/>
    <n v="5"/>
    <n v="0"/>
    <n v="65000"/>
    <n v="16000"/>
    <x v="3"/>
    <s v="Shipped"/>
    <n v="13000"/>
    <n v="24.61538461538462"/>
    <s v="Profit"/>
    <s v="Nisha Kulkarni"/>
    <x v="1"/>
    <x v="0"/>
    <s v="Coimbatore"/>
    <s v="Tamil Nadu"/>
    <s v="2024-04-23"/>
    <s v="18-25"/>
    <n v="3200"/>
  </r>
  <r>
    <s v="ORD01102"/>
    <d v="2026-01-03T00:00:00"/>
    <s v="CUST0474"/>
    <x v="0"/>
    <x v="7"/>
    <n v="1"/>
    <n v="0.15"/>
    <n v="765"/>
    <n v="170.52"/>
    <x v="3"/>
    <s v="Delivered"/>
    <n v="765"/>
    <n v="22.290196078431379"/>
    <s v="Profit"/>
    <s v="Meera Chopra"/>
    <x v="2"/>
    <x v="0"/>
    <s v="Hyderabad"/>
    <s v="Telangana"/>
    <s v="2023-02-16"/>
    <s v="36-50"/>
    <n v="170.52"/>
  </r>
  <r>
    <s v="ORD01103"/>
    <d v="2026-03-01T00:00:00"/>
    <s v="CUST0528"/>
    <x v="3"/>
    <x v="8"/>
    <n v="3"/>
    <n v="0.1"/>
    <n v="12150"/>
    <n v="3867.61"/>
    <x v="3"/>
    <s v="Delivered"/>
    <n v="4050"/>
    <n v="31.83218106995885"/>
    <s v="Profit"/>
    <s v="Karthik Menon"/>
    <x v="0"/>
    <x v="0"/>
    <s v="Chennai"/>
    <s v="Tamil Nadu"/>
    <s v="2024-07-24"/>
    <s v="36-50"/>
    <n v="1289.2033333333329"/>
  </r>
  <r>
    <s v="ORD01104"/>
    <d v="2025-10-29T00:00:00"/>
    <s v="CUST0327"/>
    <x v="0"/>
    <x v="0"/>
    <n v="2"/>
    <n v="0"/>
    <n v="28000"/>
    <n v="5600"/>
    <x v="3"/>
    <s v="Shipped"/>
    <n v="14000"/>
    <n v="20"/>
    <s v="Profit"/>
    <s v="Sanjay Singh"/>
    <x v="1"/>
    <x v="1"/>
    <s v="Pune"/>
    <s v="Maharashtra"/>
    <s v="2023-11-03"/>
    <s v="18-25"/>
    <n v="2800"/>
  </r>
  <r>
    <s v="ORD01105"/>
    <d v="2025-11-12T00:00:00"/>
    <s v="CUST0173"/>
    <x v="1"/>
    <x v="13"/>
    <n v="3"/>
    <n v="0.1"/>
    <n v="11340"/>
    <n v="2639.8"/>
    <x v="0"/>
    <s v="Shipped"/>
    <n v="3780"/>
    <n v="23.27865961199295"/>
    <s v="Profit"/>
    <s v="Rohan Rao"/>
    <x v="1"/>
    <x v="0"/>
    <s v="Bengaluru"/>
    <s v="Karnataka"/>
    <s v="2024-03-17"/>
    <s v="18-25"/>
    <n v="879.93333333333339"/>
  </r>
  <r>
    <s v="ORD01106"/>
    <d v="2026-05-31T00:00:00"/>
    <s v="CUST0223"/>
    <x v="2"/>
    <x v="2"/>
    <n v="6"/>
    <n v="0.15"/>
    <n v="66300"/>
    <n v="11826.27"/>
    <x v="0"/>
    <s v="Delivered"/>
    <n v="11050"/>
    <n v="17.837511312217199"/>
    <s v="Profit"/>
    <s v="Akash Bose"/>
    <x v="0"/>
    <x v="0"/>
    <s v="Chennai"/>
    <s v="Tamil Nadu"/>
    <s v="2023-12-31"/>
    <s v="18-25"/>
    <n v="1971.0450000000001"/>
  </r>
  <r>
    <s v="ORD01107"/>
    <d v="2026-05-08T00:00:00"/>
    <s v="CUST0265"/>
    <x v="0"/>
    <x v="7"/>
    <n v="2"/>
    <n v="0.05"/>
    <n v="1710"/>
    <n v="487.6"/>
    <x v="1"/>
    <s v="Delivered"/>
    <n v="855"/>
    <n v="28.51461988304094"/>
    <s v="Profit"/>
    <s v="Aditya Rao"/>
    <x v="0"/>
    <x v="2"/>
    <s v="Jaipur"/>
    <s v="Rajasthan"/>
    <s v="2023-07-24"/>
    <s v="51+"/>
    <n v="243.8"/>
  </r>
  <r>
    <s v="ORD01108"/>
    <d v="2026-08-23T00:00:00"/>
    <s v="CUST0521"/>
    <x v="2"/>
    <x v="3"/>
    <n v="2"/>
    <n v="0.2"/>
    <n v="24000"/>
    <n v="4051.44"/>
    <x v="0"/>
    <s v="Delivered"/>
    <n v="12000"/>
    <n v="16.881"/>
    <s v="Profit"/>
    <s v="Priya Singh"/>
    <x v="0"/>
    <x v="0"/>
    <s v="Bengaluru"/>
    <s v="Karnataka"/>
    <s v="2025-11-16"/>
    <s v="51+"/>
    <n v="2025.72"/>
  </r>
  <r>
    <s v="ORD01109"/>
    <d v="2025-11-21T00:00:00"/>
    <s v="CUST0335"/>
    <x v="2"/>
    <x v="3"/>
    <n v="4"/>
    <n v="0"/>
    <n v="60000"/>
    <n v="14000"/>
    <x v="3"/>
    <s v="Delivered"/>
    <n v="15000"/>
    <n v="23.333333333333329"/>
    <s v="Profit"/>
    <s v="Diya Pillai"/>
    <x v="0"/>
    <x v="0"/>
    <s v="Bengaluru"/>
    <s v="Karnataka"/>
    <s v="2025-05-24"/>
    <s v="36-50"/>
    <n v="3500"/>
  </r>
  <r>
    <s v="ORD01110"/>
    <d v="2025-08-16T00:00:00"/>
    <s v="CUST0341"/>
    <x v="0"/>
    <x v="0"/>
    <n v="3"/>
    <n v="0.1"/>
    <n v="37800"/>
    <n v="-22493.37"/>
    <x v="0"/>
    <s v="Returned"/>
    <n v="12600"/>
    <n v="-59.506269841269841"/>
    <s v="Loss"/>
    <s v="Arjun Mehta"/>
    <x v="1"/>
    <x v="0"/>
    <s v="Coimbatore"/>
    <s v="Tamil Nadu"/>
    <s v="2023-11-21"/>
    <s v="26-35"/>
    <n v="-7497.79"/>
  </r>
  <r>
    <s v="ORD01111"/>
    <d v="2025-12-07T00:00:00"/>
    <s v="CUST0357"/>
    <x v="1"/>
    <x v="15"/>
    <n v="1"/>
    <n v="0.15"/>
    <n v="1870"/>
    <n v="480.31"/>
    <x v="2"/>
    <s v="Delivered"/>
    <n v="1870"/>
    <n v="25.68502673796791"/>
    <s v="Profit"/>
    <s v="Aarav Gupta"/>
    <x v="2"/>
    <x v="2"/>
    <s v="Chandigarh"/>
    <s v="Chandigarh"/>
    <s v="2023-04-16"/>
    <s v="26-35"/>
    <n v="480.31"/>
  </r>
  <r>
    <s v="ORD01112"/>
    <d v="2025-08-07T00:00:00"/>
    <s v="CUST0125"/>
    <x v="1"/>
    <x v="15"/>
    <n v="4"/>
    <n v="0"/>
    <n v="8800"/>
    <n v="-1958.31"/>
    <x v="0"/>
    <s v="Returned"/>
    <n v="2200"/>
    <n v="-22.253522727272731"/>
    <s v="Loss"/>
    <s v="Diya Singh"/>
    <x v="2"/>
    <x v="3"/>
    <s v="Patna"/>
    <s v="Bihar"/>
    <s v="2023-08-16"/>
    <s v="36-50"/>
    <n v="-489.57749999999999"/>
  </r>
  <r>
    <s v="ORD01113"/>
    <d v="2025-09-09T00:00:00"/>
    <s v="CUST0236"/>
    <x v="2"/>
    <x v="3"/>
    <n v="1"/>
    <n v="0.15"/>
    <n v="12750"/>
    <n v="2073.5700000000002"/>
    <x v="0"/>
    <s v="Delivered"/>
    <n v="12750"/>
    <n v="16.26329411764706"/>
    <s v="Profit"/>
    <s v="Akash Sharma"/>
    <x v="0"/>
    <x v="3"/>
    <s v="Guwahati"/>
    <s v="Assam"/>
    <s v="2024-04-07"/>
    <s v="36-50"/>
    <n v="2073.5700000000002"/>
  </r>
  <r>
    <s v="ORD01114"/>
    <d v="2026-06-11T00:00:00"/>
    <s v="CUST0079"/>
    <x v="3"/>
    <x v="10"/>
    <n v="2"/>
    <n v="0.1"/>
    <n v="99000"/>
    <n v="9802.7199999999993"/>
    <x v="3"/>
    <s v="Delivered"/>
    <n v="49500"/>
    <n v="9.9017373737373742"/>
    <s v="Profit"/>
    <s v="Akash Mehta"/>
    <x v="0"/>
    <x v="0"/>
    <s v="Chennai"/>
    <s v="Tamil Nadu"/>
    <s v="2024-07-12"/>
    <s v="51+"/>
    <n v="4901.3599999999997"/>
  </r>
  <r>
    <s v="ORD01115"/>
    <d v="2026-04-29T00:00:00"/>
    <s v="CUST0540"/>
    <x v="2"/>
    <x v="2"/>
    <n v="4"/>
    <n v="0.15"/>
    <n v="44200"/>
    <n v="6984.75"/>
    <x v="0"/>
    <s v="Delivered"/>
    <n v="11050"/>
    <n v="15.80260180995475"/>
    <s v="Profit"/>
    <s v="Kavya Rao"/>
    <x v="0"/>
    <x v="0"/>
    <s v="Chennai"/>
    <s v="Tamil Nadu"/>
    <s v="2023-09-30"/>
    <s v="18-25"/>
    <n v="1746.1875"/>
  </r>
  <r>
    <s v="ORD01116"/>
    <d v="2025-07-14T00:00:00"/>
    <s v="CUST0145"/>
    <x v="0"/>
    <x v="14"/>
    <n v="2"/>
    <n v="0"/>
    <n v="900"/>
    <n v="220"/>
    <x v="2"/>
    <s v="Delivered"/>
    <n v="450"/>
    <n v="24.444444444444439"/>
    <s v="Profit"/>
    <s v="Arjun Das"/>
    <x v="0"/>
    <x v="1"/>
    <s v="Ahmedabad"/>
    <s v="Gujarat"/>
    <s v="2023-06-06"/>
    <s v="51+"/>
    <n v="110"/>
  </r>
  <r>
    <s v="ORD01117"/>
    <d v="2026-08-24T00:00:00"/>
    <s v="CUST0440"/>
    <x v="3"/>
    <x v="8"/>
    <n v="5"/>
    <n v="0.1"/>
    <n v="20250"/>
    <n v="6345.6"/>
    <x v="1"/>
    <s v="Delivered"/>
    <n v="4050"/>
    <n v="31.3362962962963"/>
    <s v="Profit"/>
    <s v="Harini Sharma"/>
    <x v="1"/>
    <x v="0"/>
    <s v="Hyderabad"/>
    <s v="Telangana"/>
    <s v="2024-06-03"/>
    <s v="18-25"/>
    <n v="1269.1199999999999"/>
  </r>
  <r>
    <s v="ORD01118"/>
    <d v="2025-12-15T00:00:00"/>
    <s v="CUST0431"/>
    <x v="1"/>
    <x v="13"/>
    <n v="2"/>
    <n v="0.05"/>
    <n v="7980"/>
    <n v="2159.86"/>
    <x v="0"/>
    <s v="Delivered"/>
    <n v="3990"/>
    <n v="27.065914786967419"/>
    <s v="Profit"/>
    <s v="Manoj Naidu"/>
    <x v="1"/>
    <x v="0"/>
    <s v="Bengaluru"/>
    <s v="Karnataka"/>
    <s v="2023-01-16"/>
    <s v="36-50"/>
    <n v="1079.93"/>
  </r>
  <r>
    <s v="ORD01119"/>
    <d v="2026-03-28T00:00:00"/>
    <s v="CUST0329"/>
    <x v="3"/>
    <x v="8"/>
    <n v="2"/>
    <n v="0.2"/>
    <n v="7200"/>
    <n v="1701.56"/>
    <x v="3"/>
    <s v="Delivered"/>
    <n v="3600"/>
    <n v="23.632777777777779"/>
    <s v="Profit"/>
    <s v="Shreya Pillai"/>
    <x v="0"/>
    <x v="3"/>
    <s v="Bhubaneswar"/>
    <s v="Odisha"/>
    <s v="2024-08-08"/>
    <s v="26-35"/>
    <n v="850.78"/>
  </r>
  <r>
    <s v="ORD01120"/>
    <d v="2026-01-06T00:00:00"/>
    <s v="CUST0105"/>
    <x v="3"/>
    <x v="10"/>
    <n v="2"/>
    <n v="0.15"/>
    <n v="93500"/>
    <n v="-20661.189999999999"/>
    <x v="0"/>
    <s v="Returned"/>
    <n v="46750"/>
    <n v="-22.0975294117647"/>
    <s v="Loss"/>
    <s v="Ishaan Pillai"/>
    <x v="1"/>
    <x v="1"/>
    <s v="Surat"/>
    <s v="Gujarat"/>
    <s v="2024-11-21"/>
    <s v="26-35"/>
    <n v="-10330.594999999999"/>
  </r>
  <r>
    <s v="ORD01121"/>
    <d v="2025-12-11T00:00:00"/>
    <s v="CUST0444"/>
    <x v="1"/>
    <x v="12"/>
    <n v="1"/>
    <n v="0.05"/>
    <n v="1330"/>
    <n v="449.37"/>
    <x v="0"/>
    <s v="Delivered"/>
    <n v="1330"/>
    <n v="33.78721804511278"/>
    <s v="Profit"/>
    <s v="Harini Naidu"/>
    <x v="0"/>
    <x v="3"/>
    <s v="Guwahati"/>
    <s v="Assam"/>
    <s v="2023-05-21"/>
    <s v="18-25"/>
    <n v="449.37"/>
  </r>
  <r>
    <s v="ORD01122"/>
    <d v="2025-10-10T00:00:00"/>
    <s v="CUST0472"/>
    <x v="1"/>
    <x v="12"/>
    <n v="1"/>
    <n v="0.2"/>
    <n v="1120"/>
    <n v="369.82"/>
    <x v="0"/>
    <s v="Delivered"/>
    <n v="1120"/>
    <n v="33.019642857142863"/>
    <s v="Profit"/>
    <s v="Kavya Gupta"/>
    <x v="1"/>
    <x v="3"/>
    <s v="Bhubaneswar"/>
    <s v="Odisha"/>
    <s v="2025-07-26"/>
    <s v="26-35"/>
    <n v="369.82"/>
  </r>
  <r>
    <s v="ORD01123"/>
    <d v="2025-09-09T00:00:00"/>
    <s v="CUST0457"/>
    <x v="3"/>
    <x v="4"/>
    <n v="6"/>
    <n v="0"/>
    <n v="108000"/>
    <n v="21000"/>
    <x v="1"/>
    <s v="Delivered"/>
    <n v="18000"/>
    <n v="19.44444444444445"/>
    <s v="Profit"/>
    <s v="Karthik Bose"/>
    <x v="2"/>
    <x v="0"/>
    <s v="Hyderabad"/>
    <s v="Telangana"/>
    <s v="2025-04-05"/>
    <s v="51+"/>
    <n v="3500"/>
  </r>
  <r>
    <s v="ORD01124"/>
    <d v="2025-12-17T00:00:00"/>
    <s v="CUST0312"/>
    <x v="2"/>
    <x v="3"/>
    <n v="3"/>
    <n v="0.1"/>
    <n v="40500"/>
    <n v="-19455.04"/>
    <x v="0"/>
    <s v="Returned"/>
    <n v="13500"/>
    <n v="-48.037135802469138"/>
    <s v="Loss"/>
    <s v="Kavya Menon"/>
    <x v="1"/>
    <x v="1"/>
    <s v="Mumbai"/>
    <s v="Maharashtra"/>
    <s v="2023-05-26"/>
    <s v="26-35"/>
    <n v="-6485.0133333333333"/>
  </r>
  <r>
    <s v="ORD01125"/>
    <d v="2026-02-04T00:00:00"/>
    <s v="CUST0410"/>
    <x v="3"/>
    <x v="10"/>
    <n v="2"/>
    <n v="0.1"/>
    <n v="99000"/>
    <n v="10320.23"/>
    <x v="1"/>
    <s v="Delivered"/>
    <n v="49500"/>
    <n v="10.424474747474751"/>
    <s v="Profit"/>
    <s v="Pooja Iyer"/>
    <x v="1"/>
    <x v="0"/>
    <s v="Bengaluru"/>
    <s v="Karnataka"/>
    <s v="2025-07-08"/>
    <s v="18-25"/>
    <n v="5160.1149999999998"/>
  </r>
  <r>
    <s v="ORD01126"/>
    <d v="2026-04-04T00:00:00"/>
    <s v="CUST0308"/>
    <x v="1"/>
    <x v="12"/>
    <n v="3"/>
    <n v="0"/>
    <n v="4200"/>
    <n v="-752.06"/>
    <x v="2"/>
    <s v="Returned"/>
    <n v="1400"/>
    <n v="-17.906190476190471"/>
    <s v="Loss"/>
    <s v="Divya Naidu"/>
    <x v="2"/>
    <x v="0"/>
    <s v="Bengaluru"/>
    <s v="Karnataka"/>
    <s v="2025-12-11"/>
    <s v="51+"/>
    <n v="-250.68666666666661"/>
  </r>
  <r>
    <s v="ORD01127"/>
    <d v="2025-08-01T00:00:00"/>
    <s v="CUST0152"/>
    <x v="3"/>
    <x v="11"/>
    <n v="1"/>
    <n v="0"/>
    <n v="2500"/>
    <n v="800"/>
    <x v="0"/>
    <s v="Delivered"/>
    <n v="2500"/>
    <n v="32"/>
    <s v="Profit"/>
    <s v="Harini Rao"/>
    <x v="0"/>
    <x v="0"/>
    <s v="Coimbatore"/>
    <s v="Tamil Nadu"/>
    <s v="2025-12-02"/>
    <s v="51+"/>
    <n v="800"/>
  </r>
  <r>
    <s v="ORD01128"/>
    <d v="2026-05-05T00:00:00"/>
    <s v="CUST0004"/>
    <x v="3"/>
    <x v="8"/>
    <n v="2"/>
    <n v="0.1"/>
    <n v="8100"/>
    <n v="2375.3200000000002"/>
    <x v="0"/>
    <s v="Delivered"/>
    <n v="4050"/>
    <n v="29.324938271604939"/>
    <s v="Profit"/>
    <s v="Vikram Kulkarni"/>
    <x v="0"/>
    <x v="1"/>
    <s v="Pune"/>
    <s v="Maharashtra"/>
    <s v="2023-09-22"/>
    <s v="18-25"/>
    <n v="1187.6600000000001"/>
  </r>
  <r>
    <s v="ORD01129"/>
    <d v="2025-09-09T00:00:00"/>
    <s v="CUST0118"/>
    <x v="2"/>
    <x v="5"/>
    <n v="2"/>
    <n v="0.05"/>
    <n v="20900"/>
    <n v="4580.09"/>
    <x v="2"/>
    <s v="Shipped"/>
    <n v="10450"/>
    <n v="21.9143062200957"/>
    <s v="Profit"/>
    <s v="Aarav Iyer"/>
    <x v="0"/>
    <x v="1"/>
    <s v="Mumbai"/>
    <s v="Maharashtra"/>
    <s v="2025-03-16"/>
    <s v="36-50"/>
    <n v="2290.0450000000001"/>
  </r>
  <r>
    <s v="ORD01130"/>
    <d v="2026-07-20T00:00:00"/>
    <s v="CUST0214"/>
    <x v="2"/>
    <x v="3"/>
    <n v="5"/>
    <n v="0.05"/>
    <n v="71250"/>
    <n v="15154.15"/>
    <x v="0"/>
    <s v="Delivered"/>
    <n v="14250"/>
    <n v="21.26898245614035"/>
    <s v="Profit"/>
    <s v="Ananya Rao"/>
    <x v="0"/>
    <x v="0"/>
    <s v="Hyderabad"/>
    <s v="Telangana"/>
    <s v="2023-07-14"/>
    <s v="51+"/>
    <n v="3030.83"/>
  </r>
  <r>
    <s v="ORD01131"/>
    <d v="2026-04-11T00:00:00"/>
    <s v="CUST0052"/>
    <x v="3"/>
    <x v="8"/>
    <n v="3"/>
    <n v="0"/>
    <n v="13500"/>
    <n v="4500"/>
    <x v="2"/>
    <s v="Delivered"/>
    <n v="4500"/>
    <n v="33.333333333333329"/>
    <s v="Profit"/>
    <s v="Arjun Verma"/>
    <x v="2"/>
    <x v="0"/>
    <s v="Lucknow"/>
    <s v="Uttar Pradesh"/>
    <s v="2023-11-01"/>
    <s v="26-35"/>
    <n v="1500"/>
  </r>
  <r>
    <s v="ORD01132"/>
    <d v="2026-05-04T00:00:00"/>
    <s v="CUST0336"/>
    <x v="0"/>
    <x v="0"/>
    <n v="2"/>
    <n v="0.05"/>
    <n v="26600"/>
    <n v="4761.28"/>
    <x v="1"/>
    <s v="Delivered"/>
    <n v="13300"/>
    <n v="17.89954887218045"/>
    <s v="Profit"/>
    <s v="Akash Khan"/>
    <x v="0"/>
    <x v="1"/>
    <s v="Surat"/>
    <s v="Gujarat"/>
    <s v="2023-09-13"/>
    <s v="36-50"/>
    <n v="2380.64"/>
  </r>
  <r>
    <s v="ORD01133"/>
    <d v="2025-10-30T00:00:00"/>
    <s v="CUST0589"/>
    <x v="1"/>
    <x v="1"/>
    <n v="2"/>
    <n v="0.1"/>
    <n v="3240"/>
    <n v="1039.3499999999999"/>
    <x v="3"/>
    <s v="Delivered"/>
    <n v="1620"/>
    <n v="32.078703703703702"/>
    <s v="Profit"/>
    <s v="Sanjay Patel"/>
    <x v="2"/>
    <x v="2"/>
    <s v="Delhi"/>
    <s v="Delhi"/>
    <s v="2024-12-17"/>
    <s v="36-50"/>
    <n v="519.67499999999995"/>
  </r>
  <r>
    <s v="ORD01134"/>
    <d v="2026-08-21T00:00:00"/>
    <s v="CUST0349"/>
    <x v="2"/>
    <x v="2"/>
    <n v="1"/>
    <n v="0.05"/>
    <n v="12350"/>
    <n v="-1945.74"/>
    <x v="1"/>
    <s v="Cancelled"/>
    <n v="12350"/>
    <n v="-15.754979757085019"/>
    <s v="Loss"/>
    <s v="Aarav Nair"/>
    <x v="1"/>
    <x v="0"/>
    <s v="Hyderabad"/>
    <s v="Telangana"/>
    <s v="2025-07-22"/>
    <s v="26-35"/>
    <n v="-1945.74"/>
  </r>
  <r>
    <s v="ORD01135"/>
    <d v="2025-11-27T00:00:00"/>
    <s v="CUST0455"/>
    <x v="2"/>
    <x v="9"/>
    <n v="5"/>
    <n v="0.1"/>
    <n v="40500"/>
    <n v="9416.85"/>
    <x v="3"/>
    <s v="Delivered"/>
    <n v="8100"/>
    <n v="23.251481481481481"/>
    <s v="Profit"/>
    <s v="Priya Sharma"/>
    <x v="0"/>
    <x v="0"/>
    <s v="Hyderabad"/>
    <s v="Telangana"/>
    <s v="2023-12-10"/>
    <s v="26-35"/>
    <n v="1883.37"/>
  </r>
  <r>
    <s v="ORD01136"/>
    <d v="2025-11-22T00:00:00"/>
    <s v="CUST0100"/>
    <x v="3"/>
    <x v="10"/>
    <n v="1"/>
    <n v="0.15"/>
    <n v="46750"/>
    <n v="5070.8900000000003"/>
    <x v="2"/>
    <s v="Delivered"/>
    <n v="46750"/>
    <n v="10.84682352941177"/>
    <s v="Profit"/>
    <s v="Priya Singh"/>
    <x v="1"/>
    <x v="0"/>
    <s v="Chennai"/>
    <s v="Tamil Nadu"/>
    <s v="2023-03-14"/>
    <s v="26-35"/>
    <n v="5070.8900000000003"/>
  </r>
  <r>
    <s v="ORD01137"/>
    <d v="2025-09-10T00:00:00"/>
    <s v="CUST0215"/>
    <x v="1"/>
    <x v="13"/>
    <n v="5"/>
    <n v="0.15"/>
    <n v="17850"/>
    <n v="3909.34"/>
    <x v="2"/>
    <s v="Delivered"/>
    <n v="3570"/>
    <n v="21.901064425770311"/>
    <s v="Profit"/>
    <s v="Pooja Reddy"/>
    <x v="1"/>
    <x v="0"/>
    <s v="Bengaluru"/>
    <s v="Karnataka"/>
    <s v="2025-07-16"/>
    <s v="26-35"/>
    <n v="781.86800000000005"/>
  </r>
  <r>
    <s v="ORD01138"/>
    <d v="2026-01-09T00:00:00"/>
    <s v="CUST0435"/>
    <x v="2"/>
    <x v="9"/>
    <n v="5"/>
    <n v="0"/>
    <n v="45000"/>
    <n v="11500"/>
    <x v="2"/>
    <s v="Delivered"/>
    <n v="9000"/>
    <n v="25.55555555555555"/>
    <s v="Profit"/>
    <s v="Lakshmi Menon"/>
    <x v="0"/>
    <x v="0"/>
    <s v="Chennai"/>
    <s v="Tamil Nadu"/>
    <s v="2025-04-17"/>
    <s v="26-35"/>
    <n v="2300"/>
  </r>
  <r>
    <s v="ORD01139"/>
    <d v="2026-01-09T00:00:00"/>
    <s v="CUST0120"/>
    <x v="3"/>
    <x v="4"/>
    <n v="2"/>
    <n v="0.1"/>
    <n v="32400"/>
    <n v="5188.57"/>
    <x v="1"/>
    <s v="Delivered"/>
    <n v="16200"/>
    <n v="16.014104938271601"/>
    <s v="Profit"/>
    <s v="Sanjay Sharma"/>
    <x v="2"/>
    <x v="0"/>
    <s v="Bengaluru"/>
    <s v="Karnataka"/>
    <s v="2024-05-20"/>
    <s v="26-35"/>
    <n v="2594.2849999999999"/>
  </r>
  <r>
    <s v="ORD01140"/>
    <d v="2026-07-02T00:00:00"/>
    <s v="CUST0061"/>
    <x v="1"/>
    <x v="1"/>
    <n v="1"/>
    <n v="0"/>
    <n v="1800"/>
    <n v="650"/>
    <x v="0"/>
    <s v="Delivered"/>
    <n v="1800"/>
    <n v="36.111111111111107"/>
    <s v="Profit"/>
    <s v="Meera Kulkarni"/>
    <x v="0"/>
    <x v="0"/>
    <s v="Bengaluru"/>
    <s v="Karnataka"/>
    <s v="2024-11-07"/>
    <s v="18-25"/>
    <n v="650"/>
  </r>
  <r>
    <s v="ORD01141"/>
    <d v="2025-12-10T00:00:00"/>
    <s v="CUST0259"/>
    <x v="0"/>
    <x v="6"/>
    <n v="6"/>
    <n v="0"/>
    <n v="2100"/>
    <n v="720"/>
    <x v="3"/>
    <s v="Shipped"/>
    <n v="350"/>
    <n v="34.285714285714278"/>
    <s v="Profit"/>
    <s v="Manoj Menon"/>
    <x v="2"/>
    <x v="0"/>
    <s v="Coimbatore"/>
    <s v="Tamil Nadu"/>
    <s v="2023-10-20"/>
    <s v="26-35"/>
    <n v="120"/>
  </r>
  <r>
    <s v="ORD01142"/>
    <d v="2025-10-27T00:00:00"/>
    <s v="CUST0229"/>
    <x v="2"/>
    <x v="3"/>
    <n v="15"/>
    <n v="0.1"/>
    <n v="202500"/>
    <n v="-99848.55"/>
    <x v="2"/>
    <s v="Returned"/>
    <n v="13500"/>
    <n v="-49.307925925925929"/>
    <s v="Loss"/>
    <s v="Harini Chopra"/>
    <x v="0"/>
    <x v="0"/>
    <s v="Bengaluru"/>
    <s v="Karnataka"/>
    <s v="2025-05-19"/>
    <s v="26-35"/>
    <n v="-6656.5700000000006"/>
  </r>
  <r>
    <s v="ORD01143"/>
    <d v="2025-10-27T00:00:00"/>
    <s v="CUST0238"/>
    <x v="0"/>
    <x v="6"/>
    <n v="1"/>
    <n v="0.1"/>
    <n v="315"/>
    <n v="98.71"/>
    <x v="2"/>
    <s v="Shipped"/>
    <n v="315"/>
    <n v="31.336507936507939"/>
    <s v="Profit"/>
    <s v="Vikram Sharma"/>
    <x v="2"/>
    <x v="0"/>
    <s v="Bengaluru"/>
    <s v="Karnataka"/>
    <s v="2025-03-30"/>
    <s v="26-35"/>
    <n v="98.71"/>
  </r>
  <r>
    <s v="ORD01144"/>
    <d v="2025-09-26T00:00:00"/>
    <s v="CUST0284"/>
    <x v="0"/>
    <x v="14"/>
    <n v="6"/>
    <n v="0.1"/>
    <n v="2430"/>
    <n v="489.6"/>
    <x v="3"/>
    <s v="Delivered"/>
    <n v="405"/>
    <n v="20.148148148148149"/>
    <s v="Profit"/>
    <s v="Pooja Mehta"/>
    <x v="0"/>
    <x v="0"/>
    <s v="Chennai"/>
    <s v="Tamil Nadu"/>
    <s v="2024-07-24"/>
    <s v="36-50"/>
    <n v="81.600000000000009"/>
  </r>
  <r>
    <s v="ORD01145"/>
    <d v="2025-09-21T00:00:00"/>
    <s v="CUST0416"/>
    <x v="1"/>
    <x v="12"/>
    <n v="6"/>
    <n v="0.15"/>
    <n v="7140"/>
    <n v="2261.83"/>
    <x v="1"/>
    <s v="Delivered"/>
    <n v="1190"/>
    <n v="31.678291316526611"/>
    <s v="Profit"/>
    <s v="Karthik Reddy"/>
    <x v="0"/>
    <x v="1"/>
    <s v="Mumbai"/>
    <s v="Maharashtra"/>
    <s v="2025-09-16"/>
    <s v="18-25"/>
    <n v="376.97166666666658"/>
  </r>
  <r>
    <s v="ORD01147"/>
    <d v="2026-05-16T00:00:00"/>
    <s v="CUST0511"/>
    <x v="3"/>
    <x v="8"/>
    <n v="2"/>
    <n v="0.1"/>
    <n v="8100"/>
    <n v="2420.85"/>
    <x v="3"/>
    <s v="Shipped"/>
    <n v="4050"/>
    <n v="29.887037037037029"/>
    <s v="Profit"/>
    <s v="Sneha Naidu"/>
    <x v="1"/>
    <x v="2"/>
    <s v="Delhi"/>
    <s v="Delhi"/>
    <s v="2023-05-20"/>
    <s v="18-25"/>
    <n v="1210.425"/>
  </r>
  <r>
    <s v="ORD01148"/>
    <d v="2025-10-08T00:00:00"/>
    <s v="CUST0593"/>
    <x v="3"/>
    <x v="10"/>
    <n v="1"/>
    <n v="0.15"/>
    <n v="46750"/>
    <n v="5277.98"/>
    <x v="1"/>
    <s v="Delivered"/>
    <n v="46750"/>
    <n v="11.28979679144385"/>
    <s v="Profit"/>
    <s v="Ananya Reddy"/>
    <x v="1"/>
    <x v="2"/>
    <s v="Lucknow"/>
    <s v="Uttar Pradesh"/>
    <s v="2023-11-05"/>
    <s v="51+"/>
    <n v="5277.98"/>
  </r>
  <r>
    <s v="ORD01149"/>
    <d v="2026-08-21T00:00:00"/>
    <s v="CUST0539"/>
    <x v="1"/>
    <x v="12"/>
    <n v="5"/>
    <n v="0.1"/>
    <n v="6300"/>
    <n v="-2231.6799999999998"/>
    <x v="2"/>
    <s v="Returned"/>
    <n v="1260"/>
    <n v="-35.423492063492063"/>
    <s v="Loss"/>
    <s v="Diya Chopra"/>
    <x v="0"/>
    <x v="3"/>
    <s v="Patna"/>
    <s v="Bihar"/>
    <s v="2024-02-04"/>
    <s v="36-50"/>
    <n v="-446.33600000000001"/>
  </r>
  <r>
    <s v="ORD01150"/>
    <d v="2026-03-30T00:00:00"/>
    <s v="CUST0103"/>
    <x v="2"/>
    <x v="9"/>
    <n v="1"/>
    <n v="0.3"/>
    <n v="6300"/>
    <n v="167.93"/>
    <x v="1"/>
    <s v="Delivered"/>
    <n v="6300"/>
    <n v="2.6655555555555561"/>
    <s v="Profit"/>
    <s v="Rohan Rao"/>
    <x v="0"/>
    <x v="0"/>
    <s v="Bengaluru"/>
    <s v="Karnataka"/>
    <s v="2023-11-09"/>
    <s v="36-50"/>
    <n v="167.93"/>
  </r>
  <r>
    <s v="ORD01151"/>
    <d v="2026-05-07T00:00:00"/>
    <s v="CUST0510"/>
    <x v="0"/>
    <x v="6"/>
    <n v="3"/>
    <n v="0.2"/>
    <n v="840"/>
    <n v="-28.14"/>
    <x v="1"/>
    <s v="Returned"/>
    <n v="280"/>
    <n v="-3.35"/>
    <s v="Loss"/>
    <s v="Vikram Singh"/>
    <x v="1"/>
    <x v="0"/>
    <s v="Coimbatore"/>
    <s v="Tamil Nadu"/>
    <s v="2024-08-20"/>
    <s v="36-50"/>
    <n v="-9.3800000000000008"/>
  </r>
  <r>
    <s v="ORD01152"/>
    <d v="2025-12-14T00:00:00"/>
    <s v="CUST0302"/>
    <x v="2"/>
    <x v="9"/>
    <n v="3"/>
    <n v="0.1"/>
    <n v="24300"/>
    <n v="5519.34"/>
    <x v="3"/>
    <s v="Delivered"/>
    <n v="8100"/>
    <n v="22.713333333333331"/>
    <s v="Profit"/>
    <s v="Ananya Iyer"/>
    <x v="0"/>
    <x v="1"/>
    <s v="Pune"/>
    <s v="Maharashtra"/>
    <s v="2025-09-02"/>
    <s v="26-35"/>
    <n v="1839.78"/>
  </r>
  <r>
    <s v="ORD01153"/>
    <d v="2026-04-04T00:00:00"/>
    <s v="CUST0119"/>
    <x v="1"/>
    <x v="1"/>
    <n v="1"/>
    <n v="0.1"/>
    <n v="1620"/>
    <n v="519.6"/>
    <x v="2"/>
    <s v="Delivered"/>
    <n v="1620"/>
    <n v="32.074074074074083"/>
    <s v="Profit"/>
    <s v="Divya Naidu"/>
    <x v="1"/>
    <x v="0"/>
    <s v="Coimbatore"/>
    <s v="Tamil Nadu"/>
    <s v="2023-05-25"/>
    <s v="36-50"/>
    <n v="519.6"/>
  </r>
  <r>
    <s v="ORD01154"/>
    <d v="2025-08-16T00:00:00"/>
    <s v="CUST0401"/>
    <x v="2"/>
    <x v="5"/>
    <n v="1"/>
    <n v="0.15"/>
    <n v="9350"/>
    <n v="-2835.39"/>
    <x v="3"/>
    <s v="Cancelled"/>
    <n v="9350"/>
    <n v="-30.32502673796791"/>
    <s v="Loss"/>
    <s v="Ananya Nair"/>
    <x v="0"/>
    <x v="0"/>
    <s v="Hyderabad"/>
    <s v="Telangana"/>
    <s v="2024-04-08"/>
    <s v="26-35"/>
    <n v="-2835.39"/>
  </r>
  <r>
    <s v="ORD01155"/>
    <d v="2025-07-15T00:00:00"/>
    <s v="CUST0552"/>
    <x v="1"/>
    <x v="12"/>
    <n v="1"/>
    <n v="0.05"/>
    <n v="1330"/>
    <n v="444.94"/>
    <x v="0"/>
    <s v="Delivered"/>
    <n v="1330"/>
    <n v="33.454135338345857"/>
    <s v="Profit"/>
    <s v="Rahul Pillai"/>
    <x v="0"/>
    <x v="1"/>
    <s v="Mumbai"/>
    <s v="Maharashtra"/>
    <s v="2024-11-20"/>
    <s v="26-35"/>
    <n v="444.94"/>
  </r>
  <r>
    <s v="ORD01156"/>
    <d v="2025-07-04T00:00:00"/>
    <s v="CUST0521"/>
    <x v="1"/>
    <x v="12"/>
    <n v="2"/>
    <n v="0.1"/>
    <n v="2520"/>
    <n v="810.37"/>
    <x v="1"/>
    <s v="Delivered"/>
    <n v="1260"/>
    <n v="32.157539682539692"/>
    <s v="Profit"/>
    <s v="Priya Singh"/>
    <x v="0"/>
    <x v="0"/>
    <s v="Bengaluru"/>
    <s v="Karnataka"/>
    <s v="2025-11-16"/>
    <s v="51+"/>
    <n v="405.185"/>
  </r>
  <r>
    <s v="ORD01157"/>
    <d v="2025-07-13T00:00:00"/>
    <s v="CUST0252"/>
    <x v="1"/>
    <x v="13"/>
    <n v="10"/>
    <n v="0.05"/>
    <n v="39900"/>
    <n v="10298.81"/>
    <x v="2"/>
    <s v="Shipped"/>
    <n v="3990"/>
    <n v="25.811553884711781"/>
    <s v="Profit"/>
    <s v="Ishaan Pillai"/>
    <x v="0"/>
    <x v="0"/>
    <s v="Coimbatore"/>
    <s v="Tamil Nadu"/>
    <s v="2024-06-19"/>
    <s v="36-50"/>
    <n v="1029.8810000000001"/>
  </r>
  <r>
    <s v="ORD01158"/>
    <d v="2026-05-21T00:00:00"/>
    <s v="CUST0493"/>
    <x v="0"/>
    <x v="6"/>
    <n v="1"/>
    <n v="0.1"/>
    <n v="315"/>
    <n v="100.46"/>
    <x v="2"/>
    <s v="Delivered"/>
    <n v="315"/>
    <n v="31.892063492063489"/>
    <s v="Profit"/>
    <s v="Vikram Patel"/>
    <x v="1"/>
    <x v="1"/>
    <s v="Pune"/>
    <s v="Maharashtra"/>
    <s v="2023-09-05"/>
    <s v="36-50"/>
    <n v="100.46"/>
  </r>
  <r>
    <s v="ORD01159"/>
    <d v="2025-08-30T00:00:00"/>
    <s v="CUST0315"/>
    <x v="0"/>
    <x v="14"/>
    <n v="3"/>
    <n v="0.1"/>
    <n v="1215"/>
    <n v="261.27"/>
    <x v="1"/>
    <s v="Delivered"/>
    <n v="405"/>
    <n v="21.5037037037037"/>
    <s v="Profit"/>
    <s v="Harini Verma"/>
    <x v="0"/>
    <x v="0"/>
    <s v="Coimbatore"/>
    <s v="Tamil Nadu"/>
    <s v="2024-10-22"/>
    <s v="18-25"/>
    <n v="87.089999999999989"/>
  </r>
  <r>
    <s v="ORD01160"/>
    <d v="2025-12-22T00:00:00"/>
    <s v="CUST0083"/>
    <x v="0"/>
    <x v="14"/>
    <n v="1"/>
    <n v="0"/>
    <n v="450"/>
    <n v="-58.38"/>
    <x v="2"/>
    <s v="Returned"/>
    <n v="450"/>
    <n v="-12.973333333333329"/>
    <s v="Loss"/>
    <s v="Nisha Singh"/>
    <x v="0"/>
    <x v="0"/>
    <s v="Bengaluru"/>
    <s v="Karnataka"/>
    <s v="2024-07-24"/>
    <s v="26-35"/>
    <n v="-58.38"/>
  </r>
  <r>
    <s v="ORD01161"/>
    <d v="2026-05-17T00:00:00"/>
    <s v="CUST0057"/>
    <x v="2"/>
    <x v="9"/>
    <n v="3"/>
    <n v="0.15"/>
    <n v="22950"/>
    <n v="-7062.69"/>
    <x v="3"/>
    <s v="Cancelled"/>
    <n v="7650"/>
    <n v="-30.774248366013069"/>
    <s v="Loss"/>
    <s v="Akash Singh"/>
    <x v="2"/>
    <x v="2"/>
    <s v="Chandigarh"/>
    <s v="Chandigarh"/>
    <s v="2024-12-21"/>
    <s v="26-35"/>
    <n v="-2354.23"/>
  </r>
  <r>
    <s v="ORD01162"/>
    <d v="2026-05-05T00:00:00"/>
    <s v="CUST0380"/>
    <x v="3"/>
    <x v="8"/>
    <n v="6"/>
    <n v="0.1"/>
    <n v="24300"/>
    <n v="7291.08"/>
    <x v="0"/>
    <s v="Shipped"/>
    <n v="4050"/>
    <n v="30.004444444444449"/>
    <s v="Profit"/>
    <s v="Arjun Sharma"/>
    <x v="2"/>
    <x v="1"/>
    <s v="Surat"/>
    <s v="Gujarat"/>
    <s v="2024-07-24"/>
    <s v="36-50"/>
    <n v="1215.18"/>
  </r>
  <r>
    <s v="ORD01163"/>
    <d v="2026-05-28T00:00:00"/>
    <s v="CUST0007"/>
    <x v="0"/>
    <x v="6"/>
    <n v="2"/>
    <n v="0.05"/>
    <n v="665"/>
    <n v="218.16"/>
    <x v="0"/>
    <s v="Delivered"/>
    <n v="332.5"/>
    <n v="32.80601503759398"/>
    <s v="Profit"/>
    <s v="Harini Khan"/>
    <x v="0"/>
    <x v="0"/>
    <s v="Bengaluru"/>
    <s v="Karnataka"/>
    <s v="2025-07-02"/>
    <s v="36-50"/>
    <n v="109.08"/>
  </r>
  <r>
    <s v="ORD01164"/>
    <d v="2025-12-26T00:00:00"/>
    <s v="CUST0566"/>
    <x v="2"/>
    <x v="3"/>
    <n v="3"/>
    <n v="0"/>
    <n v="45000"/>
    <n v="10500"/>
    <x v="1"/>
    <s v="Delivered"/>
    <n v="15000"/>
    <n v="23.333333333333329"/>
    <s v="Profit"/>
    <s v="Arjun Rao"/>
    <x v="0"/>
    <x v="3"/>
    <s v="Kolkata"/>
    <s v="West Bengal"/>
    <s v="2023-09-05"/>
    <s v="26-35"/>
    <n v="3500"/>
  </r>
  <r>
    <s v="ORD01165"/>
    <d v="2026-01-03T00:00:00"/>
    <s v="CUST0474"/>
    <x v="0"/>
    <x v="6"/>
    <n v="1"/>
    <n v="0.1"/>
    <n v="315"/>
    <n v="-6.96"/>
    <x v="3"/>
    <s v="Returned"/>
    <n v="315"/>
    <n v="-2.2095238095238101"/>
    <s v="Loss"/>
    <s v="Meera Chopra"/>
    <x v="2"/>
    <x v="0"/>
    <s v="Hyderabad"/>
    <s v="Telangana"/>
    <s v="2023-02-16"/>
    <s v="36-50"/>
    <n v="-6.96"/>
  </r>
  <r>
    <s v="ORD01166"/>
    <d v="2026-04-30T00:00:00"/>
    <s v="CUST0055"/>
    <x v="1"/>
    <x v="15"/>
    <n v="2"/>
    <n v="0.05"/>
    <n v="4180"/>
    <n v="-901.01"/>
    <x v="3"/>
    <s v="Returned"/>
    <n v="2090"/>
    <n v="-21.555263157894739"/>
    <s v="Loss"/>
    <s v="Harini Kulkarni"/>
    <x v="0"/>
    <x v="3"/>
    <s v="Guwahati"/>
    <s v="Assam"/>
    <s v="2024-05-17"/>
    <s v="51+"/>
    <n v="-450.505"/>
  </r>
  <r>
    <s v="ORD01167"/>
    <d v="2025-09-16T00:00:00"/>
    <s v="CUST0560"/>
    <x v="0"/>
    <x v="6"/>
    <n v="2"/>
    <n v="0.05"/>
    <n v="665"/>
    <n v="223.21"/>
    <x v="2"/>
    <s v="Delivered"/>
    <n v="332.5"/>
    <n v="33.565413533834587"/>
    <s v="Profit"/>
    <s v="Rohan Rao"/>
    <x v="0"/>
    <x v="0"/>
    <s v="Bengaluru"/>
    <s v="Karnataka"/>
    <s v="2023-05-29"/>
    <s v="18-25"/>
    <n v="111.605"/>
  </r>
  <r>
    <s v="ORD01168"/>
    <d v="2026-03-05T00:00:00"/>
    <s v="CUST0280"/>
    <x v="2"/>
    <x v="5"/>
    <n v="1"/>
    <n v="0.1"/>
    <n v="9900"/>
    <n v="2090.16"/>
    <x v="0"/>
    <s v="Delivered"/>
    <n v="9900"/>
    <n v="21.11272727272727"/>
    <s v="Profit"/>
    <s v="Vikram Kulkarni"/>
    <x v="0"/>
    <x v="1"/>
    <s v="Mumbai"/>
    <s v="Maharashtra"/>
    <s v="2025-06-23"/>
    <s v="26-35"/>
    <n v="2090.16"/>
  </r>
  <r>
    <s v="ORD01169"/>
    <d v="2026-03-15T00:00:00"/>
    <s v="CUST0466"/>
    <x v="3"/>
    <x v="8"/>
    <n v="1"/>
    <n v="0"/>
    <n v="4500"/>
    <n v="1500"/>
    <x v="2"/>
    <s v="Delivered"/>
    <n v="4500"/>
    <n v="33.333333333333329"/>
    <s v="Profit"/>
    <s v="Manoj Gupta"/>
    <x v="0"/>
    <x v="3"/>
    <s v="Patna"/>
    <s v="Bihar"/>
    <s v="2024-05-02"/>
    <s v="26-35"/>
    <n v="1500"/>
  </r>
  <r>
    <s v="ORD01170"/>
    <d v="2026-03-20T00:00:00"/>
    <s v="CUST0502"/>
    <x v="0"/>
    <x v="0"/>
    <n v="15"/>
    <n v="0.05"/>
    <n v="199500"/>
    <n v="36659.51"/>
    <x v="1"/>
    <s v="Delivered"/>
    <n v="13300"/>
    <n v="18.37569423558897"/>
    <s v="Profit"/>
    <s v="Kavya Nair"/>
    <x v="2"/>
    <x v="1"/>
    <s v="Pune"/>
    <s v="Maharashtra"/>
    <s v="2024-02-11"/>
    <s v="51+"/>
    <n v="2443.967333333333"/>
  </r>
  <r>
    <s v="ORD01171"/>
    <d v="2026-07-10T00:00:00"/>
    <s v="CUST0009"/>
    <x v="1"/>
    <x v="13"/>
    <n v="4"/>
    <n v="0"/>
    <n v="16800"/>
    <n v="4800"/>
    <x v="1"/>
    <s v="Delivered"/>
    <n v="4200"/>
    <n v="28.571428571428569"/>
    <s v="Profit"/>
    <s v="Sanjay Gupta"/>
    <x v="1"/>
    <x v="3"/>
    <s v="Guwahati"/>
    <s v="Assam"/>
    <s v="2023-09-12"/>
    <s v="51+"/>
    <n v="1200"/>
  </r>
  <r>
    <s v="ORD01172"/>
    <d v="2026-08-26T00:00:00"/>
    <s v="CUST0303"/>
    <x v="0"/>
    <x v="0"/>
    <n v="5"/>
    <n v="0.3"/>
    <n v="49000"/>
    <n v="-1784.1"/>
    <x v="3"/>
    <s v="Delivered"/>
    <n v="9800"/>
    <n v="-3.641020408163266"/>
    <s v="Loss"/>
    <s v="Aarav Sharma"/>
    <x v="1"/>
    <x v="0"/>
    <s v="Bengaluru"/>
    <s v="Karnataka"/>
    <s v="2024-12-30"/>
    <s v="26-35"/>
    <n v="-356.82"/>
  </r>
  <r>
    <s v="ORD01173"/>
    <d v="2026-05-19T00:00:00"/>
    <s v="CUST0398"/>
    <x v="1"/>
    <x v="12"/>
    <n v="6"/>
    <n v="0.05"/>
    <n v="7980"/>
    <n v="131.29"/>
    <x v="2"/>
    <s v="Returned"/>
    <n v="1330"/>
    <n v="1.6452380952380949"/>
    <s v="Profit"/>
    <s v="Meera Gupta"/>
    <x v="1"/>
    <x v="3"/>
    <s v="Bhubaneswar"/>
    <s v="Odisha"/>
    <s v="2024-02-27"/>
    <s v="36-50"/>
    <n v="21.881666666666661"/>
  </r>
  <r>
    <s v="ORD01174"/>
    <d v="2026-01-09T00:00:00"/>
    <s v="CUST0530"/>
    <x v="0"/>
    <x v="14"/>
    <n v="1"/>
    <n v="0.2"/>
    <n v="360"/>
    <n v="-138.66"/>
    <x v="2"/>
    <s v="Returned"/>
    <n v="360"/>
    <n v="-38.516666666666673"/>
    <s v="Loss"/>
    <s v="Harini Chopra"/>
    <x v="2"/>
    <x v="2"/>
    <s v="Delhi"/>
    <s v="Delhi"/>
    <s v="2023-03-04"/>
    <s v="51+"/>
    <n v="-138.66"/>
  </r>
  <r>
    <s v="ORD01175"/>
    <d v="2026-03-26T00:00:00"/>
    <s v="CUST0120"/>
    <x v="3"/>
    <x v="10"/>
    <n v="1"/>
    <n v="0.1"/>
    <n v="49500"/>
    <n v="5463.39"/>
    <x v="0"/>
    <s v="Shipped"/>
    <n v="49500"/>
    <n v="11.037151515151519"/>
    <s v="Profit"/>
    <s v="Sanjay Sharma"/>
    <x v="2"/>
    <x v="0"/>
    <s v="Bengaluru"/>
    <s v="Karnataka"/>
    <s v="2024-05-20"/>
    <s v="26-35"/>
    <n v="5463.39"/>
  </r>
  <r>
    <s v="ORD01176"/>
    <d v="2026-08-29T00:00:00"/>
    <s v="CUST0026"/>
    <x v="1"/>
    <x v="15"/>
    <n v="1"/>
    <n v="0.15"/>
    <n v="1870"/>
    <n v="502.97"/>
    <x v="1"/>
    <s v="Delivered"/>
    <n v="1870"/>
    <n v="26.896791443850269"/>
    <s v="Profit"/>
    <s v="Arjun Mehta"/>
    <x v="2"/>
    <x v="0"/>
    <s v="Coimbatore"/>
    <s v="Tamil Nadu"/>
    <s v="2025-07-27"/>
    <s v="26-35"/>
    <n v="502.97"/>
  </r>
  <r>
    <s v="ORD01177"/>
    <d v="2025-08-25T00:00:00"/>
    <s v="CUST0341"/>
    <x v="0"/>
    <x v="14"/>
    <n v="1"/>
    <n v="0"/>
    <n v="450"/>
    <n v="110"/>
    <x v="2"/>
    <s v="Delivered"/>
    <n v="450"/>
    <n v="24.444444444444439"/>
    <s v="Profit"/>
    <s v="Arjun Mehta"/>
    <x v="1"/>
    <x v="0"/>
    <s v="Coimbatore"/>
    <s v="Tamil Nadu"/>
    <s v="2023-11-21"/>
    <s v="26-35"/>
    <n v="110"/>
  </r>
  <r>
    <s v="ORD01178"/>
    <d v="2025-11-28T00:00:00"/>
    <s v="CUST0128"/>
    <x v="2"/>
    <x v="5"/>
    <n v="2"/>
    <n v="0"/>
    <n v="22000"/>
    <n v="5200"/>
    <x v="3"/>
    <s v="Delivered"/>
    <n v="11000"/>
    <n v="23.63636363636364"/>
    <s v="Profit"/>
    <s v="Sneha Mishra"/>
    <x v="2"/>
    <x v="0"/>
    <s v="Chennai"/>
    <s v="Tamil Nadu"/>
    <s v="2024-09-12"/>
    <s v="36-50"/>
    <n v="2600"/>
  </r>
  <r>
    <s v="ORD01179"/>
    <d v="2026-05-09T00:00:00"/>
    <s v="CUST0234"/>
    <x v="2"/>
    <x v="9"/>
    <n v="2"/>
    <n v="0.2"/>
    <n v="14400"/>
    <n v="1918.12"/>
    <x v="0"/>
    <s v="Delivered"/>
    <n v="7200"/>
    <n v="13.320277777777781"/>
    <s v="Profit"/>
    <s v="Ishaan Sharma"/>
    <x v="0"/>
    <x v="4"/>
    <s v="Jaipur"/>
    <s v="Rajasthan"/>
    <s v="2024-04-02"/>
    <s v="26-35"/>
    <n v="959.06"/>
  </r>
  <r>
    <s v="ORD01180"/>
    <d v="2026-03-18T00:00:00"/>
    <s v="CUST0211"/>
    <x v="2"/>
    <x v="3"/>
    <n v="2"/>
    <n v="0"/>
    <n v="30000"/>
    <n v="7000"/>
    <x v="2"/>
    <s v="Delivered"/>
    <n v="15000"/>
    <n v="23.333333333333329"/>
    <s v="Profit"/>
    <s v="Akash Kulkarni"/>
    <x v="0"/>
    <x v="1"/>
    <s v="Surat"/>
    <s v="Gujarat"/>
    <s v="2024-06-07"/>
    <s v="36-50"/>
    <n v="3500"/>
  </r>
  <r>
    <s v="ORD01181"/>
    <d v="2025-11-15T00:00:00"/>
    <s v="CUST0217"/>
    <x v="1"/>
    <x v="15"/>
    <n v="2"/>
    <n v="0.1"/>
    <n v="3960"/>
    <n v="1296.81"/>
    <x v="2"/>
    <s v="Delivered"/>
    <n v="1980"/>
    <n v="32.747727272727268"/>
    <s v="Profit"/>
    <s v="Pooja Mehta"/>
    <x v="0"/>
    <x v="0"/>
    <s v="Hyderabad"/>
    <s v="Telangana"/>
    <s v="2024-11-14"/>
    <s v="51+"/>
    <n v="648.40499999999997"/>
  </r>
  <r>
    <s v="ORD01182"/>
    <d v="2025-11-10T00:00:00"/>
    <s v="CUST0327"/>
    <x v="3"/>
    <x v="10"/>
    <n v="1"/>
    <n v="0"/>
    <n v="55000"/>
    <n v="-23568.76"/>
    <x v="1"/>
    <s v="Returned"/>
    <n v="55000"/>
    <n v="-42.852290909090897"/>
    <s v="Loss"/>
    <s v="Sanjay Singh"/>
    <x v="1"/>
    <x v="1"/>
    <s v="Pune"/>
    <s v="Maharashtra"/>
    <s v="2023-11-03"/>
    <s v="18-25"/>
    <n v="-23568.76"/>
  </r>
  <r>
    <s v="ORD01183"/>
    <d v="2026-03-10T00:00:00"/>
    <s v="CUST0439"/>
    <x v="0"/>
    <x v="0"/>
    <n v="3"/>
    <n v="0.15"/>
    <n v="35700"/>
    <n v="4050.61"/>
    <x v="2"/>
    <s v="Delivered"/>
    <n v="11900"/>
    <n v="11.34624649859944"/>
    <s v="Profit"/>
    <s v="Arjun Kulkarni"/>
    <x v="0"/>
    <x v="3"/>
    <s v="Patna"/>
    <s v="Bihar"/>
    <s v="2023-01-03"/>
    <s v="36-50"/>
    <n v="1350.2033333333329"/>
  </r>
  <r>
    <s v="ORD01184"/>
    <d v="2025-08-30T00:00:00"/>
    <s v="CUST0271"/>
    <x v="3"/>
    <x v="8"/>
    <n v="6"/>
    <n v="0.05"/>
    <n v="25650"/>
    <n v="8226.59"/>
    <x v="2"/>
    <s v="Delivered"/>
    <n v="4275"/>
    <n v="32.072475633528263"/>
    <s v="Profit"/>
    <s v="Rohan Mehta"/>
    <x v="1"/>
    <x v="2"/>
    <s v="Delhi"/>
    <s v="Delhi"/>
    <s v="2025-01-13"/>
    <s v="51+"/>
    <n v="1371.0983333333329"/>
  </r>
  <r>
    <s v="ORD01185"/>
    <d v="2026-08-12T00:00:00"/>
    <s v="CUST0405"/>
    <x v="0"/>
    <x v="6"/>
    <n v="2"/>
    <n v="0"/>
    <n v="700"/>
    <n v="240"/>
    <x v="1"/>
    <s v="Delivered"/>
    <n v="350"/>
    <n v="34.285714285714278"/>
    <s v="Profit"/>
    <s v="Varun Naidu"/>
    <x v="0"/>
    <x v="0"/>
    <s v="Chennai"/>
    <s v="Tamil Nadu"/>
    <s v="2024-05-06"/>
    <s v="26-35"/>
    <n v="120"/>
  </r>
  <r>
    <s v="ORD01186"/>
    <d v="2025-09-08T00:00:00"/>
    <s v="CUST0391"/>
    <x v="0"/>
    <x v="7"/>
    <n v="6"/>
    <n v="0.1"/>
    <n v="4860"/>
    <n v="1245.75"/>
    <x v="0"/>
    <s v="Delivered"/>
    <n v="810"/>
    <n v="25.632716049382719"/>
    <s v="Profit"/>
    <s v="Divya Das"/>
    <x v="2"/>
    <x v="0"/>
    <s v="Bengaluru"/>
    <s v="Karnataka"/>
    <s v="2023-03-08"/>
    <s v="36-50"/>
    <n v="207.625"/>
  </r>
  <r>
    <s v="ORD01187"/>
    <d v="2026-03-27T00:00:00"/>
    <s v="CUST0221"/>
    <x v="2"/>
    <x v="5"/>
    <n v="15"/>
    <n v="0.1"/>
    <n v="148500"/>
    <n v="28878.92"/>
    <x v="3"/>
    <s v="Delivered"/>
    <n v="9900"/>
    <n v="19.447084175084171"/>
    <s v="Profit"/>
    <s v="Divya Pillai"/>
    <x v="1"/>
    <x v="3"/>
    <s v="Guwahati"/>
    <s v="Assam"/>
    <s v="2024-07-01"/>
    <s v="36-50"/>
    <n v="1925.2613333333329"/>
  </r>
  <r>
    <s v="ORD01188"/>
    <d v="2026-08-30T00:00:00"/>
    <s v="CUST0368"/>
    <x v="0"/>
    <x v="0"/>
    <n v="1"/>
    <n v="0.1"/>
    <n v="12600"/>
    <n v="-5189.6000000000004"/>
    <x v="3"/>
    <s v="Returned"/>
    <n v="12600"/>
    <n v="-41.18730158730159"/>
    <s v="Loss"/>
    <s v="Ananya Reddy"/>
    <x v="1"/>
    <x v="3"/>
    <s v="Patna"/>
    <s v="Bihar"/>
    <s v="2025-07-31"/>
    <s v="26-35"/>
    <n v="-5189.6000000000004"/>
  </r>
  <r>
    <s v="ORD01189"/>
    <d v="2026-08-27T00:00:00"/>
    <s v="CUST0561"/>
    <x v="0"/>
    <x v="0"/>
    <n v="2"/>
    <n v="0.05"/>
    <n v="26600"/>
    <n v="4439.34"/>
    <x v="3"/>
    <s v="Delivered"/>
    <n v="13300"/>
    <n v="16.68924812030075"/>
    <s v="Profit"/>
    <s v="Harini Joshi"/>
    <x v="1"/>
    <x v="0"/>
    <s v="Coimbatore"/>
    <s v="Tamil Nadu"/>
    <s v="2023-09-10"/>
    <s v="26-35"/>
    <n v="2219.67"/>
  </r>
  <r>
    <s v="ORD01190"/>
    <d v="2026-08-23T00:00:00"/>
    <s v="CUST0254"/>
    <x v="2"/>
    <x v="5"/>
    <n v="2"/>
    <n v="0.1"/>
    <n v="19800"/>
    <n v="4025.67"/>
    <x v="1"/>
    <s v="Delivered"/>
    <n v="9900"/>
    <n v="20.331666666666671"/>
    <s v="Profit"/>
    <s v="Sneha Mishra"/>
    <x v="1"/>
    <x v="2"/>
    <s v="Jaipur"/>
    <s v="Rajasthan"/>
    <s v="2025-05-30"/>
    <s v="36-50"/>
    <n v="2012.835"/>
  </r>
  <r>
    <s v="ORD01191"/>
    <d v="2025-11-27T00:00:00"/>
    <s v="CUST0353"/>
    <x v="2"/>
    <x v="9"/>
    <n v="2"/>
    <n v="0.05"/>
    <n v="17100"/>
    <n v="4142.5600000000004"/>
    <x v="2"/>
    <s v="Delivered"/>
    <n v="8550"/>
    <n v="24.225497076023391"/>
    <s v="Profit"/>
    <s v="Aditya Iyer"/>
    <x v="2"/>
    <x v="0"/>
    <s v="Hyderabad"/>
    <s v="Telangana"/>
    <s v="2024-08-21"/>
    <s v="36-50"/>
    <n v="2071.2800000000002"/>
  </r>
  <r>
    <s v="ORD01192"/>
    <d v="2025-12-29T00:00:00"/>
    <s v="CUST0332"/>
    <x v="1"/>
    <x v="15"/>
    <n v="3"/>
    <n v="0.1"/>
    <n v="5940"/>
    <n v="1720.74"/>
    <x v="0"/>
    <s v="Delivered"/>
    <n v="1980"/>
    <n v="28.96868686868687"/>
    <s v="Profit"/>
    <s v="Vikram Rao"/>
    <x v="1"/>
    <x v="0"/>
    <s v="Coimbatore"/>
    <s v="Tamil Nadu"/>
    <s v="2023-07-04"/>
    <s v="26-35"/>
    <n v="573.58000000000004"/>
  </r>
  <r>
    <s v="ORD01193"/>
    <d v="2026-03-27T00:00:00"/>
    <s v="CUST0262"/>
    <x v="0"/>
    <x v="6"/>
    <n v="3"/>
    <n v="0.15"/>
    <n v="892.5"/>
    <n v="236.59"/>
    <x v="2"/>
    <s v="Delivered"/>
    <n v="297.5"/>
    <n v="26.50868347338935"/>
    <s v="Profit"/>
    <s v="Varun Menon"/>
    <x v="1"/>
    <x v="2"/>
    <s v="Chandigarh"/>
    <s v="Chandigarh"/>
    <s v="2025-12-16"/>
    <s v="36-50"/>
    <n v="78.86333333333333"/>
  </r>
  <r>
    <s v="ORD01194"/>
    <d v="2026-02-26T00:00:00"/>
    <s v="CUST0491"/>
    <x v="2"/>
    <x v="2"/>
    <n v="4"/>
    <n v="0.15"/>
    <n v="44200"/>
    <n v="8765.4"/>
    <x v="0"/>
    <s v="Delivered"/>
    <n v="11050"/>
    <n v="19.831221719457009"/>
    <s v="Profit"/>
    <s v="Ishaan Chopra"/>
    <x v="1"/>
    <x v="2"/>
    <s v="Chandigarh"/>
    <s v="Chandigarh"/>
    <s v="2024-04-16"/>
    <s v="18-25"/>
    <n v="2191.35"/>
  </r>
  <r>
    <s v="ORD01195"/>
    <d v="2025-07-19T00:00:00"/>
    <s v="CUST0145"/>
    <x v="0"/>
    <x v="7"/>
    <n v="5"/>
    <n v="0.1"/>
    <n v="4050"/>
    <n v="1135.83"/>
    <x v="0"/>
    <s v="Delivered"/>
    <n v="810"/>
    <n v="28.045185185185179"/>
    <s v="Profit"/>
    <s v="Arjun Das"/>
    <x v="0"/>
    <x v="1"/>
    <s v="Ahmedabad"/>
    <s v="Gujarat"/>
    <s v="2023-06-06"/>
    <s v="51+"/>
    <n v="227.166"/>
  </r>
  <r>
    <s v="ORD01196"/>
    <d v="2026-02-25T00:00:00"/>
    <s v="CUST0542"/>
    <x v="2"/>
    <x v="2"/>
    <n v="2"/>
    <n v="0.05"/>
    <n v="24700"/>
    <n v="-13350.44"/>
    <x v="0"/>
    <s v="Returned"/>
    <n v="12350"/>
    <n v="-54.050364372469637"/>
    <s v="Loss"/>
    <s v="Vikram Rao"/>
    <x v="1"/>
    <x v="0"/>
    <s v="Bengaluru"/>
    <s v="Karnataka"/>
    <s v="2023-06-19"/>
    <s v="36-50"/>
    <n v="-6675.22"/>
  </r>
  <r>
    <s v="ORD01197"/>
    <d v="2026-04-09T00:00:00"/>
    <s v="CUST0377"/>
    <x v="3"/>
    <x v="8"/>
    <n v="15"/>
    <n v="0.2"/>
    <n v="54000"/>
    <n v="14963.42"/>
    <x v="0"/>
    <s v="Delivered"/>
    <n v="3600"/>
    <n v="27.71003703703704"/>
    <s v="Profit"/>
    <s v="Aarav Joshi"/>
    <x v="0"/>
    <x v="1"/>
    <s v="Ahmedabad"/>
    <s v="Gujarat"/>
    <s v="2025-02-16"/>
    <s v="26-35"/>
    <n v="997.56133333333332"/>
  </r>
  <r>
    <s v="ORD01198"/>
    <d v="2025-07-28T00:00:00"/>
    <s v="CUST0483"/>
    <x v="0"/>
    <x v="7"/>
    <n v="6"/>
    <n v="0.15"/>
    <n v="4590"/>
    <n v="1083.18"/>
    <x v="2"/>
    <s v="Delivered"/>
    <n v="765"/>
    <n v="23.598692810457521"/>
    <s v="Profit"/>
    <s v="Harini Rao"/>
    <x v="2"/>
    <x v="0"/>
    <s v="Bengaluru"/>
    <s v="Karnataka"/>
    <s v="2025-12-26"/>
    <s v="18-25"/>
    <n v="180.53"/>
  </r>
  <r>
    <s v="ORD01199"/>
    <d v="2026-02-26T00:00:00"/>
    <s v="CUST0155"/>
    <x v="3"/>
    <x v="4"/>
    <n v="1"/>
    <n v="0.2"/>
    <n v="14400"/>
    <n v="1463.05"/>
    <x v="2"/>
    <s v="Delivered"/>
    <n v="14400"/>
    <n v="10.16006944444444"/>
    <s v="Profit"/>
    <s v="Ishaan Sharma"/>
    <x v="0"/>
    <x v="0"/>
    <s v="Bengaluru"/>
    <s v="Karnataka"/>
    <s v="2023-07-08"/>
    <s v="26-35"/>
    <n v="1463.05"/>
  </r>
  <r>
    <s v="ORD01200"/>
    <d v="2026-08-05T00:00:00"/>
    <s v="CUST0507"/>
    <x v="2"/>
    <x v="2"/>
    <n v="2"/>
    <n v="0"/>
    <n v="26000"/>
    <n v="-8800.77"/>
    <x v="2"/>
    <s v="Cancelled"/>
    <n v="13000"/>
    <n v="-33.849115384615388"/>
    <s v="Loss"/>
    <s v="Aarav Naidu"/>
    <x v="0"/>
    <x v="2"/>
    <s v="Jaipur"/>
    <s v="Rajasthan"/>
    <s v="2023-05-03"/>
    <s v="36-50"/>
    <n v="-4400.3850000000002"/>
  </r>
  <r>
    <s v="ORD01201"/>
    <d v="2026-03-25T00:00:00"/>
    <s v="CUST0302"/>
    <x v="0"/>
    <x v="6"/>
    <n v="3"/>
    <n v="0.2"/>
    <n v="840"/>
    <n v="252.26"/>
    <x v="2"/>
    <s v="Delivered"/>
    <n v="280"/>
    <n v="30.030952380952382"/>
    <s v="Profit"/>
    <s v="Ananya Iyer"/>
    <x v="0"/>
    <x v="1"/>
    <s v="Pune"/>
    <s v="Maharashtra"/>
    <s v="2025-09-02"/>
    <s v="26-35"/>
    <n v="84.086666666666659"/>
  </r>
  <r>
    <s v="ORD01202"/>
    <d v="2025-10-28T00:00:00"/>
    <s v="CUST0457"/>
    <x v="0"/>
    <x v="14"/>
    <n v="2"/>
    <n v="0.15"/>
    <n v="765"/>
    <n v="121.97"/>
    <x v="1"/>
    <s v="Delivered"/>
    <n v="382.5"/>
    <n v="15.943790849673199"/>
    <s v="Profit"/>
    <s v="Karthik Bose"/>
    <x v="2"/>
    <x v="0"/>
    <s v="Hyderabad"/>
    <s v="Telangana"/>
    <s v="2025-04-05"/>
    <s v="51+"/>
    <n v="60.984999999999999"/>
  </r>
  <r>
    <s v="ORD01203"/>
    <d v="2025-07-10T00:00:00"/>
    <s v="CUST0421"/>
    <x v="2"/>
    <x v="5"/>
    <n v="3"/>
    <n v="0"/>
    <n v="33000"/>
    <n v="7800"/>
    <x v="3"/>
    <s v="Shipped"/>
    <n v="11000"/>
    <n v="23.63636363636364"/>
    <s v="Profit"/>
    <s v="Sneha Iyer"/>
    <x v="0"/>
    <x v="3"/>
    <s v="Guwahati"/>
    <s v="Assam"/>
    <s v="2024-05-14"/>
    <s v="51+"/>
    <n v="2600"/>
  </r>
  <r>
    <s v="ORD01204"/>
    <d v="2025-08-03T00:00:00"/>
    <s v="CUST0039"/>
    <x v="3"/>
    <x v="4"/>
    <n v="1"/>
    <n v="0"/>
    <n v="18000"/>
    <n v="-2910.97"/>
    <x v="0"/>
    <s v="Returned"/>
    <n v="18000"/>
    <n v="-16.172055555555549"/>
    <s v="Loss"/>
    <s v="Varun Joshi"/>
    <x v="0"/>
    <x v="0"/>
    <s v="Coimbatore"/>
    <s v="Tamil Nadu"/>
    <s v="2025-08-21"/>
    <s v="51+"/>
    <n v="-2910.97"/>
  </r>
  <r>
    <s v="ORD01205"/>
    <d v="2026-07-21T00:00:00"/>
    <s v="CUST0391"/>
    <x v="3"/>
    <x v="10"/>
    <n v="2"/>
    <n v="0.15"/>
    <n v="93500"/>
    <n v="6609.53"/>
    <x v="0"/>
    <s v="Delivered"/>
    <n v="46750"/>
    <n v="7.0690160427807482"/>
    <s v="Profit"/>
    <s v="Divya Das"/>
    <x v="2"/>
    <x v="0"/>
    <s v="Bengaluru"/>
    <s v="Karnataka"/>
    <s v="2023-03-08"/>
    <s v="36-50"/>
    <n v="3304.7649999999999"/>
  </r>
  <r>
    <s v="ORD01206"/>
    <d v="2025-08-22T00:00:00"/>
    <s v="CUST0200"/>
    <x v="0"/>
    <x v="0"/>
    <n v="15"/>
    <n v="0"/>
    <n v="210000"/>
    <n v="42000"/>
    <x v="2"/>
    <s v="Delivered"/>
    <n v="14000"/>
    <n v="20"/>
    <s v="Profit"/>
    <s v="Nisha Mishra"/>
    <x v="2"/>
    <x v="0"/>
    <s v="Bengaluru"/>
    <s v="Karnataka"/>
    <s v="2023-10-31"/>
    <s v="51+"/>
    <n v="2800"/>
  </r>
  <r>
    <s v="ORD01207"/>
    <d v="2025-11-18T00:00:00"/>
    <s v="CUST0076"/>
    <x v="2"/>
    <x v="3"/>
    <n v="3"/>
    <n v="0.1"/>
    <n v="40500"/>
    <n v="7250.88"/>
    <x v="3"/>
    <s v="Delivered"/>
    <n v="13500"/>
    <n v="17.903407407407411"/>
    <s v="Profit"/>
    <s v="Arjun Sharma"/>
    <x v="2"/>
    <x v="3"/>
    <s v="Guwahati"/>
    <s v="Assam"/>
    <s v="2023-12-08"/>
    <s v="51+"/>
    <n v="2416.96"/>
  </r>
  <r>
    <s v="ORD01208"/>
    <d v="2026-07-10T00:00:00"/>
    <s v="CUST0461"/>
    <x v="1"/>
    <x v="15"/>
    <n v="2"/>
    <n v="0.1"/>
    <n v="3960"/>
    <n v="1288.56"/>
    <x v="2"/>
    <s v="Delivered"/>
    <n v="1980"/>
    <n v="32.539393939393939"/>
    <s v="Profit"/>
    <s v="Shreya Sharma"/>
    <x v="0"/>
    <x v="1"/>
    <s v="Mumbai"/>
    <s v="Maharashtra"/>
    <s v="2024-05-10"/>
    <s v="26-35"/>
    <n v="644.28"/>
  </r>
  <r>
    <s v="ORD01209"/>
    <d v="2026-07-19T00:00:00"/>
    <s v="CUST0378"/>
    <x v="3"/>
    <x v="11"/>
    <n v="2"/>
    <n v="0"/>
    <n v="5000"/>
    <n v="1600"/>
    <x v="3"/>
    <s v="Delivered"/>
    <n v="2500"/>
    <n v="32"/>
    <s v="Profit"/>
    <s v="Aarav Joshi"/>
    <x v="2"/>
    <x v="0"/>
    <s v="Bengaluru"/>
    <s v="Karnataka"/>
    <s v="2025-12-14"/>
    <s v="26-35"/>
    <n v="800"/>
  </r>
  <r>
    <s v="ORD01210"/>
    <d v="2025-11-03T00:00:00"/>
    <s v="CUST0169"/>
    <x v="0"/>
    <x v="0"/>
    <n v="1"/>
    <n v="0.15"/>
    <n v="11900"/>
    <n v="1208.79"/>
    <x v="2"/>
    <s v="Delivered"/>
    <n v="11900"/>
    <n v="10.157899159663859"/>
    <s v="Profit"/>
    <s v="Sneha Bose"/>
    <x v="0"/>
    <x v="0"/>
    <s v="Hyderabad"/>
    <s v="Telangana"/>
    <s v="2024-09-10"/>
    <s v="26-35"/>
    <n v="1208.79"/>
  </r>
  <r>
    <s v="ORD01211"/>
    <d v="2026-05-29T00:00:00"/>
    <s v="CUST0038"/>
    <x v="3"/>
    <x v="8"/>
    <n v="4"/>
    <n v="0.05"/>
    <n v="17100"/>
    <n v="5507.96"/>
    <x v="2"/>
    <s v="Delivered"/>
    <n v="4275"/>
    <n v="32.210292397660822"/>
    <s v="Profit"/>
    <s v="Harini Sharma"/>
    <x v="2"/>
    <x v="0"/>
    <s v="Coimbatore"/>
    <s v="Tamil Nadu"/>
    <s v="2024-06-22"/>
    <s v="36-50"/>
    <n v="1376.99"/>
  </r>
  <r>
    <s v="ORD01212"/>
    <d v="2026-07-03T00:00:00"/>
    <s v="CUST0312"/>
    <x v="3"/>
    <x v="4"/>
    <n v="2"/>
    <n v="0.1"/>
    <n v="32400"/>
    <n v="4281.17"/>
    <x v="3"/>
    <s v="Delivered"/>
    <n v="16200"/>
    <n v="13.213487654320989"/>
    <s v="Profit"/>
    <s v="Kavya Menon"/>
    <x v="1"/>
    <x v="1"/>
    <s v="Mumbai"/>
    <s v="Maharashtra"/>
    <s v="2023-05-26"/>
    <s v="26-35"/>
    <n v="2140.585"/>
  </r>
  <r>
    <s v="ORD01213"/>
    <d v="2025-09-28T00:00:00"/>
    <s v="CUST0556"/>
    <x v="0"/>
    <x v="14"/>
    <n v="2"/>
    <n v="0.1"/>
    <n v="810"/>
    <n v="144.63999999999999"/>
    <x v="3"/>
    <s v="Delivered"/>
    <n v="405"/>
    <n v="17.85679012345679"/>
    <s v="Profit"/>
    <s v="Karthik Chopra"/>
    <x v="0"/>
    <x v="0"/>
    <s v="Coimbatore"/>
    <s v="Tamil Nadu"/>
    <s v="2024-08-09"/>
    <s v="26-35"/>
    <n v="72.319999999999993"/>
  </r>
  <r>
    <s v="ORD01214"/>
    <d v="2026-05-19T00:00:00"/>
    <s v="CUST0401"/>
    <x v="1"/>
    <x v="13"/>
    <n v="5"/>
    <n v="0.1"/>
    <n v="18900"/>
    <n v="-2008.19"/>
    <x v="0"/>
    <s v="Cancelled"/>
    <n v="3780"/>
    <n v="-10.625343915343921"/>
    <s v="Loss"/>
    <s v="Ananya Nair"/>
    <x v="0"/>
    <x v="0"/>
    <s v="Hyderabad"/>
    <s v="Telangana"/>
    <s v="2024-04-08"/>
    <s v="26-35"/>
    <n v="-401.63799999999998"/>
  </r>
  <r>
    <s v="ORD01215"/>
    <d v="2025-10-17T00:00:00"/>
    <s v="CUST0595"/>
    <x v="1"/>
    <x v="13"/>
    <n v="1"/>
    <n v="0.1"/>
    <n v="3780"/>
    <n v="873.38"/>
    <x v="1"/>
    <s v="Delivered"/>
    <n v="3780"/>
    <n v="23.105291005291011"/>
    <s v="Profit"/>
    <s v="Nisha Menon"/>
    <x v="0"/>
    <x v="3"/>
    <s v="Kolkata"/>
    <s v="West Bengal"/>
    <s v="2025-07-16"/>
    <s v="51+"/>
    <n v="873.38"/>
  </r>
  <r>
    <s v="ORD01216"/>
    <d v="2025-08-27T00:00:00"/>
    <s v="CUST0559"/>
    <x v="2"/>
    <x v="5"/>
    <n v="1"/>
    <n v="0.05"/>
    <n v="10450"/>
    <n v="2219.79"/>
    <x v="2"/>
    <s v="Shipped"/>
    <n v="10450"/>
    <n v="21.242009569377991"/>
    <s v="Profit"/>
    <s v="Karthik Pillai"/>
    <x v="2"/>
    <x v="1"/>
    <s v="Ahmedabad"/>
    <s v="Gujarat"/>
    <s v="2024-02-26"/>
    <s v="51+"/>
    <n v="2219.79"/>
  </r>
  <r>
    <s v="ORD01217"/>
    <d v="2025-08-12T00:00:00"/>
    <s v="CUST0568"/>
    <x v="3"/>
    <x v="8"/>
    <n v="4"/>
    <n v="0.2"/>
    <n v="14400"/>
    <n v="3796.44"/>
    <x v="2"/>
    <s v="Delivered"/>
    <n v="3600"/>
    <n v="26.364166666666669"/>
    <s v="Profit"/>
    <s v="Sanjay Reddy"/>
    <x v="0"/>
    <x v="2"/>
    <s v="Chandigarh"/>
    <s v="Chandigarh"/>
    <s v="2023-02-19"/>
    <s v="26-35"/>
    <n v="949.11"/>
  </r>
  <r>
    <s v="ORD01218"/>
    <d v="2025-10-02T00:00:00"/>
    <s v="CUST0437"/>
    <x v="3"/>
    <x v="10"/>
    <n v="1"/>
    <n v="0"/>
    <n v="55000"/>
    <n v="9000"/>
    <x v="0"/>
    <s v="Delivered"/>
    <n v="55000"/>
    <n v="16.36363636363636"/>
    <s v="Profit"/>
    <s v="Rahul Kulkarni"/>
    <x v="0"/>
    <x v="1"/>
    <s v="Surat"/>
    <s v="Gujarat"/>
    <s v="2023-12-14"/>
    <s v="18-25"/>
    <n v="9000"/>
  </r>
  <r>
    <s v="ORD01219"/>
    <d v="2026-02-24T00:00:00"/>
    <s v="CUST0562"/>
    <x v="3"/>
    <x v="11"/>
    <n v="3"/>
    <n v="0.2"/>
    <n v="6000"/>
    <n v="1470.79"/>
    <x v="1"/>
    <s v="Delivered"/>
    <n v="2000"/>
    <n v="24.51316666666667"/>
    <s v="Profit"/>
    <s v="Shreya Das"/>
    <x v="0"/>
    <x v="2"/>
    <s v="Chandigarh"/>
    <s v="Chandigarh"/>
    <s v="2024-05-03"/>
    <s v="36-50"/>
    <n v="490.26333333333332"/>
  </r>
  <r>
    <s v="ORD01220"/>
    <d v="2026-06-04T00:00:00"/>
    <s v="CUST0298"/>
    <x v="0"/>
    <x v="6"/>
    <n v="15"/>
    <n v="0.1"/>
    <n v="4725"/>
    <n v="1473.58"/>
    <x v="0"/>
    <s v="Delivered"/>
    <n v="315"/>
    <n v="31.18687830687831"/>
    <s v="Profit"/>
    <s v="Diya Joshi"/>
    <x v="0"/>
    <x v="0"/>
    <s v="Chennai"/>
    <s v="Tamil Nadu"/>
    <s v="2025-01-10"/>
    <s v="18-25"/>
    <n v="98.23866666666666"/>
  </r>
  <r>
    <s v="ORD01221"/>
    <d v="2025-08-16T00:00:00"/>
    <s v="CUST0148"/>
    <x v="2"/>
    <x v="3"/>
    <n v="5"/>
    <n v="0.15"/>
    <n v="63750"/>
    <n v="12416.46"/>
    <x v="1"/>
    <s v="Delivered"/>
    <n v="12750"/>
    <n v="19.476800000000001"/>
    <s v="Profit"/>
    <s v="Sanjay Mishra"/>
    <x v="0"/>
    <x v="3"/>
    <s v="Bhubaneswar"/>
    <s v="Odisha"/>
    <s v="2023-09-04"/>
    <s v="51+"/>
    <n v="2483.2919999999999"/>
  </r>
  <r>
    <s v="ORD01222"/>
    <d v="2026-08-14T00:00:00"/>
    <s v="CUST0013"/>
    <x v="3"/>
    <x v="4"/>
    <n v="4"/>
    <n v="0.15"/>
    <n v="61200"/>
    <n v="6360.05"/>
    <x v="3"/>
    <s v="Shipped"/>
    <n v="15300"/>
    <n v="10.392238562091499"/>
    <s v="Profit"/>
    <s v="Aarav Iyer"/>
    <x v="0"/>
    <x v="2"/>
    <s v="Chandigarh"/>
    <s v="Chandigarh"/>
    <s v="2025-09-04"/>
    <s v="26-35"/>
    <n v="1590.0125"/>
  </r>
  <r>
    <s v="ORD01223"/>
    <d v="2025-08-07T00:00:00"/>
    <s v="CUST0094"/>
    <x v="3"/>
    <x v="4"/>
    <n v="6"/>
    <n v="0.1"/>
    <n v="97200"/>
    <n v="13627.16"/>
    <x v="2"/>
    <s v="Shipped"/>
    <n v="16200"/>
    <n v="14.01971193415638"/>
    <s v="Profit"/>
    <s v="Akash Joshi"/>
    <x v="1"/>
    <x v="3"/>
    <s v="Kolkata"/>
    <s v="West Bengal"/>
    <s v="2025-06-22"/>
    <s v="36-50"/>
    <n v="2271.1933333333332"/>
  </r>
  <r>
    <s v="ORD01224"/>
    <d v="2025-10-26T00:00:00"/>
    <s v="CUST0451"/>
    <x v="2"/>
    <x v="3"/>
    <n v="2"/>
    <n v="0.15"/>
    <n v="25500"/>
    <n v="4184.1899999999996"/>
    <x v="0"/>
    <s v="Shipped"/>
    <n v="12750"/>
    <n v="16.408588235294111"/>
    <s v="Profit"/>
    <s v="Diya Naidu"/>
    <x v="0"/>
    <x v="1"/>
    <s v="Pune"/>
    <s v="Maharashtra"/>
    <s v="2024-06-17"/>
    <s v="26-35"/>
    <n v="2092.0949999999998"/>
  </r>
  <r>
    <s v="ORD01225"/>
    <d v="2026-08-16T00:00:00"/>
    <s v="CUST0456"/>
    <x v="2"/>
    <x v="2"/>
    <n v="2"/>
    <n v="0.1"/>
    <n v="23400"/>
    <n v="5067.04"/>
    <x v="3"/>
    <s v="Delivered"/>
    <n v="11700"/>
    <n v="21.6540170940171"/>
    <s v="Profit"/>
    <s v="Ananya Das"/>
    <x v="0"/>
    <x v="3"/>
    <s v="Patna"/>
    <s v="Bihar"/>
    <s v="2025-06-07"/>
    <s v="18-25"/>
    <n v="2533.52"/>
  </r>
  <r>
    <s v="ORD01226"/>
    <d v="2026-08-20T00:00:00"/>
    <s v="CUST0192"/>
    <x v="3"/>
    <x v="10"/>
    <n v="3"/>
    <n v="0.1"/>
    <n v="148500"/>
    <n v="17701.64"/>
    <x v="1"/>
    <s v="Delivered"/>
    <n v="49500"/>
    <n v="11.9202962962963"/>
    <s v="Profit"/>
    <s v="Kavya Verma"/>
    <x v="2"/>
    <x v="3"/>
    <s v="Bhubaneswar"/>
    <s v="Odisha"/>
    <s v="2023-06-15"/>
    <s v="36-50"/>
    <n v="5900.5466666666662"/>
  </r>
  <r>
    <s v="ORD01227"/>
    <d v="2026-06-08T00:00:00"/>
    <s v="CUST0482"/>
    <x v="3"/>
    <x v="4"/>
    <n v="1"/>
    <n v="0.05"/>
    <n v="17100"/>
    <n v="2895.65"/>
    <x v="0"/>
    <s v="Delivered"/>
    <n v="17100"/>
    <n v="16.933625730994159"/>
    <s v="Profit"/>
    <s v="Divya Reddy"/>
    <x v="0"/>
    <x v="0"/>
    <s v="Chennai"/>
    <s v="Tamil Nadu"/>
    <s v="2025-06-12"/>
    <s v="26-35"/>
    <n v="2895.65"/>
  </r>
  <r>
    <s v="ORD01228"/>
    <d v="2025-07-14T00:00:00"/>
    <s v="CUST0173"/>
    <x v="0"/>
    <x v="14"/>
    <n v="5"/>
    <n v="0"/>
    <n v="2250"/>
    <n v="550"/>
    <x v="3"/>
    <s v="Delivered"/>
    <n v="450"/>
    <n v="24.444444444444439"/>
    <s v="Profit"/>
    <s v="Rohan Rao"/>
    <x v="1"/>
    <x v="0"/>
    <s v="Bengaluru"/>
    <s v="Karnataka"/>
    <s v="2024-03-17"/>
    <s v="18-25"/>
    <n v="110"/>
  </r>
  <r>
    <s v="ORD01229"/>
    <d v="2025-08-30T00:00:00"/>
    <s v="CUST0523"/>
    <x v="3"/>
    <x v="10"/>
    <n v="2"/>
    <n v="0"/>
    <n v="110000"/>
    <n v="18000"/>
    <x v="2"/>
    <s v="Delivered"/>
    <n v="55000"/>
    <n v="16.36363636363636"/>
    <s v="Profit"/>
    <s v="Vikram Kulkarni"/>
    <x v="0"/>
    <x v="2"/>
    <s v="Chandigarh"/>
    <s v="Chandigarh"/>
    <s v="2023-09-25"/>
    <s v="51+"/>
    <n v="9000"/>
  </r>
  <r>
    <s v="ORD01230"/>
    <d v="2025-11-28T00:00:00"/>
    <s v="CUST0447"/>
    <x v="0"/>
    <x v="6"/>
    <n v="2"/>
    <n v="0"/>
    <n v="700"/>
    <n v="240"/>
    <x v="0"/>
    <s v="Delivered"/>
    <n v="350"/>
    <n v="34.285714285714278"/>
    <s v="Profit"/>
    <s v="Aarav Iyer"/>
    <x v="2"/>
    <x v="0"/>
    <s v="Hyderabad"/>
    <s v="Telangana"/>
    <s v="2024-09-12"/>
    <s v="36-50"/>
    <n v="120"/>
  </r>
  <r>
    <s v="ORD01231"/>
    <d v="2025-08-02T00:00:00"/>
    <s v="CUST0048"/>
    <x v="2"/>
    <x v="2"/>
    <n v="5"/>
    <n v="0.3"/>
    <n v="45500"/>
    <n v="5595.79"/>
    <x v="3"/>
    <s v="Shipped"/>
    <n v="9100"/>
    <n v="12.29843956043956"/>
    <s v="Profit"/>
    <s v="Rohan Das"/>
    <x v="0"/>
    <x v="1"/>
    <s v="Ahmedabad"/>
    <s v="Gujarat"/>
    <s v="2025-04-11"/>
    <s v="26-35"/>
    <n v="1119.1579999999999"/>
  </r>
  <r>
    <s v="ORD01232"/>
    <d v="2026-04-21T00:00:00"/>
    <s v="CUST0468"/>
    <x v="0"/>
    <x v="6"/>
    <n v="3"/>
    <n v="0.05"/>
    <n v="997.5"/>
    <n v="333.95"/>
    <x v="1"/>
    <s v="Delivered"/>
    <n v="332.5"/>
    <n v="33.478696741854627"/>
    <s v="Profit"/>
    <s v="Lakshmi Mehta"/>
    <x v="1"/>
    <x v="0"/>
    <s v="Chennai"/>
    <s v="Tamil Nadu"/>
    <s v="2023-03-02"/>
    <s v="26-35"/>
    <n v="111.31666666666671"/>
  </r>
  <r>
    <s v="ORD01233"/>
    <d v="2026-04-13T00:00:00"/>
    <s v="CUST0472"/>
    <x v="2"/>
    <x v="3"/>
    <n v="1"/>
    <n v="0.15"/>
    <n v="12750"/>
    <n v="1703.59"/>
    <x v="0"/>
    <s v="Delivered"/>
    <n v="12750"/>
    <n v="13.36149019607843"/>
    <s v="Profit"/>
    <s v="Kavya Gupta"/>
    <x v="1"/>
    <x v="3"/>
    <s v="Bhubaneswar"/>
    <s v="Odisha"/>
    <s v="2025-07-26"/>
    <s v="26-35"/>
    <n v="1703.59"/>
  </r>
  <r>
    <s v="ORD01234"/>
    <d v="2025-11-16T00:00:00"/>
    <s v="CUST0218"/>
    <x v="2"/>
    <x v="9"/>
    <n v="3"/>
    <n v="0.15"/>
    <n v="22950"/>
    <n v="4181.49"/>
    <x v="0"/>
    <s v="Delivered"/>
    <n v="7650"/>
    <n v="18.22"/>
    <s v="Profit"/>
    <s v="Shreya Sharma"/>
    <x v="2"/>
    <x v="2"/>
    <s v="Lucknow"/>
    <s v="Uttar Pradesh"/>
    <s v="2025-01-22"/>
    <s v="36-50"/>
    <n v="1393.83"/>
  </r>
  <r>
    <s v="ORD01235"/>
    <d v="2025-08-31T00:00:00"/>
    <s v="CUST0440"/>
    <x v="0"/>
    <x v="7"/>
    <n v="3"/>
    <n v="0.1"/>
    <n v="2430"/>
    <n v="636.95000000000005"/>
    <x v="0"/>
    <s v="Delivered"/>
    <n v="810"/>
    <n v="26.2119341563786"/>
    <s v="Profit"/>
    <s v="Harini Sharma"/>
    <x v="1"/>
    <x v="0"/>
    <s v="Hyderabad"/>
    <s v="Telangana"/>
    <s v="2024-06-03"/>
    <s v="18-25"/>
    <n v="212.31666666666669"/>
  </r>
  <r>
    <s v="ORD01236"/>
    <d v="2026-06-12T00:00:00"/>
    <s v="CUST0108"/>
    <x v="3"/>
    <x v="8"/>
    <n v="5"/>
    <n v="0.05"/>
    <n v="21375"/>
    <n v="6641.8"/>
    <x v="2"/>
    <s v="Shipped"/>
    <n v="4275"/>
    <n v="31.072748538011691"/>
    <s v="Profit"/>
    <s v="Ananya Sharma"/>
    <x v="1"/>
    <x v="2"/>
    <s v="Chandigarh"/>
    <s v="Chandigarh"/>
    <s v="2025-12-04"/>
    <s v="26-35"/>
    <n v="1328.36"/>
  </r>
  <r>
    <s v="ORD01237"/>
    <d v="2026-02-18T00:00:00"/>
    <s v="CUST0209"/>
    <x v="3"/>
    <x v="11"/>
    <n v="1"/>
    <n v="0.1"/>
    <n v="2250"/>
    <n v="639.09"/>
    <x v="2"/>
    <s v="Delivered"/>
    <n v="2250"/>
    <n v="28.404"/>
    <s v="Profit"/>
    <s v="Rahul Naidu"/>
    <x v="0"/>
    <x v="0"/>
    <s v="Hyderabad"/>
    <s v="Telangana"/>
    <s v="2023-02-09"/>
    <s v="36-50"/>
    <n v="639.09"/>
  </r>
  <r>
    <s v="ORD01238"/>
    <d v="2025-07-22T00:00:00"/>
    <s v="CUST0168"/>
    <x v="1"/>
    <x v="1"/>
    <n v="2"/>
    <n v="0.2"/>
    <n v="2880"/>
    <n v="744.12"/>
    <x v="1"/>
    <s v="Shipped"/>
    <n v="1440"/>
    <n v="25.837499999999999"/>
    <s v="Profit"/>
    <s v="Shreya Sharma"/>
    <x v="1"/>
    <x v="1"/>
    <s v="Ahmedabad"/>
    <s v="Gujarat"/>
    <s v="2025-04-13"/>
    <s v="51+"/>
    <n v="372.06"/>
  </r>
  <r>
    <s v="ORD01239"/>
    <d v="2025-07-03T00:00:00"/>
    <s v="CUST0327"/>
    <x v="0"/>
    <x v="7"/>
    <n v="2"/>
    <n v="0.1"/>
    <n v="1620"/>
    <n v="-785.33"/>
    <x v="1"/>
    <s v="Returned"/>
    <n v="810"/>
    <n v="-48.477160493827157"/>
    <s v="Loss"/>
    <s v="Sanjay Singh"/>
    <x v="1"/>
    <x v="1"/>
    <s v="Pune"/>
    <s v="Maharashtra"/>
    <s v="2023-11-03"/>
    <s v="18-25"/>
    <n v="-392.66500000000002"/>
  </r>
  <r>
    <s v="ORD01240"/>
    <d v="2025-08-02T00:00:00"/>
    <s v="CUST0157"/>
    <x v="0"/>
    <x v="6"/>
    <n v="6"/>
    <n v="0.15"/>
    <n v="1785"/>
    <n v="569.08000000000004"/>
    <x v="1"/>
    <s v="Delivered"/>
    <n v="297.5"/>
    <n v="31.881232492997199"/>
    <s v="Profit"/>
    <s v="Diya Rao"/>
    <x v="1"/>
    <x v="0"/>
    <s v="Bengaluru"/>
    <s v="Karnataka"/>
    <s v="2024-02-13"/>
    <s v="51+"/>
    <n v="94.846666666666678"/>
  </r>
  <r>
    <s v="ORD01241"/>
    <d v="2026-05-20T00:00:00"/>
    <s v="CUST0169"/>
    <x v="2"/>
    <x v="2"/>
    <n v="3"/>
    <n v="0.1"/>
    <n v="35100"/>
    <n v="-3081.05"/>
    <x v="1"/>
    <s v="Returned"/>
    <n v="11700"/>
    <n v="-8.7779202279202284"/>
    <s v="Loss"/>
    <s v="Sneha Bose"/>
    <x v="0"/>
    <x v="0"/>
    <s v="Hyderabad"/>
    <s v="Telangana"/>
    <s v="2024-09-10"/>
    <s v="26-35"/>
    <n v="-1027.0166666666671"/>
  </r>
  <r>
    <s v="ORD01242"/>
    <d v="2025-11-19T00:00:00"/>
    <s v="CUST0565"/>
    <x v="3"/>
    <x v="10"/>
    <n v="3"/>
    <n v="0.1"/>
    <n v="148500"/>
    <n v="17605.13"/>
    <x v="0"/>
    <s v="Delivered"/>
    <n v="49500"/>
    <n v="11.8553063973064"/>
    <s v="Profit"/>
    <s v="Rahul Bose"/>
    <x v="0"/>
    <x v="0"/>
    <s v="Coimbatore"/>
    <s v="Tamil Nadu"/>
    <s v="2024-03-26"/>
    <s v="51+"/>
    <n v="5868.376666666667"/>
  </r>
  <r>
    <s v="ORD01243"/>
    <d v="2026-04-22T00:00:00"/>
    <s v="CUST0474"/>
    <x v="3"/>
    <x v="8"/>
    <n v="1"/>
    <n v="0.2"/>
    <n v="3600"/>
    <n v="1058.32"/>
    <x v="0"/>
    <s v="Delivered"/>
    <n v="3600"/>
    <n v="29.39777777777778"/>
    <s v="Profit"/>
    <s v="Meera Chopra"/>
    <x v="2"/>
    <x v="0"/>
    <s v="Hyderabad"/>
    <s v="Telangana"/>
    <s v="2023-02-16"/>
    <s v="36-50"/>
    <n v="1058.32"/>
  </r>
  <r>
    <s v="ORD01244"/>
    <d v="2025-07-28T00:00:00"/>
    <s v="CUST0181"/>
    <x v="2"/>
    <x v="5"/>
    <n v="1"/>
    <n v="0.3"/>
    <n v="7700"/>
    <n v="300.33"/>
    <x v="1"/>
    <s v="Delivered"/>
    <n v="7700"/>
    <n v="3.900389610389611"/>
    <s v="Profit"/>
    <s v="Rohan Iyer"/>
    <x v="1"/>
    <x v="1"/>
    <s v="Surat"/>
    <s v="Gujarat"/>
    <s v="2023-03-20"/>
    <s v="36-50"/>
    <n v="300.33"/>
  </r>
  <r>
    <s v="ORD01245"/>
    <d v="2026-03-19T00:00:00"/>
    <s v="CUST0392"/>
    <x v="2"/>
    <x v="9"/>
    <n v="1"/>
    <n v="0.1"/>
    <n v="8100"/>
    <n v="1678.11"/>
    <x v="3"/>
    <s v="Delivered"/>
    <n v="8100"/>
    <n v="20.717407407407411"/>
    <s v="Profit"/>
    <s v="Pooja Patel"/>
    <x v="2"/>
    <x v="1"/>
    <s v="Ahmedabad"/>
    <s v="Gujarat"/>
    <s v="2024-11-07"/>
    <s v="36-50"/>
    <n v="1678.11"/>
  </r>
  <r>
    <s v="ORD01246"/>
    <d v="2026-04-22T00:00:00"/>
    <s v="CUST0565"/>
    <x v="3"/>
    <x v="11"/>
    <n v="2"/>
    <n v="0.05"/>
    <n v="4750"/>
    <n v="1486.06"/>
    <x v="3"/>
    <s v="Delivered"/>
    <n v="2375"/>
    <n v="31.285473684210519"/>
    <s v="Profit"/>
    <s v="Rahul Bose"/>
    <x v="0"/>
    <x v="0"/>
    <s v="Coimbatore"/>
    <s v="Tamil Nadu"/>
    <s v="2024-03-26"/>
    <s v="51+"/>
    <n v="743.03"/>
  </r>
  <r>
    <s v="ORD01247"/>
    <d v="2026-06-04T00:00:00"/>
    <s v="CUST0519"/>
    <x v="3"/>
    <x v="4"/>
    <n v="1"/>
    <n v="0.05"/>
    <n v="17100"/>
    <n v="2834"/>
    <x v="2"/>
    <s v="Delivered"/>
    <n v="17100"/>
    <n v="16.57309941520468"/>
    <s v="Profit"/>
    <s v="Rahul Bose"/>
    <x v="1"/>
    <x v="1"/>
    <s v="Pune"/>
    <s v="Maharashtra"/>
    <s v="2025-12-27"/>
    <s v="26-35"/>
    <n v="2834"/>
  </r>
  <r>
    <s v="ORD01248"/>
    <d v="2026-01-18T00:00:00"/>
    <s v="CUST0244"/>
    <x v="0"/>
    <x v="0"/>
    <n v="1"/>
    <n v="0.1"/>
    <n v="12600"/>
    <n v="1959.49"/>
    <x v="1"/>
    <s v="Delivered"/>
    <n v="12600"/>
    <n v="15.55150793650794"/>
    <s v="Profit"/>
    <s v="Ishaan Khan"/>
    <x v="0"/>
    <x v="0"/>
    <s v="Bengaluru"/>
    <s v="Karnataka"/>
    <s v="2024-01-08"/>
    <s v="36-50"/>
    <n v="1959.49"/>
  </r>
  <r>
    <s v="ORD01249"/>
    <d v="2025-08-23T00:00:00"/>
    <s v="CUST0181"/>
    <x v="3"/>
    <x v="11"/>
    <n v="2"/>
    <n v="0.15"/>
    <n v="4250"/>
    <n v="1028.1400000000001"/>
    <x v="1"/>
    <s v="Delivered"/>
    <n v="2125"/>
    <n v="24.191529411764709"/>
    <s v="Profit"/>
    <s v="Rohan Iyer"/>
    <x v="1"/>
    <x v="1"/>
    <s v="Surat"/>
    <s v="Gujarat"/>
    <s v="2023-03-20"/>
    <s v="36-50"/>
    <n v="514.07000000000005"/>
  </r>
  <r>
    <s v="ORD01250"/>
    <d v="2026-05-15T00:00:00"/>
    <s v="CUST0240"/>
    <x v="3"/>
    <x v="4"/>
    <n v="6"/>
    <n v="0.1"/>
    <n v="97200"/>
    <n v="12915.57"/>
    <x v="3"/>
    <s v="Delivered"/>
    <n v="16200"/>
    <n v="13.28762345679012"/>
    <s v="Profit"/>
    <s v="Kavya Joshi"/>
    <x v="0"/>
    <x v="1"/>
    <s v="Mumbai"/>
    <s v="Maharashtra"/>
    <s v="2024-05-21"/>
    <s v="51+"/>
    <n v="2152.5949999999998"/>
  </r>
  <r>
    <s v="ORD01251"/>
    <d v="2025-07-04T00:00:00"/>
    <s v="CUST0041"/>
    <x v="3"/>
    <x v="11"/>
    <n v="3"/>
    <n v="0.3"/>
    <n v="5250"/>
    <n v="1034.01"/>
    <x v="0"/>
    <s v="Delivered"/>
    <n v="1750"/>
    <n v="19.695428571428572"/>
    <s v="Profit"/>
    <s v="Priya Iyer"/>
    <x v="0"/>
    <x v="0"/>
    <s v="Hyderabad"/>
    <s v="Telangana"/>
    <s v="2023-09-13"/>
    <s v="26-35"/>
    <n v="344.67"/>
  </r>
  <r>
    <s v="ORD01252"/>
    <d v="2026-05-05T00:00:00"/>
    <s v="CUST0541"/>
    <x v="0"/>
    <x v="6"/>
    <n v="1"/>
    <n v="0.05"/>
    <n v="332.5"/>
    <n v="-78.62"/>
    <x v="3"/>
    <s v="Returned"/>
    <n v="332.5"/>
    <n v="-23.645112781954889"/>
    <s v="Loss"/>
    <s v="Rahul Mishra"/>
    <x v="0"/>
    <x v="3"/>
    <s v="Kolkata"/>
    <s v="West Bengal"/>
    <s v="2025-05-13"/>
    <s v="51+"/>
    <n v="-78.62"/>
  </r>
  <r>
    <s v="ORD01253"/>
    <d v="2026-02-04T00:00:00"/>
    <s v="CUST0412"/>
    <x v="3"/>
    <x v="4"/>
    <n v="6"/>
    <n v="0.15"/>
    <n v="91800"/>
    <n v="11523.03"/>
    <x v="1"/>
    <s v="Delivered"/>
    <n v="15300"/>
    <n v="12.552320261437909"/>
    <s v="Profit"/>
    <s v="Akash Khan"/>
    <x v="0"/>
    <x v="0"/>
    <s v="Chennai"/>
    <s v="Tamil Nadu"/>
    <s v="2025-03-27"/>
    <s v="26-35"/>
    <n v="1920.5050000000001"/>
  </r>
  <r>
    <s v="ORD01254"/>
    <d v="2025-10-16T00:00:00"/>
    <s v="CUST0553"/>
    <x v="2"/>
    <x v="5"/>
    <n v="2"/>
    <n v="0.1"/>
    <n v="19800"/>
    <n v="3711.93"/>
    <x v="0"/>
    <s v="Delivered"/>
    <n v="9900"/>
    <n v="18.747121212121211"/>
    <s v="Profit"/>
    <s v="Diya Mishra"/>
    <x v="2"/>
    <x v="0"/>
    <s v="Coimbatore"/>
    <s v="Tamil Nadu"/>
    <s v="2025-01-24"/>
    <s v="36-50"/>
    <n v="1855.9649999999999"/>
  </r>
  <r>
    <s v="ORD01255"/>
    <d v="2026-07-10T00:00:00"/>
    <s v="CUST0364"/>
    <x v="0"/>
    <x v="14"/>
    <n v="2"/>
    <n v="0.1"/>
    <n v="810"/>
    <n v="167.41"/>
    <x v="1"/>
    <s v="Delivered"/>
    <n v="405"/>
    <n v="20.6679012345679"/>
    <s v="Profit"/>
    <s v="Varun Bose"/>
    <x v="0"/>
    <x v="2"/>
    <s v="Delhi"/>
    <s v="Delhi"/>
    <s v="2024-10-25"/>
    <s v="18-25"/>
    <n v="83.704999999999998"/>
  </r>
  <r>
    <s v="ORD01256"/>
    <d v="2026-03-17T00:00:00"/>
    <s v="CUST0076"/>
    <x v="3"/>
    <x v="4"/>
    <n v="2"/>
    <n v="0.1"/>
    <n v="32400"/>
    <n v="4620.3599999999997"/>
    <x v="2"/>
    <s v="Shipped"/>
    <n v="16200"/>
    <n v="14.260370370370371"/>
    <s v="Profit"/>
    <s v="Arjun Sharma"/>
    <x v="2"/>
    <x v="3"/>
    <s v="Guwahati"/>
    <s v="Assam"/>
    <s v="2023-12-08"/>
    <s v="51+"/>
    <n v="2310.1799999999998"/>
  </r>
  <r>
    <s v="ORD01257"/>
    <d v="2026-01-04T00:00:00"/>
    <s v="CUST0215"/>
    <x v="3"/>
    <x v="4"/>
    <n v="1"/>
    <n v="0.1"/>
    <n v="16200"/>
    <n v="2534"/>
    <x v="1"/>
    <s v="Delivered"/>
    <n v="16200"/>
    <n v="15.641975308641969"/>
    <s v="Profit"/>
    <s v="Pooja Reddy"/>
    <x v="1"/>
    <x v="0"/>
    <s v="Bengaluru"/>
    <s v="Karnataka"/>
    <s v="2025-07-16"/>
    <s v="26-35"/>
    <n v="2534"/>
  </r>
  <r>
    <s v="ORD01258"/>
    <d v="2025-08-15T00:00:00"/>
    <s v="CUST0598"/>
    <x v="0"/>
    <x v="7"/>
    <n v="3"/>
    <n v="0"/>
    <n v="2700"/>
    <n v="840"/>
    <x v="1"/>
    <s v="Delivered"/>
    <n v="900"/>
    <n v="31.111111111111111"/>
    <s v="Profit"/>
    <s v="Arjun Das"/>
    <x v="0"/>
    <x v="0"/>
    <s v="Hyderabad"/>
    <s v="Telangana"/>
    <s v="2024-07-07"/>
    <s v="36-50"/>
    <n v="280"/>
  </r>
  <r>
    <s v="ORD01259"/>
    <d v="2025-08-07T00:00:00"/>
    <s v="CUST0483"/>
    <x v="3"/>
    <x v="11"/>
    <n v="1"/>
    <n v="0"/>
    <n v="2500"/>
    <n v="800"/>
    <x v="3"/>
    <s v="Delivered"/>
    <n v="2500"/>
    <n v="32"/>
    <s v="Profit"/>
    <s v="Harini Rao"/>
    <x v="2"/>
    <x v="0"/>
    <s v="Bengaluru"/>
    <s v="Karnataka"/>
    <s v="2025-12-26"/>
    <s v="18-25"/>
    <n v="800"/>
  </r>
  <r>
    <s v="ORD01260"/>
    <d v="2025-12-13T00:00:00"/>
    <s v="CUST0349"/>
    <x v="0"/>
    <x v="14"/>
    <n v="1"/>
    <n v="0"/>
    <n v="450"/>
    <n v="110"/>
    <x v="1"/>
    <s v="Delivered"/>
    <n v="450"/>
    <n v="24.444444444444439"/>
    <s v="Profit"/>
    <s v="Aarav Nair"/>
    <x v="1"/>
    <x v="0"/>
    <s v="Hyderabad"/>
    <s v="Telangana"/>
    <s v="2025-07-22"/>
    <s v="26-35"/>
    <n v="110"/>
  </r>
  <r>
    <s v="ORD01261"/>
    <d v="2026-02-26T00:00:00"/>
    <s v="CUST0520"/>
    <x v="3"/>
    <x v="8"/>
    <n v="4"/>
    <n v="0.15"/>
    <n v="15300"/>
    <n v="3850.04"/>
    <x v="0"/>
    <s v="Shipped"/>
    <n v="3825"/>
    <n v="25.163660130718959"/>
    <s v="Profit"/>
    <s v="Karthik Chopra"/>
    <x v="0"/>
    <x v="0"/>
    <s v="Chennai"/>
    <s v="Tamil Nadu"/>
    <s v="2023-12-09"/>
    <s v="26-35"/>
    <n v="962.51"/>
  </r>
  <r>
    <s v="ORD01262"/>
    <d v="2026-06-08T00:00:00"/>
    <s v="CUST0538"/>
    <x v="0"/>
    <x v="6"/>
    <n v="5"/>
    <n v="0.1"/>
    <n v="1575"/>
    <n v="501.53"/>
    <x v="0"/>
    <s v="Delivered"/>
    <n v="315"/>
    <n v="31.843174603174599"/>
    <s v="Profit"/>
    <s v="Sanjay Chopra"/>
    <x v="1"/>
    <x v="0"/>
    <s v="Coimbatore"/>
    <s v="Tamil Nadu"/>
    <s v="2024-01-09"/>
    <s v="36-50"/>
    <n v="100.306"/>
  </r>
  <r>
    <s v="ORD01263"/>
    <d v="2026-07-07T00:00:00"/>
    <s v="CUST0358"/>
    <x v="3"/>
    <x v="4"/>
    <n v="3"/>
    <n v="0"/>
    <n v="54000"/>
    <n v="10500"/>
    <x v="1"/>
    <s v="Delivered"/>
    <n v="18000"/>
    <n v="19.44444444444445"/>
    <s v="Profit"/>
    <s v="Sanjay Das"/>
    <x v="0"/>
    <x v="0"/>
    <s v="Hyderabad"/>
    <s v="Telangana"/>
    <s v="2025-08-29"/>
    <s v="18-25"/>
    <n v="3500"/>
  </r>
  <r>
    <s v="ORD01264"/>
    <d v="2026-04-23T00:00:00"/>
    <s v="CUST0451"/>
    <x v="0"/>
    <x v="14"/>
    <n v="4"/>
    <n v="0.05"/>
    <n v="1710"/>
    <n v="392.74"/>
    <x v="3"/>
    <s v="Shipped"/>
    <n v="427.5"/>
    <n v="22.967251461988301"/>
    <s v="Profit"/>
    <s v="Diya Naidu"/>
    <x v="0"/>
    <x v="1"/>
    <s v="Pune"/>
    <s v="Maharashtra"/>
    <s v="2024-06-17"/>
    <s v="26-35"/>
    <n v="98.185000000000002"/>
  </r>
  <r>
    <s v="ORD01265"/>
    <d v="2025-08-02T00:00:00"/>
    <s v="CUST0201"/>
    <x v="0"/>
    <x v="6"/>
    <n v="2"/>
    <n v="0.15"/>
    <n v="595"/>
    <n v="169.55"/>
    <x v="3"/>
    <s v="Delivered"/>
    <n v="297.5"/>
    <n v="28.495798319327729"/>
    <s v="Profit"/>
    <s v="Pooja Joshi"/>
    <x v="1"/>
    <x v="3"/>
    <s v="Kolkata"/>
    <s v="West Bengal"/>
    <s v="2024-09-28"/>
    <s v="18-25"/>
    <n v="84.775000000000006"/>
  </r>
  <r>
    <s v="ORD01266"/>
    <d v="2026-02-17T00:00:00"/>
    <s v="CUST0274"/>
    <x v="2"/>
    <x v="3"/>
    <n v="3"/>
    <n v="0.2"/>
    <n v="36000"/>
    <n v="4897.82"/>
    <x v="2"/>
    <s v="Delivered"/>
    <n v="12000"/>
    <n v="13.60505555555555"/>
    <s v="Profit"/>
    <s v="Meera Bose"/>
    <x v="1"/>
    <x v="0"/>
    <s v="Hyderabad"/>
    <s v="Telangana"/>
    <s v="2025-01-06"/>
    <s v="26-35"/>
    <n v="1632.606666666667"/>
  </r>
  <r>
    <s v="ORD01267"/>
    <d v="2026-06-22T00:00:00"/>
    <s v="CUST0587"/>
    <x v="0"/>
    <x v="7"/>
    <n v="4"/>
    <n v="0"/>
    <n v="3600"/>
    <n v="1120"/>
    <x v="3"/>
    <s v="Delivered"/>
    <n v="900"/>
    <n v="31.111111111111111"/>
    <s v="Profit"/>
    <s v="Ishaan Kulkarni"/>
    <x v="2"/>
    <x v="3"/>
    <s v="Guwahati"/>
    <s v="Assam"/>
    <s v="2025-01-05"/>
    <s v="26-35"/>
    <n v="280"/>
  </r>
  <r>
    <s v="ORD01268"/>
    <d v="2025-07-31T00:00:00"/>
    <s v="CUST0538"/>
    <x v="0"/>
    <x v="7"/>
    <n v="3"/>
    <n v="0"/>
    <n v="2700"/>
    <n v="840"/>
    <x v="2"/>
    <s v="Shipped"/>
    <n v="900"/>
    <n v="31.111111111111111"/>
    <s v="Profit"/>
    <s v="Sanjay Chopra"/>
    <x v="1"/>
    <x v="0"/>
    <s v="Coimbatore"/>
    <s v="Tamil Nadu"/>
    <s v="2024-01-09"/>
    <s v="36-50"/>
    <n v="280"/>
  </r>
  <r>
    <s v="ORD01269"/>
    <d v="2025-10-09T00:00:00"/>
    <s v="CUST0251"/>
    <x v="2"/>
    <x v="3"/>
    <n v="5"/>
    <n v="0.15"/>
    <n v="63750"/>
    <n v="12239.36"/>
    <x v="2"/>
    <s v="Shipped"/>
    <n v="12750"/>
    <n v="19.198996078431371"/>
    <s v="Profit"/>
    <s v="Arjun Verma"/>
    <x v="2"/>
    <x v="0"/>
    <s v="Coimbatore"/>
    <s v="Tamil Nadu"/>
    <s v="2023-06-16"/>
    <s v="36-50"/>
    <n v="2447.8719999999998"/>
  </r>
  <r>
    <s v="ORD01270"/>
    <d v="2025-11-27T00:00:00"/>
    <s v="CUST0541"/>
    <x v="1"/>
    <x v="13"/>
    <n v="2"/>
    <n v="0.05"/>
    <n v="7980"/>
    <n v="2173.63"/>
    <x v="0"/>
    <s v="Delivered"/>
    <n v="3990"/>
    <n v="27.238471177944859"/>
    <s v="Profit"/>
    <s v="Rahul Mishra"/>
    <x v="0"/>
    <x v="3"/>
    <s v="Kolkata"/>
    <s v="West Bengal"/>
    <s v="2025-05-13"/>
    <s v="51+"/>
    <n v="1086.8150000000001"/>
  </r>
  <r>
    <s v="ORD01271"/>
    <d v="2026-06-16T00:00:00"/>
    <s v="CUST0402"/>
    <x v="1"/>
    <x v="12"/>
    <n v="3"/>
    <n v="0.15"/>
    <n v="3570"/>
    <n v="1062.8800000000001"/>
    <x v="0"/>
    <s v="Delivered"/>
    <n v="1190"/>
    <n v="29.772549019607851"/>
    <s v="Profit"/>
    <s v="Diya Pillai"/>
    <x v="1"/>
    <x v="0"/>
    <s v="Chennai"/>
    <s v="Tamil Nadu"/>
    <s v="2025-08-08"/>
    <s v="36-50"/>
    <n v="354.29333333333341"/>
  </r>
  <r>
    <s v="ORD01272"/>
    <d v="2026-03-11T00:00:00"/>
    <s v="CUST0106"/>
    <x v="1"/>
    <x v="1"/>
    <n v="1"/>
    <n v="0.05"/>
    <n v="1710"/>
    <n v="593.38"/>
    <x v="2"/>
    <s v="Delivered"/>
    <n v="1710"/>
    <n v="34.700584795321639"/>
    <s v="Profit"/>
    <s v="Kavya Nair"/>
    <x v="1"/>
    <x v="0"/>
    <s v="Coimbatore"/>
    <s v="Tamil Nadu"/>
    <s v="2025-07-06"/>
    <s v="36-50"/>
    <n v="593.38"/>
  </r>
  <r>
    <s v="ORD01273"/>
    <d v="2026-08-27T00:00:00"/>
    <s v="CUST0111"/>
    <x v="3"/>
    <x v="10"/>
    <n v="2"/>
    <n v="0.1"/>
    <n v="99000"/>
    <n v="11600.03"/>
    <x v="2"/>
    <s v="Delivered"/>
    <n v="49500"/>
    <n v="11.71720202020202"/>
    <s v="Profit"/>
    <s v="Akash Verma"/>
    <x v="0"/>
    <x v="1"/>
    <s v="Pune"/>
    <s v="Maharashtra"/>
    <s v="2023-06-12"/>
    <s v="36-50"/>
    <n v="5800.0150000000003"/>
  </r>
  <r>
    <s v="ORD01274"/>
    <d v="2025-08-09T00:00:00"/>
    <s v="CUST0126"/>
    <x v="1"/>
    <x v="1"/>
    <n v="4"/>
    <n v="0"/>
    <n v="7200"/>
    <n v="2600"/>
    <x v="3"/>
    <s v="Delivered"/>
    <n v="1800"/>
    <n v="36.111111111111107"/>
    <s v="Profit"/>
    <s v="Manoj Mehta"/>
    <x v="1"/>
    <x v="0"/>
    <s v="Bengaluru"/>
    <s v="Karnataka"/>
    <s v="2025-10-04"/>
    <s v="36-50"/>
    <n v="650"/>
  </r>
  <r>
    <s v="ORD01275"/>
    <d v="2026-02-02T00:00:00"/>
    <s v="CUST0016"/>
    <x v="0"/>
    <x v="0"/>
    <n v="4"/>
    <n v="0.1"/>
    <n v="50400"/>
    <n v="6953.99"/>
    <x v="2"/>
    <s v="Delivered"/>
    <n v="12600"/>
    <n v="13.79759920634921"/>
    <s v="Profit"/>
    <s v="Ananya Menon"/>
    <x v="0"/>
    <x v="2"/>
    <s v="Jaipur"/>
    <s v="Rajasthan"/>
    <s v="2023-11-11"/>
    <s v="18-25"/>
    <n v="1738.4974999999999"/>
  </r>
  <r>
    <s v="ORD01276"/>
    <d v="2026-04-02T00:00:00"/>
    <s v="CUST0026"/>
    <x v="3"/>
    <x v="4"/>
    <n v="1"/>
    <n v="0.05"/>
    <n v="17100"/>
    <n v="2949.14"/>
    <x v="1"/>
    <s v="Delivered"/>
    <n v="17100"/>
    <n v="17.246432748538009"/>
    <s v="Profit"/>
    <s v="Arjun Mehta"/>
    <x v="2"/>
    <x v="0"/>
    <s v="Coimbatore"/>
    <s v="Tamil Nadu"/>
    <s v="2025-07-27"/>
    <s v="26-35"/>
    <n v="2949.14"/>
  </r>
  <r>
    <s v="ORD01277"/>
    <d v="2025-10-01T00:00:00"/>
    <s v="CUST0221"/>
    <x v="1"/>
    <x v="15"/>
    <n v="3"/>
    <n v="0.2"/>
    <n v="5280"/>
    <n v="-1038.5999999999999"/>
    <x v="2"/>
    <s v="Returned"/>
    <n v="1760"/>
    <n v="-19.67045454545454"/>
    <s v="Loss"/>
    <s v="Divya Pillai"/>
    <x v="1"/>
    <x v="3"/>
    <s v="Guwahati"/>
    <s v="Assam"/>
    <s v="2024-07-01"/>
    <s v="36-50"/>
    <n v="-346.2"/>
  </r>
  <r>
    <s v="ORD01278"/>
    <d v="2025-08-01T00:00:00"/>
    <s v="CUST0387"/>
    <x v="3"/>
    <x v="8"/>
    <n v="4"/>
    <n v="0.1"/>
    <n v="16200"/>
    <n v="5175.3999999999996"/>
    <x v="3"/>
    <s v="Delivered"/>
    <n v="4050"/>
    <n v="31.94691358024691"/>
    <s v="Profit"/>
    <s v="Varun Kulkarni"/>
    <x v="0"/>
    <x v="1"/>
    <s v="Pune"/>
    <s v="Maharashtra"/>
    <s v="2024-04-15"/>
    <s v="18-25"/>
    <n v="1293.8499999999999"/>
  </r>
  <r>
    <s v="ORD01279"/>
    <d v="2026-02-22T00:00:00"/>
    <s v="CUST0392"/>
    <x v="3"/>
    <x v="4"/>
    <n v="4"/>
    <n v="0.15"/>
    <n v="61200"/>
    <n v="5420.4"/>
    <x v="3"/>
    <s v="Delivered"/>
    <n v="15300"/>
    <n v="8.8568627450980397"/>
    <s v="Profit"/>
    <s v="Pooja Patel"/>
    <x v="2"/>
    <x v="1"/>
    <s v="Ahmedabad"/>
    <s v="Gujarat"/>
    <s v="2024-11-07"/>
    <s v="36-50"/>
    <n v="1355.1"/>
  </r>
  <r>
    <s v="ORD01280"/>
    <d v="2026-03-02T00:00:00"/>
    <s v="CUST0314"/>
    <x v="2"/>
    <x v="9"/>
    <n v="4"/>
    <n v="0.1"/>
    <n v="32400"/>
    <n v="7551.89"/>
    <x v="2"/>
    <s v="Delivered"/>
    <n v="8100"/>
    <n v="23.3083024691358"/>
    <s v="Profit"/>
    <s v="Aarav Mishra"/>
    <x v="0"/>
    <x v="0"/>
    <s v="Bengaluru"/>
    <s v="Karnataka"/>
    <s v="2025-10-30"/>
    <s v="26-35"/>
    <n v="1887.9725000000001"/>
  </r>
  <r>
    <s v="ORD01281"/>
    <d v="2025-10-21T00:00:00"/>
    <s v="CUST0242"/>
    <x v="3"/>
    <x v="4"/>
    <n v="5"/>
    <n v="0"/>
    <n v="90000"/>
    <n v="17500"/>
    <x v="1"/>
    <s v="Delivered"/>
    <n v="18000"/>
    <n v="19.44444444444445"/>
    <s v="Profit"/>
    <s v="Priya Singh"/>
    <x v="0"/>
    <x v="1"/>
    <s v="Pune"/>
    <s v="Maharashtra"/>
    <s v="2024-11-26"/>
    <s v="26-35"/>
    <n v="3500"/>
  </r>
  <r>
    <s v="ORD01282"/>
    <d v="2026-01-10T00:00:00"/>
    <s v="CUST0088"/>
    <x v="1"/>
    <x v="12"/>
    <n v="1"/>
    <n v="0.15"/>
    <n v="1190"/>
    <n v="335.68"/>
    <x v="3"/>
    <s v="Delivered"/>
    <n v="1190"/>
    <n v="28.208403361344541"/>
    <s v="Profit"/>
    <s v="Sneha Verma"/>
    <x v="1"/>
    <x v="0"/>
    <s v="Chennai"/>
    <s v="Tamil Nadu"/>
    <s v="2023-06-12"/>
    <s v="26-35"/>
    <n v="335.68"/>
  </r>
  <r>
    <s v="ORD01283"/>
    <d v="2026-05-19T00:00:00"/>
    <s v="CUST0263"/>
    <x v="3"/>
    <x v="11"/>
    <n v="5"/>
    <n v="0"/>
    <n v="12500"/>
    <n v="-4666.9399999999996"/>
    <x v="0"/>
    <s v="Cancelled"/>
    <n v="2500"/>
    <n v="-37.335520000000002"/>
    <s v="Loss"/>
    <s v="Priya Khan"/>
    <x v="0"/>
    <x v="3"/>
    <s v="Kolkata"/>
    <s v="West Bengal"/>
    <s v="2025-03-25"/>
    <s v="26-35"/>
    <n v="-933.38799999999992"/>
  </r>
  <r>
    <s v="ORD01284"/>
    <d v="2026-02-26T00:00:00"/>
    <s v="CUST0179"/>
    <x v="3"/>
    <x v="10"/>
    <n v="2"/>
    <n v="0.05"/>
    <n v="104500"/>
    <n v="14242.9"/>
    <x v="1"/>
    <s v="Shipped"/>
    <n v="52250"/>
    <n v="13.62956937799043"/>
    <s v="Profit"/>
    <s v="Akash Pillai"/>
    <x v="0"/>
    <x v="1"/>
    <s v="Pune"/>
    <s v="Maharashtra"/>
    <s v="2024-09-14"/>
    <s v="51+"/>
    <n v="7121.45"/>
  </r>
  <r>
    <s v="ORD01285"/>
    <d v="2025-11-17T00:00:00"/>
    <s v="CUST0412"/>
    <x v="0"/>
    <x v="6"/>
    <n v="2"/>
    <n v="0"/>
    <n v="700"/>
    <n v="240"/>
    <x v="1"/>
    <s v="Delivered"/>
    <n v="350"/>
    <n v="34.285714285714278"/>
    <s v="Profit"/>
    <s v="Akash Khan"/>
    <x v="0"/>
    <x v="0"/>
    <s v="Chennai"/>
    <s v="Tamil Nadu"/>
    <s v="2025-03-27"/>
    <s v="26-35"/>
    <n v="120"/>
  </r>
  <r>
    <s v="ORD01286"/>
    <d v="2026-02-02T00:00:00"/>
    <s v="CUST0596"/>
    <x v="3"/>
    <x v="4"/>
    <n v="1"/>
    <n v="0"/>
    <n v="18000"/>
    <n v="3500"/>
    <x v="0"/>
    <s v="Delivered"/>
    <n v="18000"/>
    <n v="19.44444444444445"/>
    <s v="Profit"/>
    <s v="Manoj Rao"/>
    <x v="0"/>
    <x v="0"/>
    <s v="Bengaluru"/>
    <s v="Karnataka"/>
    <s v="2024-01-21"/>
    <s v="18-25"/>
    <n v="3500"/>
  </r>
  <r>
    <s v="ORD01287"/>
    <d v="2025-09-14T00:00:00"/>
    <s v="CUST0041"/>
    <x v="1"/>
    <x v="13"/>
    <n v="1"/>
    <n v="0.2"/>
    <n v="3360"/>
    <n v="-795.63"/>
    <x v="3"/>
    <s v="Returned"/>
    <n v="3360"/>
    <n v="-23.679464285714289"/>
    <s v="Loss"/>
    <s v="Priya Iyer"/>
    <x v="0"/>
    <x v="0"/>
    <s v="Hyderabad"/>
    <s v="Telangana"/>
    <s v="2023-09-13"/>
    <s v="26-35"/>
    <n v="-795.63"/>
  </r>
  <r>
    <s v="ORD01288"/>
    <d v="2025-09-09T00:00:00"/>
    <s v="CUST0254"/>
    <x v="3"/>
    <x v="11"/>
    <n v="4"/>
    <n v="0"/>
    <n v="10000"/>
    <n v="-2824.76"/>
    <x v="0"/>
    <s v="Returned"/>
    <n v="2500"/>
    <n v="-28.247599999999998"/>
    <s v="Loss"/>
    <s v="Sneha Mishra"/>
    <x v="1"/>
    <x v="2"/>
    <s v="Jaipur"/>
    <s v="Rajasthan"/>
    <s v="2025-05-30"/>
    <s v="36-50"/>
    <n v="-706.19"/>
  </r>
  <r>
    <s v="ORD01289"/>
    <d v="2025-11-26T00:00:00"/>
    <s v="CUST0492"/>
    <x v="0"/>
    <x v="14"/>
    <n v="3"/>
    <n v="0"/>
    <n v="1350"/>
    <n v="330"/>
    <x v="0"/>
    <s v="Delivered"/>
    <n v="450"/>
    <n v="24.444444444444439"/>
    <s v="Profit"/>
    <s v="Shreya Reddy"/>
    <x v="0"/>
    <x v="2"/>
    <s v="Delhi"/>
    <s v="Delhi"/>
    <s v="2023-07-29"/>
    <s v="18-25"/>
    <n v="110"/>
  </r>
  <r>
    <s v="ORD01290"/>
    <d v="2026-06-04T00:00:00"/>
    <s v="CUST0467"/>
    <x v="3"/>
    <x v="8"/>
    <n v="1"/>
    <n v="0"/>
    <n v="4500"/>
    <n v="1500"/>
    <x v="1"/>
    <s v="Delivered"/>
    <n v="4500"/>
    <n v="33.333333333333329"/>
    <s v="Profit"/>
    <s v="Arjun Gupta"/>
    <x v="2"/>
    <x v="3"/>
    <s v="Patna"/>
    <s v="Bihar"/>
    <s v="2025-10-24"/>
    <s v="36-50"/>
    <n v="1500"/>
  </r>
  <r>
    <s v="ORD01291"/>
    <d v="2026-02-17T00:00:00"/>
    <s v="CUST0540"/>
    <x v="0"/>
    <x v="6"/>
    <n v="2"/>
    <n v="0.15"/>
    <n v="595"/>
    <n v="186.98"/>
    <x v="3"/>
    <s v="Delivered"/>
    <n v="297.5"/>
    <n v="31.425210084033608"/>
    <s v="Profit"/>
    <s v="Kavya Rao"/>
    <x v="0"/>
    <x v="0"/>
    <s v="Chennai"/>
    <s v="Tamil Nadu"/>
    <s v="2023-09-30"/>
    <s v="18-25"/>
    <n v="93.49"/>
  </r>
  <r>
    <s v="ORD01292"/>
    <d v="2026-04-11T00:00:00"/>
    <s v="CUST0248"/>
    <x v="3"/>
    <x v="8"/>
    <n v="5"/>
    <n v="0.05"/>
    <n v="21375"/>
    <n v="6652.73"/>
    <x v="2"/>
    <s v="Delivered"/>
    <n v="4275"/>
    <n v="31.12388304093567"/>
    <s v="Profit"/>
    <s v="Meera Das"/>
    <x v="1"/>
    <x v="2"/>
    <s v="Chandigarh"/>
    <s v="Chandigarh"/>
    <s v="2024-12-30"/>
    <s v="18-25"/>
    <n v="1330.546"/>
  </r>
  <r>
    <s v="ORD01293"/>
    <d v="2025-07-24T00:00:00"/>
    <s v="CUST0198"/>
    <x v="3"/>
    <x v="8"/>
    <n v="5"/>
    <n v="0"/>
    <n v="22500"/>
    <n v="7500"/>
    <x v="0"/>
    <s v="Delivered"/>
    <n v="4500"/>
    <n v="33.333333333333329"/>
    <s v="Profit"/>
    <s v="Varun Joshi"/>
    <x v="1"/>
    <x v="3"/>
    <s v="Bhubaneswar"/>
    <s v="Odisha"/>
    <s v="2024-08-06"/>
    <s v="36-50"/>
    <n v="1500"/>
  </r>
  <r>
    <s v="ORD01294"/>
    <d v="2026-08-13T00:00:00"/>
    <s v="CUST0135"/>
    <x v="0"/>
    <x v="7"/>
    <n v="3"/>
    <n v="0.2"/>
    <n v="2160"/>
    <n v="589.34"/>
    <x v="2"/>
    <s v="Delivered"/>
    <n v="720"/>
    <n v="27.284259259259262"/>
    <s v="Profit"/>
    <s v="Sneha Patel"/>
    <x v="0"/>
    <x v="2"/>
    <s v="Delhi"/>
    <s v="Delhi"/>
    <s v="2024-07-08"/>
    <s v="36-50"/>
    <n v="196.44666666666669"/>
  </r>
  <r>
    <s v="ORD01295"/>
    <d v="2026-05-02T00:00:00"/>
    <s v="CUST0165"/>
    <x v="2"/>
    <x v="3"/>
    <n v="1"/>
    <n v="0.1"/>
    <n v="13500"/>
    <n v="-1549.8"/>
    <x v="1"/>
    <s v="Cancelled"/>
    <n v="13500"/>
    <n v="-11.48"/>
    <s v="Loss"/>
    <s v="Diya Mishra"/>
    <x v="0"/>
    <x v="0"/>
    <s v="Hyderabad"/>
    <s v="Telangana"/>
    <s v="2025-04-25"/>
    <s v="51+"/>
    <n v="-1549.8"/>
  </r>
  <r>
    <s v="ORD01296"/>
    <d v="2025-10-19T00:00:00"/>
    <s v="CUST0281"/>
    <x v="1"/>
    <x v="12"/>
    <n v="1"/>
    <n v="0.1"/>
    <n v="1260"/>
    <n v="381.05"/>
    <x v="2"/>
    <s v="Delivered"/>
    <n v="1260"/>
    <n v="30.24206349206349"/>
    <s v="Profit"/>
    <s v="Divya Reddy"/>
    <x v="0"/>
    <x v="0"/>
    <s v="Coimbatore"/>
    <s v="Tamil Nadu"/>
    <s v="2025-04-27"/>
    <s v="36-50"/>
    <n v="381.05"/>
  </r>
  <r>
    <s v="ORD01297"/>
    <d v="2025-07-04T00:00:00"/>
    <s v="CUST0584"/>
    <x v="0"/>
    <x v="0"/>
    <n v="5"/>
    <n v="0.3"/>
    <n v="49000"/>
    <n v="928.57"/>
    <x v="3"/>
    <s v="Delivered"/>
    <n v="9800"/>
    <n v="1.8950408163265311"/>
    <s v="Profit"/>
    <s v="Arjun Das"/>
    <x v="0"/>
    <x v="1"/>
    <s v="Ahmedabad"/>
    <s v="Gujarat"/>
    <s v="2025-11-24"/>
    <s v="18-25"/>
    <n v="185.714"/>
  </r>
  <r>
    <s v="ORD01298"/>
    <d v="2026-05-19T00:00:00"/>
    <s v="CUST0064"/>
    <x v="3"/>
    <x v="11"/>
    <n v="3"/>
    <n v="0.05"/>
    <n v="7125"/>
    <n v="2210.37"/>
    <x v="3"/>
    <s v="Delivered"/>
    <n v="2375"/>
    <n v="31.02273684210526"/>
    <s v="Profit"/>
    <s v="Diya Rao"/>
    <x v="1"/>
    <x v="0"/>
    <s v="Chennai"/>
    <s v="Tamil Nadu"/>
    <s v="2025-05-13"/>
    <s v="26-35"/>
    <n v="736.79"/>
  </r>
  <r>
    <s v="ORD01299"/>
    <d v="2025-10-20T00:00:00"/>
    <s v="CUST0077"/>
    <x v="0"/>
    <x v="6"/>
    <n v="2"/>
    <n v="0.1"/>
    <n v="630"/>
    <n v="-105.05"/>
    <x v="1"/>
    <s v="Cancelled"/>
    <n v="315"/>
    <n v="-16.67460317460317"/>
    <s v="Loss"/>
    <s v="Aarav Patel"/>
    <x v="2"/>
    <x v="3"/>
    <s v="Bhubaneswar"/>
    <s v="Odisha"/>
    <s v="2023-01-09"/>
    <s v="36-50"/>
    <n v="-52.524999999999999"/>
  </r>
  <r>
    <s v="ORD01300"/>
    <d v="2026-02-22T00:00:00"/>
    <s v="CUST0007"/>
    <x v="2"/>
    <x v="9"/>
    <n v="1"/>
    <n v="0.05"/>
    <n v="8550"/>
    <n v="1971.91"/>
    <x v="3"/>
    <s v="Shipped"/>
    <n v="8550"/>
    <n v="23.063274853801168"/>
    <s v="Profit"/>
    <s v="Harini Khan"/>
    <x v="0"/>
    <x v="0"/>
    <s v="Bengaluru"/>
    <s v="Karnataka"/>
    <s v="2025-07-02"/>
    <s v="36-50"/>
    <n v="1971.91"/>
  </r>
  <r>
    <s v="ORD01302"/>
    <d v="2026-08-24T00:00:00"/>
    <s v="CUST0521"/>
    <x v="3"/>
    <x v="4"/>
    <n v="2"/>
    <n v="0"/>
    <n v="36000"/>
    <n v="7000"/>
    <x v="1"/>
    <s v="Delivered"/>
    <n v="18000"/>
    <n v="19.44444444444445"/>
    <s v="Profit"/>
    <s v="Priya Singh"/>
    <x v="0"/>
    <x v="0"/>
    <s v="Bengaluru"/>
    <s v="Karnataka"/>
    <s v="2025-11-16"/>
    <s v="51+"/>
    <n v="3500"/>
  </r>
  <r>
    <s v="ORD01303"/>
    <d v="2026-05-17T00:00:00"/>
    <s v="CUST0570"/>
    <x v="0"/>
    <x v="7"/>
    <n v="4"/>
    <n v="0.1"/>
    <n v="3240"/>
    <n v="836.36"/>
    <x v="1"/>
    <s v="Delivered"/>
    <n v="810"/>
    <n v="25.813580246913581"/>
    <s v="Profit"/>
    <s v="Divya Sharma"/>
    <x v="2"/>
    <x v="2"/>
    <s v="Delhi"/>
    <s v="Delhi"/>
    <s v="2024-10-31"/>
    <s v="18-25"/>
    <n v="209.09"/>
  </r>
  <r>
    <s v="ORD01304"/>
    <d v="2026-04-15T00:00:00"/>
    <s v="CUST0171"/>
    <x v="3"/>
    <x v="8"/>
    <n v="3"/>
    <n v="0.3"/>
    <n v="9450"/>
    <n v="1199.3900000000001"/>
    <x v="2"/>
    <s v="Delivered"/>
    <n v="3150"/>
    <n v="12.69195767195767"/>
    <s v="Profit"/>
    <s v="Nisha Reddy"/>
    <x v="0"/>
    <x v="2"/>
    <s v="Jaipur"/>
    <s v="Rajasthan"/>
    <s v="2025-06-10"/>
    <s v="36-50"/>
    <n v="399.79666666666668"/>
  </r>
  <r>
    <s v="ORD01305"/>
    <d v="2025-09-16T00:00:00"/>
    <s v="CUST0238"/>
    <x v="3"/>
    <x v="8"/>
    <n v="5"/>
    <n v="0.1"/>
    <n v="20250"/>
    <n v="6265.61"/>
    <x v="2"/>
    <s v="Delivered"/>
    <n v="4050"/>
    <n v="30.941283950617279"/>
    <s v="Profit"/>
    <s v="Vikram Sharma"/>
    <x v="2"/>
    <x v="0"/>
    <s v="Bengaluru"/>
    <s v="Karnataka"/>
    <s v="2025-03-30"/>
    <s v="26-35"/>
    <n v="1253.1220000000001"/>
  </r>
  <r>
    <s v="ORD01306"/>
    <d v="2026-05-10T00:00:00"/>
    <s v="CUST0431"/>
    <x v="3"/>
    <x v="10"/>
    <n v="3"/>
    <n v="0.05"/>
    <n v="156750"/>
    <n v="21934.79"/>
    <x v="2"/>
    <s v="Shipped"/>
    <n v="52250"/>
    <n v="13.99348644338118"/>
    <s v="Profit"/>
    <s v="Manoj Naidu"/>
    <x v="1"/>
    <x v="0"/>
    <s v="Bengaluru"/>
    <s v="Karnataka"/>
    <s v="2023-01-16"/>
    <s v="36-50"/>
    <n v="7311.5966666666673"/>
  </r>
  <r>
    <s v="ORD01307"/>
    <d v="2026-08-18T00:00:00"/>
    <s v="CUST0273"/>
    <x v="1"/>
    <x v="15"/>
    <n v="3"/>
    <n v="0.1"/>
    <n v="5940"/>
    <n v="-2106.12"/>
    <x v="1"/>
    <s v="Cancelled"/>
    <n v="1980"/>
    <n v="-35.456565656565651"/>
    <s v="Loss"/>
    <s v="Akash Verma"/>
    <x v="1"/>
    <x v="0"/>
    <s v="Chennai"/>
    <s v="Tamil Nadu"/>
    <s v="2024-07-10"/>
    <s v="51+"/>
    <n v="-702.04"/>
  </r>
  <r>
    <s v="ORD01308"/>
    <d v="2025-10-19T00:00:00"/>
    <s v="CUST0540"/>
    <x v="1"/>
    <x v="15"/>
    <n v="5"/>
    <n v="0"/>
    <n v="11000"/>
    <n v="-4990.46"/>
    <x v="1"/>
    <s v="Returned"/>
    <n v="2200"/>
    <n v="-45.36781818181818"/>
    <s v="Loss"/>
    <s v="Kavya Rao"/>
    <x v="0"/>
    <x v="0"/>
    <s v="Chennai"/>
    <s v="Tamil Nadu"/>
    <s v="2023-09-30"/>
    <s v="18-25"/>
    <n v="-998.09199999999998"/>
  </r>
  <r>
    <s v="ORD01309"/>
    <d v="2026-07-07T00:00:00"/>
    <s v="CUST0405"/>
    <x v="3"/>
    <x v="4"/>
    <n v="4"/>
    <n v="0.2"/>
    <n v="57600"/>
    <n v="6060.06"/>
    <x v="2"/>
    <s v="Delivered"/>
    <n v="14400"/>
    <n v="10.5209375"/>
    <s v="Profit"/>
    <s v="Varun Naidu"/>
    <x v="0"/>
    <x v="0"/>
    <s v="Chennai"/>
    <s v="Tamil Nadu"/>
    <s v="2024-05-06"/>
    <s v="26-35"/>
    <n v="1515.0150000000001"/>
  </r>
  <r>
    <s v="ORD01310"/>
    <d v="2026-07-03T00:00:00"/>
    <s v="CUST0067"/>
    <x v="3"/>
    <x v="4"/>
    <n v="2"/>
    <n v="0.05"/>
    <n v="34200"/>
    <n v="5554.18"/>
    <x v="2"/>
    <s v="Delivered"/>
    <n v="17100"/>
    <n v="16.24029239766082"/>
    <s v="Profit"/>
    <s v="Varun Joshi"/>
    <x v="0"/>
    <x v="0"/>
    <s v="Chennai"/>
    <s v="Tamil Nadu"/>
    <s v="2024-10-29"/>
    <s v="26-35"/>
    <n v="2777.09"/>
  </r>
  <r>
    <s v="ORD01311"/>
    <d v="2025-08-02T00:00:00"/>
    <s v="CUST0319"/>
    <x v="3"/>
    <x v="4"/>
    <n v="5"/>
    <n v="0.2"/>
    <n v="72000"/>
    <n v="7941.07"/>
    <x v="3"/>
    <s v="Delivered"/>
    <n v="14400"/>
    <n v="11.02926388888889"/>
    <s v="Profit"/>
    <s v="Vikram Sharma"/>
    <x v="0"/>
    <x v="0"/>
    <s v="Bengaluru"/>
    <s v="Karnataka"/>
    <s v="2024-01-16"/>
    <s v="26-35"/>
    <n v="1588.2139999999999"/>
  </r>
  <r>
    <s v="ORD01312"/>
    <d v="2026-05-31T00:00:00"/>
    <s v="CUST0594"/>
    <x v="0"/>
    <x v="14"/>
    <n v="5"/>
    <n v="0.1"/>
    <n v="2025"/>
    <n v="437.1"/>
    <x v="0"/>
    <s v="Delivered"/>
    <n v="405"/>
    <n v="21.585185185185189"/>
    <s v="Profit"/>
    <s v="Ishaan Bose"/>
    <x v="1"/>
    <x v="0"/>
    <s v="Coimbatore"/>
    <s v="Tamil Nadu"/>
    <s v="2024-06-29"/>
    <s v="51+"/>
    <n v="87.42"/>
  </r>
  <r>
    <s v="ORD01313"/>
    <d v="2026-06-04T00:00:00"/>
    <s v="CUST0378"/>
    <x v="1"/>
    <x v="13"/>
    <n v="3"/>
    <n v="0"/>
    <n v="12600"/>
    <n v="3600"/>
    <x v="0"/>
    <s v="Delivered"/>
    <n v="4200"/>
    <n v="28.571428571428569"/>
    <s v="Profit"/>
    <s v="Aarav Joshi"/>
    <x v="2"/>
    <x v="0"/>
    <s v="Bengaluru"/>
    <s v="Karnataka"/>
    <s v="2025-12-14"/>
    <s v="26-35"/>
    <n v="1200"/>
  </r>
  <r>
    <s v="ORD01314"/>
    <d v="2026-07-09T00:00:00"/>
    <s v="CUST0475"/>
    <x v="0"/>
    <x v="6"/>
    <n v="2"/>
    <n v="0"/>
    <n v="700"/>
    <n v="240"/>
    <x v="1"/>
    <s v="Delivered"/>
    <n v="350"/>
    <n v="34.285714285714278"/>
    <s v="Profit"/>
    <s v="Divya Verma"/>
    <x v="0"/>
    <x v="0"/>
    <s v="Bengaluru"/>
    <s v="Karnataka"/>
    <s v="2025-12-10"/>
    <s v="26-35"/>
    <n v="120"/>
  </r>
  <r>
    <s v="ORD01315"/>
    <d v="2025-11-24T00:00:00"/>
    <s v="CUST0307"/>
    <x v="0"/>
    <x v="7"/>
    <n v="2"/>
    <n v="0"/>
    <n v="1800"/>
    <n v="560"/>
    <x v="0"/>
    <s v="Shipped"/>
    <n v="900"/>
    <n v="31.111111111111111"/>
    <s v="Profit"/>
    <s v="Diya Mishra"/>
    <x v="1"/>
    <x v="0"/>
    <s v="Coimbatore"/>
    <s v="Tamil Nadu"/>
    <s v="2024-12-29"/>
    <s v="26-35"/>
    <n v="280"/>
  </r>
  <r>
    <s v="ORD01316"/>
    <d v="2026-01-02T00:00:00"/>
    <s v="CUST0301"/>
    <x v="1"/>
    <x v="15"/>
    <n v="2"/>
    <n v="0"/>
    <n v="4400"/>
    <n v="-313.63"/>
    <x v="1"/>
    <s v="Cancelled"/>
    <n v="2200"/>
    <n v="-7.1279545454545454"/>
    <s v="Loss"/>
    <s v="Pooja Bose"/>
    <x v="0"/>
    <x v="0"/>
    <s v="Bengaluru"/>
    <s v="Karnataka"/>
    <s v="2025-11-12"/>
    <s v="26-35"/>
    <n v="-156.815"/>
  </r>
  <r>
    <s v="ORD01317"/>
    <d v="2026-05-11T00:00:00"/>
    <s v="CUST0257"/>
    <x v="0"/>
    <x v="0"/>
    <n v="3"/>
    <n v="0.05"/>
    <n v="39900"/>
    <n v="6700.89"/>
    <x v="0"/>
    <s v="Delivered"/>
    <n v="13300"/>
    <n v="16.794210526315791"/>
    <s v="Profit"/>
    <s v="Rahul Patel"/>
    <x v="0"/>
    <x v="2"/>
    <s v="Delhi"/>
    <s v="Delhi"/>
    <s v="2025-10-24"/>
    <s v="36-50"/>
    <n v="2233.63"/>
  </r>
  <r>
    <s v="ORD01318"/>
    <d v="2025-10-17T00:00:00"/>
    <s v="CUST0489"/>
    <x v="2"/>
    <x v="2"/>
    <n v="3"/>
    <n v="0.15"/>
    <n v="33150"/>
    <n v="6477.32"/>
    <x v="0"/>
    <s v="Delivered"/>
    <n v="11050"/>
    <n v="19.539426847662138"/>
    <s v="Profit"/>
    <s v="Kavya Das"/>
    <x v="0"/>
    <x v="0"/>
    <s v="Coimbatore"/>
    <s v="Tamil Nadu"/>
    <s v="2024-03-29"/>
    <s v="26-35"/>
    <n v="2159.106666666667"/>
  </r>
  <r>
    <s v="ORD01319"/>
    <d v="2025-08-27T00:00:00"/>
    <s v="CUST0277"/>
    <x v="0"/>
    <x v="6"/>
    <n v="4"/>
    <n v="0.05"/>
    <n v="1330"/>
    <n v="443.17"/>
    <x v="2"/>
    <s v="Shipped"/>
    <n v="332.5"/>
    <n v="33.321052631578951"/>
    <s v="Profit"/>
    <s v="Pooja Sharma"/>
    <x v="1"/>
    <x v="3"/>
    <s v="Patna"/>
    <s v="Bihar"/>
    <s v="2025-02-27"/>
    <s v="18-25"/>
    <n v="110.7925"/>
  </r>
  <r>
    <s v="ORD01320"/>
    <d v="2026-05-24T00:00:00"/>
    <s v="CUST0428"/>
    <x v="1"/>
    <x v="12"/>
    <n v="1"/>
    <n v="0.15"/>
    <n v="1190"/>
    <n v="327.18"/>
    <x v="0"/>
    <s v="Delivered"/>
    <n v="1190"/>
    <n v="27.494117647058829"/>
    <s v="Profit"/>
    <s v="Akash Iyer"/>
    <x v="2"/>
    <x v="2"/>
    <s v="Chandigarh"/>
    <s v="Chandigarh"/>
    <s v="2024-08-10"/>
    <s v="26-35"/>
    <n v="327.18"/>
  </r>
  <r>
    <s v="ORD01321"/>
    <d v="2026-08-17T00:00:00"/>
    <s v="CUST0235"/>
    <x v="2"/>
    <x v="3"/>
    <n v="1"/>
    <n v="0.15"/>
    <n v="12750"/>
    <n v="2443.4699999999998"/>
    <x v="1"/>
    <s v="Delivered"/>
    <n v="12750"/>
    <n v="19.164470588235289"/>
    <s v="Profit"/>
    <s v="Harini Gupta"/>
    <x v="0"/>
    <x v="1"/>
    <s v="Pune"/>
    <s v="Maharashtra"/>
    <s v="2024-04-09"/>
    <s v="26-35"/>
    <n v="2443.4699999999998"/>
  </r>
  <r>
    <s v="ORD01322"/>
    <d v="2025-12-31T00:00:00"/>
    <s v="CUST0384"/>
    <x v="3"/>
    <x v="11"/>
    <n v="1"/>
    <n v="0.15"/>
    <n v="2125"/>
    <n v="532.46"/>
    <x v="0"/>
    <s v="Shipped"/>
    <n v="2125"/>
    <n v="25.056941176470591"/>
    <s v="Profit"/>
    <s v="Pooja Gupta"/>
    <x v="1"/>
    <x v="1"/>
    <s v="Pune"/>
    <s v="Maharashtra"/>
    <s v="2025-11-14"/>
    <s v="36-50"/>
    <n v="532.46"/>
  </r>
  <r>
    <s v="ORD01323"/>
    <d v="2025-08-27T00:00:00"/>
    <s v="CUST0375"/>
    <x v="3"/>
    <x v="11"/>
    <n v="1"/>
    <n v="0.05"/>
    <n v="2375"/>
    <n v="88.96"/>
    <x v="3"/>
    <s v="Cancelled"/>
    <n v="2375"/>
    <n v="3.7456842105263162"/>
    <s v="Profit"/>
    <s v="Sneha Pillai"/>
    <x v="0"/>
    <x v="0"/>
    <s v="Bengaluru"/>
    <s v="Karnataka"/>
    <s v="2024-01-03"/>
    <s v="26-35"/>
    <n v="88.96"/>
  </r>
  <r>
    <s v="ORD01324"/>
    <d v="2025-12-14T00:00:00"/>
    <s v="CUST0374"/>
    <x v="3"/>
    <x v="4"/>
    <n v="5"/>
    <n v="0"/>
    <n v="90000"/>
    <n v="17500"/>
    <x v="0"/>
    <s v="Delivered"/>
    <n v="18000"/>
    <n v="19.44444444444445"/>
    <s v="Profit"/>
    <s v="Ishaan Chopra"/>
    <x v="0"/>
    <x v="0"/>
    <s v="Bengaluru"/>
    <s v="Karnataka"/>
    <s v="2024-09-12"/>
    <s v="18-25"/>
    <n v="3500"/>
  </r>
  <r>
    <s v="ORD01325"/>
    <d v="2026-03-23T00:00:00"/>
    <s v="CUST0343"/>
    <x v="0"/>
    <x v="14"/>
    <n v="2"/>
    <n v="0.1"/>
    <n v="810"/>
    <n v="155.32"/>
    <x v="1"/>
    <s v="Shipped"/>
    <n v="405"/>
    <n v="19.17530864197531"/>
    <s v="Profit"/>
    <s v="Meera Iyer"/>
    <x v="0"/>
    <x v="0"/>
    <s v="Bengaluru"/>
    <s v="Karnataka"/>
    <s v="2024-08-02"/>
    <s v="36-50"/>
    <n v="77.66"/>
  </r>
  <r>
    <s v="ORD01326"/>
    <d v="2025-07-02T00:00:00"/>
    <s v="CUST0065"/>
    <x v="3"/>
    <x v="10"/>
    <n v="3"/>
    <n v="0.1"/>
    <n v="148500"/>
    <n v="17514.77"/>
    <x v="2"/>
    <s v="Delivered"/>
    <n v="49500"/>
    <n v="11.79445791245791"/>
    <s v="Profit"/>
    <s v="Sneha Singh"/>
    <x v="0"/>
    <x v="0"/>
    <s v="Hyderabad"/>
    <s v="Telangana"/>
    <s v="2023-03-24"/>
    <s v="18-25"/>
    <n v="5838.2566666666671"/>
  </r>
  <r>
    <s v="ORD01327"/>
    <d v="2025-10-03T00:00:00"/>
    <s v="CUST0338"/>
    <x v="2"/>
    <x v="9"/>
    <n v="4"/>
    <n v="0.1"/>
    <n v="32400"/>
    <n v="7203.79"/>
    <x v="1"/>
    <s v="Delivered"/>
    <n v="8100"/>
    <n v="22.233919753086418"/>
    <s v="Profit"/>
    <s v="Kavya Bose"/>
    <x v="1"/>
    <x v="0"/>
    <s v="Hyderabad"/>
    <s v="Telangana"/>
    <s v="2024-10-27"/>
    <s v="26-35"/>
    <n v="1800.9475"/>
  </r>
  <r>
    <s v="ORD01328"/>
    <d v="2025-11-05T00:00:00"/>
    <s v="CUST0522"/>
    <x v="3"/>
    <x v="10"/>
    <n v="5"/>
    <n v="0.05"/>
    <n v="261250"/>
    <n v="38173.769999999997"/>
    <x v="1"/>
    <s v="Delivered"/>
    <n v="52250"/>
    <n v="14.61196937799043"/>
    <s v="Profit"/>
    <s v="Karthik Joshi"/>
    <x v="2"/>
    <x v="0"/>
    <s v="Bengaluru"/>
    <s v="Karnataka"/>
    <s v="2023-06-28"/>
    <s v="36-50"/>
    <n v="7634.753999999999"/>
  </r>
  <r>
    <s v="ORD01329"/>
    <d v="2026-05-05T00:00:00"/>
    <s v="CUST0333"/>
    <x v="0"/>
    <x v="0"/>
    <n v="2"/>
    <n v="0.05"/>
    <n v="26600"/>
    <n v="4539.74"/>
    <x v="1"/>
    <s v="Delivered"/>
    <n v="13300"/>
    <n v="17.06669172932331"/>
    <s v="Profit"/>
    <s v="Aditya Gupta"/>
    <x v="0"/>
    <x v="0"/>
    <s v="Chennai"/>
    <s v="Tamil Nadu"/>
    <s v="2023-02-18"/>
    <s v="26-35"/>
    <n v="2269.87"/>
  </r>
  <r>
    <s v="ORD01330"/>
    <d v="2026-06-15T00:00:00"/>
    <s v="CUST0014"/>
    <x v="3"/>
    <x v="4"/>
    <n v="1"/>
    <n v="0.05"/>
    <n v="17100"/>
    <n v="2780.82"/>
    <x v="1"/>
    <s v="Delivered"/>
    <n v="17100"/>
    <n v="16.262105263157899"/>
    <s v="Profit"/>
    <s v="Lakshmi Verma"/>
    <x v="2"/>
    <x v="0"/>
    <s v="Chennai"/>
    <s v="Tamil Nadu"/>
    <s v="2024-11-24"/>
    <s v="36-50"/>
    <n v="2780.82"/>
  </r>
  <r>
    <s v="ORD01331"/>
    <d v="2026-03-10T00:00:00"/>
    <s v="CUST0236"/>
    <x v="3"/>
    <x v="4"/>
    <n v="5"/>
    <n v="0"/>
    <n v="90000"/>
    <n v="17500"/>
    <x v="1"/>
    <s v="Delivered"/>
    <n v="18000"/>
    <n v="19.44444444444445"/>
    <s v="Profit"/>
    <s v="Akash Sharma"/>
    <x v="0"/>
    <x v="3"/>
    <s v="Guwahati"/>
    <s v="Assam"/>
    <s v="2024-04-07"/>
    <s v="36-50"/>
    <n v="3500"/>
  </r>
  <r>
    <s v="ORD01332"/>
    <d v="2025-08-29T00:00:00"/>
    <s v="CUST0329"/>
    <x v="3"/>
    <x v="8"/>
    <n v="2"/>
    <n v="0.1"/>
    <n v="8100"/>
    <n v="-21.8"/>
    <x v="2"/>
    <s v="Returned"/>
    <n v="4050"/>
    <n v="-0.26913580246913582"/>
    <s v="Loss"/>
    <s v="Shreya Pillai"/>
    <x v="0"/>
    <x v="3"/>
    <s v="Bhubaneswar"/>
    <s v="Odisha"/>
    <s v="2024-08-08"/>
    <s v="26-35"/>
    <n v="-10.9"/>
  </r>
  <r>
    <s v="ORD01333"/>
    <d v="2026-02-28T00:00:00"/>
    <s v="CUST0007"/>
    <x v="3"/>
    <x v="4"/>
    <n v="3"/>
    <n v="0.1"/>
    <n v="48600"/>
    <n v="-25372.17"/>
    <x v="1"/>
    <s v="Returned"/>
    <n v="16200"/>
    <n v="-52.206111111111113"/>
    <s v="Loss"/>
    <s v="Harini Khan"/>
    <x v="0"/>
    <x v="0"/>
    <s v="Bengaluru"/>
    <s v="Karnataka"/>
    <s v="2025-07-02"/>
    <s v="36-50"/>
    <n v="-8457.39"/>
  </r>
  <r>
    <s v="ORD01334"/>
    <d v="2026-03-12T00:00:00"/>
    <s v="CUST0022"/>
    <x v="2"/>
    <x v="5"/>
    <n v="5"/>
    <n v="0.3"/>
    <n v="38500"/>
    <n v="1460.23"/>
    <x v="2"/>
    <s v="Delivered"/>
    <n v="7700"/>
    <n v="3.7928051948051951"/>
    <s v="Profit"/>
    <s v="Diya Kulkarni"/>
    <x v="0"/>
    <x v="3"/>
    <s v="Kolkata"/>
    <s v="West Bengal"/>
    <s v="2025-02-13"/>
    <s v="18-25"/>
    <n v="292.04599999999999"/>
  </r>
  <r>
    <s v="ORD01335"/>
    <d v="2025-09-09T00:00:00"/>
    <s v="CUST0040"/>
    <x v="1"/>
    <x v="1"/>
    <n v="10"/>
    <n v="0.05"/>
    <n v="17100"/>
    <n v="6022.17"/>
    <x v="3"/>
    <s v="Delivered"/>
    <n v="1710"/>
    <n v="35.217368421052633"/>
    <s v="Profit"/>
    <s v="Shreya Reddy"/>
    <x v="0"/>
    <x v="2"/>
    <s v="Delhi"/>
    <s v="Delhi"/>
    <s v="2025-05-04"/>
    <s v="26-35"/>
    <n v="602.21699999999998"/>
  </r>
  <r>
    <s v="ORD01336"/>
    <d v="2026-03-29T00:00:00"/>
    <s v="CUST0313"/>
    <x v="3"/>
    <x v="10"/>
    <n v="3"/>
    <n v="0.1"/>
    <n v="148500"/>
    <n v="17767.64"/>
    <x v="2"/>
    <s v="Delivered"/>
    <n v="49500"/>
    <n v="11.964740740740741"/>
    <s v="Profit"/>
    <s v="Ananya Reddy"/>
    <x v="2"/>
    <x v="2"/>
    <s v="Chandigarh"/>
    <s v="Chandigarh"/>
    <s v="2025-09-06"/>
    <s v="26-35"/>
    <n v="5922.5466666666662"/>
  </r>
  <r>
    <s v="ORD01337"/>
    <d v="2026-01-16T00:00:00"/>
    <s v="CUST0114"/>
    <x v="2"/>
    <x v="9"/>
    <n v="2"/>
    <n v="0.05"/>
    <n v="17100"/>
    <n v="4025.39"/>
    <x v="1"/>
    <s v="Delivered"/>
    <n v="8550"/>
    <n v="23.540292397660821"/>
    <s v="Profit"/>
    <s v="Aarav Reddy"/>
    <x v="1"/>
    <x v="0"/>
    <s v="Coimbatore"/>
    <s v="Tamil Nadu"/>
    <s v="2023-11-15"/>
    <s v="18-25"/>
    <n v="2012.6949999999999"/>
  </r>
  <r>
    <s v="ORD01338"/>
    <d v="2026-06-03T00:00:00"/>
    <s v="CUST0569"/>
    <x v="0"/>
    <x v="7"/>
    <n v="2"/>
    <n v="0.05"/>
    <n v="1710"/>
    <n v="484.2"/>
    <x v="3"/>
    <s v="Delivered"/>
    <n v="855"/>
    <n v="28.315789473684209"/>
    <s v="Profit"/>
    <s v="Arjun Menon"/>
    <x v="2"/>
    <x v="1"/>
    <s v="Ahmedabad"/>
    <s v="Gujarat"/>
    <s v="2023-09-24"/>
    <s v="26-35"/>
    <n v="242.1"/>
  </r>
  <r>
    <s v="ORD01339"/>
    <d v="2026-03-04T00:00:00"/>
    <s v="CUST0014"/>
    <x v="2"/>
    <x v="2"/>
    <n v="3"/>
    <n v="0.2"/>
    <n v="31200"/>
    <n v="-11525.23"/>
    <x v="2"/>
    <s v="Cancelled"/>
    <n v="10400"/>
    <n v="-36.939839743589737"/>
    <s v="Loss"/>
    <s v="Lakshmi Verma"/>
    <x v="2"/>
    <x v="0"/>
    <s v="Chennai"/>
    <s v="Tamil Nadu"/>
    <s v="2024-11-24"/>
    <s v="36-50"/>
    <n v="-3841.7433333333329"/>
  </r>
  <r>
    <s v="ORD01340"/>
    <d v="2025-08-14T00:00:00"/>
    <s v="CUST0501"/>
    <x v="2"/>
    <x v="5"/>
    <n v="1"/>
    <n v="0.15"/>
    <n v="9350"/>
    <n v="-4344.8"/>
    <x v="3"/>
    <s v="Cancelled"/>
    <n v="9350"/>
    <n v="-46.46844919786097"/>
    <s v="Loss"/>
    <s v="Rahul Pillai"/>
    <x v="1"/>
    <x v="0"/>
    <s v="Bengaluru"/>
    <s v="Karnataka"/>
    <s v="2024-03-13"/>
    <s v="36-50"/>
    <n v="-4344.8"/>
  </r>
  <r>
    <s v="ORD01341"/>
    <d v="2026-08-16T00:00:00"/>
    <s v="CUST0314"/>
    <x v="3"/>
    <x v="10"/>
    <n v="2"/>
    <n v="0"/>
    <n v="110000"/>
    <n v="18000"/>
    <x v="2"/>
    <s v="Delivered"/>
    <n v="55000"/>
    <n v="16.36363636363636"/>
    <s v="Profit"/>
    <s v="Aarav Mishra"/>
    <x v="0"/>
    <x v="0"/>
    <s v="Bengaluru"/>
    <s v="Karnataka"/>
    <s v="2025-10-30"/>
    <s v="26-35"/>
    <n v="9000"/>
  </r>
  <r>
    <s v="ORD01342"/>
    <d v="2025-12-11T00:00:00"/>
    <s v="CUST0338"/>
    <x v="3"/>
    <x v="4"/>
    <n v="2"/>
    <n v="0.05"/>
    <n v="34200"/>
    <n v="5757.47"/>
    <x v="0"/>
    <s v="Delivered"/>
    <n v="17100"/>
    <n v="16.834707602339179"/>
    <s v="Profit"/>
    <s v="Kavya Bose"/>
    <x v="1"/>
    <x v="0"/>
    <s v="Hyderabad"/>
    <s v="Telangana"/>
    <s v="2024-10-27"/>
    <s v="26-35"/>
    <n v="2878.7350000000001"/>
  </r>
  <r>
    <s v="ORD01343"/>
    <d v="2026-03-02T00:00:00"/>
    <s v="CUST0293"/>
    <x v="2"/>
    <x v="2"/>
    <n v="1"/>
    <n v="0.05"/>
    <n v="12350"/>
    <n v="2722.03"/>
    <x v="2"/>
    <s v="Delivered"/>
    <n v="12350"/>
    <n v="22.040728744939269"/>
    <s v="Profit"/>
    <s v="Ishaan Singh"/>
    <x v="2"/>
    <x v="2"/>
    <s v="Delhi"/>
    <s v="Delhi"/>
    <s v="2023-03-09"/>
    <s v="26-35"/>
    <n v="2722.03"/>
  </r>
  <r>
    <s v="ORD01344"/>
    <d v="2026-07-28T00:00:00"/>
    <s v="CUST0004"/>
    <x v="3"/>
    <x v="11"/>
    <n v="3"/>
    <n v="0.15"/>
    <n v="6375"/>
    <n v="1645.88"/>
    <x v="3"/>
    <s v="Delivered"/>
    <n v="2125"/>
    <n v="25.817725490196079"/>
    <s v="Profit"/>
    <s v="Vikram Kulkarni"/>
    <x v="0"/>
    <x v="1"/>
    <s v="Pune"/>
    <s v="Maharashtra"/>
    <s v="2023-09-22"/>
    <s v="18-25"/>
    <n v="548.62666666666667"/>
  </r>
  <r>
    <s v="ORD01345"/>
    <d v="2025-09-12T00:00:00"/>
    <s v="CUST0314"/>
    <x v="3"/>
    <x v="8"/>
    <n v="2"/>
    <n v="0"/>
    <n v="9000"/>
    <n v="3000"/>
    <x v="0"/>
    <s v="Delivered"/>
    <n v="4500"/>
    <n v="33.333333333333329"/>
    <s v="Profit"/>
    <s v="Aarav Mishra"/>
    <x v="0"/>
    <x v="0"/>
    <s v="Bengaluru"/>
    <s v="Karnataka"/>
    <s v="2025-10-30"/>
    <s v="26-35"/>
    <n v="1500"/>
  </r>
  <r>
    <s v="ORD01346"/>
    <d v="2026-07-19T00:00:00"/>
    <s v="CUST0384"/>
    <x v="2"/>
    <x v="9"/>
    <n v="1"/>
    <n v="0"/>
    <n v="9000"/>
    <n v="2300"/>
    <x v="3"/>
    <s v="Delivered"/>
    <n v="9000"/>
    <n v="25.55555555555555"/>
    <s v="Profit"/>
    <s v="Pooja Gupta"/>
    <x v="1"/>
    <x v="1"/>
    <s v="Pune"/>
    <s v="Maharashtra"/>
    <s v="2025-11-14"/>
    <s v="36-50"/>
    <n v="2300"/>
  </r>
  <r>
    <s v="ORD01347"/>
    <d v="2025-07-15T00:00:00"/>
    <s v="CUST0195"/>
    <x v="3"/>
    <x v="10"/>
    <n v="2"/>
    <n v="0"/>
    <n v="110000"/>
    <n v="18000"/>
    <x v="1"/>
    <s v="Delivered"/>
    <n v="55000"/>
    <n v="16.36363636363636"/>
    <s v="Profit"/>
    <s v="Nisha Kulkarni"/>
    <x v="1"/>
    <x v="0"/>
    <s v="Coimbatore"/>
    <s v="Tamil Nadu"/>
    <s v="2024-04-23"/>
    <s v="18-25"/>
    <n v="9000"/>
  </r>
  <r>
    <s v="ORD01348"/>
    <d v="2025-11-07T00:00:00"/>
    <s v="CUST0040"/>
    <x v="0"/>
    <x v="6"/>
    <n v="3"/>
    <n v="0.05"/>
    <n v="997.5"/>
    <n v="-434.13"/>
    <x v="2"/>
    <s v="Returned"/>
    <n v="332.5"/>
    <n v="-43.521804511278198"/>
    <s v="Loss"/>
    <s v="Shreya Reddy"/>
    <x v="0"/>
    <x v="2"/>
    <s v="Delhi"/>
    <s v="Delhi"/>
    <s v="2025-05-04"/>
    <s v="26-35"/>
    <n v="-144.71"/>
  </r>
  <r>
    <s v="ORD01349"/>
    <d v="2025-10-31T00:00:00"/>
    <s v="CUST0225"/>
    <x v="0"/>
    <x v="14"/>
    <n v="3"/>
    <n v="0.05"/>
    <n v="1282.5"/>
    <n v="273.54000000000002"/>
    <x v="0"/>
    <s v="Delivered"/>
    <n v="427.5"/>
    <n v="21.32865497076024"/>
    <s v="Profit"/>
    <s v="Meera Khan"/>
    <x v="2"/>
    <x v="0"/>
    <s v="Coimbatore"/>
    <s v="Tamil Nadu"/>
    <s v="2025-12-18"/>
    <s v="26-35"/>
    <n v="91.18"/>
  </r>
  <r>
    <s v="ORD01350"/>
    <d v="2025-11-23T00:00:00"/>
    <s v="CUST0546"/>
    <x v="2"/>
    <x v="5"/>
    <n v="3"/>
    <n v="0.05"/>
    <n v="31350"/>
    <n v="-10224.51"/>
    <x v="3"/>
    <s v="Returned"/>
    <n v="10450"/>
    <n v="-32.614066985645927"/>
    <s v="Loss"/>
    <s v="Karthik Menon"/>
    <x v="2"/>
    <x v="2"/>
    <s v="Jaipur"/>
    <s v="Rajasthan"/>
    <s v="2025-12-29"/>
    <s v="26-35"/>
    <n v="-3408.17"/>
  </r>
  <r>
    <s v="ORD01351"/>
    <d v="2026-07-20T00:00:00"/>
    <s v="CUST0520"/>
    <x v="2"/>
    <x v="2"/>
    <n v="3"/>
    <n v="0.1"/>
    <n v="35100"/>
    <n v="7368.88"/>
    <x v="2"/>
    <s v="Delivered"/>
    <n v="11700"/>
    <n v="20.99396011396011"/>
    <s v="Profit"/>
    <s v="Karthik Chopra"/>
    <x v="0"/>
    <x v="0"/>
    <s v="Chennai"/>
    <s v="Tamil Nadu"/>
    <s v="2023-12-09"/>
    <s v="26-35"/>
    <n v="2456.293333333334"/>
  </r>
  <r>
    <s v="ORD01352"/>
    <d v="2026-01-22T00:00:00"/>
    <s v="CUST0346"/>
    <x v="1"/>
    <x v="13"/>
    <n v="1"/>
    <n v="0.15"/>
    <n v="3570"/>
    <n v="711.48"/>
    <x v="0"/>
    <s v="Delivered"/>
    <n v="3570"/>
    <n v="19.929411764705879"/>
    <s v="Profit"/>
    <s v="Aarav Iyer"/>
    <x v="0"/>
    <x v="1"/>
    <s v="Ahmedabad"/>
    <s v="Gujarat"/>
    <s v="2025-10-12"/>
    <s v="18-25"/>
    <n v="711.48"/>
  </r>
  <r>
    <s v="ORD01353"/>
    <d v="2026-07-03T00:00:00"/>
    <s v="CUST0474"/>
    <x v="3"/>
    <x v="10"/>
    <n v="1"/>
    <n v="0.05"/>
    <n v="52250"/>
    <n v="7526.14"/>
    <x v="3"/>
    <s v="Delivered"/>
    <n v="52250"/>
    <n v="14.40409569377991"/>
    <s v="Profit"/>
    <s v="Meera Chopra"/>
    <x v="2"/>
    <x v="0"/>
    <s v="Hyderabad"/>
    <s v="Telangana"/>
    <s v="2023-02-16"/>
    <s v="36-50"/>
    <n v="7526.14"/>
  </r>
  <r>
    <s v="ORD01354"/>
    <d v="2025-08-10T00:00:00"/>
    <s v="CUST0422"/>
    <x v="3"/>
    <x v="4"/>
    <n v="2"/>
    <n v="0"/>
    <n v="36000"/>
    <n v="7000"/>
    <x v="1"/>
    <s v="Delivered"/>
    <n v="18000"/>
    <n v="19.44444444444445"/>
    <s v="Profit"/>
    <s v="Meera Nair"/>
    <x v="1"/>
    <x v="0"/>
    <s v="Coimbatore"/>
    <s v="Tamil Nadu"/>
    <s v="2025-02-08"/>
    <s v="26-35"/>
    <n v="3500"/>
  </r>
  <r>
    <s v="ORD01355"/>
    <d v="2026-08-24T00:00:00"/>
    <s v="CUST0410"/>
    <x v="0"/>
    <x v="0"/>
    <n v="5"/>
    <n v="0.1"/>
    <n v="63000"/>
    <n v="-35871.89"/>
    <x v="1"/>
    <s v="Returned"/>
    <n v="12600"/>
    <n v="-56.939507936507937"/>
    <s v="Loss"/>
    <s v="Pooja Iyer"/>
    <x v="1"/>
    <x v="0"/>
    <s v="Bengaluru"/>
    <s v="Karnataka"/>
    <s v="2025-07-08"/>
    <s v="18-25"/>
    <n v="-7174.3779999999997"/>
  </r>
  <r>
    <s v="ORD01356"/>
    <d v="2026-05-02T00:00:00"/>
    <s v="CUST0339"/>
    <x v="3"/>
    <x v="10"/>
    <n v="5"/>
    <n v="0.2"/>
    <n v="220000"/>
    <n v="14484.29"/>
    <x v="1"/>
    <s v="Shipped"/>
    <n v="44000"/>
    <n v="6.5837681818181819"/>
    <s v="Profit"/>
    <s v="Meera Das"/>
    <x v="0"/>
    <x v="1"/>
    <s v="Mumbai"/>
    <s v="Maharashtra"/>
    <s v="2023-04-03"/>
    <s v="36-50"/>
    <n v="2896.8580000000002"/>
  </r>
  <r>
    <s v="ORD01357"/>
    <d v="2026-04-02T00:00:00"/>
    <s v="CUST0495"/>
    <x v="3"/>
    <x v="11"/>
    <n v="3"/>
    <n v="0.1"/>
    <n v="6750"/>
    <n v="1804.43"/>
    <x v="3"/>
    <s v="Delivered"/>
    <n v="2250"/>
    <n v="26.732296296296301"/>
    <s v="Profit"/>
    <s v="Harini Gupta"/>
    <x v="1"/>
    <x v="2"/>
    <s v="Chandigarh"/>
    <s v="Chandigarh"/>
    <s v="2025-10-03"/>
    <s v="26-35"/>
    <n v="601.47666666666669"/>
  </r>
  <r>
    <s v="ORD01358"/>
    <d v="2025-09-18T00:00:00"/>
    <s v="CUST0069"/>
    <x v="0"/>
    <x v="0"/>
    <n v="1"/>
    <n v="0.2"/>
    <n v="11200"/>
    <n v="1356.86"/>
    <x v="2"/>
    <s v="Delivered"/>
    <n v="11200"/>
    <n v="12.11482142857143"/>
    <s v="Profit"/>
    <s v="Rahul Sharma"/>
    <x v="1"/>
    <x v="3"/>
    <s v="Guwahati"/>
    <s v="Assam"/>
    <s v="2023-07-22"/>
    <s v="36-50"/>
    <n v="1356.86"/>
  </r>
  <r>
    <s v="ORD01359"/>
    <d v="2025-12-23T00:00:00"/>
    <s v="CUST0326"/>
    <x v="0"/>
    <x v="6"/>
    <n v="5"/>
    <n v="0.05"/>
    <n v="1662.5"/>
    <n v="552.46"/>
    <x v="2"/>
    <s v="Delivered"/>
    <n v="332.5"/>
    <n v="33.230676691729329"/>
    <s v="Profit"/>
    <s v="Karthik Das"/>
    <x v="0"/>
    <x v="2"/>
    <s v="Lucknow"/>
    <s v="Uttar Pradesh"/>
    <s v="2025-07-07"/>
    <s v="51+"/>
    <n v="110.492"/>
  </r>
  <r>
    <s v="ORD01360"/>
    <d v="2026-01-19T00:00:00"/>
    <s v="CUST0090"/>
    <x v="3"/>
    <x v="10"/>
    <n v="2"/>
    <n v="0"/>
    <n v="110000"/>
    <n v="18000"/>
    <x v="2"/>
    <s v="Delivered"/>
    <n v="55000"/>
    <n v="16.36363636363636"/>
    <s v="Profit"/>
    <s v="Nisha Bose"/>
    <x v="1"/>
    <x v="0"/>
    <s v="Coimbatore"/>
    <s v="Tamil Nadu"/>
    <s v="2024-09-07"/>
    <s v="51+"/>
    <n v="9000"/>
  </r>
  <r>
    <s v="ORD01361"/>
    <d v="2026-02-05T00:00:00"/>
    <s v="CUST0190"/>
    <x v="3"/>
    <x v="8"/>
    <n v="2"/>
    <n v="0.1"/>
    <n v="8100"/>
    <n v="2500.54"/>
    <x v="1"/>
    <s v="Delivered"/>
    <n v="4050"/>
    <n v="30.87086419753086"/>
    <s v="Profit"/>
    <s v="Rohan Naidu"/>
    <x v="0"/>
    <x v="0"/>
    <s v="Coimbatore"/>
    <s v="Tamil Nadu"/>
    <s v="2023-02-24"/>
    <s v="26-35"/>
    <n v="1250.27"/>
  </r>
  <r>
    <s v="ORD01362"/>
    <d v="2026-01-14T00:00:00"/>
    <s v="CUST0580"/>
    <x v="1"/>
    <x v="15"/>
    <n v="5"/>
    <n v="0.15"/>
    <n v="9350"/>
    <n v="-3938.89"/>
    <x v="2"/>
    <s v="Returned"/>
    <n v="1870"/>
    <n v="-42.127165775401068"/>
    <s v="Loss"/>
    <s v="Sneha Iyer"/>
    <x v="2"/>
    <x v="1"/>
    <s v="Pune"/>
    <s v="Maharashtra"/>
    <s v="2023-10-12"/>
    <s v="36-50"/>
    <n v="-787.77800000000002"/>
  </r>
  <r>
    <s v="ORD01363"/>
    <d v="2026-01-01T00:00:00"/>
    <s v="CUST0352"/>
    <x v="1"/>
    <x v="15"/>
    <n v="2"/>
    <n v="0.1"/>
    <n v="3960"/>
    <n v="1136.8499999999999"/>
    <x v="1"/>
    <s v="Delivered"/>
    <n v="1980"/>
    <n v="28.708333333333329"/>
    <s v="Profit"/>
    <s v="Ishaan Verma"/>
    <x v="0"/>
    <x v="1"/>
    <s v="Ahmedabad"/>
    <s v="Gujarat"/>
    <s v="2024-05-01"/>
    <s v="51+"/>
    <n v="568.42499999999995"/>
  </r>
  <r>
    <s v="ORD01364"/>
    <d v="2026-07-15T00:00:00"/>
    <s v="CUST0378"/>
    <x v="3"/>
    <x v="4"/>
    <n v="1"/>
    <n v="0.1"/>
    <n v="16200"/>
    <n v="2142.19"/>
    <x v="1"/>
    <s v="Delivered"/>
    <n v="16200"/>
    <n v="13.2233950617284"/>
    <s v="Profit"/>
    <s v="Aarav Joshi"/>
    <x v="2"/>
    <x v="0"/>
    <s v="Bengaluru"/>
    <s v="Karnataka"/>
    <s v="2025-12-14"/>
    <s v="26-35"/>
    <n v="2142.19"/>
  </r>
  <r>
    <s v="ORD01365"/>
    <d v="2025-07-15T00:00:00"/>
    <s v="CUST0235"/>
    <x v="2"/>
    <x v="9"/>
    <n v="1"/>
    <n v="0.05"/>
    <n v="8550"/>
    <n v="1920.67"/>
    <x v="3"/>
    <s v="Delivered"/>
    <n v="8550"/>
    <n v="22.463976608187139"/>
    <s v="Profit"/>
    <s v="Harini Gupta"/>
    <x v="0"/>
    <x v="1"/>
    <s v="Pune"/>
    <s v="Maharashtra"/>
    <s v="2024-04-09"/>
    <s v="26-35"/>
    <n v="1920.67"/>
  </r>
  <r>
    <s v="ORD01366"/>
    <d v="2025-09-02T00:00:00"/>
    <s v="CUST0364"/>
    <x v="1"/>
    <x v="1"/>
    <n v="3"/>
    <n v="0"/>
    <n v="5400"/>
    <n v="1950"/>
    <x v="3"/>
    <s v="Delivered"/>
    <n v="1800"/>
    <n v="36.111111111111107"/>
    <s v="Profit"/>
    <s v="Varun Bose"/>
    <x v="0"/>
    <x v="2"/>
    <s v="Delhi"/>
    <s v="Delhi"/>
    <s v="2024-10-25"/>
    <s v="18-25"/>
    <n v="650"/>
  </r>
  <r>
    <s v="ORD01367"/>
    <d v="2026-05-09T00:00:00"/>
    <s v="CUST0056"/>
    <x v="2"/>
    <x v="2"/>
    <n v="6"/>
    <n v="0"/>
    <n v="78000"/>
    <n v="19200"/>
    <x v="0"/>
    <s v="Shipped"/>
    <n v="13000"/>
    <n v="24.61538461538462"/>
    <s v="Profit"/>
    <s v="Vikram Pillai"/>
    <x v="0"/>
    <x v="3"/>
    <s v="Patna"/>
    <s v="Bihar"/>
    <s v="2024-11-12"/>
    <s v="18-25"/>
    <n v="3200"/>
  </r>
  <r>
    <s v="ORD01368"/>
    <d v="2026-01-02T00:00:00"/>
    <s v="CUST0177"/>
    <x v="3"/>
    <x v="10"/>
    <n v="5"/>
    <n v="0.1"/>
    <n v="247500"/>
    <n v="29677.13"/>
    <x v="3"/>
    <s v="Delivered"/>
    <n v="49500"/>
    <n v="11.990759595959601"/>
    <s v="Profit"/>
    <s v="Lakshmi Mehta"/>
    <x v="2"/>
    <x v="1"/>
    <s v="Mumbai"/>
    <s v="Maharashtra"/>
    <s v="2023-11-03"/>
    <s v="26-35"/>
    <n v="5935.4260000000004"/>
  </r>
  <r>
    <s v="ORD01369"/>
    <d v="2025-10-11T00:00:00"/>
    <s v="CUST0429"/>
    <x v="3"/>
    <x v="11"/>
    <n v="1"/>
    <n v="0.05"/>
    <n v="2375"/>
    <n v="702.98"/>
    <x v="1"/>
    <s v="Delivered"/>
    <n v="2375"/>
    <n v="29.599157894736841"/>
    <s v="Profit"/>
    <s v="Pooja Mishra"/>
    <x v="1"/>
    <x v="3"/>
    <s v="Bhubaneswar"/>
    <s v="Odisha"/>
    <s v="2023-01-22"/>
    <s v="36-50"/>
    <n v="702.98"/>
  </r>
  <r>
    <s v="ORD01370"/>
    <d v="2026-05-12T00:00:00"/>
    <s v="CUST0359"/>
    <x v="1"/>
    <x v="1"/>
    <n v="10"/>
    <n v="0.05"/>
    <n v="17100"/>
    <n v="5967.66"/>
    <x v="0"/>
    <s v="Shipped"/>
    <n v="1710"/>
    <n v="34.898596491228069"/>
    <s v="Profit"/>
    <s v="Ananya Mishra"/>
    <x v="0"/>
    <x v="0"/>
    <s v="Bengaluru"/>
    <s v="Karnataka"/>
    <s v="2024-05-22"/>
    <s v="26-35"/>
    <n v="596.76599999999996"/>
  </r>
  <r>
    <s v="ORD01371"/>
    <d v="2026-05-01T00:00:00"/>
    <s v="CUST0014"/>
    <x v="2"/>
    <x v="3"/>
    <n v="1"/>
    <n v="0.2"/>
    <n v="12000"/>
    <n v="-2079.9499999999998"/>
    <x v="3"/>
    <s v="Returned"/>
    <n v="12000"/>
    <n v="-17.332916666666669"/>
    <s v="Loss"/>
    <s v="Lakshmi Verma"/>
    <x v="2"/>
    <x v="0"/>
    <s v="Chennai"/>
    <s v="Tamil Nadu"/>
    <s v="2024-11-24"/>
    <s v="36-50"/>
    <n v="-2079.9499999999998"/>
  </r>
  <r>
    <s v="ORD01372"/>
    <d v="2025-11-17T00:00:00"/>
    <s v="CUST0251"/>
    <x v="1"/>
    <x v="15"/>
    <n v="1"/>
    <n v="0.1"/>
    <n v="1980"/>
    <n v="-112.18"/>
    <x v="3"/>
    <s v="Cancelled"/>
    <n v="1980"/>
    <n v="-5.6656565656565663"/>
    <s v="Loss"/>
    <s v="Arjun Verma"/>
    <x v="2"/>
    <x v="0"/>
    <s v="Coimbatore"/>
    <s v="Tamil Nadu"/>
    <s v="2023-06-16"/>
    <s v="36-50"/>
    <n v="-112.18"/>
  </r>
  <r>
    <s v="ORD01373"/>
    <d v="2025-12-08T00:00:00"/>
    <s v="CUST0175"/>
    <x v="0"/>
    <x v="6"/>
    <n v="2"/>
    <n v="0.15"/>
    <n v="595"/>
    <n v="153.85"/>
    <x v="2"/>
    <s v="Delivered"/>
    <n v="297.5"/>
    <n v="25.857142857142861"/>
    <s v="Profit"/>
    <s v="Akash Mehta"/>
    <x v="0"/>
    <x v="1"/>
    <s v="Ahmedabad"/>
    <s v="Gujarat"/>
    <s v="2023-12-29"/>
    <s v="36-50"/>
    <n v="76.924999999999997"/>
  </r>
  <r>
    <s v="ORD01374"/>
    <d v="2025-12-11T00:00:00"/>
    <s v="CUST0031"/>
    <x v="2"/>
    <x v="9"/>
    <n v="5"/>
    <n v="0.05"/>
    <n v="42750"/>
    <n v="9946.09"/>
    <x v="1"/>
    <s v="Shipped"/>
    <n v="8550"/>
    <n v="23.26570760233918"/>
    <s v="Profit"/>
    <s v="Priya Mishra"/>
    <x v="2"/>
    <x v="0"/>
    <s v="Bengaluru"/>
    <s v="Karnataka"/>
    <s v="2023-05-09"/>
    <s v="51+"/>
    <n v="1989.2180000000001"/>
  </r>
  <r>
    <s v="ORD01375"/>
    <d v="2026-03-04T00:00:00"/>
    <s v="CUST0102"/>
    <x v="3"/>
    <x v="10"/>
    <n v="1"/>
    <n v="0.15"/>
    <n v="46750"/>
    <n v="3473.82"/>
    <x v="3"/>
    <s v="Delivered"/>
    <n v="46750"/>
    <n v="7.4306310160427813"/>
    <s v="Profit"/>
    <s v="Akash Bose"/>
    <x v="0"/>
    <x v="2"/>
    <s v="Jaipur"/>
    <s v="Rajasthan"/>
    <s v="2023-03-30"/>
    <s v="36-50"/>
    <n v="3473.82"/>
  </r>
  <r>
    <s v="ORD01376"/>
    <d v="2026-08-15T00:00:00"/>
    <s v="CUST0024"/>
    <x v="0"/>
    <x v="14"/>
    <n v="1"/>
    <n v="0.1"/>
    <n v="405"/>
    <n v="82.7"/>
    <x v="0"/>
    <s v="Delivered"/>
    <n v="405"/>
    <n v="20.41975308641975"/>
    <s v="Profit"/>
    <s v="Lakshmi Pillai"/>
    <x v="1"/>
    <x v="0"/>
    <s v="Coimbatore"/>
    <s v="Tamil Nadu"/>
    <s v="2024-11-26"/>
    <s v="26-35"/>
    <n v="82.7"/>
  </r>
  <r>
    <s v="ORD01377"/>
    <d v="2025-09-05T00:00:00"/>
    <s v="CUST0287"/>
    <x v="0"/>
    <x v="14"/>
    <n v="1"/>
    <n v="0.15"/>
    <n v="382.5"/>
    <n v="66"/>
    <x v="3"/>
    <s v="Delivered"/>
    <n v="382.5"/>
    <n v="17.254901960784309"/>
    <s v="Profit"/>
    <s v="Akash Pillai"/>
    <x v="1"/>
    <x v="0"/>
    <s v="Chennai"/>
    <s v="Tamil Nadu"/>
    <s v="2023-07-20"/>
    <s v="18-25"/>
    <n v="66"/>
  </r>
  <r>
    <s v="ORD01378"/>
    <d v="2025-10-21T00:00:00"/>
    <s v="CUST0380"/>
    <x v="0"/>
    <x v="7"/>
    <n v="2"/>
    <n v="0.3"/>
    <n v="1260"/>
    <n v="263.86"/>
    <x v="2"/>
    <s v="Delivered"/>
    <n v="630"/>
    <n v="20.94126984126984"/>
    <s v="Profit"/>
    <s v="Arjun Sharma"/>
    <x v="2"/>
    <x v="1"/>
    <s v="Surat"/>
    <s v="Gujarat"/>
    <s v="2024-07-24"/>
    <s v="36-50"/>
    <n v="131.93"/>
  </r>
  <r>
    <s v="ORD01379"/>
    <d v="2025-09-07T00:00:00"/>
    <s v="CUST0038"/>
    <x v="2"/>
    <x v="9"/>
    <n v="1"/>
    <n v="0.05"/>
    <n v="8550"/>
    <n v="2007.98"/>
    <x v="3"/>
    <s v="Delivered"/>
    <n v="8550"/>
    <n v="23.48514619883041"/>
    <s v="Profit"/>
    <s v="Harini Sharma"/>
    <x v="2"/>
    <x v="0"/>
    <s v="Coimbatore"/>
    <s v="Tamil Nadu"/>
    <s v="2024-06-22"/>
    <s v="36-50"/>
    <n v="2007.98"/>
  </r>
  <r>
    <s v="ORD01380"/>
    <d v="2026-01-20T00:00:00"/>
    <s v="CUST0160"/>
    <x v="2"/>
    <x v="9"/>
    <n v="2"/>
    <n v="0.05"/>
    <n v="17100"/>
    <n v="4177.2299999999996"/>
    <x v="2"/>
    <s v="Delivered"/>
    <n v="8550"/>
    <n v="24.428245614035081"/>
    <s v="Profit"/>
    <s v="Divya Sharma"/>
    <x v="2"/>
    <x v="0"/>
    <s v="Bengaluru"/>
    <s v="Karnataka"/>
    <s v="2024-09-25"/>
    <s v="18-25"/>
    <n v="2088.6149999999998"/>
  </r>
  <r>
    <s v="ORD01381"/>
    <d v="2025-10-22T00:00:00"/>
    <s v="CUST0361"/>
    <x v="3"/>
    <x v="8"/>
    <n v="2"/>
    <n v="0.1"/>
    <n v="8100"/>
    <n v="2551"/>
    <x v="3"/>
    <s v="Delivered"/>
    <n v="4050"/>
    <n v="31.493827160493829"/>
    <s v="Profit"/>
    <s v="Ananya Das"/>
    <x v="0"/>
    <x v="1"/>
    <s v="Surat"/>
    <s v="Gujarat"/>
    <s v="2024-08-27"/>
    <s v="26-35"/>
    <n v="1275.5"/>
  </r>
  <r>
    <s v="ORD01382"/>
    <d v="2025-07-20T00:00:00"/>
    <s v="CUST0422"/>
    <x v="0"/>
    <x v="6"/>
    <n v="2"/>
    <n v="0.05"/>
    <n v="665"/>
    <n v="211.12"/>
    <x v="1"/>
    <s v="Delivered"/>
    <n v="332.5"/>
    <n v="31.747368421052631"/>
    <s v="Profit"/>
    <s v="Meera Nair"/>
    <x v="1"/>
    <x v="0"/>
    <s v="Coimbatore"/>
    <s v="Tamil Nadu"/>
    <s v="2025-02-08"/>
    <s v="26-35"/>
    <n v="105.56"/>
  </r>
  <r>
    <s v="ORD01383"/>
    <d v="2026-07-16T00:00:00"/>
    <s v="CUST0333"/>
    <x v="0"/>
    <x v="6"/>
    <n v="5"/>
    <n v="0.1"/>
    <n v="1575"/>
    <n v="-710.46"/>
    <x v="2"/>
    <s v="Cancelled"/>
    <n v="315"/>
    <n v="-45.10857142857143"/>
    <s v="Loss"/>
    <s v="Aditya Gupta"/>
    <x v="0"/>
    <x v="0"/>
    <s v="Chennai"/>
    <s v="Tamil Nadu"/>
    <s v="2023-02-18"/>
    <s v="26-35"/>
    <n v="-142.09200000000001"/>
  </r>
  <r>
    <s v="ORD01384"/>
    <d v="2026-01-12T00:00:00"/>
    <s v="CUST0105"/>
    <x v="3"/>
    <x v="4"/>
    <n v="2"/>
    <n v="0"/>
    <n v="36000"/>
    <n v="7000"/>
    <x v="1"/>
    <s v="Delivered"/>
    <n v="18000"/>
    <n v="19.44444444444445"/>
    <s v="Profit"/>
    <s v="Ishaan Pillai"/>
    <x v="1"/>
    <x v="1"/>
    <s v="Surat"/>
    <s v="Gujarat"/>
    <s v="2024-11-21"/>
    <s v="26-35"/>
    <n v="3500"/>
  </r>
  <r>
    <s v="ORD01385"/>
    <d v="2025-07-05T00:00:00"/>
    <s v="CUST0585"/>
    <x v="3"/>
    <x v="8"/>
    <n v="1"/>
    <n v="0.1"/>
    <n v="4050"/>
    <n v="-1076.29"/>
    <x v="1"/>
    <s v="Returned"/>
    <n v="4050"/>
    <n v="-26.57506172839506"/>
    <s v="Loss"/>
    <s v="Diya Reddy"/>
    <x v="1"/>
    <x v="0"/>
    <s v="Bengaluru"/>
    <s v="Karnataka"/>
    <s v="2024-03-03"/>
    <s v="51+"/>
    <n v="-1076.29"/>
  </r>
  <r>
    <s v="ORD01386"/>
    <d v="2026-08-24T00:00:00"/>
    <s v="CUST0459"/>
    <x v="1"/>
    <x v="12"/>
    <n v="1"/>
    <n v="0.1"/>
    <n v="1260"/>
    <n v="433.61"/>
    <x v="0"/>
    <s v="Delivered"/>
    <n v="1260"/>
    <n v="34.413492063492058"/>
    <s v="Profit"/>
    <s v="Nisha Das"/>
    <x v="0"/>
    <x v="2"/>
    <s v="Chandigarh"/>
    <s v="Chandigarh"/>
    <s v="2024-10-03"/>
    <s v="26-35"/>
    <n v="433.61"/>
  </r>
  <r>
    <s v="ORD01387"/>
    <d v="2026-08-28T00:00:00"/>
    <s v="CUST0374"/>
    <x v="3"/>
    <x v="10"/>
    <n v="3"/>
    <n v="0.1"/>
    <n v="148500"/>
    <n v="17401.22"/>
    <x v="1"/>
    <s v="Delivered"/>
    <n v="49500"/>
    <n v="11.71799326599327"/>
    <s v="Profit"/>
    <s v="Ishaan Chopra"/>
    <x v="0"/>
    <x v="0"/>
    <s v="Bengaluru"/>
    <s v="Karnataka"/>
    <s v="2024-09-12"/>
    <s v="18-25"/>
    <n v="5800.4066666666668"/>
  </r>
  <r>
    <s v="ORD01388"/>
    <d v="2026-03-22T00:00:00"/>
    <s v="CUST0332"/>
    <x v="0"/>
    <x v="7"/>
    <n v="6"/>
    <n v="0.05"/>
    <n v="5130"/>
    <n v="1554.52"/>
    <x v="0"/>
    <s v="Delivered"/>
    <n v="855"/>
    <n v="30.302534113060432"/>
    <s v="Profit"/>
    <s v="Vikram Rao"/>
    <x v="1"/>
    <x v="0"/>
    <s v="Coimbatore"/>
    <s v="Tamil Nadu"/>
    <s v="2023-07-04"/>
    <s v="26-35"/>
    <n v="259.08666666666659"/>
  </r>
  <r>
    <s v="ORD01389"/>
    <d v="2025-12-18T00:00:00"/>
    <s v="CUST0359"/>
    <x v="3"/>
    <x v="4"/>
    <n v="4"/>
    <n v="0"/>
    <n v="72000"/>
    <n v="14000"/>
    <x v="3"/>
    <s v="Delivered"/>
    <n v="18000"/>
    <n v="19.44444444444445"/>
    <s v="Profit"/>
    <s v="Ananya Mishra"/>
    <x v="0"/>
    <x v="0"/>
    <s v="Bengaluru"/>
    <s v="Karnataka"/>
    <s v="2024-05-22"/>
    <s v="26-35"/>
    <n v="3500"/>
  </r>
  <r>
    <s v="ORD01390"/>
    <d v="2025-12-23T00:00:00"/>
    <s v="CUST0344"/>
    <x v="0"/>
    <x v="7"/>
    <n v="2"/>
    <n v="0.1"/>
    <n v="1620"/>
    <n v="469.31"/>
    <x v="1"/>
    <s v="Delivered"/>
    <n v="810"/>
    <n v="28.96975308641975"/>
    <s v="Profit"/>
    <s v="Aditya Gupta"/>
    <x v="1"/>
    <x v="1"/>
    <s v="Ahmedabad"/>
    <s v="Gujarat"/>
    <s v="2023-09-29"/>
    <s v="36-50"/>
    <n v="234.655"/>
  </r>
  <r>
    <s v="ORD01391"/>
    <d v="2026-06-03T00:00:00"/>
    <s v="CUST0339"/>
    <x v="2"/>
    <x v="3"/>
    <n v="2"/>
    <n v="0.1"/>
    <n v="27000"/>
    <n v="5069.99"/>
    <x v="1"/>
    <s v="Delivered"/>
    <n v="13500"/>
    <n v="18.77774074074074"/>
    <s v="Profit"/>
    <s v="Meera Das"/>
    <x v="0"/>
    <x v="1"/>
    <s v="Mumbai"/>
    <s v="Maharashtra"/>
    <s v="2023-04-03"/>
    <s v="36-50"/>
    <n v="2534.9949999999999"/>
  </r>
  <r>
    <s v="ORD01392"/>
    <d v="2025-12-17T00:00:00"/>
    <s v="CUST0128"/>
    <x v="1"/>
    <x v="15"/>
    <n v="4"/>
    <n v="0"/>
    <n v="8800"/>
    <n v="3000"/>
    <x v="2"/>
    <s v="Delivered"/>
    <n v="2200"/>
    <n v="34.090909090909093"/>
    <s v="Profit"/>
    <s v="Sneha Mishra"/>
    <x v="2"/>
    <x v="0"/>
    <s v="Chennai"/>
    <s v="Tamil Nadu"/>
    <s v="2024-09-12"/>
    <s v="36-50"/>
    <n v="750"/>
  </r>
  <r>
    <s v="ORD01393"/>
    <d v="2025-09-11T00:00:00"/>
    <s v="CUST0440"/>
    <x v="3"/>
    <x v="8"/>
    <n v="2"/>
    <n v="0"/>
    <n v="9000"/>
    <n v="3000"/>
    <x v="0"/>
    <s v="Delivered"/>
    <n v="4500"/>
    <n v="33.333333333333329"/>
    <s v="Profit"/>
    <s v="Harini Sharma"/>
    <x v="1"/>
    <x v="0"/>
    <s v="Hyderabad"/>
    <s v="Telangana"/>
    <s v="2024-06-03"/>
    <s v="18-25"/>
    <n v="1500"/>
  </r>
  <r>
    <s v="ORD01394"/>
    <d v="2026-01-11T00:00:00"/>
    <s v="CUST0334"/>
    <x v="3"/>
    <x v="11"/>
    <n v="2"/>
    <n v="0.1"/>
    <n v="4500"/>
    <n v="1208.83"/>
    <x v="3"/>
    <s v="Delivered"/>
    <n v="2250"/>
    <n v="26.862888888888889"/>
    <s v="Profit"/>
    <s v="Rahul Joshi"/>
    <x v="1"/>
    <x v="0"/>
    <s v="Hyderabad"/>
    <s v="Telangana"/>
    <s v="2024-05-26"/>
    <s v="26-35"/>
    <n v="604.41499999999996"/>
  </r>
  <r>
    <s v="ORD01395"/>
    <d v="2026-06-03T00:00:00"/>
    <s v="CUST0143"/>
    <x v="0"/>
    <x v="14"/>
    <n v="1"/>
    <n v="0"/>
    <n v="450"/>
    <n v="110"/>
    <x v="3"/>
    <s v="Delivered"/>
    <n v="450"/>
    <n v="24.444444444444439"/>
    <s v="Profit"/>
    <s v="Ananya Naidu"/>
    <x v="2"/>
    <x v="0"/>
    <s v="Bengaluru"/>
    <s v="Karnataka"/>
    <s v="2023-04-11"/>
    <s v="36-50"/>
    <n v="110"/>
  </r>
  <r>
    <s v="ORD01396"/>
    <d v="2026-01-29T00:00:00"/>
    <s v="CUST0510"/>
    <x v="2"/>
    <x v="3"/>
    <n v="2"/>
    <n v="0.15"/>
    <n v="25500"/>
    <n v="3343.88"/>
    <x v="2"/>
    <s v="Delivered"/>
    <n v="12750"/>
    <n v="13.11325490196079"/>
    <s v="Profit"/>
    <s v="Vikram Singh"/>
    <x v="1"/>
    <x v="0"/>
    <s v="Coimbatore"/>
    <s v="Tamil Nadu"/>
    <s v="2024-08-20"/>
    <s v="36-50"/>
    <n v="1671.94"/>
  </r>
  <r>
    <s v="ORD01397"/>
    <d v="2026-05-03T00:00:00"/>
    <s v="CUST0204"/>
    <x v="2"/>
    <x v="5"/>
    <n v="1"/>
    <n v="0.1"/>
    <n v="9900"/>
    <n v="1987.24"/>
    <x v="0"/>
    <s v="Delivered"/>
    <n v="9900"/>
    <n v="20.073131313131309"/>
    <s v="Profit"/>
    <s v="Karthik Mehta"/>
    <x v="0"/>
    <x v="1"/>
    <s v="Surat"/>
    <s v="Gujarat"/>
    <s v="2025-07-25"/>
    <s v="26-35"/>
    <n v="1987.24"/>
  </r>
  <r>
    <s v="ORD01398"/>
    <d v="2026-03-02T00:00:00"/>
    <s v="CUST0117"/>
    <x v="3"/>
    <x v="8"/>
    <n v="1"/>
    <n v="0.2"/>
    <n v="3600"/>
    <n v="1059.68"/>
    <x v="1"/>
    <s v="Delivered"/>
    <n v="3600"/>
    <n v="29.43555555555556"/>
    <s v="Profit"/>
    <s v="Aarav Patel"/>
    <x v="0"/>
    <x v="2"/>
    <s v="Lucknow"/>
    <s v="Uttar Pradesh"/>
    <s v="2025-09-18"/>
    <s v="26-35"/>
    <n v="1059.68"/>
  </r>
  <r>
    <s v="ORD01399"/>
    <d v="2026-07-07T00:00:00"/>
    <s v="CUST0251"/>
    <x v="0"/>
    <x v="14"/>
    <n v="2"/>
    <n v="0.1"/>
    <n v="810"/>
    <n v="-157.65"/>
    <x v="3"/>
    <s v="Returned"/>
    <n v="405"/>
    <n v="-19.462962962962958"/>
    <s v="Loss"/>
    <s v="Arjun Verma"/>
    <x v="2"/>
    <x v="0"/>
    <s v="Coimbatore"/>
    <s v="Tamil Nadu"/>
    <s v="2023-06-16"/>
    <s v="36-50"/>
    <n v="-78.825000000000003"/>
  </r>
  <r>
    <s v="ORD01400"/>
    <d v="2026-05-31T00:00:00"/>
    <s v="CUST0009"/>
    <x v="3"/>
    <x v="4"/>
    <n v="2"/>
    <n v="0.15"/>
    <n v="30600"/>
    <n v="3731.52"/>
    <x v="3"/>
    <s v="Delivered"/>
    <n v="15300"/>
    <n v="12.194509803921569"/>
    <s v="Profit"/>
    <s v="Sanjay Gupta"/>
    <x v="1"/>
    <x v="3"/>
    <s v="Guwahati"/>
    <s v="Assam"/>
    <s v="2023-09-12"/>
    <s v="51+"/>
    <n v="1865.76"/>
  </r>
  <r>
    <s v="ORD01401"/>
    <d v="2025-09-21T00:00:00"/>
    <s v="CUST0290"/>
    <x v="2"/>
    <x v="5"/>
    <n v="1"/>
    <n v="0.3"/>
    <n v="7700"/>
    <n v="514.16"/>
    <x v="0"/>
    <s v="Delivered"/>
    <n v="7700"/>
    <n v="6.6774025974025966"/>
    <s v="Profit"/>
    <s v="Aarav Bose"/>
    <x v="2"/>
    <x v="1"/>
    <s v="Ahmedabad"/>
    <s v="Gujarat"/>
    <s v="2025-02-14"/>
    <s v="18-25"/>
    <n v="514.16"/>
  </r>
  <r>
    <s v="ORD01402"/>
    <d v="2025-08-09T00:00:00"/>
    <s v="CUST0214"/>
    <x v="2"/>
    <x v="5"/>
    <n v="2"/>
    <n v="0.1"/>
    <n v="19800"/>
    <n v="3354.68"/>
    <x v="3"/>
    <s v="Delivered"/>
    <n v="9900"/>
    <n v="16.94282828282828"/>
    <s v="Profit"/>
    <s v="Ananya Rao"/>
    <x v="0"/>
    <x v="0"/>
    <s v="Hyderabad"/>
    <s v="Telangana"/>
    <s v="2023-07-14"/>
    <s v="51+"/>
    <n v="1677.34"/>
  </r>
  <r>
    <s v="ORD01403"/>
    <d v="2026-03-12T00:00:00"/>
    <s v="CUST0228"/>
    <x v="2"/>
    <x v="2"/>
    <n v="4"/>
    <n v="0.15"/>
    <n v="44200"/>
    <n v="8889.34"/>
    <x v="2"/>
    <s v="Delivered"/>
    <n v="11050"/>
    <n v="20.111628959276018"/>
    <s v="Profit"/>
    <s v="Rohan Reddy"/>
    <x v="2"/>
    <x v="0"/>
    <s v="Coimbatore"/>
    <s v="Tamil Nadu"/>
    <s v="2025-11-28"/>
    <s v="36-50"/>
    <n v="2222.335"/>
  </r>
  <r>
    <s v="ORD01404"/>
    <d v="2026-01-13T00:00:00"/>
    <s v="CUST0420"/>
    <x v="3"/>
    <x v="10"/>
    <n v="2"/>
    <n v="0.2"/>
    <n v="88000"/>
    <n v="7002.79"/>
    <x v="0"/>
    <s v="Shipped"/>
    <n v="44000"/>
    <n v="7.9577159090909104"/>
    <s v="Profit"/>
    <s v="Ishaan Gupta"/>
    <x v="0"/>
    <x v="2"/>
    <s v="Delhi"/>
    <s v="Delhi"/>
    <s v="2024-04-07"/>
    <s v="36-50"/>
    <n v="3501.395"/>
  </r>
  <r>
    <s v="ORD01405"/>
    <d v="2025-11-20T00:00:00"/>
    <s v="CUST0044"/>
    <x v="1"/>
    <x v="15"/>
    <n v="4"/>
    <n v="0.15"/>
    <n v="7480"/>
    <n v="2221.37"/>
    <x v="2"/>
    <s v="Delivered"/>
    <n v="1870"/>
    <n v="29.69745989304813"/>
    <s v="Profit"/>
    <s v="Rahul Rao"/>
    <x v="0"/>
    <x v="1"/>
    <s v="Pune"/>
    <s v="Maharashtra"/>
    <s v="2025-07-18"/>
    <s v="36-50"/>
    <n v="555.34249999999997"/>
  </r>
  <r>
    <s v="ORD01406"/>
    <d v="2025-11-28T00:00:00"/>
    <s v="CUST0405"/>
    <x v="3"/>
    <x v="11"/>
    <n v="4"/>
    <n v="0.2"/>
    <n v="8000"/>
    <n v="1681.44"/>
    <x v="0"/>
    <s v="Delivered"/>
    <n v="2000"/>
    <n v="21.018000000000001"/>
    <s v="Profit"/>
    <s v="Varun Naidu"/>
    <x v="0"/>
    <x v="0"/>
    <s v="Chennai"/>
    <s v="Tamil Nadu"/>
    <s v="2024-05-06"/>
    <s v="26-35"/>
    <n v="420.36"/>
  </r>
  <r>
    <s v="ORD01407"/>
    <d v="2026-05-03T00:00:00"/>
    <s v="CUST0572"/>
    <x v="3"/>
    <x v="10"/>
    <n v="2"/>
    <n v="0"/>
    <n v="110000"/>
    <n v="18000"/>
    <x v="2"/>
    <s v="Delivered"/>
    <n v="55000"/>
    <n v="16.36363636363636"/>
    <s v="Profit"/>
    <s v="Manoj Kulkarni"/>
    <x v="1"/>
    <x v="2"/>
    <s v="Lucknow"/>
    <s v="Uttar Pradesh"/>
    <s v="2024-03-30"/>
    <s v="18-25"/>
    <n v="9000"/>
  </r>
  <r>
    <s v="ORD01408"/>
    <d v="2026-01-19T00:00:00"/>
    <s v="CUST0063"/>
    <x v="3"/>
    <x v="10"/>
    <n v="1"/>
    <n v="0.05"/>
    <n v="52250"/>
    <n v="7537.66"/>
    <x v="3"/>
    <s v="Delivered"/>
    <n v="52250"/>
    <n v="14.426143540669861"/>
    <s v="Profit"/>
    <s v="Kavya Nair"/>
    <x v="0"/>
    <x v="2"/>
    <s v="Jaipur"/>
    <s v="Rajasthan"/>
    <s v="2024-06-25"/>
    <s v="51+"/>
    <n v="7537.66"/>
  </r>
  <r>
    <s v="ORD01409"/>
    <d v="2025-10-30T00:00:00"/>
    <s v="CUST0228"/>
    <x v="3"/>
    <x v="11"/>
    <n v="6"/>
    <n v="0.1"/>
    <n v="13500"/>
    <n v="3565.21"/>
    <x v="0"/>
    <s v="Delivered"/>
    <n v="2250"/>
    <n v="26.40896296296296"/>
    <s v="Profit"/>
    <s v="Rohan Reddy"/>
    <x v="2"/>
    <x v="0"/>
    <s v="Coimbatore"/>
    <s v="Tamil Nadu"/>
    <s v="2025-11-28"/>
    <s v="36-50"/>
    <n v="594.20166666666671"/>
  </r>
  <r>
    <s v="ORD01410"/>
    <d v="2026-05-13T00:00:00"/>
    <s v="CUST0522"/>
    <x v="3"/>
    <x v="11"/>
    <n v="4"/>
    <n v="0.05"/>
    <n v="9500"/>
    <n v="2858.04"/>
    <x v="3"/>
    <s v="Delivered"/>
    <n v="2375"/>
    <n v="30.08463157894737"/>
    <s v="Profit"/>
    <s v="Karthik Joshi"/>
    <x v="2"/>
    <x v="0"/>
    <s v="Bengaluru"/>
    <s v="Karnataka"/>
    <s v="2023-06-28"/>
    <s v="36-50"/>
    <n v="714.51"/>
  </r>
  <r>
    <s v="ORD01411"/>
    <d v="2026-01-02T00:00:00"/>
    <s v="CUST0463"/>
    <x v="2"/>
    <x v="3"/>
    <n v="3"/>
    <n v="0.05"/>
    <n v="42750"/>
    <n v="8950.06"/>
    <x v="0"/>
    <s v="Delivered"/>
    <n v="14250"/>
    <n v="20.93581286549707"/>
    <s v="Profit"/>
    <s v="Shreya Patel"/>
    <x v="0"/>
    <x v="0"/>
    <s v="Coimbatore"/>
    <s v="Tamil Nadu"/>
    <s v="2024-02-20"/>
    <s v="51+"/>
    <n v="2983.353333333333"/>
  </r>
  <r>
    <s v="ORD01412"/>
    <d v="2026-04-25T00:00:00"/>
    <s v="CUST0228"/>
    <x v="0"/>
    <x v="0"/>
    <n v="4"/>
    <n v="0"/>
    <n v="56000"/>
    <n v="-18927.37"/>
    <x v="1"/>
    <s v="Returned"/>
    <n v="14000"/>
    <n v="-33.798875000000002"/>
    <s v="Loss"/>
    <s v="Rohan Reddy"/>
    <x v="2"/>
    <x v="0"/>
    <s v="Coimbatore"/>
    <s v="Tamil Nadu"/>
    <s v="2025-11-28"/>
    <s v="36-50"/>
    <n v="-4731.8424999999997"/>
  </r>
  <r>
    <s v="ORD01413"/>
    <d v="2025-11-17T00:00:00"/>
    <s v="CUST0507"/>
    <x v="2"/>
    <x v="3"/>
    <n v="4"/>
    <n v="0"/>
    <n v="60000"/>
    <n v="14000"/>
    <x v="3"/>
    <s v="Delivered"/>
    <n v="15000"/>
    <n v="23.333333333333329"/>
    <s v="Profit"/>
    <s v="Aarav Naidu"/>
    <x v="0"/>
    <x v="2"/>
    <s v="Jaipur"/>
    <s v="Rajasthan"/>
    <s v="2023-05-03"/>
    <s v="36-50"/>
    <n v="3500"/>
  </r>
  <r>
    <s v="ORD01414"/>
    <d v="2026-02-03T00:00:00"/>
    <s v="CUST0077"/>
    <x v="2"/>
    <x v="9"/>
    <n v="2"/>
    <n v="0.15"/>
    <n v="15300"/>
    <n v="3127.18"/>
    <x v="2"/>
    <s v="Delivered"/>
    <n v="7650"/>
    <n v="20.439084967320259"/>
    <s v="Profit"/>
    <s v="Aarav Patel"/>
    <x v="2"/>
    <x v="3"/>
    <s v="Bhubaneswar"/>
    <s v="Odisha"/>
    <s v="2023-01-09"/>
    <s v="36-50"/>
    <n v="1563.59"/>
  </r>
  <r>
    <s v="ORD01415"/>
    <d v="2025-08-19T00:00:00"/>
    <s v="CUST0293"/>
    <x v="0"/>
    <x v="14"/>
    <n v="4"/>
    <n v="0.1"/>
    <n v="1620"/>
    <n v="347.92"/>
    <x v="2"/>
    <s v="Delivered"/>
    <n v="405"/>
    <n v="21.476543209876549"/>
    <s v="Profit"/>
    <s v="Ishaan Singh"/>
    <x v="2"/>
    <x v="2"/>
    <s v="Delhi"/>
    <s v="Delhi"/>
    <s v="2023-03-09"/>
    <s v="26-35"/>
    <n v="86.98"/>
  </r>
  <r>
    <s v="ORD01416"/>
    <d v="2026-08-03T00:00:00"/>
    <s v="CUST0075"/>
    <x v="3"/>
    <x v="8"/>
    <n v="1"/>
    <n v="0.1"/>
    <n v="4050"/>
    <n v="1183.56"/>
    <x v="0"/>
    <s v="Delivered"/>
    <n v="4050"/>
    <n v="29.223703703703698"/>
    <s v="Profit"/>
    <s v="Karthik Sharma"/>
    <x v="0"/>
    <x v="0"/>
    <s v="Bengaluru"/>
    <s v="Karnataka"/>
    <s v="2025-09-08"/>
    <s v="36-50"/>
    <n v="1183.56"/>
  </r>
  <r>
    <s v="ORD01417"/>
    <d v="2026-08-18T00:00:00"/>
    <s v="CUST0216"/>
    <x v="3"/>
    <x v="8"/>
    <n v="1"/>
    <n v="0"/>
    <n v="4500"/>
    <n v="1500"/>
    <x v="3"/>
    <s v="Delivered"/>
    <n v="4500"/>
    <n v="33.333333333333329"/>
    <s v="Profit"/>
    <s v="Karthik Mishra"/>
    <x v="0"/>
    <x v="0"/>
    <s v="Hyderabad"/>
    <s v="Telangana"/>
    <s v="2024-06-25"/>
    <s v="26-35"/>
    <n v="1500"/>
  </r>
  <r>
    <s v="ORD01418"/>
    <d v="2026-02-13T00:00:00"/>
    <s v="CUST0281"/>
    <x v="0"/>
    <x v="7"/>
    <n v="1"/>
    <n v="0.2"/>
    <n v="720"/>
    <n v="-192.59"/>
    <x v="1"/>
    <s v="Returned"/>
    <n v="720"/>
    <n v="-26.74861111111111"/>
    <s v="Loss"/>
    <s v="Divya Reddy"/>
    <x v="0"/>
    <x v="0"/>
    <s v="Coimbatore"/>
    <s v="Tamil Nadu"/>
    <s v="2025-04-27"/>
    <s v="36-50"/>
    <n v="-192.59"/>
  </r>
  <r>
    <s v="ORD01419"/>
    <d v="2025-09-23T00:00:00"/>
    <s v="CUST0062"/>
    <x v="0"/>
    <x v="7"/>
    <n v="2"/>
    <n v="0.1"/>
    <n v="1620"/>
    <n v="469.97"/>
    <x v="0"/>
    <s v="Delivered"/>
    <n v="810"/>
    <n v="29.010493827160499"/>
    <s v="Profit"/>
    <s v="Harini Pillai"/>
    <x v="1"/>
    <x v="2"/>
    <s v="Jaipur"/>
    <s v="Rajasthan"/>
    <s v="2023-04-01"/>
    <s v="36-50"/>
    <n v="234.98500000000001"/>
  </r>
  <r>
    <s v="ORD01420"/>
    <d v="2026-07-12T00:00:00"/>
    <s v="CUST0151"/>
    <x v="0"/>
    <x v="14"/>
    <n v="2"/>
    <n v="0"/>
    <n v="900"/>
    <n v="220"/>
    <x v="3"/>
    <s v="Delivered"/>
    <n v="450"/>
    <n v="24.444444444444439"/>
    <s v="Profit"/>
    <s v="Akash Nair"/>
    <x v="1"/>
    <x v="3"/>
    <s v="Guwahati"/>
    <s v="Assam"/>
    <s v="2023-03-18"/>
    <s v="36-50"/>
    <n v="110"/>
  </r>
  <r>
    <s v="ORD01421"/>
    <d v="2025-09-18T00:00:00"/>
    <s v="CUST0388"/>
    <x v="0"/>
    <x v="6"/>
    <n v="2"/>
    <n v="0"/>
    <n v="700"/>
    <n v="240"/>
    <x v="2"/>
    <s v="Delivered"/>
    <n v="350"/>
    <n v="34.285714285714278"/>
    <s v="Profit"/>
    <s v="Shreya Kulkarni"/>
    <x v="0"/>
    <x v="0"/>
    <s v="Bengaluru"/>
    <s v="Karnataka"/>
    <s v="2025-08-28"/>
    <s v="36-50"/>
    <n v="120"/>
  </r>
  <r>
    <s v="ORD01422"/>
    <d v="2026-06-30T00:00:00"/>
    <s v="CUST0574"/>
    <x v="2"/>
    <x v="3"/>
    <n v="1"/>
    <n v="0.05"/>
    <n v="14250"/>
    <n v="2949.27"/>
    <x v="3"/>
    <s v="Shipped"/>
    <n v="14250"/>
    <n v="20.696631578947368"/>
    <s v="Profit"/>
    <s v="Akash Kulkarni"/>
    <x v="1"/>
    <x v="1"/>
    <s v="Pune"/>
    <s v="Maharashtra"/>
    <s v="2025-11-01"/>
    <s v="51+"/>
    <n v="2949.27"/>
  </r>
  <r>
    <s v="ORD01423"/>
    <d v="2026-02-06T00:00:00"/>
    <s v="CUST0193"/>
    <x v="3"/>
    <x v="11"/>
    <n v="3"/>
    <n v="0.15"/>
    <n v="6375"/>
    <n v="1460.08"/>
    <x v="2"/>
    <s v="Delivered"/>
    <n v="2125"/>
    <n v="22.90321568627451"/>
    <s v="Profit"/>
    <s v="Ananya Gupta"/>
    <x v="0"/>
    <x v="1"/>
    <s v="Pune"/>
    <s v="Maharashtra"/>
    <s v="2024-05-12"/>
    <s v="36-50"/>
    <n v="486.69333333333333"/>
  </r>
  <r>
    <s v="ORD01424"/>
    <d v="2025-07-08T00:00:00"/>
    <s v="CUST0392"/>
    <x v="0"/>
    <x v="0"/>
    <n v="1"/>
    <n v="0.3"/>
    <n v="9800"/>
    <n v="-5934.13"/>
    <x v="3"/>
    <s v="Returned"/>
    <n v="9800"/>
    <n v="-60.552346938775507"/>
    <s v="Loss"/>
    <s v="Pooja Patel"/>
    <x v="2"/>
    <x v="1"/>
    <s v="Ahmedabad"/>
    <s v="Gujarat"/>
    <s v="2024-11-07"/>
    <s v="36-50"/>
    <n v="-5934.13"/>
  </r>
  <r>
    <s v="ORD01425"/>
    <d v="2025-12-31T00:00:00"/>
    <s v="CUST0443"/>
    <x v="3"/>
    <x v="10"/>
    <n v="5"/>
    <n v="0.1"/>
    <n v="247500"/>
    <n v="-68668.95"/>
    <x v="2"/>
    <s v="Cancelled"/>
    <n v="49500"/>
    <n v="-27.745030303030301"/>
    <s v="Loss"/>
    <s v="Akash Sharma"/>
    <x v="1"/>
    <x v="0"/>
    <s v="Coimbatore"/>
    <s v="Tamil Nadu"/>
    <s v="2023-10-10"/>
    <s v="51+"/>
    <n v="-13733.79"/>
  </r>
  <r>
    <s v="ORD01426"/>
    <d v="2026-04-28T00:00:00"/>
    <s v="CUST0246"/>
    <x v="2"/>
    <x v="9"/>
    <n v="2"/>
    <n v="0"/>
    <n v="18000"/>
    <n v="4600"/>
    <x v="3"/>
    <s v="Delivered"/>
    <n v="9000"/>
    <n v="25.55555555555555"/>
    <s v="Profit"/>
    <s v="Rohan Nair"/>
    <x v="0"/>
    <x v="2"/>
    <s v="Chandigarh"/>
    <s v="Chandigarh"/>
    <s v="2023-05-17"/>
    <s v="18-25"/>
    <n v="2300"/>
  </r>
  <r>
    <s v="ORD01427"/>
    <d v="2026-08-24T00:00:00"/>
    <s v="CUST0098"/>
    <x v="3"/>
    <x v="11"/>
    <n v="1"/>
    <n v="0.2"/>
    <n v="2000"/>
    <n v="499.27"/>
    <x v="2"/>
    <s v="Delivered"/>
    <n v="2000"/>
    <n v="24.9635"/>
    <s v="Profit"/>
    <s v="Diya Reddy"/>
    <x v="2"/>
    <x v="2"/>
    <s v="Chandigarh"/>
    <s v="Chandigarh"/>
    <s v="2024-10-06"/>
    <s v="26-35"/>
    <n v="499.27"/>
  </r>
  <r>
    <s v="ORD01428"/>
    <d v="2025-12-11T00:00:00"/>
    <s v="CUST0289"/>
    <x v="1"/>
    <x v="15"/>
    <n v="2"/>
    <n v="0.05"/>
    <n v="4180"/>
    <n v="-942.15"/>
    <x v="0"/>
    <s v="Cancelled"/>
    <n v="2090"/>
    <n v="-22.539473684210531"/>
    <s v="Loss"/>
    <s v="Rahul Iyer"/>
    <x v="2"/>
    <x v="0"/>
    <s v="Coimbatore"/>
    <s v="Tamil Nadu"/>
    <s v="2023-01-07"/>
    <s v="18-25"/>
    <n v="-471.07499999999999"/>
  </r>
  <r>
    <s v="ORD01429"/>
    <d v="2026-04-27T00:00:00"/>
    <s v="CUST0427"/>
    <x v="2"/>
    <x v="5"/>
    <n v="1"/>
    <n v="0.1"/>
    <n v="9900"/>
    <n v="2023.34"/>
    <x v="0"/>
    <s v="Shipped"/>
    <n v="9900"/>
    <n v="20.437777777777779"/>
    <s v="Profit"/>
    <s v="Nisha Mehta"/>
    <x v="1"/>
    <x v="0"/>
    <s v="Chennai"/>
    <s v="Tamil Nadu"/>
    <s v="2025-08-11"/>
    <s v="51+"/>
    <n v="2023.34"/>
  </r>
  <r>
    <s v="ORD01430"/>
    <d v="2026-03-20T00:00:00"/>
    <s v="CUST0096"/>
    <x v="2"/>
    <x v="9"/>
    <n v="3"/>
    <n v="0.15"/>
    <n v="22950"/>
    <n v="3492.91"/>
    <x v="3"/>
    <s v="Delivered"/>
    <n v="7650"/>
    <n v="15.21965141612201"/>
    <s v="Profit"/>
    <s v="Harini Bose"/>
    <x v="1"/>
    <x v="1"/>
    <s v="Pune"/>
    <s v="Maharashtra"/>
    <s v="2025-01-14"/>
    <s v="51+"/>
    <n v="1164.3033333333331"/>
  </r>
  <r>
    <s v="ORD01431"/>
    <d v="2025-08-30T00:00:00"/>
    <s v="CUST0597"/>
    <x v="2"/>
    <x v="9"/>
    <n v="1"/>
    <n v="0.05"/>
    <n v="8550"/>
    <n v="-674.01"/>
    <x v="1"/>
    <s v="Returned"/>
    <n v="8550"/>
    <n v="-7.8831578947368417"/>
    <s v="Loss"/>
    <s v="Harini Menon"/>
    <x v="1"/>
    <x v="0"/>
    <s v="Hyderabad"/>
    <s v="Telangana"/>
    <s v="2025-05-09"/>
    <s v="51+"/>
    <n v="-674.01"/>
  </r>
  <r>
    <s v="ORD01432"/>
    <d v="2025-11-02T00:00:00"/>
    <s v="CUST0386"/>
    <x v="0"/>
    <x v="7"/>
    <n v="2"/>
    <n v="0"/>
    <n v="1800"/>
    <n v="560"/>
    <x v="2"/>
    <s v="Delivered"/>
    <n v="900"/>
    <n v="31.111111111111111"/>
    <s v="Profit"/>
    <s v="Pooja Kulkarni"/>
    <x v="0"/>
    <x v="0"/>
    <s v="Chennai"/>
    <s v="Tamil Nadu"/>
    <s v="2023-03-27"/>
    <s v="26-35"/>
    <n v="280"/>
  </r>
  <r>
    <s v="ORD01433"/>
    <d v="2026-08-23T00:00:00"/>
    <s v="CUST0110"/>
    <x v="3"/>
    <x v="11"/>
    <n v="10"/>
    <n v="0.05"/>
    <n v="23750"/>
    <n v="7151.93"/>
    <x v="1"/>
    <s v="Delivered"/>
    <n v="2375"/>
    <n v="30.113389473684212"/>
    <s v="Profit"/>
    <s v="Ananya Gupta"/>
    <x v="0"/>
    <x v="3"/>
    <s v="Patna"/>
    <s v="Tamil Nadu"/>
    <s v="2025-06-10"/>
    <s v="26-35"/>
    <n v="715.19299999999998"/>
  </r>
  <r>
    <s v="ORD01434"/>
    <d v="2025-08-06T00:00:00"/>
    <s v="CUST0025"/>
    <x v="1"/>
    <x v="1"/>
    <n v="4"/>
    <n v="0.1"/>
    <n v="6480"/>
    <n v="2264.5100000000002"/>
    <x v="0"/>
    <s v="Delivered"/>
    <n v="1620"/>
    <n v="34.946141975308649"/>
    <s v="Profit"/>
    <s v="Aditya Rao"/>
    <x v="0"/>
    <x v="2"/>
    <s v="Chandigarh"/>
    <s v="Chandigarh"/>
    <s v="2025-12-16"/>
    <s v="26-35"/>
    <n v="566.12750000000005"/>
  </r>
  <r>
    <s v="ORD01435"/>
    <d v="2026-01-11T00:00:00"/>
    <s v="CUST0169"/>
    <x v="3"/>
    <x v="8"/>
    <n v="2"/>
    <n v="0"/>
    <n v="9000"/>
    <n v="3000"/>
    <x v="1"/>
    <s v="Delivered"/>
    <n v="4500"/>
    <n v="33.333333333333329"/>
    <s v="Profit"/>
    <s v="Sneha Bose"/>
    <x v="0"/>
    <x v="0"/>
    <s v="Hyderabad"/>
    <s v="Telangana"/>
    <s v="2024-09-10"/>
    <s v="26-35"/>
    <n v="1500"/>
  </r>
  <r>
    <s v="ORD01436"/>
    <d v="2025-11-29T00:00:00"/>
    <s v="CUST0481"/>
    <x v="0"/>
    <x v="6"/>
    <n v="3"/>
    <n v="0.05"/>
    <n v="997.5"/>
    <n v="330.71"/>
    <x v="1"/>
    <s v="Delivered"/>
    <n v="332.5"/>
    <n v="33.153884711779448"/>
    <s v="Profit"/>
    <s v="Diya Kulkarni"/>
    <x v="1"/>
    <x v="2"/>
    <s v="Lucknow"/>
    <s v="Uttar Pradesh"/>
    <s v="2024-07-28"/>
    <s v="26-35"/>
    <n v="110.23666666666669"/>
  </r>
  <r>
    <s v="ORD01437"/>
    <d v="2026-03-03T00:00:00"/>
    <s v="CUST0162"/>
    <x v="2"/>
    <x v="2"/>
    <n v="2"/>
    <n v="0"/>
    <n v="26000"/>
    <n v="6400"/>
    <x v="3"/>
    <s v="Delivered"/>
    <n v="13000"/>
    <n v="24.61538461538462"/>
    <s v="Profit"/>
    <s v="Lakshmi Bose"/>
    <x v="0"/>
    <x v="0"/>
    <s v="Bengaluru"/>
    <s v="Karnataka"/>
    <s v="2025-06-13"/>
    <s v="26-35"/>
    <n v="3200"/>
  </r>
  <r>
    <s v="ORD01438"/>
    <d v="2026-04-28T00:00:00"/>
    <s v="CUST0548"/>
    <x v="3"/>
    <x v="4"/>
    <n v="3"/>
    <n v="0"/>
    <n v="54000"/>
    <n v="10500"/>
    <x v="1"/>
    <s v="Shipped"/>
    <n v="18000"/>
    <n v="19.44444444444445"/>
    <s v="Profit"/>
    <s v="Diya Mishra"/>
    <x v="1"/>
    <x v="2"/>
    <s v="Chandigarh"/>
    <s v="Chandigarh"/>
    <s v="2023-12-31"/>
    <s v="36-50"/>
    <n v="3500"/>
  </r>
  <r>
    <s v="ORD01439"/>
    <d v="2026-05-27T00:00:00"/>
    <s v="CUST0044"/>
    <x v="2"/>
    <x v="3"/>
    <n v="6"/>
    <n v="0.15"/>
    <n v="76500"/>
    <n v="11838.23"/>
    <x v="2"/>
    <s v="Delivered"/>
    <n v="12750"/>
    <n v="15.474810457516339"/>
    <s v="Profit"/>
    <s v="Rahul Rao"/>
    <x v="0"/>
    <x v="1"/>
    <s v="Pune"/>
    <s v="Maharashtra"/>
    <s v="2025-07-18"/>
    <s v="36-50"/>
    <n v="1973.038333333333"/>
  </r>
  <r>
    <s v="ORD01440"/>
    <d v="2026-04-01T00:00:00"/>
    <s v="CUST0435"/>
    <x v="3"/>
    <x v="10"/>
    <n v="5"/>
    <n v="0.2"/>
    <n v="220000"/>
    <n v="12601.32"/>
    <x v="2"/>
    <s v="Delivered"/>
    <n v="44000"/>
    <n v="5.727872727272727"/>
    <s v="Profit"/>
    <s v="Lakshmi Menon"/>
    <x v="0"/>
    <x v="0"/>
    <s v="Chennai"/>
    <s v="Tamil Nadu"/>
    <s v="2025-04-17"/>
    <s v="26-35"/>
    <n v="2520.2640000000001"/>
  </r>
  <r>
    <s v="ORD01441"/>
    <d v="2026-01-15T00:00:00"/>
    <s v="CUST0529"/>
    <x v="3"/>
    <x v="10"/>
    <n v="2"/>
    <n v="0.15"/>
    <n v="93500"/>
    <n v="9194.5"/>
    <x v="2"/>
    <s v="Shipped"/>
    <n v="46750"/>
    <n v="9.8336898395721928"/>
    <s v="Profit"/>
    <s v="Ananya Rao"/>
    <x v="1"/>
    <x v="1"/>
    <s v="Surat"/>
    <s v="Gujarat"/>
    <s v="2023-10-24"/>
    <s v="18-25"/>
    <n v="4597.25"/>
  </r>
  <r>
    <s v="ORD01442"/>
    <d v="2026-02-06T00:00:00"/>
    <s v="CUST0553"/>
    <x v="0"/>
    <x v="7"/>
    <n v="4"/>
    <n v="0.15"/>
    <n v="3060"/>
    <n v="-925.04"/>
    <x v="1"/>
    <s v="Returned"/>
    <n v="765"/>
    <n v="-30.23006535947712"/>
    <s v="Loss"/>
    <s v="Diya Mishra"/>
    <x v="2"/>
    <x v="0"/>
    <s v="Coimbatore"/>
    <s v="Tamil Nadu"/>
    <s v="2025-01-24"/>
    <s v="36-50"/>
    <n v="-231.26"/>
  </r>
  <r>
    <s v="ORD01443"/>
    <d v="2026-06-18T00:00:00"/>
    <s v="CUST0561"/>
    <x v="3"/>
    <x v="11"/>
    <n v="3"/>
    <n v="0"/>
    <n v="7500"/>
    <n v="2400"/>
    <x v="1"/>
    <s v="Delivered"/>
    <n v="2500"/>
    <n v="32"/>
    <s v="Profit"/>
    <s v="Harini Joshi"/>
    <x v="1"/>
    <x v="0"/>
    <s v="Coimbatore"/>
    <s v="Tamil Nadu"/>
    <s v="2023-09-10"/>
    <s v="26-35"/>
    <n v="800"/>
  </r>
  <r>
    <s v="ORD01444"/>
    <d v="2025-12-03T00:00:00"/>
    <s v="CUST0597"/>
    <x v="0"/>
    <x v="6"/>
    <n v="5"/>
    <n v="0.05"/>
    <n v="1662.5"/>
    <n v="541.1"/>
    <x v="3"/>
    <s v="Delivered"/>
    <n v="332.5"/>
    <n v="32.547368421052632"/>
    <s v="Profit"/>
    <s v="Harini Menon"/>
    <x v="1"/>
    <x v="0"/>
    <s v="Hyderabad"/>
    <s v="Telangana"/>
    <s v="2025-05-09"/>
    <s v="51+"/>
    <n v="108.22"/>
  </r>
  <r>
    <s v="ORD01445"/>
    <d v="2026-01-04T00:00:00"/>
    <s v="CUST0255"/>
    <x v="3"/>
    <x v="8"/>
    <n v="2"/>
    <n v="0.1"/>
    <n v="8100"/>
    <n v="2281.88"/>
    <x v="1"/>
    <s v="Shipped"/>
    <n v="4050"/>
    <n v="28.171358024691362"/>
    <s v="Profit"/>
    <s v="Aarav Menon"/>
    <x v="2"/>
    <x v="2"/>
    <s v="Delhi"/>
    <s v="Delhi"/>
    <s v="2025-10-02"/>
    <s v="36-50"/>
    <n v="1140.94"/>
  </r>
  <r>
    <s v="ORD01446"/>
    <d v="2026-01-30T00:00:00"/>
    <s v="CUST0083"/>
    <x v="1"/>
    <x v="15"/>
    <n v="3"/>
    <n v="0.05"/>
    <n v="6270"/>
    <n v="2097.6799999999998"/>
    <x v="2"/>
    <s v="Delivered"/>
    <n v="2090"/>
    <n v="33.455821371610853"/>
    <s v="Profit"/>
    <s v="Nisha Singh"/>
    <x v="0"/>
    <x v="0"/>
    <s v="Bengaluru"/>
    <s v="Karnataka"/>
    <s v="2024-07-24"/>
    <s v="26-35"/>
    <n v="699.22666666666657"/>
  </r>
  <r>
    <s v="ORD01447"/>
    <d v="2025-09-02T00:00:00"/>
    <s v="CUST0521"/>
    <x v="0"/>
    <x v="14"/>
    <n v="1"/>
    <n v="0.1"/>
    <n v="405"/>
    <n v="77.209999999999994"/>
    <x v="1"/>
    <s v="Delivered"/>
    <n v="405"/>
    <n v="19.064197530864199"/>
    <s v="Profit"/>
    <s v="Priya Singh"/>
    <x v="0"/>
    <x v="0"/>
    <s v="Bengaluru"/>
    <s v="Karnataka"/>
    <s v="2025-11-16"/>
    <s v="51+"/>
    <n v="77.209999999999994"/>
  </r>
  <r>
    <s v="ORD01448"/>
    <d v="2026-03-31T00:00:00"/>
    <s v="CUST0362"/>
    <x v="0"/>
    <x v="0"/>
    <n v="3"/>
    <n v="0.1"/>
    <n v="37800"/>
    <n v="5817.06"/>
    <x v="0"/>
    <s v="Delivered"/>
    <n v="12600"/>
    <n v="15.38904761904762"/>
    <s v="Profit"/>
    <s v="Karthik Joshi"/>
    <x v="0"/>
    <x v="0"/>
    <s v="Coimbatore"/>
    <s v="Tamil Nadu"/>
    <s v="2025-09-08"/>
    <s v="26-35"/>
    <n v="1939.02"/>
  </r>
  <r>
    <s v="ORD01449"/>
    <d v="2025-10-08T00:00:00"/>
    <s v="CUST0307"/>
    <x v="3"/>
    <x v="4"/>
    <n v="4"/>
    <n v="0"/>
    <n v="72000"/>
    <n v="-6463.47"/>
    <x v="3"/>
    <s v="Returned"/>
    <n v="18000"/>
    <n v="-8.9770416666666666"/>
    <s v="Loss"/>
    <s v="Diya Mishra"/>
    <x v="1"/>
    <x v="0"/>
    <s v="Coimbatore"/>
    <s v="Tamil Nadu"/>
    <s v="2024-12-29"/>
    <s v="26-35"/>
    <n v="-1615.8675000000001"/>
  </r>
  <r>
    <s v="ORD01450"/>
    <d v="2025-10-22T00:00:00"/>
    <s v="CUST0142"/>
    <x v="2"/>
    <x v="5"/>
    <n v="1"/>
    <n v="0.15"/>
    <n v="9350"/>
    <n v="1687.46"/>
    <x v="2"/>
    <s v="Delivered"/>
    <n v="9350"/>
    <n v="18.047700534759361"/>
    <s v="Profit"/>
    <s v="Pooja Bose"/>
    <x v="0"/>
    <x v="1"/>
    <s v="Surat"/>
    <s v="Gujarat"/>
    <s v="2025-05-21"/>
    <s v="51+"/>
    <n v="1687.46"/>
  </r>
  <r>
    <s v="ORD01451"/>
    <d v="2025-08-03T00:00:00"/>
    <s v="CUST0318"/>
    <x v="3"/>
    <x v="11"/>
    <n v="3"/>
    <n v="0.1"/>
    <n v="6750"/>
    <n v="1994.37"/>
    <x v="2"/>
    <s v="Delivered"/>
    <n v="2250"/>
    <n v="29.54622222222222"/>
    <s v="Profit"/>
    <s v="Kavya Menon"/>
    <x v="1"/>
    <x v="2"/>
    <s v="Lucknow"/>
    <s v="Uttar Pradesh"/>
    <s v="2023-08-09"/>
    <s v="18-25"/>
    <n v="664.79"/>
  </r>
  <r>
    <s v="ORD01452"/>
    <d v="2026-02-11T00:00:00"/>
    <s v="CUST0590"/>
    <x v="3"/>
    <x v="8"/>
    <n v="5"/>
    <n v="0.15"/>
    <n v="19125"/>
    <n v="5734.51"/>
    <x v="3"/>
    <s v="Delivered"/>
    <n v="3825"/>
    <n v="29.984366013071899"/>
    <s v="Profit"/>
    <s v="Aarav Bose"/>
    <x v="0"/>
    <x v="1"/>
    <s v="Pune"/>
    <s v="Maharashtra"/>
    <s v="2025-08-22"/>
    <s v="36-50"/>
    <n v="1146.902"/>
  </r>
  <r>
    <s v="ORD01453"/>
    <d v="2026-08-01T00:00:00"/>
    <s v="CUST0431"/>
    <x v="2"/>
    <x v="2"/>
    <n v="6"/>
    <n v="0.2"/>
    <n v="62400"/>
    <n v="10241.11"/>
    <x v="0"/>
    <s v="Delivered"/>
    <n v="10400"/>
    <n v="16.41203525641026"/>
    <s v="Profit"/>
    <s v="Manoj Naidu"/>
    <x v="1"/>
    <x v="0"/>
    <s v="Bengaluru"/>
    <s v="Karnataka"/>
    <s v="2023-01-16"/>
    <s v="36-50"/>
    <n v="1706.8516666666669"/>
  </r>
  <r>
    <s v="ORD01454"/>
    <d v="2025-11-20T00:00:00"/>
    <s v="CUST0075"/>
    <x v="0"/>
    <x v="14"/>
    <n v="2"/>
    <n v="0"/>
    <n v="900"/>
    <n v="-190.79"/>
    <x v="3"/>
    <s v="Cancelled"/>
    <n v="450"/>
    <n v="-21.198888888888892"/>
    <s v="Loss"/>
    <s v="Karthik Sharma"/>
    <x v="0"/>
    <x v="0"/>
    <s v="Bengaluru"/>
    <s v="Karnataka"/>
    <s v="2025-09-08"/>
    <s v="36-50"/>
    <n v="-95.394999999999996"/>
  </r>
  <r>
    <s v="ORD01455"/>
    <d v="2025-10-28T00:00:00"/>
    <s v="CUST0504"/>
    <x v="0"/>
    <x v="14"/>
    <n v="1"/>
    <n v="0.05"/>
    <n v="427.5"/>
    <n v="99.54"/>
    <x v="2"/>
    <s v="Delivered"/>
    <n v="427.5"/>
    <n v="23.284210526315789"/>
    <s v="Profit"/>
    <s v="Karthik Khan"/>
    <x v="2"/>
    <x v="1"/>
    <s v="Pune"/>
    <s v="Maharashtra"/>
    <s v="2024-10-02"/>
    <s v="36-50"/>
    <n v="99.54"/>
  </r>
  <r>
    <s v="ORD01456"/>
    <d v="2026-07-20T00:00:00"/>
    <s v="CUST0073"/>
    <x v="3"/>
    <x v="10"/>
    <n v="2"/>
    <n v="0.1"/>
    <n v="99000"/>
    <n v="12526.28"/>
    <x v="1"/>
    <s v="Delivered"/>
    <n v="49500"/>
    <n v="12.652808080808081"/>
    <s v="Profit"/>
    <s v="Kavya Pillai"/>
    <x v="0"/>
    <x v="0"/>
    <s v="Hyderabad"/>
    <s v="Telangana"/>
    <s v="2023-04-01"/>
    <s v="26-35"/>
    <n v="6263.14"/>
  </r>
  <r>
    <s v="ORD01457"/>
    <d v="2026-08-01T00:00:00"/>
    <s v="CUST0246"/>
    <x v="1"/>
    <x v="1"/>
    <n v="3"/>
    <n v="0.05"/>
    <n v="5130"/>
    <n v="1821.83"/>
    <x v="3"/>
    <s v="Delivered"/>
    <n v="1710"/>
    <n v="35.513255360623781"/>
    <s v="Profit"/>
    <s v="Rohan Nair"/>
    <x v="0"/>
    <x v="2"/>
    <s v="Chandigarh"/>
    <s v="Chandigarh"/>
    <s v="2023-05-17"/>
    <s v="18-25"/>
    <n v="607.27666666666664"/>
  </r>
  <r>
    <s v="ORD01458"/>
    <d v="2026-07-09T00:00:00"/>
    <s v="CUST0386"/>
    <x v="1"/>
    <x v="1"/>
    <n v="3"/>
    <n v="0.05"/>
    <n v="5130"/>
    <n v="1771.81"/>
    <x v="3"/>
    <s v="Delivered"/>
    <n v="1710"/>
    <n v="34.53820662768031"/>
    <s v="Profit"/>
    <s v="Pooja Kulkarni"/>
    <x v="0"/>
    <x v="0"/>
    <s v="Chennai"/>
    <s v="Tamil Nadu"/>
    <s v="2023-03-27"/>
    <s v="26-35"/>
    <n v="590.60333333333335"/>
  </r>
  <r>
    <s v="ORD01459"/>
    <d v="2026-06-18T00:00:00"/>
    <s v="CUST0004"/>
    <x v="2"/>
    <x v="9"/>
    <n v="2"/>
    <n v="0"/>
    <n v="18000"/>
    <n v="4600"/>
    <x v="3"/>
    <s v="Delivered"/>
    <n v="9000"/>
    <n v="25.55555555555555"/>
    <s v="Profit"/>
    <s v="Vikram Kulkarni"/>
    <x v="0"/>
    <x v="1"/>
    <s v="Pune"/>
    <s v="Maharashtra"/>
    <s v="2023-09-22"/>
    <s v="18-25"/>
    <n v="2300"/>
  </r>
  <r>
    <s v="ORD01460"/>
    <d v="2026-06-17T00:00:00"/>
    <s v="CUST0103"/>
    <x v="3"/>
    <x v="4"/>
    <n v="3"/>
    <n v="0.15"/>
    <n v="45900"/>
    <n v="4929.57"/>
    <x v="3"/>
    <s v="Delivered"/>
    <n v="15300"/>
    <n v="10.73980392156863"/>
    <s v="Profit"/>
    <s v="Rohan Rao"/>
    <x v="0"/>
    <x v="0"/>
    <s v="Bengaluru"/>
    <s v="Karnataka"/>
    <s v="2023-11-09"/>
    <s v="36-50"/>
    <n v="1643.19"/>
  </r>
  <r>
    <s v="ORD01461"/>
    <d v="2025-08-27T00:00:00"/>
    <s v="CUST0599"/>
    <x v="2"/>
    <x v="3"/>
    <n v="2"/>
    <n v="0.05"/>
    <n v="28500"/>
    <n v="6090.47"/>
    <x v="2"/>
    <s v="Delivered"/>
    <n v="14250"/>
    <n v="21.370070175438599"/>
    <s v="Profit"/>
    <s v="Rahul Das"/>
    <x v="1"/>
    <x v="0"/>
    <s v="Coimbatore"/>
    <s v="Tamil Nadu"/>
    <s v="2024-01-12"/>
    <s v="26-35"/>
    <n v="3045.2350000000001"/>
  </r>
  <r>
    <s v="ORD01462"/>
    <d v="2025-08-31T00:00:00"/>
    <s v="CUST0109"/>
    <x v="1"/>
    <x v="15"/>
    <n v="3"/>
    <n v="0.05"/>
    <n v="6270"/>
    <n v="2075.83"/>
    <x v="1"/>
    <s v="Delivered"/>
    <n v="2090"/>
    <n v="33.107336523125987"/>
    <s v="Profit"/>
    <s v="Lakshmi Gupta"/>
    <x v="1"/>
    <x v="1"/>
    <s v="Surat"/>
    <s v="Gujarat"/>
    <s v="2023-01-04"/>
    <s v="26-35"/>
    <n v="691.94333333333327"/>
  </r>
  <r>
    <s v="ORD01463"/>
    <d v="2025-10-17T00:00:00"/>
    <s v="CUST0334"/>
    <x v="0"/>
    <x v="14"/>
    <n v="1"/>
    <n v="0.1"/>
    <n v="405"/>
    <n v="82.2"/>
    <x v="3"/>
    <s v="Delivered"/>
    <n v="405"/>
    <n v="20.296296296296291"/>
    <s v="Profit"/>
    <s v="Rahul Joshi"/>
    <x v="1"/>
    <x v="0"/>
    <s v="Hyderabad"/>
    <s v="Telangana"/>
    <s v="2024-05-26"/>
    <s v="26-35"/>
    <n v="82.2"/>
  </r>
  <r>
    <s v="ORD01464"/>
    <d v="2026-01-19T00:00:00"/>
    <s v="CUST0238"/>
    <x v="3"/>
    <x v="4"/>
    <n v="2"/>
    <n v="0.1"/>
    <n v="32400"/>
    <n v="5228.7"/>
    <x v="3"/>
    <s v="Delivered"/>
    <n v="16200"/>
    <n v="16.137962962962959"/>
    <s v="Profit"/>
    <s v="Vikram Sharma"/>
    <x v="2"/>
    <x v="0"/>
    <s v="Bengaluru"/>
    <s v="Karnataka"/>
    <s v="2025-03-30"/>
    <s v="26-35"/>
    <n v="2614.35"/>
  </r>
  <r>
    <s v="ORD01465"/>
    <d v="2025-07-16T00:00:00"/>
    <s v="CUST0597"/>
    <x v="1"/>
    <x v="1"/>
    <n v="2"/>
    <n v="0"/>
    <n v="3600"/>
    <n v="1300"/>
    <x v="3"/>
    <s v="Delivered"/>
    <n v="1800"/>
    <n v="36.111111111111107"/>
    <s v="Profit"/>
    <s v="Harini Menon"/>
    <x v="1"/>
    <x v="0"/>
    <s v="Hyderabad"/>
    <s v="Telangana"/>
    <s v="2025-05-09"/>
    <s v="51+"/>
    <n v="650"/>
  </r>
  <r>
    <s v="ORD01466"/>
    <d v="2026-07-21T00:00:00"/>
    <s v="CUST0007"/>
    <x v="3"/>
    <x v="10"/>
    <n v="3"/>
    <n v="0.1"/>
    <n v="148500"/>
    <n v="19308.48"/>
    <x v="3"/>
    <s v="Delivered"/>
    <n v="49500"/>
    <n v="13.00234343434343"/>
    <s v="Profit"/>
    <s v="Harini Khan"/>
    <x v="0"/>
    <x v="0"/>
    <s v="Bengaluru"/>
    <s v="Karnataka"/>
    <s v="2025-07-02"/>
    <s v="36-50"/>
    <n v="6436.16"/>
  </r>
  <r>
    <s v="ORD01467"/>
    <d v="2025-07-23T00:00:00"/>
    <s v="CUST0529"/>
    <x v="2"/>
    <x v="9"/>
    <n v="5"/>
    <n v="0.05"/>
    <n v="42750"/>
    <n v="10086.19"/>
    <x v="2"/>
    <s v="Delivered"/>
    <n v="8550"/>
    <n v="23.593426900584799"/>
    <s v="Profit"/>
    <s v="Ananya Rao"/>
    <x v="1"/>
    <x v="1"/>
    <s v="Surat"/>
    <s v="Gujarat"/>
    <s v="2023-10-24"/>
    <s v="18-25"/>
    <n v="2017.2380000000001"/>
  </r>
  <r>
    <s v="ORD01468"/>
    <d v="2026-02-07T00:00:00"/>
    <s v="CUST0463"/>
    <x v="0"/>
    <x v="14"/>
    <n v="2"/>
    <n v="0"/>
    <n v="900"/>
    <n v="220"/>
    <x v="0"/>
    <s v="Delivered"/>
    <n v="450"/>
    <n v="24.444444444444439"/>
    <s v="Profit"/>
    <s v="Shreya Patel"/>
    <x v="0"/>
    <x v="0"/>
    <s v="Coimbatore"/>
    <s v="Tamil Nadu"/>
    <s v="2024-02-20"/>
    <s v="51+"/>
    <n v="110"/>
  </r>
  <r>
    <s v="ORD01469"/>
    <d v="2025-09-24T00:00:00"/>
    <s v="CUST0299"/>
    <x v="2"/>
    <x v="2"/>
    <n v="2"/>
    <n v="0"/>
    <n v="26000"/>
    <n v="6400"/>
    <x v="0"/>
    <s v="Delivered"/>
    <n v="13000"/>
    <n v="24.61538461538462"/>
    <s v="Profit"/>
    <s v="Diya Das"/>
    <x v="0"/>
    <x v="1"/>
    <s v="Ahmedabad"/>
    <s v="Gujarat"/>
    <s v="2023-09-07"/>
    <s v="36-50"/>
    <n v="3200"/>
  </r>
  <r>
    <s v="ORD01470"/>
    <d v="2025-08-30T00:00:00"/>
    <s v="CUST0311"/>
    <x v="2"/>
    <x v="2"/>
    <n v="4"/>
    <n v="0.15"/>
    <n v="44200"/>
    <n v="9064.4699999999993"/>
    <x v="0"/>
    <s v="Delivered"/>
    <n v="11050"/>
    <n v="20.507850678733028"/>
    <s v="Profit"/>
    <s v="Sneha Verma"/>
    <x v="2"/>
    <x v="1"/>
    <s v="Surat"/>
    <s v="Gujarat"/>
    <s v="2025-03-27"/>
    <s v="18-25"/>
    <n v="2266.1174999999998"/>
  </r>
  <r>
    <s v="ORD01471"/>
    <d v="2026-05-23T00:00:00"/>
    <s v="CUST0255"/>
    <x v="1"/>
    <x v="12"/>
    <n v="1"/>
    <n v="0.1"/>
    <n v="1260"/>
    <n v="409.71"/>
    <x v="2"/>
    <s v="Delivered"/>
    <n v="1260"/>
    <n v="32.516666666666673"/>
    <s v="Profit"/>
    <s v="Aarav Menon"/>
    <x v="2"/>
    <x v="2"/>
    <s v="Delhi"/>
    <s v="Delhi"/>
    <s v="2025-10-02"/>
    <s v="36-50"/>
    <n v="409.71"/>
  </r>
  <r>
    <s v="ORD01472"/>
    <d v="2025-07-05T00:00:00"/>
    <s v="CUST0182"/>
    <x v="1"/>
    <x v="12"/>
    <n v="2"/>
    <n v="0"/>
    <n v="2800"/>
    <n v="1000"/>
    <x v="3"/>
    <s v="Delivered"/>
    <n v="1400"/>
    <n v="35.714285714285722"/>
    <s v="Profit"/>
    <s v="Shreya Iyer"/>
    <x v="2"/>
    <x v="3"/>
    <s v="Patna"/>
    <s v="Bihar"/>
    <s v="2023-07-03"/>
    <s v="36-50"/>
    <n v="500"/>
  </r>
  <r>
    <s v="ORD01473"/>
    <d v="2025-10-08T00:00:00"/>
    <s v="CUST0458"/>
    <x v="3"/>
    <x v="4"/>
    <n v="3"/>
    <n v="0.1"/>
    <n v="48600"/>
    <n v="-21160.400000000001"/>
    <x v="1"/>
    <s v="Returned"/>
    <n v="16200"/>
    <n v="-43.53991769547325"/>
    <s v="Loss"/>
    <s v="Diya Nair"/>
    <x v="0"/>
    <x v="2"/>
    <s v="Lucknow"/>
    <s v="Uttar Pradesh"/>
    <s v="2024-12-31"/>
    <s v="26-35"/>
    <n v="-7053.4666666666672"/>
  </r>
  <r>
    <s v="ORD01474"/>
    <d v="2025-09-17T00:00:00"/>
    <s v="CUST0081"/>
    <x v="3"/>
    <x v="8"/>
    <n v="2"/>
    <n v="0.05"/>
    <n v="8550"/>
    <n v="-3916.88"/>
    <x v="2"/>
    <s v="Returned"/>
    <n v="4275"/>
    <n v="-45.811461988304103"/>
    <s v="Loss"/>
    <s v="Ananya Rao"/>
    <x v="2"/>
    <x v="0"/>
    <s v="Chennai"/>
    <s v="Tamil Nadu"/>
    <s v="2023-10-09"/>
    <s v="36-50"/>
    <n v="-1958.44"/>
  </r>
  <r>
    <s v="ORD01475"/>
    <d v="2025-11-30T00:00:00"/>
    <s v="CUST0060"/>
    <x v="3"/>
    <x v="8"/>
    <n v="1"/>
    <n v="0.15"/>
    <n v="3825"/>
    <n v="-1752.9"/>
    <x v="0"/>
    <s v="Returned"/>
    <n v="3825"/>
    <n v="-45.827450980392157"/>
    <s v="Loss"/>
    <s v="Akash Mehta"/>
    <x v="0"/>
    <x v="3"/>
    <s v="Patna"/>
    <s v="Bihar"/>
    <s v="2025-01-15"/>
    <s v="36-50"/>
    <n v="-1752.9"/>
  </r>
  <r>
    <s v="ORD01476"/>
    <d v="2026-07-21T00:00:00"/>
    <s v="CUST0494"/>
    <x v="3"/>
    <x v="8"/>
    <n v="3"/>
    <n v="0.1"/>
    <n v="12150"/>
    <n v="3725.98"/>
    <x v="0"/>
    <s v="Delivered"/>
    <n v="4050"/>
    <n v="30.666502057613169"/>
    <s v="Profit"/>
    <s v="Varun Nair"/>
    <x v="0"/>
    <x v="1"/>
    <s v="Ahmedabad"/>
    <s v="Gujarat"/>
    <s v="2024-06-07"/>
    <s v="18-25"/>
    <n v="1241.9933333333331"/>
  </r>
  <r>
    <s v="ORD01477"/>
    <d v="2026-01-19T00:00:00"/>
    <s v="CUST0258"/>
    <x v="3"/>
    <x v="8"/>
    <n v="1"/>
    <n v="0.1"/>
    <n v="4050"/>
    <n v="1188.68"/>
    <x v="3"/>
    <s v="Delivered"/>
    <n v="4050"/>
    <n v="29.350123456790119"/>
    <s v="Profit"/>
    <s v="Priya Naidu"/>
    <x v="0"/>
    <x v="0"/>
    <s v="Bengaluru"/>
    <s v="Karnataka"/>
    <s v="2023-07-05"/>
    <s v="26-35"/>
    <n v="1188.68"/>
  </r>
  <r>
    <s v="ORD01478"/>
    <d v="2026-04-06T00:00:00"/>
    <s v="CUST0553"/>
    <x v="3"/>
    <x v="4"/>
    <n v="1"/>
    <n v="0.15"/>
    <n v="15300"/>
    <n v="1684.64"/>
    <x v="1"/>
    <s v="Delivered"/>
    <n v="15300"/>
    <n v="11.01071895424837"/>
    <s v="Profit"/>
    <s v="Diya Mishra"/>
    <x v="2"/>
    <x v="0"/>
    <s v="Coimbatore"/>
    <s v="Tamil Nadu"/>
    <s v="2025-01-24"/>
    <s v="36-50"/>
    <n v="1684.64"/>
  </r>
  <r>
    <s v="ORD01479"/>
    <d v="2026-02-06T00:00:00"/>
    <s v="CUST0334"/>
    <x v="3"/>
    <x v="4"/>
    <n v="1"/>
    <n v="0"/>
    <n v="18000"/>
    <n v="3500"/>
    <x v="0"/>
    <s v="Delivered"/>
    <n v="18000"/>
    <n v="19.44444444444445"/>
    <s v="Profit"/>
    <s v="Rahul Joshi"/>
    <x v="1"/>
    <x v="0"/>
    <s v="Hyderabad"/>
    <s v="Telangana"/>
    <s v="2024-05-26"/>
    <s v="26-35"/>
    <n v="3500"/>
  </r>
  <r>
    <s v="ORD01480"/>
    <d v="2026-07-11T00:00:00"/>
    <s v="CUST0538"/>
    <x v="0"/>
    <x v="14"/>
    <n v="2"/>
    <n v="0.1"/>
    <n v="810"/>
    <n v="175.04"/>
    <x v="0"/>
    <s v="Delivered"/>
    <n v="405"/>
    <n v="21.609876543209879"/>
    <s v="Profit"/>
    <s v="Sanjay Chopra"/>
    <x v="1"/>
    <x v="0"/>
    <s v="Coimbatore"/>
    <s v="Tamil Nadu"/>
    <s v="2024-01-09"/>
    <s v="36-50"/>
    <n v="87.52"/>
  </r>
  <r>
    <s v="ORD01481"/>
    <d v="2026-06-04T00:00:00"/>
    <s v="CUST0249"/>
    <x v="1"/>
    <x v="13"/>
    <n v="5"/>
    <n v="0.1"/>
    <n v="18900"/>
    <n v="4933.05"/>
    <x v="0"/>
    <s v="Delivered"/>
    <n v="3780"/>
    <n v="26.100793650793651"/>
    <s v="Profit"/>
    <s v="Aditya Patel"/>
    <x v="0"/>
    <x v="3"/>
    <s v="Kolkata"/>
    <s v="West Bengal"/>
    <s v="2025-03-11"/>
    <s v="36-50"/>
    <n v="986.61"/>
  </r>
  <r>
    <s v="ORD01482"/>
    <d v="2025-10-04T00:00:00"/>
    <s v="CUST0594"/>
    <x v="2"/>
    <x v="3"/>
    <n v="2"/>
    <n v="0.1"/>
    <n v="27000"/>
    <n v="4732.49"/>
    <x v="2"/>
    <s v="Delivered"/>
    <n v="13500"/>
    <n v="17.52774074074074"/>
    <s v="Profit"/>
    <s v="Ishaan Bose"/>
    <x v="1"/>
    <x v="0"/>
    <s v="Coimbatore"/>
    <s v="Tamil Nadu"/>
    <s v="2024-06-29"/>
    <s v="51+"/>
    <n v="2366.2449999999999"/>
  </r>
  <r>
    <s v="ORD01483"/>
    <d v="2025-11-10T00:00:00"/>
    <s v="CUST0441"/>
    <x v="3"/>
    <x v="4"/>
    <n v="4"/>
    <n v="0.2"/>
    <n v="57600"/>
    <n v="7413.57"/>
    <x v="2"/>
    <s v="Delivered"/>
    <n v="14400"/>
    <n v="12.87078125"/>
    <s v="Profit"/>
    <s v="Arjun Joshi"/>
    <x v="0"/>
    <x v="0"/>
    <s v="Bengaluru"/>
    <s v="Karnataka"/>
    <s v="2024-05-10"/>
    <s v="18-25"/>
    <n v="1853.3924999999999"/>
  </r>
  <r>
    <s v="ORD01484"/>
    <d v="2025-08-12T00:00:00"/>
    <s v="CUST0561"/>
    <x v="2"/>
    <x v="3"/>
    <n v="4"/>
    <n v="0.15"/>
    <n v="51000"/>
    <n v="9474.15"/>
    <x v="3"/>
    <s v="Delivered"/>
    <n v="12750"/>
    <n v="18.576764705882351"/>
    <s v="Profit"/>
    <s v="Harini Joshi"/>
    <x v="1"/>
    <x v="0"/>
    <s v="Coimbatore"/>
    <s v="Tamil Nadu"/>
    <s v="2023-09-10"/>
    <s v="26-35"/>
    <n v="2368.5374999999999"/>
  </r>
  <r>
    <s v="ORD01485"/>
    <d v="2026-06-03T00:00:00"/>
    <s v="CUST0258"/>
    <x v="0"/>
    <x v="6"/>
    <n v="6"/>
    <n v="0.3"/>
    <n v="1470"/>
    <n v="-264.18"/>
    <x v="2"/>
    <s v="Cancelled"/>
    <n v="245"/>
    <n v="-17.971428571428572"/>
    <s v="Loss"/>
    <s v="Priya Naidu"/>
    <x v="0"/>
    <x v="0"/>
    <s v="Bengaluru"/>
    <s v="Karnataka"/>
    <s v="2023-07-05"/>
    <s v="26-35"/>
    <n v="-44.03"/>
  </r>
  <r>
    <s v="ORD01486"/>
    <d v="2026-06-14T00:00:00"/>
    <s v="CUST0301"/>
    <x v="3"/>
    <x v="10"/>
    <n v="2"/>
    <n v="0.05"/>
    <n v="104500"/>
    <n v="15247.95"/>
    <x v="2"/>
    <s v="Delivered"/>
    <n v="52250"/>
    <n v="14.591339712918661"/>
    <s v="Profit"/>
    <s v="Pooja Bose"/>
    <x v="0"/>
    <x v="0"/>
    <s v="Bengaluru"/>
    <s v="Karnataka"/>
    <s v="2025-11-12"/>
    <s v="26-35"/>
    <n v="7623.9750000000004"/>
  </r>
  <r>
    <s v="ORD01487"/>
    <d v="2026-07-13T00:00:00"/>
    <s v="CUST0599"/>
    <x v="2"/>
    <x v="9"/>
    <n v="3"/>
    <n v="0.1"/>
    <n v="24300"/>
    <n v="4833.97"/>
    <x v="3"/>
    <s v="Delivered"/>
    <n v="8100"/>
    <n v="19.892880658436219"/>
    <s v="Profit"/>
    <s v="Rahul Das"/>
    <x v="1"/>
    <x v="0"/>
    <s v="Coimbatore"/>
    <s v="Tamil Nadu"/>
    <s v="2024-01-12"/>
    <s v="26-35"/>
    <n v="1611.323333333333"/>
  </r>
  <r>
    <s v="ORD01488"/>
    <d v="2025-11-18T00:00:00"/>
    <s v="CUST0063"/>
    <x v="2"/>
    <x v="9"/>
    <n v="3"/>
    <n v="0.2"/>
    <n v="21600"/>
    <n v="-9560.0400000000009"/>
    <x v="2"/>
    <s v="Cancelled"/>
    <n v="7200"/>
    <n v="-44.259444444444448"/>
    <s v="Loss"/>
    <s v="Kavya Nair"/>
    <x v="0"/>
    <x v="2"/>
    <s v="Jaipur"/>
    <s v="Rajasthan"/>
    <s v="2024-06-25"/>
    <s v="51+"/>
    <n v="-3186.68"/>
  </r>
  <r>
    <s v="ORD01489"/>
    <d v="2026-03-23T00:00:00"/>
    <s v="CUST0376"/>
    <x v="3"/>
    <x v="11"/>
    <n v="1"/>
    <n v="0.1"/>
    <n v="2250"/>
    <n v="-792.37"/>
    <x v="0"/>
    <s v="Cancelled"/>
    <n v="2250"/>
    <n v="-35.216444444444441"/>
    <s v="Loss"/>
    <s v="Ishaan Patel"/>
    <x v="0"/>
    <x v="3"/>
    <s v="Guwahati"/>
    <s v="Assam"/>
    <s v="2024-01-17"/>
    <s v="26-35"/>
    <n v="-792.37"/>
  </r>
  <r>
    <s v="ORD01490"/>
    <d v="2026-05-17T00:00:00"/>
    <s v="CUST0491"/>
    <x v="0"/>
    <x v="7"/>
    <n v="1"/>
    <n v="0"/>
    <n v="900"/>
    <n v="280"/>
    <x v="3"/>
    <s v="Delivered"/>
    <n v="900"/>
    <n v="31.111111111111111"/>
    <s v="Profit"/>
    <s v="Ishaan Chopra"/>
    <x v="1"/>
    <x v="2"/>
    <s v="Chandigarh"/>
    <s v="Chandigarh"/>
    <s v="2024-04-16"/>
    <s v="18-25"/>
    <n v="280"/>
  </r>
  <r>
    <s v="ORD01491"/>
    <d v="2026-08-22T00:00:00"/>
    <s v="CUST0126"/>
    <x v="3"/>
    <x v="10"/>
    <n v="4"/>
    <n v="0"/>
    <n v="220000"/>
    <n v="36000"/>
    <x v="1"/>
    <s v="Shipped"/>
    <n v="55000"/>
    <n v="16.36363636363636"/>
    <s v="Profit"/>
    <s v="Manoj Mehta"/>
    <x v="1"/>
    <x v="0"/>
    <s v="Bengaluru"/>
    <s v="Karnataka"/>
    <s v="2025-10-04"/>
    <s v="36-50"/>
    <n v="9000"/>
  </r>
  <r>
    <s v="ORD01492"/>
    <d v="2026-03-19T00:00:00"/>
    <s v="CUST0463"/>
    <x v="0"/>
    <x v="6"/>
    <n v="4"/>
    <n v="0.1"/>
    <n v="1260"/>
    <n v="399.88"/>
    <x v="2"/>
    <s v="Delivered"/>
    <n v="315"/>
    <n v="31.73650793650793"/>
    <s v="Profit"/>
    <s v="Shreya Patel"/>
    <x v="0"/>
    <x v="0"/>
    <s v="Coimbatore"/>
    <s v="Tamil Nadu"/>
    <s v="2024-02-20"/>
    <s v="51+"/>
    <n v="99.97"/>
  </r>
  <r>
    <s v="ORD01493"/>
    <d v="2026-03-29T00:00:00"/>
    <s v="CUST0208"/>
    <x v="3"/>
    <x v="10"/>
    <n v="5"/>
    <n v="0.15"/>
    <n v="233750"/>
    <n v="-120992.04"/>
    <x v="0"/>
    <s v="Returned"/>
    <n v="46750"/>
    <n v="-51.761300534759357"/>
    <s v="Loss"/>
    <s v="Sneha Pillai"/>
    <x v="0"/>
    <x v="0"/>
    <s v="Hyderabad"/>
    <s v="Telangana"/>
    <s v="2025-02-01"/>
    <s v="26-35"/>
    <n v="-24198.407999999999"/>
  </r>
  <r>
    <s v="ORD01494"/>
    <d v="2025-11-28T00:00:00"/>
    <s v="CUST0090"/>
    <x v="0"/>
    <x v="6"/>
    <n v="3"/>
    <n v="0"/>
    <n v="1050"/>
    <n v="360"/>
    <x v="2"/>
    <s v="Delivered"/>
    <n v="350"/>
    <n v="34.285714285714278"/>
    <s v="Profit"/>
    <s v="Nisha Bose"/>
    <x v="1"/>
    <x v="0"/>
    <s v="Coimbatore"/>
    <s v="Tamil Nadu"/>
    <s v="2024-09-07"/>
    <s v="51+"/>
    <n v="120"/>
  </r>
  <r>
    <s v="ORD01495"/>
    <d v="2025-08-24T00:00:00"/>
    <s v="CUST0359"/>
    <x v="2"/>
    <x v="3"/>
    <n v="1"/>
    <n v="0.05"/>
    <n v="14250"/>
    <n v="2968.51"/>
    <x v="0"/>
    <s v="Delivered"/>
    <n v="14250"/>
    <n v="20.831649122807018"/>
    <s v="Profit"/>
    <s v="Ananya Mishra"/>
    <x v="0"/>
    <x v="0"/>
    <s v="Bengaluru"/>
    <s v="Karnataka"/>
    <s v="2024-05-22"/>
    <s v="26-35"/>
    <n v="2968.51"/>
  </r>
  <r>
    <s v="ORD01496"/>
    <d v="2026-02-05T00:00:00"/>
    <s v="CUST0415"/>
    <x v="0"/>
    <x v="0"/>
    <n v="1"/>
    <n v="0.1"/>
    <n v="12600"/>
    <n v="1677.26"/>
    <x v="3"/>
    <s v="Delivered"/>
    <n v="12600"/>
    <n v="13.3115873015873"/>
    <s v="Profit"/>
    <s v="Manoj Bose"/>
    <x v="1"/>
    <x v="0"/>
    <s v="Bengaluru"/>
    <s v="Karnataka"/>
    <s v="2024-07-04"/>
    <s v="36-50"/>
    <n v="1677.26"/>
  </r>
  <r>
    <s v="ORD01497"/>
    <d v="2026-02-14T00:00:00"/>
    <s v="CUST0575"/>
    <x v="2"/>
    <x v="9"/>
    <n v="6"/>
    <n v="0.2"/>
    <n v="43200"/>
    <n v="8863.34"/>
    <x v="3"/>
    <s v="Delivered"/>
    <n v="7200"/>
    <n v="20.516990740740741"/>
    <s v="Profit"/>
    <s v="Akash Das"/>
    <x v="2"/>
    <x v="1"/>
    <s v="Mumbai"/>
    <s v="Maharashtra"/>
    <s v="2024-06-13"/>
    <s v="36-50"/>
    <n v="1477.2233333333329"/>
  </r>
  <r>
    <s v="ORD01498"/>
    <d v="2026-06-15T00:00:00"/>
    <s v="CUST0493"/>
    <x v="3"/>
    <x v="8"/>
    <n v="1"/>
    <n v="0.1"/>
    <n v="4050"/>
    <n v="1133.83"/>
    <x v="3"/>
    <s v="Delivered"/>
    <n v="4050"/>
    <n v="27.9958024691358"/>
    <s v="Profit"/>
    <s v="Vikram Patel"/>
    <x v="1"/>
    <x v="1"/>
    <s v="Pune"/>
    <s v="Maharashtra"/>
    <s v="2023-09-05"/>
    <s v="36-50"/>
    <n v="1133.83"/>
  </r>
  <r>
    <s v="ORD01499"/>
    <d v="2026-01-23T00:00:00"/>
    <s v="CUST0591"/>
    <x v="3"/>
    <x v="8"/>
    <n v="1"/>
    <n v="0.05"/>
    <n v="4275"/>
    <n v="-1276.58"/>
    <x v="3"/>
    <s v="Cancelled"/>
    <n v="4275"/>
    <n v="-29.861520467836261"/>
    <s v="Loss"/>
    <s v="Karthik Khan"/>
    <x v="1"/>
    <x v="1"/>
    <s v="Ahmedabad"/>
    <s v="Gujarat"/>
    <s v="2026-01-02"/>
    <s v="26-35"/>
    <n v="-1276.58"/>
  </r>
  <r>
    <s v="ORD01500"/>
    <d v="2026-02-25T00:00:00"/>
    <s v="CUST0442"/>
    <x v="3"/>
    <x v="10"/>
    <n v="1"/>
    <n v="0.2"/>
    <n v="44000"/>
    <n v="-161.61000000000001"/>
    <x v="3"/>
    <s v="Delivered"/>
    <n v="44000"/>
    <n v="-0.36729545454545459"/>
    <s v="Loss"/>
    <s v="Akash Kulkarni"/>
    <x v="0"/>
    <x v="0"/>
    <s v="Bengaluru"/>
    <s v="Karnataka"/>
    <s v="2023-09-01"/>
    <s v="36-50"/>
    <n v="-161.61000000000001"/>
  </r>
  <r>
    <s v="ORD01501"/>
    <d v="2026-02-09T00:00:00"/>
    <s v="CUST0073"/>
    <x v="2"/>
    <x v="3"/>
    <n v="1"/>
    <n v="0.15"/>
    <n v="12750"/>
    <n v="-2908.66"/>
    <x v="1"/>
    <s v="Returned"/>
    <n v="12750"/>
    <n v="-22.813019607843131"/>
    <s v="Loss"/>
    <s v="Kavya Pillai"/>
    <x v="0"/>
    <x v="0"/>
    <s v="Hyderabad"/>
    <s v="Telangana"/>
    <s v="2023-04-01"/>
    <s v="26-35"/>
    <n v="-2908.66"/>
  </r>
  <r>
    <s v="ORD01502"/>
    <d v="2026-08-30T00:00:00"/>
    <s v="CUST0307"/>
    <x v="3"/>
    <x v="10"/>
    <n v="1"/>
    <n v="0.05"/>
    <n v="52250"/>
    <n v="6757.66"/>
    <x v="0"/>
    <s v="Delivered"/>
    <n v="52250"/>
    <n v="12.93332057416268"/>
    <s v="Profit"/>
    <s v="Diya Mishra"/>
    <x v="1"/>
    <x v="0"/>
    <s v="Coimbatore"/>
    <s v="Tamil Nadu"/>
    <s v="2024-12-29"/>
    <s v="26-35"/>
    <n v="6757.66"/>
  </r>
  <r>
    <s v="ORD01503"/>
    <d v="2026-01-30T00:00:00"/>
    <s v="CUST0540"/>
    <x v="2"/>
    <x v="3"/>
    <n v="1"/>
    <n v="0.2"/>
    <n v="12000"/>
    <n v="2106.1999999999998"/>
    <x v="2"/>
    <s v="Delivered"/>
    <n v="12000"/>
    <n v="17.551666666666669"/>
    <s v="Profit"/>
    <s v="Kavya Rao"/>
    <x v="0"/>
    <x v="0"/>
    <s v="Chennai"/>
    <s v="Tamil Nadu"/>
    <s v="2023-09-30"/>
    <s v="18-25"/>
    <n v="2106.1999999999998"/>
  </r>
  <r>
    <s v="ORD01504"/>
    <d v="2025-12-31T00:00:00"/>
    <s v="CUST0594"/>
    <x v="3"/>
    <x v="8"/>
    <n v="3"/>
    <n v="0.1"/>
    <n v="12150"/>
    <n v="3664.53"/>
    <x v="0"/>
    <s v="Delivered"/>
    <n v="4050"/>
    <n v="30.160740740740739"/>
    <s v="Profit"/>
    <s v="Ishaan Bose"/>
    <x v="1"/>
    <x v="0"/>
    <s v="Coimbatore"/>
    <s v="Tamil Nadu"/>
    <s v="2024-06-29"/>
    <s v="51+"/>
    <n v="1221.51"/>
  </r>
  <r>
    <s v="ORD01505"/>
    <d v="2026-01-01T00:00:00"/>
    <s v="CUST0158"/>
    <x v="1"/>
    <x v="13"/>
    <n v="4"/>
    <n v="0.1"/>
    <n v="15120"/>
    <n v="3690.59"/>
    <x v="1"/>
    <s v="Delivered"/>
    <n v="3780"/>
    <n v="24.408664021164022"/>
    <s v="Profit"/>
    <s v="Ananya Reddy"/>
    <x v="2"/>
    <x v="0"/>
    <s v="Bengaluru"/>
    <s v="Karnataka"/>
    <s v="2024-04-04"/>
    <s v="18-25"/>
    <n v="922.64750000000004"/>
  </r>
  <r>
    <s v="ORD01506"/>
    <d v="2026-07-11T00:00:00"/>
    <s v="CUST0011"/>
    <x v="2"/>
    <x v="9"/>
    <n v="4"/>
    <n v="0.05"/>
    <n v="34200"/>
    <n v="7844.69"/>
    <x v="0"/>
    <s v="Delivered"/>
    <n v="8550"/>
    <n v="22.937690058479529"/>
    <s v="Profit"/>
    <s v="Kavya Menon"/>
    <x v="0"/>
    <x v="3"/>
    <s v="Guwahati"/>
    <s v="Assam"/>
    <s v="2023-05-10"/>
    <s v="26-35"/>
    <n v="1961.1724999999999"/>
  </r>
  <r>
    <s v="ORD01507"/>
    <d v="2026-06-01T00:00:00"/>
    <s v="CUST0025"/>
    <x v="1"/>
    <x v="13"/>
    <n v="3"/>
    <n v="0"/>
    <n v="12600"/>
    <n v="3600"/>
    <x v="1"/>
    <s v="Delivered"/>
    <n v="4200"/>
    <n v="28.571428571428569"/>
    <s v="Profit"/>
    <s v="Aditya Rao"/>
    <x v="0"/>
    <x v="2"/>
    <s v="Chandigarh"/>
    <s v="Chandigarh"/>
    <s v="2025-12-16"/>
    <s v="26-35"/>
    <n v="1200"/>
  </r>
  <r>
    <s v="ORD01508"/>
    <d v="2025-09-07T00:00:00"/>
    <s v="CUST0036"/>
    <x v="3"/>
    <x v="4"/>
    <n v="4"/>
    <n v="0"/>
    <n v="72000"/>
    <n v="14000"/>
    <x v="3"/>
    <s v="Delivered"/>
    <n v="18000"/>
    <n v="19.44444444444445"/>
    <s v="Profit"/>
    <s v="Priya Patel"/>
    <x v="2"/>
    <x v="3"/>
    <s v="Guwahati"/>
    <s v="Assam"/>
    <s v="2023-10-18"/>
    <s v="26-35"/>
    <n v="3500"/>
  </r>
  <r>
    <s v="ORD01509"/>
    <d v="2026-08-11T00:00:00"/>
    <s v="CUST0232"/>
    <x v="2"/>
    <x v="2"/>
    <n v="2"/>
    <n v="0.1"/>
    <n v="23400"/>
    <n v="4715.6400000000003"/>
    <x v="1"/>
    <s v="Delivered"/>
    <n v="11700"/>
    <n v="20.152307692307691"/>
    <s v="Profit"/>
    <s v="Priya Menon"/>
    <x v="0"/>
    <x v="1"/>
    <s v="Pune"/>
    <s v="Maharashtra"/>
    <s v="2024-06-24"/>
    <s v="18-25"/>
    <n v="2357.8200000000002"/>
  </r>
  <r>
    <s v="ORD01510"/>
    <d v="2026-03-25T00:00:00"/>
    <s v="CUST0296"/>
    <x v="0"/>
    <x v="0"/>
    <n v="3"/>
    <n v="0.05"/>
    <n v="39900"/>
    <n v="6962.82"/>
    <x v="3"/>
    <s v="Delivered"/>
    <n v="13300"/>
    <n v="17.450676691729321"/>
    <s v="Profit"/>
    <s v="Arjun Naidu"/>
    <x v="1"/>
    <x v="2"/>
    <s v="Jaipur"/>
    <s v="Rajasthan"/>
    <s v="2023-10-23"/>
    <s v="26-35"/>
    <n v="2320.94"/>
  </r>
  <r>
    <s v="ORD01511"/>
    <d v="2026-05-30T00:00:00"/>
    <s v="CUST0106"/>
    <x v="2"/>
    <x v="2"/>
    <n v="1"/>
    <n v="0"/>
    <n v="13000"/>
    <n v="3200"/>
    <x v="2"/>
    <s v="Delivered"/>
    <n v="13000"/>
    <n v="24.61538461538462"/>
    <s v="Profit"/>
    <s v="Kavya Nair"/>
    <x v="1"/>
    <x v="0"/>
    <s v="Coimbatore"/>
    <s v="Tamil Nadu"/>
    <s v="2025-07-06"/>
    <s v="36-50"/>
    <n v="3200"/>
  </r>
  <r>
    <s v="ORD01512"/>
    <d v="2026-03-27T00:00:00"/>
    <s v="CUST0222"/>
    <x v="0"/>
    <x v="0"/>
    <n v="1"/>
    <n v="0.1"/>
    <n v="12600"/>
    <n v="2033.43"/>
    <x v="3"/>
    <s v="Delivered"/>
    <n v="12600"/>
    <n v="16.138333333333339"/>
    <s v="Profit"/>
    <s v="Nisha Mehta"/>
    <x v="2"/>
    <x v="1"/>
    <s v="Mumbai"/>
    <s v="Maharashtra"/>
    <s v="2025-08-16"/>
    <s v="26-35"/>
    <n v="2033.43"/>
  </r>
  <r>
    <s v="ORD01513"/>
    <d v="2026-01-01T00:00:00"/>
    <s v="CUST0113"/>
    <x v="3"/>
    <x v="10"/>
    <n v="5"/>
    <n v="0"/>
    <n v="275000"/>
    <n v="45000"/>
    <x v="1"/>
    <s v="Delivered"/>
    <n v="55000"/>
    <n v="16.36363636363636"/>
    <s v="Profit"/>
    <s v="Diya Pillai"/>
    <x v="2"/>
    <x v="1"/>
    <s v="Ahmedabad"/>
    <s v="Gujarat"/>
    <s v="2024-08-29"/>
    <s v="26-35"/>
    <n v="9000"/>
  </r>
  <r>
    <s v="ORD01514"/>
    <d v="2025-07-25T00:00:00"/>
    <s v="CUST0046"/>
    <x v="3"/>
    <x v="4"/>
    <n v="5"/>
    <n v="0.1"/>
    <n v="81000"/>
    <n v="10920.01"/>
    <x v="3"/>
    <s v="Delivered"/>
    <n v="16200"/>
    <n v="13.48149382716049"/>
    <s v="Profit"/>
    <s v="Kavya Pillai"/>
    <x v="1"/>
    <x v="3"/>
    <s v="Kolkata"/>
    <s v="West Bengal"/>
    <s v="2025-11-12"/>
    <s v="36-50"/>
    <n v="2184.002"/>
  </r>
  <r>
    <s v="ORD01515"/>
    <d v="2025-11-09T00:00:00"/>
    <s v="CUST0557"/>
    <x v="3"/>
    <x v="4"/>
    <n v="1"/>
    <n v="0"/>
    <n v="18000"/>
    <n v="3500"/>
    <x v="2"/>
    <s v="Delivered"/>
    <n v="18000"/>
    <n v="19.44444444444445"/>
    <s v="Profit"/>
    <s v="Divya Mishra"/>
    <x v="0"/>
    <x v="2"/>
    <s v="Lucknow"/>
    <s v="Uttar Pradesh"/>
    <s v="2024-11-08"/>
    <s v="18-25"/>
    <n v="3500"/>
  </r>
  <r>
    <s v="ORD01516"/>
    <d v="2025-09-26T00:00:00"/>
    <s v="CUST0573"/>
    <x v="3"/>
    <x v="8"/>
    <n v="2"/>
    <n v="0.15"/>
    <n v="7650"/>
    <n v="2137.02"/>
    <x v="2"/>
    <s v="Delivered"/>
    <n v="3825"/>
    <n v="27.934901960784309"/>
    <s v="Profit"/>
    <s v="Aditya Pillai"/>
    <x v="0"/>
    <x v="1"/>
    <s v="Surat"/>
    <s v="Gujarat"/>
    <s v="2024-03-11"/>
    <s v="18-25"/>
    <n v="1068.51"/>
  </r>
  <r>
    <s v="ORD01517"/>
    <d v="2026-04-18T00:00:00"/>
    <s v="CUST0206"/>
    <x v="1"/>
    <x v="1"/>
    <n v="1"/>
    <n v="0.1"/>
    <n v="1620"/>
    <n v="544.70000000000005"/>
    <x v="0"/>
    <s v="Delivered"/>
    <n v="1620"/>
    <n v="33.623456790123463"/>
    <s v="Profit"/>
    <s v="Arjun Bose"/>
    <x v="1"/>
    <x v="0"/>
    <s v="Coimbatore"/>
    <s v="Tamil Nadu"/>
    <s v="2025-04-20"/>
    <s v="36-50"/>
    <n v="544.70000000000005"/>
  </r>
  <r>
    <s v="ORD01518"/>
    <d v="2026-05-17T00:00:00"/>
    <s v="CUST0555"/>
    <x v="3"/>
    <x v="4"/>
    <n v="1"/>
    <n v="0.05"/>
    <n v="17100"/>
    <n v="3004.2"/>
    <x v="3"/>
    <s v="Delivered"/>
    <n v="17100"/>
    <n v="17.568421052631582"/>
    <s v="Profit"/>
    <s v="Aarav Mehta"/>
    <x v="0"/>
    <x v="0"/>
    <s v="Coimbatore"/>
    <s v="Tamil Nadu"/>
    <s v="2023-05-19"/>
    <s v="51+"/>
    <n v="3004.2"/>
  </r>
  <r>
    <s v="ORD01519"/>
    <d v="2026-01-19T00:00:00"/>
    <s v="CUST0516"/>
    <x v="2"/>
    <x v="5"/>
    <n v="2"/>
    <n v="0.2"/>
    <n v="17600"/>
    <n v="2633.8"/>
    <x v="2"/>
    <s v="Delivered"/>
    <n v="8800"/>
    <n v="14.964772727272729"/>
    <s v="Profit"/>
    <s v="Rahul Mishra"/>
    <x v="1"/>
    <x v="0"/>
    <s v="Hyderabad"/>
    <s v="Telangana"/>
    <s v="2024-01-31"/>
    <s v="26-35"/>
    <n v="1316.9"/>
  </r>
  <r>
    <s v="ORD01520"/>
    <d v="2026-02-11T00:00:00"/>
    <s v="CUST0158"/>
    <x v="3"/>
    <x v="4"/>
    <n v="3"/>
    <n v="0"/>
    <n v="54000"/>
    <n v="10500"/>
    <x v="1"/>
    <s v="Delivered"/>
    <n v="18000"/>
    <n v="19.44444444444445"/>
    <s v="Profit"/>
    <s v="Ananya Reddy"/>
    <x v="2"/>
    <x v="0"/>
    <s v="Bengaluru"/>
    <s v="Karnataka"/>
    <s v="2024-04-04"/>
    <s v="18-25"/>
    <n v="3500"/>
  </r>
  <r>
    <s v="ORD01521"/>
    <d v="2026-08-27T00:00:00"/>
    <s v="CUST0113"/>
    <x v="2"/>
    <x v="9"/>
    <n v="2"/>
    <n v="0.15"/>
    <n v="15300"/>
    <n v="3340.93"/>
    <x v="3"/>
    <s v="Delivered"/>
    <n v="7650"/>
    <n v="21.836143790849668"/>
    <s v="Profit"/>
    <s v="Diya Pillai"/>
    <x v="2"/>
    <x v="1"/>
    <s v="Ahmedabad"/>
    <s v="Gujarat"/>
    <s v="2024-08-29"/>
    <s v="26-35"/>
    <n v="1670.4649999999999"/>
  </r>
  <r>
    <s v="ORD01522"/>
    <d v="2026-04-02T00:00:00"/>
    <s v="CUST0213"/>
    <x v="3"/>
    <x v="11"/>
    <n v="1"/>
    <n v="0.05"/>
    <n v="2375"/>
    <n v="713.76"/>
    <x v="0"/>
    <s v="Delivered"/>
    <n v="2375"/>
    <n v="30.05305263157895"/>
    <s v="Profit"/>
    <s v="Shreya Bose"/>
    <x v="1"/>
    <x v="2"/>
    <s v="Lucknow"/>
    <s v="Uttar Pradesh"/>
    <s v="2025-03-13"/>
    <s v="26-35"/>
    <n v="713.76"/>
  </r>
  <r>
    <s v="ORD01523"/>
    <d v="2026-08-07T00:00:00"/>
    <s v="CUST0073"/>
    <x v="3"/>
    <x v="8"/>
    <n v="1"/>
    <n v="0.15"/>
    <n v="3825"/>
    <n v="927.35"/>
    <x v="0"/>
    <s v="Delivered"/>
    <n v="3825"/>
    <n v="24.244444444444451"/>
    <s v="Profit"/>
    <s v="Kavya Pillai"/>
    <x v="0"/>
    <x v="0"/>
    <s v="Hyderabad"/>
    <s v="Telangana"/>
    <s v="2023-04-01"/>
    <s v="26-35"/>
    <n v="927.35"/>
  </r>
  <r>
    <s v="ORD01524"/>
    <d v="2026-08-08T00:00:00"/>
    <s v="CUST0042"/>
    <x v="3"/>
    <x v="10"/>
    <n v="4"/>
    <n v="0"/>
    <n v="220000"/>
    <n v="36000"/>
    <x v="3"/>
    <s v="Delivered"/>
    <n v="55000"/>
    <n v="16.36363636363636"/>
    <s v="Profit"/>
    <s v="Vikram Khan"/>
    <x v="0"/>
    <x v="1"/>
    <s v="Pune"/>
    <s v="Maharashtra"/>
    <s v="2025-04-16"/>
    <s v="18-25"/>
    <n v="9000"/>
  </r>
  <r>
    <s v="ORD01525"/>
    <d v="2025-12-08T00:00:00"/>
    <s v="CUST0599"/>
    <x v="2"/>
    <x v="2"/>
    <n v="6"/>
    <n v="0.15"/>
    <n v="66300"/>
    <n v="9427.5"/>
    <x v="1"/>
    <s v="Delivered"/>
    <n v="11050"/>
    <n v="14.21945701357466"/>
    <s v="Profit"/>
    <s v="Rahul Das"/>
    <x v="1"/>
    <x v="0"/>
    <s v="Coimbatore"/>
    <s v="Tamil Nadu"/>
    <s v="2024-01-12"/>
    <s v="26-35"/>
    <n v="1571.25"/>
  </r>
  <r>
    <s v="ORD01526"/>
    <d v="2026-01-04T00:00:00"/>
    <s v="CUST0473"/>
    <x v="3"/>
    <x v="11"/>
    <n v="3"/>
    <n v="0.05"/>
    <n v="7125"/>
    <n v="2128.4299999999998"/>
    <x v="3"/>
    <s v="Delivered"/>
    <n v="2375"/>
    <n v="29.872701754385961"/>
    <s v="Profit"/>
    <s v="Ananya Rao"/>
    <x v="2"/>
    <x v="2"/>
    <s v="Chandigarh"/>
    <s v="Chandigarh"/>
    <s v="2025-12-18"/>
    <s v="51+"/>
    <n v="709.47666666666657"/>
  </r>
  <r>
    <s v="ORD01527"/>
    <d v="2025-09-12T00:00:00"/>
    <s v="CUST0368"/>
    <x v="3"/>
    <x v="10"/>
    <n v="10"/>
    <n v="0.1"/>
    <n v="495000"/>
    <n v="44354.5"/>
    <x v="2"/>
    <s v="Delivered"/>
    <n v="49500"/>
    <n v="8.9605050505050503"/>
    <s v="Profit"/>
    <s v="Ananya Reddy"/>
    <x v="1"/>
    <x v="3"/>
    <s v="Patna"/>
    <s v="Bihar"/>
    <s v="2025-07-31"/>
    <s v="26-35"/>
    <n v="4435.45"/>
  </r>
  <r>
    <s v="ORD01528"/>
    <d v="2025-07-28T00:00:00"/>
    <s v="CUST0363"/>
    <x v="3"/>
    <x v="4"/>
    <n v="3"/>
    <n v="0"/>
    <n v="54000"/>
    <n v="10500"/>
    <x v="0"/>
    <s v="Delivered"/>
    <n v="18000"/>
    <n v="19.44444444444445"/>
    <s v="Profit"/>
    <s v="Priya Patel"/>
    <x v="1"/>
    <x v="0"/>
    <s v="Chennai"/>
    <s v="Tamil Nadu"/>
    <s v="2024-01-12"/>
    <s v="51+"/>
    <n v="3500"/>
  </r>
  <r>
    <s v="ORD01529"/>
    <d v="2026-04-18T00:00:00"/>
    <s v="CUST0364"/>
    <x v="3"/>
    <x v="8"/>
    <n v="3"/>
    <n v="0.05"/>
    <n v="12825"/>
    <n v="4158.67"/>
    <x v="3"/>
    <s v="Delivered"/>
    <n v="4275"/>
    <n v="32.42627680311891"/>
    <s v="Profit"/>
    <s v="Varun Bose"/>
    <x v="0"/>
    <x v="2"/>
    <s v="Delhi"/>
    <s v="Delhi"/>
    <s v="2024-10-25"/>
    <s v="18-25"/>
    <n v="1386.2233333333329"/>
  </r>
  <r>
    <s v="ORD01530"/>
    <d v="2025-12-19T00:00:00"/>
    <s v="CUST0026"/>
    <x v="1"/>
    <x v="12"/>
    <n v="3"/>
    <n v="0.1"/>
    <n v="3780"/>
    <n v="1184.4000000000001"/>
    <x v="0"/>
    <s v="Delivered"/>
    <n v="1260"/>
    <n v="31.333333333333339"/>
    <s v="Profit"/>
    <s v="Arjun Mehta"/>
    <x v="2"/>
    <x v="0"/>
    <s v="Coimbatore"/>
    <s v="Tamil Nadu"/>
    <s v="2025-07-27"/>
    <s v="26-35"/>
    <n v="394.8"/>
  </r>
  <r>
    <s v="ORD01531"/>
    <d v="2026-04-06T00:00:00"/>
    <s v="CUST0248"/>
    <x v="3"/>
    <x v="8"/>
    <n v="1"/>
    <n v="0.15"/>
    <n v="3825"/>
    <n v="1148.8499999999999"/>
    <x v="2"/>
    <s v="Delivered"/>
    <n v="3825"/>
    <n v="30.035294117647059"/>
    <s v="Profit"/>
    <s v="Meera Das"/>
    <x v="1"/>
    <x v="2"/>
    <s v="Chandigarh"/>
    <s v="Chandigarh"/>
    <s v="2024-12-30"/>
    <s v="18-25"/>
    <n v="1148.8499999999999"/>
  </r>
  <r>
    <s v="ORD01532"/>
    <d v="2025-12-25T00:00:00"/>
    <s v="CUST0200"/>
    <x v="0"/>
    <x v="7"/>
    <n v="2"/>
    <n v="0"/>
    <n v="1800"/>
    <n v="560"/>
    <x v="1"/>
    <s v="Delivered"/>
    <n v="900"/>
    <n v="31.111111111111111"/>
    <s v="Profit"/>
    <s v="Nisha Mishra"/>
    <x v="2"/>
    <x v="0"/>
    <s v="Bengaluru"/>
    <s v="Karnataka"/>
    <s v="2023-10-31"/>
    <s v="51+"/>
    <n v="280"/>
  </r>
  <r>
    <s v="ORD01533"/>
    <d v="2025-08-25T00:00:00"/>
    <s v="CUST0240"/>
    <x v="1"/>
    <x v="12"/>
    <n v="5"/>
    <n v="0.1"/>
    <n v="6300"/>
    <n v="-1358.7"/>
    <x v="3"/>
    <s v="Cancelled"/>
    <n v="1260"/>
    <n v="-21.56666666666667"/>
    <s v="Loss"/>
    <s v="Kavya Joshi"/>
    <x v="0"/>
    <x v="1"/>
    <s v="Mumbai"/>
    <s v="Maharashtra"/>
    <s v="2024-05-21"/>
    <s v="51+"/>
    <n v="-271.74"/>
  </r>
  <r>
    <s v="ORD01534"/>
    <d v="2026-01-25T00:00:00"/>
    <s v="CUST0005"/>
    <x v="0"/>
    <x v="0"/>
    <n v="3"/>
    <n v="0"/>
    <n v="42000"/>
    <n v="8400"/>
    <x v="2"/>
    <s v="Delivered"/>
    <n v="14000"/>
    <n v="20"/>
    <s v="Profit"/>
    <s v="Rahul Kulkarni"/>
    <x v="1"/>
    <x v="1"/>
    <s v="Mumbai"/>
    <s v="Maharashtra"/>
    <s v="2024-11-06"/>
    <s v="18-25"/>
    <n v="2800"/>
  </r>
  <r>
    <s v="ORD01535"/>
    <d v="2026-07-06T00:00:00"/>
    <s v="CUST0473"/>
    <x v="0"/>
    <x v="14"/>
    <n v="3"/>
    <n v="0.15"/>
    <n v="1147.5"/>
    <n v="235.26"/>
    <x v="3"/>
    <s v="Delivered"/>
    <n v="382.5"/>
    <n v="20.50196078431372"/>
    <s v="Profit"/>
    <s v="Ananya Rao"/>
    <x v="2"/>
    <x v="2"/>
    <s v="Chandigarh"/>
    <s v="Chandigarh"/>
    <s v="2025-12-18"/>
    <s v="51+"/>
    <n v="78.42"/>
  </r>
  <r>
    <s v="ORD01536"/>
    <d v="2026-05-27T00:00:00"/>
    <s v="CUST0155"/>
    <x v="3"/>
    <x v="8"/>
    <n v="4"/>
    <n v="0.3"/>
    <n v="12600"/>
    <n v="3278.41"/>
    <x v="1"/>
    <s v="Delivered"/>
    <n v="3150"/>
    <n v="26.019126984126981"/>
    <s v="Profit"/>
    <s v="Ishaan Sharma"/>
    <x v="0"/>
    <x v="0"/>
    <s v="Bengaluru"/>
    <s v="Karnataka"/>
    <s v="2023-07-08"/>
    <s v="26-35"/>
    <n v="819.60249999999996"/>
  </r>
  <r>
    <s v="ORD01537"/>
    <d v="2025-08-12T00:00:00"/>
    <s v="CUST0225"/>
    <x v="2"/>
    <x v="5"/>
    <n v="3"/>
    <n v="0.05"/>
    <n v="31350"/>
    <n v="6773.71"/>
    <x v="3"/>
    <s v="Delivered"/>
    <n v="10450"/>
    <n v="21.606730462519931"/>
    <s v="Profit"/>
    <s v="Meera Khan"/>
    <x v="2"/>
    <x v="0"/>
    <s v="Coimbatore"/>
    <s v="Tamil Nadu"/>
    <s v="2025-12-18"/>
    <s v="26-35"/>
    <n v="2257.9033333333332"/>
  </r>
  <r>
    <s v="ORD01538"/>
    <d v="2025-08-11T00:00:00"/>
    <s v="CUST0190"/>
    <x v="2"/>
    <x v="5"/>
    <n v="10"/>
    <n v="0.05"/>
    <n v="104500"/>
    <n v="23376.45"/>
    <x v="1"/>
    <s v="Delivered"/>
    <n v="10450"/>
    <n v="22.369808612440188"/>
    <s v="Profit"/>
    <s v="Rohan Naidu"/>
    <x v="0"/>
    <x v="0"/>
    <s v="Coimbatore"/>
    <s v="Tamil Nadu"/>
    <s v="2023-02-24"/>
    <s v="26-35"/>
    <n v="2337.645"/>
  </r>
  <r>
    <s v="ORD01539"/>
    <d v="2026-06-20T00:00:00"/>
    <s v="CUST0501"/>
    <x v="0"/>
    <x v="14"/>
    <n v="2"/>
    <n v="0.05"/>
    <n v="855"/>
    <n v="-361.38"/>
    <x v="3"/>
    <s v="Cancelled"/>
    <n v="427.5"/>
    <n v="-42.266666666666673"/>
    <s v="Loss"/>
    <s v="Rahul Pillai"/>
    <x v="1"/>
    <x v="0"/>
    <s v="Bengaluru"/>
    <s v="Karnataka"/>
    <s v="2024-03-13"/>
    <s v="36-50"/>
    <n v="-180.69"/>
  </r>
  <r>
    <s v="ORD01540"/>
    <d v="2026-01-27T00:00:00"/>
    <s v="CUST0240"/>
    <x v="1"/>
    <x v="1"/>
    <n v="5"/>
    <n v="0.05"/>
    <n v="8550"/>
    <n v="2890.01"/>
    <x v="1"/>
    <s v="Delivered"/>
    <n v="1710"/>
    <n v="33.801286549707598"/>
    <s v="Profit"/>
    <s v="Kavya Joshi"/>
    <x v="0"/>
    <x v="1"/>
    <s v="Mumbai"/>
    <s v="Maharashtra"/>
    <s v="2024-05-21"/>
    <s v="51+"/>
    <n v="578.00200000000007"/>
  </r>
  <r>
    <s v="ORD01541"/>
    <d v="2026-04-09T00:00:00"/>
    <s v="CUST0451"/>
    <x v="1"/>
    <x v="12"/>
    <n v="1"/>
    <n v="0.15"/>
    <n v="1190"/>
    <n v="399.29"/>
    <x v="2"/>
    <s v="Delivered"/>
    <n v="1190"/>
    <n v="33.553781512605049"/>
    <s v="Profit"/>
    <s v="Diya Naidu"/>
    <x v="0"/>
    <x v="1"/>
    <s v="Pune"/>
    <s v="Maharashtra"/>
    <s v="2024-06-17"/>
    <s v="26-35"/>
    <n v="399.29"/>
  </r>
  <r>
    <s v="ORD01542"/>
    <d v="2025-11-06T00:00:00"/>
    <s v="CUST0219"/>
    <x v="3"/>
    <x v="4"/>
    <n v="1"/>
    <n v="0.1"/>
    <n v="16200"/>
    <n v="2274.92"/>
    <x v="3"/>
    <s v="Delivered"/>
    <n v="16200"/>
    <n v="14.042716049382721"/>
    <s v="Profit"/>
    <s v="Rahul Menon"/>
    <x v="1"/>
    <x v="3"/>
    <s v="Patna"/>
    <s v="Bihar"/>
    <s v="2023-10-06"/>
    <s v="36-50"/>
    <n v="2274.92"/>
  </r>
  <r>
    <s v="ORD01543"/>
    <d v="2026-04-24T00:00:00"/>
    <s v="CUST0386"/>
    <x v="3"/>
    <x v="8"/>
    <n v="1"/>
    <n v="0.1"/>
    <n v="4050"/>
    <n v="1264.69"/>
    <x v="3"/>
    <s v="Delivered"/>
    <n v="4050"/>
    <n v="31.226913580246912"/>
    <s v="Profit"/>
    <s v="Pooja Kulkarni"/>
    <x v="0"/>
    <x v="0"/>
    <s v="Chennai"/>
    <s v="Tamil Nadu"/>
    <s v="2023-03-27"/>
    <s v="26-35"/>
    <n v="1264.69"/>
  </r>
  <r>
    <s v="ORD01544"/>
    <d v="2026-05-23T00:00:00"/>
    <s v="CUST0215"/>
    <x v="3"/>
    <x v="8"/>
    <n v="1"/>
    <n v="0.1"/>
    <n v="4050"/>
    <n v="1225.1500000000001"/>
    <x v="1"/>
    <s v="Shipped"/>
    <n v="4050"/>
    <n v="30.250617283950621"/>
    <s v="Profit"/>
    <s v="Pooja Reddy"/>
    <x v="1"/>
    <x v="0"/>
    <s v="Bengaluru"/>
    <s v="Karnataka"/>
    <s v="2025-07-16"/>
    <s v="26-35"/>
    <n v="1225.1500000000001"/>
  </r>
  <r>
    <s v="ORD01545"/>
    <d v="2026-08-03T00:00:00"/>
    <s v="CUST0295"/>
    <x v="2"/>
    <x v="9"/>
    <n v="5"/>
    <n v="0"/>
    <n v="45000"/>
    <n v="11500"/>
    <x v="3"/>
    <s v="Delivered"/>
    <n v="9000"/>
    <n v="25.55555555555555"/>
    <s v="Profit"/>
    <s v="Pooja Chopra"/>
    <x v="1"/>
    <x v="2"/>
    <s v="Chandigarh"/>
    <s v="Chandigarh"/>
    <s v="2023-09-02"/>
    <s v="18-25"/>
    <n v="2300"/>
  </r>
  <r>
    <s v="ORD01546"/>
    <d v="2025-08-24T00:00:00"/>
    <s v="CUST0103"/>
    <x v="0"/>
    <x v="0"/>
    <n v="2"/>
    <n v="0.1"/>
    <n v="25200"/>
    <n v="3358.97"/>
    <x v="2"/>
    <s v="Delivered"/>
    <n v="12600"/>
    <n v="13.329246031746029"/>
    <s v="Profit"/>
    <s v="Rohan Rao"/>
    <x v="0"/>
    <x v="0"/>
    <s v="Bengaluru"/>
    <s v="Karnataka"/>
    <s v="2023-11-09"/>
    <s v="36-50"/>
    <n v="1679.4849999999999"/>
  </r>
  <r>
    <s v="ORD01547"/>
    <d v="2025-11-20T00:00:00"/>
    <s v="CUST0088"/>
    <x v="0"/>
    <x v="0"/>
    <n v="2"/>
    <n v="0.2"/>
    <n v="22400"/>
    <n v="1990.48"/>
    <x v="3"/>
    <s v="Delivered"/>
    <n v="11200"/>
    <n v="8.8860714285714302"/>
    <s v="Profit"/>
    <s v="Sneha Verma"/>
    <x v="1"/>
    <x v="0"/>
    <s v="Chennai"/>
    <s v="Tamil Nadu"/>
    <s v="2023-06-12"/>
    <s v="26-35"/>
    <n v="995.24"/>
  </r>
  <r>
    <s v="ORD01548"/>
    <d v="2025-07-29T00:00:00"/>
    <s v="CUST0347"/>
    <x v="3"/>
    <x v="4"/>
    <n v="3"/>
    <n v="0.1"/>
    <n v="48600"/>
    <n v="-18508.400000000001"/>
    <x v="1"/>
    <s v="Cancelled"/>
    <n v="16200"/>
    <n v="-38.083127572016473"/>
    <s v="Loss"/>
    <s v="Shreya Iyer"/>
    <x v="0"/>
    <x v="0"/>
    <s v="Bengaluru"/>
    <s v="Karnataka"/>
    <s v="2023-08-21"/>
    <s v="36-50"/>
    <n v="-6169.4666666666672"/>
  </r>
  <r>
    <s v="ORD01549"/>
    <d v="2025-09-17T00:00:00"/>
    <s v="CUST0135"/>
    <x v="2"/>
    <x v="3"/>
    <n v="1"/>
    <n v="0.15"/>
    <n v="12750"/>
    <n v="-3972.22"/>
    <x v="2"/>
    <s v="Cancelled"/>
    <n v="12750"/>
    <n v="-31.15466666666666"/>
    <s v="Loss"/>
    <s v="Sneha Patel"/>
    <x v="0"/>
    <x v="2"/>
    <s v="Delhi"/>
    <s v="Delhi"/>
    <s v="2024-07-08"/>
    <s v="36-50"/>
    <n v="-3972.22"/>
  </r>
  <r>
    <s v="ORD01550"/>
    <d v="2026-01-03T00:00:00"/>
    <s v="CUST0083"/>
    <x v="0"/>
    <x v="14"/>
    <n v="1"/>
    <n v="0.15"/>
    <n v="382.5"/>
    <n v="58.3"/>
    <x v="1"/>
    <s v="Delivered"/>
    <n v="382.5"/>
    <n v="15.24183006535948"/>
    <s v="Profit"/>
    <s v="Nisha Singh"/>
    <x v="0"/>
    <x v="0"/>
    <s v="Bengaluru"/>
    <s v="Karnataka"/>
    <s v="2024-07-24"/>
    <s v="26-35"/>
    <n v="58.3"/>
  </r>
  <r>
    <s v="ORD01551"/>
    <d v="2026-07-27T00:00:00"/>
    <s v="CUST0200"/>
    <x v="2"/>
    <x v="2"/>
    <n v="5"/>
    <n v="0.05"/>
    <n v="61750"/>
    <n v="14345.13"/>
    <x v="3"/>
    <s v="Delivered"/>
    <n v="12350"/>
    <n v="23.23097975708502"/>
    <s v="Profit"/>
    <s v="Nisha Mishra"/>
    <x v="2"/>
    <x v="0"/>
    <s v="Bengaluru"/>
    <s v="Karnataka"/>
    <s v="2023-10-31"/>
    <s v="51+"/>
    <n v="2869.0259999999998"/>
  </r>
  <r>
    <s v="ORD01552"/>
    <d v="2025-07-07T00:00:00"/>
    <s v="CUST0148"/>
    <x v="3"/>
    <x v="8"/>
    <n v="6"/>
    <n v="0.15"/>
    <n v="22950"/>
    <n v="6899.55"/>
    <x v="0"/>
    <s v="Delivered"/>
    <n v="3825"/>
    <n v="30.063398692810459"/>
    <s v="Profit"/>
    <s v="Sanjay Mishra"/>
    <x v="0"/>
    <x v="3"/>
    <s v="Bhubaneswar"/>
    <s v="Odisha"/>
    <s v="2023-09-04"/>
    <s v="51+"/>
    <n v="1149.925"/>
  </r>
  <r>
    <s v="ORD01553"/>
    <d v="2026-04-03T00:00:00"/>
    <s v="CUST0522"/>
    <x v="1"/>
    <x v="13"/>
    <n v="3"/>
    <n v="0.15"/>
    <n v="10710"/>
    <n v="-6216.48"/>
    <x v="2"/>
    <s v="Returned"/>
    <n v="3570"/>
    <n v="-58.043697478991596"/>
    <s v="Loss"/>
    <s v="Karthik Joshi"/>
    <x v="2"/>
    <x v="0"/>
    <s v="Bengaluru"/>
    <s v="Karnataka"/>
    <s v="2023-06-28"/>
    <s v="36-50"/>
    <n v="-2072.16"/>
  </r>
  <r>
    <s v="ORD01554"/>
    <d v="2025-08-14T00:00:00"/>
    <s v="CUST0052"/>
    <x v="2"/>
    <x v="5"/>
    <n v="3"/>
    <n v="0.05"/>
    <n v="31350"/>
    <n v="6451.84"/>
    <x v="0"/>
    <s v="Delivered"/>
    <n v="10450"/>
    <n v="20.580031897926631"/>
    <s v="Profit"/>
    <s v="Arjun Verma"/>
    <x v="2"/>
    <x v="0"/>
    <s v="Lucknow"/>
    <s v="Uttar Pradesh"/>
    <s v="2023-11-01"/>
    <s v="26-35"/>
    <n v="2150.6133333333328"/>
  </r>
  <r>
    <s v="ORD01555"/>
    <d v="2025-09-14T00:00:00"/>
    <s v="CUST0594"/>
    <x v="0"/>
    <x v="7"/>
    <n v="4"/>
    <n v="0.1"/>
    <n v="3240"/>
    <n v="924.2"/>
    <x v="1"/>
    <s v="Shipped"/>
    <n v="810"/>
    <n v="28.5246913580247"/>
    <s v="Profit"/>
    <s v="Ishaan Bose"/>
    <x v="1"/>
    <x v="0"/>
    <s v="Coimbatore"/>
    <s v="Tamil Nadu"/>
    <s v="2024-06-29"/>
    <s v="51+"/>
    <n v="231.05"/>
  </r>
  <r>
    <s v="ORD01556"/>
    <d v="2025-10-06T00:00:00"/>
    <s v="CUST0125"/>
    <x v="2"/>
    <x v="5"/>
    <n v="3"/>
    <n v="0.1"/>
    <n v="29700"/>
    <n v="5859.65"/>
    <x v="3"/>
    <s v="Delivered"/>
    <n v="9900"/>
    <n v="19.72946127946128"/>
    <s v="Profit"/>
    <s v="Diya Singh"/>
    <x v="2"/>
    <x v="3"/>
    <s v="Patna"/>
    <s v="Bihar"/>
    <s v="2023-08-16"/>
    <s v="36-50"/>
    <n v="1953.216666666666"/>
  </r>
  <r>
    <s v="ORD01557"/>
    <d v="2025-10-29T00:00:00"/>
    <s v="CUST0203"/>
    <x v="1"/>
    <x v="13"/>
    <n v="6"/>
    <n v="0.1"/>
    <n v="22680"/>
    <n v="5909.57"/>
    <x v="0"/>
    <s v="Delivered"/>
    <n v="3780"/>
    <n v="26.056305114638441"/>
    <s v="Profit"/>
    <s v="Arjun Gupta"/>
    <x v="2"/>
    <x v="0"/>
    <s v="Chennai"/>
    <s v="Tamil Nadu"/>
    <s v="2025-03-25"/>
    <s v="36-50"/>
    <n v="984.92833333333328"/>
  </r>
  <r>
    <s v="ORD01558"/>
    <d v="2026-03-31T00:00:00"/>
    <s v="CUST0333"/>
    <x v="2"/>
    <x v="2"/>
    <n v="1"/>
    <n v="0.1"/>
    <n v="11700"/>
    <n v="-3752.1"/>
    <x v="3"/>
    <s v="Cancelled"/>
    <n v="11700"/>
    <n v="-32.069230769230757"/>
    <s v="Loss"/>
    <s v="Aditya Gupta"/>
    <x v="0"/>
    <x v="0"/>
    <s v="Chennai"/>
    <s v="Tamil Nadu"/>
    <s v="2023-02-18"/>
    <s v="26-35"/>
    <n v="-3752.1"/>
  </r>
  <r>
    <s v="ORD01559"/>
    <d v="2026-07-17T00:00:00"/>
    <s v="CUST0566"/>
    <x v="1"/>
    <x v="1"/>
    <n v="1"/>
    <n v="0.2"/>
    <n v="1440"/>
    <n v="448.73"/>
    <x v="1"/>
    <s v="Delivered"/>
    <n v="1440"/>
    <n v="31.16180555555556"/>
    <s v="Profit"/>
    <s v="Arjun Rao"/>
    <x v="0"/>
    <x v="3"/>
    <s v="Kolkata"/>
    <s v="West Bengal"/>
    <s v="2023-09-05"/>
    <s v="26-35"/>
    <n v="448.73"/>
  </r>
  <r>
    <s v="ORD01560"/>
    <d v="2025-07-08T00:00:00"/>
    <s v="CUST0253"/>
    <x v="0"/>
    <x v="0"/>
    <n v="2"/>
    <n v="0.2"/>
    <n v="22400"/>
    <n v="1916.8"/>
    <x v="2"/>
    <s v="Shipped"/>
    <n v="11200"/>
    <n v="8.5571428571428569"/>
    <s v="Profit"/>
    <s v="Manoj Joshi"/>
    <x v="1"/>
    <x v="1"/>
    <s v="Ahmedabad"/>
    <s v="Gujarat"/>
    <s v="2025-01-11"/>
    <s v="36-50"/>
    <n v="958.4"/>
  </r>
  <r>
    <s v="ORD01561"/>
    <d v="2025-11-12T00:00:00"/>
    <s v="CUST0536"/>
    <x v="3"/>
    <x v="8"/>
    <n v="2"/>
    <n v="0.2"/>
    <n v="7200"/>
    <n v="1951.9"/>
    <x v="3"/>
    <s v="Delivered"/>
    <n v="3600"/>
    <n v="27.109722222222221"/>
    <s v="Profit"/>
    <s v="Sneha Nair"/>
    <x v="2"/>
    <x v="2"/>
    <s v="Lucknow"/>
    <s v="Uttar Pradesh"/>
    <s v="2025-10-22"/>
    <s v="36-50"/>
    <n v="975.95"/>
  </r>
  <r>
    <s v="ORD01562"/>
    <d v="2026-02-08T00:00:00"/>
    <s v="CUST0475"/>
    <x v="3"/>
    <x v="11"/>
    <n v="1"/>
    <n v="0.1"/>
    <n v="2250"/>
    <n v="663.96"/>
    <x v="3"/>
    <s v="Delivered"/>
    <n v="2250"/>
    <n v="29.509333333333341"/>
    <s v="Profit"/>
    <s v="Divya Verma"/>
    <x v="0"/>
    <x v="0"/>
    <s v="Bengaluru"/>
    <s v="Karnataka"/>
    <s v="2025-12-10"/>
    <s v="26-35"/>
    <n v="663.96"/>
  </r>
  <r>
    <s v="ORD01563"/>
    <d v="2025-10-30T00:00:00"/>
    <s v="CUST0307"/>
    <x v="2"/>
    <x v="5"/>
    <n v="3"/>
    <n v="0.1"/>
    <n v="29700"/>
    <n v="6212.39"/>
    <x v="2"/>
    <s v="Shipped"/>
    <n v="9900"/>
    <n v="20.917138047138049"/>
    <s v="Profit"/>
    <s v="Diya Mishra"/>
    <x v="1"/>
    <x v="0"/>
    <s v="Coimbatore"/>
    <s v="Tamil Nadu"/>
    <s v="2024-12-29"/>
    <s v="26-35"/>
    <n v="2070.7966666666671"/>
  </r>
  <r>
    <s v="ORD01564"/>
    <d v="2025-09-19T00:00:00"/>
    <s v="CUST0235"/>
    <x v="2"/>
    <x v="5"/>
    <n v="4"/>
    <n v="0.05"/>
    <n v="41800"/>
    <n v="9147.1299999999992"/>
    <x v="1"/>
    <s v="Delivered"/>
    <n v="10450"/>
    <n v="21.88308612440191"/>
    <s v="Profit"/>
    <s v="Harini Gupta"/>
    <x v="0"/>
    <x v="1"/>
    <s v="Pune"/>
    <s v="Maharashtra"/>
    <s v="2024-04-09"/>
    <s v="26-35"/>
    <n v="2286.7824999999998"/>
  </r>
  <r>
    <s v="ORD01565"/>
    <d v="2026-03-25T00:00:00"/>
    <s v="CUST0308"/>
    <x v="2"/>
    <x v="9"/>
    <n v="2"/>
    <n v="0"/>
    <n v="18000"/>
    <n v="4600"/>
    <x v="3"/>
    <s v="Delivered"/>
    <n v="9000"/>
    <n v="25.55555555555555"/>
    <s v="Profit"/>
    <s v="Divya Naidu"/>
    <x v="2"/>
    <x v="0"/>
    <s v="Bengaluru"/>
    <s v="Karnataka"/>
    <s v="2025-12-11"/>
    <s v="51+"/>
    <n v="2300"/>
  </r>
  <r>
    <s v="ORD01566"/>
    <d v="2026-03-09T00:00:00"/>
    <s v="CUST0469"/>
    <x v="2"/>
    <x v="3"/>
    <n v="3"/>
    <n v="0.1"/>
    <n v="40500"/>
    <n v="7732.24"/>
    <x v="0"/>
    <s v="Shipped"/>
    <n v="13500"/>
    <n v="19.091950617283949"/>
    <s v="Profit"/>
    <s v="Kavya Khan"/>
    <x v="1"/>
    <x v="3"/>
    <s v="Bhubaneswar"/>
    <s v="Odisha"/>
    <s v="2025-06-06"/>
    <s v="26-35"/>
    <n v="2577.413333333333"/>
  </r>
  <r>
    <s v="ORD01567"/>
    <d v="2026-03-31T00:00:00"/>
    <s v="CUST0340"/>
    <x v="1"/>
    <x v="1"/>
    <n v="3"/>
    <n v="0.05"/>
    <n v="5130"/>
    <n v="1729.02"/>
    <x v="0"/>
    <s v="Shipped"/>
    <n v="1710"/>
    <n v="33.704093567251462"/>
    <s v="Profit"/>
    <s v="Lakshmi Pillai"/>
    <x v="1"/>
    <x v="0"/>
    <s v="Chennai"/>
    <s v="Tamil Nadu"/>
    <s v="2023-11-04"/>
    <s v="18-25"/>
    <n v="576.34"/>
  </r>
  <r>
    <s v="ORD01568"/>
    <d v="2026-07-29T00:00:00"/>
    <s v="CUST0544"/>
    <x v="3"/>
    <x v="8"/>
    <n v="1"/>
    <n v="0.1"/>
    <n v="4050"/>
    <n v="1214.79"/>
    <x v="3"/>
    <s v="Delivered"/>
    <n v="4050"/>
    <n v="29.994814814814809"/>
    <s v="Profit"/>
    <s v="Rohan Menon"/>
    <x v="1"/>
    <x v="0"/>
    <s v="Hyderabad"/>
    <s v="Telangana"/>
    <s v="2024-05-08"/>
    <s v="26-35"/>
    <n v="1214.79"/>
  </r>
  <r>
    <s v="ORD01569"/>
    <d v="2025-07-06T00:00:00"/>
    <s v="CUST0178"/>
    <x v="2"/>
    <x v="2"/>
    <n v="3"/>
    <n v="0.05"/>
    <n v="37050"/>
    <n v="8495.4500000000007"/>
    <x v="0"/>
    <s v="Shipped"/>
    <n v="12350"/>
    <n v="22.929689608636981"/>
    <s v="Profit"/>
    <s v="Ananya Pillai"/>
    <x v="0"/>
    <x v="1"/>
    <s v="Pune"/>
    <s v="Maharashtra"/>
    <s v="2025-02-10"/>
    <s v="26-35"/>
    <n v="2831.8166666666671"/>
  </r>
  <r>
    <s v="ORD01570"/>
    <d v="2026-04-15T00:00:00"/>
    <s v="CUST0053"/>
    <x v="3"/>
    <x v="4"/>
    <n v="1"/>
    <n v="0.15"/>
    <n v="15300"/>
    <n v="-6534.86"/>
    <x v="1"/>
    <s v="Returned"/>
    <n v="15300"/>
    <n v="-42.711503267973853"/>
    <s v="Loss"/>
    <s v="Aarav Menon"/>
    <x v="2"/>
    <x v="1"/>
    <s v="Pune"/>
    <s v="Maharashtra"/>
    <s v="2025-06-23"/>
    <s v="26-35"/>
    <n v="-6534.86"/>
  </r>
  <r>
    <s v="ORD01571"/>
    <d v="2025-12-29T00:00:00"/>
    <s v="CUST0312"/>
    <x v="1"/>
    <x v="1"/>
    <n v="4"/>
    <n v="0.2"/>
    <n v="5760"/>
    <n v="1842.49"/>
    <x v="1"/>
    <s v="Delivered"/>
    <n v="1440"/>
    <n v="31.987673611111109"/>
    <s v="Profit"/>
    <s v="Kavya Menon"/>
    <x v="1"/>
    <x v="1"/>
    <s v="Mumbai"/>
    <s v="Maharashtra"/>
    <s v="2023-05-26"/>
    <s v="26-35"/>
    <n v="460.6225"/>
  </r>
  <r>
    <s v="ORD01572"/>
    <d v="2025-10-03T00:00:00"/>
    <s v="CUST0289"/>
    <x v="2"/>
    <x v="9"/>
    <n v="2"/>
    <n v="0"/>
    <n v="18000"/>
    <n v="-3078.64"/>
    <x v="3"/>
    <s v="Cancelled"/>
    <n v="9000"/>
    <n v="-17.103555555555559"/>
    <s v="Loss"/>
    <s v="Rahul Iyer"/>
    <x v="2"/>
    <x v="0"/>
    <s v="Coimbatore"/>
    <s v="Tamil Nadu"/>
    <s v="2023-01-07"/>
    <s v="18-25"/>
    <n v="-1539.32"/>
  </r>
  <r>
    <s v="ORD01573"/>
    <d v="2026-02-07T00:00:00"/>
    <s v="CUST0320"/>
    <x v="2"/>
    <x v="2"/>
    <n v="2"/>
    <n v="0"/>
    <n v="26000"/>
    <n v="6400"/>
    <x v="1"/>
    <s v="Delivered"/>
    <n v="13000"/>
    <n v="24.61538461538462"/>
    <s v="Profit"/>
    <s v="Kavya Das"/>
    <x v="0"/>
    <x v="2"/>
    <s v="Lucknow"/>
    <s v="Uttar Pradesh"/>
    <s v="2023-07-09"/>
    <s v="51+"/>
    <n v="3200"/>
  </r>
  <r>
    <s v="ORD01574"/>
    <d v="2026-02-06T00:00:00"/>
    <s v="CUST0230"/>
    <x v="3"/>
    <x v="11"/>
    <n v="2"/>
    <n v="0.1"/>
    <n v="4500"/>
    <n v="1265.43"/>
    <x v="3"/>
    <s v="Delivered"/>
    <n v="2250"/>
    <n v="28.120666666666661"/>
    <s v="Profit"/>
    <s v="Ishaan Iyer"/>
    <x v="0"/>
    <x v="0"/>
    <s v="Bengaluru"/>
    <s v="Karnataka"/>
    <s v="2025-11-29"/>
    <s v="26-35"/>
    <n v="632.71500000000003"/>
  </r>
  <r>
    <s v="ORD01575"/>
    <d v="2025-09-18T00:00:00"/>
    <s v="CUST0016"/>
    <x v="3"/>
    <x v="11"/>
    <n v="1"/>
    <n v="0.05"/>
    <n v="2375"/>
    <n v="703.07"/>
    <x v="0"/>
    <s v="Shipped"/>
    <n v="2375"/>
    <n v="29.602947368421059"/>
    <s v="Profit"/>
    <s v="Ananya Menon"/>
    <x v="0"/>
    <x v="2"/>
    <s v="Jaipur"/>
    <s v="Rajasthan"/>
    <s v="2023-11-11"/>
    <s v="18-25"/>
    <n v="703.07"/>
  </r>
  <r>
    <s v="ORD01576"/>
    <d v="2026-08-11T00:00:00"/>
    <s v="CUST0337"/>
    <x v="0"/>
    <x v="14"/>
    <n v="1"/>
    <n v="0.2"/>
    <n v="360"/>
    <n v="42.95"/>
    <x v="0"/>
    <s v="Delivered"/>
    <n v="360"/>
    <n v="11.930555555555561"/>
    <s v="Profit"/>
    <s v="Varun Das"/>
    <x v="1"/>
    <x v="3"/>
    <s v="Kolkata"/>
    <s v="West Bengal"/>
    <s v="2023-06-16"/>
    <s v="51+"/>
    <n v="42.95"/>
  </r>
  <r>
    <s v="ORD01577"/>
    <d v="2026-07-16T00:00:00"/>
    <s v="CUST0128"/>
    <x v="2"/>
    <x v="3"/>
    <n v="2"/>
    <n v="0.05"/>
    <n v="28500"/>
    <n v="5997.92"/>
    <x v="2"/>
    <s v="Delivered"/>
    <n v="14250"/>
    <n v="21.045333333333328"/>
    <s v="Profit"/>
    <s v="Sneha Mishra"/>
    <x v="2"/>
    <x v="0"/>
    <s v="Chennai"/>
    <s v="Tamil Nadu"/>
    <s v="2024-09-12"/>
    <s v="36-50"/>
    <n v="2998.96"/>
  </r>
  <r>
    <s v="ORD01578"/>
    <d v="2026-03-08T00:00:00"/>
    <s v="CUST0542"/>
    <x v="0"/>
    <x v="7"/>
    <n v="2"/>
    <n v="0.1"/>
    <n v="1620"/>
    <n v="440.6"/>
    <x v="3"/>
    <s v="Shipped"/>
    <n v="810"/>
    <n v="27.197530864197532"/>
    <s v="Profit"/>
    <s v="Vikram Rao"/>
    <x v="1"/>
    <x v="0"/>
    <s v="Bengaluru"/>
    <s v="Karnataka"/>
    <s v="2023-06-19"/>
    <s v="36-50"/>
    <n v="220.3"/>
  </r>
  <r>
    <s v="ORD01579"/>
    <d v="2025-12-20T00:00:00"/>
    <s v="CUST0019"/>
    <x v="0"/>
    <x v="14"/>
    <n v="3"/>
    <n v="0.3"/>
    <n v="945"/>
    <n v="-1.51"/>
    <x v="0"/>
    <s v="Delivered"/>
    <n v="315"/>
    <n v="-0.15978835978835981"/>
    <s v="Loss"/>
    <s v="Ishaan Pillai"/>
    <x v="0"/>
    <x v="1"/>
    <s v="Ahmedabad"/>
    <s v="Gujarat"/>
    <s v="2023-06-28"/>
    <s v="36-50"/>
    <n v="-0.5033333333333333"/>
  </r>
  <r>
    <s v="ORD01580"/>
    <d v="2025-08-29T00:00:00"/>
    <s v="CUST0489"/>
    <x v="2"/>
    <x v="3"/>
    <n v="10"/>
    <n v="0.1"/>
    <n v="135000"/>
    <n v="28233.78"/>
    <x v="2"/>
    <s v="Delivered"/>
    <n v="13500"/>
    <n v="20.913911111111108"/>
    <s v="Profit"/>
    <s v="Kavya Das"/>
    <x v="0"/>
    <x v="0"/>
    <s v="Coimbatore"/>
    <s v="Tamil Nadu"/>
    <s v="2024-03-29"/>
    <s v="26-35"/>
    <n v="2823.3780000000002"/>
  </r>
  <r>
    <s v="ORD01581"/>
    <d v="2026-01-13T00:00:00"/>
    <s v="CUST0385"/>
    <x v="0"/>
    <x v="6"/>
    <n v="4"/>
    <n v="0.05"/>
    <n v="1330"/>
    <n v="428.23"/>
    <x v="2"/>
    <s v="Delivered"/>
    <n v="332.5"/>
    <n v="32.197744360902263"/>
    <s v="Profit"/>
    <s v="Karthik Singh"/>
    <x v="0"/>
    <x v="0"/>
    <s v="Coimbatore"/>
    <s v="Tamil Nadu"/>
    <s v="2023-06-06"/>
    <s v="26-35"/>
    <n v="107.0575"/>
  </r>
  <r>
    <s v="ORD01582"/>
    <d v="2026-03-05T00:00:00"/>
    <s v="CUST0422"/>
    <x v="1"/>
    <x v="15"/>
    <n v="2"/>
    <n v="0.05"/>
    <n v="4180"/>
    <n v="1357.72"/>
    <x v="0"/>
    <s v="Shipped"/>
    <n v="2090"/>
    <n v="32.481339712918661"/>
    <s v="Profit"/>
    <s v="Meera Nair"/>
    <x v="1"/>
    <x v="0"/>
    <s v="Coimbatore"/>
    <s v="Tamil Nadu"/>
    <s v="2025-02-08"/>
    <s v="26-35"/>
    <n v="678.86"/>
  </r>
  <r>
    <s v="ORD01583"/>
    <d v="2025-12-15T00:00:00"/>
    <s v="CUST0214"/>
    <x v="1"/>
    <x v="12"/>
    <n v="4"/>
    <n v="0.1"/>
    <n v="5040"/>
    <n v="1594.62"/>
    <x v="2"/>
    <s v="Delivered"/>
    <n v="1260"/>
    <n v="31.639285714285709"/>
    <s v="Profit"/>
    <s v="Ananya Rao"/>
    <x v="0"/>
    <x v="0"/>
    <s v="Hyderabad"/>
    <s v="Telangana"/>
    <s v="2023-07-14"/>
    <s v="51+"/>
    <n v="398.65499999999997"/>
  </r>
  <r>
    <s v="ORD01584"/>
    <d v="2025-09-04T00:00:00"/>
    <s v="CUST0405"/>
    <x v="3"/>
    <x v="8"/>
    <n v="2"/>
    <n v="0.2"/>
    <n v="7200"/>
    <n v="2170.92"/>
    <x v="1"/>
    <s v="Delivered"/>
    <n v="3600"/>
    <n v="30.15166666666666"/>
    <s v="Profit"/>
    <s v="Varun Naidu"/>
    <x v="0"/>
    <x v="0"/>
    <s v="Chennai"/>
    <s v="Tamil Nadu"/>
    <s v="2024-05-06"/>
    <s v="26-35"/>
    <n v="1085.46"/>
  </r>
  <r>
    <s v="ORD01585"/>
    <d v="2026-04-01T00:00:00"/>
    <s v="CUST0530"/>
    <x v="3"/>
    <x v="11"/>
    <n v="4"/>
    <n v="0"/>
    <n v="10000"/>
    <n v="3200"/>
    <x v="2"/>
    <s v="Delivered"/>
    <n v="2500"/>
    <n v="32"/>
    <s v="Profit"/>
    <s v="Harini Chopra"/>
    <x v="2"/>
    <x v="2"/>
    <s v="Delhi"/>
    <s v="Delhi"/>
    <s v="2023-03-04"/>
    <s v="51+"/>
    <n v="800"/>
  </r>
  <r>
    <s v="ORD01586"/>
    <d v="2025-09-11T00:00:00"/>
    <s v="CUST0081"/>
    <x v="3"/>
    <x v="10"/>
    <n v="2"/>
    <n v="0.15"/>
    <n v="93500"/>
    <n v="-15211.7"/>
    <x v="2"/>
    <s v="Cancelled"/>
    <n v="46750"/>
    <n v="-16.269197860962571"/>
    <s v="Loss"/>
    <s v="Ananya Rao"/>
    <x v="2"/>
    <x v="0"/>
    <s v="Chennai"/>
    <s v="Tamil Nadu"/>
    <s v="2023-10-09"/>
    <s v="36-50"/>
    <n v="-7605.85"/>
  </r>
  <r>
    <s v="ORD01587"/>
    <d v="2025-10-27T00:00:00"/>
    <s v="CUST0338"/>
    <x v="2"/>
    <x v="3"/>
    <n v="2"/>
    <n v="0.05"/>
    <n v="28500"/>
    <n v="6062.87"/>
    <x v="1"/>
    <s v="Delivered"/>
    <n v="14250"/>
    <n v="21.273228070175438"/>
    <s v="Profit"/>
    <s v="Kavya Bose"/>
    <x v="1"/>
    <x v="0"/>
    <s v="Hyderabad"/>
    <s v="Telangana"/>
    <s v="2024-10-27"/>
    <s v="26-35"/>
    <n v="3031.4349999999999"/>
  </r>
  <r>
    <s v="ORD01588"/>
    <d v="2025-07-30T00:00:00"/>
    <s v="CUST0349"/>
    <x v="0"/>
    <x v="7"/>
    <n v="3"/>
    <n v="0.05"/>
    <n v="2565"/>
    <n v="744.7"/>
    <x v="2"/>
    <s v="Delivered"/>
    <n v="855"/>
    <n v="29.033138401559459"/>
    <s v="Profit"/>
    <s v="Aarav Nair"/>
    <x v="1"/>
    <x v="0"/>
    <s v="Hyderabad"/>
    <s v="Telangana"/>
    <s v="2025-07-22"/>
    <s v="26-35"/>
    <n v="248.23333333333329"/>
  </r>
  <r>
    <s v="ORD01589"/>
    <d v="2026-01-11T00:00:00"/>
    <s v="CUST0383"/>
    <x v="2"/>
    <x v="5"/>
    <n v="1"/>
    <n v="0.15"/>
    <n v="9350"/>
    <n v="1519.7"/>
    <x v="1"/>
    <s v="Delivered"/>
    <n v="9350"/>
    <n v="16.253475935828881"/>
    <s v="Profit"/>
    <s v="Arjun Mehta"/>
    <x v="0"/>
    <x v="0"/>
    <s v="Chennai"/>
    <s v="Tamil Nadu"/>
    <s v="2024-05-07"/>
    <s v="51+"/>
    <n v="1519.7"/>
  </r>
  <r>
    <s v="ORD01590"/>
    <d v="2026-06-10T00:00:00"/>
    <s v="CUST0225"/>
    <x v="3"/>
    <x v="8"/>
    <n v="4"/>
    <n v="0.1"/>
    <n v="16200"/>
    <n v="-5593.01"/>
    <x v="2"/>
    <s v="Cancelled"/>
    <n v="4050"/>
    <n v="-34.524753086419757"/>
    <s v="Loss"/>
    <s v="Meera Khan"/>
    <x v="2"/>
    <x v="0"/>
    <s v="Coimbatore"/>
    <s v="Tamil Nadu"/>
    <s v="2025-12-18"/>
    <s v="26-35"/>
    <n v="-1398.2525000000001"/>
  </r>
  <r>
    <s v="ORD01591"/>
    <d v="2026-02-09T00:00:00"/>
    <s v="CUST0475"/>
    <x v="3"/>
    <x v="8"/>
    <n v="3"/>
    <n v="0.05"/>
    <n v="12825"/>
    <n v="-2855.38"/>
    <x v="3"/>
    <s v="Cancelled"/>
    <n v="4275"/>
    <n v="-22.264171539961019"/>
    <s v="Loss"/>
    <s v="Divya Verma"/>
    <x v="0"/>
    <x v="0"/>
    <s v="Bengaluru"/>
    <s v="Karnataka"/>
    <s v="2025-12-10"/>
    <s v="26-35"/>
    <n v="-951.79333333333341"/>
  </r>
  <r>
    <s v="ORD01592"/>
    <d v="2025-07-05T00:00:00"/>
    <s v="CUST0312"/>
    <x v="1"/>
    <x v="12"/>
    <n v="3"/>
    <n v="0.1"/>
    <n v="3780"/>
    <n v="1180.4000000000001"/>
    <x v="1"/>
    <s v="Delivered"/>
    <n v="1260"/>
    <n v="31.227513227513231"/>
    <s v="Profit"/>
    <s v="Kavya Menon"/>
    <x v="1"/>
    <x v="1"/>
    <s v="Mumbai"/>
    <s v="Maharashtra"/>
    <s v="2023-05-26"/>
    <s v="26-35"/>
    <n v="393.4666666666667"/>
  </r>
  <r>
    <s v="ORD01593"/>
    <d v="2025-11-01T00:00:00"/>
    <s v="CUST0077"/>
    <x v="0"/>
    <x v="6"/>
    <n v="5"/>
    <n v="0.15"/>
    <n v="1487.5"/>
    <n v="381.13"/>
    <x v="1"/>
    <s v="Delivered"/>
    <n v="297.5"/>
    <n v="25.622184873949578"/>
    <s v="Profit"/>
    <s v="Aarav Patel"/>
    <x v="2"/>
    <x v="3"/>
    <s v="Bhubaneswar"/>
    <s v="Odisha"/>
    <s v="2023-01-09"/>
    <s v="36-50"/>
    <n v="76.225999999999999"/>
  </r>
  <r>
    <s v="ORD01594"/>
    <d v="2025-08-20T00:00:00"/>
    <s v="CUST0434"/>
    <x v="1"/>
    <x v="13"/>
    <n v="2"/>
    <n v="0.1"/>
    <n v="7560"/>
    <n v="1865.61"/>
    <x v="3"/>
    <s v="Delivered"/>
    <n v="3780"/>
    <n v="24.67738095238095"/>
    <s v="Profit"/>
    <s v="Meera Nair"/>
    <x v="0"/>
    <x v="2"/>
    <s v="Delhi"/>
    <s v="Delhi"/>
    <s v="2023-06-30"/>
    <s v="51+"/>
    <n v="932.80499999999995"/>
  </r>
  <r>
    <s v="ORD01595"/>
    <d v="2025-07-07T00:00:00"/>
    <s v="CUST0539"/>
    <x v="2"/>
    <x v="5"/>
    <n v="5"/>
    <n v="0"/>
    <n v="55000"/>
    <n v="13000"/>
    <x v="1"/>
    <s v="Delivered"/>
    <n v="11000"/>
    <n v="23.63636363636364"/>
    <s v="Profit"/>
    <s v="Diya Chopra"/>
    <x v="0"/>
    <x v="3"/>
    <s v="Patna"/>
    <s v="Bihar"/>
    <s v="2024-02-04"/>
    <s v="36-50"/>
    <n v="2600"/>
  </r>
  <r>
    <s v="ORD01596"/>
    <d v="2025-09-11T00:00:00"/>
    <s v="CUST0089"/>
    <x v="0"/>
    <x v="0"/>
    <n v="5"/>
    <n v="0.05"/>
    <n v="66500"/>
    <n v="12106.42"/>
    <x v="3"/>
    <s v="Delivered"/>
    <n v="13300"/>
    <n v="18.20514285714286"/>
    <s v="Profit"/>
    <s v="Akash Gupta"/>
    <x v="2"/>
    <x v="2"/>
    <s v="Jaipur"/>
    <s v="Rajasthan"/>
    <s v="2025-10-05"/>
    <s v="26-35"/>
    <n v="2421.2840000000001"/>
  </r>
  <r>
    <s v="ORD01597"/>
    <d v="2026-06-11T00:00:00"/>
    <s v="CUST0095"/>
    <x v="2"/>
    <x v="2"/>
    <n v="1"/>
    <n v="0.05"/>
    <n v="12350"/>
    <n v="2678.32"/>
    <x v="1"/>
    <s v="Delivered"/>
    <n v="12350"/>
    <n v="21.686801619433201"/>
    <s v="Profit"/>
    <s v="Manoj Rao"/>
    <x v="1"/>
    <x v="3"/>
    <s v="Guwahati"/>
    <s v="Assam"/>
    <s v="2024-09-25"/>
    <s v="36-50"/>
    <n v="2678.32"/>
  </r>
  <r>
    <s v="ORD01598"/>
    <d v="2025-08-30T00:00:00"/>
    <s v="CUST0515"/>
    <x v="0"/>
    <x v="0"/>
    <n v="1"/>
    <n v="0.2"/>
    <n v="11200"/>
    <n v="624.41999999999996"/>
    <x v="2"/>
    <s v="Delivered"/>
    <n v="11200"/>
    <n v="5.5751785714285713"/>
    <s v="Profit"/>
    <s v="Priya Rao"/>
    <x v="2"/>
    <x v="0"/>
    <s v="Chennai"/>
    <s v="Tamil Nadu"/>
    <s v="2025-06-05"/>
    <s v="18-25"/>
    <n v="624.41999999999996"/>
  </r>
  <r>
    <s v="ORD01599"/>
    <d v="2026-04-23T00:00:00"/>
    <s v="CUST0291"/>
    <x v="3"/>
    <x v="8"/>
    <n v="4"/>
    <n v="0.15"/>
    <n v="15300"/>
    <n v="-2774.41"/>
    <x v="1"/>
    <s v="Cancelled"/>
    <n v="3825"/>
    <n v="-18.133398692810459"/>
    <s v="Loss"/>
    <s v="Divya Chopra"/>
    <x v="1"/>
    <x v="0"/>
    <s v="Bengaluru"/>
    <s v="Karnataka"/>
    <s v="2023-10-19"/>
    <s v="18-25"/>
    <n v="-693.60249999999996"/>
  </r>
  <r>
    <s v="ORD01600"/>
    <d v="2025-07-10T00:00:00"/>
    <s v="CUST0283"/>
    <x v="0"/>
    <x v="6"/>
    <n v="10"/>
    <n v="0.1"/>
    <n v="3150"/>
    <n v="987.35"/>
    <x v="0"/>
    <s v="Delivered"/>
    <n v="315"/>
    <n v="31.344444444444449"/>
    <s v="Profit"/>
    <s v="Manoj Gupta"/>
    <x v="0"/>
    <x v="1"/>
    <s v="Surat"/>
    <s v="Gujarat"/>
    <s v="2025-04-15"/>
    <s v="36-50"/>
    <n v="98.734999999999999"/>
  </r>
  <r>
    <s v="ORD01602"/>
    <d v="2025-12-20T00:00:00"/>
    <s v="CUST0580"/>
    <x v="2"/>
    <x v="5"/>
    <n v="1"/>
    <n v="0.1"/>
    <n v="9900"/>
    <n v="1802.24"/>
    <x v="3"/>
    <s v="Delivered"/>
    <n v="9900"/>
    <n v="18.204444444444441"/>
    <s v="Profit"/>
    <s v="Sneha Iyer"/>
    <x v="2"/>
    <x v="1"/>
    <s v="Pune"/>
    <s v="Maharashtra"/>
    <s v="2023-10-12"/>
    <s v="36-50"/>
    <n v="1802.24"/>
  </r>
  <r>
    <s v="ORD01603"/>
    <d v="2026-05-03T00:00:00"/>
    <s v="CUST0323"/>
    <x v="1"/>
    <x v="12"/>
    <n v="2"/>
    <n v="0.1"/>
    <n v="2520"/>
    <n v="825.93"/>
    <x v="1"/>
    <s v="Delivered"/>
    <n v="1260"/>
    <n v="32.774999999999999"/>
    <s v="Profit"/>
    <s v="Manoj Menon"/>
    <x v="2"/>
    <x v="3"/>
    <s v="Patna"/>
    <s v="Bihar"/>
    <s v="2023-04-08"/>
    <s v="36-50"/>
    <n v="412.96499999999997"/>
  </r>
  <r>
    <s v="ORD01604"/>
    <d v="2026-07-17T00:00:00"/>
    <s v="CUST0041"/>
    <x v="1"/>
    <x v="12"/>
    <n v="4"/>
    <n v="0.1"/>
    <n v="5040"/>
    <n v="1672.61"/>
    <x v="0"/>
    <s v="Delivered"/>
    <n v="1260"/>
    <n v="33.186706349206347"/>
    <s v="Profit"/>
    <s v="Priya Iyer"/>
    <x v="0"/>
    <x v="0"/>
    <s v="Hyderabad"/>
    <s v="Telangana"/>
    <s v="2023-09-13"/>
    <s v="26-35"/>
    <n v="418.15249999999997"/>
  </r>
  <r>
    <s v="ORD01605"/>
    <d v="2026-05-05T00:00:00"/>
    <s v="CUST0006"/>
    <x v="1"/>
    <x v="15"/>
    <n v="4"/>
    <n v="0"/>
    <n v="8800"/>
    <n v="3000"/>
    <x v="2"/>
    <s v="Delivered"/>
    <n v="2200"/>
    <n v="34.090909090909093"/>
    <s v="Profit"/>
    <s v="Sneha Joshi"/>
    <x v="1"/>
    <x v="1"/>
    <s v="Mumbai"/>
    <s v="Maharashtra"/>
    <s v="2025-06-29"/>
    <s v="36-50"/>
    <n v="750"/>
  </r>
  <r>
    <s v="ORD01606"/>
    <d v="2025-08-08T00:00:00"/>
    <s v="CUST0326"/>
    <x v="1"/>
    <x v="13"/>
    <n v="5"/>
    <n v="0.05"/>
    <n v="19950"/>
    <n v="5313.88"/>
    <x v="1"/>
    <s v="Shipped"/>
    <n v="3990"/>
    <n v="26.635989974937349"/>
    <s v="Profit"/>
    <s v="Karthik Das"/>
    <x v="0"/>
    <x v="2"/>
    <s v="Lucknow"/>
    <s v="Uttar Pradesh"/>
    <s v="2025-07-07"/>
    <s v="51+"/>
    <n v="1062.7760000000001"/>
  </r>
  <r>
    <s v="ORD01607"/>
    <d v="2025-10-20T00:00:00"/>
    <s v="CUST0161"/>
    <x v="1"/>
    <x v="12"/>
    <n v="5"/>
    <n v="0"/>
    <n v="7000"/>
    <n v="2500"/>
    <x v="1"/>
    <s v="Shipped"/>
    <n v="1400"/>
    <n v="35.714285714285722"/>
    <s v="Profit"/>
    <s v="Rohan Reddy"/>
    <x v="2"/>
    <x v="0"/>
    <s v="Bengaluru"/>
    <s v="Karnataka"/>
    <s v="2025-07-10"/>
    <s v="51+"/>
    <n v="500"/>
  </r>
  <r>
    <s v="ORD01608"/>
    <d v="2026-06-11T00:00:00"/>
    <s v="CUST0542"/>
    <x v="3"/>
    <x v="11"/>
    <n v="3"/>
    <n v="0.1"/>
    <n v="6750"/>
    <n v="1961.16"/>
    <x v="0"/>
    <s v="Delivered"/>
    <n v="2250"/>
    <n v="29.054222222222229"/>
    <s v="Profit"/>
    <s v="Vikram Rao"/>
    <x v="1"/>
    <x v="0"/>
    <s v="Bengaluru"/>
    <s v="Karnataka"/>
    <s v="2023-06-19"/>
    <s v="36-50"/>
    <n v="653.72"/>
  </r>
  <r>
    <s v="ORD01609"/>
    <d v="2026-01-24T00:00:00"/>
    <s v="CUST0035"/>
    <x v="3"/>
    <x v="11"/>
    <n v="3"/>
    <n v="0.05"/>
    <n v="7125"/>
    <n v="2228.7399999999998"/>
    <x v="3"/>
    <s v="Shipped"/>
    <n v="2375"/>
    <n v="31.28056140350877"/>
    <s v="Profit"/>
    <s v="Karthik Verma"/>
    <x v="1"/>
    <x v="3"/>
    <s v="Guwahati"/>
    <s v="Assam"/>
    <s v="2025-01-09"/>
    <s v="51+"/>
    <n v="742.9133333333333"/>
  </r>
  <r>
    <s v="ORD01610"/>
    <d v="2026-04-08T00:00:00"/>
    <s v="CUST0310"/>
    <x v="3"/>
    <x v="10"/>
    <n v="2"/>
    <n v="0"/>
    <n v="110000"/>
    <n v="-28584.639999999999"/>
    <x v="1"/>
    <s v="Returned"/>
    <n v="55000"/>
    <n v="-25.986036363636359"/>
    <s v="Loss"/>
    <s v="Karthik Chopra"/>
    <x v="1"/>
    <x v="3"/>
    <s v="Guwahati"/>
    <s v="Assam"/>
    <s v="2024-09-09"/>
    <s v="18-25"/>
    <n v="-14292.32"/>
  </r>
  <r>
    <s v="ORD01611"/>
    <d v="2026-05-31T00:00:00"/>
    <s v="CUST0440"/>
    <x v="0"/>
    <x v="7"/>
    <n v="5"/>
    <n v="0.05"/>
    <n v="4275"/>
    <n v="1247.3499999999999"/>
    <x v="0"/>
    <s v="Delivered"/>
    <n v="855"/>
    <n v="29.17777777777777"/>
    <s v="Profit"/>
    <s v="Harini Sharma"/>
    <x v="1"/>
    <x v="0"/>
    <s v="Hyderabad"/>
    <s v="Telangana"/>
    <s v="2024-06-03"/>
    <s v="18-25"/>
    <n v="249.47"/>
  </r>
  <r>
    <s v="ORD01612"/>
    <d v="2025-08-01T00:00:00"/>
    <s v="CUST0375"/>
    <x v="3"/>
    <x v="11"/>
    <n v="1"/>
    <n v="0.15"/>
    <n v="2125"/>
    <n v="529.35"/>
    <x v="3"/>
    <s v="Delivered"/>
    <n v="2125"/>
    <n v="24.910588235294121"/>
    <s v="Profit"/>
    <s v="Sneha Pillai"/>
    <x v="0"/>
    <x v="0"/>
    <s v="Bengaluru"/>
    <s v="Karnataka"/>
    <s v="2024-01-03"/>
    <s v="26-35"/>
    <n v="529.35"/>
  </r>
  <r>
    <s v="ORD01613"/>
    <d v="2026-07-08T00:00:00"/>
    <s v="CUST0047"/>
    <x v="0"/>
    <x v="6"/>
    <n v="1"/>
    <n v="0.05"/>
    <n v="332.5"/>
    <n v="109.52"/>
    <x v="2"/>
    <s v="Delivered"/>
    <n v="332.5"/>
    <n v="32.938345864661663"/>
    <s v="Profit"/>
    <s v="Rahul Das"/>
    <x v="2"/>
    <x v="0"/>
    <s v="Hyderabad"/>
    <s v="Telangana"/>
    <s v="2025-07-16"/>
    <s v="26-35"/>
    <n v="109.52"/>
  </r>
  <r>
    <s v="ORD01614"/>
    <d v="2025-11-22T00:00:00"/>
    <s v="CUST0538"/>
    <x v="2"/>
    <x v="3"/>
    <n v="2"/>
    <n v="0.15"/>
    <n v="25500"/>
    <n v="4348.99"/>
    <x v="3"/>
    <s v="Delivered"/>
    <n v="12750"/>
    <n v="17.054862745098038"/>
    <s v="Profit"/>
    <s v="Sanjay Chopra"/>
    <x v="1"/>
    <x v="0"/>
    <s v="Coimbatore"/>
    <s v="Tamil Nadu"/>
    <s v="2024-01-09"/>
    <s v="36-50"/>
    <n v="2174.4949999999999"/>
  </r>
  <r>
    <s v="ORD01615"/>
    <d v="2026-01-19T00:00:00"/>
    <s v="CUST0076"/>
    <x v="3"/>
    <x v="8"/>
    <n v="4"/>
    <n v="0.05"/>
    <n v="17100"/>
    <n v="5369.81"/>
    <x v="2"/>
    <s v="Shipped"/>
    <n v="4275"/>
    <n v="31.402397660818711"/>
    <s v="Profit"/>
    <s v="Arjun Sharma"/>
    <x v="2"/>
    <x v="3"/>
    <s v="Guwahati"/>
    <s v="Assam"/>
    <s v="2023-12-08"/>
    <s v="51+"/>
    <n v="1342.4525000000001"/>
  </r>
  <r>
    <s v="ORD01616"/>
    <d v="2026-06-15T00:00:00"/>
    <s v="CUST0343"/>
    <x v="2"/>
    <x v="3"/>
    <n v="1"/>
    <n v="0.15"/>
    <n v="12750"/>
    <n v="1834.63"/>
    <x v="1"/>
    <s v="Shipped"/>
    <n v="12750"/>
    <n v="14.389254901960779"/>
    <s v="Profit"/>
    <s v="Meera Iyer"/>
    <x v="0"/>
    <x v="0"/>
    <s v="Bengaluru"/>
    <s v="Karnataka"/>
    <s v="2024-08-02"/>
    <s v="36-50"/>
    <n v="1834.63"/>
  </r>
  <r>
    <s v="ORD01617"/>
    <d v="2026-03-16T00:00:00"/>
    <s v="CUST0284"/>
    <x v="0"/>
    <x v="0"/>
    <n v="2"/>
    <n v="0"/>
    <n v="28000"/>
    <n v="-2797.35"/>
    <x v="1"/>
    <s v="Returned"/>
    <n v="14000"/>
    <n v="-9.9905357142857145"/>
    <s v="Loss"/>
    <s v="Pooja Mehta"/>
    <x v="0"/>
    <x v="0"/>
    <s v="Chennai"/>
    <s v="Tamil Nadu"/>
    <s v="2024-07-24"/>
    <s v="36-50"/>
    <n v="-1398.675"/>
  </r>
  <r>
    <s v="ORD01618"/>
    <d v="2026-03-28T00:00:00"/>
    <s v="CUST0146"/>
    <x v="1"/>
    <x v="1"/>
    <n v="6"/>
    <n v="0.05"/>
    <n v="10260"/>
    <n v="3612.24"/>
    <x v="2"/>
    <s v="Delivered"/>
    <n v="1710"/>
    <n v="35.207017543859649"/>
    <s v="Profit"/>
    <s v="Priya Das"/>
    <x v="3"/>
    <x v="3"/>
    <s v="Patna"/>
    <s v="Bihar"/>
    <s v="2024-06-19"/>
    <s v="26-35"/>
    <n v="602.04"/>
  </r>
  <r>
    <s v="ORD01619"/>
    <d v="2025-08-24T00:00:00"/>
    <s v="CUST0374"/>
    <x v="2"/>
    <x v="5"/>
    <n v="1"/>
    <n v="0.05"/>
    <n v="10450"/>
    <n v="2255.14"/>
    <x v="3"/>
    <s v="Delivered"/>
    <n v="10450"/>
    <n v="21.580287081339709"/>
    <s v="Profit"/>
    <s v="Ishaan Chopra"/>
    <x v="0"/>
    <x v="0"/>
    <s v="Bengaluru"/>
    <s v="Karnataka"/>
    <s v="2024-09-12"/>
    <s v="18-25"/>
    <n v="2255.14"/>
  </r>
  <r>
    <s v="ORD01620"/>
    <d v="2026-01-09T00:00:00"/>
    <s v="CUST0565"/>
    <x v="1"/>
    <x v="13"/>
    <n v="4"/>
    <n v="0.15"/>
    <n v="14280"/>
    <n v="-1087.9000000000001"/>
    <x v="1"/>
    <s v="Cancelled"/>
    <n v="3570"/>
    <n v="-7.6183473389355747"/>
    <s v="Loss"/>
    <s v="Rahul Bose"/>
    <x v="0"/>
    <x v="0"/>
    <s v="Coimbatore"/>
    <s v="Tamil Nadu"/>
    <s v="2024-03-26"/>
    <s v="51+"/>
    <n v="-271.97500000000002"/>
  </r>
  <r>
    <s v="ORD01621"/>
    <d v="2026-06-23T00:00:00"/>
    <s v="CUST0334"/>
    <x v="2"/>
    <x v="5"/>
    <n v="2"/>
    <n v="0.1"/>
    <n v="19800"/>
    <n v="3617.81"/>
    <x v="3"/>
    <s v="Delivered"/>
    <n v="9900"/>
    <n v="18.271767676767681"/>
    <s v="Profit"/>
    <s v="Rahul Joshi"/>
    <x v="1"/>
    <x v="0"/>
    <s v="Hyderabad"/>
    <s v="Telangana"/>
    <s v="2024-05-26"/>
    <s v="26-35"/>
    <n v="1808.905"/>
  </r>
  <r>
    <s v="ORD01622"/>
    <d v="2025-09-10T00:00:00"/>
    <s v="CUST0405"/>
    <x v="0"/>
    <x v="7"/>
    <n v="1"/>
    <n v="0.1"/>
    <n v="810"/>
    <n v="232.1"/>
    <x v="1"/>
    <s v="Delivered"/>
    <n v="810"/>
    <n v="28.654320987654319"/>
    <s v="Profit"/>
    <s v="Varun Naidu"/>
    <x v="0"/>
    <x v="0"/>
    <s v="Chennai"/>
    <s v="Tamil Nadu"/>
    <s v="2024-05-06"/>
    <s v="26-35"/>
    <n v="232.1"/>
  </r>
  <r>
    <s v="ORD01623"/>
    <d v="2025-11-14T00:00:00"/>
    <s v="CUST0203"/>
    <x v="2"/>
    <x v="9"/>
    <n v="1"/>
    <n v="0.2"/>
    <n v="7200"/>
    <n v="975.85"/>
    <x v="2"/>
    <s v="Delivered"/>
    <n v="7200"/>
    <n v="13.55347222222222"/>
    <s v="Profit"/>
    <s v="Arjun Gupta"/>
    <x v="2"/>
    <x v="0"/>
    <s v="Chennai"/>
    <s v="Tamil Nadu"/>
    <s v="2025-03-25"/>
    <s v="36-50"/>
    <n v="975.85"/>
  </r>
  <r>
    <s v="ORD01624"/>
    <d v="2026-07-13T00:00:00"/>
    <s v="CUST0438"/>
    <x v="2"/>
    <x v="5"/>
    <n v="1"/>
    <n v="0.1"/>
    <n v="9900"/>
    <n v="1776.47"/>
    <x v="2"/>
    <s v="Delivered"/>
    <n v="9900"/>
    <n v="17.94414141414142"/>
    <s v="Profit"/>
    <s v="Diya Nair"/>
    <x v="0"/>
    <x v="3"/>
    <s v="Bhubaneswar"/>
    <s v="Odisha"/>
    <s v="2024-03-15"/>
    <s v="51+"/>
    <n v="1776.47"/>
  </r>
  <r>
    <s v="ORD01625"/>
    <d v="2025-10-12T00:00:00"/>
    <s v="CUST0317"/>
    <x v="3"/>
    <x v="10"/>
    <n v="1"/>
    <n v="0"/>
    <n v="55000"/>
    <n v="9000"/>
    <x v="0"/>
    <s v="Delivered"/>
    <n v="55000"/>
    <n v="16.36363636363636"/>
    <s v="Profit"/>
    <s v="Shreya Sharma"/>
    <x v="2"/>
    <x v="2"/>
    <s v="Chandigarh"/>
    <s v="Chandigarh"/>
    <s v="2025-05-20"/>
    <s v="26-35"/>
    <n v="9000"/>
  </r>
  <r>
    <s v="ORD01626"/>
    <d v="2025-11-21T00:00:00"/>
    <s v="CUST0592"/>
    <x v="0"/>
    <x v="0"/>
    <n v="3"/>
    <n v="0.3"/>
    <n v="29400"/>
    <n v="-1214.19"/>
    <x v="1"/>
    <s v="Delivered"/>
    <n v="9800"/>
    <n v="-4.1298979591836744"/>
    <s v="Loss"/>
    <s v="Priya Kulkarni"/>
    <x v="0"/>
    <x v="3"/>
    <s v="Patna"/>
    <s v="Bihar"/>
    <s v="2023-07-25"/>
    <s v="26-35"/>
    <n v="-404.73"/>
  </r>
  <r>
    <s v="ORD01627"/>
    <d v="2026-06-07T00:00:00"/>
    <s v="CUST0176"/>
    <x v="3"/>
    <x v="4"/>
    <n v="2"/>
    <n v="0"/>
    <n v="36000"/>
    <n v="7000"/>
    <x v="0"/>
    <s v="Delivered"/>
    <n v="18000"/>
    <n v="19.44444444444445"/>
    <s v="Profit"/>
    <s v="Diya Patel"/>
    <x v="0"/>
    <x v="2"/>
    <s v="Jaipur"/>
    <s v="Rajasthan"/>
    <s v="2023-08-21"/>
    <s v="26-35"/>
    <n v="3500"/>
  </r>
  <r>
    <s v="ORD01628"/>
    <d v="2025-08-30T00:00:00"/>
    <s v="CUST0077"/>
    <x v="3"/>
    <x v="8"/>
    <n v="4"/>
    <n v="0"/>
    <n v="18000"/>
    <n v="6000"/>
    <x v="3"/>
    <s v="Delivered"/>
    <n v="4500"/>
    <n v="33.333333333333329"/>
    <s v="Profit"/>
    <s v="Aarav Patel"/>
    <x v="2"/>
    <x v="3"/>
    <s v="Bhubaneswar"/>
    <s v="Odisha"/>
    <s v="2023-01-09"/>
    <s v="36-50"/>
    <n v="1500"/>
  </r>
  <r>
    <s v="ORD01629"/>
    <d v="2025-11-29T00:00:00"/>
    <s v="CUST0452"/>
    <x v="0"/>
    <x v="7"/>
    <n v="2"/>
    <n v="0.15"/>
    <n v="1530"/>
    <n v="377.12"/>
    <x v="0"/>
    <s v="Delivered"/>
    <n v="765"/>
    <n v="24.6483660130719"/>
    <s v="Profit"/>
    <s v="Varun Das"/>
    <x v="0"/>
    <x v="2"/>
    <s v="Lucknow"/>
    <s v="Uttar Pradesh"/>
    <s v="2024-09-25"/>
    <s v="36-50"/>
    <n v="188.56"/>
  </r>
  <r>
    <s v="ORD01630"/>
    <d v="2026-04-03T00:00:00"/>
    <s v="CUST0452"/>
    <x v="3"/>
    <x v="11"/>
    <n v="1"/>
    <n v="0.2"/>
    <n v="2000"/>
    <n v="559.49"/>
    <x v="3"/>
    <s v="Delivered"/>
    <n v="2000"/>
    <n v="27.974499999999999"/>
    <s v="Profit"/>
    <s v="Varun Das"/>
    <x v="0"/>
    <x v="2"/>
    <s v="Lucknow"/>
    <s v="Uttar Pradesh"/>
    <s v="2024-09-25"/>
    <s v="36-50"/>
    <n v="559.49"/>
  </r>
  <r>
    <s v="ORD01631"/>
    <d v="2026-08-17T00:00:00"/>
    <s v="CUST0302"/>
    <x v="2"/>
    <x v="5"/>
    <n v="2"/>
    <n v="0.05"/>
    <n v="20900"/>
    <n v="4478.67"/>
    <x v="0"/>
    <s v="Delivered"/>
    <n v="10450"/>
    <n v="21.429043062200961"/>
    <s v="Profit"/>
    <s v="Ananya Iyer"/>
    <x v="0"/>
    <x v="1"/>
    <s v="Pune"/>
    <s v="Maharashtra"/>
    <s v="2025-09-02"/>
    <s v="26-35"/>
    <n v="2239.335"/>
  </r>
  <r>
    <s v="ORD01632"/>
    <d v="2025-11-06T00:00:00"/>
    <s v="CUST0200"/>
    <x v="3"/>
    <x v="8"/>
    <n v="2"/>
    <n v="0.15"/>
    <n v="7650"/>
    <n v="2014.52"/>
    <x v="3"/>
    <s v="Delivered"/>
    <n v="3825"/>
    <n v="26.333594771241831"/>
    <s v="Profit"/>
    <s v="Nisha Mishra"/>
    <x v="2"/>
    <x v="0"/>
    <s v="Bengaluru"/>
    <s v="Karnataka"/>
    <s v="2023-10-31"/>
    <s v="51+"/>
    <n v="1007.26"/>
  </r>
  <r>
    <s v="ORD01633"/>
    <d v="2026-08-25T00:00:00"/>
    <s v="CUST0378"/>
    <x v="3"/>
    <x v="11"/>
    <n v="3"/>
    <n v="0.2"/>
    <n v="6000"/>
    <n v="1373.84"/>
    <x v="2"/>
    <s v="Shipped"/>
    <n v="2000"/>
    <n v="22.897333333333329"/>
    <s v="Profit"/>
    <s v="Aarav Joshi"/>
    <x v="2"/>
    <x v="0"/>
    <s v="Bengaluru"/>
    <s v="Karnataka"/>
    <s v="2025-12-14"/>
    <s v="26-35"/>
    <n v="457.94666666666672"/>
  </r>
  <r>
    <s v="ORD01634"/>
    <d v="2026-04-07T00:00:00"/>
    <s v="CUST0504"/>
    <x v="3"/>
    <x v="4"/>
    <n v="1"/>
    <n v="0"/>
    <n v="18000"/>
    <n v="3500"/>
    <x v="1"/>
    <s v="Delivered"/>
    <n v="18000"/>
    <n v="19.44444444444445"/>
    <s v="Profit"/>
    <s v="Karthik Khan"/>
    <x v="2"/>
    <x v="1"/>
    <s v="Pune"/>
    <s v="Maharashtra"/>
    <s v="2024-10-02"/>
    <s v="36-50"/>
    <n v="3500"/>
  </r>
  <r>
    <s v="ORD01635"/>
    <d v="2025-08-01T00:00:00"/>
    <s v="CUST0011"/>
    <x v="3"/>
    <x v="8"/>
    <n v="4"/>
    <n v="0.1"/>
    <n v="16200"/>
    <n v="-7051.91"/>
    <x v="0"/>
    <s v="Returned"/>
    <n v="4050"/>
    <n v="-43.53030864197531"/>
    <s v="Loss"/>
    <s v="Kavya Menon"/>
    <x v="0"/>
    <x v="3"/>
    <s v="Guwahati"/>
    <s v="Assam"/>
    <s v="2023-05-10"/>
    <s v="26-35"/>
    <n v="-1762.9775"/>
  </r>
  <r>
    <s v="ORD01636"/>
    <d v="2026-07-03T00:00:00"/>
    <s v="CUST0009"/>
    <x v="1"/>
    <x v="1"/>
    <n v="1"/>
    <n v="0.1"/>
    <n v="1620"/>
    <n v="549.51"/>
    <x v="2"/>
    <s v="Shipped"/>
    <n v="1620"/>
    <n v="33.920370370370357"/>
    <s v="Profit"/>
    <s v="Sanjay Gupta"/>
    <x v="1"/>
    <x v="3"/>
    <s v="Guwahati"/>
    <s v="Assam"/>
    <s v="2023-09-12"/>
    <s v="51+"/>
    <n v="549.51"/>
  </r>
  <r>
    <s v="ORD01637"/>
    <d v="2025-09-21T00:00:00"/>
    <s v="CUST0215"/>
    <x v="2"/>
    <x v="3"/>
    <n v="5"/>
    <n v="0.1"/>
    <n v="67500"/>
    <n v="13496.59"/>
    <x v="2"/>
    <s v="Delivered"/>
    <n v="13500"/>
    <n v="19.994948148148151"/>
    <s v="Profit"/>
    <s v="Pooja Reddy"/>
    <x v="1"/>
    <x v="0"/>
    <s v="Bengaluru"/>
    <s v="Karnataka"/>
    <s v="2025-07-16"/>
    <s v="26-35"/>
    <n v="2699.3180000000002"/>
  </r>
  <r>
    <s v="ORD01638"/>
    <d v="2025-08-05T00:00:00"/>
    <s v="CUST0378"/>
    <x v="2"/>
    <x v="9"/>
    <n v="1"/>
    <n v="0.2"/>
    <n v="7200"/>
    <n v="909.05"/>
    <x v="2"/>
    <s v="Delivered"/>
    <n v="7200"/>
    <n v="12.62569444444444"/>
    <s v="Profit"/>
    <s v="Aarav Joshi"/>
    <x v="2"/>
    <x v="0"/>
    <s v="Bengaluru"/>
    <s v="Karnataka"/>
    <s v="2025-12-14"/>
    <s v="26-35"/>
    <n v="909.05"/>
  </r>
  <r>
    <s v="ORD01639"/>
    <d v="2026-02-05T00:00:00"/>
    <s v="CUST0334"/>
    <x v="3"/>
    <x v="4"/>
    <n v="1"/>
    <n v="0.05"/>
    <n v="17100"/>
    <n v="2958.21"/>
    <x v="3"/>
    <s v="Shipped"/>
    <n v="17100"/>
    <n v="17.299473684210529"/>
    <s v="Profit"/>
    <s v="Rahul Joshi"/>
    <x v="1"/>
    <x v="0"/>
    <s v="Hyderabad"/>
    <s v="Telangana"/>
    <s v="2024-05-26"/>
    <s v="26-35"/>
    <n v="2958.21"/>
  </r>
  <r>
    <s v="ORD01640"/>
    <d v="2026-01-13T00:00:00"/>
    <s v="CUST0567"/>
    <x v="1"/>
    <x v="13"/>
    <n v="3"/>
    <n v="0.15"/>
    <n v="10710"/>
    <n v="2002.44"/>
    <x v="0"/>
    <s v="Shipped"/>
    <n v="3570"/>
    <n v="18.696918767507"/>
    <s v="Profit"/>
    <s v="Ananya Chopra"/>
    <x v="2"/>
    <x v="1"/>
    <s v="Pune"/>
    <s v="Maharashtra"/>
    <s v="2025-09-20"/>
    <s v="26-35"/>
    <n v="667.48"/>
  </r>
  <r>
    <s v="ORD01641"/>
    <d v="2026-02-10T00:00:00"/>
    <s v="CUST0130"/>
    <x v="1"/>
    <x v="15"/>
    <n v="2"/>
    <n v="0.05"/>
    <n v="4180"/>
    <n v="1363.06"/>
    <x v="1"/>
    <s v="Delivered"/>
    <n v="2090"/>
    <n v="32.609090909090909"/>
    <s v="Profit"/>
    <s v="Harini Nair"/>
    <x v="0"/>
    <x v="2"/>
    <s v="Delhi"/>
    <s v="Delhi"/>
    <s v="2025-03-01"/>
    <s v="18-25"/>
    <n v="681.53"/>
  </r>
  <r>
    <s v="ORD01642"/>
    <d v="2026-06-05T00:00:00"/>
    <s v="CUST0570"/>
    <x v="0"/>
    <x v="7"/>
    <n v="1"/>
    <n v="0.1"/>
    <n v="810"/>
    <n v="-196.14"/>
    <x v="3"/>
    <s v="Returned"/>
    <n v="810"/>
    <n v="-24.214814814814819"/>
    <s v="Loss"/>
    <s v="Divya Sharma"/>
    <x v="2"/>
    <x v="2"/>
    <s v="Delhi"/>
    <s v="Delhi"/>
    <s v="2024-10-31"/>
    <s v="18-25"/>
    <n v="-196.14"/>
  </r>
  <r>
    <s v="ORD01643"/>
    <d v="2026-07-31T00:00:00"/>
    <s v="CUST0090"/>
    <x v="1"/>
    <x v="12"/>
    <n v="6"/>
    <n v="0.15"/>
    <n v="7140"/>
    <n v="2103.5"/>
    <x v="0"/>
    <s v="Delivered"/>
    <n v="1190"/>
    <n v="29.46078431372549"/>
    <s v="Profit"/>
    <s v="Nisha Bose"/>
    <x v="1"/>
    <x v="0"/>
    <s v="Coimbatore"/>
    <s v="Tamil Nadu"/>
    <s v="2024-09-07"/>
    <s v="51+"/>
    <n v="350.58333333333331"/>
  </r>
  <r>
    <s v="ORD01644"/>
    <d v="2026-02-27T00:00:00"/>
    <s v="CUST0599"/>
    <x v="2"/>
    <x v="5"/>
    <n v="2"/>
    <n v="0.2"/>
    <n v="17600"/>
    <n v="2013.89"/>
    <x v="1"/>
    <s v="Delivered"/>
    <n v="8800"/>
    <n v="11.442556818181821"/>
    <s v="Profit"/>
    <s v="Rahul Das"/>
    <x v="1"/>
    <x v="0"/>
    <s v="Coimbatore"/>
    <s v="Tamil Nadu"/>
    <s v="2024-01-12"/>
    <s v="26-35"/>
    <n v="1006.9450000000001"/>
  </r>
  <r>
    <s v="ORD01645"/>
    <d v="2026-07-16T00:00:00"/>
    <s v="CUST0420"/>
    <x v="1"/>
    <x v="1"/>
    <n v="2"/>
    <n v="0.15"/>
    <n v="3060"/>
    <n v="893.04"/>
    <x v="1"/>
    <s v="Delivered"/>
    <n v="1530"/>
    <n v="29.184313725490199"/>
    <s v="Profit"/>
    <s v="Ishaan Gupta"/>
    <x v="0"/>
    <x v="2"/>
    <s v="Delhi"/>
    <s v="Delhi"/>
    <s v="2024-04-07"/>
    <s v="36-50"/>
    <n v="446.52"/>
  </r>
  <r>
    <s v="ORD01646"/>
    <d v="2026-07-13T00:00:00"/>
    <s v="CUST0306"/>
    <x v="0"/>
    <x v="0"/>
    <n v="2"/>
    <n v="0.1"/>
    <n v="25200"/>
    <n v="3850.24"/>
    <x v="3"/>
    <s v="Delivered"/>
    <n v="12600"/>
    <n v="15.278730158730159"/>
    <s v="Profit"/>
    <s v="Aditya Das"/>
    <x v="0"/>
    <x v="2"/>
    <s v="Lucknow"/>
    <s v="Uttar Pradesh"/>
    <s v="2023-04-26"/>
    <s v="18-25"/>
    <n v="1925.12"/>
  </r>
  <r>
    <s v="ORD01647"/>
    <d v="2026-03-11T00:00:00"/>
    <s v="CUST0485"/>
    <x v="1"/>
    <x v="12"/>
    <n v="1"/>
    <n v="0.1"/>
    <n v="1260"/>
    <n v="-464.49"/>
    <x v="3"/>
    <s v="Returned"/>
    <n v="1260"/>
    <n v="-36.864285714285707"/>
    <s v="Loss"/>
    <s v="Lakshmi Patel"/>
    <x v="0"/>
    <x v="2"/>
    <s v="Jaipur"/>
    <s v="Rajasthan"/>
    <s v="2024-10-30"/>
    <s v="26-35"/>
    <n v="-464.49"/>
  </r>
  <r>
    <s v="ORD01648"/>
    <d v="2025-10-30T00:00:00"/>
    <s v="CUST0250"/>
    <x v="0"/>
    <x v="0"/>
    <n v="4"/>
    <n v="0"/>
    <n v="56000"/>
    <n v="11200"/>
    <x v="2"/>
    <s v="Delivered"/>
    <n v="14000"/>
    <n v="20"/>
    <s v="Profit"/>
    <s v="Sanjay Das"/>
    <x v="1"/>
    <x v="1"/>
    <s v="Ahmedabad"/>
    <s v="Gujarat"/>
    <s v="2024-08-01"/>
    <s v="26-35"/>
    <n v="2800"/>
  </r>
  <r>
    <s v="ORD01649"/>
    <d v="2025-10-08T00:00:00"/>
    <s v="CUST0190"/>
    <x v="2"/>
    <x v="5"/>
    <n v="6"/>
    <n v="0.15"/>
    <n v="56100"/>
    <n v="9549.6"/>
    <x v="2"/>
    <s v="Delivered"/>
    <n v="9350"/>
    <n v="17.022459893048129"/>
    <s v="Profit"/>
    <s v="Rohan Naidu"/>
    <x v="0"/>
    <x v="0"/>
    <s v="Coimbatore"/>
    <s v="Tamil Nadu"/>
    <s v="2023-02-24"/>
    <s v="26-35"/>
    <n v="1591.6"/>
  </r>
  <r>
    <s v="ORD01650"/>
    <d v="2026-03-15T00:00:00"/>
    <s v="CUST0207"/>
    <x v="1"/>
    <x v="15"/>
    <n v="2"/>
    <n v="0.1"/>
    <n v="3960"/>
    <n v="1217.43"/>
    <x v="2"/>
    <s v="Delivered"/>
    <n v="1980"/>
    <n v="30.743181818181821"/>
    <s v="Profit"/>
    <s v="Divya Chopra"/>
    <x v="0"/>
    <x v="1"/>
    <s v="Pune"/>
    <s v="Maharashtra"/>
    <s v="2025-03-02"/>
    <s v="26-35"/>
    <n v="608.71500000000003"/>
  </r>
  <r>
    <s v="ORD01651"/>
    <d v="2026-01-22T00:00:00"/>
    <s v="CUST0087"/>
    <x v="0"/>
    <x v="6"/>
    <n v="3"/>
    <n v="0.2"/>
    <n v="840"/>
    <n v="238.52"/>
    <x v="3"/>
    <s v="Delivered"/>
    <n v="280"/>
    <n v="28.395238095238099"/>
    <s v="Profit"/>
    <s v="Ishaan Khan"/>
    <x v="0"/>
    <x v="2"/>
    <s v="Lucknow"/>
    <s v="Uttar Pradesh"/>
    <s v="2023-07-11"/>
    <s v="51+"/>
    <n v="79.506666666666675"/>
  </r>
  <r>
    <s v="ORD01652"/>
    <d v="2025-10-08T00:00:00"/>
    <s v="CUST0216"/>
    <x v="3"/>
    <x v="8"/>
    <n v="4"/>
    <n v="0.05"/>
    <n v="17100"/>
    <n v="5318.25"/>
    <x v="3"/>
    <s v="Shipped"/>
    <n v="4275"/>
    <n v="31.100877192982459"/>
    <s v="Profit"/>
    <s v="Karthik Mishra"/>
    <x v="0"/>
    <x v="0"/>
    <s v="Hyderabad"/>
    <s v="Telangana"/>
    <s v="2024-06-25"/>
    <s v="26-35"/>
    <n v="1329.5625"/>
  </r>
  <r>
    <s v="ORD01653"/>
    <d v="2025-08-14T00:00:00"/>
    <s v="CUST0432"/>
    <x v="0"/>
    <x v="14"/>
    <n v="3"/>
    <n v="0"/>
    <n v="1350"/>
    <n v="330"/>
    <x v="2"/>
    <s v="Delivered"/>
    <n v="450"/>
    <n v="24.444444444444439"/>
    <s v="Profit"/>
    <s v="Pooja Singh"/>
    <x v="1"/>
    <x v="0"/>
    <s v="Coimbatore"/>
    <s v="Tamil Nadu"/>
    <s v="2023-02-17"/>
    <s v="18-25"/>
    <n v="110"/>
  </r>
  <r>
    <s v="ORD01654"/>
    <d v="2025-11-12T00:00:00"/>
    <s v="CUST0542"/>
    <x v="0"/>
    <x v="0"/>
    <n v="1"/>
    <n v="0.2"/>
    <n v="11200"/>
    <n v="1407.24"/>
    <x v="1"/>
    <s v="Delivered"/>
    <n v="11200"/>
    <n v="12.564642857142861"/>
    <s v="Profit"/>
    <s v="Vikram Rao"/>
    <x v="1"/>
    <x v="0"/>
    <s v="Bengaluru"/>
    <s v="Karnataka"/>
    <s v="2023-06-19"/>
    <s v="36-50"/>
    <n v="1407.24"/>
  </r>
  <r>
    <s v="ORD01655"/>
    <d v="2026-08-26T00:00:00"/>
    <s v="CUST0526"/>
    <x v="0"/>
    <x v="6"/>
    <n v="6"/>
    <n v="0"/>
    <n v="2100"/>
    <n v="720"/>
    <x v="2"/>
    <s v="Delivered"/>
    <n v="350"/>
    <n v="34.285714285714278"/>
    <s v="Profit"/>
    <s v="Meera Mehta"/>
    <x v="0"/>
    <x v="1"/>
    <s v="Pune"/>
    <s v="Maharashtra"/>
    <s v="2023-10-08"/>
    <s v="18-25"/>
    <n v="120"/>
  </r>
  <r>
    <s v="ORD01656"/>
    <d v="2026-04-03T00:00:00"/>
    <s v="CUST0289"/>
    <x v="3"/>
    <x v="4"/>
    <n v="3"/>
    <n v="0"/>
    <n v="54000"/>
    <n v="10500"/>
    <x v="3"/>
    <s v="Delivered"/>
    <n v="18000"/>
    <n v="19.44444444444445"/>
    <s v="Profit"/>
    <s v="Rahul Iyer"/>
    <x v="2"/>
    <x v="0"/>
    <s v="Coimbatore"/>
    <s v="Tamil Nadu"/>
    <s v="2023-01-07"/>
    <s v="18-25"/>
    <n v="3500"/>
  </r>
  <r>
    <s v="ORD01657"/>
    <d v="2026-05-25T00:00:00"/>
    <s v="CUST0332"/>
    <x v="0"/>
    <x v="6"/>
    <n v="2"/>
    <n v="0"/>
    <n v="700"/>
    <n v="41.37"/>
    <x v="1"/>
    <s v="Returned"/>
    <n v="350"/>
    <n v="5.91"/>
    <s v="Profit"/>
    <s v="Vikram Rao"/>
    <x v="1"/>
    <x v="0"/>
    <s v="Coimbatore"/>
    <s v="Tamil Nadu"/>
    <s v="2023-07-04"/>
    <s v="26-35"/>
    <n v="20.684999999999999"/>
  </r>
  <r>
    <s v="ORD01658"/>
    <d v="2026-04-26T00:00:00"/>
    <s v="CUST0457"/>
    <x v="1"/>
    <x v="13"/>
    <n v="3"/>
    <n v="0.1"/>
    <n v="11340"/>
    <n v="2584.3000000000002"/>
    <x v="2"/>
    <s v="Delivered"/>
    <n v="3780"/>
    <n v="22.789241622574959"/>
    <s v="Profit"/>
    <s v="Karthik Bose"/>
    <x v="2"/>
    <x v="0"/>
    <s v="Hyderabad"/>
    <s v="Telangana"/>
    <s v="2025-04-05"/>
    <s v="51+"/>
    <n v="861.43333333333339"/>
  </r>
  <r>
    <s v="ORD01659"/>
    <d v="2026-02-25T00:00:00"/>
    <s v="CUST0072"/>
    <x v="2"/>
    <x v="3"/>
    <n v="1"/>
    <n v="0.1"/>
    <n v="13500"/>
    <n v="2645.78"/>
    <x v="3"/>
    <s v="Delivered"/>
    <n v="13500"/>
    <n v="19.598370370370372"/>
    <s v="Profit"/>
    <s v="Shreya Nair"/>
    <x v="0"/>
    <x v="1"/>
    <s v="Surat"/>
    <s v="Gujarat"/>
    <s v="2025-09-16"/>
    <s v="26-35"/>
    <n v="2645.78"/>
  </r>
  <r>
    <s v="ORD01660"/>
    <d v="2026-07-02T00:00:00"/>
    <s v="CUST0195"/>
    <x v="3"/>
    <x v="10"/>
    <n v="4"/>
    <n v="0.2"/>
    <n v="176000"/>
    <n v="12191.07"/>
    <x v="1"/>
    <s v="Shipped"/>
    <n v="44000"/>
    <n v="6.926744318181818"/>
    <s v="Profit"/>
    <s v="Nisha Kulkarni"/>
    <x v="1"/>
    <x v="0"/>
    <s v="Coimbatore"/>
    <s v="Tamil Nadu"/>
    <s v="2024-04-23"/>
    <s v="18-25"/>
    <n v="3047.7674999999999"/>
  </r>
  <r>
    <s v="ORD01661"/>
    <d v="2026-02-14T00:00:00"/>
    <s v="CUST0556"/>
    <x v="3"/>
    <x v="11"/>
    <n v="2"/>
    <n v="0.15"/>
    <n v="4250"/>
    <n v="1100.7"/>
    <x v="0"/>
    <s v="Delivered"/>
    <n v="2125"/>
    <n v="25.898823529411761"/>
    <s v="Profit"/>
    <s v="Karthik Chopra"/>
    <x v="0"/>
    <x v="0"/>
    <s v="Coimbatore"/>
    <s v="Tamil Nadu"/>
    <s v="2024-08-09"/>
    <s v="26-35"/>
    <n v="550.35"/>
  </r>
  <r>
    <s v="ORD01662"/>
    <d v="2026-02-19T00:00:00"/>
    <s v="CUST0104"/>
    <x v="1"/>
    <x v="12"/>
    <n v="6"/>
    <n v="0"/>
    <n v="8400"/>
    <n v="3000"/>
    <x v="2"/>
    <s v="Delivered"/>
    <n v="1400"/>
    <n v="35.714285714285722"/>
    <s v="Profit"/>
    <s v="Karthik Gupta"/>
    <x v="0"/>
    <x v="2"/>
    <s v="Delhi"/>
    <s v="Delhi"/>
    <s v="2024-07-15"/>
    <s v="36-50"/>
    <n v="500"/>
  </r>
  <r>
    <s v="ORD01663"/>
    <d v="2025-12-07T00:00:00"/>
    <s v="CUST0192"/>
    <x v="2"/>
    <x v="9"/>
    <n v="4"/>
    <n v="0"/>
    <n v="36000"/>
    <n v="9200"/>
    <x v="2"/>
    <s v="Delivered"/>
    <n v="9000"/>
    <n v="25.55555555555555"/>
    <s v="Profit"/>
    <s v="Kavya Verma"/>
    <x v="2"/>
    <x v="3"/>
    <s v="Bhubaneswar"/>
    <s v="Odisha"/>
    <s v="2023-06-15"/>
    <s v="36-50"/>
    <n v="2300"/>
  </r>
  <r>
    <s v="ORD01664"/>
    <d v="2025-12-23T00:00:00"/>
    <s v="CUST0099"/>
    <x v="1"/>
    <x v="12"/>
    <n v="6"/>
    <n v="0.1"/>
    <n v="7560"/>
    <n v="-2689.22"/>
    <x v="2"/>
    <s v="Cancelled"/>
    <n v="1260"/>
    <n v="-35.571693121693123"/>
    <s v="Loss"/>
    <s v="Ananya Mehta"/>
    <x v="1"/>
    <x v="2"/>
    <s v="Chandigarh"/>
    <s v="Chandigarh"/>
    <s v="2025-06-15"/>
    <s v="36-50"/>
    <n v="-448.20333333333332"/>
  </r>
  <r>
    <s v="ORD01665"/>
    <d v="2025-09-22T00:00:00"/>
    <s v="CUST0018"/>
    <x v="2"/>
    <x v="3"/>
    <n v="2"/>
    <n v="0"/>
    <n v="30000"/>
    <n v="7000"/>
    <x v="1"/>
    <s v="Delivered"/>
    <n v="15000"/>
    <n v="23.333333333333329"/>
    <s v="Profit"/>
    <s v="Aditya Mehta"/>
    <x v="0"/>
    <x v="0"/>
    <s v="Hyderabad"/>
    <s v="Telangana"/>
    <s v="2025-01-15"/>
    <s v="51+"/>
    <n v="3500"/>
  </r>
  <r>
    <s v="ORD01666"/>
    <d v="2026-02-06T00:00:00"/>
    <s v="CUST0166"/>
    <x v="2"/>
    <x v="2"/>
    <n v="1"/>
    <n v="0.1"/>
    <n v="11700"/>
    <n v="2553.61"/>
    <x v="2"/>
    <s v="Delivered"/>
    <n v="11700"/>
    <n v="21.825726495726499"/>
    <s v="Profit"/>
    <s v="Arjun Gupta"/>
    <x v="2"/>
    <x v="0"/>
    <s v="Chennai"/>
    <s v="Tamil Nadu"/>
    <s v="2024-10-19"/>
    <s v="18-25"/>
    <n v="2553.61"/>
  </r>
  <r>
    <s v="ORD01667"/>
    <d v="2026-03-25T00:00:00"/>
    <s v="CUST0160"/>
    <x v="3"/>
    <x v="11"/>
    <n v="5"/>
    <n v="0.05"/>
    <n v="11875"/>
    <n v="3581.99"/>
    <x v="1"/>
    <s v="Delivered"/>
    <n v="2375"/>
    <n v="30.164126315789471"/>
    <s v="Profit"/>
    <s v="Divya Sharma"/>
    <x v="2"/>
    <x v="0"/>
    <s v="Bengaluru"/>
    <s v="Karnataka"/>
    <s v="2024-09-25"/>
    <s v="18-25"/>
    <n v="716.39799999999991"/>
  </r>
  <r>
    <s v="ORD01668"/>
    <d v="2025-11-11T00:00:00"/>
    <s v="CUST0447"/>
    <x v="3"/>
    <x v="4"/>
    <n v="1"/>
    <n v="0.1"/>
    <n v="16200"/>
    <n v="2398.6799999999998"/>
    <x v="3"/>
    <s v="Delivered"/>
    <n v="16200"/>
    <n v="14.80666666666666"/>
    <s v="Profit"/>
    <s v="Aarav Iyer"/>
    <x v="2"/>
    <x v="0"/>
    <s v="Hyderabad"/>
    <s v="Telangana"/>
    <s v="2024-09-12"/>
    <s v="36-50"/>
    <n v="2398.6799999999998"/>
  </r>
  <r>
    <s v="ORD01669"/>
    <d v="2026-05-06T00:00:00"/>
    <s v="CUST0136"/>
    <x v="3"/>
    <x v="10"/>
    <n v="3"/>
    <n v="0.05"/>
    <n v="156750"/>
    <n v="-48839.95"/>
    <x v="2"/>
    <s v="Returned"/>
    <n v="52250"/>
    <n v="-31.15786283891547"/>
    <s v="Loss"/>
    <s v="Meera Patel"/>
    <x v="0"/>
    <x v="2"/>
    <s v="Delhi"/>
    <s v="Delhi"/>
    <s v="2024-08-15"/>
    <s v="36-50"/>
    <n v="-16279.98333333333"/>
  </r>
  <r>
    <s v="ORD01670"/>
    <d v="2026-03-30T00:00:00"/>
    <s v="CUST0040"/>
    <x v="3"/>
    <x v="10"/>
    <n v="2"/>
    <n v="0.1"/>
    <n v="99000"/>
    <n v="9704.76"/>
    <x v="2"/>
    <s v="Delivered"/>
    <n v="49500"/>
    <n v="9.8027878787878784"/>
    <s v="Profit"/>
    <s v="Shreya Reddy"/>
    <x v="0"/>
    <x v="2"/>
    <s v="Delhi"/>
    <s v="Delhi"/>
    <s v="2025-05-04"/>
    <s v="26-35"/>
    <n v="4852.38"/>
  </r>
  <r>
    <s v="ORD01671"/>
    <d v="2026-03-20T00:00:00"/>
    <s v="CUST0020"/>
    <x v="1"/>
    <x v="13"/>
    <n v="2"/>
    <n v="0.05"/>
    <n v="7980"/>
    <n v="-3290.54"/>
    <x v="3"/>
    <s v="Returned"/>
    <n v="3990"/>
    <n v="-41.23483709273183"/>
    <s v="Loss"/>
    <s v="Aarav Pillai"/>
    <x v="0"/>
    <x v="2"/>
    <s v="Lucknow"/>
    <s v="Uttar Pradesh"/>
    <s v="2025-11-30"/>
    <s v="26-35"/>
    <n v="-1645.27"/>
  </r>
  <r>
    <s v="ORD01672"/>
    <d v="2026-02-07T00:00:00"/>
    <s v="CUST0057"/>
    <x v="1"/>
    <x v="12"/>
    <n v="2"/>
    <n v="0.15"/>
    <n v="2380"/>
    <n v="675.55"/>
    <x v="3"/>
    <s v="Delivered"/>
    <n v="1190"/>
    <n v="28.384453781512601"/>
    <s v="Profit"/>
    <s v="Akash Singh"/>
    <x v="2"/>
    <x v="2"/>
    <s v="Chandigarh"/>
    <s v="Chandigarh"/>
    <s v="2024-12-21"/>
    <s v="26-35"/>
    <n v="337.77499999999998"/>
  </r>
  <r>
    <s v="ORD01673"/>
    <d v="2025-08-11T00:00:00"/>
    <s v="CUST0383"/>
    <x v="0"/>
    <x v="7"/>
    <n v="4"/>
    <n v="0"/>
    <n v="3600"/>
    <n v="-1242.6199999999999"/>
    <x v="3"/>
    <s v="Cancelled"/>
    <n v="900"/>
    <n v="-34.517222222222223"/>
    <s v="Loss"/>
    <s v="Arjun Mehta"/>
    <x v="0"/>
    <x v="0"/>
    <s v="Chennai"/>
    <s v="Tamil Nadu"/>
    <s v="2024-05-07"/>
    <s v="51+"/>
    <n v="-310.65499999999997"/>
  </r>
  <r>
    <s v="ORD01674"/>
    <d v="2026-08-13T00:00:00"/>
    <s v="CUST0586"/>
    <x v="2"/>
    <x v="2"/>
    <n v="2"/>
    <n v="0.1"/>
    <n v="23400"/>
    <n v="4329.4799999999996"/>
    <x v="2"/>
    <s v="Delivered"/>
    <n v="11700"/>
    <n v="18.50205128205128"/>
    <s v="Profit"/>
    <s v="Sanjay Mehta"/>
    <x v="1"/>
    <x v="0"/>
    <s v="Chennai"/>
    <s v="Tamil Nadu"/>
    <s v="2023-09-11"/>
    <s v="26-35"/>
    <n v="2164.7399999999998"/>
  </r>
  <r>
    <s v="ORD01675"/>
    <d v="2026-07-04T00:00:00"/>
    <s v="CUST0455"/>
    <x v="0"/>
    <x v="7"/>
    <n v="3"/>
    <n v="0.05"/>
    <n v="2565"/>
    <n v="726.26"/>
    <x v="2"/>
    <s v="Delivered"/>
    <n v="855"/>
    <n v="28.31423001949317"/>
    <s v="Profit"/>
    <s v="Priya Sharma"/>
    <x v="0"/>
    <x v="0"/>
    <s v="Hyderabad"/>
    <s v="Telangana"/>
    <s v="2023-12-10"/>
    <s v="26-35"/>
    <n v="242.0866666666667"/>
  </r>
  <r>
    <s v="ORD01676"/>
    <d v="2026-08-11T00:00:00"/>
    <s v="CUST0145"/>
    <x v="3"/>
    <x v="4"/>
    <n v="2"/>
    <n v="0.2"/>
    <n v="28800"/>
    <n v="2919.75"/>
    <x v="0"/>
    <s v="Delivered"/>
    <n v="14400"/>
    <n v="10.13802083333333"/>
    <s v="Profit"/>
    <s v="Arjun Das"/>
    <x v="0"/>
    <x v="1"/>
    <s v="Ahmedabad"/>
    <s v="Gujarat"/>
    <s v="2023-06-06"/>
    <s v="51+"/>
    <n v="1459.875"/>
  </r>
  <r>
    <s v="ORD01677"/>
    <d v="2026-02-14T00:00:00"/>
    <s v="CUST0369"/>
    <x v="2"/>
    <x v="5"/>
    <n v="1"/>
    <n v="0.1"/>
    <n v="9900"/>
    <n v="1708.82"/>
    <x v="2"/>
    <s v="Delivered"/>
    <n v="9900"/>
    <n v="17.260808080808079"/>
    <s v="Profit"/>
    <s v="Lakshmi Gupta"/>
    <x v="0"/>
    <x v="3"/>
    <s v="Bhubaneswar"/>
    <s v="Odisha"/>
    <s v="2023-10-13"/>
    <s v="36-50"/>
    <n v="1708.82"/>
  </r>
  <r>
    <s v="ORD01678"/>
    <d v="2025-07-21T00:00:00"/>
    <s v="CUST0463"/>
    <x v="0"/>
    <x v="14"/>
    <n v="2"/>
    <n v="0.2"/>
    <n v="720"/>
    <n v="120.92"/>
    <x v="3"/>
    <s v="Delivered"/>
    <n v="360"/>
    <n v="16.794444444444441"/>
    <s v="Profit"/>
    <s v="Shreya Patel"/>
    <x v="0"/>
    <x v="0"/>
    <s v="Coimbatore"/>
    <s v="Tamil Nadu"/>
    <s v="2024-02-20"/>
    <s v="51+"/>
    <n v="60.46"/>
  </r>
  <r>
    <s v="ORD01679"/>
    <d v="2026-07-27T00:00:00"/>
    <s v="CUST0182"/>
    <x v="0"/>
    <x v="14"/>
    <n v="1"/>
    <n v="0"/>
    <n v="450"/>
    <n v="-54.66"/>
    <x v="2"/>
    <s v="Cancelled"/>
    <n v="450"/>
    <n v="-12.146666666666659"/>
    <s v="Loss"/>
    <s v="Shreya Iyer"/>
    <x v="2"/>
    <x v="3"/>
    <s v="Patna"/>
    <s v="Bihar"/>
    <s v="2023-07-03"/>
    <s v="36-50"/>
    <n v="-54.66"/>
  </r>
  <r>
    <s v="ORD01680"/>
    <d v="2026-04-06T00:00:00"/>
    <s v="CUST0061"/>
    <x v="1"/>
    <x v="12"/>
    <n v="1"/>
    <n v="0"/>
    <n v="1400"/>
    <n v="500"/>
    <x v="2"/>
    <s v="Delivered"/>
    <n v="1400"/>
    <n v="35.714285714285722"/>
    <s v="Profit"/>
    <s v="Meera Kulkarni"/>
    <x v="0"/>
    <x v="0"/>
    <s v="Bengaluru"/>
    <s v="Karnataka"/>
    <s v="2024-11-07"/>
    <s v="18-25"/>
    <n v="500"/>
  </r>
  <r>
    <s v="ORD01681"/>
    <d v="2025-08-10T00:00:00"/>
    <s v="CUST0021"/>
    <x v="2"/>
    <x v="9"/>
    <n v="4"/>
    <n v="0"/>
    <n v="36000"/>
    <n v="9200"/>
    <x v="1"/>
    <s v="Shipped"/>
    <n v="9000"/>
    <n v="25.55555555555555"/>
    <s v="Profit"/>
    <s v="Varun Nair"/>
    <x v="2"/>
    <x v="1"/>
    <s v="Ahmedabad"/>
    <s v="Gujarat"/>
    <s v="2025-11-12"/>
    <s v="36-50"/>
    <n v="2300"/>
  </r>
  <r>
    <s v="ORD01682"/>
    <d v="2025-08-21T00:00:00"/>
    <s v="CUST0483"/>
    <x v="0"/>
    <x v="7"/>
    <n v="3"/>
    <n v="0"/>
    <n v="2700"/>
    <n v="840"/>
    <x v="2"/>
    <s v="Delivered"/>
    <n v="900"/>
    <n v="31.111111111111111"/>
    <s v="Profit"/>
    <s v="Harini Rao"/>
    <x v="2"/>
    <x v="0"/>
    <s v="Bengaluru"/>
    <s v="Karnataka"/>
    <s v="2025-12-26"/>
    <s v="18-25"/>
    <n v="280"/>
  </r>
  <r>
    <s v="ORD01683"/>
    <d v="2025-08-24T00:00:00"/>
    <s v="CUST0219"/>
    <x v="2"/>
    <x v="3"/>
    <n v="2"/>
    <n v="0.15"/>
    <n v="25500"/>
    <n v="3556.4"/>
    <x v="0"/>
    <s v="Delivered"/>
    <n v="12750"/>
    <n v="13.946666666666671"/>
    <s v="Profit"/>
    <s v="Rahul Menon"/>
    <x v="1"/>
    <x v="3"/>
    <s v="Patna"/>
    <s v="Bihar"/>
    <s v="2023-10-06"/>
    <s v="36-50"/>
    <n v="1778.2"/>
  </r>
  <r>
    <s v="ORD01684"/>
    <d v="2025-10-09T00:00:00"/>
    <s v="CUST0560"/>
    <x v="0"/>
    <x v="0"/>
    <n v="2"/>
    <n v="0.15"/>
    <n v="23800"/>
    <n v="2458.0500000000002"/>
    <x v="3"/>
    <s v="Delivered"/>
    <n v="11900"/>
    <n v="10.32794117647059"/>
    <s v="Profit"/>
    <s v="Rohan Rao"/>
    <x v="0"/>
    <x v="0"/>
    <s v="Bengaluru"/>
    <s v="Karnataka"/>
    <s v="2023-05-29"/>
    <s v="18-25"/>
    <n v="1229.0250000000001"/>
  </r>
  <r>
    <s v="ORD01685"/>
    <d v="2025-08-14T00:00:00"/>
    <s v="CUST0083"/>
    <x v="0"/>
    <x v="0"/>
    <n v="1"/>
    <n v="0.15"/>
    <n v="11900"/>
    <n v="1187.68"/>
    <x v="2"/>
    <s v="Delivered"/>
    <n v="11900"/>
    <n v="9.9805042016806738"/>
    <s v="Profit"/>
    <s v="Nisha Singh"/>
    <x v="0"/>
    <x v="0"/>
    <s v="Bengaluru"/>
    <s v="Karnataka"/>
    <s v="2024-07-24"/>
    <s v="26-35"/>
    <n v="1187.68"/>
  </r>
  <r>
    <s v="ORD01686"/>
    <d v="2025-12-10T00:00:00"/>
    <s v="CUST0568"/>
    <x v="2"/>
    <x v="3"/>
    <n v="2"/>
    <n v="0"/>
    <n v="30000"/>
    <n v="7000"/>
    <x v="1"/>
    <s v="Delivered"/>
    <n v="15000"/>
    <n v="23.333333333333329"/>
    <s v="Profit"/>
    <s v="Sanjay Reddy"/>
    <x v="0"/>
    <x v="2"/>
    <s v="Chandigarh"/>
    <s v="Chandigarh"/>
    <s v="2023-02-19"/>
    <s v="26-35"/>
    <n v="3500"/>
  </r>
  <r>
    <s v="ORD01687"/>
    <d v="2025-07-20T00:00:00"/>
    <s v="CUST0168"/>
    <x v="3"/>
    <x v="10"/>
    <n v="4"/>
    <n v="0.1"/>
    <n v="198000"/>
    <n v="24175.88"/>
    <x v="1"/>
    <s v="Delivered"/>
    <n v="49500"/>
    <n v="12.210040404040409"/>
    <s v="Profit"/>
    <s v="Shreya Sharma"/>
    <x v="1"/>
    <x v="1"/>
    <s v="Ahmedabad"/>
    <s v="Gujarat"/>
    <s v="2025-04-13"/>
    <s v="51+"/>
    <n v="6043.97"/>
  </r>
  <r>
    <s v="ORD01688"/>
    <d v="2026-03-21T00:00:00"/>
    <s v="CUST0574"/>
    <x v="2"/>
    <x v="3"/>
    <n v="1"/>
    <n v="0.15"/>
    <n v="12750"/>
    <n v="-1996.97"/>
    <x v="3"/>
    <s v="Returned"/>
    <n v="12750"/>
    <n v="-15.662509803921569"/>
    <s v="Loss"/>
    <s v="Akash Kulkarni"/>
    <x v="1"/>
    <x v="1"/>
    <s v="Pune"/>
    <s v="Maharashtra"/>
    <s v="2025-11-01"/>
    <s v="51+"/>
    <n v="-1996.97"/>
  </r>
  <r>
    <s v="ORD01689"/>
    <d v="2026-07-20T00:00:00"/>
    <s v="CUST0411"/>
    <x v="3"/>
    <x v="10"/>
    <n v="5"/>
    <n v="0.15"/>
    <n v="233750"/>
    <n v="24550.03"/>
    <x v="0"/>
    <s v="Delivered"/>
    <n v="46750"/>
    <n v="10.50268663101604"/>
    <s v="Profit"/>
    <s v="Arjun Mehta"/>
    <x v="1"/>
    <x v="0"/>
    <s v="Bengaluru"/>
    <s v="Karnataka"/>
    <s v="2023-02-18"/>
    <s v="36-50"/>
    <n v="4910.0059999999994"/>
  </r>
  <r>
    <s v="ORD01690"/>
    <d v="2025-12-08T00:00:00"/>
    <s v="CUST0161"/>
    <x v="0"/>
    <x v="6"/>
    <n v="6"/>
    <n v="0"/>
    <n v="2100"/>
    <n v="720"/>
    <x v="0"/>
    <s v="Delivered"/>
    <n v="350"/>
    <n v="34.285714285714278"/>
    <s v="Profit"/>
    <s v="Rohan Reddy"/>
    <x v="2"/>
    <x v="0"/>
    <s v="Bengaluru"/>
    <s v="Karnataka"/>
    <s v="2025-07-10"/>
    <s v="51+"/>
    <n v="120"/>
  </r>
  <r>
    <s v="ORD01691"/>
    <d v="2026-07-04T00:00:00"/>
    <s v="CUST0416"/>
    <x v="2"/>
    <x v="9"/>
    <n v="6"/>
    <n v="0"/>
    <n v="54000"/>
    <n v="-13543.59"/>
    <x v="3"/>
    <s v="Cancelled"/>
    <n v="9000"/>
    <n v="-25.080722222222221"/>
    <s v="Loss"/>
    <s v="Karthik Reddy"/>
    <x v="0"/>
    <x v="1"/>
    <s v="Mumbai"/>
    <s v="Maharashtra"/>
    <s v="2025-09-16"/>
    <s v="18-25"/>
    <n v="-2257.2649999999999"/>
  </r>
  <r>
    <s v="ORD01692"/>
    <d v="2025-07-09T00:00:00"/>
    <s v="CUST0423"/>
    <x v="2"/>
    <x v="2"/>
    <n v="1"/>
    <n v="0.1"/>
    <n v="11700"/>
    <n v="2515.73"/>
    <x v="0"/>
    <s v="Delivered"/>
    <n v="11700"/>
    <n v="21.50196581196581"/>
    <s v="Profit"/>
    <s v="Rohan Nair"/>
    <x v="0"/>
    <x v="2"/>
    <s v="Chandigarh"/>
    <s v="Chandigarh"/>
    <s v="2023-06-08"/>
    <s v="51+"/>
    <n v="2515.73"/>
  </r>
  <r>
    <s v="ORD01693"/>
    <d v="2026-05-11T00:00:00"/>
    <s v="CUST0157"/>
    <x v="1"/>
    <x v="1"/>
    <n v="1"/>
    <n v="0.1"/>
    <n v="1620"/>
    <n v="-682.89"/>
    <x v="2"/>
    <s v="Cancelled"/>
    <n v="1620"/>
    <n v="-42.153703703703712"/>
    <s v="Loss"/>
    <s v="Diya Rao"/>
    <x v="1"/>
    <x v="0"/>
    <s v="Bengaluru"/>
    <s v="Karnataka"/>
    <s v="2024-02-13"/>
    <s v="51+"/>
    <n v="-682.89"/>
  </r>
  <r>
    <s v="ORD01694"/>
    <d v="2025-10-21T00:00:00"/>
    <s v="CUST0160"/>
    <x v="3"/>
    <x v="8"/>
    <n v="1"/>
    <n v="0"/>
    <n v="4500"/>
    <n v="-1730.05"/>
    <x v="2"/>
    <s v="Returned"/>
    <n v="4500"/>
    <n v="-38.445555555555558"/>
    <s v="Loss"/>
    <s v="Divya Sharma"/>
    <x v="2"/>
    <x v="0"/>
    <s v="Bengaluru"/>
    <s v="Karnataka"/>
    <s v="2024-09-25"/>
    <s v="18-25"/>
    <n v="-1730.05"/>
  </r>
  <r>
    <s v="ORD01695"/>
    <d v="2026-07-12T00:00:00"/>
    <s v="CUST0470"/>
    <x v="3"/>
    <x v="11"/>
    <n v="2"/>
    <n v="0.1"/>
    <n v="4500"/>
    <n v="1212.27"/>
    <x v="1"/>
    <s v="Delivered"/>
    <n v="2250"/>
    <n v="26.93933333333333"/>
    <s v="Profit"/>
    <s v="Akash Kulkarni"/>
    <x v="0"/>
    <x v="1"/>
    <s v="Surat"/>
    <s v="Gujarat"/>
    <s v="2025-07-01"/>
    <s v="51+"/>
    <n v="606.13499999999999"/>
  </r>
  <r>
    <s v="ORD01696"/>
    <d v="2026-08-29T00:00:00"/>
    <s v="CUST0292"/>
    <x v="2"/>
    <x v="9"/>
    <n v="2"/>
    <n v="0.05"/>
    <n v="17100"/>
    <n v="-4716.91"/>
    <x v="1"/>
    <s v="Cancelled"/>
    <n v="8550"/>
    <n v="-27.58426900584795"/>
    <s v="Loss"/>
    <s v="Sanjay Khan"/>
    <x v="0"/>
    <x v="0"/>
    <s v="Bengaluru"/>
    <s v="Karnataka"/>
    <s v="2023-07-05"/>
    <s v="26-35"/>
    <n v="-2358.4549999999999"/>
  </r>
  <r>
    <s v="ORD01697"/>
    <d v="2025-12-16T00:00:00"/>
    <s v="CUST0274"/>
    <x v="0"/>
    <x v="6"/>
    <n v="3"/>
    <n v="0.1"/>
    <n v="945"/>
    <n v="36"/>
    <x v="3"/>
    <s v="Cancelled"/>
    <n v="315"/>
    <n v="3.8095238095238102"/>
    <s v="Profit"/>
    <s v="Meera Bose"/>
    <x v="1"/>
    <x v="0"/>
    <s v="Hyderabad"/>
    <s v="Telangana"/>
    <s v="2025-01-06"/>
    <s v="26-35"/>
    <n v="12"/>
  </r>
  <r>
    <s v="ORD01698"/>
    <d v="2025-08-16T00:00:00"/>
    <s v="CUST0375"/>
    <x v="3"/>
    <x v="11"/>
    <n v="2"/>
    <n v="0"/>
    <n v="5000"/>
    <n v="-520.44000000000005"/>
    <x v="1"/>
    <s v="Cancelled"/>
    <n v="2500"/>
    <n v="-10.408799999999999"/>
    <s v="Loss"/>
    <s v="Sneha Pillai"/>
    <x v="0"/>
    <x v="0"/>
    <s v="Bengaluru"/>
    <s v="Karnataka"/>
    <s v="2024-01-03"/>
    <s v="26-35"/>
    <n v="-260.22000000000003"/>
  </r>
  <r>
    <s v="ORD01699"/>
    <d v="2025-09-15T00:00:00"/>
    <s v="CUST0274"/>
    <x v="0"/>
    <x v="6"/>
    <n v="2"/>
    <n v="0.05"/>
    <n v="665"/>
    <n v="218.49"/>
    <x v="3"/>
    <s v="Delivered"/>
    <n v="332.5"/>
    <n v="32.855639097744358"/>
    <s v="Profit"/>
    <s v="Meera Bose"/>
    <x v="1"/>
    <x v="0"/>
    <s v="Hyderabad"/>
    <s v="Telangana"/>
    <s v="2025-01-06"/>
    <s v="26-35"/>
    <n v="109.245"/>
  </r>
  <r>
    <s v="ORD01700"/>
    <d v="2025-07-01T00:00:00"/>
    <s v="CUST0581"/>
    <x v="0"/>
    <x v="7"/>
    <n v="5"/>
    <n v="0"/>
    <n v="4500"/>
    <n v="1400"/>
    <x v="1"/>
    <s v="Delivered"/>
    <n v="900"/>
    <n v="31.111111111111111"/>
    <s v="Profit"/>
    <s v="Aditya Naidu"/>
    <x v="0"/>
    <x v="0"/>
    <s v="Coimbatore"/>
    <s v="Tamil Nadu"/>
    <s v="2024-10-03"/>
    <s v="18-25"/>
    <n v="280"/>
  </r>
  <r>
    <s v="ORD01701"/>
    <d v="2026-05-20T00:00:00"/>
    <s v="CUST0395"/>
    <x v="2"/>
    <x v="9"/>
    <n v="2"/>
    <n v="0.05"/>
    <n v="17100"/>
    <n v="-2921.72"/>
    <x v="1"/>
    <s v="Returned"/>
    <n v="8550"/>
    <n v="-17.08608187134503"/>
    <s v="Loss"/>
    <s v="Ananya Gupta"/>
    <x v="0"/>
    <x v="2"/>
    <s v="Lucknow"/>
    <s v="Uttar Pradesh"/>
    <s v="2025-01-30"/>
    <s v="18-25"/>
    <n v="-1460.86"/>
  </r>
  <r>
    <s v="ORD01702"/>
    <d v="2025-11-03T00:00:00"/>
    <s v="CUST0578"/>
    <x v="1"/>
    <x v="13"/>
    <n v="3"/>
    <n v="0.1"/>
    <n v="11340"/>
    <n v="2640.33"/>
    <x v="1"/>
    <s v="Delivered"/>
    <n v="3780"/>
    <n v="23.283333333333331"/>
    <s v="Profit"/>
    <s v="Sneha Rao"/>
    <x v="0"/>
    <x v="1"/>
    <s v="Pune"/>
    <s v="Maharashtra"/>
    <s v="2023-03-03"/>
    <s v="26-35"/>
    <n v="880.11"/>
  </r>
  <r>
    <s v="ORD01703"/>
    <d v="2026-03-02T00:00:00"/>
    <s v="CUST0426"/>
    <x v="0"/>
    <x v="6"/>
    <n v="2"/>
    <n v="0.1"/>
    <n v="630"/>
    <n v="201.81"/>
    <x v="1"/>
    <s v="Shipped"/>
    <n v="315"/>
    <n v="32.033333333333339"/>
    <s v="Profit"/>
    <s v="Sneha Rao"/>
    <x v="1"/>
    <x v="2"/>
    <s v="Lucknow"/>
    <s v="Uttar Pradesh"/>
    <s v="2025-02-23"/>
    <s v="36-50"/>
    <n v="100.905"/>
  </r>
  <r>
    <s v="ORD01704"/>
    <d v="2025-10-03T00:00:00"/>
    <s v="CUST0064"/>
    <x v="3"/>
    <x v="10"/>
    <n v="3"/>
    <n v="0.1"/>
    <n v="148500"/>
    <n v="14449.83"/>
    <x v="2"/>
    <s v="Shipped"/>
    <n v="49500"/>
    <n v="9.7305252525252524"/>
    <s v="Profit"/>
    <s v="Diya Rao"/>
    <x v="1"/>
    <x v="0"/>
    <s v="Chennai"/>
    <s v="Tamil Nadu"/>
    <s v="2025-05-13"/>
    <s v="26-35"/>
    <n v="4816.6099999999997"/>
  </r>
  <r>
    <s v="ORD01705"/>
    <d v="2025-08-18T00:00:00"/>
    <s v="CUST0557"/>
    <x v="0"/>
    <x v="14"/>
    <n v="1"/>
    <n v="0.1"/>
    <n v="405"/>
    <n v="87.22"/>
    <x v="2"/>
    <s v="Delivered"/>
    <n v="405"/>
    <n v="21.535802469135799"/>
    <s v="Profit"/>
    <s v="Divya Mishra"/>
    <x v="0"/>
    <x v="2"/>
    <s v="Lucknow"/>
    <s v="Uttar Pradesh"/>
    <s v="2024-11-08"/>
    <s v="18-25"/>
    <n v="87.22"/>
  </r>
  <r>
    <s v="ORD01706"/>
    <d v="2026-05-29T00:00:00"/>
    <s v="CUST0178"/>
    <x v="0"/>
    <x v="7"/>
    <n v="3"/>
    <n v="0.1"/>
    <n v="2430"/>
    <n v="688.2"/>
    <x v="2"/>
    <s v="Delivered"/>
    <n v="810"/>
    <n v="28.320987654320991"/>
    <s v="Profit"/>
    <s v="Ananya Pillai"/>
    <x v="0"/>
    <x v="1"/>
    <s v="Pune"/>
    <s v="Maharashtra"/>
    <s v="2025-02-10"/>
    <s v="26-35"/>
    <n v="229.4"/>
  </r>
  <r>
    <s v="ORD01707"/>
    <d v="2026-08-24T00:00:00"/>
    <s v="CUST0277"/>
    <x v="1"/>
    <x v="1"/>
    <n v="5"/>
    <n v="0.05"/>
    <n v="8550"/>
    <n v="751.99"/>
    <x v="0"/>
    <s v="Cancelled"/>
    <n v="1710"/>
    <n v="8.7952046783625732"/>
    <s v="Profit"/>
    <s v="Pooja Sharma"/>
    <x v="1"/>
    <x v="3"/>
    <s v="Patna"/>
    <s v="Bihar"/>
    <s v="2025-02-27"/>
    <s v="18-25"/>
    <n v="150.398"/>
  </r>
  <r>
    <s v="ORD01708"/>
    <d v="2025-08-07T00:00:00"/>
    <s v="CUST0532"/>
    <x v="3"/>
    <x v="4"/>
    <n v="2"/>
    <n v="0"/>
    <n v="36000"/>
    <n v="7000"/>
    <x v="3"/>
    <s v="Delivered"/>
    <n v="18000"/>
    <n v="19.44444444444445"/>
    <s v="Profit"/>
    <s v="Kavya Khan"/>
    <x v="0"/>
    <x v="2"/>
    <s v="Chandigarh"/>
    <s v="Chandigarh"/>
    <s v="2025-09-23"/>
    <s v="18-25"/>
    <n v="3500"/>
  </r>
  <r>
    <s v="ORD01709"/>
    <d v="2026-05-02T00:00:00"/>
    <s v="CUST0002"/>
    <x v="1"/>
    <x v="12"/>
    <n v="5"/>
    <n v="0.15"/>
    <n v="5950"/>
    <n v="1695.18"/>
    <x v="2"/>
    <s v="Delivered"/>
    <n v="1190"/>
    <n v="28.490420168067232"/>
    <s v="Profit"/>
    <s v="Varun Reddy"/>
    <x v="2"/>
    <x v="1"/>
    <s v="Surat"/>
    <s v="Gujarat"/>
    <s v="2025-01-21"/>
    <s v="36-50"/>
    <n v="339.036"/>
  </r>
  <r>
    <s v="ORD01710"/>
    <d v="2025-09-17T00:00:00"/>
    <s v="CUST0372"/>
    <x v="3"/>
    <x v="8"/>
    <n v="1"/>
    <n v="0.15"/>
    <n v="3825"/>
    <n v="1095.6300000000001"/>
    <x v="3"/>
    <s v="Delivered"/>
    <n v="3825"/>
    <n v="28.643921568627459"/>
    <s v="Profit"/>
    <s v="Akash Das"/>
    <x v="1"/>
    <x v="0"/>
    <s v="Bengaluru"/>
    <s v="Karnataka"/>
    <s v="2024-08-19"/>
    <s v="36-50"/>
    <n v="1095.6300000000001"/>
  </r>
  <r>
    <s v="ORD01711"/>
    <d v="2025-10-03T00:00:00"/>
    <s v="CUST0256"/>
    <x v="3"/>
    <x v="11"/>
    <n v="3"/>
    <n v="0"/>
    <n v="7500"/>
    <n v="2400"/>
    <x v="0"/>
    <s v="Shipped"/>
    <n v="2500"/>
    <n v="32"/>
    <s v="Profit"/>
    <s v="Karthik Singh"/>
    <x v="0"/>
    <x v="0"/>
    <s v="Chennai"/>
    <s v="Tamil Nadu"/>
    <s v="2024-11-27"/>
    <s v="26-35"/>
    <n v="800"/>
  </r>
  <r>
    <s v="ORD01712"/>
    <d v="2025-12-31T00:00:00"/>
    <s v="CUST0395"/>
    <x v="3"/>
    <x v="10"/>
    <n v="3"/>
    <n v="0.05"/>
    <n v="156750"/>
    <n v="21075.31"/>
    <x v="3"/>
    <s v="Delivered"/>
    <n v="52250"/>
    <n v="13.445173843700161"/>
    <s v="Profit"/>
    <s v="Ananya Gupta"/>
    <x v="0"/>
    <x v="2"/>
    <s v="Lucknow"/>
    <s v="Uttar Pradesh"/>
    <s v="2025-01-30"/>
    <s v="18-25"/>
    <n v="7025.1033333333326"/>
  </r>
  <r>
    <s v="ORD01713"/>
    <d v="2026-02-27T00:00:00"/>
    <s v="CUST0165"/>
    <x v="0"/>
    <x v="6"/>
    <n v="10"/>
    <n v="0.15"/>
    <n v="2975"/>
    <n v="832.29"/>
    <x v="3"/>
    <s v="Delivered"/>
    <n v="297.5"/>
    <n v="27.976134453781508"/>
    <s v="Profit"/>
    <s v="Diya Mishra"/>
    <x v="0"/>
    <x v="0"/>
    <s v="Hyderabad"/>
    <s v="Telangana"/>
    <s v="2025-04-25"/>
    <s v="51+"/>
    <n v="83.228999999999999"/>
  </r>
  <r>
    <s v="ORD01714"/>
    <d v="2026-08-27T00:00:00"/>
    <s v="CUST0119"/>
    <x v="3"/>
    <x v="4"/>
    <n v="2"/>
    <n v="0.2"/>
    <n v="28800"/>
    <n v="3304.24"/>
    <x v="1"/>
    <s v="Delivered"/>
    <n v="14400"/>
    <n v="11.47305555555555"/>
    <s v="Profit"/>
    <s v="Divya Naidu"/>
    <x v="1"/>
    <x v="0"/>
    <s v="Coimbatore"/>
    <s v="Tamil Nadu"/>
    <s v="2023-05-25"/>
    <s v="36-50"/>
    <n v="1652.12"/>
  </r>
  <r>
    <s v="ORD01715"/>
    <d v="2026-01-10T00:00:00"/>
    <s v="CUST0510"/>
    <x v="2"/>
    <x v="2"/>
    <n v="2"/>
    <n v="0.15"/>
    <n v="22100"/>
    <n v="-7677.06"/>
    <x v="2"/>
    <s v="Cancelled"/>
    <n v="11050"/>
    <n v="-34.737828054298639"/>
    <s v="Loss"/>
    <s v="Vikram Singh"/>
    <x v="1"/>
    <x v="0"/>
    <s v="Coimbatore"/>
    <s v="Tamil Nadu"/>
    <s v="2024-08-20"/>
    <s v="36-50"/>
    <n v="-3838.53"/>
  </r>
  <r>
    <s v="ORD01716"/>
    <d v="2025-09-07T00:00:00"/>
    <s v="CUST0522"/>
    <x v="1"/>
    <x v="1"/>
    <n v="5"/>
    <n v="0.1"/>
    <n v="8100"/>
    <n v="2766.69"/>
    <x v="0"/>
    <s v="Delivered"/>
    <n v="1620"/>
    <n v="34.156666666666673"/>
    <s v="Profit"/>
    <s v="Karthik Joshi"/>
    <x v="2"/>
    <x v="0"/>
    <s v="Bengaluru"/>
    <s v="Karnataka"/>
    <s v="2023-06-28"/>
    <s v="36-50"/>
    <n v="553.33799999999997"/>
  </r>
  <r>
    <s v="ORD01717"/>
    <d v="2026-03-09T00:00:00"/>
    <s v="CUST0527"/>
    <x v="1"/>
    <x v="1"/>
    <n v="4"/>
    <n v="0.1"/>
    <n v="6480"/>
    <n v="-1915.43"/>
    <x v="2"/>
    <s v="Cancelled"/>
    <n v="1620"/>
    <n v="-29.559104938271609"/>
    <s v="Loss"/>
    <s v="Aarav Patel"/>
    <x v="0"/>
    <x v="0"/>
    <s v="Hyderabad"/>
    <s v="Telangana"/>
    <s v="2024-04-04"/>
    <s v="26-35"/>
    <n v="-478.85750000000002"/>
  </r>
  <r>
    <s v="ORD01718"/>
    <d v="2026-03-17T00:00:00"/>
    <s v="CUST0358"/>
    <x v="1"/>
    <x v="15"/>
    <n v="1"/>
    <n v="0.05"/>
    <n v="2090"/>
    <n v="689.42"/>
    <x v="3"/>
    <s v="Delivered"/>
    <n v="2090"/>
    <n v="32.9866028708134"/>
    <s v="Profit"/>
    <s v="Sanjay Das"/>
    <x v="0"/>
    <x v="0"/>
    <s v="Hyderabad"/>
    <s v="Telangana"/>
    <s v="2025-08-29"/>
    <s v="18-25"/>
    <n v="689.42"/>
  </r>
  <r>
    <s v="ORD01719"/>
    <d v="2025-07-25T00:00:00"/>
    <s v="CUST0365"/>
    <x v="3"/>
    <x v="10"/>
    <n v="2"/>
    <n v="0.1"/>
    <n v="99000"/>
    <n v="9970.9599999999991"/>
    <x v="2"/>
    <s v="Delivered"/>
    <n v="49500"/>
    <n v="10.07167676767677"/>
    <s v="Profit"/>
    <s v="Rohan Naidu"/>
    <x v="0"/>
    <x v="1"/>
    <s v="Pune"/>
    <s v="Maharashtra"/>
    <s v="2023-05-21"/>
    <s v="26-35"/>
    <n v="4985.4799999999996"/>
  </r>
  <r>
    <s v="ORD01720"/>
    <d v="2026-06-10T00:00:00"/>
    <s v="CUST0297"/>
    <x v="3"/>
    <x v="11"/>
    <n v="5"/>
    <n v="0"/>
    <n v="12500"/>
    <n v="4000"/>
    <x v="1"/>
    <s v="Delivered"/>
    <n v="2500"/>
    <n v="32"/>
    <s v="Profit"/>
    <s v="Varun Menon"/>
    <x v="1"/>
    <x v="2"/>
    <s v="Chandigarh"/>
    <s v="Chandigarh"/>
    <s v="2025-02-14"/>
    <s v="18-25"/>
    <n v="800"/>
  </r>
  <r>
    <s v="ORD01721"/>
    <d v="2026-08-02T00:00:00"/>
    <s v="CUST0540"/>
    <x v="2"/>
    <x v="3"/>
    <n v="2"/>
    <n v="0.05"/>
    <n v="28500"/>
    <n v="5772.39"/>
    <x v="0"/>
    <s v="Delivered"/>
    <n v="14250"/>
    <n v="20.254000000000001"/>
    <s v="Profit"/>
    <s v="Kavya Rao"/>
    <x v="0"/>
    <x v="0"/>
    <s v="Chennai"/>
    <s v="Tamil Nadu"/>
    <s v="2023-09-30"/>
    <s v="18-25"/>
    <n v="2886.1950000000002"/>
  </r>
  <r>
    <s v="ORD01722"/>
    <d v="2025-07-07T00:00:00"/>
    <s v="CUST0349"/>
    <x v="3"/>
    <x v="11"/>
    <n v="1"/>
    <n v="0"/>
    <n v="2500"/>
    <n v="800"/>
    <x v="2"/>
    <s v="Delivered"/>
    <n v="2500"/>
    <n v="32"/>
    <s v="Profit"/>
    <s v="Aarav Nair"/>
    <x v="1"/>
    <x v="0"/>
    <s v="Hyderabad"/>
    <s v="Telangana"/>
    <s v="2025-07-22"/>
    <s v="26-35"/>
    <n v="800"/>
  </r>
  <r>
    <s v="ORD01723"/>
    <d v="2025-12-25T00:00:00"/>
    <s v="CUST0497"/>
    <x v="0"/>
    <x v="14"/>
    <n v="2"/>
    <n v="0.1"/>
    <n v="810"/>
    <n v="156.19"/>
    <x v="2"/>
    <s v="Delivered"/>
    <n v="405"/>
    <n v="19.282716049382721"/>
    <s v="Profit"/>
    <s v="Karthik Singh"/>
    <x v="0"/>
    <x v="1"/>
    <s v="Ahmedabad"/>
    <s v="Gujarat"/>
    <s v="2023-10-15"/>
    <s v="36-50"/>
    <n v="78.094999999999999"/>
  </r>
  <r>
    <s v="ORD01724"/>
    <d v="2026-04-08T00:00:00"/>
    <s v="CUST0341"/>
    <x v="0"/>
    <x v="6"/>
    <n v="2"/>
    <n v="0.05"/>
    <n v="665"/>
    <n v="210.79"/>
    <x v="0"/>
    <s v="Delivered"/>
    <n v="332.5"/>
    <n v="31.697744360902249"/>
    <s v="Profit"/>
    <s v="Arjun Mehta"/>
    <x v="1"/>
    <x v="0"/>
    <s v="Coimbatore"/>
    <s v="Tamil Nadu"/>
    <s v="2023-11-21"/>
    <s v="26-35"/>
    <n v="105.395"/>
  </r>
  <r>
    <s v="ORD01725"/>
    <d v="2025-11-05T00:00:00"/>
    <s v="CUST0521"/>
    <x v="0"/>
    <x v="7"/>
    <n v="3"/>
    <n v="0"/>
    <n v="2700"/>
    <n v="840"/>
    <x v="0"/>
    <s v="Shipped"/>
    <n v="900"/>
    <n v="31.111111111111111"/>
    <s v="Profit"/>
    <s v="Priya Singh"/>
    <x v="0"/>
    <x v="0"/>
    <s v="Bengaluru"/>
    <s v="Karnataka"/>
    <s v="2025-11-16"/>
    <s v="51+"/>
    <n v="280"/>
  </r>
  <r>
    <s v="ORD01726"/>
    <d v="2026-06-14T00:00:00"/>
    <s v="CUST0316"/>
    <x v="0"/>
    <x v="6"/>
    <n v="3"/>
    <n v="0.15"/>
    <n v="892.5"/>
    <n v="232.76"/>
    <x v="1"/>
    <s v="Delivered"/>
    <n v="297.5"/>
    <n v="26.079551820728291"/>
    <s v="Profit"/>
    <s v="Sneha Iyer"/>
    <x v="2"/>
    <x v="3"/>
    <s v="Guwahati"/>
    <s v="Assam"/>
    <s v="2024-04-21"/>
    <s v="26-35"/>
    <n v="77.586666666666659"/>
  </r>
  <r>
    <s v="ORD01727"/>
    <d v="2026-02-19T00:00:00"/>
    <s v="CUST0489"/>
    <x v="3"/>
    <x v="11"/>
    <n v="1"/>
    <n v="0.1"/>
    <n v="2250"/>
    <n v="607.92999999999995"/>
    <x v="2"/>
    <s v="Delivered"/>
    <n v="2250"/>
    <n v="27.019111111111108"/>
    <s v="Profit"/>
    <s v="Kavya Das"/>
    <x v="0"/>
    <x v="0"/>
    <s v="Coimbatore"/>
    <s v="Tamil Nadu"/>
    <s v="2024-03-29"/>
    <s v="26-35"/>
    <n v="607.92999999999995"/>
  </r>
  <r>
    <s v="ORD01728"/>
    <d v="2025-09-01T00:00:00"/>
    <s v="CUST0303"/>
    <x v="0"/>
    <x v="0"/>
    <n v="3"/>
    <n v="0"/>
    <n v="42000"/>
    <n v="-10935.98"/>
    <x v="3"/>
    <s v="Cancelled"/>
    <n v="14000"/>
    <n v="-26.038047619047621"/>
    <s v="Loss"/>
    <s v="Aarav Sharma"/>
    <x v="1"/>
    <x v="0"/>
    <s v="Bengaluru"/>
    <s v="Karnataka"/>
    <s v="2024-12-30"/>
    <s v="26-35"/>
    <n v="-3645.3266666666659"/>
  </r>
  <r>
    <s v="ORD01729"/>
    <d v="2026-03-05T00:00:00"/>
    <s v="CUST0427"/>
    <x v="2"/>
    <x v="9"/>
    <n v="1"/>
    <n v="0.05"/>
    <n v="8550"/>
    <n v="1995.33"/>
    <x v="3"/>
    <s v="Delivered"/>
    <n v="8550"/>
    <n v="23.337192982456141"/>
    <s v="Profit"/>
    <s v="Nisha Mehta"/>
    <x v="1"/>
    <x v="0"/>
    <s v="Chennai"/>
    <s v="Tamil Nadu"/>
    <s v="2025-08-11"/>
    <s v="51+"/>
    <n v="1995.33"/>
  </r>
  <r>
    <s v="ORD01730"/>
    <d v="2025-12-17T00:00:00"/>
    <s v="CUST0468"/>
    <x v="0"/>
    <x v="6"/>
    <n v="5"/>
    <n v="0"/>
    <n v="1750"/>
    <n v="600"/>
    <x v="2"/>
    <s v="Delivered"/>
    <n v="350"/>
    <n v="34.285714285714278"/>
    <s v="Profit"/>
    <s v="Lakshmi Mehta"/>
    <x v="1"/>
    <x v="0"/>
    <s v="Chennai"/>
    <s v="Tamil Nadu"/>
    <s v="2023-03-02"/>
    <s v="26-35"/>
    <n v="120"/>
  </r>
  <r>
    <s v="ORD01731"/>
    <d v="2026-08-19T00:00:00"/>
    <s v="CUST0319"/>
    <x v="3"/>
    <x v="8"/>
    <n v="4"/>
    <n v="0.15"/>
    <n v="15300"/>
    <n v="-3947.18"/>
    <x v="0"/>
    <s v="Returned"/>
    <n v="3825"/>
    <n v="-25.798562091503271"/>
    <s v="Loss"/>
    <s v="Vikram Sharma"/>
    <x v="0"/>
    <x v="0"/>
    <s v="Bengaluru"/>
    <s v="Karnataka"/>
    <s v="2024-01-16"/>
    <s v="26-35"/>
    <n v="-986.79499999999996"/>
  </r>
  <r>
    <s v="ORD01732"/>
    <d v="2026-08-04T00:00:00"/>
    <s v="CUST0508"/>
    <x v="0"/>
    <x v="6"/>
    <n v="4"/>
    <n v="0"/>
    <n v="1400"/>
    <n v="480"/>
    <x v="2"/>
    <s v="Shipped"/>
    <n v="350"/>
    <n v="34.285714285714278"/>
    <s v="Profit"/>
    <s v="Karthik Naidu"/>
    <x v="0"/>
    <x v="3"/>
    <s v="Guwahati"/>
    <s v="Assam"/>
    <s v="2024-10-11"/>
    <s v="18-25"/>
    <n v="120"/>
  </r>
  <r>
    <s v="ORD01733"/>
    <d v="2026-01-29T00:00:00"/>
    <s v="CUST0510"/>
    <x v="3"/>
    <x v="8"/>
    <n v="3"/>
    <n v="0"/>
    <n v="13500"/>
    <n v="4500"/>
    <x v="0"/>
    <s v="Shipped"/>
    <n v="4500"/>
    <n v="33.333333333333329"/>
    <s v="Profit"/>
    <s v="Vikram Singh"/>
    <x v="1"/>
    <x v="0"/>
    <s v="Coimbatore"/>
    <s v="Tamil Nadu"/>
    <s v="2024-08-20"/>
    <s v="36-50"/>
    <n v="1500"/>
  </r>
  <r>
    <s v="ORD01734"/>
    <d v="2026-06-24T00:00:00"/>
    <s v="CUST0029"/>
    <x v="2"/>
    <x v="2"/>
    <n v="15"/>
    <n v="0"/>
    <n v="195000"/>
    <n v="48000"/>
    <x v="3"/>
    <s v="Delivered"/>
    <n v="13000"/>
    <n v="24.61538461538462"/>
    <s v="Profit"/>
    <s v="Rohan Kulkarni"/>
    <x v="0"/>
    <x v="1"/>
    <s v="Mumbai"/>
    <s v="Maharashtra"/>
    <s v="2023-04-17"/>
    <s v="36-50"/>
    <n v="3200"/>
  </r>
  <r>
    <s v="ORD01735"/>
    <d v="2025-08-26T00:00:00"/>
    <s v="CUST0158"/>
    <x v="2"/>
    <x v="2"/>
    <n v="2"/>
    <n v="0.1"/>
    <n v="23400"/>
    <n v="4271.54"/>
    <x v="2"/>
    <s v="Delivered"/>
    <n v="11700"/>
    <n v="18.254444444444449"/>
    <s v="Profit"/>
    <s v="Ananya Reddy"/>
    <x v="2"/>
    <x v="0"/>
    <s v="Bengaluru"/>
    <s v="Karnataka"/>
    <s v="2024-04-04"/>
    <s v="18-25"/>
    <n v="2135.77"/>
  </r>
  <r>
    <s v="ORD01736"/>
    <d v="2025-08-14T00:00:00"/>
    <s v="CUST0341"/>
    <x v="1"/>
    <x v="1"/>
    <n v="1"/>
    <n v="0"/>
    <n v="1800"/>
    <n v="650"/>
    <x v="0"/>
    <s v="Delivered"/>
    <n v="1800"/>
    <n v="36.111111111111107"/>
    <s v="Profit"/>
    <s v="Arjun Mehta"/>
    <x v="1"/>
    <x v="0"/>
    <s v="Coimbatore"/>
    <s v="Tamil Nadu"/>
    <s v="2023-11-21"/>
    <s v="26-35"/>
    <n v="650"/>
  </r>
  <r>
    <s v="ORD01737"/>
    <d v="2026-01-22T00:00:00"/>
    <s v="CUST0530"/>
    <x v="0"/>
    <x v="14"/>
    <n v="1"/>
    <n v="0.05"/>
    <n v="427.5"/>
    <n v="91.75"/>
    <x v="3"/>
    <s v="Delivered"/>
    <n v="427.5"/>
    <n v="21.46198830409357"/>
    <s v="Profit"/>
    <s v="Harini Chopra"/>
    <x v="2"/>
    <x v="2"/>
    <s v="Delhi"/>
    <s v="Delhi"/>
    <s v="2023-03-04"/>
    <s v="51+"/>
    <n v="91.75"/>
  </r>
  <r>
    <s v="ORD01738"/>
    <d v="2026-01-27T00:00:00"/>
    <s v="CUST0148"/>
    <x v="2"/>
    <x v="5"/>
    <n v="2"/>
    <n v="0.15"/>
    <n v="18700"/>
    <n v="3123.04"/>
    <x v="1"/>
    <s v="Delivered"/>
    <n v="9350"/>
    <n v="16.700748663101599"/>
    <s v="Profit"/>
    <s v="Sanjay Mishra"/>
    <x v="0"/>
    <x v="3"/>
    <s v="Bhubaneswar"/>
    <s v="Odisha"/>
    <s v="2023-09-04"/>
    <s v="51+"/>
    <n v="1561.52"/>
  </r>
  <r>
    <s v="ORD01739"/>
    <d v="2026-05-13T00:00:00"/>
    <s v="CUST0453"/>
    <x v="2"/>
    <x v="9"/>
    <n v="2"/>
    <n v="0"/>
    <n v="18000"/>
    <n v="-4660.17"/>
    <x v="0"/>
    <s v="Cancelled"/>
    <n v="9000"/>
    <n v="-25.889833333333339"/>
    <s v="Loss"/>
    <s v="Harini Rao"/>
    <x v="0"/>
    <x v="2"/>
    <s v="Chandigarh"/>
    <s v="Chandigarh"/>
    <s v="2023-06-23"/>
    <s v="26-35"/>
    <n v="-2330.085"/>
  </r>
  <r>
    <s v="ORD01740"/>
    <d v="2025-07-07T00:00:00"/>
    <s v="CUST0503"/>
    <x v="0"/>
    <x v="7"/>
    <n v="1"/>
    <n v="0"/>
    <n v="900"/>
    <n v="280"/>
    <x v="0"/>
    <s v="Shipped"/>
    <n v="900"/>
    <n v="31.111111111111111"/>
    <s v="Profit"/>
    <s v="Manoj Nair"/>
    <x v="2"/>
    <x v="0"/>
    <s v="Hyderabad"/>
    <s v="Telangana"/>
    <s v="2025-08-16"/>
    <s v="51+"/>
    <n v="280"/>
  </r>
  <r>
    <s v="ORD01741"/>
    <d v="2026-08-18T00:00:00"/>
    <s v="CUST0521"/>
    <x v="1"/>
    <x v="1"/>
    <n v="2"/>
    <n v="0.2"/>
    <n v="2880"/>
    <n v="-1285.31"/>
    <x v="0"/>
    <s v="Returned"/>
    <n v="1440"/>
    <n v="-44.628819444444453"/>
    <s v="Loss"/>
    <s v="Priya Singh"/>
    <x v="0"/>
    <x v="0"/>
    <s v="Bengaluru"/>
    <s v="Karnataka"/>
    <s v="2025-11-16"/>
    <s v="51+"/>
    <n v="-642.65499999999997"/>
  </r>
  <r>
    <s v="ORD01742"/>
    <d v="2026-05-10T00:00:00"/>
    <s v="CUST0533"/>
    <x v="0"/>
    <x v="14"/>
    <n v="1"/>
    <n v="0.3"/>
    <n v="315"/>
    <n v="27.98"/>
    <x v="0"/>
    <s v="Delivered"/>
    <n v="315"/>
    <n v="8.882539682539683"/>
    <s v="Profit"/>
    <s v="Sneha Pillai"/>
    <x v="0"/>
    <x v="1"/>
    <s v="Pune"/>
    <s v="Maharashtra"/>
    <s v="2023-06-15"/>
    <s v="18-25"/>
    <n v="27.98"/>
  </r>
  <r>
    <s v="ORD01743"/>
    <d v="2026-07-31T00:00:00"/>
    <s v="CUST0179"/>
    <x v="0"/>
    <x v="0"/>
    <n v="4"/>
    <n v="0.1"/>
    <n v="50400"/>
    <n v="6766"/>
    <x v="2"/>
    <s v="Delivered"/>
    <n v="12600"/>
    <n v="13.424603174603179"/>
    <s v="Profit"/>
    <s v="Akash Pillai"/>
    <x v="0"/>
    <x v="1"/>
    <s v="Pune"/>
    <s v="Maharashtra"/>
    <s v="2024-09-14"/>
    <s v="51+"/>
    <n v="1691.5"/>
  </r>
  <r>
    <s v="ORD01744"/>
    <d v="2025-10-10T00:00:00"/>
    <s v="CUST0198"/>
    <x v="3"/>
    <x v="4"/>
    <n v="2"/>
    <n v="0"/>
    <n v="36000"/>
    <n v="7000"/>
    <x v="0"/>
    <s v="Delivered"/>
    <n v="18000"/>
    <n v="19.44444444444445"/>
    <s v="Profit"/>
    <s v="Varun Joshi"/>
    <x v="1"/>
    <x v="3"/>
    <s v="Bhubaneswar"/>
    <s v="Odisha"/>
    <s v="2024-08-06"/>
    <s v="36-50"/>
    <n v="3500"/>
  </r>
  <r>
    <s v="ORD01745"/>
    <d v="2026-04-02T00:00:00"/>
    <s v="CUST0382"/>
    <x v="2"/>
    <x v="9"/>
    <n v="5"/>
    <n v="0"/>
    <n v="45000"/>
    <n v="-12183.01"/>
    <x v="3"/>
    <s v="Cancelled"/>
    <n v="9000"/>
    <n v="-27.073355555555551"/>
    <s v="Loss"/>
    <s v="Karthik Rao"/>
    <x v="2"/>
    <x v="1"/>
    <s v="Surat"/>
    <s v="Gujarat"/>
    <s v="2023-03-30"/>
    <s v="18-25"/>
    <n v="-2436.6019999999999"/>
  </r>
  <r>
    <s v="ORD01746"/>
    <d v="2026-07-18T00:00:00"/>
    <s v="CUST0458"/>
    <x v="3"/>
    <x v="11"/>
    <n v="6"/>
    <n v="0"/>
    <n v="15000"/>
    <n v="-2383.02"/>
    <x v="2"/>
    <s v="Returned"/>
    <n v="2500"/>
    <n v="-15.886799999999999"/>
    <s v="Loss"/>
    <s v="Diya Nair"/>
    <x v="0"/>
    <x v="2"/>
    <s v="Lucknow"/>
    <s v="Uttar Pradesh"/>
    <s v="2024-12-31"/>
    <s v="26-35"/>
    <n v="-397.17"/>
  </r>
  <r>
    <s v="ORD01747"/>
    <d v="2025-07-13T00:00:00"/>
    <s v="CUST0068"/>
    <x v="0"/>
    <x v="14"/>
    <n v="4"/>
    <n v="0"/>
    <n v="1800"/>
    <n v="440"/>
    <x v="2"/>
    <s v="Delivered"/>
    <n v="450"/>
    <n v="24.444444444444439"/>
    <s v="Profit"/>
    <s v="Harini Pillai"/>
    <x v="1"/>
    <x v="3"/>
    <s v="Guwahati"/>
    <s v="Assam"/>
    <s v="2024-04-08"/>
    <s v="36-50"/>
    <n v="110"/>
  </r>
  <r>
    <s v="ORD01748"/>
    <d v="2026-03-18T00:00:00"/>
    <s v="CUST0292"/>
    <x v="0"/>
    <x v="7"/>
    <n v="2"/>
    <n v="0.15"/>
    <n v="1530"/>
    <n v="-390.88"/>
    <x v="3"/>
    <s v="Returned"/>
    <n v="765"/>
    <n v="-25.547712418300659"/>
    <s v="Loss"/>
    <s v="Sanjay Khan"/>
    <x v="0"/>
    <x v="0"/>
    <s v="Bengaluru"/>
    <s v="Karnataka"/>
    <s v="2023-07-05"/>
    <s v="26-35"/>
    <n v="-195.44"/>
  </r>
  <r>
    <s v="ORD01749"/>
    <d v="2025-07-16T00:00:00"/>
    <s v="CUST0287"/>
    <x v="1"/>
    <x v="15"/>
    <n v="2"/>
    <n v="0"/>
    <n v="4400"/>
    <n v="1500"/>
    <x v="0"/>
    <s v="Delivered"/>
    <n v="2200"/>
    <n v="34.090909090909093"/>
    <s v="Profit"/>
    <s v="Akash Pillai"/>
    <x v="1"/>
    <x v="0"/>
    <s v="Chennai"/>
    <s v="Tamil Nadu"/>
    <s v="2023-07-20"/>
    <s v="18-25"/>
    <n v="750"/>
  </r>
  <r>
    <s v="ORD01750"/>
    <d v="2026-07-15T00:00:00"/>
    <s v="CUST0590"/>
    <x v="3"/>
    <x v="11"/>
    <n v="1"/>
    <n v="0.1"/>
    <n v="2250"/>
    <n v="638.03"/>
    <x v="2"/>
    <s v="Delivered"/>
    <n v="2250"/>
    <n v="28.356888888888889"/>
    <s v="Profit"/>
    <s v="Aarav Bose"/>
    <x v="0"/>
    <x v="1"/>
    <s v="Pune"/>
    <s v="Maharashtra"/>
    <s v="2025-08-22"/>
    <s v="36-50"/>
    <n v="638.03"/>
  </r>
  <r>
    <s v="ORD01751"/>
    <d v="2026-06-12T00:00:00"/>
    <s v="CUST0062"/>
    <x v="2"/>
    <x v="3"/>
    <n v="1"/>
    <n v="0.1"/>
    <n v="13500"/>
    <n v="2378.92"/>
    <x v="1"/>
    <s v="Delivered"/>
    <n v="13500"/>
    <n v="17.621629629629631"/>
    <s v="Profit"/>
    <s v="Harini Pillai"/>
    <x v="1"/>
    <x v="2"/>
    <s v="Jaipur"/>
    <s v="Rajasthan"/>
    <s v="2023-04-01"/>
    <s v="36-50"/>
    <n v="2378.92"/>
  </r>
  <r>
    <s v="ORD01752"/>
    <d v="2026-03-04T00:00:00"/>
    <s v="CUST0259"/>
    <x v="3"/>
    <x v="8"/>
    <n v="2"/>
    <n v="0"/>
    <n v="9000"/>
    <n v="3000"/>
    <x v="2"/>
    <s v="Delivered"/>
    <n v="4500"/>
    <n v="33.333333333333329"/>
    <s v="Profit"/>
    <s v="Manoj Menon"/>
    <x v="2"/>
    <x v="0"/>
    <s v="Coimbatore"/>
    <s v="Tamil Nadu"/>
    <s v="2023-10-20"/>
    <s v="26-35"/>
    <n v="1500"/>
  </r>
  <r>
    <s v="ORD01753"/>
    <d v="2026-04-26T00:00:00"/>
    <s v="CUST0343"/>
    <x v="2"/>
    <x v="9"/>
    <n v="3"/>
    <n v="0.1"/>
    <n v="24300"/>
    <n v="5382.03"/>
    <x v="2"/>
    <s v="Delivered"/>
    <n v="8100"/>
    <n v="22.14827160493827"/>
    <s v="Profit"/>
    <s v="Meera Iyer"/>
    <x v="0"/>
    <x v="0"/>
    <s v="Bengaluru"/>
    <s v="Karnataka"/>
    <s v="2024-08-02"/>
    <s v="36-50"/>
    <n v="1794.01"/>
  </r>
  <r>
    <s v="ORD01754"/>
    <d v="2026-01-22T00:00:00"/>
    <s v="CUST0437"/>
    <x v="0"/>
    <x v="6"/>
    <n v="2"/>
    <n v="0.05"/>
    <n v="665"/>
    <n v="223.43"/>
    <x v="1"/>
    <s v="Delivered"/>
    <n v="332.5"/>
    <n v="33.598496240601513"/>
    <s v="Profit"/>
    <s v="Rahul Kulkarni"/>
    <x v="0"/>
    <x v="1"/>
    <s v="Surat"/>
    <s v="Gujarat"/>
    <s v="2023-12-14"/>
    <s v="18-25"/>
    <n v="111.715"/>
  </r>
  <r>
    <s v="ORD01755"/>
    <d v="2026-07-09T00:00:00"/>
    <s v="CUST0527"/>
    <x v="1"/>
    <x v="1"/>
    <n v="4"/>
    <n v="0.1"/>
    <n v="6480"/>
    <n v="2167.4"/>
    <x v="2"/>
    <s v="Delivered"/>
    <n v="1620"/>
    <n v="33.447530864197532"/>
    <s v="Profit"/>
    <s v="Aarav Patel"/>
    <x v="0"/>
    <x v="0"/>
    <s v="Hyderabad"/>
    <s v="Telangana"/>
    <s v="2024-04-04"/>
    <s v="26-35"/>
    <n v="541.85"/>
  </r>
  <r>
    <s v="ORD01756"/>
    <d v="2025-09-06T00:00:00"/>
    <s v="CUST0284"/>
    <x v="1"/>
    <x v="13"/>
    <n v="1"/>
    <n v="0.05"/>
    <n v="3990"/>
    <n v="1034.55"/>
    <x v="3"/>
    <s v="Delivered"/>
    <n v="3990"/>
    <n v="25.928571428571431"/>
    <s v="Profit"/>
    <s v="Pooja Mehta"/>
    <x v="0"/>
    <x v="0"/>
    <s v="Chennai"/>
    <s v="Tamil Nadu"/>
    <s v="2024-07-24"/>
    <s v="36-50"/>
    <n v="1034.55"/>
  </r>
  <r>
    <s v="ORD01757"/>
    <d v="2025-09-16T00:00:00"/>
    <s v="CUST0172"/>
    <x v="3"/>
    <x v="11"/>
    <n v="4"/>
    <n v="0"/>
    <n v="10000"/>
    <n v="3200"/>
    <x v="3"/>
    <s v="Delivered"/>
    <n v="2500"/>
    <n v="32"/>
    <s v="Profit"/>
    <s v="Shreya Nair"/>
    <x v="0"/>
    <x v="1"/>
    <s v="Mumbai"/>
    <s v="Maharashtra"/>
    <s v="2025-02-26"/>
    <s v="36-50"/>
    <n v="800"/>
  </r>
  <r>
    <s v="ORD01758"/>
    <d v="2026-07-07T00:00:00"/>
    <s v="CUST0131"/>
    <x v="3"/>
    <x v="10"/>
    <n v="1"/>
    <n v="0.2"/>
    <n v="44000"/>
    <n v="2222.02"/>
    <x v="0"/>
    <s v="Delivered"/>
    <n v="44000"/>
    <n v="5.0500454545454554"/>
    <s v="Profit"/>
    <s v="Harini Das"/>
    <x v="0"/>
    <x v="0"/>
    <s v="Chennai"/>
    <s v="Tamil Nadu"/>
    <s v="2024-10-14"/>
    <s v="26-35"/>
    <n v="2222.02"/>
  </r>
  <r>
    <s v="ORD01759"/>
    <d v="2026-06-22T00:00:00"/>
    <s v="CUST0340"/>
    <x v="3"/>
    <x v="8"/>
    <n v="2"/>
    <n v="0"/>
    <n v="9000"/>
    <n v="3000"/>
    <x v="0"/>
    <s v="Delivered"/>
    <n v="4500"/>
    <n v="33.333333333333329"/>
    <s v="Profit"/>
    <s v="Lakshmi Pillai"/>
    <x v="1"/>
    <x v="0"/>
    <s v="Chennai"/>
    <s v="Tamil Nadu"/>
    <s v="2023-11-04"/>
    <s v="18-25"/>
    <n v="1500"/>
  </r>
  <r>
    <s v="ORD01760"/>
    <d v="2026-04-28T00:00:00"/>
    <s v="CUST0049"/>
    <x v="0"/>
    <x v="14"/>
    <n v="2"/>
    <n v="0.2"/>
    <n v="720"/>
    <n v="67.790000000000006"/>
    <x v="3"/>
    <s v="Delivered"/>
    <n v="360"/>
    <n v="9.4152777777777779"/>
    <s v="Profit"/>
    <s v="Lakshmi Kulkarni"/>
    <x v="0"/>
    <x v="1"/>
    <s v="Ahmedabad"/>
    <s v="Gujarat"/>
    <s v="2023-01-08"/>
    <s v="26-35"/>
    <n v="33.895000000000003"/>
  </r>
  <r>
    <s v="ORD01761"/>
    <d v="2026-08-03T00:00:00"/>
    <s v="CUST0447"/>
    <x v="2"/>
    <x v="5"/>
    <n v="1"/>
    <n v="0.2"/>
    <n v="8800"/>
    <n v="1436.68"/>
    <x v="3"/>
    <s v="Shipped"/>
    <n v="8800"/>
    <n v="16.325909090909089"/>
    <s v="Profit"/>
    <s v="Aarav Iyer"/>
    <x v="2"/>
    <x v="0"/>
    <s v="Hyderabad"/>
    <s v="Telangana"/>
    <s v="2024-09-12"/>
    <s v="36-50"/>
    <n v="1436.68"/>
  </r>
  <r>
    <s v="ORD01762"/>
    <d v="2026-08-27T00:00:00"/>
    <s v="CUST0431"/>
    <x v="2"/>
    <x v="2"/>
    <n v="5"/>
    <n v="0.15"/>
    <n v="55250"/>
    <n v="-3223.81"/>
    <x v="3"/>
    <s v="Returned"/>
    <n v="11050"/>
    <n v="-5.8349502262443442"/>
    <s v="Loss"/>
    <s v="Manoj Naidu"/>
    <x v="1"/>
    <x v="0"/>
    <s v="Bengaluru"/>
    <s v="Karnataka"/>
    <s v="2023-01-16"/>
    <s v="36-50"/>
    <n v="-644.76199999999994"/>
  </r>
  <r>
    <s v="ORD01763"/>
    <d v="2026-08-12T00:00:00"/>
    <s v="CUST0384"/>
    <x v="3"/>
    <x v="10"/>
    <n v="2"/>
    <n v="0.15"/>
    <n v="93500"/>
    <n v="7070.31"/>
    <x v="3"/>
    <s v="Delivered"/>
    <n v="46750"/>
    <n v="7.5618288770053486"/>
    <s v="Profit"/>
    <s v="Pooja Gupta"/>
    <x v="1"/>
    <x v="1"/>
    <s v="Pune"/>
    <s v="Maharashtra"/>
    <s v="2025-11-14"/>
    <s v="36-50"/>
    <n v="3535.1550000000002"/>
  </r>
  <r>
    <s v="ORD01764"/>
    <d v="2026-07-23T00:00:00"/>
    <s v="CUST0031"/>
    <x v="0"/>
    <x v="14"/>
    <n v="1"/>
    <n v="0.05"/>
    <n v="427.5"/>
    <n v="96.69"/>
    <x v="1"/>
    <s v="Delivered"/>
    <n v="427.5"/>
    <n v="22.617543859649121"/>
    <s v="Profit"/>
    <s v="Priya Mishra"/>
    <x v="2"/>
    <x v="0"/>
    <s v="Bengaluru"/>
    <s v="Karnataka"/>
    <s v="2023-05-09"/>
    <s v="51+"/>
    <n v="96.69"/>
  </r>
  <r>
    <s v="ORD01765"/>
    <d v="2025-10-13T00:00:00"/>
    <s v="CUST0080"/>
    <x v="2"/>
    <x v="3"/>
    <n v="2"/>
    <n v="0.05"/>
    <n v="28500"/>
    <n v="6237.76"/>
    <x v="1"/>
    <s v="Shipped"/>
    <n v="14250"/>
    <n v="21.88687719298246"/>
    <s v="Profit"/>
    <s v="Vikram Verma"/>
    <x v="1"/>
    <x v="3"/>
    <s v="Patna"/>
    <s v="Bihar"/>
    <s v="2024-09-20"/>
    <s v="51+"/>
    <n v="3118.88"/>
  </r>
  <r>
    <s v="ORD01766"/>
    <d v="2025-07-19T00:00:00"/>
    <s v="CUST0284"/>
    <x v="0"/>
    <x v="6"/>
    <n v="2"/>
    <n v="0"/>
    <n v="700"/>
    <n v="240"/>
    <x v="1"/>
    <s v="Delivered"/>
    <n v="350"/>
    <n v="34.285714285714278"/>
    <s v="Profit"/>
    <s v="Pooja Mehta"/>
    <x v="0"/>
    <x v="0"/>
    <s v="Chennai"/>
    <s v="Tamil Nadu"/>
    <s v="2024-07-24"/>
    <s v="36-50"/>
    <n v="120"/>
  </r>
  <r>
    <s v="ORD01767"/>
    <d v="2026-01-22T00:00:00"/>
    <s v="CUST0122"/>
    <x v="2"/>
    <x v="9"/>
    <n v="5"/>
    <n v="0.15"/>
    <n v="38250"/>
    <n v="7387.41"/>
    <x v="0"/>
    <s v="Shipped"/>
    <n v="7650"/>
    <n v="19.31349019607843"/>
    <s v="Profit"/>
    <s v="Pooja Pillai"/>
    <x v="1"/>
    <x v="1"/>
    <s v="Pune"/>
    <s v="Maharashtra"/>
    <s v="2023-03-15"/>
    <s v="26-35"/>
    <n v="1477.482"/>
  </r>
  <r>
    <s v="ORD01768"/>
    <d v="2025-10-07T00:00:00"/>
    <s v="CUST0246"/>
    <x v="2"/>
    <x v="2"/>
    <n v="3"/>
    <n v="0.15"/>
    <n v="33150"/>
    <n v="5563.18"/>
    <x v="1"/>
    <s v="Delivered"/>
    <n v="11050"/>
    <n v="16.781840120663649"/>
    <s v="Profit"/>
    <s v="Rohan Nair"/>
    <x v="0"/>
    <x v="2"/>
    <s v="Chandigarh"/>
    <s v="Chandigarh"/>
    <s v="2023-05-17"/>
    <s v="18-25"/>
    <n v="1854.393333333333"/>
  </r>
  <r>
    <s v="ORD01769"/>
    <d v="2026-02-14T00:00:00"/>
    <s v="CUST0225"/>
    <x v="0"/>
    <x v="6"/>
    <n v="4"/>
    <n v="0.1"/>
    <n v="1260"/>
    <n v="386.67"/>
    <x v="3"/>
    <s v="Delivered"/>
    <n v="315"/>
    <n v="30.68809523809524"/>
    <s v="Profit"/>
    <s v="Meera Khan"/>
    <x v="2"/>
    <x v="0"/>
    <s v="Coimbatore"/>
    <s v="Tamil Nadu"/>
    <s v="2025-12-18"/>
    <s v="26-35"/>
    <n v="96.667500000000004"/>
  </r>
  <r>
    <s v="ORD01770"/>
    <d v="2025-12-25T00:00:00"/>
    <s v="CUST0522"/>
    <x v="2"/>
    <x v="3"/>
    <n v="4"/>
    <n v="0"/>
    <n v="60000"/>
    <n v="14000"/>
    <x v="0"/>
    <s v="Delivered"/>
    <n v="15000"/>
    <n v="23.333333333333329"/>
    <s v="Profit"/>
    <s v="Karthik Joshi"/>
    <x v="2"/>
    <x v="0"/>
    <s v="Bengaluru"/>
    <s v="Karnataka"/>
    <s v="2023-06-28"/>
    <s v="36-50"/>
    <n v="3500"/>
  </r>
  <r>
    <s v="ORD01771"/>
    <d v="2026-01-03T00:00:00"/>
    <s v="CUST0503"/>
    <x v="3"/>
    <x v="8"/>
    <n v="4"/>
    <n v="0"/>
    <n v="18000"/>
    <n v="6000"/>
    <x v="0"/>
    <s v="Delivered"/>
    <n v="4500"/>
    <n v="33.333333333333329"/>
    <s v="Profit"/>
    <s v="Manoj Nair"/>
    <x v="2"/>
    <x v="0"/>
    <s v="Hyderabad"/>
    <s v="Telangana"/>
    <s v="2025-08-16"/>
    <s v="51+"/>
    <n v="1500"/>
  </r>
  <r>
    <s v="ORD01772"/>
    <d v="2026-06-17T00:00:00"/>
    <s v="CUST0252"/>
    <x v="3"/>
    <x v="10"/>
    <n v="4"/>
    <n v="0.3"/>
    <n v="154000"/>
    <n v="-12879.74"/>
    <x v="0"/>
    <s v="Delivered"/>
    <n v="38500"/>
    <n v="-8.3634675324675314"/>
    <s v="Loss"/>
    <s v="Ishaan Pillai"/>
    <x v="0"/>
    <x v="0"/>
    <s v="Coimbatore"/>
    <s v="Tamil Nadu"/>
    <s v="2024-06-19"/>
    <s v="36-50"/>
    <n v="-3219.9349999999999"/>
  </r>
  <r>
    <s v="ORD01773"/>
    <d v="2025-10-07T00:00:00"/>
    <s v="CUST0300"/>
    <x v="3"/>
    <x v="4"/>
    <n v="4"/>
    <n v="0.2"/>
    <n v="57600"/>
    <n v="3824.91"/>
    <x v="1"/>
    <s v="Delivered"/>
    <n v="14400"/>
    <n v="6.6404687500000001"/>
    <s v="Profit"/>
    <s v="Ananya Patel"/>
    <x v="0"/>
    <x v="2"/>
    <s v="Chandigarh"/>
    <s v="Chandigarh"/>
    <s v="2025-08-18"/>
    <s v="18-25"/>
    <n v="956.22749999999996"/>
  </r>
  <r>
    <s v="ORD01774"/>
    <d v="2025-07-16T00:00:00"/>
    <s v="CUST0017"/>
    <x v="3"/>
    <x v="8"/>
    <n v="2"/>
    <n v="0"/>
    <n v="9000"/>
    <n v="380"/>
    <x v="1"/>
    <s v="Returned"/>
    <n v="4500"/>
    <n v="4.2222222222222223"/>
    <s v="Profit"/>
    <s v="Varun Rao"/>
    <x v="0"/>
    <x v="1"/>
    <s v="Surat"/>
    <s v="Gujarat"/>
    <s v="2025-10-21"/>
    <s v="26-35"/>
    <n v="190"/>
  </r>
  <r>
    <s v="ORD01775"/>
    <d v="2025-09-14T00:00:00"/>
    <s v="CUST0259"/>
    <x v="3"/>
    <x v="11"/>
    <n v="3"/>
    <n v="0.1"/>
    <n v="6750"/>
    <n v="1999.76"/>
    <x v="0"/>
    <s v="Delivered"/>
    <n v="2250"/>
    <n v="29.626074074074069"/>
    <s v="Profit"/>
    <s v="Manoj Menon"/>
    <x v="2"/>
    <x v="0"/>
    <s v="Coimbatore"/>
    <s v="Tamil Nadu"/>
    <s v="2023-10-20"/>
    <s v="26-35"/>
    <n v="666.5866666666667"/>
  </r>
  <r>
    <s v="ORD01776"/>
    <d v="2026-05-26T00:00:00"/>
    <s v="CUST0178"/>
    <x v="0"/>
    <x v="14"/>
    <n v="1"/>
    <n v="0"/>
    <n v="450"/>
    <n v="110"/>
    <x v="3"/>
    <s v="Delivered"/>
    <n v="450"/>
    <n v="24.444444444444439"/>
    <s v="Profit"/>
    <s v="Ananya Pillai"/>
    <x v="0"/>
    <x v="1"/>
    <s v="Pune"/>
    <s v="Maharashtra"/>
    <s v="2025-02-10"/>
    <s v="26-35"/>
    <n v="110"/>
  </r>
  <r>
    <s v="ORD01777"/>
    <d v="2026-08-18T00:00:00"/>
    <s v="CUST0265"/>
    <x v="2"/>
    <x v="5"/>
    <n v="2"/>
    <n v="0.2"/>
    <n v="17600"/>
    <n v="-6251.09"/>
    <x v="0"/>
    <s v="Returned"/>
    <n v="8800"/>
    <n v="-35.517556818181824"/>
    <s v="Loss"/>
    <s v="Aditya Rao"/>
    <x v="0"/>
    <x v="2"/>
    <s v="Jaipur"/>
    <s v="Rajasthan"/>
    <s v="2023-07-24"/>
    <s v="51+"/>
    <n v="-3125.5450000000001"/>
  </r>
  <r>
    <s v="ORD01778"/>
    <d v="2026-04-09T00:00:00"/>
    <s v="CUST0373"/>
    <x v="1"/>
    <x v="13"/>
    <n v="1"/>
    <n v="0.05"/>
    <n v="3990"/>
    <n v="1078.51"/>
    <x v="2"/>
    <s v="Delivered"/>
    <n v="3990"/>
    <n v="27.03032581453634"/>
    <s v="Profit"/>
    <s v="Karthik Sharma"/>
    <x v="1"/>
    <x v="1"/>
    <s v="Ahmedabad"/>
    <s v="Gujarat"/>
    <s v="2023-12-05"/>
    <s v="51+"/>
    <n v="1078.51"/>
  </r>
  <r>
    <s v="ORD01779"/>
    <d v="2026-03-28T00:00:00"/>
    <s v="CUST0343"/>
    <x v="3"/>
    <x v="4"/>
    <n v="5"/>
    <n v="0"/>
    <n v="90000"/>
    <n v="17500"/>
    <x v="2"/>
    <s v="Delivered"/>
    <n v="18000"/>
    <n v="19.44444444444445"/>
    <s v="Profit"/>
    <s v="Meera Iyer"/>
    <x v="0"/>
    <x v="0"/>
    <s v="Bengaluru"/>
    <s v="Karnataka"/>
    <s v="2024-08-02"/>
    <s v="36-50"/>
    <n v="3500"/>
  </r>
  <r>
    <s v="ORD01780"/>
    <d v="2026-08-29T00:00:00"/>
    <s v="CUST0137"/>
    <x v="1"/>
    <x v="12"/>
    <n v="1"/>
    <n v="0"/>
    <n v="1400"/>
    <n v="500"/>
    <x v="2"/>
    <s v="Delivered"/>
    <n v="1400"/>
    <n v="35.714285714285722"/>
    <s v="Profit"/>
    <s v="Nisha Rao"/>
    <x v="1"/>
    <x v="2"/>
    <s v="Delhi"/>
    <s v="Delhi"/>
    <s v="2024-07-02"/>
    <s v="26-35"/>
    <n v="500"/>
  </r>
  <r>
    <s v="ORD01781"/>
    <d v="2026-04-09T00:00:00"/>
    <s v="CUST0229"/>
    <x v="1"/>
    <x v="12"/>
    <n v="2"/>
    <n v="0"/>
    <n v="2800"/>
    <n v="1000"/>
    <x v="3"/>
    <s v="Shipped"/>
    <n v="1400"/>
    <n v="35.714285714285722"/>
    <s v="Profit"/>
    <s v="Harini Chopra"/>
    <x v="0"/>
    <x v="0"/>
    <s v="Bengaluru"/>
    <s v="Karnataka"/>
    <s v="2025-05-19"/>
    <s v="26-35"/>
    <n v="500"/>
  </r>
  <r>
    <s v="ORD01782"/>
    <d v="2026-07-04T00:00:00"/>
    <s v="CUST0516"/>
    <x v="2"/>
    <x v="3"/>
    <n v="2"/>
    <n v="0.05"/>
    <n v="28500"/>
    <n v="5949.55"/>
    <x v="3"/>
    <s v="Delivered"/>
    <n v="14250"/>
    <n v="20.875614035087722"/>
    <s v="Profit"/>
    <s v="Rahul Mishra"/>
    <x v="1"/>
    <x v="0"/>
    <s v="Hyderabad"/>
    <s v="Telangana"/>
    <s v="2024-01-31"/>
    <s v="26-35"/>
    <n v="2974.7750000000001"/>
  </r>
  <r>
    <s v="ORD01783"/>
    <d v="2025-07-21T00:00:00"/>
    <s v="CUST0311"/>
    <x v="1"/>
    <x v="13"/>
    <n v="2"/>
    <n v="0"/>
    <n v="8400"/>
    <n v="2400"/>
    <x v="3"/>
    <s v="Delivered"/>
    <n v="4200"/>
    <n v="28.571428571428569"/>
    <s v="Profit"/>
    <s v="Sneha Verma"/>
    <x v="2"/>
    <x v="1"/>
    <s v="Surat"/>
    <s v="Gujarat"/>
    <s v="2025-03-27"/>
    <s v="18-25"/>
    <n v="1200"/>
  </r>
  <r>
    <s v="ORD01784"/>
    <d v="2026-02-22T00:00:00"/>
    <s v="CUST0596"/>
    <x v="0"/>
    <x v="6"/>
    <n v="3"/>
    <n v="0"/>
    <n v="1050"/>
    <n v="360"/>
    <x v="2"/>
    <s v="Delivered"/>
    <n v="350"/>
    <n v="34.285714285714278"/>
    <s v="Profit"/>
    <s v="Manoj Rao"/>
    <x v="0"/>
    <x v="0"/>
    <s v="Bengaluru"/>
    <s v="Karnataka"/>
    <s v="2024-01-21"/>
    <s v="18-25"/>
    <n v="120"/>
  </r>
  <r>
    <s v="ORD01785"/>
    <d v="2026-01-18T00:00:00"/>
    <s v="CUST0340"/>
    <x v="3"/>
    <x v="4"/>
    <n v="2"/>
    <n v="0.2"/>
    <n v="28800"/>
    <n v="2967.22"/>
    <x v="3"/>
    <s v="Delivered"/>
    <n v="14400"/>
    <n v="10.302847222222219"/>
    <s v="Profit"/>
    <s v="Lakshmi Pillai"/>
    <x v="1"/>
    <x v="0"/>
    <s v="Chennai"/>
    <s v="Tamil Nadu"/>
    <s v="2023-11-04"/>
    <s v="18-25"/>
    <n v="1483.61"/>
  </r>
  <r>
    <s v="ORD01786"/>
    <d v="2025-10-25T00:00:00"/>
    <s v="CUST0322"/>
    <x v="3"/>
    <x v="4"/>
    <n v="1"/>
    <n v="0.05"/>
    <n v="17100"/>
    <n v="2883.2"/>
    <x v="0"/>
    <s v="Delivered"/>
    <n v="17100"/>
    <n v="16.860818713450289"/>
    <s v="Profit"/>
    <s v="Ananya Joshi"/>
    <x v="0"/>
    <x v="2"/>
    <s v="Delhi"/>
    <s v="Delhi"/>
    <s v="2025-01-13"/>
    <s v="26-35"/>
    <n v="2883.2"/>
  </r>
  <r>
    <s v="ORD01787"/>
    <d v="2025-09-10T00:00:00"/>
    <s v="CUST0304"/>
    <x v="0"/>
    <x v="7"/>
    <n v="2"/>
    <n v="0"/>
    <n v="1800"/>
    <n v="560"/>
    <x v="2"/>
    <s v="Delivered"/>
    <n v="900"/>
    <n v="31.111111111111111"/>
    <s v="Profit"/>
    <s v="Ishaan Khan"/>
    <x v="2"/>
    <x v="0"/>
    <s v="Bengaluru"/>
    <s v="Karnataka"/>
    <s v="2024-12-10"/>
    <s v="26-35"/>
    <n v="280"/>
  </r>
  <r>
    <s v="ORD01788"/>
    <d v="2025-11-01T00:00:00"/>
    <s v="CUST0104"/>
    <x v="3"/>
    <x v="8"/>
    <n v="4"/>
    <n v="0.2"/>
    <n v="14400"/>
    <n v="-5556.57"/>
    <x v="3"/>
    <s v="Returned"/>
    <n v="3600"/>
    <n v="-38.587291666666673"/>
    <s v="Loss"/>
    <s v="Karthik Gupta"/>
    <x v="0"/>
    <x v="2"/>
    <s v="Delhi"/>
    <s v="Delhi"/>
    <s v="2024-07-15"/>
    <s v="36-50"/>
    <n v="-1389.1424999999999"/>
  </r>
  <r>
    <s v="ORD01789"/>
    <d v="2026-06-25T00:00:00"/>
    <s v="CUST0383"/>
    <x v="2"/>
    <x v="3"/>
    <n v="5"/>
    <n v="0"/>
    <n v="75000"/>
    <n v="17500"/>
    <x v="3"/>
    <s v="Delivered"/>
    <n v="15000"/>
    <n v="23.333333333333329"/>
    <s v="Profit"/>
    <s v="Arjun Mehta"/>
    <x v="0"/>
    <x v="0"/>
    <s v="Chennai"/>
    <s v="Tamil Nadu"/>
    <s v="2024-05-07"/>
    <s v="51+"/>
    <n v="3500"/>
  </r>
  <r>
    <s v="ORD01790"/>
    <d v="2026-08-22T00:00:00"/>
    <s v="CUST0513"/>
    <x v="2"/>
    <x v="5"/>
    <n v="3"/>
    <n v="0.05"/>
    <n v="31350"/>
    <n v="6978.28"/>
    <x v="1"/>
    <s v="Delivered"/>
    <n v="10450"/>
    <n v="22.259266347687401"/>
    <s v="Profit"/>
    <s v="Varun Das"/>
    <x v="1"/>
    <x v="2"/>
    <s v="Jaipur"/>
    <s v="Rajasthan"/>
    <s v="2025-05-03"/>
    <s v="18-25"/>
    <n v="2326.0933333333328"/>
  </r>
  <r>
    <s v="ORD01791"/>
    <d v="2026-01-10T00:00:00"/>
    <s v="CUST0230"/>
    <x v="0"/>
    <x v="14"/>
    <n v="6"/>
    <n v="0.05"/>
    <n v="2565"/>
    <n v="599.23"/>
    <x v="0"/>
    <s v="Shipped"/>
    <n v="427.5"/>
    <n v="23.361793372319688"/>
    <s v="Profit"/>
    <s v="Ishaan Iyer"/>
    <x v="0"/>
    <x v="0"/>
    <s v="Bengaluru"/>
    <s v="Karnataka"/>
    <s v="2025-11-29"/>
    <s v="26-35"/>
    <n v="99.87166666666667"/>
  </r>
  <r>
    <s v="ORD01792"/>
    <d v="2026-03-17T00:00:00"/>
    <s v="CUST0171"/>
    <x v="3"/>
    <x v="11"/>
    <n v="4"/>
    <n v="0.1"/>
    <n v="9000"/>
    <n v="2730.04"/>
    <x v="1"/>
    <s v="Delivered"/>
    <n v="2250"/>
    <n v="30.33377777777778"/>
    <s v="Profit"/>
    <s v="Nisha Reddy"/>
    <x v="0"/>
    <x v="2"/>
    <s v="Jaipur"/>
    <s v="Rajasthan"/>
    <s v="2025-06-10"/>
    <s v="36-50"/>
    <n v="682.51"/>
  </r>
  <r>
    <s v="ORD01793"/>
    <d v="2026-07-02T00:00:00"/>
    <s v="CUST0280"/>
    <x v="2"/>
    <x v="9"/>
    <n v="2"/>
    <n v="0"/>
    <n v="18000"/>
    <n v="4600"/>
    <x v="0"/>
    <s v="Delivered"/>
    <n v="9000"/>
    <n v="25.55555555555555"/>
    <s v="Profit"/>
    <s v="Vikram Kulkarni"/>
    <x v="0"/>
    <x v="1"/>
    <s v="Mumbai"/>
    <s v="Maharashtra"/>
    <s v="2025-06-23"/>
    <s v="26-35"/>
    <n v="2300"/>
  </r>
  <r>
    <s v="ORD01794"/>
    <d v="2026-01-25T00:00:00"/>
    <s v="CUST0553"/>
    <x v="3"/>
    <x v="4"/>
    <n v="3"/>
    <n v="0.1"/>
    <n v="48600"/>
    <n v="7048.33"/>
    <x v="0"/>
    <s v="Delivered"/>
    <n v="16200"/>
    <n v="14.5027366255144"/>
    <s v="Profit"/>
    <s v="Diya Mishra"/>
    <x v="2"/>
    <x v="0"/>
    <s v="Coimbatore"/>
    <s v="Tamil Nadu"/>
    <s v="2025-01-24"/>
    <s v="36-50"/>
    <n v="2349.4433333333332"/>
  </r>
  <r>
    <s v="ORD01795"/>
    <d v="2025-10-05T00:00:00"/>
    <s v="CUST0426"/>
    <x v="3"/>
    <x v="11"/>
    <n v="1"/>
    <n v="0"/>
    <n v="2500"/>
    <n v="800"/>
    <x v="2"/>
    <s v="Delivered"/>
    <n v="2500"/>
    <n v="32"/>
    <s v="Profit"/>
    <s v="Sneha Rao"/>
    <x v="1"/>
    <x v="2"/>
    <s v="Lucknow"/>
    <s v="Uttar Pradesh"/>
    <s v="2025-02-23"/>
    <s v="36-50"/>
    <n v="800"/>
  </r>
  <r>
    <s v="ORD01796"/>
    <d v="2025-10-19T00:00:00"/>
    <s v="CUST0351"/>
    <x v="0"/>
    <x v="7"/>
    <n v="1"/>
    <n v="0"/>
    <n v="900"/>
    <n v="280"/>
    <x v="2"/>
    <s v="Delivered"/>
    <n v="900"/>
    <n v="31.111111111111111"/>
    <s v="Profit"/>
    <s v="Aarav Naidu"/>
    <x v="0"/>
    <x v="0"/>
    <s v="Hyderabad"/>
    <s v="Telangana"/>
    <s v="2024-09-17"/>
    <s v="26-35"/>
    <n v="280"/>
  </r>
  <r>
    <s v="ORD01797"/>
    <d v="2025-10-06T00:00:00"/>
    <s v="CUST0422"/>
    <x v="3"/>
    <x v="4"/>
    <n v="2"/>
    <n v="0.05"/>
    <n v="34200"/>
    <n v="5910.25"/>
    <x v="2"/>
    <s v="Delivered"/>
    <n v="17100"/>
    <n v="17.281432748538009"/>
    <s v="Profit"/>
    <s v="Meera Nair"/>
    <x v="1"/>
    <x v="0"/>
    <s v="Coimbatore"/>
    <s v="Tamil Nadu"/>
    <s v="2025-02-08"/>
    <s v="26-35"/>
    <n v="2955.125"/>
  </r>
  <r>
    <s v="ORD01798"/>
    <d v="2026-02-23T00:00:00"/>
    <s v="CUST0323"/>
    <x v="0"/>
    <x v="6"/>
    <n v="3"/>
    <n v="0.1"/>
    <n v="945"/>
    <n v="304.39"/>
    <x v="2"/>
    <s v="Delivered"/>
    <n v="315"/>
    <n v="32.210582010582009"/>
    <s v="Profit"/>
    <s v="Manoj Menon"/>
    <x v="2"/>
    <x v="3"/>
    <s v="Patna"/>
    <s v="Bihar"/>
    <s v="2023-04-08"/>
    <s v="36-50"/>
    <n v="101.4633333333333"/>
  </r>
  <r>
    <s v="ORD01799"/>
    <d v="2025-10-21T00:00:00"/>
    <s v="CUST0018"/>
    <x v="3"/>
    <x v="10"/>
    <n v="2"/>
    <n v="0"/>
    <n v="110000"/>
    <n v="18000"/>
    <x v="1"/>
    <s v="Delivered"/>
    <n v="55000"/>
    <n v="16.36363636363636"/>
    <s v="Profit"/>
    <s v="Aditya Mehta"/>
    <x v="0"/>
    <x v="0"/>
    <s v="Hyderabad"/>
    <s v="Telangana"/>
    <s v="2025-01-15"/>
    <s v="51+"/>
    <n v="9000"/>
  </r>
  <r>
    <s v="ORD01800"/>
    <d v="2026-08-28T00:00:00"/>
    <s v="CUST0428"/>
    <x v="2"/>
    <x v="5"/>
    <n v="1"/>
    <n v="0.1"/>
    <n v="9900"/>
    <n v="-3883.28"/>
    <x v="2"/>
    <s v="Returned"/>
    <n v="9900"/>
    <n v="-39.225050505050497"/>
    <s v="Loss"/>
    <s v="Akash Iyer"/>
    <x v="2"/>
    <x v="2"/>
    <s v="Chandigarh"/>
    <s v="Chandigarh"/>
    <s v="2024-08-10"/>
    <s v="26-35"/>
    <n v="-3883.28"/>
  </r>
  <r>
    <s v="ORD01801"/>
    <d v="2026-03-25T00:00:00"/>
    <s v="CUST0386"/>
    <x v="1"/>
    <x v="15"/>
    <n v="6"/>
    <n v="0"/>
    <n v="13200"/>
    <n v="4500"/>
    <x v="1"/>
    <s v="Delivered"/>
    <n v="2200"/>
    <n v="34.090909090909093"/>
    <s v="Profit"/>
    <s v="Pooja Kulkarni"/>
    <x v="0"/>
    <x v="0"/>
    <s v="Chennai"/>
    <s v="Tamil Nadu"/>
    <s v="2023-03-27"/>
    <s v="26-35"/>
    <n v="750"/>
  </r>
  <r>
    <s v="ORD01802"/>
    <d v="2026-07-06T00:00:00"/>
    <s v="CUST0190"/>
    <x v="3"/>
    <x v="11"/>
    <n v="4"/>
    <n v="0.1"/>
    <n v="9000"/>
    <n v="-2194.59"/>
    <x v="3"/>
    <s v="Cancelled"/>
    <n v="2250"/>
    <n v="-24.384333333333331"/>
    <s v="Loss"/>
    <s v="Rohan Naidu"/>
    <x v="0"/>
    <x v="0"/>
    <s v="Coimbatore"/>
    <s v="Tamil Nadu"/>
    <s v="2023-02-24"/>
    <s v="26-35"/>
    <n v="-548.64750000000004"/>
  </r>
  <r>
    <s v="ORD01803"/>
    <d v="2026-04-19T00:00:00"/>
    <s v="CUST0457"/>
    <x v="2"/>
    <x v="5"/>
    <n v="5"/>
    <n v="0"/>
    <n v="55000"/>
    <n v="13000"/>
    <x v="0"/>
    <s v="Shipped"/>
    <n v="11000"/>
    <n v="23.63636363636364"/>
    <s v="Profit"/>
    <s v="Karthik Bose"/>
    <x v="2"/>
    <x v="0"/>
    <s v="Hyderabad"/>
    <s v="Telangana"/>
    <s v="2025-04-05"/>
    <s v="51+"/>
    <n v="2600"/>
  </r>
  <r>
    <s v="ORD01804"/>
    <d v="2026-08-19T00:00:00"/>
    <s v="CUST0047"/>
    <x v="0"/>
    <x v="6"/>
    <n v="10"/>
    <n v="0"/>
    <n v="3500"/>
    <n v="1200"/>
    <x v="1"/>
    <s v="Delivered"/>
    <n v="350"/>
    <n v="34.285714285714278"/>
    <s v="Profit"/>
    <s v="Rahul Das"/>
    <x v="2"/>
    <x v="0"/>
    <s v="Hyderabad"/>
    <s v="Telangana"/>
    <s v="2025-07-16"/>
    <s v="26-35"/>
    <n v="120"/>
  </r>
  <r>
    <s v="ORD01805"/>
    <d v="2025-08-12T00:00:00"/>
    <s v="CUST0576"/>
    <x v="3"/>
    <x v="11"/>
    <n v="15"/>
    <n v="0.1"/>
    <n v="33750"/>
    <n v="10150.93"/>
    <x v="2"/>
    <s v="Delivered"/>
    <n v="2250"/>
    <n v="30.076829629629628"/>
    <s v="Profit"/>
    <s v="Harini Pillai"/>
    <x v="0"/>
    <x v="0"/>
    <s v="Hyderabad"/>
    <s v="Telangana"/>
    <s v="2023-05-25"/>
    <s v="26-35"/>
    <n v="676.72866666666664"/>
  </r>
  <r>
    <s v="ORD01806"/>
    <d v="2026-08-23T00:00:00"/>
    <s v="CUST0020"/>
    <x v="3"/>
    <x v="10"/>
    <n v="1"/>
    <n v="0.1"/>
    <n v="49500"/>
    <n v="4922.5"/>
    <x v="2"/>
    <s v="Delivered"/>
    <n v="49500"/>
    <n v="9.9444444444444446"/>
    <s v="Profit"/>
    <s v="Aarav Pillai"/>
    <x v="0"/>
    <x v="2"/>
    <s v="Lucknow"/>
    <s v="Uttar Pradesh"/>
    <s v="2025-11-30"/>
    <s v="26-35"/>
    <n v="4922.5"/>
  </r>
  <r>
    <s v="ORD01807"/>
    <d v="2025-08-04T00:00:00"/>
    <s v="CUST0206"/>
    <x v="3"/>
    <x v="10"/>
    <n v="1"/>
    <n v="0.1"/>
    <n v="49500"/>
    <n v="5202.2"/>
    <x v="1"/>
    <s v="Delivered"/>
    <n v="49500"/>
    <n v="10.50949494949495"/>
    <s v="Profit"/>
    <s v="Arjun Bose"/>
    <x v="1"/>
    <x v="0"/>
    <s v="Coimbatore"/>
    <s v="Tamil Nadu"/>
    <s v="2025-04-20"/>
    <s v="36-50"/>
    <n v="5202.2"/>
  </r>
  <r>
    <s v="ORD01808"/>
    <d v="2026-05-29T00:00:00"/>
    <s v="CUST0256"/>
    <x v="1"/>
    <x v="12"/>
    <n v="1"/>
    <n v="0.05"/>
    <n v="1330"/>
    <n v="457.75"/>
    <x v="3"/>
    <s v="Delivered"/>
    <n v="1330"/>
    <n v="34.417293233082709"/>
    <s v="Profit"/>
    <s v="Karthik Singh"/>
    <x v="0"/>
    <x v="0"/>
    <s v="Chennai"/>
    <s v="Tamil Nadu"/>
    <s v="2024-11-27"/>
    <s v="26-35"/>
    <n v="457.75"/>
  </r>
  <r>
    <s v="ORD01809"/>
    <d v="2025-10-31T00:00:00"/>
    <s v="CUST0259"/>
    <x v="3"/>
    <x v="11"/>
    <n v="4"/>
    <n v="0"/>
    <n v="10000"/>
    <n v="3200"/>
    <x v="3"/>
    <s v="Delivered"/>
    <n v="2500"/>
    <n v="32"/>
    <s v="Profit"/>
    <s v="Manoj Menon"/>
    <x v="2"/>
    <x v="0"/>
    <s v="Coimbatore"/>
    <s v="Tamil Nadu"/>
    <s v="2023-10-20"/>
    <s v="26-35"/>
    <n v="800"/>
  </r>
  <r>
    <s v="ORD01810"/>
    <d v="2025-10-06T00:00:00"/>
    <s v="CUST0299"/>
    <x v="2"/>
    <x v="5"/>
    <n v="3"/>
    <n v="0.05"/>
    <n v="31350"/>
    <n v="6919.87"/>
    <x v="1"/>
    <s v="Delivered"/>
    <n v="10450"/>
    <n v="22.072950558213719"/>
    <s v="Profit"/>
    <s v="Diya Das"/>
    <x v="0"/>
    <x v="1"/>
    <s v="Ahmedabad"/>
    <s v="Gujarat"/>
    <s v="2023-09-07"/>
    <s v="36-50"/>
    <n v="2306.623333333333"/>
  </r>
  <r>
    <s v="ORD01811"/>
    <d v="2026-07-24T00:00:00"/>
    <s v="CUST0443"/>
    <x v="2"/>
    <x v="2"/>
    <n v="2"/>
    <n v="0.2"/>
    <n v="20800"/>
    <n v="-4017.66"/>
    <x v="0"/>
    <s v="Returned"/>
    <n v="10400"/>
    <n v="-19.31567307692308"/>
    <s v="Loss"/>
    <s v="Akash Sharma"/>
    <x v="1"/>
    <x v="0"/>
    <s v="Coimbatore"/>
    <s v="Tamil Nadu"/>
    <s v="2023-10-10"/>
    <s v="51+"/>
    <n v="-2008.83"/>
  </r>
  <r>
    <s v="ORD01812"/>
    <d v="2025-07-11T00:00:00"/>
    <s v="CUST0082"/>
    <x v="1"/>
    <x v="1"/>
    <n v="1"/>
    <n v="0.2"/>
    <n v="1440"/>
    <n v="469.13"/>
    <x v="2"/>
    <s v="Shipped"/>
    <n v="1440"/>
    <n v="32.578472222222217"/>
    <s v="Profit"/>
    <s v="Sneha Singh"/>
    <x v="2"/>
    <x v="3"/>
    <s v="Patna"/>
    <s v="Bihar"/>
    <s v="2024-05-04"/>
    <s v="36-50"/>
    <n v="469.13"/>
  </r>
  <r>
    <s v="ORD01813"/>
    <d v="2025-11-18T00:00:00"/>
    <s v="CUST0590"/>
    <x v="3"/>
    <x v="4"/>
    <n v="3"/>
    <n v="0.2"/>
    <n v="43200"/>
    <n v="5158.59"/>
    <x v="2"/>
    <s v="Delivered"/>
    <n v="14400"/>
    <n v="11.94118055555556"/>
    <s v="Profit"/>
    <s v="Aarav Bose"/>
    <x v="0"/>
    <x v="1"/>
    <s v="Pune"/>
    <s v="Maharashtra"/>
    <s v="2025-08-22"/>
    <s v="36-50"/>
    <n v="1719.53"/>
  </r>
  <r>
    <s v="ORD01814"/>
    <d v="2025-09-24T00:00:00"/>
    <s v="CUST0170"/>
    <x v="1"/>
    <x v="15"/>
    <n v="2"/>
    <n v="0.05"/>
    <n v="4180"/>
    <n v="1355.13"/>
    <x v="1"/>
    <s v="Shipped"/>
    <n v="2090"/>
    <n v="32.419377990430633"/>
    <s v="Profit"/>
    <s v="Meera Iyer"/>
    <x v="2"/>
    <x v="0"/>
    <s v="Hyderabad"/>
    <s v="Telangana"/>
    <s v="2025-04-02"/>
    <s v="36-50"/>
    <n v="677.56500000000005"/>
  </r>
  <r>
    <s v="ORD01815"/>
    <d v="2026-08-21T00:00:00"/>
    <s v="CUST0376"/>
    <x v="1"/>
    <x v="13"/>
    <n v="3"/>
    <n v="0.1"/>
    <n v="11340"/>
    <n v="2681.87"/>
    <x v="3"/>
    <s v="Delivered"/>
    <n v="3780"/>
    <n v="23.649647266313931"/>
    <s v="Profit"/>
    <s v="Ishaan Patel"/>
    <x v="0"/>
    <x v="3"/>
    <s v="Guwahati"/>
    <s v="Assam"/>
    <s v="2024-01-17"/>
    <s v="26-35"/>
    <n v="893.95666666666659"/>
  </r>
  <r>
    <s v="ORD01816"/>
    <d v="2026-08-11T00:00:00"/>
    <s v="CUST0323"/>
    <x v="1"/>
    <x v="13"/>
    <n v="2"/>
    <n v="0.15"/>
    <n v="7140"/>
    <n v="1611.45"/>
    <x v="1"/>
    <s v="Delivered"/>
    <n v="3570"/>
    <n v="22.569327731092439"/>
    <s v="Profit"/>
    <s v="Manoj Menon"/>
    <x v="2"/>
    <x v="3"/>
    <s v="Patna"/>
    <s v="Bihar"/>
    <s v="2023-04-08"/>
    <s v="36-50"/>
    <n v="805.72500000000002"/>
  </r>
  <r>
    <s v="ORD01817"/>
    <d v="2026-06-15T00:00:00"/>
    <s v="CUST0185"/>
    <x v="3"/>
    <x v="4"/>
    <n v="2"/>
    <n v="0.15"/>
    <n v="30600"/>
    <n v="-4881.9399999999996"/>
    <x v="3"/>
    <s v="Returned"/>
    <n v="15300"/>
    <n v="-15.9540522875817"/>
    <s v="Loss"/>
    <s v="Karthik Mehta"/>
    <x v="2"/>
    <x v="2"/>
    <s v="Chandigarh"/>
    <s v="Chandigarh"/>
    <s v="2025-01-12"/>
    <s v="36-50"/>
    <n v="-2440.9699999999998"/>
  </r>
  <r>
    <s v="ORD01818"/>
    <d v="2025-08-13T00:00:00"/>
    <s v="CUST0364"/>
    <x v="0"/>
    <x v="14"/>
    <n v="4"/>
    <n v="0"/>
    <n v="1800"/>
    <n v="440"/>
    <x v="1"/>
    <s v="Delivered"/>
    <n v="450"/>
    <n v="24.444444444444439"/>
    <s v="Profit"/>
    <s v="Varun Bose"/>
    <x v="0"/>
    <x v="2"/>
    <s v="Delhi"/>
    <s v="Delhi"/>
    <s v="2024-10-25"/>
    <s v="18-25"/>
    <n v="110"/>
  </r>
  <r>
    <s v="ORD01819"/>
    <d v="2026-06-04T00:00:00"/>
    <s v="CUST0516"/>
    <x v="3"/>
    <x v="10"/>
    <n v="4"/>
    <n v="0.1"/>
    <n v="198000"/>
    <n v="24370.799999999999"/>
    <x v="3"/>
    <s v="Delivered"/>
    <n v="49500"/>
    <n v="12.30848484848485"/>
    <s v="Profit"/>
    <s v="Rahul Mishra"/>
    <x v="1"/>
    <x v="0"/>
    <s v="Hyderabad"/>
    <s v="Telangana"/>
    <s v="2024-01-31"/>
    <s v="26-35"/>
    <n v="6092.7"/>
  </r>
  <r>
    <s v="ORD01820"/>
    <d v="2025-11-29T00:00:00"/>
    <s v="CUST0395"/>
    <x v="2"/>
    <x v="5"/>
    <n v="3"/>
    <n v="0.1"/>
    <n v="29700"/>
    <n v="5123.01"/>
    <x v="0"/>
    <s v="Shipped"/>
    <n v="9900"/>
    <n v="17.249191919191919"/>
    <s v="Profit"/>
    <s v="Ananya Gupta"/>
    <x v="0"/>
    <x v="2"/>
    <s v="Lucknow"/>
    <s v="Uttar Pradesh"/>
    <s v="2025-01-30"/>
    <s v="18-25"/>
    <n v="1707.67"/>
  </r>
  <r>
    <s v="ORD01821"/>
    <d v="2025-10-31T00:00:00"/>
    <s v="CUST0422"/>
    <x v="1"/>
    <x v="13"/>
    <n v="4"/>
    <n v="0"/>
    <n v="16800"/>
    <n v="4800"/>
    <x v="2"/>
    <s v="Delivered"/>
    <n v="4200"/>
    <n v="28.571428571428569"/>
    <s v="Profit"/>
    <s v="Meera Nair"/>
    <x v="1"/>
    <x v="0"/>
    <s v="Coimbatore"/>
    <s v="Tamil Nadu"/>
    <s v="2025-02-08"/>
    <s v="26-35"/>
    <n v="1200"/>
  </r>
  <r>
    <s v="ORD01822"/>
    <d v="2026-06-07T00:00:00"/>
    <s v="CUST0529"/>
    <x v="3"/>
    <x v="11"/>
    <n v="5"/>
    <n v="0.1"/>
    <n v="11250"/>
    <n v="3406.24"/>
    <x v="1"/>
    <s v="Delivered"/>
    <n v="2250"/>
    <n v="30.277688888888889"/>
    <s v="Profit"/>
    <s v="Ananya Rao"/>
    <x v="1"/>
    <x v="1"/>
    <s v="Surat"/>
    <s v="Gujarat"/>
    <s v="2023-10-24"/>
    <s v="18-25"/>
    <n v="681.24799999999993"/>
  </r>
  <r>
    <s v="ORD01823"/>
    <d v="2025-07-05T00:00:00"/>
    <s v="CUST0393"/>
    <x v="3"/>
    <x v="10"/>
    <n v="3"/>
    <n v="0.15"/>
    <n v="140250"/>
    <n v="9961.35"/>
    <x v="3"/>
    <s v="Delivered"/>
    <n v="46750"/>
    <n v="7.1025668449197861"/>
    <s v="Profit"/>
    <s v="Vikram Patel"/>
    <x v="1"/>
    <x v="1"/>
    <s v="Mumbai"/>
    <s v="Maharashtra"/>
    <s v="2024-07-03"/>
    <s v="36-50"/>
    <n v="3320.45"/>
  </r>
  <r>
    <s v="ORD01824"/>
    <d v="2025-09-04T00:00:00"/>
    <s v="CUST0113"/>
    <x v="3"/>
    <x v="4"/>
    <n v="1"/>
    <n v="0"/>
    <n v="18000"/>
    <n v="3500"/>
    <x v="2"/>
    <s v="Delivered"/>
    <n v="18000"/>
    <n v="19.44444444444445"/>
    <s v="Profit"/>
    <s v="Diya Pillai"/>
    <x v="2"/>
    <x v="1"/>
    <s v="Ahmedabad"/>
    <s v="Gujarat"/>
    <s v="2024-08-29"/>
    <s v="26-35"/>
    <n v="3500"/>
  </r>
  <r>
    <s v="ORD01825"/>
    <d v="2025-11-06T00:00:00"/>
    <s v="CUST0537"/>
    <x v="0"/>
    <x v="14"/>
    <n v="6"/>
    <n v="0.1"/>
    <n v="2430"/>
    <n v="520.41"/>
    <x v="3"/>
    <s v="Delivered"/>
    <n v="405"/>
    <n v="21.41604938271605"/>
    <s v="Profit"/>
    <s v="Vikram Pillai"/>
    <x v="0"/>
    <x v="0"/>
    <s v="Bengaluru"/>
    <s v="Karnataka"/>
    <s v="2023-11-18"/>
    <s v="26-35"/>
    <n v="86.734999999999999"/>
  </r>
  <r>
    <s v="ORD01826"/>
    <d v="2026-02-09T00:00:00"/>
    <s v="CUST0056"/>
    <x v="2"/>
    <x v="3"/>
    <n v="1"/>
    <n v="0.1"/>
    <n v="13500"/>
    <n v="2493.0700000000002"/>
    <x v="2"/>
    <s v="Shipped"/>
    <n v="13500"/>
    <n v="18.46718518518519"/>
    <s v="Profit"/>
    <s v="Vikram Pillai"/>
    <x v="0"/>
    <x v="3"/>
    <s v="Patna"/>
    <s v="Bihar"/>
    <s v="2024-11-12"/>
    <s v="18-25"/>
    <n v="2493.0700000000002"/>
  </r>
  <r>
    <s v="ORD01827"/>
    <d v="2025-08-05T00:00:00"/>
    <s v="CUST0567"/>
    <x v="3"/>
    <x v="10"/>
    <n v="6"/>
    <n v="0.2"/>
    <n v="264000"/>
    <n v="17128.93"/>
    <x v="0"/>
    <s v="Delivered"/>
    <n v="44000"/>
    <n v="6.4882310606060596"/>
    <s v="Profit"/>
    <s v="Ananya Chopra"/>
    <x v="2"/>
    <x v="1"/>
    <s v="Pune"/>
    <s v="Maharashtra"/>
    <s v="2025-09-20"/>
    <s v="26-35"/>
    <n v="2854.8216666666672"/>
  </r>
  <r>
    <s v="ORD01828"/>
    <d v="2026-08-04T00:00:00"/>
    <s v="CUST0211"/>
    <x v="0"/>
    <x v="14"/>
    <n v="1"/>
    <n v="0.1"/>
    <n v="405"/>
    <n v="76.53"/>
    <x v="2"/>
    <s v="Delivered"/>
    <n v="405"/>
    <n v="18.896296296296299"/>
    <s v="Profit"/>
    <s v="Akash Kulkarni"/>
    <x v="0"/>
    <x v="1"/>
    <s v="Surat"/>
    <s v="Gujarat"/>
    <s v="2024-06-07"/>
    <s v="36-50"/>
    <n v="76.53"/>
  </r>
  <r>
    <s v="ORD01829"/>
    <d v="2026-01-10T00:00:00"/>
    <s v="CUST0321"/>
    <x v="1"/>
    <x v="15"/>
    <n v="2"/>
    <n v="0.1"/>
    <n v="3960"/>
    <n v="1301.99"/>
    <x v="2"/>
    <s v="Delivered"/>
    <n v="1980"/>
    <n v="32.878535353535362"/>
    <s v="Profit"/>
    <s v="Kavya Sharma"/>
    <x v="0"/>
    <x v="1"/>
    <s v="Pune"/>
    <s v="Maharashtra"/>
    <s v="2024-07-02"/>
    <s v="26-35"/>
    <n v="650.995"/>
  </r>
  <r>
    <s v="ORD01830"/>
    <d v="2025-12-27T00:00:00"/>
    <s v="CUST0276"/>
    <x v="1"/>
    <x v="1"/>
    <n v="3"/>
    <n v="0.1"/>
    <n v="4860"/>
    <n v="1550.87"/>
    <x v="1"/>
    <s v="Delivered"/>
    <n v="1620"/>
    <n v="31.910905349794241"/>
    <s v="Profit"/>
    <s v="Lakshmi Pillai"/>
    <x v="2"/>
    <x v="1"/>
    <s v="Mumbai"/>
    <s v="Maharashtra"/>
    <s v="2024-01-26"/>
    <s v="36-50"/>
    <n v="516.95666666666659"/>
  </r>
  <r>
    <s v="ORD01831"/>
    <d v="2025-07-12T00:00:00"/>
    <s v="CUST0516"/>
    <x v="3"/>
    <x v="11"/>
    <n v="4"/>
    <n v="0"/>
    <n v="10000"/>
    <n v="3200"/>
    <x v="1"/>
    <s v="Delivered"/>
    <n v="2500"/>
    <n v="32"/>
    <s v="Profit"/>
    <s v="Rahul Mishra"/>
    <x v="1"/>
    <x v="0"/>
    <s v="Hyderabad"/>
    <s v="Telangana"/>
    <s v="2024-01-31"/>
    <s v="26-35"/>
    <n v="800"/>
  </r>
  <r>
    <s v="ORD01832"/>
    <d v="2026-01-22T00:00:00"/>
    <s v="CUST0389"/>
    <x v="3"/>
    <x v="10"/>
    <n v="3"/>
    <n v="0.15"/>
    <n v="140250"/>
    <n v="13083.3"/>
    <x v="0"/>
    <s v="Delivered"/>
    <n v="46750"/>
    <n v="9.3285561497326199"/>
    <s v="Profit"/>
    <s v="Manoj Pillai"/>
    <x v="1"/>
    <x v="3"/>
    <s v="Patna"/>
    <s v="Bihar"/>
    <s v="2023-07-09"/>
    <s v="36-50"/>
    <n v="4361.0999999999995"/>
  </r>
  <r>
    <s v="ORD01833"/>
    <d v="2026-01-18T00:00:00"/>
    <s v="CUST0600"/>
    <x v="0"/>
    <x v="14"/>
    <n v="1"/>
    <n v="0.1"/>
    <n v="405"/>
    <n v="83.58"/>
    <x v="0"/>
    <s v="Delivered"/>
    <n v="405"/>
    <n v="20.63703703703704"/>
    <s v="Profit"/>
    <s v="Shreya Sharma"/>
    <x v="2"/>
    <x v="2"/>
    <s v="Jaipur"/>
    <s v="Rajasthan"/>
    <s v="2024-09-15"/>
    <s v="36-50"/>
    <n v="83.58"/>
  </r>
  <r>
    <s v="ORD01834"/>
    <d v="2026-06-02T00:00:00"/>
    <s v="CUST0239"/>
    <x v="0"/>
    <x v="6"/>
    <n v="5"/>
    <n v="0.1"/>
    <n v="1575"/>
    <n v="461.71"/>
    <x v="1"/>
    <s v="Delivered"/>
    <n v="315"/>
    <n v="29.314920634920629"/>
    <s v="Profit"/>
    <s v="Lakshmi Singh"/>
    <x v="1"/>
    <x v="1"/>
    <s v="Surat"/>
    <s v="Gujarat"/>
    <s v="2023-06-08"/>
    <s v="36-50"/>
    <n v="92.341999999999999"/>
  </r>
  <r>
    <s v="ORD01835"/>
    <d v="2026-03-11T00:00:00"/>
    <s v="CUST0457"/>
    <x v="0"/>
    <x v="7"/>
    <n v="2"/>
    <n v="0.1"/>
    <n v="1620"/>
    <n v="428.37"/>
    <x v="3"/>
    <s v="Delivered"/>
    <n v="810"/>
    <n v="26.4425925925926"/>
    <s v="Profit"/>
    <s v="Karthik Bose"/>
    <x v="2"/>
    <x v="0"/>
    <s v="Hyderabad"/>
    <s v="Telangana"/>
    <s v="2025-04-05"/>
    <s v="51+"/>
    <n v="214.185"/>
  </r>
  <r>
    <s v="ORD01836"/>
    <d v="2026-08-28T00:00:00"/>
    <s v="CUST0209"/>
    <x v="1"/>
    <x v="15"/>
    <n v="4"/>
    <n v="0"/>
    <n v="8800"/>
    <n v="3000"/>
    <x v="1"/>
    <s v="Delivered"/>
    <n v="2200"/>
    <n v="34.090909090909093"/>
    <s v="Profit"/>
    <s v="Rahul Naidu"/>
    <x v="0"/>
    <x v="0"/>
    <s v="Hyderabad"/>
    <s v="Telangana"/>
    <s v="2023-02-09"/>
    <s v="36-50"/>
    <n v="750"/>
  </r>
  <r>
    <s v="ORD01837"/>
    <d v="2025-12-04T00:00:00"/>
    <s v="CUST0543"/>
    <x v="1"/>
    <x v="15"/>
    <n v="1"/>
    <n v="0.1"/>
    <n v="1980"/>
    <n v="638.04999999999995"/>
    <x v="0"/>
    <s v="Delivered"/>
    <n v="1980"/>
    <n v="32.224747474747467"/>
    <s v="Profit"/>
    <s v="Ananya Iyer"/>
    <x v="1"/>
    <x v="0"/>
    <s v="Chennai"/>
    <s v="Tamil Nadu"/>
    <s v="2025-10-16"/>
    <s v="26-35"/>
    <n v="638.04999999999995"/>
  </r>
  <r>
    <s v="ORD01838"/>
    <d v="2026-07-27T00:00:00"/>
    <s v="CUST0347"/>
    <x v="3"/>
    <x v="8"/>
    <n v="2"/>
    <n v="0.1"/>
    <n v="8100"/>
    <n v="2304.25"/>
    <x v="2"/>
    <s v="Delivered"/>
    <n v="4050"/>
    <n v="28.447530864197532"/>
    <s v="Profit"/>
    <s v="Shreya Iyer"/>
    <x v="0"/>
    <x v="0"/>
    <s v="Bengaluru"/>
    <s v="Karnataka"/>
    <s v="2023-08-21"/>
    <s v="36-50"/>
    <n v="1152.125"/>
  </r>
  <r>
    <s v="ORD01839"/>
    <d v="2026-02-28T00:00:00"/>
    <s v="CUST0325"/>
    <x v="3"/>
    <x v="8"/>
    <n v="3"/>
    <n v="0"/>
    <n v="13500"/>
    <n v="4500"/>
    <x v="2"/>
    <s v="Delivered"/>
    <n v="4500"/>
    <n v="33.333333333333329"/>
    <s v="Profit"/>
    <s v="Arjun Mishra"/>
    <x v="0"/>
    <x v="0"/>
    <s v="Chennai"/>
    <s v="Tamil Nadu"/>
    <s v="2023-05-08"/>
    <s v="51+"/>
    <n v="1500"/>
  </r>
  <r>
    <s v="ORD01840"/>
    <d v="2026-07-24T00:00:00"/>
    <s v="CUST0266"/>
    <x v="0"/>
    <x v="7"/>
    <n v="2"/>
    <n v="0"/>
    <n v="1800"/>
    <n v="560"/>
    <x v="3"/>
    <s v="Shipped"/>
    <n v="900"/>
    <n v="31.111111111111111"/>
    <s v="Profit"/>
    <s v="Priya Khan"/>
    <x v="0"/>
    <x v="1"/>
    <s v="Pune"/>
    <s v="Maharashtra"/>
    <s v="2023-08-25"/>
    <s v="26-35"/>
    <n v="280"/>
  </r>
  <r>
    <s v="ORD01841"/>
    <d v="2026-05-18T00:00:00"/>
    <s v="CUST0044"/>
    <x v="3"/>
    <x v="4"/>
    <n v="3"/>
    <n v="0.05"/>
    <n v="51300"/>
    <n v="-10616.95"/>
    <x v="2"/>
    <s v="Cancelled"/>
    <n v="17100"/>
    <n v="-20.695808966861598"/>
    <s v="Loss"/>
    <s v="Rahul Rao"/>
    <x v="0"/>
    <x v="1"/>
    <s v="Pune"/>
    <s v="Maharashtra"/>
    <s v="2025-07-18"/>
    <s v="36-50"/>
    <n v="-3538.983333333334"/>
  </r>
  <r>
    <s v="ORD01842"/>
    <d v="2025-12-29T00:00:00"/>
    <s v="CUST0209"/>
    <x v="0"/>
    <x v="6"/>
    <n v="4"/>
    <n v="0.1"/>
    <n v="1260"/>
    <n v="371.04"/>
    <x v="2"/>
    <s v="Delivered"/>
    <n v="315"/>
    <n v="29.44761904761905"/>
    <s v="Profit"/>
    <s v="Rahul Naidu"/>
    <x v="0"/>
    <x v="0"/>
    <s v="Hyderabad"/>
    <s v="Telangana"/>
    <s v="2023-02-09"/>
    <s v="36-50"/>
    <n v="92.76"/>
  </r>
  <r>
    <s v="ORD01843"/>
    <d v="2026-01-25T00:00:00"/>
    <s v="CUST0314"/>
    <x v="0"/>
    <x v="6"/>
    <n v="3"/>
    <n v="0.2"/>
    <n v="840"/>
    <n v="-18.7"/>
    <x v="2"/>
    <s v="Cancelled"/>
    <n v="280"/>
    <n v="-2.2261904761904758"/>
    <s v="Loss"/>
    <s v="Aarav Mishra"/>
    <x v="0"/>
    <x v="0"/>
    <s v="Bengaluru"/>
    <s v="Karnataka"/>
    <s v="2025-10-30"/>
    <s v="26-35"/>
    <n v="-6.2333333333333334"/>
  </r>
  <r>
    <s v="ORD01844"/>
    <d v="2026-07-12T00:00:00"/>
    <s v="CUST0431"/>
    <x v="3"/>
    <x v="8"/>
    <n v="3"/>
    <n v="0.15"/>
    <n v="11475"/>
    <n v="2836.16"/>
    <x v="0"/>
    <s v="Delivered"/>
    <n v="3825"/>
    <n v="24.715991285403049"/>
    <s v="Profit"/>
    <s v="Manoj Naidu"/>
    <x v="1"/>
    <x v="0"/>
    <s v="Bengaluru"/>
    <s v="Karnataka"/>
    <s v="2023-01-16"/>
    <s v="36-50"/>
    <n v="945.38666666666666"/>
  </r>
  <r>
    <s v="ORD01845"/>
    <d v="2025-09-26T00:00:00"/>
    <s v="CUST0509"/>
    <x v="1"/>
    <x v="1"/>
    <n v="3"/>
    <n v="0.1"/>
    <n v="4860"/>
    <n v="1692.68"/>
    <x v="0"/>
    <s v="Delivered"/>
    <n v="1620"/>
    <n v="34.828806584362141"/>
    <s v="Profit"/>
    <s v="Akash Das"/>
    <x v="2"/>
    <x v="3"/>
    <s v="Patna"/>
    <s v="Bihar"/>
    <s v="2024-11-26"/>
    <s v="36-50"/>
    <n v="564.22666666666669"/>
  </r>
  <r>
    <s v="ORD01846"/>
    <d v="2025-10-24T00:00:00"/>
    <s v="CUST0008"/>
    <x v="1"/>
    <x v="12"/>
    <n v="1"/>
    <n v="0"/>
    <n v="1400"/>
    <n v="500"/>
    <x v="0"/>
    <s v="Delivered"/>
    <n v="1400"/>
    <n v="35.714285714285722"/>
    <s v="Profit"/>
    <s v="Vikram Menon"/>
    <x v="2"/>
    <x v="2"/>
    <s v="Jaipur"/>
    <s v="Rajasthan"/>
    <s v="2023-06-25"/>
    <s v="36-50"/>
    <n v="500"/>
  </r>
  <r>
    <s v="ORD01847"/>
    <d v="2025-11-21T00:00:00"/>
    <s v="CUST0563"/>
    <x v="0"/>
    <x v="6"/>
    <n v="2"/>
    <n v="0"/>
    <n v="700"/>
    <n v="240"/>
    <x v="1"/>
    <s v="Delivered"/>
    <n v="350"/>
    <n v="34.285714285714278"/>
    <s v="Profit"/>
    <s v="Meera Das"/>
    <x v="1"/>
    <x v="1"/>
    <s v="Ahmedabad"/>
    <s v="Gujarat"/>
    <s v="2023-10-23"/>
    <s v="26-35"/>
    <n v="120"/>
  </r>
  <r>
    <s v="ORD01848"/>
    <d v="2026-04-19T00:00:00"/>
    <s v="CUST0292"/>
    <x v="1"/>
    <x v="15"/>
    <n v="4"/>
    <n v="0.15"/>
    <n v="7480"/>
    <n v="2080.79"/>
    <x v="1"/>
    <s v="Delivered"/>
    <n v="1870"/>
    <n v="27.818048128342241"/>
    <s v="Profit"/>
    <s v="Sanjay Khan"/>
    <x v="0"/>
    <x v="0"/>
    <s v="Bengaluru"/>
    <s v="Karnataka"/>
    <s v="2023-07-05"/>
    <s v="26-35"/>
    <n v="520.19749999999999"/>
  </r>
  <r>
    <s v="ORD01849"/>
    <d v="2026-06-30T00:00:00"/>
    <s v="CUST0273"/>
    <x v="0"/>
    <x v="0"/>
    <n v="5"/>
    <n v="0.05"/>
    <n v="66500"/>
    <n v="11599.88"/>
    <x v="0"/>
    <s v="Delivered"/>
    <n v="13300"/>
    <n v="17.443428571428569"/>
    <s v="Profit"/>
    <s v="Akash Verma"/>
    <x v="1"/>
    <x v="0"/>
    <s v="Chennai"/>
    <s v="Tamil Nadu"/>
    <s v="2024-07-10"/>
    <s v="51+"/>
    <n v="2319.9760000000001"/>
  </r>
  <r>
    <s v="ORD01850"/>
    <d v="2025-10-19T00:00:00"/>
    <s v="CUST0201"/>
    <x v="3"/>
    <x v="10"/>
    <n v="1"/>
    <n v="0.15"/>
    <n v="46750"/>
    <n v="3837.71"/>
    <x v="0"/>
    <s v="Shipped"/>
    <n v="46750"/>
    <n v="8.2090053475935836"/>
    <s v="Profit"/>
    <s v="Pooja Joshi"/>
    <x v="1"/>
    <x v="3"/>
    <s v="Kolkata"/>
    <s v="West Bengal"/>
    <s v="2024-09-28"/>
    <s v="18-25"/>
    <n v="3837.71"/>
  </r>
  <r>
    <s v="ORD01851"/>
    <d v="2026-03-04T00:00:00"/>
    <s v="CUST0108"/>
    <x v="2"/>
    <x v="3"/>
    <n v="1"/>
    <n v="0.15"/>
    <n v="12750"/>
    <n v="1969.14"/>
    <x v="1"/>
    <s v="Delivered"/>
    <n v="12750"/>
    <n v="15.44423529411765"/>
    <s v="Profit"/>
    <s v="Ananya Sharma"/>
    <x v="1"/>
    <x v="2"/>
    <s v="Chandigarh"/>
    <s v="Chandigarh"/>
    <s v="2025-12-04"/>
    <s v="26-35"/>
    <n v="1969.14"/>
  </r>
  <r>
    <s v="ORD01852"/>
    <d v="2026-02-07T00:00:00"/>
    <s v="CUST0315"/>
    <x v="1"/>
    <x v="12"/>
    <n v="2"/>
    <n v="0.1"/>
    <n v="2520"/>
    <n v="813.11"/>
    <x v="2"/>
    <s v="Shipped"/>
    <n v="1260"/>
    <n v="32.266269841269839"/>
    <s v="Profit"/>
    <s v="Harini Verma"/>
    <x v="0"/>
    <x v="0"/>
    <s v="Coimbatore"/>
    <s v="Tamil Nadu"/>
    <s v="2024-10-22"/>
    <s v="18-25"/>
    <n v="406.55500000000001"/>
  </r>
  <r>
    <s v="ORD01853"/>
    <d v="2025-08-18T00:00:00"/>
    <s v="CUST0152"/>
    <x v="2"/>
    <x v="9"/>
    <n v="4"/>
    <n v="0.1"/>
    <n v="32400"/>
    <n v="6227.68"/>
    <x v="1"/>
    <s v="Delivered"/>
    <n v="8100"/>
    <n v="19.221234567901231"/>
    <s v="Profit"/>
    <s v="Harini Rao"/>
    <x v="0"/>
    <x v="0"/>
    <s v="Coimbatore"/>
    <s v="Tamil Nadu"/>
    <s v="2025-12-02"/>
    <s v="51+"/>
    <n v="1556.92"/>
  </r>
  <r>
    <s v="ORD01854"/>
    <d v="2026-04-16T00:00:00"/>
    <s v="CUST0553"/>
    <x v="3"/>
    <x v="10"/>
    <n v="2"/>
    <n v="0.2"/>
    <n v="88000"/>
    <n v="730.7"/>
    <x v="1"/>
    <s v="Shipped"/>
    <n v="44000"/>
    <n v="0.83034090909090918"/>
    <s v="Profit"/>
    <s v="Diya Mishra"/>
    <x v="2"/>
    <x v="0"/>
    <s v="Coimbatore"/>
    <s v="Tamil Nadu"/>
    <s v="2025-01-24"/>
    <s v="36-50"/>
    <n v="365.35"/>
  </r>
  <r>
    <s v="ORD01855"/>
    <d v="2026-02-09T00:00:00"/>
    <s v="CUST0465"/>
    <x v="2"/>
    <x v="3"/>
    <n v="1"/>
    <n v="0.15"/>
    <n v="12750"/>
    <n v="2371.92"/>
    <x v="3"/>
    <s v="Delivered"/>
    <n v="12750"/>
    <n v="18.60329411764706"/>
    <s v="Profit"/>
    <s v="Ananya Pillai"/>
    <x v="2"/>
    <x v="2"/>
    <s v="Delhi"/>
    <s v="Delhi"/>
    <s v="2023-04-30"/>
    <s v="26-35"/>
    <n v="2371.92"/>
  </r>
  <r>
    <s v="ORD01856"/>
    <d v="2026-02-16T00:00:00"/>
    <s v="CUST0537"/>
    <x v="2"/>
    <x v="3"/>
    <n v="3"/>
    <n v="0"/>
    <n v="45000"/>
    <n v="10500"/>
    <x v="1"/>
    <s v="Delivered"/>
    <n v="15000"/>
    <n v="23.333333333333329"/>
    <s v="Profit"/>
    <s v="Vikram Pillai"/>
    <x v="0"/>
    <x v="0"/>
    <s v="Bengaluru"/>
    <s v="Karnataka"/>
    <s v="2023-11-18"/>
    <s v="26-35"/>
    <n v="3500"/>
  </r>
  <r>
    <s v="ORD01857"/>
    <d v="2026-03-11T00:00:00"/>
    <s v="CUST0157"/>
    <x v="2"/>
    <x v="3"/>
    <n v="2"/>
    <n v="0"/>
    <n v="30000"/>
    <n v="7000"/>
    <x v="3"/>
    <s v="Delivered"/>
    <n v="15000"/>
    <n v="23.333333333333329"/>
    <s v="Profit"/>
    <s v="Diya Rao"/>
    <x v="1"/>
    <x v="0"/>
    <s v="Bengaluru"/>
    <s v="Karnataka"/>
    <s v="2024-02-13"/>
    <s v="51+"/>
    <n v="3500"/>
  </r>
  <r>
    <s v="ORD01858"/>
    <d v="2026-01-10T00:00:00"/>
    <s v="CUST0570"/>
    <x v="3"/>
    <x v="10"/>
    <n v="2"/>
    <n v="0.1"/>
    <n v="99000"/>
    <n v="8966.5"/>
    <x v="2"/>
    <s v="Shipped"/>
    <n v="49500"/>
    <n v="9.0570707070707073"/>
    <s v="Profit"/>
    <s v="Divya Sharma"/>
    <x v="2"/>
    <x v="2"/>
    <s v="Delhi"/>
    <s v="Delhi"/>
    <s v="2024-10-31"/>
    <s v="18-25"/>
    <n v="4483.25"/>
  </r>
  <r>
    <s v="ORD01859"/>
    <d v="2026-07-12T00:00:00"/>
    <s v="CUST0340"/>
    <x v="3"/>
    <x v="8"/>
    <n v="3"/>
    <n v="0"/>
    <n v="13500"/>
    <n v="4500"/>
    <x v="0"/>
    <s v="Shipped"/>
    <n v="4500"/>
    <n v="33.333333333333329"/>
    <s v="Profit"/>
    <s v="Lakshmi Pillai"/>
    <x v="1"/>
    <x v="0"/>
    <s v="Chennai"/>
    <s v="Tamil Nadu"/>
    <s v="2023-11-04"/>
    <s v="18-25"/>
    <n v="1500"/>
  </r>
  <r>
    <s v="ORD01860"/>
    <d v="2025-10-09T00:00:00"/>
    <s v="CUST0038"/>
    <x v="3"/>
    <x v="11"/>
    <n v="10"/>
    <n v="0"/>
    <n v="25000"/>
    <n v="8000"/>
    <x v="1"/>
    <s v="Delivered"/>
    <n v="2500"/>
    <n v="32"/>
    <s v="Profit"/>
    <s v="Harini Sharma"/>
    <x v="2"/>
    <x v="0"/>
    <s v="Coimbatore"/>
    <s v="Tamil Nadu"/>
    <s v="2024-06-22"/>
    <s v="36-50"/>
    <n v="800"/>
  </r>
  <r>
    <s v="ORD01861"/>
    <d v="2025-08-15T00:00:00"/>
    <s v="CUST0292"/>
    <x v="2"/>
    <x v="9"/>
    <n v="3"/>
    <n v="0.15"/>
    <n v="22950"/>
    <n v="-6713.04"/>
    <x v="2"/>
    <s v="Cancelled"/>
    <n v="7650"/>
    <n v="-29.25071895424837"/>
    <s v="Loss"/>
    <s v="Sanjay Khan"/>
    <x v="0"/>
    <x v="0"/>
    <s v="Bengaluru"/>
    <s v="Karnataka"/>
    <s v="2023-07-05"/>
    <s v="26-35"/>
    <n v="-2237.6799999999998"/>
  </r>
  <r>
    <s v="ORD01862"/>
    <d v="2025-12-16T00:00:00"/>
    <s v="CUST0298"/>
    <x v="2"/>
    <x v="5"/>
    <n v="5"/>
    <n v="0.1"/>
    <n v="49500"/>
    <n v="10408.620000000001"/>
    <x v="2"/>
    <s v="Shipped"/>
    <n v="9900"/>
    <n v="21.02751515151515"/>
    <s v="Profit"/>
    <s v="Diya Joshi"/>
    <x v="0"/>
    <x v="0"/>
    <s v="Chennai"/>
    <s v="Tamil Nadu"/>
    <s v="2025-01-10"/>
    <s v="18-25"/>
    <n v="2081.7240000000002"/>
  </r>
  <r>
    <s v="ORD01863"/>
    <d v="2026-06-30T00:00:00"/>
    <s v="CUST0073"/>
    <x v="3"/>
    <x v="4"/>
    <n v="1"/>
    <n v="0.1"/>
    <n v="16200"/>
    <n v="2162.5"/>
    <x v="3"/>
    <s v="Delivered"/>
    <n v="16200"/>
    <n v="13.348765432098769"/>
    <s v="Profit"/>
    <s v="Kavya Pillai"/>
    <x v="0"/>
    <x v="0"/>
    <s v="Hyderabad"/>
    <s v="Telangana"/>
    <s v="2023-04-01"/>
    <s v="26-35"/>
    <n v="2162.5"/>
  </r>
  <r>
    <s v="ORD01864"/>
    <d v="2026-05-03T00:00:00"/>
    <s v="CUST0111"/>
    <x v="1"/>
    <x v="13"/>
    <n v="3"/>
    <n v="0"/>
    <n v="12600"/>
    <n v="3600"/>
    <x v="3"/>
    <s v="Delivered"/>
    <n v="4200"/>
    <n v="28.571428571428569"/>
    <s v="Profit"/>
    <s v="Akash Verma"/>
    <x v="0"/>
    <x v="1"/>
    <s v="Pune"/>
    <s v="Maharashtra"/>
    <s v="2023-06-12"/>
    <s v="36-50"/>
    <n v="1200"/>
  </r>
  <r>
    <s v="ORD01865"/>
    <d v="2026-06-19T00:00:00"/>
    <s v="CUST0402"/>
    <x v="3"/>
    <x v="4"/>
    <n v="6"/>
    <n v="0.1"/>
    <n v="97200"/>
    <n v="14643.84"/>
    <x v="1"/>
    <s v="Delivered"/>
    <n v="16200"/>
    <n v="15.065679012345679"/>
    <s v="Profit"/>
    <s v="Diya Pillai"/>
    <x v="1"/>
    <x v="0"/>
    <s v="Chennai"/>
    <s v="Tamil Nadu"/>
    <s v="2025-08-08"/>
    <s v="36-50"/>
    <n v="2440.64"/>
  </r>
  <r>
    <s v="ORD01866"/>
    <d v="2025-10-23T00:00:00"/>
    <s v="CUST0129"/>
    <x v="2"/>
    <x v="3"/>
    <n v="2"/>
    <n v="0.1"/>
    <n v="27000"/>
    <n v="5096.24"/>
    <x v="3"/>
    <s v="Shipped"/>
    <n v="13500"/>
    <n v="18.874962962962961"/>
    <s v="Profit"/>
    <s v="Varun Patel"/>
    <x v="0"/>
    <x v="3"/>
    <s v="Kolkata"/>
    <s v="West Bengal"/>
    <s v="2024-08-22"/>
    <s v="51+"/>
    <n v="2548.12"/>
  </r>
  <r>
    <s v="ORD01867"/>
    <d v="2026-03-02T00:00:00"/>
    <s v="CUST0401"/>
    <x v="3"/>
    <x v="10"/>
    <n v="2"/>
    <n v="0.2"/>
    <n v="88000"/>
    <n v="-411.49"/>
    <x v="0"/>
    <s v="Delivered"/>
    <n v="44000"/>
    <n v="-0.46760227272727273"/>
    <s v="Loss"/>
    <s v="Ananya Nair"/>
    <x v="0"/>
    <x v="0"/>
    <s v="Hyderabad"/>
    <s v="Telangana"/>
    <s v="2024-04-08"/>
    <s v="26-35"/>
    <n v="-205.745"/>
  </r>
  <r>
    <s v="ORD01868"/>
    <d v="2026-05-07T00:00:00"/>
    <s v="CUST0375"/>
    <x v="2"/>
    <x v="2"/>
    <n v="10"/>
    <n v="0.2"/>
    <n v="104000"/>
    <n v="17571.79"/>
    <x v="0"/>
    <s v="Delivered"/>
    <n v="10400"/>
    <n v="16.895951923076929"/>
    <s v="Profit"/>
    <s v="Sneha Pillai"/>
    <x v="0"/>
    <x v="0"/>
    <s v="Bengaluru"/>
    <s v="Karnataka"/>
    <s v="2024-01-03"/>
    <s v="26-35"/>
    <n v="1757.1790000000001"/>
  </r>
  <r>
    <s v="ORD01869"/>
    <d v="2025-08-28T00:00:00"/>
    <s v="CUST0206"/>
    <x v="0"/>
    <x v="0"/>
    <n v="2"/>
    <n v="0.15"/>
    <n v="23800"/>
    <n v="2380.34"/>
    <x v="2"/>
    <s v="Delivered"/>
    <n v="11900"/>
    <n v="10.001428571428569"/>
    <s v="Profit"/>
    <s v="Arjun Bose"/>
    <x v="1"/>
    <x v="0"/>
    <s v="Coimbatore"/>
    <s v="Tamil Nadu"/>
    <s v="2025-04-20"/>
    <s v="36-50"/>
    <n v="1190.17"/>
  </r>
  <r>
    <s v="ORD01870"/>
    <d v="2026-02-05T00:00:00"/>
    <s v="CUST0411"/>
    <x v="0"/>
    <x v="0"/>
    <n v="4"/>
    <n v="0.05"/>
    <n v="53200"/>
    <n v="9678.94"/>
    <x v="1"/>
    <s v="Delivered"/>
    <n v="13300"/>
    <n v="18.193496240601501"/>
    <s v="Profit"/>
    <s v="Arjun Mehta"/>
    <x v="1"/>
    <x v="0"/>
    <s v="Bengaluru"/>
    <s v="Karnataka"/>
    <s v="2023-02-18"/>
    <s v="36-50"/>
    <n v="2419.7350000000001"/>
  </r>
  <r>
    <s v="ORD01871"/>
    <d v="2026-04-26T00:00:00"/>
    <s v="CUST0455"/>
    <x v="0"/>
    <x v="14"/>
    <n v="2"/>
    <n v="0.15"/>
    <n v="765"/>
    <n v="147.97999999999999"/>
    <x v="3"/>
    <s v="Shipped"/>
    <n v="382.5"/>
    <n v="19.343790849673201"/>
    <s v="Profit"/>
    <s v="Priya Sharma"/>
    <x v="0"/>
    <x v="0"/>
    <s v="Hyderabad"/>
    <s v="Telangana"/>
    <s v="2023-12-10"/>
    <s v="26-35"/>
    <n v="73.989999999999995"/>
  </r>
  <r>
    <s v="ORD01872"/>
    <d v="2026-04-20T00:00:00"/>
    <s v="CUST0245"/>
    <x v="0"/>
    <x v="0"/>
    <n v="4"/>
    <n v="0.2"/>
    <n v="44800"/>
    <n v="4115.8100000000004"/>
    <x v="2"/>
    <s v="Delivered"/>
    <n v="11200"/>
    <n v="9.1870758928571448"/>
    <s v="Profit"/>
    <s v="Shreya Sharma"/>
    <x v="0"/>
    <x v="2"/>
    <s v="Lucknow"/>
    <s v="Uttar Pradesh"/>
    <s v="2024-04-20"/>
    <s v="51+"/>
    <n v="1028.9525000000001"/>
  </r>
  <r>
    <s v="ORD01873"/>
    <d v="2025-07-18T00:00:00"/>
    <s v="CUST0281"/>
    <x v="1"/>
    <x v="12"/>
    <n v="1"/>
    <n v="0.3"/>
    <n v="980"/>
    <n v="238.07"/>
    <x v="1"/>
    <s v="Delivered"/>
    <n v="980"/>
    <n v="24.292857142857141"/>
    <s v="Profit"/>
    <s v="Divya Reddy"/>
    <x v="0"/>
    <x v="0"/>
    <s v="Coimbatore"/>
    <s v="Tamil Nadu"/>
    <s v="2025-04-27"/>
    <s v="36-50"/>
    <n v="238.07"/>
  </r>
  <r>
    <s v="ORD01874"/>
    <d v="2026-04-28T00:00:00"/>
    <s v="CUST0572"/>
    <x v="0"/>
    <x v="14"/>
    <n v="1"/>
    <n v="0.15"/>
    <n v="382.5"/>
    <n v="54.88"/>
    <x v="1"/>
    <s v="Delivered"/>
    <n v="382.5"/>
    <n v="14.347712418300651"/>
    <s v="Profit"/>
    <s v="Manoj Kulkarni"/>
    <x v="1"/>
    <x v="2"/>
    <s v="Lucknow"/>
    <s v="Uttar Pradesh"/>
    <s v="2024-03-30"/>
    <s v="18-25"/>
    <n v="54.88"/>
  </r>
  <r>
    <s v="ORD01875"/>
    <d v="2026-01-06T00:00:00"/>
    <s v="CUST0195"/>
    <x v="3"/>
    <x v="8"/>
    <n v="1"/>
    <n v="0.05"/>
    <n v="4275"/>
    <n v="1398.12"/>
    <x v="0"/>
    <s v="Delivered"/>
    <n v="4275"/>
    <n v="32.70456140350877"/>
    <s v="Profit"/>
    <s v="Nisha Kulkarni"/>
    <x v="1"/>
    <x v="0"/>
    <s v="Coimbatore"/>
    <s v="Tamil Nadu"/>
    <s v="2024-04-23"/>
    <s v="18-25"/>
    <n v="1398.12"/>
  </r>
  <r>
    <s v="ORD01876"/>
    <d v="2026-06-16T00:00:00"/>
    <s v="CUST0181"/>
    <x v="0"/>
    <x v="14"/>
    <n v="3"/>
    <n v="0.05"/>
    <n v="1282.5"/>
    <n v="275.85000000000002"/>
    <x v="0"/>
    <s v="Shipped"/>
    <n v="427.5"/>
    <n v="21.508771929824562"/>
    <s v="Profit"/>
    <s v="Rohan Iyer"/>
    <x v="1"/>
    <x v="1"/>
    <s v="Surat"/>
    <s v="Gujarat"/>
    <s v="2023-03-20"/>
    <s v="36-50"/>
    <n v="91.95"/>
  </r>
  <r>
    <s v="ORD01877"/>
    <d v="2025-12-12T00:00:00"/>
    <s v="CUST0215"/>
    <x v="0"/>
    <x v="0"/>
    <n v="6"/>
    <n v="0"/>
    <n v="84000"/>
    <n v="16800"/>
    <x v="0"/>
    <s v="Shipped"/>
    <n v="14000"/>
    <n v="20"/>
    <s v="Profit"/>
    <s v="Pooja Reddy"/>
    <x v="1"/>
    <x v="0"/>
    <s v="Bengaluru"/>
    <s v="Karnataka"/>
    <s v="2025-07-16"/>
    <s v="26-35"/>
    <n v="2800"/>
  </r>
  <r>
    <s v="ORD01878"/>
    <d v="2026-02-17T00:00:00"/>
    <s v="CUST0506"/>
    <x v="1"/>
    <x v="1"/>
    <n v="3"/>
    <n v="0.1"/>
    <n v="4860"/>
    <n v="1556.65"/>
    <x v="2"/>
    <s v="Delivered"/>
    <n v="1620"/>
    <n v="32.029835390946502"/>
    <s v="Profit"/>
    <s v="Sneha Mehta"/>
    <x v="0"/>
    <x v="2"/>
    <s v="Jaipur"/>
    <s v="Rajasthan"/>
    <s v="2025-02-24"/>
    <s v="51+"/>
    <n v="518.88333333333333"/>
  </r>
  <r>
    <s v="ORD01879"/>
    <d v="2026-03-03T00:00:00"/>
    <s v="CUST0495"/>
    <x v="0"/>
    <x v="7"/>
    <n v="2"/>
    <n v="0.05"/>
    <n v="1710"/>
    <n v="489.04"/>
    <x v="0"/>
    <s v="Delivered"/>
    <n v="855"/>
    <n v="28.598830409356719"/>
    <s v="Profit"/>
    <s v="Harini Gupta"/>
    <x v="1"/>
    <x v="2"/>
    <s v="Chandigarh"/>
    <s v="Chandigarh"/>
    <s v="2025-10-03"/>
    <s v="26-35"/>
    <n v="244.52"/>
  </r>
  <r>
    <s v="ORD01880"/>
    <d v="2026-04-16T00:00:00"/>
    <s v="CUST0374"/>
    <x v="2"/>
    <x v="9"/>
    <n v="2"/>
    <n v="0.15"/>
    <n v="15300"/>
    <n v="3123.05"/>
    <x v="3"/>
    <s v="Delivered"/>
    <n v="7650"/>
    <n v="20.41209150326798"/>
    <s v="Profit"/>
    <s v="Ishaan Chopra"/>
    <x v="0"/>
    <x v="0"/>
    <s v="Bengaluru"/>
    <s v="Karnataka"/>
    <s v="2024-09-12"/>
    <s v="18-25"/>
    <n v="1561.5250000000001"/>
  </r>
  <r>
    <s v="ORD01881"/>
    <d v="2026-03-12T00:00:00"/>
    <s v="CUST0269"/>
    <x v="0"/>
    <x v="7"/>
    <n v="5"/>
    <n v="0.15"/>
    <n v="3825"/>
    <n v="-639.22"/>
    <x v="0"/>
    <s v="Cancelled"/>
    <n v="765"/>
    <n v="-16.71163398692811"/>
    <s v="Loss"/>
    <s v="Manoj Das"/>
    <x v="1"/>
    <x v="2"/>
    <s v="Delhi"/>
    <s v="Delhi"/>
    <s v="2025-06-23"/>
    <s v="36-50"/>
    <n v="-127.84399999999999"/>
  </r>
  <r>
    <s v="ORD01882"/>
    <d v="2026-05-25T00:00:00"/>
    <s v="CUST0427"/>
    <x v="2"/>
    <x v="5"/>
    <n v="2"/>
    <n v="0.15"/>
    <n v="18700"/>
    <n v="2495.5500000000002"/>
    <x v="2"/>
    <s v="Delivered"/>
    <n v="9350"/>
    <n v="13.3451871657754"/>
    <s v="Profit"/>
    <s v="Nisha Mehta"/>
    <x v="1"/>
    <x v="0"/>
    <s v="Chennai"/>
    <s v="Tamil Nadu"/>
    <s v="2025-08-11"/>
    <s v="51+"/>
    <n v="1247.7750000000001"/>
  </r>
  <r>
    <s v="ORD01883"/>
    <d v="2026-08-19T00:00:00"/>
    <s v="CUST0292"/>
    <x v="1"/>
    <x v="12"/>
    <n v="1"/>
    <n v="0"/>
    <n v="1400"/>
    <n v="500"/>
    <x v="0"/>
    <s v="Shipped"/>
    <n v="1400"/>
    <n v="35.714285714285722"/>
    <s v="Profit"/>
    <s v="Sanjay Khan"/>
    <x v="0"/>
    <x v="0"/>
    <s v="Bengaluru"/>
    <s v="Karnataka"/>
    <s v="2023-07-05"/>
    <s v="26-35"/>
    <n v="500"/>
  </r>
  <r>
    <s v="ORD01884"/>
    <d v="2026-03-05T00:00:00"/>
    <s v="CUST0185"/>
    <x v="3"/>
    <x v="4"/>
    <n v="2"/>
    <n v="0.15"/>
    <n v="30600"/>
    <n v="3252.09"/>
    <x v="2"/>
    <s v="Delivered"/>
    <n v="15300"/>
    <n v="10.62774509803922"/>
    <s v="Profit"/>
    <s v="Karthik Mehta"/>
    <x v="2"/>
    <x v="2"/>
    <s v="Chandigarh"/>
    <s v="Chandigarh"/>
    <s v="2025-01-12"/>
    <s v="36-50"/>
    <n v="1626.0450000000001"/>
  </r>
  <r>
    <s v="ORD01885"/>
    <d v="2025-12-27T00:00:00"/>
    <s v="CUST0432"/>
    <x v="3"/>
    <x v="8"/>
    <n v="1"/>
    <n v="0.1"/>
    <n v="4050"/>
    <n v="1204.44"/>
    <x v="0"/>
    <s v="Shipped"/>
    <n v="4050"/>
    <n v="29.73925925925926"/>
    <s v="Profit"/>
    <s v="Pooja Singh"/>
    <x v="1"/>
    <x v="0"/>
    <s v="Coimbatore"/>
    <s v="Tamil Nadu"/>
    <s v="2023-02-17"/>
    <s v="18-25"/>
    <n v="1204.44"/>
  </r>
  <r>
    <s v="ORD01886"/>
    <d v="2026-06-27T00:00:00"/>
    <s v="CUST0589"/>
    <x v="1"/>
    <x v="15"/>
    <n v="2"/>
    <n v="0.2"/>
    <n v="3520"/>
    <n v="826.41"/>
    <x v="1"/>
    <s v="Delivered"/>
    <n v="1760"/>
    <n v="23.477556818181821"/>
    <s v="Profit"/>
    <s v="Sanjay Patel"/>
    <x v="2"/>
    <x v="2"/>
    <s v="Delhi"/>
    <s v="Delhi"/>
    <s v="2024-12-17"/>
    <s v="36-50"/>
    <n v="413.20499999999998"/>
  </r>
  <r>
    <s v="ORD01887"/>
    <d v="2026-03-27T00:00:00"/>
    <s v="CUST0553"/>
    <x v="3"/>
    <x v="4"/>
    <n v="2"/>
    <n v="0.1"/>
    <n v="32400"/>
    <n v="-4992.74"/>
    <x v="0"/>
    <s v="Returned"/>
    <n v="16200"/>
    <n v="-15.409691358024689"/>
    <s v="Loss"/>
    <s v="Diya Mishra"/>
    <x v="2"/>
    <x v="0"/>
    <s v="Coimbatore"/>
    <s v="Tamil Nadu"/>
    <s v="2025-01-24"/>
    <s v="36-50"/>
    <n v="-2496.37"/>
  </r>
  <r>
    <s v="ORD01888"/>
    <d v="2025-12-24T00:00:00"/>
    <s v="CUST0586"/>
    <x v="2"/>
    <x v="2"/>
    <n v="2"/>
    <n v="0"/>
    <n v="26000"/>
    <n v="6400"/>
    <x v="1"/>
    <s v="Delivered"/>
    <n v="13000"/>
    <n v="24.61538461538462"/>
    <s v="Profit"/>
    <s v="Sanjay Mehta"/>
    <x v="1"/>
    <x v="0"/>
    <s v="Chennai"/>
    <s v="Tamil Nadu"/>
    <s v="2023-09-11"/>
    <s v="26-35"/>
    <n v="3200"/>
  </r>
  <r>
    <s v="ORD01889"/>
    <d v="2026-02-21T00:00:00"/>
    <s v="CUST0067"/>
    <x v="0"/>
    <x v="0"/>
    <n v="3"/>
    <n v="0.1"/>
    <n v="37800"/>
    <n v="5078.13"/>
    <x v="0"/>
    <s v="Delivered"/>
    <n v="12600"/>
    <n v="13.434206349206351"/>
    <s v="Profit"/>
    <s v="Varun Joshi"/>
    <x v="0"/>
    <x v="0"/>
    <s v="Chennai"/>
    <s v="Tamil Nadu"/>
    <s v="2024-10-29"/>
    <s v="26-35"/>
    <n v="1692.71"/>
  </r>
  <r>
    <s v="ORD01890"/>
    <d v="2026-04-09T00:00:00"/>
    <s v="CUST0413"/>
    <x v="2"/>
    <x v="3"/>
    <n v="1"/>
    <n v="0.05"/>
    <n v="14250"/>
    <n v="2918.25"/>
    <x v="0"/>
    <s v="Delivered"/>
    <n v="14250"/>
    <n v="20.47894736842105"/>
    <s v="Profit"/>
    <s v="Sanjay Bose"/>
    <x v="0"/>
    <x v="0"/>
    <s v="Chennai"/>
    <s v="Tamil Nadu"/>
    <s v="2023-05-01"/>
    <s v="26-35"/>
    <n v="2918.25"/>
  </r>
  <r>
    <s v="ORD01891"/>
    <d v="2026-03-17T00:00:00"/>
    <s v="CUST0596"/>
    <x v="3"/>
    <x v="10"/>
    <n v="3"/>
    <n v="0.2"/>
    <n v="132000"/>
    <n v="6920.91"/>
    <x v="2"/>
    <s v="Shipped"/>
    <n v="44000"/>
    <n v="5.2431136363636357"/>
    <s v="Profit"/>
    <s v="Manoj Rao"/>
    <x v="0"/>
    <x v="0"/>
    <s v="Bengaluru"/>
    <s v="Karnataka"/>
    <s v="2024-01-21"/>
    <s v="18-25"/>
    <n v="2306.9699999999998"/>
  </r>
  <r>
    <s v="ORD01892"/>
    <d v="2026-06-07T00:00:00"/>
    <s v="CUST0418"/>
    <x v="3"/>
    <x v="11"/>
    <n v="4"/>
    <n v="0.1"/>
    <n v="9000"/>
    <n v="-3085.19"/>
    <x v="3"/>
    <s v="Cancelled"/>
    <n v="2250"/>
    <n v="-34.279888888888891"/>
    <s v="Loss"/>
    <s v="Pooja Menon"/>
    <x v="2"/>
    <x v="1"/>
    <s v="Pune"/>
    <s v="Maharashtra"/>
    <s v="2023-08-14"/>
    <s v="18-25"/>
    <n v="-771.29750000000001"/>
  </r>
  <r>
    <s v="ORD01893"/>
    <d v="2025-07-10T00:00:00"/>
    <s v="CUST0073"/>
    <x v="3"/>
    <x v="8"/>
    <n v="2"/>
    <n v="0"/>
    <n v="9000"/>
    <n v="3000"/>
    <x v="3"/>
    <s v="Delivered"/>
    <n v="4500"/>
    <n v="33.333333333333329"/>
    <s v="Profit"/>
    <s v="Kavya Pillai"/>
    <x v="0"/>
    <x v="0"/>
    <s v="Hyderabad"/>
    <s v="Telangana"/>
    <s v="2023-04-01"/>
    <s v="26-35"/>
    <n v="1500"/>
  </r>
  <r>
    <s v="ORD01894"/>
    <d v="2025-09-24T00:00:00"/>
    <s v="CUST0224"/>
    <x v="3"/>
    <x v="10"/>
    <n v="1"/>
    <n v="0"/>
    <n v="55000"/>
    <n v="-11454.76"/>
    <x v="0"/>
    <s v="Cancelled"/>
    <n v="55000"/>
    <n v="-20.82683636363636"/>
    <s v="Loss"/>
    <s v="Varun Menon"/>
    <x v="1"/>
    <x v="1"/>
    <s v="Mumbai"/>
    <s v="Maharashtra"/>
    <s v="2023-02-06"/>
    <s v="18-25"/>
    <n v="-11454.76"/>
  </r>
  <r>
    <s v="ORD01895"/>
    <d v="2026-07-17T00:00:00"/>
    <s v="CUST0034"/>
    <x v="1"/>
    <x v="12"/>
    <n v="4"/>
    <n v="0.2"/>
    <n v="4480"/>
    <n v="1421.69"/>
    <x v="3"/>
    <s v="Delivered"/>
    <n v="1120"/>
    <n v="31.734151785714289"/>
    <s v="Profit"/>
    <s v="Meera Bose"/>
    <x v="0"/>
    <x v="1"/>
    <s v="Ahmedabad"/>
    <s v="Gujarat"/>
    <s v="2023-01-29"/>
    <s v="18-25"/>
    <n v="355.42250000000001"/>
  </r>
  <r>
    <s v="ORD01896"/>
    <d v="2025-11-19T00:00:00"/>
    <s v="CUST0138"/>
    <x v="2"/>
    <x v="2"/>
    <n v="4"/>
    <n v="0"/>
    <n v="52000"/>
    <n v="12800"/>
    <x v="3"/>
    <s v="Delivered"/>
    <n v="13000"/>
    <n v="24.61538461538462"/>
    <s v="Profit"/>
    <s v="Diya Bose"/>
    <x v="2"/>
    <x v="2"/>
    <s v="Chandigarh"/>
    <s v="Chandigarh"/>
    <s v="2025-04-15"/>
    <s v="51+"/>
    <n v="3200"/>
  </r>
  <r>
    <s v="ORD01897"/>
    <d v="2026-03-21T00:00:00"/>
    <s v="CUST0196"/>
    <x v="2"/>
    <x v="5"/>
    <n v="2"/>
    <n v="0.15"/>
    <n v="18700"/>
    <n v="2535.21"/>
    <x v="1"/>
    <s v="Delivered"/>
    <n v="9350"/>
    <n v="13.55727272727273"/>
    <s v="Profit"/>
    <s v="Nisha Sharma"/>
    <x v="2"/>
    <x v="2"/>
    <s v="Lucknow"/>
    <s v="Uttar Pradesh"/>
    <s v="2025-03-20"/>
    <s v="26-35"/>
    <n v="1267.605"/>
  </r>
  <r>
    <s v="ORD01898"/>
    <d v="2025-09-11T00:00:00"/>
    <s v="CUST0440"/>
    <x v="3"/>
    <x v="8"/>
    <n v="1"/>
    <n v="0"/>
    <n v="4500"/>
    <n v="1500"/>
    <x v="1"/>
    <s v="Delivered"/>
    <n v="4500"/>
    <n v="33.333333333333329"/>
    <s v="Profit"/>
    <s v="Harini Sharma"/>
    <x v="1"/>
    <x v="0"/>
    <s v="Hyderabad"/>
    <s v="Telangana"/>
    <s v="2024-06-03"/>
    <s v="18-25"/>
    <n v="1500"/>
  </r>
  <r>
    <s v="ORD01899"/>
    <d v="2026-08-25T00:00:00"/>
    <s v="CUST0212"/>
    <x v="3"/>
    <x v="11"/>
    <n v="1"/>
    <n v="0.05"/>
    <n v="2375"/>
    <n v="709.1"/>
    <x v="3"/>
    <s v="Delivered"/>
    <n v="2375"/>
    <n v="29.856842105263159"/>
    <s v="Profit"/>
    <s v="Vikram Singh"/>
    <x v="0"/>
    <x v="1"/>
    <s v="Mumbai"/>
    <s v="Maharashtra"/>
    <s v="2025-06-26"/>
    <s v="26-35"/>
    <n v="709.1"/>
  </r>
  <r>
    <s v="ORD01900"/>
    <d v="2026-06-02T00:00:00"/>
    <s v="CUST0582"/>
    <x v="0"/>
    <x v="6"/>
    <n v="10"/>
    <n v="0.15"/>
    <n v="2975"/>
    <n v="890.92"/>
    <x v="0"/>
    <s v="Delivered"/>
    <n v="297.5"/>
    <n v="29.946890756302519"/>
    <s v="Profit"/>
    <s v="Harini Verma"/>
    <x v="0"/>
    <x v="1"/>
    <s v="Surat"/>
    <s v="Gujarat"/>
    <s v="2024-11-22"/>
    <s v="26-35"/>
    <n v="89.091999999999999"/>
  </r>
  <r>
    <s v="ORD01902"/>
    <d v="2026-05-31T00:00:00"/>
    <s v="CUST0046"/>
    <x v="0"/>
    <x v="0"/>
    <n v="4"/>
    <n v="0.1"/>
    <n v="50400"/>
    <n v="6809.69"/>
    <x v="1"/>
    <s v="Delivered"/>
    <n v="12600"/>
    <n v="13.51128968253968"/>
    <s v="Profit"/>
    <s v="Kavya Pillai"/>
    <x v="1"/>
    <x v="3"/>
    <s v="Kolkata"/>
    <s v="West Bengal"/>
    <s v="2025-11-12"/>
    <s v="36-50"/>
    <n v="1702.4224999999999"/>
  </r>
  <r>
    <s v="ORD01903"/>
    <d v="2026-08-11T00:00:00"/>
    <s v="CUST0018"/>
    <x v="3"/>
    <x v="10"/>
    <n v="5"/>
    <n v="0.1"/>
    <n v="247500"/>
    <n v="27155.66"/>
    <x v="1"/>
    <s v="Delivered"/>
    <n v="49500"/>
    <n v="10.97198383838384"/>
    <s v="Profit"/>
    <s v="Aditya Mehta"/>
    <x v="0"/>
    <x v="0"/>
    <s v="Hyderabad"/>
    <s v="Telangana"/>
    <s v="2025-01-15"/>
    <s v="51+"/>
    <n v="5431.1319999999996"/>
  </r>
  <r>
    <s v="ORD01904"/>
    <d v="2025-12-13T00:00:00"/>
    <s v="CUST0157"/>
    <x v="0"/>
    <x v="0"/>
    <n v="3"/>
    <n v="0"/>
    <n v="42000"/>
    <n v="8400"/>
    <x v="0"/>
    <s v="Shipped"/>
    <n v="14000"/>
    <n v="20"/>
    <s v="Profit"/>
    <s v="Diya Rao"/>
    <x v="1"/>
    <x v="0"/>
    <s v="Bengaluru"/>
    <s v="Karnataka"/>
    <s v="2024-02-13"/>
    <s v="51+"/>
    <n v="2800"/>
  </r>
  <r>
    <s v="ORD01905"/>
    <d v="2025-09-04T00:00:00"/>
    <s v="CUST0451"/>
    <x v="2"/>
    <x v="9"/>
    <n v="4"/>
    <n v="0"/>
    <n v="36000"/>
    <n v="9200"/>
    <x v="1"/>
    <s v="Shipped"/>
    <n v="9000"/>
    <n v="25.55555555555555"/>
    <s v="Profit"/>
    <s v="Diya Naidu"/>
    <x v="0"/>
    <x v="1"/>
    <s v="Pune"/>
    <s v="Maharashtra"/>
    <s v="2024-06-17"/>
    <s v="26-35"/>
    <n v="2300"/>
  </r>
  <r>
    <s v="ORD01906"/>
    <d v="2025-08-23T00:00:00"/>
    <s v="CUST0430"/>
    <x v="3"/>
    <x v="4"/>
    <n v="4"/>
    <n v="0.2"/>
    <n v="57600"/>
    <n v="3811.73"/>
    <x v="0"/>
    <s v="Shipped"/>
    <n v="14400"/>
    <n v="6.6175868055555558"/>
    <s v="Profit"/>
    <s v="Akash Mishra"/>
    <x v="0"/>
    <x v="3"/>
    <s v="Patna"/>
    <s v="Bihar"/>
    <s v="2023-02-09"/>
    <s v="36-50"/>
    <n v="952.9325"/>
  </r>
  <r>
    <s v="ORD01907"/>
    <d v="2025-10-29T00:00:00"/>
    <s v="CUST0243"/>
    <x v="3"/>
    <x v="4"/>
    <n v="5"/>
    <n v="0.05"/>
    <n v="85500"/>
    <n v="13903.96"/>
    <x v="2"/>
    <s v="Delivered"/>
    <n v="17100"/>
    <n v="16.26194152046784"/>
    <s v="Profit"/>
    <s v="Manoj Das"/>
    <x v="1"/>
    <x v="3"/>
    <s v="Kolkata"/>
    <s v="West Bengal"/>
    <s v="2023-02-23"/>
    <s v="26-35"/>
    <n v="2780.7919999999999"/>
  </r>
  <r>
    <s v="ORD01908"/>
    <d v="2026-03-27T00:00:00"/>
    <s v="CUST0289"/>
    <x v="3"/>
    <x v="10"/>
    <n v="2"/>
    <n v="0.15"/>
    <n v="93500"/>
    <n v="8310.27"/>
    <x v="2"/>
    <s v="Shipped"/>
    <n v="46750"/>
    <n v="8.8879893048128356"/>
    <s v="Profit"/>
    <s v="Rahul Iyer"/>
    <x v="2"/>
    <x v="0"/>
    <s v="Coimbatore"/>
    <s v="Tamil Nadu"/>
    <s v="2023-01-07"/>
    <s v="18-25"/>
    <n v="4155.1350000000002"/>
  </r>
  <r>
    <s v="ORD01909"/>
    <d v="2026-08-07T00:00:00"/>
    <s v="CUST0378"/>
    <x v="3"/>
    <x v="10"/>
    <n v="1"/>
    <n v="0.3"/>
    <n v="38500"/>
    <n v="-284.5"/>
    <x v="0"/>
    <s v="Shipped"/>
    <n v="38500"/>
    <n v="-0.73896103896103893"/>
    <s v="Loss"/>
    <s v="Aarav Joshi"/>
    <x v="2"/>
    <x v="0"/>
    <s v="Bengaluru"/>
    <s v="Karnataka"/>
    <s v="2025-12-14"/>
    <s v="26-35"/>
    <n v="-284.5"/>
  </r>
  <r>
    <s v="ORD01910"/>
    <d v="2025-10-22T00:00:00"/>
    <s v="CUST0228"/>
    <x v="2"/>
    <x v="9"/>
    <n v="2"/>
    <n v="0.2"/>
    <n v="14400"/>
    <n v="2721.22"/>
    <x v="0"/>
    <s v="Delivered"/>
    <n v="7200"/>
    <n v="18.89736111111111"/>
    <s v="Profit"/>
    <s v="Rohan Reddy"/>
    <x v="2"/>
    <x v="0"/>
    <s v="Coimbatore"/>
    <s v="Tamil Nadu"/>
    <s v="2025-11-28"/>
    <s v="36-50"/>
    <n v="1360.61"/>
  </r>
  <r>
    <s v="ORD01911"/>
    <d v="2026-06-05T00:00:00"/>
    <s v="CUST0059"/>
    <x v="0"/>
    <x v="6"/>
    <n v="1"/>
    <n v="0.1"/>
    <n v="315"/>
    <n v="96.03"/>
    <x v="3"/>
    <s v="Delivered"/>
    <n v="315"/>
    <n v="30.485714285714291"/>
    <s v="Profit"/>
    <s v="Rahul Verma"/>
    <x v="1"/>
    <x v="3"/>
    <s v="Guwahati"/>
    <s v="Assam"/>
    <s v="2023-02-16"/>
    <s v="36-50"/>
    <n v="96.03"/>
  </r>
  <r>
    <s v="ORD01912"/>
    <d v="2025-08-26T00:00:00"/>
    <s v="CUST0420"/>
    <x v="2"/>
    <x v="2"/>
    <n v="5"/>
    <n v="0.05"/>
    <n v="61750"/>
    <n v="13470.77"/>
    <x v="2"/>
    <s v="Delivered"/>
    <n v="12350"/>
    <n v="21.815012145748991"/>
    <s v="Profit"/>
    <s v="Ishaan Gupta"/>
    <x v="0"/>
    <x v="2"/>
    <s v="Delhi"/>
    <s v="Delhi"/>
    <s v="2024-04-07"/>
    <s v="36-50"/>
    <n v="2694.154"/>
  </r>
  <r>
    <s v="ORD01913"/>
    <d v="2026-06-14T00:00:00"/>
    <s v="CUST0124"/>
    <x v="0"/>
    <x v="14"/>
    <n v="2"/>
    <n v="0.1"/>
    <n v="810"/>
    <n v="144.13999999999999"/>
    <x v="1"/>
    <s v="Delivered"/>
    <n v="405"/>
    <n v="17.795061728395059"/>
    <s v="Profit"/>
    <s v="Vikram Das"/>
    <x v="0"/>
    <x v="1"/>
    <s v="Pune"/>
    <s v="Maharashtra"/>
    <s v="2024-07-21"/>
    <s v="51+"/>
    <n v="72.069999999999993"/>
  </r>
  <r>
    <s v="ORD01914"/>
    <d v="2026-01-29T00:00:00"/>
    <s v="CUST0535"/>
    <x v="0"/>
    <x v="6"/>
    <n v="1"/>
    <n v="0.1"/>
    <n v="315"/>
    <n v="104.1"/>
    <x v="3"/>
    <s v="Delivered"/>
    <n v="315"/>
    <n v="33.047619047619051"/>
    <s v="Profit"/>
    <s v="Sanjay Reddy"/>
    <x v="0"/>
    <x v="0"/>
    <s v="Bengaluru"/>
    <s v="Karnataka"/>
    <s v="2024-03-17"/>
    <s v="18-25"/>
    <n v="104.1"/>
  </r>
  <r>
    <s v="ORD01915"/>
    <d v="2025-09-05T00:00:00"/>
    <s v="CUST0311"/>
    <x v="0"/>
    <x v="0"/>
    <n v="1"/>
    <n v="0.05"/>
    <n v="13300"/>
    <n v="-2874.6"/>
    <x v="3"/>
    <s v="Returned"/>
    <n v="13300"/>
    <n v="-21.61353383458647"/>
    <s v="Loss"/>
    <s v="Sneha Verma"/>
    <x v="2"/>
    <x v="1"/>
    <s v="Surat"/>
    <s v="Gujarat"/>
    <s v="2025-03-27"/>
    <s v="18-25"/>
    <n v="-2874.6"/>
  </r>
  <r>
    <s v="ORD01916"/>
    <d v="2026-07-29T00:00:00"/>
    <s v="CUST0565"/>
    <x v="0"/>
    <x v="0"/>
    <n v="3"/>
    <n v="0"/>
    <n v="42000"/>
    <n v="8400"/>
    <x v="1"/>
    <s v="Delivered"/>
    <n v="14000"/>
    <n v="20"/>
    <s v="Profit"/>
    <s v="Rahul Bose"/>
    <x v="0"/>
    <x v="0"/>
    <s v="Coimbatore"/>
    <s v="Tamil Nadu"/>
    <s v="2024-03-26"/>
    <s v="51+"/>
    <n v="2800"/>
  </r>
  <r>
    <s v="ORD01917"/>
    <d v="2025-07-05T00:00:00"/>
    <s v="CUST0143"/>
    <x v="2"/>
    <x v="9"/>
    <n v="2"/>
    <n v="0.15"/>
    <n v="15300"/>
    <n v="2526.0100000000002"/>
    <x v="2"/>
    <s v="Delivered"/>
    <n v="7650"/>
    <n v="16.509869281045749"/>
    <s v="Profit"/>
    <s v="Ananya Naidu"/>
    <x v="2"/>
    <x v="0"/>
    <s v="Bengaluru"/>
    <s v="Karnataka"/>
    <s v="2023-04-11"/>
    <s v="36-50"/>
    <n v="1263.0050000000001"/>
  </r>
  <r>
    <s v="ORD01918"/>
    <d v="2026-05-19T00:00:00"/>
    <s v="CUST0203"/>
    <x v="3"/>
    <x v="11"/>
    <n v="3"/>
    <n v="0.05"/>
    <n v="7125"/>
    <n v="2095.77"/>
    <x v="1"/>
    <s v="Delivered"/>
    <n v="2375"/>
    <n v="29.41431578947368"/>
    <s v="Profit"/>
    <s v="Arjun Gupta"/>
    <x v="2"/>
    <x v="0"/>
    <s v="Chennai"/>
    <s v="Tamil Nadu"/>
    <s v="2025-03-25"/>
    <s v="36-50"/>
    <n v="698.59"/>
  </r>
  <r>
    <s v="ORD01919"/>
    <d v="2026-06-07T00:00:00"/>
    <s v="CUST0081"/>
    <x v="2"/>
    <x v="3"/>
    <n v="2"/>
    <n v="0.1"/>
    <n v="27000"/>
    <n v="5020.2700000000004"/>
    <x v="2"/>
    <s v="Delivered"/>
    <n v="13500"/>
    <n v="18.5935925925926"/>
    <s v="Profit"/>
    <s v="Ananya Rao"/>
    <x v="2"/>
    <x v="0"/>
    <s v="Chennai"/>
    <s v="Tamil Nadu"/>
    <s v="2023-10-09"/>
    <s v="36-50"/>
    <n v="2510.1350000000002"/>
  </r>
  <r>
    <s v="ORD01920"/>
    <d v="2026-03-31T00:00:00"/>
    <s v="CUST0165"/>
    <x v="1"/>
    <x v="1"/>
    <n v="2"/>
    <n v="0.15"/>
    <n v="3060"/>
    <n v="1053.27"/>
    <x v="0"/>
    <s v="Delivered"/>
    <n v="1530"/>
    <n v="34.420588235294119"/>
    <s v="Profit"/>
    <s v="Diya Mishra"/>
    <x v="0"/>
    <x v="0"/>
    <s v="Hyderabad"/>
    <s v="Telangana"/>
    <s v="2025-04-25"/>
    <s v="51+"/>
    <n v="526.63499999999999"/>
  </r>
  <r>
    <s v="ORD01921"/>
    <d v="2026-08-12T00:00:00"/>
    <s v="CUST0136"/>
    <x v="0"/>
    <x v="14"/>
    <n v="5"/>
    <n v="0.3"/>
    <n v="1575"/>
    <n v="-6.26"/>
    <x v="1"/>
    <s v="Delivered"/>
    <n v="315"/>
    <n v="-0.3974603174603174"/>
    <s v="Loss"/>
    <s v="Meera Patel"/>
    <x v="0"/>
    <x v="2"/>
    <s v="Delhi"/>
    <s v="Delhi"/>
    <s v="2024-08-15"/>
    <s v="36-50"/>
    <n v="-1.252"/>
  </r>
  <r>
    <s v="ORD01922"/>
    <d v="2026-01-23T00:00:00"/>
    <s v="CUST0190"/>
    <x v="2"/>
    <x v="5"/>
    <n v="4"/>
    <n v="0"/>
    <n v="44000"/>
    <n v="10400"/>
    <x v="0"/>
    <s v="Delivered"/>
    <n v="11000"/>
    <n v="23.63636363636364"/>
    <s v="Profit"/>
    <s v="Rohan Naidu"/>
    <x v="0"/>
    <x v="0"/>
    <s v="Coimbatore"/>
    <s v="Tamil Nadu"/>
    <s v="2023-02-24"/>
    <s v="26-35"/>
    <n v="2600"/>
  </r>
  <r>
    <s v="ORD01923"/>
    <d v="2026-02-05T00:00:00"/>
    <s v="CUST0185"/>
    <x v="0"/>
    <x v="6"/>
    <n v="1"/>
    <n v="0.05"/>
    <n v="332.5"/>
    <n v="-90.83"/>
    <x v="3"/>
    <s v="Cancelled"/>
    <n v="332.5"/>
    <n v="-27.317293233082712"/>
    <s v="Loss"/>
    <s v="Karthik Mehta"/>
    <x v="2"/>
    <x v="2"/>
    <s v="Chandigarh"/>
    <s v="Chandigarh"/>
    <s v="2025-01-12"/>
    <s v="36-50"/>
    <n v="-90.83"/>
  </r>
  <r>
    <s v="ORD01924"/>
    <d v="2026-04-16T00:00:00"/>
    <s v="CUST0032"/>
    <x v="0"/>
    <x v="6"/>
    <n v="6"/>
    <n v="0.2"/>
    <n v="1680"/>
    <n v="530.21"/>
    <x v="2"/>
    <s v="Delivered"/>
    <n v="280"/>
    <n v="31.56011904761905"/>
    <s v="Profit"/>
    <s v="Pooja Nair"/>
    <x v="0"/>
    <x v="2"/>
    <s v="Delhi"/>
    <s v="Delhi"/>
    <s v="2025-05-13"/>
    <s v="26-35"/>
    <n v="88.368333333333339"/>
  </r>
  <r>
    <s v="ORD01925"/>
    <d v="2026-07-10T00:00:00"/>
    <s v="CUST0267"/>
    <x v="1"/>
    <x v="15"/>
    <n v="5"/>
    <n v="0.1"/>
    <n v="9900"/>
    <n v="3017.6"/>
    <x v="1"/>
    <s v="Delivered"/>
    <n v="1980"/>
    <n v="30.480808080808082"/>
    <s v="Profit"/>
    <s v="Arjun Kulkarni"/>
    <x v="1"/>
    <x v="3"/>
    <s v="Patna"/>
    <s v="Bihar"/>
    <s v="2023-05-20"/>
    <s v="26-35"/>
    <n v="603.52"/>
  </r>
  <r>
    <s v="ORD01926"/>
    <d v="2025-07-07T00:00:00"/>
    <s v="CUST0428"/>
    <x v="3"/>
    <x v="4"/>
    <n v="6"/>
    <n v="0"/>
    <n v="108000"/>
    <n v="-8859"/>
    <x v="1"/>
    <s v="Cancelled"/>
    <n v="18000"/>
    <n v="-8.2027777777777775"/>
    <s v="Loss"/>
    <s v="Akash Iyer"/>
    <x v="2"/>
    <x v="2"/>
    <s v="Chandigarh"/>
    <s v="Chandigarh"/>
    <s v="2024-08-10"/>
    <s v="26-35"/>
    <n v="-1476.5"/>
  </r>
  <r>
    <s v="ORD01927"/>
    <d v="2025-11-10T00:00:00"/>
    <s v="CUST0007"/>
    <x v="2"/>
    <x v="3"/>
    <n v="10"/>
    <n v="0.1"/>
    <n v="135000"/>
    <n v="22646.15"/>
    <x v="0"/>
    <s v="Delivered"/>
    <n v="13500"/>
    <n v="16.774925925925931"/>
    <s v="Profit"/>
    <s v="Harini Khan"/>
    <x v="0"/>
    <x v="0"/>
    <s v="Bengaluru"/>
    <s v="Karnataka"/>
    <s v="2025-07-02"/>
    <s v="36-50"/>
    <n v="2264.6149999999998"/>
  </r>
  <r>
    <s v="ORD01928"/>
    <d v="2026-01-18T00:00:00"/>
    <s v="CUST0158"/>
    <x v="0"/>
    <x v="0"/>
    <n v="3"/>
    <n v="0.15"/>
    <n v="35700"/>
    <n v="3467.11"/>
    <x v="2"/>
    <s v="Delivered"/>
    <n v="11900"/>
    <n v="9.7117927170868352"/>
    <s v="Profit"/>
    <s v="Ananya Reddy"/>
    <x v="2"/>
    <x v="0"/>
    <s v="Bengaluru"/>
    <s v="Karnataka"/>
    <s v="2024-04-04"/>
    <s v="18-25"/>
    <n v="1155.7033333333329"/>
  </r>
  <r>
    <s v="ORD01929"/>
    <d v="2026-05-31T00:00:00"/>
    <s v="CUST0111"/>
    <x v="1"/>
    <x v="12"/>
    <n v="4"/>
    <n v="0.1"/>
    <n v="5040"/>
    <n v="1706.54"/>
    <x v="3"/>
    <s v="Delivered"/>
    <n v="1260"/>
    <n v="33.859920634920627"/>
    <s v="Profit"/>
    <s v="Akash Verma"/>
    <x v="0"/>
    <x v="1"/>
    <s v="Pune"/>
    <s v="Maharashtra"/>
    <s v="2023-06-12"/>
    <s v="36-50"/>
    <n v="426.63499999999999"/>
  </r>
  <r>
    <s v="ORD01930"/>
    <d v="2025-10-03T00:00:00"/>
    <s v="CUST0065"/>
    <x v="3"/>
    <x v="4"/>
    <n v="2"/>
    <n v="0.05"/>
    <n v="34200"/>
    <n v="6096.36"/>
    <x v="3"/>
    <s v="Delivered"/>
    <n v="17100"/>
    <n v="17.825614035087721"/>
    <s v="Profit"/>
    <s v="Sneha Singh"/>
    <x v="0"/>
    <x v="0"/>
    <s v="Hyderabad"/>
    <s v="Telangana"/>
    <s v="2023-03-24"/>
    <s v="18-25"/>
    <n v="3048.18"/>
  </r>
  <r>
    <s v="ORD01931"/>
    <d v="2026-08-27T00:00:00"/>
    <s v="CUST0011"/>
    <x v="3"/>
    <x v="8"/>
    <n v="6"/>
    <n v="0.2"/>
    <n v="21600"/>
    <n v="5280.85"/>
    <x v="0"/>
    <s v="Delivered"/>
    <n v="3600"/>
    <n v="24.448379629629631"/>
    <s v="Profit"/>
    <s v="Kavya Menon"/>
    <x v="0"/>
    <x v="3"/>
    <s v="Guwahati"/>
    <s v="Assam"/>
    <s v="2023-05-10"/>
    <s v="26-35"/>
    <n v="880.14166666666677"/>
  </r>
  <r>
    <s v="ORD01932"/>
    <d v="2025-11-13T00:00:00"/>
    <s v="CUST0544"/>
    <x v="3"/>
    <x v="4"/>
    <n v="1"/>
    <n v="0.1"/>
    <n v="16200"/>
    <n v="2467.92"/>
    <x v="3"/>
    <s v="Delivered"/>
    <n v="16200"/>
    <n v="15.234074074074069"/>
    <s v="Profit"/>
    <s v="Rohan Menon"/>
    <x v="1"/>
    <x v="0"/>
    <s v="Hyderabad"/>
    <s v="Telangana"/>
    <s v="2024-05-08"/>
    <s v="26-35"/>
    <n v="2467.92"/>
  </r>
  <r>
    <s v="ORD01933"/>
    <d v="2025-09-24T00:00:00"/>
    <s v="CUST0276"/>
    <x v="0"/>
    <x v="6"/>
    <n v="4"/>
    <n v="0.15"/>
    <n v="1190"/>
    <n v="318.77999999999997"/>
    <x v="1"/>
    <s v="Delivered"/>
    <n v="297.5"/>
    <n v="26.788235294117651"/>
    <s v="Profit"/>
    <s v="Lakshmi Pillai"/>
    <x v="2"/>
    <x v="1"/>
    <s v="Mumbai"/>
    <s v="Maharashtra"/>
    <s v="2024-01-26"/>
    <s v="36-50"/>
    <n v="79.694999999999993"/>
  </r>
  <r>
    <s v="ORD01934"/>
    <d v="2026-07-18T00:00:00"/>
    <s v="CUST0119"/>
    <x v="1"/>
    <x v="15"/>
    <n v="3"/>
    <n v="0.15"/>
    <n v="5610"/>
    <n v="1546.87"/>
    <x v="1"/>
    <s v="Delivered"/>
    <n v="1870"/>
    <n v="27.573440285204988"/>
    <s v="Profit"/>
    <s v="Divya Naidu"/>
    <x v="1"/>
    <x v="0"/>
    <s v="Coimbatore"/>
    <s v="Tamil Nadu"/>
    <s v="2023-05-25"/>
    <s v="36-50"/>
    <n v="515.62333333333333"/>
  </r>
  <r>
    <s v="ORD01935"/>
    <d v="2026-02-06T00:00:00"/>
    <s v="CUST0314"/>
    <x v="3"/>
    <x v="11"/>
    <n v="2"/>
    <n v="0.2"/>
    <n v="4000"/>
    <n v="967.03"/>
    <x v="3"/>
    <s v="Delivered"/>
    <n v="2000"/>
    <n v="24.175750000000001"/>
    <s v="Profit"/>
    <s v="Aarav Mishra"/>
    <x v="0"/>
    <x v="0"/>
    <s v="Bengaluru"/>
    <s v="Karnataka"/>
    <s v="2025-10-30"/>
    <s v="26-35"/>
    <n v="483.51499999999999"/>
  </r>
  <r>
    <s v="ORD01936"/>
    <d v="2025-12-27T00:00:00"/>
    <s v="CUST0452"/>
    <x v="2"/>
    <x v="2"/>
    <n v="5"/>
    <n v="0.05"/>
    <n v="61750"/>
    <n v="13953.42"/>
    <x v="3"/>
    <s v="Delivered"/>
    <n v="12350"/>
    <n v="22.59663157894737"/>
    <s v="Profit"/>
    <s v="Varun Das"/>
    <x v="0"/>
    <x v="2"/>
    <s v="Lucknow"/>
    <s v="Uttar Pradesh"/>
    <s v="2024-09-25"/>
    <s v="36-50"/>
    <n v="2790.6840000000002"/>
  </r>
  <r>
    <s v="ORD01937"/>
    <d v="2025-11-25T00:00:00"/>
    <s v="CUST0130"/>
    <x v="3"/>
    <x v="11"/>
    <n v="2"/>
    <n v="0.2"/>
    <n v="4000"/>
    <n v="1144.45"/>
    <x v="1"/>
    <s v="Delivered"/>
    <n v="2000"/>
    <n v="28.611249999999998"/>
    <s v="Profit"/>
    <s v="Harini Nair"/>
    <x v="0"/>
    <x v="2"/>
    <s v="Delhi"/>
    <s v="Delhi"/>
    <s v="2025-03-01"/>
    <s v="18-25"/>
    <n v="572.22500000000002"/>
  </r>
  <r>
    <s v="ORD01938"/>
    <d v="2026-03-07T00:00:00"/>
    <s v="CUST0298"/>
    <x v="3"/>
    <x v="4"/>
    <n v="3"/>
    <n v="0.1"/>
    <n v="48600"/>
    <n v="7683.56"/>
    <x v="0"/>
    <s v="Delivered"/>
    <n v="16200"/>
    <n v="15.80979423868313"/>
    <s v="Profit"/>
    <s v="Diya Joshi"/>
    <x v="0"/>
    <x v="0"/>
    <s v="Chennai"/>
    <s v="Tamil Nadu"/>
    <s v="2025-01-10"/>
    <s v="18-25"/>
    <n v="2561.186666666667"/>
  </r>
  <r>
    <s v="ORD01939"/>
    <d v="2026-01-11T00:00:00"/>
    <s v="CUST0358"/>
    <x v="0"/>
    <x v="7"/>
    <n v="3"/>
    <n v="0.05"/>
    <n v="2565"/>
    <n v="739.86"/>
    <x v="2"/>
    <s v="Delivered"/>
    <n v="855"/>
    <n v="28.844444444444441"/>
    <s v="Profit"/>
    <s v="Sanjay Das"/>
    <x v="0"/>
    <x v="0"/>
    <s v="Hyderabad"/>
    <s v="Telangana"/>
    <s v="2025-08-29"/>
    <s v="18-25"/>
    <n v="246.62"/>
  </r>
  <r>
    <s v="ORD01940"/>
    <d v="2025-07-27T00:00:00"/>
    <s v="CUST0066"/>
    <x v="3"/>
    <x v="11"/>
    <n v="4"/>
    <n v="0.1"/>
    <n v="9000"/>
    <n v="-2884.36"/>
    <x v="3"/>
    <s v="Returned"/>
    <n v="2250"/>
    <n v="-32.048444444444449"/>
    <s v="Loss"/>
    <s v="Aarav Gupta"/>
    <x v="0"/>
    <x v="2"/>
    <s v="Jaipur"/>
    <s v="Rajasthan"/>
    <s v="2024-06-18"/>
    <s v="51+"/>
    <n v="-721.09"/>
  </r>
  <r>
    <s v="ORD01941"/>
    <d v="2025-08-09T00:00:00"/>
    <s v="CUST0528"/>
    <x v="0"/>
    <x v="6"/>
    <n v="3"/>
    <n v="0.1"/>
    <n v="945"/>
    <n v="283.67"/>
    <x v="2"/>
    <s v="Delivered"/>
    <n v="315"/>
    <n v="30.017989417989419"/>
    <s v="Profit"/>
    <s v="Karthik Menon"/>
    <x v="0"/>
    <x v="0"/>
    <s v="Chennai"/>
    <s v="Tamil Nadu"/>
    <s v="2024-07-24"/>
    <s v="36-50"/>
    <n v="94.556666666666672"/>
  </r>
  <r>
    <s v="ORD01942"/>
    <d v="2025-09-14T00:00:00"/>
    <s v="CUST0432"/>
    <x v="1"/>
    <x v="13"/>
    <n v="5"/>
    <n v="0.1"/>
    <n v="18900"/>
    <n v="-6328.73"/>
    <x v="2"/>
    <s v="Returned"/>
    <n v="3780"/>
    <n v="-33.485343915343911"/>
    <s v="Loss"/>
    <s v="Pooja Singh"/>
    <x v="1"/>
    <x v="0"/>
    <s v="Coimbatore"/>
    <s v="Tamil Nadu"/>
    <s v="2023-02-17"/>
    <s v="18-25"/>
    <n v="-1265.7460000000001"/>
  </r>
  <r>
    <s v="ORD01943"/>
    <d v="2026-04-05T00:00:00"/>
    <s v="CUST0337"/>
    <x v="0"/>
    <x v="0"/>
    <n v="1"/>
    <n v="0.05"/>
    <n v="13300"/>
    <n v="2340.11"/>
    <x v="0"/>
    <s v="Delivered"/>
    <n v="13300"/>
    <n v="17.59481203007519"/>
    <s v="Profit"/>
    <s v="Varun Das"/>
    <x v="1"/>
    <x v="3"/>
    <s v="Kolkata"/>
    <s v="West Bengal"/>
    <s v="2023-06-16"/>
    <s v="51+"/>
    <n v="2340.11"/>
  </r>
  <r>
    <s v="ORD01944"/>
    <d v="2026-03-22T00:00:00"/>
    <s v="CUST0510"/>
    <x v="0"/>
    <x v="0"/>
    <n v="4"/>
    <n v="0.15"/>
    <n v="47600"/>
    <n v="-28833.599999999999"/>
    <x v="1"/>
    <s v="Cancelled"/>
    <n v="11900"/>
    <n v="-60.574789915966377"/>
    <s v="Loss"/>
    <s v="Vikram Singh"/>
    <x v="1"/>
    <x v="0"/>
    <s v="Coimbatore"/>
    <s v="Tamil Nadu"/>
    <s v="2024-08-20"/>
    <s v="36-50"/>
    <n v="-7208.4"/>
  </r>
  <r>
    <s v="ORD01945"/>
    <d v="2026-07-02T00:00:00"/>
    <s v="CUST0341"/>
    <x v="0"/>
    <x v="14"/>
    <n v="3"/>
    <n v="0.05"/>
    <n v="1282.5"/>
    <n v="297.17"/>
    <x v="3"/>
    <s v="Delivered"/>
    <n v="427.5"/>
    <n v="23.17115009746589"/>
    <s v="Profit"/>
    <s v="Arjun Mehta"/>
    <x v="1"/>
    <x v="0"/>
    <s v="Coimbatore"/>
    <s v="Tamil Nadu"/>
    <s v="2023-11-21"/>
    <s v="26-35"/>
    <n v="99.056666666666672"/>
  </r>
  <r>
    <s v="ORD01946"/>
    <d v="2026-01-15T00:00:00"/>
    <s v="CUST0413"/>
    <x v="3"/>
    <x v="8"/>
    <n v="3"/>
    <n v="0.2"/>
    <n v="10800"/>
    <n v="2210.9499999999998"/>
    <x v="1"/>
    <s v="Delivered"/>
    <n v="3600"/>
    <n v="20.471759259259251"/>
    <s v="Profit"/>
    <s v="Sanjay Bose"/>
    <x v="0"/>
    <x v="0"/>
    <s v="Chennai"/>
    <s v="Tamil Nadu"/>
    <s v="2023-05-01"/>
    <s v="26-35"/>
    <n v="736.98333333333323"/>
  </r>
  <r>
    <s v="ORD01947"/>
    <d v="2025-09-24T00:00:00"/>
    <s v="CUST0359"/>
    <x v="1"/>
    <x v="15"/>
    <n v="2"/>
    <n v="0"/>
    <n v="4400"/>
    <n v="-1081.23"/>
    <x v="2"/>
    <s v="Cancelled"/>
    <n v="2200"/>
    <n v="-24.573409090909092"/>
    <s v="Loss"/>
    <s v="Ananya Mishra"/>
    <x v="0"/>
    <x v="0"/>
    <s v="Bengaluru"/>
    <s v="Karnataka"/>
    <s v="2024-05-22"/>
    <s v="26-35"/>
    <n v="-540.61500000000001"/>
  </r>
  <r>
    <s v="ORD01948"/>
    <d v="2025-11-22T00:00:00"/>
    <s v="CUST0555"/>
    <x v="1"/>
    <x v="1"/>
    <n v="2"/>
    <n v="0.05"/>
    <n v="3420"/>
    <n v="1190.99"/>
    <x v="1"/>
    <s v="Delivered"/>
    <n v="1710"/>
    <n v="34.824269005847952"/>
    <s v="Profit"/>
    <s v="Aarav Mehta"/>
    <x v="0"/>
    <x v="0"/>
    <s v="Coimbatore"/>
    <s v="Tamil Nadu"/>
    <s v="2023-05-19"/>
    <s v="51+"/>
    <n v="595.495"/>
  </r>
  <r>
    <s v="ORD01949"/>
    <d v="2026-08-26T00:00:00"/>
    <s v="CUST0259"/>
    <x v="0"/>
    <x v="14"/>
    <n v="2"/>
    <n v="0.05"/>
    <n v="855"/>
    <n v="194.28"/>
    <x v="2"/>
    <s v="Delivered"/>
    <n v="427.5"/>
    <n v="22.722807017543861"/>
    <s v="Profit"/>
    <s v="Manoj Menon"/>
    <x v="2"/>
    <x v="0"/>
    <s v="Coimbatore"/>
    <s v="Tamil Nadu"/>
    <s v="2023-10-20"/>
    <s v="26-35"/>
    <n v="97.14"/>
  </r>
  <r>
    <s v="ORD01950"/>
    <d v="2026-08-25T00:00:00"/>
    <s v="CUST0109"/>
    <x v="0"/>
    <x v="7"/>
    <n v="3"/>
    <n v="0.05"/>
    <n v="2565"/>
    <n v="766.48"/>
    <x v="3"/>
    <s v="Delivered"/>
    <n v="855"/>
    <n v="29.882261208576999"/>
    <s v="Profit"/>
    <s v="Lakshmi Gupta"/>
    <x v="1"/>
    <x v="1"/>
    <s v="Surat"/>
    <s v="Gujarat"/>
    <s v="2023-01-04"/>
    <s v="26-35"/>
    <n v="255.49333333333331"/>
  </r>
  <r>
    <s v="ORD01951"/>
    <d v="2026-03-05T00:00:00"/>
    <s v="CUST0255"/>
    <x v="3"/>
    <x v="8"/>
    <n v="3"/>
    <n v="0"/>
    <n v="13500"/>
    <n v="4500"/>
    <x v="0"/>
    <s v="Delivered"/>
    <n v="4500"/>
    <n v="33.333333333333329"/>
    <s v="Profit"/>
    <s v="Aarav Menon"/>
    <x v="2"/>
    <x v="2"/>
    <s v="Delhi"/>
    <s v="Delhi"/>
    <s v="2025-10-02"/>
    <s v="36-50"/>
    <n v="1500"/>
  </r>
  <r>
    <s v="ORD01952"/>
    <d v="2025-11-18T00:00:00"/>
    <s v="CUST0269"/>
    <x v="0"/>
    <x v="6"/>
    <n v="2"/>
    <n v="0.2"/>
    <n v="560"/>
    <n v="151.47999999999999"/>
    <x v="1"/>
    <s v="Delivered"/>
    <n v="280"/>
    <n v="27.05"/>
    <s v="Profit"/>
    <s v="Manoj Das"/>
    <x v="1"/>
    <x v="2"/>
    <s v="Delhi"/>
    <s v="Delhi"/>
    <s v="2025-06-23"/>
    <s v="36-50"/>
    <n v="75.739999999999995"/>
  </r>
  <r>
    <s v="ORD01953"/>
    <d v="2025-09-12T00:00:00"/>
    <s v="CUST0441"/>
    <x v="3"/>
    <x v="4"/>
    <n v="3"/>
    <n v="0.15"/>
    <n v="45900"/>
    <n v="5725.98"/>
    <x v="3"/>
    <s v="Delivered"/>
    <n v="15300"/>
    <n v="12.47490196078431"/>
    <s v="Profit"/>
    <s v="Arjun Joshi"/>
    <x v="0"/>
    <x v="0"/>
    <s v="Bengaluru"/>
    <s v="Karnataka"/>
    <s v="2024-05-10"/>
    <s v="18-25"/>
    <n v="1908.66"/>
  </r>
  <r>
    <s v="ORD01954"/>
    <d v="2026-02-08T00:00:00"/>
    <s v="CUST0233"/>
    <x v="0"/>
    <x v="14"/>
    <n v="3"/>
    <n v="0.1"/>
    <n v="1215"/>
    <n v="-217.25"/>
    <x v="3"/>
    <s v="Cancelled"/>
    <n v="405"/>
    <n v="-17.880658436213992"/>
    <s v="Loss"/>
    <s v="Aarav Menon"/>
    <x v="0"/>
    <x v="2"/>
    <s v="Chandigarh"/>
    <s v="Chandigarh"/>
    <s v="2023-12-22"/>
    <s v="26-35"/>
    <n v="-72.416666666666671"/>
  </r>
  <r>
    <s v="ORD01955"/>
    <d v="2026-08-28T00:00:00"/>
    <s v="CUST0459"/>
    <x v="0"/>
    <x v="7"/>
    <n v="3"/>
    <n v="0.2"/>
    <n v="2160"/>
    <n v="575.27"/>
    <x v="3"/>
    <s v="Shipped"/>
    <n v="720"/>
    <n v="26.63287037037037"/>
    <s v="Profit"/>
    <s v="Nisha Das"/>
    <x v="0"/>
    <x v="2"/>
    <s v="Chandigarh"/>
    <s v="Chandigarh"/>
    <s v="2024-10-03"/>
    <s v="26-35"/>
    <n v="191.75666666666669"/>
  </r>
  <r>
    <s v="ORD01956"/>
    <d v="2026-08-20T00:00:00"/>
    <s v="CUST0481"/>
    <x v="3"/>
    <x v="10"/>
    <n v="3"/>
    <n v="0.3"/>
    <n v="115500"/>
    <n v="2179.29"/>
    <x v="1"/>
    <s v="Shipped"/>
    <n v="38500"/>
    <n v="1.886831168831169"/>
    <s v="Profit"/>
    <s v="Diya Kulkarni"/>
    <x v="1"/>
    <x v="2"/>
    <s v="Lucknow"/>
    <s v="Uttar Pradesh"/>
    <s v="2024-07-28"/>
    <s v="26-35"/>
    <n v="726.43"/>
  </r>
  <r>
    <s v="ORD01957"/>
    <d v="2026-05-14T00:00:00"/>
    <s v="CUST0585"/>
    <x v="3"/>
    <x v="10"/>
    <n v="6"/>
    <n v="0.15"/>
    <n v="280500"/>
    <n v="27550.21"/>
    <x v="1"/>
    <s v="Delivered"/>
    <n v="46750"/>
    <n v="9.8218217468805697"/>
    <s v="Profit"/>
    <s v="Diya Reddy"/>
    <x v="1"/>
    <x v="0"/>
    <s v="Bengaluru"/>
    <s v="Karnataka"/>
    <s v="2024-03-03"/>
    <s v="51+"/>
    <n v="4591.7016666666668"/>
  </r>
  <r>
    <s v="ORD01958"/>
    <d v="2026-05-10T00:00:00"/>
    <s v="CUST0348"/>
    <x v="0"/>
    <x v="7"/>
    <n v="3"/>
    <n v="0.1"/>
    <n v="2430"/>
    <n v="715.34"/>
    <x v="0"/>
    <s v="Delivered"/>
    <n v="810"/>
    <n v="29.437860082304532"/>
    <s v="Profit"/>
    <s v="Varun Verma"/>
    <x v="2"/>
    <x v="3"/>
    <s v="Patna"/>
    <s v="Bihar"/>
    <s v="2024-01-11"/>
    <s v="26-35"/>
    <n v="238.44666666666669"/>
  </r>
  <r>
    <s v="ORD01959"/>
    <d v="2025-09-11T00:00:00"/>
    <s v="CUST0251"/>
    <x v="0"/>
    <x v="14"/>
    <n v="2"/>
    <n v="0.05"/>
    <n v="855"/>
    <n v="190.55"/>
    <x v="1"/>
    <s v="Delivered"/>
    <n v="427.5"/>
    <n v="22.28654970760234"/>
    <s v="Profit"/>
    <s v="Arjun Verma"/>
    <x v="2"/>
    <x v="0"/>
    <s v="Coimbatore"/>
    <s v="Tamil Nadu"/>
    <s v="2023-06-16"/>
    <s v="36-50"/>
    <n v="95.275000000000006"/>
  </r>
  <r>
    <s v="ORD01960"/>
    <d v="2026-07-30T00:00:00"/>
    <s v="CUST0014"/>
    <x v="1"/>
    <x v="12"/>
    <n v="1"/>
    <n v="0.2"/>
    <n v="1120"/>
    <n v="289.45999999999998"/>
    <x v="3"/>
    <s v="Delivered"/>
    <n v="1120"/>
    <n v="25.844642857142858"/>
    <s v="Profit"/>
    <s v="Lakshmi Verma"/>
    <x v="2"/>
    <x v="0"/>
    <s v="Chennai"/>
    <s v="Tamil Nadu"/>
    <s v="2024-11-24"/>
    <s v="36-50"/>
    <n v="289.45999999999998"/>
  </r>
  <r>
    <s v="ORD01961"/>
    <d v="2026-06-18T00:00:00"/>
    <s v="CUST0057"/>
    <x v="1"/>
    <x v="1"/>
    <n v="1"/>
    <n v="0"/>
    <n v="1800"/>
    <n v="-182.44"/>
    <x v="0"/>
    <s v="Cancelled"/>
    <n v="1800"/>
    <n v="-10.135555555555561"/>
    <s v="Loss"/>
    <s v="Akash Singh"/>
    <x v="2"/>
    <x v="2"/>
    <s v="Chandigarh"/>
    <s v="Chandigarh"/>
    <s v="2024-12-21"/>
    <s v="26-35"/>
    <n v="-182.44"/>
  </r>
  <r>
    <s v="ORD01962"/>
    <d v="2025-12-07T00:00:00"/>
    <s v="CUST0081"/>
    <x v="0"/>
    <x v="7"/>
    <n v="2"/>
    <n v="0.2"/>
    <n v="1440"/>
    <n v="367.77"/>
    <x v="1"/>
    <s v="Delivered"/>
    <n v="720"/>
    <n v="25.539583333333329"/>
    <s v="Profit"/>
    <s v="Ananya Rao"/>
    <x v="2"/>
    <x v="0"/>
    <s v="Chennai"/>
    <s v="Tamil Nadu"/>
    <s v="2023-10-09"/>
    <s v="36-50"/>
    <n v="183.88499999999999"/>
  </r>
  <r>
    <s v="ORD01963"/>
    <d v="2026-07-20T00:00:00"/>
    <s v="CUST0079"/>
    <x v="2"/>
    <x v="3"/>
    <n v="1"/>
    <n v="0"/>
    <n v="15000"/>
    <n v="3500"/>
    <x v="0"/>
    <s v="Delivered"/>
    <n v="15000"/>
    <n v="23.333333333333329"/>
    <s v="Profit"/>
    <s v="Akash Mehta"/>
    <x v="0"/>
    <x v="0"/>
    <s v="Chennai"/>
    <s v="Tamil Nadu"/>
    <s v="2024-07-12"/>
    <s v="51+"/>
    <n v="3500"/>
  </r>
  <r>
    <s v="ORD01964"/>
    <d v="2025-09-24T00:00:00"/>
    <s v="CUST0062"/>
    <x v="2"/>
    <x v="2"/>
    <n v="2"/>
    <n v="0"/>
    <n v="26000"/>
    <n v="6400"/>
    <x v="1"/>
    <s v="Delivered"/>
    <n v="13000"/>
    <n v="24.61538461538462"/>
    <s v="Profit"/>
    <s v="Harini Pillai"/>
    <x v="1"/>
    <x v="2"/>
    <s v="Jaipur"/>
    <s v="Rajasthan"/>
    <s v="2023-04-01"/>
    <s v="36-50"/>
    <n v="3200"/>
  </r>
  <r>
    <s v="ORD01965"/>
    <d v="2026-06-27T00:00:00"/>
    <s v="CUST0257"/>
    <x v="0"/>
    <x v="0"/>
    <n v="1"/>
    <n v="0.1"/>
    <n v="12600"/>
    <n v="1714.74"/>
    <x v="1"/>
    <s v="Shipped"/>
    <n v="12600"/>
    <n v="13.609047619047621"/>
    <s v="Profit"/>
    <s v="Rahul Patel"/>
    <x v="0"/>
    <x v="2"/>
    <s v="Delhi"/>
    <s v="Delhi"/>
    <s v="2025-10-24"/>
    <s v="36-50"/>
    <n v="1714.74"/>
  </r>
  <r>
    <s v="ORD01966"/>
    <d v="2025-11-24T00:00:00"/>
    <s v="CUST0457"/>
    <x v="3"/>
    <x v="10"/>
    <n v="3"/>
    <n v="0.1"/>
    <n v="148500"/>
    <n v="13754.34"/>
    <x v="0"/>
    <s v="Delivered"/>
    <n v="49500"/>
    <n v="9.2621818181818174"/>
    <s v="Profit"/>
    <s v="Karthik Bose"/>
    <x v="2"/>
    <x v="0"/>
    <s v="Hyderabad"/>
    <s v="Telangana"/>
    <s v="2025-04-05"/>
    <s v="51+"/>
    <n v="4584.78"/>
  </r>
  <r>
    <s v="ORD01967"/>
    <d v="2026-07-29T00:00:00"/>
    <s v="CUST0181"/>
    <x v="1"/>
    <x v="12"/>
    <n v="4"/>
    <n v="0"/>
    <n v="5600"/>
    <n v="2000"/>
    <x v="0"/>
    <s v="Delivered"/>
    <n v="1400"/>
    <n v="35.714285714285722"/>
    <s v="Profit"/>
    <s v="Rohan Iyer"/>
    <x v="1"/>
    <x v="1"/>
    <s v="Surat"/>
    <s v="Gujarat"/>
    <s v="2023-03-20"/>
    <s v="36-50"/>
    <n v="500"/>
  </r>
  <r>
    <s v="ORD01968"/>
    <d v="2025-08-14T00:00:00"/>
    <s v="CUST0531"/>
    <x v="0"/>
    <x v="14"/>
    <n v="1"/>
    <n v="0.2"/>
    <n v="360"/>
    <n v="42.79"/>
    <x v="0"/>
    <s v="Delivered"/>
    <n v="360"/>
    <n v="11.886111111111109"/>
    <s v="Profit"/>
    <s v="Kavya Mishra"/>
    <x v="2"/>
    <x v="0"/>
    <s v="Coimbatore"/>
    <s v="Tamil Nadu"/>
    <s v="2023-10-06"/>
    <s v="26-35"/>
    <n v="42.79"/>
  </r>
  <r>
    <s v="ORD01969"/>
    <d v="2025-07-02T00:00:00"/>
    <s v="CUST0444"/>
    <x v="1"/>
    <x v="12"/>
    <n v="4"/>
    <n v="0.1"/>
    <n v="5040"/>
    <n v="1609.29"/>
    <x v="1"/>
    <s v="Shipped"/>
    <n v="1260"/>
    <n v="31.93035714285714"/>
    <s v="Profit"/>
    <s v="Harini Naidu"/>
    <x v="0"/>
    <x v="3"/>
    <s v="Guwahati"/>
    <s v="Assam"/>
    <s v="2023-05-21"/>
    <s v="18-25"/>
    <n v="402.32249999999999"/>
  </r>
  <r>
    <s v="ORD01970"/>
    <d v="2026-06-23T00:00:00"/>
    <s v="CUST0300"/>
    <x v="1"/>
    <x v="13"/>
    <n v="3"/>
    <n v="0.15"/>
    <n v="10710"/>
    <n v="2018.15"/>
    <x v="3"/>
    <s v="Delivered"/>
    <n v="3570"/>
    <n v="18.843604108309989"/>
    <s v="Profit"/>
    <s v="Ananya Patel"/>
    <x v="0"/>
    <x v="2"/>
    <s v="Chandigarh"/>
    <s v="Chandigarh"/>
    <s v="2025-08-18"/>
    <s v="18-25"/>
    <n v="672.7166666666667"/>
  </r>
  <r>
    <s v="ORD01971"/>
    <d v="2026-04-05T00:00:00"/>
    <s v="CUST0257"/>
    <x v="1"/>
    <x v="15"/>
    <n v="1"/>
    <n v="0.1"/>
    <n v="1980"/>
    <n v="587.65"/>
    <x v="3"/>
    <s v="Delivered"/>
    <n v="1980"/>
    <n v="29.679292929292931"/>
    <s v="Profit"/>
    <s v="Rahul Patel"/>
    <x v="0"/>
    <x v="2"/>
    <s v="Delhi"/>
    <s v="Delhi"/>
    <s v="2025-10-24"/>
    <s v="36-50"/>
    <n v="587.65"/>
  </r>
  <r>
    <s v="ORD01972"/>
    <d v="2025-10-10T00:00:00"/>
    <s v="CUST0258"/>
    <x v="2"/>
    <x v="5"/>
    <n v="3"/>
    <n v="0.05"/>
    <n v="31350"/>
    <n v="7034.78"/>
    <x v="0"/>
    <s v="Delivered"/>
    <n v="10450"/>
    <n v="22.439489633173839"/>
    <s v="Profit"/>
    <s v="Priya Naidu"/>
    <x v="0"/>
    <x v="0"/>
    <s v="Bengaluru"/>
    <s v="Karnataka"/>
    <s v="2023-07-05"/>
    <s v="26-35"/>
    <n v="2344.9266666666672"/>
  </r>
  <r>
    <s v="ORD01973"/>
    <d v="2026-04-18T00:00:00"/>
    <s v="CUST0253"/>
    <x v="3"/>
    <x v="10"/>
    <n v="1"/>
    <n v="0.1"/>
    <n v="49500"/>
    <n v="5131.6000000000004"/>
    <x v="0"/>
    <s v="Shipped"/>
    <n v="49500"/>
    <n v="10.36686868686869"/>
    <s v="Profit"/>
    <s v="Manoj Joshi"/>
    <x v="1"/>
    <x v="1"/>
    <s v="Ahmedabad"/>
    <s v="Gujarat"/>
    <s v="2025-01-11"/>
    <s v="36-50"/>
    <n v="5131.6000000000004"/>
  </r>
  <r>
    <s v="ORD01974"/>
    <d v="2025-11-11T00:00:00"/>
    <s v="CUST0290"/>
    <x v="3"/>
    <x v="10"/>
    <n v="1"/>
    <n v="0.15"/>
    <n v="46750"/>
    <n v="2942.31"/>
    <x v="1"/>
    <s v="Delivered"/>
    <n v="46750"/>
    <n v="6.2937112299465232"/>
    <s v="Profit"/>
    <s v="Aarav Bose"/>
    <x v="2"/>
    <x v="1"/>
    <s v="Ahmedabad"/>
    <s v="Gujarat"/>
    <s v="2025-02-14"/>
    <s v="18-25"/>
    <n v="2942.31"/>
  </r>
  <r>
    <s v="ORD01975"/>
    <d v="2026-06-29T00:00:00"/>
    <s v="CUST0111"/>
    <x v="0"/>
    <x v="6"/>
    <n v="5"/>
    <n v="0.2"/>
    <n v="1400"/>
    <n v="389.07"/>
    <x v="0"/>
    <s v="Shipped"/>
    <n v="280"/>
    <n v="27.79071428571428"/>
    <s v="Profit"/>
    <s v="Akash Verma"/>
    <x v="0"/>
    <x v="1"/>
    <s v="Pune"/>
    <s v="Maharashtra"/>
    <s v="2023-06-12"/>
    <s v="36-50"/>
    <n v="77.813999999999993"/>
  </r>
  <r>
    <s v="ORD01976"/>
    <d v="2026-02-16T00:00:00"/>
    <s v="CUST0538"/>
    <x v="0"/>
    <x v="14"/>
    <n v="1"/>
    <n v="0.1"/>
    <n v="405"/>
    <n v="87.07"/>
    <x v="2"/>
    <s v="Delivered"/>
    <n v="405"/>
    <n v="21.498765432098761"/>
    <s v="Profit"/>
    <s v="Sanjay Chopra"/>
    <x v="1"/>
    <x v="0"/>
    <s v="Coimbatore"/>
    <s v="Tamil Nadu"/>
    <s v="2024-01-09"/>
    <s v="36-50"/>
    <n v="87.07"/>
  </r>
  <r>
    <s v="ORD01977"/>
    <d v="2025-12-25T00:00:00"/>
    <s v="CUST0403"/>
    <x v="3"/>
    <x v="11"/>
    <n v="5"/>
    <n v="0.1"/>
    <n v="11250"/>
    <n v="3147.89"/>
    <x v="1"/>
    <s v="Delivered"/>
    <n v="2250"/>
    <n v="27.981244444444439"/>
    <s v="Profit"/>
    <s v="Nisha Mehta"/>
    <x v="0"/>
    <x v="1"/>
    <s v="Pune"/>
    <s v="Maharashtra"/>
    <s v="2025-11-22"/>
    <s v="36-50"/>
    <n v="629.57799999999997"/>
  </r>
  <r>
    <s v="ORD01978"/>
    <d v="2026-04-14T00:00:00"/>
    <s v="CUST0533"/>
    <x v="2"/>
    <x v="3"/>
    <n v="3"/>
    <n v="0"/>
    <n v="45000"/>
    <n v="10500"/>
    <x v="0"/>
    <s v="Shipped"/>
    <n v="15000"/>
    <n v="23.333333333333329"/>
    <s v="Profit"/>
    <s v="Sneha Pillai"/>
    <x v="0"/>
    <x v="1"/>
    <s v="Pune"/>
    <s v="Maharashtra"/>
    <s v="2023-06-15"/>
    <s v="18-25"/>
    <n v="3500"/>
  </r>
  <r>
    <s v="ORD01979"/>
    <d v="2025-12-06T00:00:00"/>
    <s v="CUST0007"/>
    <x v="2"/>
    <x v="2"/>
    <n v="6"/>
    <n v="0.15"/>
    <n v="66300"/>
    <n v="12394.97"/>
    <x v="0"/>
    <s v="Delivered"/>
    <n v="11050"/>
    <n v="18.695279034690799"/>
    <s v="Profit"/>
    <s v="Harini Khan"/>
    <x v="0"/>
    <x v="0"/>
    <s v="Bengaluru"/>
    <s v="Karnataka"/>
    <s v="2025-07-02"/>
    <s v="36-50"/>
    <n v="2065.8283333333329"/>
  </r>
  <r>
    <s v="ORD01980"/>
    <d v="2026-07-21T00:00:00"/>
    <s v="CUST0159"/>
    <x v="2"/>
    <x v="5"/>
    <n v="15"/>
    <n v="0.3"/>
    <n v="115500"/>
    <n v="-33038.71"/>
    <x v="0"/>
    <s v="Returned"/>
    <n v="7700"/>
    <n v="-28.60494372294372"/>
    <s v="Loss"/>
    <s v="Rahul Reddy"/>
    <x v="1"/>
    <x v="2"/>
    <s v="Jaipur"/>
    <s v="Rajasthan"/>
    <s v="2025-07-05"/>
    <s v="51+"/>
    <n v="-2202.5806666666672"/>
  </r>
  <r>
    <s v="ORD01981"/>
    <d v="2025-07-11T00:00:00"/>
    <s v="CUST0593"/>
    <x v="1"/>
    <x v="15"/>
    <n v="2"/>
    <n v="0"/>
    <n v="4400"/>
    <n v="1500"/>
    <x v="1"/>
    <s v="Shipped"/>
    <n v="2200"/>
    <n v="34.090909090909093"/>
    <s v="Profit"/>
    <s v="Ananya Reddy"/>
    <x v="1"/>
    <x v="2"/>
    <s v="Lucknow"/>
    <s v="Uttar Pradesh"/>
    <s v="2023-11-05"/>
    <s v="51+"/>
    <n v="750"/>
  </r>
  <r>
    <s v="ORD01982"/>
    <d v="2025-12-24T00:00:00"/>
    <s v="CUST0465"/>
    <x v="2"/>
    <x v="9"/>
    <n v="3"/>
    <n v="0.05"/>
    <n v="25650"/>
    <n v="6031.58"/>
    <x v="1"/>
    <s v="Delivered"/>
    <n v="8550"/>
    <n v="23.514931773879141"/>
    <s v="Profit"/>
    <s v="Ananya Pillai"/>
    <x v="2"/>
    <x v="2"/>
    <s v="Delhi"/>
    <s v="Delhi"/>
    <s v="2023-04-30"/>
    <s v="26-35"/>
    <n v="2010.5266666666671"/>
  </r>
  <r>
    <s v="ORD01983"/>
    <d v="2025-09-20T00:00:00"/>
    <s v="CUST0355"/>
    <x v="1"/>
    <x v="13"/>
    <n v="2"/>
    <n v="0.3"/>
    <n v="5880"/>
    <n v="1002.07"/>
    <x v="0"/>
    <s v="Delivered"/>
    <n v="2940"/>
    <n v="17.04200680272109"/>
    <s v="Profit"/>
    <s v="Harini Bose"/>
    <x v="0"/>
    <x v="2"/>
    <s v="Jaipur"/>
    <s v="Rajasthan"/>
    <s v="2025-01-22"/>
    <s v="26-35"/>
    <n v="501.03500000000003"/>
  </r>
  <r>
    <s v="ORD01984"/>
    <d v="2025-11-23T00:00:00"/>
    <s v="CUST0146"/>
    <x v="1"/>
    <x v="12"/>
    <n v="2"/>
    <n v="0.2"/>
    <n v="2240"/>
    <n v="607.04"/>
    <x v="0"/>
    <s v="Delivered"/>
    <n v="1120"/>
    <n v="27.1"/>
    <s v="Profit"/>
    <s v="Priya Das"/>
    <x v="3"/>
    <x v="3"/>
    <s v="Patna"/>
    <s v="Bihar"/>
    <s v="2024-06-19"/>
    <s v="26-35"/>
    <n v="303.52"/>
  </r>
  <r>
    <s v="ORD01985"/>
    <d v="2026-04-07T00:00:00"/>
    <s v="CUST0548"/>
    <x v="1"/>
    <x v="12"/>
    <n v="3"/>
    <n v="0"/>
    <n v="4200"/>
    <n v="1500"/>
    <x v="0"/>
    <s v="Delivered"/>
    <n v="1400"/>
    <n v="35.714285714285722"/>
    <s v="Profit"/>
    <s v="Diya Mishra"/>
    <x v="1"/>
    <x v="2"/>
    <s v="Chandigarh"/>
    <s v="Chandigarh"/>
    <s v="2023-12-31"/>
    <s v="36-50"/>
    <n v="500"/>
  </r>
  <r>
    <s v="ORD01986"/>
    <d v="2025-11-20T00:00:00"/>
    <s v="CUST0311"/>
    <x v="0"/>
    <x v="14"/>
    <n v="4"/>
    <n v="0"/>
    <n v="1800"/>
    <n v="440"/>
    <x v="2"/>
    <s v="Shipped"/>
    <n v="450"/>
    <n v="24.444444444444439"/>
    <s v="Profit"/>
    <s v="Sneha Verma"/>
    <x v="2"/>
    <x v="1"/>
    <s v="Surat"/>
    <s v="Gujarat"/>
    <s v="2025-03-27"/>
    <s v="18-25"/>
    <n v="110"/>
  </r>
  <r>
    <s v="ORD01987"/>
    <d v="2026-06-01T00:00:00"/>
    <s v="CUST0384"/>
    <x v="3"/>
    <x v="10"/>
    <n v="10"/>
    <n v="0.2"/>
    <n v="440000"/>
    <n v="-2323.52"/>
    <x v="3"/>
    <s v="Delivered"/>
    <n v="44000"/>
    <n v="-0.52807272727272725"/>
    <s v="Loss"/>
    <s v="Pooja Gupta"/>
    <x v="1"/>
    <x v="1"/>
    <s v="Pune"/>
    <s v="Maharashtra"/>
    <s v="2025-11-14"/>
    <s v="36-50"/>
    <n v="-232.352"/>
  </r>
  <r>
    <s v="ORD01988"/>
    <d v="2026-05-09T00:00:00"/>
    <s v="CUST0481"/>
    <x v="2"/>
    <x v="9"/>
    <n v="1"/>
    <n v="0.05"/>
    <n v="8550"/>
    <n v="1978.02"/>
    <x v="3"/>
    <s v="Delivered"/>
    <n v="8550"/>
    <n v="23.134736842105259"/>
    <s v="Profit"/>
    <s v="Diya Kulkarni"/>
    <x v="1"/>
    <x v="2"/>
    <s v="Lucknow"/>
    <s v="Uttar Pradesh"/>
    <s v="2024-07-28"/>
    <s v="26-35"/>
    <n v="1978.02"/>
  </r>
  <r>
    <s v="ORD01989"/>
    <d v="2026-02-08T00:00:00"/>
    <s v="CUST0155"/>
    <x v="2"/>
    <x v="9"/>
    <n v="4"/>
    <n v="0.1"/>
    <n v="32400"/>
    <n v="6627.87"/>
    <x v="0"/>
    <s v="Delivered"/>
    <n v="8100"/>
    <n v="20.456388888888888"/>
    <s v="Profit"/>
    <s v="Ishaan Sharma"/>
    <x v="0"/>
    <x v="0"/>
    <s v="Bengaluru"/>
    <s v="Karnataka"/>
    <s v="2023-07-08"/>
    <s v="26-35"/>
    <n v="1656.9675"/>
  </r>
  <r>
    <s v="ORD01990"/>
    <d v="2026-02-20T00:00:00"/>
    <s v="CUST0483"/>
    <x v="2"/>
    <x v="5"/>
    <n v="1"/>
    <n v="0.1"/>
    <n v="9900"/>
    <n v="1728.35"/>
    <x v="3"/>
    <s v="Delivered"/>
    <n v="9900"/>
    <n v="17.458080808080801"/>
    <s v="Profit"/>
    <s v="Harini Rao"/>
    <x v="2"/>
    <x v="0"/>
    <s v="Bengaluru"/>
    <s v="Karnataka"/>
    <s v="2025-12-26"/>
    <s v="18-25"/>
    <n v="1728.35"/>
  </r>
  <r>
    <s v="ORD01991"/>
    <d v="2026-05-27T00:00:00"/>
    <s v="CUST0553"/>
    <x v="1"/>
    <x v="1"/>
    <n v="1"/>
    <n v="0.2"/>
    <n v="1440"/>
    <n v="385.66"/>
    <x v="2"/>
    <s v="Delivered"/>
    <n v="1440"/>
    <n v="26.781944444444441"/>
    <s v="Profit"/>
    <s v="Diya Mishra"/>
    <x v="2"/>
    <x v="0"/>
    <s v="Coimbatore"/>
    <s v="Tamil Nadu"/>
    <s v="2025-01-24"/>
    <s v="36-50"/>
    <n v="385.66"/>
  </r>
  <r>
    <s v="ORD01992"/>
    <d v="2026-04-16T00:00:00"/>
    <s v="CUST0583"/>
    <x v="1"/>
    <x v="13"/>
    <n v="1"/>
    <n v="0"/>
    <n v="4200"/>
    <n v="1200"/>
    <x v="0"/>
    <s v="Delivered"/>
    <n v="4200"/>
    <n v="28.571428571428569"/>
    <s v="Profit"/>
    <s v="Shreya Menon"/>
    <x v="2"/>
    <x v="1"/>
    <s v="Ahmedabad"/>
    <s v="Gujarat"/>
    <s v="2023-09-05"/>
    <s v="26-35"/>
    <n v="1200"/>
  </r>
  <r>
    <s v="ORD01993"/>
    <d v="2025-12-22T00:00:00"/>
    <s v="CUST0196"/>
    <x v="1"/>
    <x v="1"/>
    <n v="1"/>
    <n v="0.05"/>
    <n v="1710"/>
    <n v="592.98"/>
    <x v="3"/>
    <s v="Shipped"/>
    <n v="1710"/>
    <n v="34.677192982456141"/>
    <s v="Profit"/>
    <s v="Nisha Sharma"/>
    <x v="2"/>
    <x v="2"/>
    <s v="Lucknow"/>
    <s v="Uttar Pradesh"/>
    <s v="2025-03-20"/>
    <s v="26-35"/>
    <n v="592.98"/>
  </r>
  <r>
    <s v="ORD01994"/>
    <d v="2026-08-14T00:00:00"/>
    <s v="CUST0121"/>
    <x v="0"/>
    <x v="7"/>
    <n v="5"/>
    <n v="0.15"/>
    <n v="3825"/>
    <n v="906.98"/>
    <x v="0"/>
    <s v="Shipped"/>
    <n v="765"/>
    <n v="23.711895424836602"/>
    <s v="Profit"/>
    <s v="Meera Menon"/>
    <x v="0"/>
    <x v="0"/>
    <s v="Bengaluru"/>
    <s v="Karnataka"/>
    <s v="2023-11-16"/>
    <s v="26-35"/>
    <n v="181.39599999999999"/>
  </r>
  <r>
    <s v="ORD01995"/>
    <d v="2025-10-05T00:00:00"/>
    <s v="CUST0576"/>
    <x v="2"/>
    <x v="2"/>
    <n v="4"/>
    <n v="0.05"/>
    <n v="49400"/>
    <n v="11564.15"/>
    <x v="3"/>
    <s v="Delivered"/>
    <n v="12350"/>
    <n v="23.409210526315789"/>
    <s v="Profit"/>
    <s v="Harini Pillai"/>
    <x v="0"/>
    <x v="0"/>
    <s v="Hyderabad"/>
    <s v="Telangana"/>
    <s v="2023-05-25"/>
    <s v="26-35"/>
    <n v="2891.0374999999999"/>
  </r>
  <r>
    <s v="ORD01996"/>
    <d v="2026-02-01T00:00:00"/>
    <s v="CUST0418"/>
    <x v="2"/>
    <x v="3"/>
    <n v="6"/>
    <n v="0.05"/>
    <n v="85500"/>
    <n v="17679.060000000001"/>
    <x v="0"/>
    <s v="Delivered"/>
    <n v="14250"/>
    <n v="20.677263157894739"/>
    <s v="Profit"/>
    <s v="Pooja Menon"/>
    <x v="2"/>
    <x v="1"/>
    <s v="Pune"/>
    <s v="Maharashtra"/>
    <s v="2023-08-14"/>
    <s v="18-25"/>
    <n v="2946.51"/>
  </r>
  <r>
    <s v="ORD01997"/>
    <d v="2025-12-13T00:00:00"/>
    <s v="CUST0579"/>
    <x v="1"/>
    <x v="15"/>
    <n v="4"/>
    <n v="0.1"/>
    <n v="7920"/>
    <n v="2296.41"/>
    <x v="2"/>
    <s v="Delivered"/>
    <n v="1980"/>
    <n v="28.995075757575751"/>
    <s v="Profit"/>
    <s v="Manoj Reddy"/>
    <x v="1"/>
    <x v="2"/>
    <s v="Chandigarh"/>
    <s v="Chandigarh"/>
    <s v="2024-10-31"/>
    <s v="26-35"/>
    <n v="574.10249999999996"/>
  </r>
  <r>
    <s v="ORD01998"/>
    <d v="2026-04-30T00:00:00"/>
    <s v="CUST0262"/>
    <x v="3"/>
    <x v="4"/>
    <n v="2"/>
    <n v="0.3"/>
    <n v="25200"/>
    <n v="-17324.419999999998"/>
    <x v="3"/>
    <s v="Cancelled"/>
    <n v="12600"/>
    <n v="-68.747698412698412"/>
    <s v="Loss"/>
    <s v="Varun Menon"/>
    <x v="1"/>
    <x v="2"/>
    <s v="Chandigarh"/>
    <s v="Chandigarh"/>
    <s v="2025-12-16"/>
    <s v="36-50"/>
    <n v="-8662.2099999999991"/>
  </r>
  <r>
    <s v="ORD01999"/>
    <d v="2025-11-17T00:00:00"/>
    <s v="CUST0062"/>
    <x v="2"/>
    <x v="2"/>
    <n v="2"/>
    <n v="0.15"/>
    <n v="22100"/>
    <n v="4249.92"/>
    <x v="3"/>
    <s v="Shipped"/>
    <n v="11050"/>
    <n v="19.230407239819009"/>
    <s v="Profit"/>
    <s v="Harini Pillai"/>
    <x v="1"/>
    <x v="2"/>
    <s v="Jaipur"/>
    <s v="Rajasthan"/>
    <s v="2023-04-01"/>
    <s v="36-50"/>
    <n v="2124.96"/>
  </r>
  <r>
    <s v="ORD02000"/>
    <d v="2025-09-06T00:00:00"/>
    <s v="CUST0583"/>
    <x v="3"/>
    <x v="10"/>
    <n v="2"/>
    <n v="0.05"/>
    <n v="104500"/>
    <n v="15124.97"/>
    <x v="1"/>
    <s v="Shipped"/>
    <n v="52250"/>
    <n v="14.47365550239234"/>
    <s v="Profit"/>
    <s v="Shreya Menon"/>
    <x v="2"/>
    <x v="1"/>
    <s v="Ahmedabad"/>
    <s v="Gujarat"/>
    <s v="2023-09-05"/>
    <s v="26-35"/>
    <n v="7562.4849999999997"/>
  </r>
  <r>
    <s v="ORD02001"/>
    <d v="2026-08-05T00:00:00"/>
    <s v="CUST0363"/>
    <x v="0"/>
    <x v="7"/>
    <n v="1"/>
    <n v="0.1"/>
    <n v="810"/>
    <n v="216.55"/>
    <x v="0"/>
    <s v="Delivered"/>
    <n v="810"/>
    <n v="26.73456790123457"/>
    <s v="Profit"/>
    <s v="Priya Patel"/>
    <x v="1"/>
    <x v="0"/>
    <s v="Chennai"/>
    <s v="Tamil Nadu"/>
    <s v="2024-01-12"/>
    <s v="51+"/>
    <n v="216.55"/>
  </r>
  <r>
    <s v="ORD02002"/>
    <d v="2026-02-18T00:00:00"/>
    <s v="CUST0523"/>
    <x v="2"/>
    <x v="2"/>
    <n v="2"/>
    <n v="0.1"/>
    <n v="23400"/>
    <n v="4193.3100000000004"/>
    <x v="2"/>
    <s v="Shipped"/>
    <n v="11700"/>
    <n v="17.920128205128211"/>
    <s v="Profit"/>
    <s v="Vikram Kulkarni"/>
    <x v="0"/>
    <x v="2"/>
    <s v="Chandigarh"/>
    <s v="Chandigarh"/>
    <s v="2023-09-25"/>
    <s v="51+"/>
    <n v="2096.6550000000002"/>
  </r>
  <r>
    <s v="ORD02003"/>
    <d v="2026-07-02T00:00:00"/>
    <s v="CUST0304"/>
    <x v="3"/>
    <x v="10"/>
    <n v="1"/>
    <n v="0.1"/>
    <n v="49500"/>
    <n v="4637.33"/>
    <x v="3"/>
    <s v="Delivered"/>
    <n v="49500"/>
    <n v="9.3683434343434353"/>
    <s v="Profit"/>
    <s v="Ishaan Khan"/>
    <x v="2"/>
    <x v="0"/>
    <s v="Bengaluru"/>
    <s v="Karnataka"/>
    <s v="2024-12-10"/>
    <s v="26-35"/>
    <n v="4637.33"/>
  </r>
  <r>
    <s v="ORD02004"/>
    <d v="2025-10-18T00:00:00"/>
    <s v="CUST0214"/>
    <x v="1"/>
    <x v="1"/>
    <n v="3"/>
    <n v="0.05"/>
    <n v="5130"/>
    <n v="-2268.4899999999998"/>
    <x v="0"/>
    <s v="Cancelled"/>
    <n v="1710"/>
    <n v="-44.220077972709547"/>
    <s v="Loss"/>
    <s v="Ananya Rao"/>
    <x v="0"/>
    <x v="0"/>
    <s v="Hyderabad"/>
    <s v="Telangana"/>
    <s v="2023-07-14"/>
    <s v="51+"/>
    <n v="-756.1633333333333"/>
  </r>
  <r>
    <s v="ORD02005"/>
    <d v="2026-02-21T00:00:00"/>
    <s v="CUST0007"/>
    <x v="2"/>
    <x v="2"/>
    <n v="1"/>
    <n v="0.15"/>
    <n v="11050"/>
    <n v="2275.6999999999998"/>
    <x v="1"/>
    <s v="Delivered"/>
    <n v="11050"/>
    <n v="20.594570135746601"/>
    <s v="Profit"/>
    <s v="Harini Khan"/>
    <x v="0"/>
    <x v="0"/>
    <s v="Bengaluru"/>
    <s v="Karnataka"/>
    <s v="2025-07-02"/>
    <s v="36-50"/>
    <n v="2275.6999999999998"/>
  </r>
  <r>
    <s v="ORD02006"/>
    <d v="2025-11-14T00:00:00"/>
    <s v="CUST0161"/>
    <x v="0"/>
    <x v="0"/>
    <n v="1"/>
    <n v="0"/>
    <n v="14000"/>
    <n v="2800"/>
    <x v="3"/>
    <s v="Delivered"/>
    <n v="14000"/>
    <n v="20"/>
    <s v="Profit"/>
    <s v="Rohan Reddy"/>
    <x v="2"/>
    <x v="0"/>
    <s v="Bengaluru"/>
    <s v="Karnataka"/>
    <s v="2025-07-10"/>
    <s v="51+"/>
    <n v="2800"/>
  </r>
  <r>
    <s v="ORD02007"/>
    <d v="2026-02-13T00:00:00"/>
    <s v="CUST0415"/>
    <x v="0"/>
    <x v="14"/>
    <n v="2"/>
    <n v="0.2"/>
    <n v="720"/>
    <n v="-133.49"/>
    <x v="2"/>
    <s v="Returned"/>
    <n v="360"/>
    <n v="-18.540277777777781"/>
    <s v="Loss"/>
    <s v="Manoj Bose"/>
    <x v="1"/>
    <x v="0"/>
    <s v="Bengaluru"/>
    <s v="Karnataka"/>
    <s v="2024-07-04"/>
    <s v="36-50"/>
    <n v="-66.745000000000005"/>
  </r>
  <r>
    <s v="ORD02008"/>
    <d v="2025-09-26T00:00:00"/>
    <s v="CUST0091"/>
    <x v="2"/>
    <x v="5"/>
    <n v="3"/>
    <n v="0.05"/>
    <n v="31350"/>
    <n v="6988.46"/>
    <x v="1"/>
    <s v="Delivered"/>
    <n v="10450"/>
    <n v="22.291738437001591"/>
    <s v="Profit"/>
    <s v="Lakshmi Das"/>
    <x v="1"/>
    <x v="3"/>
    <s v="Patna"/>
    <s v="Bihar"/>
    <s v="2024-07-22"/>
    <s v="26-35"/>
    <n v="2329.4866666666671"/>
  </r>
  <r>
    <s v="ORD02009"/>
    <d v="2026-01-22T00:00:00"/>
    <s v="CUST0357"/>
    <x v="1"/>
    <x v="12"/>
    <n v="2"/>
    <n v="0.15"/>
    <n v="2380"/>
    <n v="689.31"/>
    <x v="1"/>
    <s v="Delivered"/>
    <n v="1190"/>
    <n v="28.962605042016801"/>
    <s v="Profit"/>
    <s v="Aarav Gupta"/>
    <x v="2"/>
    <x v="2"/>
    <s v="Chandigarh"/>
    <s v="Chandigarh"/>
    <s v="2023-04-16"/>
    <s v="26-35"/>
    <n v="344.65499999999997"/>
  </r>
  <r>
    <s v="ORD02010"/>
    <d v="2025-09-16T00:00:00"/>
    <s v="CUST0302"/>
    <x v="2"/>
    <x v="3"/>
    <n v="3"/>
    <n v="0"/>
    <n v="45000"/>
    <n v="10500"/>
    <x v="1"/>
    <s v="Delivered"/>
    <n v="15000"/>
    <n v="23.333333333333329"/>
    <s v="Profit"/>
    <s v="Ananya Iyer"/>
    <x v="0"/>
    <x v="1"/>
    <s v="Pune"/>
    <s v="Maharashtra"/>
    <s v="2025-09-02"/>
    <s v="26-35"/>
    <n v="3500"/>
  </r>
  <r>
    <s v="ORD02011"/>
    <d v="2025-12-26T00:00:00"/>
    <s v="CUST0362"/>
    <x v="2"/>
    <x v="2"/>
    <n v="5"/>
    <n v="0.1"/>
    <n v="58500"/>
    <n v="12674.28"/>
    <x v="1"/>
    <s v="Delivered"/>
    <n v="11700"/>
    <n v="21.665435897435898"/>
    <s v="Profit"/>
    <s v="Karthik Joshi"/>
    <x v="0"/>
    <x v="0"/>
    <s v="Coimbatore"/>
    <s v="Tamil Nadu"/>
    <s v="2025-09-08"/>
    <s v="26-35"/>
    <n v="2534.8560000000002"/>
  </r>
  <r>
    <s v="ORD02012"/>
    <d v="2025-11-24T00:00:00"/>
    <s v="CUST0175"/>
    <x v="3"/>
    <x v="8"/>
    <n v="10"/>
    <n v="0.2"/>
    <n v="36000"/>
    <n v="10043.81"/>
    <x v="2"/>
    <s v="Delivered"/>
    <n v="3600"/>
    <n v="27.899472222222219"/>
    <s v="Profit"/>
    <s v="Akash Mehta"/>
    <x v="0"/>
    <x v="1"/>
    <s v="Ahmedabad"/>
    <s v="Gujarat"/>
    <s v="2023-12-29"/>
    <s v="36-50"/>
    <n v="1004.381"/>
  </r>
  <r>
    <s v="ORD02013"/>
    <d v="2025-08-19T00:00:00"/>
    <s v="CUST0520"/>
    <x v="2"/>
    <x v="9"/>
    <n v="1"/>
    <n v="0"/>
    <n v="9000"/>
    <n v="2300"/>
    <x v="3"/>
    <s v="Shipped"/>
    <n v="9000"/>
    <n v="25.55555555555555"/>
    <s v="Profit"/>
    <s v="Karthik Chopra"/>
    <x v="0"/>
    <x v="0"/>
    <s v="Chennai"/>
    <s v="Tamil Nadu"/>
    <s v="2023-12-09"/>
    <s v="26-35"/>
    <n v="2300"/>
  </r>
  <r>
    <s v="ORD02014"/>
    <d v="2026-05-15T00:00:00"/>
    <s v="CUST0386"/>
    <x v="0"/>
    <x v="6"/>
    <n v="1"/>
    <n v="0.15"/>
    <n v="297.5"/>
    <n v="88.09"/>
    <x v="3"/>
    <s v="Delivered"/>
    <n v="297.5"/>
    <n v="29.61008403361345"/>
    <s v="Profit"/>
    <s v="Pooja Kulkarni"/>
    <x v="0"/>
    <x v="0"/>
    <s v="Chennai"/>
    <s v="Tamil Nadu"/>
    <s v="2023-03-27"/>
    <s v="26-35"/>
    <n v="88.09"/>
  </r>
  <r>
    <s v="ORD02015"/>
    <d v="2025-10-06T00:00:00"/>
    <s v="CUST0213"/>
    <x v="1"/>
    <x v="15"/>
    <n v="6"/>
    <n v="0.1"/>
    <n v="11880"/>
    <n v="3413.52"/>
    <x v="2"/>
    <s v="Delivered"/>
    <n v="1980"/>
    <n v="28.733333333333331"/>
    <s v="Profit"/>
    <s v="Shreya Bose"/>
    <x v="1"/>
    <x v="2"/>
    <s v="Lucknow"/>
    <s v="Uttar Pradesh"/>
    <s v="2025-03-13"/>
    <s v="26-35"/>
    <n v="568.91999999999996"/>
  </r>
  <r>
    <s v="ORD02016"/>
    <d v="2025-12-13T00:00:00"/>
    <s v="CUST0562"/>
    <x v="3"/>
    <x v="11"/>
    <n v="1"/>
    <n v="0"/>
    <n v="2500"/>
    <n v="-746.76"/>
    <x v="0"/>
    <s v="Returned"/>
    <n v="2500"/>
    <n v="-29.8704"/>
    <s v="Loss"/>
    <s v="Shreya Das"/>
    <x v="0"/>
    <x v="2"/>
    <s v="Chandigarh"/>
    <s v="Chandigarh"/>
    <s v="2024-05-03"/>
    <s v="36-50"/>
    <n v="-746.76"/>
  </r>
  <r>
    <s v="ORD02017"/>
    <d v="2026-02-12T00:00:00"/>
    <s v="CUST0385"/>
    <x v="3"/>
    <x v="10"/>
    <n v="1"/>
    <n v="0"/>
    <n v="55000"/>
    <n v="9000"/>
    <x v="3"/>
    <s v="Delivered"/>
    <n v="55000"/>
    <n v="16.36363636363636"/>
    <s v="Profit"/>
    <s v="Karthik Singh"/>
    <x v="0"/>
    <x v="0"/>
    <s v="Coimbatore"/>
    <s v="Tamil Nadu"/>
    <s v="2023-06-06"/>
    <s v="26-35"/>
    <n v="9000"/>
  </r>
  <r>
    <s v="ORD02018"/>
    <d v="2026-05-04T00:00:00"/>
    <s v="CUST0227"/>
    <x v="0"/>
    <x v="7"/>
    <n v="1"/>
    <n v="0.15"/>
    <n v="765"/>
    <n v="170.43"/>
    <x v="3"/>
    <s v="Delivered"/>
    <n v="765"/>
    <n v="22.278431372549019"/>
    <s v="Profit"/>
    <s v="Harini Menon"/>
    <x v="0"/>
    <x v="2"/>
    <s v="Chandigarh"/>
    <s v="Chandigarh"/>
    <s v="2024-10-13"/>
    <s v="18-25"/>
    <n v="170.43"/>
  </r>
  <r>
    <s v="ORD02019"/>
    <d v="2026-03-25T00:00:00"/>
    <s v="CUST0590"/>
    <x v="3"/>
    <x v="4"/>
    <n v="6"/>
    <n v="0"/>
    <n v="108000"/>
    <n v="21000"/>
    <x v="1"/>
    <s v="Shipped"/>
    <n v="18000"/>
    <n v="19.44444444444445"/>
    <s v="Profit"/>
    <s v="Aarav Bose"/>
    <x v="0"/>
    <x v="1"/>
    <s v="Pune"/>
    <s v="Maharashtra"/>
    <s v="2025-08-22"/>
    <s v="36-50"/>
    <n v="3500"/>
  </r>
  <r>
    <s v="ORD02020"/>
    <d v="2025-09-03T00:00:00"/>
    <s v="CUST0117"/>
    <x v="2"/>
    <x v="2"/>
    <n v="1"/>
    <n v="0"/>
    <n v="13000"/>
    <n v="3200"/>
    <x v="1"/>
    <s v="Delivered"/>
    <n v="13000"/>
    <n v="24.61538461538462"/>
    <s v="Profit"/>
    <s v="Aarav Patel"/>
    <x v="0"/>
    <x v="2"/>
    <s v="Lucknow"/>
    <s v="Uttar Pradesh"/>
    <s v="2025-09-18"/>
    <s v="26-35"/>
    <n v="3200"/>
  </r>
  <r>
    <s v="ORD02021"/>
    <d v="2026-06-18T00:00:00"/>
    <s v="CUST0176"/>
    <x v="1"/>
    <x v="1"/>
    <n v="1"/>
    <n v="0.1"/>
    <n v="1620"/>
    <n v="537.09"/>
    <x v="3"/>
    <s v="Delivered"/>
    <n v="1620"/>
    <n v="33.153703703703712"/>
    <s v="Profit"/>
    <s v="Diya Patel"/>
    <x v="0"/>
    <x v="2"/>
    <s v="Jaipur"/>
    <s v="Rajasthan"/>
    <s v="2023-08-21"/>
    <s v="26-35"/>
    <n v="537.09"/>
  </r>
  <r>
    <s v="ORD02022"/>
    <d v="2025-10-03T00:00:00"/>
    <s v="CUST0017"/>
    <x v="3"/>
    <x v="11"/>
    <n v="3"/>
    <n v="0.15"/>
    <n v="6375"/>
    <n v="1575.31"/>
    <x v="2"/>
    <s v="Delivered"/>
    <n v="2125"/>
    <n v="24.710745098039219"/>
    <s v="Profit"/>
    <s v="Varun Rao"/>
    <x v="0"/>
    <x v="1"/>
    <s v="Surat"/>
    <s v="Gujarat"/>
    <s v="2025-10-21"/>
    <s v="26-35"/>
    <n v="525.10333333333335"/>
  </r>
  <r>
    <s v="ORD02023"/>
    <d v="2025-12-09T00:00:00"/>
    <s v="CUST0089"/>
    <x v="2"/>
    <x v="3"/>
    <n v="1"/>
    <n v="0.1"/>
    <n v="13500"/>
    <n v="2451.6"/>
    <x v="1"/>
    <s v="Delivered"/>
    <n v="13500"/>
    <n v="18.16"/>
    <s v="Profit"/>
    <s v="Akash Gupta"/>
    <x v="2"/>
    <x v="2"/>
    <s v="Jaipur"/>
    <s v="Rajasthan"/>
    <s v="2025-10-05"/>
    <s v="26-35"/>
    <n v="2451.6"/>
  </r>
  <r>
    <s v="ORD02024"/>
    <d v="2025-08-21T00:00:00"/>
    <s v="CUST0158"/>
    <x v="1"/>
    <x v="13"/>
    <n v="2"/>
    <n v="0"/>
    <n v="8400"/>
    <n v="-1405.25"/>
    <x v="0"/>
    <s v="Returned"/>
    <n v="4200"/>
    <n v="-16.729166666666671"/>
    <s v="Loss"/>
    <s v="Ananya Reddy"/>
    <x v="2"/>
    <x v="0"/>
    <s v="Bengaluru"/>
    <s v="Karnataka"/>
    <s v="2024-04-04"/>
    <s v="18-25"/>
    <n v="-702.625"/>
  </r>
  <r>
    <s v="ORD02025"/>
    <d v="2025-11-12T00:00:00"/>
    <s v="CUST0496"/>
    <x v="1"/>
    <x v="13"/>
    <n v="5"/>
    <n v="0.2"/>
    <n v="16800"/>
    <n v="3643.73"/>
    <x v="2"/>
    <s v="Shipped"/>
    <n v="3360"/>
    <n v="21.68886904761905"/>
    <s v="Profit"/>
    <s v="Akash Pillai"/>
    <x v="0"/>
    <x v="3"/>
    <s v="Bhubaneswar"/>
    <s v="Odisha"/>
    <s v="2024-06-06"/>
    <s v="36-50"/>
    <n v="728.74599999999998"/>
  </r>
  <r>
    <s v="ORD02026"/>
    <d v="2026-05-13T00:00:00"/>
    <s v="CUST0403"/>
    <x v="2"/>
    <x v="2"/>
    <n v="3"/>
    <n v="0.1"/>
    <n v="35100"/>
    <n v="6633.66"/>
    <x v="2"/>
    <s v="Delivered"/>
    <n v="11700"/>
    <n v="18.899316239316239"/>
    <s v="Profit"/>
    <s v="Nisha Mehta"/>
    <x v="0"/>
    <x v="1"/>
    <s v="Pune"/>
    <s v="Maharashtra"/>
    <s v="2025-11-22"/>
    <s v="36-50"/>
    <n v="2211.2199999999998"/>
  </r>
  <r>
    <s v="ORD02027"/>
    <d v="2026-03-19T00:00:00"/>
    <s v="CUST0162"/>
    <x v="2"/>
    <x v="5"/>
    <n v="1"/>
    <n v="0.05"/>
    <n v="10450"/>
    <n v="2210.73"/>
    <x v="2"/>
    <s v="Delivered"/>
    <n v="10450"/>
    <n v="21.155311004784689"/>
    <s v="Profit"/>
    <s v="Lakshmi Bose"/>
    <x v="0"/>
    <x v="0"/>
    <s v="Bengaluru"/>
    <s v="Karnataka"/>
    <s v="2025-06-13"/>
    <s v="26-35"/>
    <n v="2210.73"/>
  </r>
  <r>
    <s v="ORD02028"/>
    <d v="2026-07-01T00:00:00"/>
    <s v="CUST0160"/>
    <x v="2"/>
    <x v="2"/>
    <n v="1"/>
    <n v="0"/>
    <n v="13000"/>
    <n v="3200"/>
    <x v="0"/>
    <s v="Delivered"/>
    <n v="13000"/>
    <n v="24.61538461538462"/>
    <s v="Profit"/>
    <s v="Divya Sharma"/>
    <x v="2"/>
    <x v="0"/>
    <s v="Bengaluru"/>
    <s v="Karnataka"/>
    <s v="2024-09-25"/>
    <s v="18-25"/>
    <n v="3200"/>
  </r>
  <r>
    <s v="ORD02029"/>
    <d v="2025-11-06T00:00:00"/>
    <s v="CUST0235"/>
    <x v="3"/>
    <x v="10"/>
    <n v="3"/>
    <n v="0"/>
    <n v="165000"/>
    <n v="27000"/>
    <x v="0"/>
    <s v="Delivered"/>
    <n v="55000"/>
    <n v="16.36363636363636"/>
    <s v="Profit"/>
    <s v="Harini Gupta"/>
    <x v="0"/>
    <x v="1"/>
    <s v="Pune"/>
    <s v="Maharashtra"/>
    <s v="2024-04-09"/>
    <s v="26-35"/>
    <n v="9000"/>
  </r>
  <r>
    <s v="ORD02030"/>
    <d v="2026-02-04T00:00:00"/>
    <s v="CUST0044"/>
    <x v="0"/>
    <x v="7"/>
    <n v="2"/>
    <n v="0.1"/>
    <n v="1620"/>
    <n v="448.01"/>
    <x v="1"/>
    <s v="Delivered"/>
    <n v="810"/>
    <n v="27.654938271604941"/>
    <s v="Profit"/>
    <s v="Rahul Rao"/>
    <x v="0"/>
    <x v="1"/>
    <s v="Pune"/>
    <s v="Maharashtra"/>
    <s v="2025-07-18"/>
    <s v="36-50"/>
    <n v="224.005"/>
  </r>
  <r>
    <s v="ORD02031"/>
    <d v="2026-08-20T00:00:00"/>
    <s v="CUST0018"/>
    <x v="3"/>
    <x v="10"/>
    <n v="3"/>
    <n v="0.1"/>
    <n v="148500"/>
    <n v="14865.54"/>
    <x v="2"/>
    <s v="Shipped"/>
    <n v="49500"/>
    <n v="10.01046464646465"/>
    <s v="Profit"/>
    <s v="Aditya Mehta"/>
    <x v="0"/>
    <x v="0"/>
    <s v="Hyderabad"/>
    <s v="Telangana"/>
    <s v="2025-01-15"/>
    <s v="51+"/>
    <n v="4955.18"/>
  </r>
  <r>
    <s v="ORD02032"/>
    <d v="2025-08-09T00:00:00"/>
    <s v="CUST0289"/>
    <x v="3"/>
    <x v="8"/>
    <n v="2"/>
    <n v="0.15"/>
    <n v="7650"/>
    <n v="2129.2800000000002"/>
    <x v="1"/>
    <s v="Delivered"/>
    <n v="3825"/>
    <n v="27.83372549019608"/>
    <s v="Profit"/>
    <s v="Rahul Iyer"/>
    <x v="2"/>
    <x v="0"/>
    <s v="Coimbatore"/>
    <s v="Tamil Nadu"/>
    <s v="2023-01-07"/>
    <s v="18-25"/>
    <n v="1064.6400000000001"/>
  </r>
  <r>
    <s v="ORD02033"/>
    <d v="2026-07-17T00:00:00"/>
    <s v="CUST0112"/>
    <x v="3"/>
    <x v="4"/>
    <n v="1"/>
    <n v="0"/>
    <n v="18000"/>
    <n v="3500"/>
    <x v="3"/>
    <s v="Shipped"/>
    <n v="18000"/>
    <n v="19.44444444444445"/>
    <s v="Profit"/>
    <s v="Akash Khan"/>
    <x v="0"/>
    <x v="1"/>
    <s v="Pune"/>
    <s v="Maharashtra"/>
    <s v="2025-03-04"/>
    <s v="26-35"/>
    <n v="3500"/>
  </r>
  <r>
    <s v="ORD02034"/>
    <d v="2025-12-02T00:00:00"/>
    <s v="CUST0243"/>
    <x v="0"/>
    <x v="6"/>
    <n v="1"/>
    <n v="0.1"/>
    <n v="315"/>
    <n v="98.37"/>
    <x v="0"/>
    <s v="Delivered"/>
    <n v="315"/>
    <n v="31.228571428571431"/>
    <s v="Profit"/>
    <s v="Manoj Das"/>
    <x v="1"/>
    <x v="3"/>
    <s v="Kolkata"/>
    <s v="West Bengal"/>
    <s v="2023-02-23"/>
    <s v="26-35"/>
    <n v="98.37"/>
  </r>
  <r>
    <s v="ORD02035"/>
    <d v="2025-08-15T00:00:00"/>
    <s v="CUST0157"/>
    <x v="2"/>
    <x v="2"/>
    <n v="2"/>
    <n v="0"/>
    <n v="26000"/>
    <n v="6400"/>
    <x v="1"/>
    <s v="Delivered"/>
    <n v="13000"/>
    <n v="24.61538461538462"/>
    <s v="Profit"/>
    <s v="Diya Rao"/>
    <x v="1"/>
    <x v="0"/>
    <s v="Bengaluru"/>
    <s v="Karnataka"/>
    <s v="2024-02-13"/>
    <s v="51+"/>
    <n v="3200"/>
  </r>
  <r>
    <s v="ORD02036"/>
    <d v="2026-02-24T00:00:00"/>
    <s v="CUST0002"/>
    <x v="3"/>
    <x v="4"/>
    <n v="2"/>
    <n v="0.2"/>
    <n v="28800"/>
    <n v="3058.29"/>
    <x v="2"/>
    <s v="Delivered"/>
    <n v="14400"/>
    <n v="10.6190625"/>
    <s v="Profit"/>
    <s v="Varun Reddy"/>
    <x v="2"/>
    <x v="1"/>
    <s v="Surat"/>
    <s v="Gujarat"/>
    <s v="2025-01-21"/>
    <s v="36-50"/>
    <n v="1529.145"/>
  </r>
  <r>
    <s v="ORD02037"/>
    <d v="2026-02-17T00:00:00"/>
    <s v="CUST0105"/>
    <x v="0"/>
    <x v="7"/>
    <n v="1"/>
    <n v="0"/>
    <n v="900"/>
    <n v="280"/>
    <x v="3"/>
    <s v="Delivered"/>
    <n v="900"/>
    <n v="31.111111111111111"/>
    <s v="Profit"/>
    <s v="Ishaan Pillai"/>
    <x v="1"/>
    <x v="1"/>
    <s v="Surat"/>
    <s v="Gujarat"/>
    <s v="2024-11-21"/>
    <s v="26-35"/>
    <n v="280"/>
  </r>
  <r>
    <s v="ORD02038"/>
    <d v="2026-04-12T00:00:00"/>
    <s v="CUST0217"/>
    <x v="3"/>
    <x v="4"/>
    <n v="1"/>
    <n v="0"/>
    <n v="18000"/>
    <n v="3500"/>
    <x v="3"/>
    <s v="Shipped"/>
    <n v="18000"/>
    <n v="19.44444444444445"/>
    <s v="Profit"/>
    <s v="Pooja Mehta"/>
    <x v="0"/>
    <x v="0"/>
    <s v="Hyderabad"/>
    <s v="Telangana"/>
    <s v="2024-11-14"/>
    <s v="51+"/>
    <n v="3500"/>
  </r>
  <r>
    <s v="ORD02039"/>
    <d v="2026-03-03T00:00:00"/>
    <s v="CUST0002"/>
    <x v="3"/>
    <x v="8"/>
    <n v="3"/>
    <n v="0.1"/>
    <n v="12150"/>
    <n v="3710.99"/>
    <x v="1"/>
    <s v="Delivered"/>
    <n v="4050"/>
    <n v="30.543127572016459"/>
    <s v="Profit"/>
    <s v="Varun Reddy"/>
    <x v="2"/>
    <x v="1"/>
    <s v="Surat"/>
    <s v="Gujarat"/>
    <s v="2025-01-21"/>
    <s v="36-50"/>
    <n v="1236.9966666666669"/>
  </r>
  <r>
    <s v="ORD02040"/>
    <d v="2026-08-13T00:00:00"/>
    <s v="CUST0174"/>
    <x v="0"/>
    <x v="7"/>
    <n v="3"/>
    <n v="0"/>
    <n v="2700"/>
    <n v="840"/>
    <x v="2"/>
    <s v="Delivered"/>
    <n v="900"/>
    <n v="31.111111111111111"/>
    <s v="Profit"/>
    <s v="Sneha Mehta"/>
    <x v="1"/>
    <x v="3"/>
    <s v="Patna"/>
    <s v="Bihar"/>
    <s v="2025-05-15"/>
    <s v="26-35"/>
    <n v="280"/>
  </r>
  <r>
    <s v="ORD02041"/>
    <d v="2026-08-19T00:00:00"/>
    <s v="CUST0319"/>
    <x v="2"/>
    <x v="5"/>
    <n v="2"/>
    <n v="0.2"/>
    <n v="17600"/>
    <n v="1487.97"/>
    <x v="3"/>
    <s v="Shipped"/>
    <n v="8800"/>
    <n v="8.4543750000000006"/>
    <s v="Profit"/>
    <s v="Vikram Sharma"/>
    <x v="0"/>
    <x v="0"/>
    <s v="Bengaluru"/>
    <s v="Karnataka"/>
    <s v="2024-01-16"/>
    <s v="26-35"/>
    <n v="743.98500000000001"/>
  </r>
  <r>
    <s v="ORD02042"/>
    <d v="2026-06-04T00:00:00"/>
    <s v="CUST0099"/>
    <x v="1"/>
    <x v="12"/>
    <n v="3"/>
    <n v="0.1"/>
    <n v="3780"/>
    <n v="1240.04"/>
    <x v="1"/>
    <s v="Shipped"/>
    <n v="1260"/>
    <n v="32.805291005290997"/>
    <s v="Profit"/>
    <s v="Ananya Mehta"/>
    <x v="1"/>
    <x v="2"/>
    <s v="Chandigarh"/>
    <s v="Chandigarh"/>
    <s v="2025-06-15"/>
    <s v="36-50"/>
    <n v="413.34666666666658"/>
  </r>
  <r>
    <s v="ORD02043"/>
    <d v="2026-01-10T00:00:00"/>
    <s v="CUST0392"/>
    <x v="3"/>
    <x v="11"/>
    <n v="1"/>
    <n v="0.15"/>
    <n v="2125"/>
    <n v="504.34"/>
    <x v="1"/>
    <s v="Delivered"/>
    <n v="2125"/>
    <n v="23.733647058823529"/>
    <s v="Profit"/>
    <s v="Pooja Patel"/>
    <x v="2"/>
    <x v="1"/>
    <s v="Ahmedabad"/>
    <s v="Gujarat"/>
    <s v="2024-11-07"/>
    <s v="36-50"/>
    <n v="504.34"/>
  </r>
  <r>
    <s v="ORD02044"/>
    <d v="2026-02-07T00:00:00"/>
    <s v="CUST0120"/>
    <x v="0"/>
    <x v="14"/>
    <n v="6"/>
    <n v="0.1"/>
    <n v="2430"/>
    <n v="510.77"/>
    <x v="0"/>
    <s v="Delivered"/>
    <n v="405"/>
    <n v="21.019341563786011"/>
    <s v="Profit"/>
    <s v="Sanjay Sharma"/>
    <x v="2"/>
    <x v="0"/>
    <s v="Bengaluru"/>
    <s v="Karnataka"/>
    <s v="2024-05-20"/>
    <s v="26-35"/>
    <n v="85.12833333333333"/>
  </r>
  <r>
    <s v="ORD02045"/>
    <d v="2025-09-23T00:00:00"/>
    <s v="CUST0047"/>
    <x v="2"/>
    <x v="2"/>
    <n v="1"/>
    <n v="0.1"/>
    <n v="11700"/>
    <n v="-7001.23"/>
    <x v="0"/>
    <s v="Returned"/>
    <n v="11700"/>
    <n v="-59.839572649572638"/>
    <s v="Loss"/>
    <s v="Rahul Das"/>
    <x v="2"/>
    <x v="0"/>
    <s v="Hyderabad"/>
    <s v="Telangana"/>
    <s v="2025-07-16"/>
    <s v="26-35"/>
    <n v="-7001.23"/>
  </r>
  <r>
    <s v="ORD02046"/>
    <d v="2026-07-31T00:00:00"/>
    <s v="CUST0380"/>
    <x v="3"/>
    <x v="11"/>
    <n v="1"/>
    <n v="0.1"/>
    <n v="2250"/>
    <n v="619.74"/>
    <x v="3"/>
    <s v="Delivered"/>
    <n v="2250"/>
    <n v="27.544"/>
    <s v="Profit"/>
    <s v="Arjun Sharma"/>
    <x v="2"/>
    <x v="1"/>
    <s v="Surat"/>
    <s v="Gujarat"/>
    <s v="2024-07-24"/>
    <s v="36-50"/>
    <n v="619.74"/>
  </r>
  <r>
    <s v="ORD02047"/>
    <d v="2026-03-10T00:00:00"/>
    <s v="CUST0548"/>
    <x v="2"/>
    <x v="5"/>
    <n v="4"/>
    <n v="0.15"/>
    <n v="37400"/>
    <n v="7003.59"/>
    <x v="3"/>
    <s v="Delivered"/>
    <n v="9350"/>
    <n v="18.726176470588239"/>
    <s v="Profit"/>
    <s v="Diya Mishra"/>
    <x v="1"/>
    <x v="2"/>
    <s v="Chandigarh"/>
    <s v="Chandigarh"/>
    <s v="2023-12-31"/>
    <s v="36-50"/>
    <n v="1750.8975"/>
  </r>
  <r>
    <s v="ORD02048"/>
    <d v="2026-04-06T00:00:00"/>
    <s v="CUST0315"/>
    <x v="2"/>
    <x v="2"/>
    <n v="1"/>
    <n v="0.3"/>
    <n v="9100"/>
    <n v="48.65"/>
    <x v="0"/>
    <s v="Delivered"/>
    <n v="9100"/>
    <n v="0.5346153846153846"/>
    <s v="Profit"/>
    <s v="Harini Verma"/>
    <x v="0"/>
    <x v="0"/>
    <s v="Coimbatore"/>
    <s v="Tamil Nadu"/>
    <s v="2024-10-22"/>
    <s v="18-25"/>
    <n v="48.65"/>
  </r>
  <r>
    <s v="ORD02049"/>
    <d v="2026-05-10T00:00:00"/>
    <s v="CUST0365"/>
    <x v="2"/>
    <x v="3"/>
    <n v="3"/>
    <n v="0.1"/>
    <n v="40500"/>
    <n v="8139.11"/>
    <x v="0"/>
    <s v="Delivered"/>
    <n v="13500"/>
    <n v="20.096567901234561"/>
    <s v="Profit"/>
    <s v="Rohan Naidu"/>
    <x v="0"/>
    <x v="1"/>
    <s v="Pune"/>
    <s v="Maharashtra"/>
    <s v="2023-05-21"/>
    <s v="26-35"/>
    <n v="2713.036666666666"/>
  </r>
  <r>
    <s v="ORD02050"/>
    <d v="2025-10-10T00:00:00"/>
    <s v="CUST0415"/>
    <x v="0"/>
    <x v="0"/>
    <n v="3"/>
    <n v="0.05"/>
    <n v="39900"/>
    <n v="7084.23"/>
    <x v="2"/>
    <s v="Delivered"/>
    <n v="13300"/>
    <n v="17.754962406015039"/>
    <s v="Profit"/>
    <s v="Manoj Bose"/>
    <x v="1"/>
    <x v="0"/>
    <s v="Bengaluru"/>
    <s v="Karnataka"/>
    <s v="2024-07-04"/>
    <s v="36-50"/>
    <n v="2361.41"/>
  </r>
  <r>
    <s v="ORD02051"/>
    <d v="2026-04-12T00:00:00"/>
    <s v="CUST0121"/>
    <x v="1"/>
    <x v="13"/>
    <n v="1"/>
    <n v="0.05"/>
    <n v="3990"/>
    <n v="-672.34"/>
    <x v="0"/>
    <s v="Cancelled"/>
    <n v="3990"/>
    <n v="-16.85062656641604"/>
    <s v="Loss"/>
    <s v="Meera Menon"/>
    <x v="0"/>
    <x v="0"/>
    <s v="Bengaluru"/>
    <s v="Karnataka"/>
    <s v="2023-11-16"/>
    <s v="26-35"/>
    <n v="-672.34"/>
  </r>
  <r>
    <s v="ORD02052"/>
    <d v="2026-07-02T00:00:00"/>
    <s v="CUST0354"/>
    <x v="3"/>
    <x v="8"/>
    <n v="2"/>
    <n v="0.05"/>
    <n v="8550"/>
    <n v="-3031.71"/>
    <x v="2"/>
    <s v="Returned"/>
    <n v="4275"/>
    <n v="-35.458596491228072"/>
    <s v="Loss"/>
    <s v="Manoj Singh"/>
    <x v="2"/>
    <x v="1"/>
    <s v="Mumbai"/>
    <s v="Maharashtra"/>
    <s v="2025-09-10"/>
    <s v="26-35"/>
    <n v="-1515.855"/>
  </r>
  <r>
    <s v="ORD02053"/>
    <d v="2026-03-18T00:00:00"/>
    <s v="CUST0509"/>
    <x v="3"/>
    <x v="10"/>
    <n v="1"/>
    <n v="0"/>
    <n v="55000"/>
    <n v="9000"/>
    <x v="1"/>
    <s v="Delivered"/>
    <n v="55000"/>
    <n v="16.36363636363636"/>
    <s v="Profit"/>
    <s v="Akash Das"/>
    <x v="2"/>
    <x v="3"/>
    <s v="Patna"/>
    <s v="Bihar"/>
    <s v="2024-11-26"/>
    <s v="36-50"/>
    <n v="9000"/>
  </r>
  <r>
    <s v="ORD02054"/>
    <d v="2026-03-29T00:00:00"/>
    <s v="CUST0549"/>
    <x v="1"/>
    <x v="1"/>
    <n v="3"/>
    <n v="0.15"/>
    <n v="4590"/>
    <n v="1339.99"/>
    <x v="3"/>
    <s v="Shipped"/>
    <n v="1530"/>
    <n v="29.193681917211329"/>
    <s v="Profit"/>
    <s v="Lakshmi Das"/>
    <x v="0"/>
    <x v="1"/>
    <s v="Ahmedabad"/>
    <s v="Gujarat"/>
    <s v="2024-02-21"/>
    <s v="36-50"/>
    <n v="446.66333333333341"/>
  </r>
  <r>
    <s v="ORD02055"/>
    <d v="2025-10-14T00:00:00"/>
    <s v="CUST0527"/>
    <x v="0"/>
    <x v="14"/>
    <n v="1"/>
    <n v="0.1"/>
    <n v="405"/>
    <n v="84.23"/>
    <x v="3"/>
    <s v="Delivered"/>
    <n v="405"/>
    <n v="20.79753086419753"/>
    <s v="Profit"/>
    <s v="Aarav Patel"/>
    <x v="0"/>
    <x v="0"/>
    <s v="Hyderabad"/>
    <s v="Telangana"/>
    <s v="2024-04-04"/>
    <s v="26-35"/>
    <n v="84.23"/>
  </r>
  <r>
    <s v="ORD02056"/>
    <d v="2025-09-25T00:00:00"/>
    <s v="CUST0119"/>
    <x v="2"/>
    <x v="3"/>
    <n v="1"/>
    <n v="0.15"/>
    <n v="12750"/>
    <n v="1910.54"/>
    <x v="3"/>
    <s v="Delivered"/>
    <n v="12750"/>
    <n v="14.984627450980391"/>
    <s v="Profit"/>
    <s v="Divya Naidu"/>
    <x v="1"/>
    <x v="0"/>
    <s v="Coimbatore"/>
    <s v="Tamil Nadu"/>
    <s v="2023-05-25"/>
    <s v="36-50"/>
    <n v="1910.54"/>
  </r>
  <r>
    <s v="ORD02057"/>
    <d v="2026-03-20T00:00:00"/>
    <s v="CUST0548"/>
    <x v="1"/>
    <x v="13"/>
    <n v="1"/>
    <n v="0.15"/>
    <n v="3570"/>
    <n v="666.79"/>
    <x v="0"/>
    <s v="Delivered"/>
    <n v="3570"/>
    <n v="18.677591036414569"/>
    <s v="Profit"/>
    <s v="Diya Mishra"/>
    <x v="1"/>
    <x v="2"/>
    <s v="Chandigarh"/>
    <s v="Chandigarh"/>
    <s v="2023-12-31"/>
    <s v="36-50"/>
    <n v="666.79"/>
  </r>
  <r>
    <s v="ORD02058"/>
    <d v="2025-12-12T00:00:00"/>
    <s v="CUST0155"/>
    <x v="0"/>
    <x v="6"/>
    <n v="5"/>
    <n v="0.1"/>
    <n v="1575"/>
    <n v="83.02"/>
    <x v="1"/>
    <s v="Cancelled"/>
    <n v="315"/>
    <n v="5.2711111111111109"/>
    <s v="Profit"/>
    <s v="Ishaan Sharma"/>
    <x v="0"/>
    <x v="0"/>
    <s v="Bengaluru"/>
    <s v="Karnataka"/>
    <s v="2023-07-08"/>
    <s v="26-35"/>
    <n v="16.603999999999999"/>
  </r>
  <r>
    <s v="ORD02059"/>
    <d v="2025-11-12T00:00:00"/>
    <s v="CUST0309"/>
    <x v="2"/>
    <x v="2"/>
    <n v="2"/>
    <n v="0.05"/>
    <n v="24700"/>
    <n v="5526.93"/>
    <x v="0"/>
    <s v="Shipped"/>
    <n v="12350"/>
    <n v="22.376234817813771"/>
    <s v="Profit"/>
    <s v="Divya Iyer"/>
    <x v="2"/>
    <x v="2"/>
    <s v="Lucknow"/>
    <s v="Uttar Pradesh"/>
    <s v="2024-10-13"/>
    <s v="26-35"/>
    <n v="2763.4650000000001"/>
  </r>
  <r>
    <s v="ORD02060"/>
    <d v="2026-04-21T00:00:00"/>
    <s v="CUST0338"/>
    <x v="3"/>
    <x v="4"/>
    <n v="2"/>
    <n v="0.1"/>
    <n v="32400"/>
    <n v="3982.08"/>
    <x v="0"/>
    <s v="Delivered"/>
    <n v="16200"/>
    <n v="12.29037037037037"/>
    <s v="Profit"/>
    <s v="Kavya Bose"/>
    <x v="1"/>
    <x v="0"/>
    <s v="Hyderabad"/>
    <s v="Telangana"/>
    <s v="2024-10-27"/>
    <s v="26-35"/>
    <n v="1991.04"/>
  </r>
  <r>
    <s v="ORD02061"/>
    <d v="2025-09-12T00:00:00"/>
    <s v="CUST0449"/>
    <x v="0"/>
    <x v="6"/>
    <n v="2"/>
    <n v="0.05"/>
    <n v="665"/>
    <n v="-199.99"/>
    <x v="3"/>
    <s v="Cancelled"/>
    <n v="332.5"/>
    <n v="-30.07368421052632"/>
    <s v="Loss"/>
    <s v="Ishaan Kulkarni"/>
    <x v="0"/>
    <x v="1"/>
    <s v="Pune"/>
    <s v="Maharashtra"/>
    <s v="2023-06-12"/>
    <s v="36-50"/>
    <n v="-99.995000000000005"/>
  </r>
  <r>
    <s v="ORD02062"/>
    <d v="2025-10-27T00:00:00"/>
    <s v="CUST0410"/>
    <x v="1"/>
    <x v="15"/>
    <n v="2"/>
    <n v="0.15"/>
    <n v="3740"/>
    <n v="1078.27"/>
    <x v="1"/>
    <s v="Delivered"/>
    <n v="1870"/>
    <n v="28.830748663101598"/>
    <s v="Profit"/>
    <s v="Pooja Iyer"/>
    <x v="1"/>
    <x v="0"/>
    <s v="Bengaluru"/>
    <s v="Karnataka"/>
    <s v="2025-07-08"/>
    <s v="18-25"/>
    <n v="539.13499999999999"/>
  </r>
  <r>
    <s v="ORD02063"/>
    <d v="2026-01-07T00:00:00"/>
    <s v="CUST0024"/>
    <x v="1"/>
    <x v="13"/>
    <n v="1"/>
    <n v="0.1"/>
    <n v="3780"/>
    <n v="855.19"/>
    <x v="3"/>
    <s v="Delivered"/>
    <n v="3780"/>
    <n v="22.62407407407407"/>
    <s v="Profit"/>
    <s v="Lakshmi Pillai"/>
    <x v="1"/>
    <x v="0"/>
    <s v="Coimbatore"/>
    <s v="Tamil Nadu"/>
    <s v="2024-11-26"/>
    <s v="26-35"/>
    <n v="855.19"/>
  </r>
  <r>
    <s v="ORD02064"/>
    <d v="2026-05-02T00:00:00"/>
    <s v="CUST0305"/>
    <x v="2"/>
    <x v="3"/>
    <n v="2"/>
    <n v="0.1"/>
    <n v="27000"/>
    <n v="4502.58"/>
    <x v="3"/>
    <s v="Shipped"/>
    <n v="13500"/>
    <n v="16.676222222222219"/>
    <s v="Profit"/>
    <s v="Nisha Mishra"/>
    <x v="0"/>
    <x v="2"/>
    <s v="Jaipur"/>
    <s v="Rajasthan"/>
    <s v="2024-11-15"/>
    <s v="26-35"/>
    <n v="2251.29"/>
  </r>
  <r>
    <s v="ORD02065"/>
    <d v="2026-07-17T00:00:00"/>
    <s v="CUST0316"/>
    <x v="3"/>
    <x v="10"/>
    <n v="5"/>
    <n v="0"/>
    <n v="275000"/>
    <n v="45000"/>
    <x v="1"/>
    <s v="Delivered"/>
    <n v="55000"/>
    <n v="16.36363636363636"/>
    <s v="Profit"/>
    <s v="Sneha Iyer"/>
    <x v="2"/>
    <x v="3"/>
    <s v="Guwahati"/>
    <s v="Assam"/>
    <s v="2024-04-21"/>
    <s v="26-35"/>
    <n v="9000"/>
  </r>
  <r>
    <s v="ORD02066"/>
    <d v="2026-01-28T00:00:00"/>
    <s v="CUST0244"/>
    <x v="3"/>
    <x v="8"/>
    <n v="2"/>
    <n v="0.1"/>
    <n v="8100"/>
    <n v="2571.89"/>
    <x v="0"/>
    <s v="Delivered"/>
    <n v="4050"/>
    <n v="31.751728395061729"/>
    <s v="Profit"/>
    <s v="Ishaan Khan"/>
    <x v="0"/>
    <x v="0"/>
    <s v="Bengaluru"/>
    <s v="Karnataka"/>
    <s v="2024-01-08"/>
    <s v="36-50"/>
    <n v="1285.9449999999999"/>
  </r>
  <r>
    <s v="ORD02067"/>
    <d v="2025-11-24T00:00:00"/>
    <s v="CUST0025"/>
    <x v="0"/>
    <x v="6"/>
    <n v="2"/>
    <n v="0.15"/>
    <n v="595"/>
    <n v="183.37"/>
    <x v="3"/>
    <s v="Delivered"/>
    <n v="297.5"/>
    <n v="30.81848739495798"/>
    <s v="Profit"/>
    <s v="Aditya Rao"/>
    <x v="0"/>
    <x v="2"/>
    <s v="Chandigarh"/>
    <s v="Chandigarh"/>
    <s v="2025-12-16"/>
    <s v="26-35"/>
    <n v="91.685000000000002"/>
  </r>
  <r>
    <s v="ORD02068"/>
    <d v="2026-06-21T00:00:00"/>
    <s v="CUST0109"/>
    <x v="0"/>
    <x v="6"/>
    <n v="1"/>
    <n v="0.1"/>
    <n v="315"/>
    <n v="91.09"/>
    <x v="0"/>
    <s v="Delivered"/>
    <n v="315"/>
    <n v="28.917460317460321"/>
    <s v="Profit"/>
    <s v="Lakshmi Gupta"/>
    <x v="1"/>
    <x v="1"/>
    <s v="Surat"/>
    <s v="Gujarat"/>
    <s v="2023-01-04"/>
    <s v="26-35"/>
    <n v="91.09"/>
  </r>
  <r>
    <s v="ORD02069"/>
    <d v="2025-09-15T00:00:00"/>
    <s v="CUST0117"/>
    <x v="2"/>
    <x v="2"/>
    <n v="10"/>
    <n v="0.1"/>
    <n v="117000"/>
    <n v="23212.74"/>
    <x v="0"/>
    <s v="Delivered"/>
    <n v="11700"/>
    <n v="19.839948717948719"/>
    <s v="Profit"/>
    <s v="Aarav Patel"/>
    <x v="0"/>
    <x v="2"/>
    <s v="Lucknow"/>
    <s v="Uttar Pradesh"/>
    <s v="2025-09-18"/>
    <s v="26-35"/>
    <n v="2321.2739999999999"/>
  </r>
  <r>
    <s v="ORD02070"/>
    <d v="2025-08-30T00:00:00"/>
    <s v="CUST0272"/>
    <x v="2"/>
    <x v="2"/>
    <n v="3"/>
    <n v="0.05"/>
    <n v="37050"/>
    <n v="8067.2"/>
    <x v="3"/>
    <s v="Delivered"/>
    <n v="12350"/>
    <n v="21.773819163292849"/>
    <s v="Profit"/>
    <s v="Ishaan Bose"/>
    <x v="1"/>
    <x v="3"/>
    <s v="Patna"/>
    <s v="Bihar"/>
    <s v="2025-01-04"/>
    <s v="51+"/>
    <n v="2689.0666666666671"/>
  </r>
  <r>
    <s v="ORD02071"/>
    <d v="2025-12-09T00:00:00"/>
    <s v="CUST0120"/>
    <x v="2"/>
    <x v="5"/>
    <n v="1"/>
    <n v="0"/>
    <n v="11000"/>
    <n v="2600"/>
    <x v="1"/>
    <s v="Delivered"/>
    <n v="11000"/>
    <n v="23.63636363636364"/>
    <s v="Profit"/>
    <s v="Sanjay Sharma"/>
    <x v="2"/>
    <x v="0"/>
    <s v="Bengaluru"/>
    <s v="Karnataka"/>
    <s v="2024-05-20"/>
    <s v="26-35"/>
    <n v="2600"/>
  </r>
  <r>
    <s v="ORD02072"/>
    <d v="2026-04-11T00:00:00"/>
    <s v="CUST0511"/>
    <x v="2"/>
    <x v="9"/>
    <n v="1"/>
    <n v="0.05"/>
    <n v="8550"/>
    <n v="1983.09"/>
    <x v="3"/>
    <s v="Shipped"/>
    <n v="8550"/>
    <n v="23.1940350877193"/>
    <s v="Profit"/>
    <s v="Sneha Naidu"/>
    <x v="1"/>
    <x v="2"/>
    <s v="Delhi"/>
    <s v="Delhi"/>
    <s v="2023-05-20"/>
    <s v="18-25"/>
    <n v="1983.09"/>
  </r>
  <r>
    <s v="ORD02073"/>
    <d v="2025-07-28T00:00:00"/>
    <s v="CUST0061"/>
    <x v="2"/>
    <x v="3"/>
    <n v="1"/>
    <n v="0.05"/>
    <n v="14250"/>
    <n v="3140.98"/>
    <x v="2"/>
    <s v="Delivered"/>
    <n v="14250"/>
    <n v="22.041964912280701"/>
    <s v="Profit"/>
    <s v="Meera Kulkarni"/>
    <x v="0"/>
    <x v="0"/>
    <s v="Bengaluru"/>
    <s v="Karnataka"/>
    <s v="2024-11-07"/>
    <s v="18-25"/>
    <n v="3140.98"/>
  </r>
  <r>
    <s v="ORD02074"/>
    <d v="2025-09-20T00:00:00"/>
    <s v="CUST0388"/>
    <x v="3"/>
    <x v="11"/>
    <n v="1"/>
    <n v="0.05"/>
    <n v="2375"/>
    <n v="704.11"/>
    <x v="2"/>
    <s v="Delivered"/>
    <n v="2375"/>
    <n v="29.64673684210527"/>
    <s v="Profit"/>
    <s v="Shreya Kulkarni"/>
    <x v="0"/>
    <x v="0"/>
    <s v="Bengaluru"/>
    <s v="Karnataka"/>
    <s v="2025-08-28"/>
    <s v="36-50"/>
    <n v="704.11"/>
  </r>
  <r>
    <s v="ORD02075"/>
    <d v="2025-11-09T00:00:00"/>
    <s v="CUST0482"/>
    <x v="2"/>
    <x v="9"/>
    <n v="6"/>
    <n v="0.15"/>
    <n v="45900"/>
    <n v="9493.14"/>
    <x v="1"/>
    <s v="Delivered"/>
    <n v="7650"/>
    <n v="20.682222222222219"/>
    <s v="Profit"/>
    <s v="Divya Reddy"/>
    <x v="0"/>
    <x v="0"/>
    <s v="Chennai"/>
    <s v="Tamil Nadu"/>
    <s v="2025-06-12"/>
    <s v="26-35"/>
    <n v="1582.19"/>
  </r>
  <r>
    <s v="ORD02076"/>
    <d v="2025-12-20T00:00:00"/>
    <s v="CUST0373"/>
    <x v="3"/>
    <x v="11"/>
    <n v="4"/>
    <n v="0.15"/>
    <n v="8500"/>
    <n v="2078.13"/>
    <x v="3"/>
    <s v="Delivered"/>
    <n v="2125"/>
    <n v="24.448588235294121"/>
    <s v="Profit"/>
    <s v="Karthik Sharma"/>
    <x v="1"/>
    <x v="1"/>
    <s v="Ahmedabad"/>
    <s v="Gujarat"/>
    <s v="2023-12-05"/>
    <s v="51+"/>
    <n v="519.53250000000003"/>
  </r>
  <r>
    <s v="ORD02077"/>
    <d v="2025-10-11T00:00:00"/>
    <s v="CUST0073"/>
    <x v="3"/>
    <x v="4"/>
    <n v="3"/>
    <n v="0.1"/>
    <n v="48600"/>
    <n v="-29647.39"/>
    <x v="1"/>
    <s v="Returned"/>
    <n v="16200"/>
    <n v="-61.002860082304522"/>
    <s v="Loss"/>
    <s v="Kavya Pillai"/>
    <x v="0"/>
    <x v="0"/>
    <s v="Hyderabad"/>
    <s v="Telangana"/>
    <s v="2023-04-01"/>
    <s v="26-35"/>
    <n v="-9882.4633333333331"/>
  </r>
  <r>
    <s v="ORD02078"/>
    <d v="2026-06-06T00:00:00"/>
    <s v="CUST0078"/>
    <x v="1"/>
    <x v="13"/>
    <n v="2"/>
    <n v="0.15"/>
    <n v="7140"/>
    <n v="1628.31"/>
    <x v="1"/>
    <s v="Delivered"/>
    <n v="3570"/>
    <n v="22.805462184873949"/>
    <s v="Profit"/>
    <s v="Harini Khan"/>
    <x v="0"/>
    <x v="3"/>
    <s v="Bhubaneswar"/>
    <s v="Odisha"/>
    <s v="2024-10-05"/>
    <s v="26-35"/>
    <n v="814.15499999999997"/>
  </r>
  <r>
    <s v="ORD02079"/>
    <d v="2025-10-04T00:00:00"/>
    <s v="CUST0203"/>
    <x v="2"/>
    <x v="5"/>
    <n v="3"/>
    <n v="0.2"/>
    <n v="26400"/>
    <n v="-6800.79"/>
    <x v="3"/>
    <s v="Returned"/>
    <n v="8800"/>
    <n v="-25.760568181818179"/>
    <s v="Loss"/>
    <s v="Arjun Gupta"/>
    <x v="2"/>
    <x v="0"/>
    <s v="Chennai"/>
    <s v="Tamil Nadu"/>
    <s v="2025-03-25"/>
    <s v="36-50"/>
    <n v="-2266.9299999999998"/>
  </r>
  <r>
    <s v="ORD02080"/>
    <d v="2025-11-08T00:00:00"/>
    <s v="CUST0146"/>
    <x v="1"/>
    <x v="12"/>
    <n v="1"/>
    <n v="0.1"/>
    <n v="1260"/>
    <n v="426.93"/>
    <x v="0"/>
    <s v="Shipped"/>
    <n v="1260"/>
    <n v="33.883333333333333"/>
    <s v="Profit"/>
    <s v="Priya Das"/>
    <x v="3"/>
    <x v="3"/>
    <s v="Patna"/>
    <s v="Bihar"/>
    <s v="2024-06-19"/>
    <s v="26-35"/>
    <n v="426.93"/>
  </r>
  <r>
    <s v="ORD02081"/>
    <d v="2026-01-21T00:00:00"/>
    <s v="CUST0103"/>
    <x v="1"/>
    <x v="13"/>
    <n v="6"/>
    <n v="0.1"/>
    <n v="22680"/>
    <n v="-8215.89"/>
    <x v="0"/>
    <s v="Cancelled"/>
    <n v="3780"/>
    <n v="-36.225264550264548"/>
    <s v="Loss"/>
    <s v="Rohan Rao"/>
    <x v="0"/>
    <x v="0"/>
    <s v="Bengaluru"/>
    <s v="Karnataka"/>
    <s v="2023-11-09"/>
    <s v="36-50"/>
    <n v="-1369.3150000000001"/>
  </r>
  <r>
    <s v="ORD02082"/>
    <d v="2025-07-20T00:00:00"/>
    <s v="CUST0289"/>
    <x v="2"/>
    <x v="3"/>
    <n v="2"/>
    <n v="0.1"/>
    <n v="27000"/>
    <n v="4676.3900000000003"/>
    <x v="1"/>
    <s v="Delivered"/>
    <n v="13500"/>
    <n v="17.319962962962961"/>
    <s v="Profit"/>
    <s v="Rahul Iyer"/>
    <x v="2"/>
    <x v="0"/>
    <s v="Coimbatore"/>
    <s v="Tamil Nadu"/>
    <s v="2023-01-07"/>
    <s v="18-25"/>
    <n v="2338.1950000000002"/>
  </r>
  <r>
    <s v="ORD02083"/>
    <d v="2026-07-27T00:00:00"/>
    <s v="CUST0266"/>
    <x v="3"/>
    <x v="10"/>
    <n v="3"/>
    <n v="0.05"/>
    <n v="156750"/>
    <n v="21943.69"/>
    <x v="1"/>
    <s v="Shipped"/>
    <n v="52250"/>
    <n v="13.999164274322171"/>
    <s v="Profit"/>
    <s v="Priya Khan"/>
    <x v="0"/>
    <x v="1"/>
    <s v="Pune"/>
    <s v="Maharashtra"/>
    <s v="2023-08-25"/>
    <s v="26-35"/>
    <n v="7314.5633333333326"/>
  </r>
  <r>
    <s v="ORD02084"/>
    <d v="2026-06-18T00:00:00"/>
    <s v="CUST0345"/>
    <x v="3"/>
    <x v="8"/>
    <n v="2"/>
    <n v="0.3"/>
    <n v="6300"/>
    <n v="1715.06"/>
    <x v="0"/>
    <s v="Delivered"/>
    <n v="3150"/>
    <n v="27.223174603174609"/>
    <s v="Profit"/>
    <s v="Pooja Iyer"/>
    <x v="1"/>
    <x v="3"/>
    <s v="Guwahati"/>
    <s v="Assam"/>
    <s v="2023-09-04"/>
    <s v="26-35"/>
    <n v="857.53"/>
  </r>
  <r>
    <s v="ORD02085"/>
    <d v="2025-07-28T00:00:00"/>
    <s v="CUST0033"/>
    <x v="3"/>
    <x v="10"/>
    <n v="1"/>
    <n v="0.1"/>
    <n v="49500"/>
    <n v="4802.54"/>
    <x v="2"/>
    <s v="Delivered"/>
    <n v="49500"/>
    <n v="9.7021010101010088"/>
    <s v="Profit"/>
    <s v="Ananya Das"/>
    <x v="0"/>
    <x v="2"/>
    <s v="Delhi"/>
    <s v="Delhi"/>
    <s v="2023-12-18"/>
    <s v="18-25"/>
    <n v="4802.54"/>
  </r>
  <r>
    <s v="ORD02086"/>
    <d v="2026-06-16T00:00:00"/>
    <s v="CUST0158"/>
    <x v="0"/>
    <x v="6"/>
    <n v="2"/>
    <n v="0.1"/>
    <n v="630"/>
    <n v="200.77"/>
    <x v="0"/>
    <s v="Delivered"/>
    <n v="315"/>
    <n v="31.86825396825397"/>
    <s v="Profit"/>
    <s v="Ananya Reddy"/>
    <x v="2"/>
    <x v="0"/>
    <s v="Bengaluru"/>
    <s v="Karnataka"/>
    <s v="2024-04-04"/>
    <s v="18-25"/>
    <n v="100.38500000000001"/>
  </r>
  <r>
    <s v="ORD02087"/>
    <d v="2026-04-02T00:00:00"/>
    <s v="CUST0399"/>
    <x v="0"/>
    <x v="14"/>
    <n v="2"/>
    <n v="0"/>
    <n v="900"/>
    <n v="220"/>
    <x v="3"/>
    <s v="Delivered"/>
    <n v="450"/>
    <n v="24.444444444444439"/>
    <s v="Profit"/>
    <s v="Kavya Iyer"/>
    <x v="0"/>
    <x v="2"/>
    <s v="Lucknow"/>
    <s v="Uttar Pradesh"/>
    <s v="2023-10-24"/>
    <s v="26-35"/>
    <n v="110"/>
  </r>
  <r>
    <s v="ORD02088"/>
    <d v="2026-02-10T00:00:00"/>
    <s v="CUST0475"/>
    <x v="1"/>
    <x v="13"/>
    <n v="5"/>
    <n v="0"/>
    <n v="21000"/>
    <n v="6000"/>
    <x v="2"/>
    <s v="Delivered"/>
    <n v="4200"/>
    <n v="28.571428571428569"/>
    <s v="Profit"/>
    <s v="Divya Verma"/>
    <x v="0"/>
    <x v="0"/>
    <s v="Bengaluru"/>
    <s v="Karnataka"/>
    <s v="2025-12-10"/>
    <s v="26-35"/>
    <n v="1200"/>
  </r>
  <r>
    <s v="ORD02089"/>
    <d v="2025-09-25T00:00:00"/>
    <s v="CUST0165"/>
    <x v="0"/>
    <x v="6"/>
    <n v="2"/>
    <n v="0"/>
    <n v="700"/>
    <n v="-66.819999999999993"/>
    <x v="1"/>
    <s v="Cancelled"/>
    <n v="350"/>
    <n v="-9.5457142857142845"/>
    <s v="Loss"/>
    <s v="Diya Mishra"/>
    <x v="0"/>
    <x v="0"/>
    <s v="Hyderabad"/>
    <s v="Telangana"/>
    <s v="2025-04-25"/>
    <s v="51+"/>
    <n v="-33.409999999999997"/>
  </r>
  <r>
    <s v="ORD02090"/>
    <d v="2026-04-27T00:00:00"/>
    <s v="CUST0007"/>
    <x v="3"/>
    <x v="8"/>
    <n v="5"/>
    <n v="0"/>
    <n v="22500"/>
    <n v="7500"/>
    <x v="3"/>
    <s v="Delivered"/>
    <n v="4500"/>
    <n v="33.333333333333329"/>
    <s v="Profit"/>
    <s v="Harini Khan"/>
    <x v="0"/>
    <x v="0"/>
    <s v="Bengaluru"/>
    <s v="Karnataka"/>
    <s v="2025-07-02"/>
    <s v="36-50"/>
    <n v="1500"/>
  </r>
  <r>
    <s v="ORD02091"/>
    <d v="2026-04-29T00:00:00"/>
    <s v="CUST0419"/>
    <x v="0"/>
    <x v="14"/>
    <n v="1"/>
    <n v="0.05"/>
    <n v="427.5"/>
    <n v="91.9"/>
    <x v="3"/>
    <s v="Delivered"/>
    <n v="427.5"/>
    <n v="21.497076023391809"/>
    <s v="Profit"/>
    <s v="Ishaan Singh"/>
    <x v="0"/>
    <x v="2"/>
    <s v="Chandigarh"/>
    <s v="Chandigarh"/>
    <s v="2024-05-23"/>
    <s v="18-25"/>
    <n v="91.9"/>
  </r>
  <r>
    <s v="ORD02092"/>
    <d v="2026-02-27T00:00:00"/>
    <s v="CUST0543"/>
    <x v="3"/>
    <x v="4"/>
    <n v="2"/>
    <n v="0.05"/>
    <n v="34200"/>
    <n v="5707.4"/>
    <x v="0"/>
    <s v="Delivered"/>
    <n v="17100"/>
    <n v="16.68830409356725"/>
    <s v="Profit"/>
    <s v="Ananya Iyer"/>
    <x v="1"/>
    <x v="0"/>
    <s v="Chennai"/>
    <s v="Tamil Nadu"/>
    <s v="2025-10-16"/>
    <s v="26-35"/>
    <n v="2853.7"/>
  </r>
  <r>
    <s v="ORD02093"/>
    <d v="2026-04-29T00:00:00"/>
    <s v="CUST0521"/>
    <x v="1"/>
    <x v="12"/>
    <n v="3"/>
    <n v="0.1"/>
    <n v="3780"/>
    <n v="1254.29"/>
    <x v="3"/>
    <s v="Shipped"/>
    <n v="1260"/>
    <n v="33.18227513227513"/>
    <s v="Profit"/>
    <s v="Priya Singh"/>
    <x v="0"/>
    <x v="0"/>
    <s v="Bengaluru"/>
    <s v="Karnataka"/>
    <s v="2025-11-16"/>
    <s v="51+"/>
    <n v="418.09666666666658"/>
  </r>
  <r>
    <s v="ORD02094"/>
    <d v="2026-07-14T00:00:00"/>
    <s v="CUST0535"/>
    <x v="0"/>
    <x v="7"/>
    <n v="2"/>
    <n v="0"/>
    <n v="1800"/>
    <n v="560"/>
    <x v="1"/>
    <s v="Delivered"/>
    <n v="900"/>
    <n v="31.111111111111111"/>
    <s v="Profit"/>
    <s v="Sanjay Reddy"/>
    <x v="0"/>
    <x v="0"/>
    <s v="Bengaluru"/>
    <s v="Karnataka"/>
    <s v="2024-03-17"/>
    <s v="18-25"/>
    <n v="280"/>
  </r>
  <r>
    <s v="ORD02095"/>
    <d v="2026-03-18T00:00:00"/>
    <s v="CUST0520"/>
    <x v="1"/>
    <x v="13"/>
    <n v="6"/>
    <n v="0.1"/>
    <n v="22680"/>
    <n v="5734.37"/>
    <x v="0"/>
    <s v="Shipped"/>
    <n v="3780"/>
    <n v="25.28381834215168"/>
    <s v="Profit"/>
    <s v="Karthik Chopra"/>
    <x v="0"/>
    <x v="0"/>
    <s v="Chennai"/>
    <s v="Tamil Nadu"/>
    <s v="2023-12-09"/>
    <s v="26-35"/>
    <n v="955.72833333333335"/>
  </r>
  <r>
    <s v="ORD02096"/>
    <d v="2025-10-11T00:00:00"/>
    <s v="CUST0333"/>
    <x v="0"/>
    <x v="7"/>
    <n v="6"/>
    <n v="0.15"/>
    <n v="4590"/>
    <n v="1193.56"/>
    <x v="0"/>
    <s v="Delivered"/>
    <n v="765"/>
    <n v="26.003485838779959"/>
    <s v="Profit"/>
    <s v="Aditya Gupta"/>
    <x v="0"/>
    <x v="0"/>
    <s v="Chennai"/>
    <s v="Tamil Nadu"/>
    <s v="2023-02-18"/>
    <s v="26-35"/>
    <n v="198.92666666666659"/>
  </r>
  <r>
    <s v="ORD02097"/>
    <d v="2026-07-30T00:00:00"/>
    <s v="CUST0079"/>
    <x v="1"/>
    <x v="12"/>
    <n v="1"/>
    <n v="0.1"/>
    <n v="1260"/>
    <n v="416.74"/>
    <x v="3"/>
    <s v="Delivered"/>
    <n v="1260"/>
    <n v="33.074603174603183"/>
    <s v="Profit"/>
    <s v="Akash Mehta"/>
    <x v="0"/>
    <x v="0"/>
    <s v="Chennai"/>
    <s v="Tamil Nadu"/>
    <s v="2024-07-12"/>
    <s v="51+"/>
    <n v="416.74"/>
  </r>
  <r>
    <s v="ORD02098"/>
    <d v="2025-07-13T00:00:00"/>
    <s v="CUST0313"/>
    <x v="3"/>
    <x v="11"/>
    <n v="4"/>
    <n v="0"/>
    <n v="10000"/>
    <n v="3200"/>
    <x v="1"/>
    <s v="Delivered"/>
    <n v="2500"/>
    <n v="32"/>
    <s v="Profit"/>
    <s v="Ananya Reddy"/>
    <x v="2"/>
    <x v="2"/>
    <s v="Chandigarh"/>
    <s v="Chandigarh"/>
    <s v="2025-09-06"/>
    <s v="26-35"/>
    <n v="800"/>
  </r>
  <r>
    <s v="ORD02099"/>
    <d v="2026-01-15T00:00:00"/>
    <s v="CUST0021"/>
    <x v="1"/>
    <x v="12"/>
    <n v="1"/>
    <n v="0.1"/>
    <n v="1260"/>
    <n v="391.68"/>
    <x v="1"/>
    <s v="Delivered"/>
    <n v="1260"/>
    <n v="31.085714285714289"/>
    <s v="Profit"/>
    <s v="Varun Nair"/>
    <x v="2"/>
    <x v="1"/>
    <s v="Ahmedabad"/>
    <s v="Gujarat"/>
    <s v="2025-11-12"/>
    <s v="36-50"/>
    <n v="391.68"/>
  </r>
  <r>
    <s v="ORD02100"/>
    <d v="2026-02-11T00:00:00"/>
    <s v="CUST0454"/>
    <x v="0"/>
    <x v="0"/>
    <n v="2"/>
    <n v="0"/>
    <n v="28000"/>
    <n v="-13673.01"/>
    <x v="0"/>
    <s v="Returned"/>
    <n v="14000"/>
    <n v="-48.832178571428571"/>
    <s v="Loss"/>
    <s v="Kavya Pillai"/>
    <x v="2"/>
    <x v="2"/>
    <s v="Delhi"/>
    <s v="Delhi"/>
    <s v="2024-02-07"/>
    <s v="26-35"/>
    <n v="-6836.5050000000001"/>
  </r>
  <r>
    <s v="ORD02101"/>
    <d v="2025-10-09T00:00:00"/>
    <s v="CUST0072"/>
    <x v="0"/>
    <x v="6"/>
    <n v="4"/>
    <n v="0.05"/>
    <n v="1330"/>
    <n v="432.66"/>
    <x v="3"/>
    <s v="Delivered"/>
    <n v="332.5"/>
    <n v="32.530827067669179"/>
    <s v="Profit"/>
    <s v="Shreya Nair"/>
    <x v="0"/>
    <x v="1"/>
    <s v="Surat"/>
    <s v="Gujarat"/>
    <s v="2025-09-16"/>
    <s v="26-35"/>
    <n v="108.16500000000001"/>
  </r>
  <r>
    <s v="ORD02102"/>
    <d v="2026-03-17T00:00:00"/>
    <s v="CUST0504"/>
    <x v="2"/>
    <x v="9"/>
    <n v="3"/>
    <n v="0.05"/>
    <n v="25650"/>
    <n v="6143.4"/>
    <x v="3"/>
    <s v="Shipped"/>
    <n v="8550"/>
    <n v="23.95087719298246"/>
    <s v="Profit"/>
    <s v="Karthik Khan"/>
    <x v="2"/>
    <x v="1"/>
    <s v="Pune"/>
    <s v="Maharashtra"/>
    <s v="2024-10-02"/>
    <s v="36-50"/>
    <n v="2047.8"/>
  </r>
  <r>
    <s v="ORD02103"/>
    <d v="2026-08-10T00:00:00"/>
    <s v="CUST0266"/>
    <x v="0"/>
    <x v="6"/>
    <n v="1"/>
    <n v="0.15"/>
    <n v="297.5"/>
    <n v="77.72"/>
    <x v="0"/>
    <s v="Delivered"/>
    <n v="297.5"/>
    <n v="26.124369747899159"/>
    <s v="Profit"/>
    <s v="Priya Khan"/>
    <x v="0"/>
    <x v="1"/>
    <s v="Pune"/>
    <s v="Maharashtra"/>
    <s v="2023-08-25"/>
    <s v="26-35"/>
    <n v="77.72"/>
  </r>
  <r>
    <s v="ORD02104"/>
    <d v="2025-11-26T00:00:00"/>
    <s v="CUST0061"/>
    <x v="3"/>
    <x v="4"/>
    <n v="5"/>
    <n v="0"/>
    <n v="90000"/>
    <n v="17500"/>
    <x v="1"/>
    <s v="Delivered"/>
    <n v="18000"/>
    <n v="19.44444444444445"/>
    <s v="Profit"/>
    <s v="Meera Kulkarni"/>
    <x v="0"/>
    <x v="0"/>
    <s v="Bengaluru"/>
    <s v="Karnataka"/>
    <s v="2024-11-07"/>
    <s v="18-25"/>
    <n v="3500"/>
  </r>
  <r>
    <s v="ORD02105"/>
    <d v="2025-07-05T00:00:00"/>
    <s v="CUST0272"/>
    <x v="0"/>
    <x v="6"/>
    <n v="3"/>
    <n v="0.2"/>
    <n v="840"/>
    <n v="210.38"/>
    <x v="1"/>
    <s v="Delivered"/>
    <n v="280"/>
    <n v="25.045238095238091"/>
    <s v="Profit"/>
    <s v="Ishaan Bose"/>
    <x v="1"/>
    <x v="3"/>
    <s v="Patna"/>
    <s v="Bihar"/>
    <s v="2025-01-04"/>
    <s v="51+"/>
    <n v="70.126666666666665"/>
  </r>
  <r>
    <s v="ORD02106"/>
    <d v="2026-08-08T00:00:00"/>
    <s v="CUST0420"/>
    <x v="3"/>
    <x v="4"/>
    <n v="2"/>
    <n v="0.1"/>
    <n v="32400"/>
    <n v="5199.8500000000004"/>
    <x v="3"/>
    <s v="Delivered"/>
    <n v="16200"/>
    <n v="16.04891975308642"/>
    <s v="Profit"/>
    <s v="Ishaan Gupta"/>
    <x v="0"/>
    <x v="2"/>
    <s v="Delhi"/>
    <s v="Delhi"/>
    <s v="2024-04-07"/>
    <s v="36-50"/>
    <n v="2599.9250000000002"/>
  </r>
  <r>
    <s v="ORD02107"/>
    <d v="2026-05-30T00:00:00"/>
    <s v="CUST0323"/>
    <x v="3"/>
    <x v="11"/>
    <n v="1"/>
    <n v="0.2"/>
    <n v="2000"/>
    <n v="452.99"/>
    <x v="0"/>
    <s v="Delivered"/>
    <n v="2000"/>
    <n v="22.6495"/>
    <s v="Profit"/>
    <s v="Manoj Menon"/>
    <x v="2"/>
    <x v="3"/>
    <s v="Patna"/>
    <s v="Bihar"/>
    <s v="2023-04-08"/>
    <s v="36-50"/>
    <n v="452.99"/>
  </r>
  <r>
    <s v="ORD02108"/>
    <d v="2025-08-23T00:00:00"/>
    <s v="CUST0055"/>
    <x v="2"/>
    <x v="5"/>
    <n v="3"/>
    <n v="0.1"/>
    <n v="29700"/>
    <n v="5512.94"/>
    <x v="0"/>
    <s v="Delivered"/>
    <n v="9900"/>
    <n v="18.562087542087539"/>
    <s v="Profit"/>
    <s v="Harini Kulkarni"/>
    <x v="0"/>
    <x v="3"/>
    <s v="Guwahati"/>
    <s v="Assam"/>
    <s v="2024-05-17"/>
    <s v="51+"/>
    <n v="1837.646666666667"/>
  </r>
  <r>
    <s v="ORD02109"/>
    <d v="2026-07-23T00:00:00"/>
    <s v="CUST0373"/>
    <x v="3"/>
    <x v="11"/>
    <n v="4"/>
    <n v="0"/>
    <n v="10000"/>
    <n v="3200"/>
    <x v="2"/>
    <s v="Delivered"/>
    <n v="2500"/>
    <n v="32"/>
    <s v="Profit"/>
    <s v="Karthik Sharma"/>
    <x v="1"/>
    <x v="1"/>
    <s v="Ahmedabad"/>
    <s v="Gujarat"/>
    <s v="2023-12-05"/>
    <s v="51+"/>
    <n v="800"/>
  </r>
  <r>
    <s v="ORD02110"/>
    <d v="2025-08-22T00:00:00"/>
    <s v="CUST0432"/>
    <x v="2"/>
    <x v="5"/>
    <n v="3"/>
    <n v="0"/>
    <n v="33000"/>
    <n v="7800"/>
    <x v="2"/>
    <s v="Delivered"/>
    <n v="11000"/>
    <n v="23.63636363636364"/>
    <s v="Profit"/>
    <s v="Pooja Singh"/>
    <x v="1"/>
    <x v="0"/>
    <s v="Coimbatore"/>
    <s v="Tamil Nadu"/>
    <s v="2023-02-17"/>
    <s v="18-25"/>
    <n v="2600"/>
  </r>
  <r>
    <s v="ORD02111"/>
    <d v="2026-05-07T00:00:00"/>
    <s v="CUST0128"/>
    <x v="2"/>
    <x v="2"/>
    <n v="3"/>
    <n v="0"/>
    <n v="39000"/>
    <n v="9600"/>
    <x v="2"/>
    <s v="Shipped"/>
    <n v="13000"/>
    <n v="24.61538461538462"/>
    <s v="Profit"/>
    <s v="Sneha Mishra"/>
    <x v="2"/>
    <x v="0"/>
    <s v="Chennai"/>
    <s v="Tamil Nadu"/>
    <s v="2024-09-12"/>
    <s v="36-50"/>
    <n v="3200"/>
  </r>
  <r>
    <s v="ORD02112"/>
    <d v="2026-04-11T00:00:00"/>
    <s v="CUST0292"/>
    <x v="0"/>
    <x v="7"/>
    <n v="4"/>
    <n v="0.05"/>
    <n v="3420"/>
    <n v="989.56"/>
    <x v="1"/>
    <s v="Delivered"/>
    <n v="855"/>
    <n v="28.934502923976609"/>
    <s v="Profit"/>
    <s v="Sanjay Khan"/>
    <x v="0"/>
    <x v="0"/>
    <s v="Bengaluru"/>
    <s v="Karnataka"/>
    <s v="2023-07-05"/>
    <s v="26-35"/>
    <n v="247.39"/>
  </r>
  <r>
    <s v="ORD02113"/>
    <d v="2026-06-06T00:00:00"/>
    <s v="CUST0141"/>
    <x v="1"/>
    <x v="12"/>
    <n v="1"/>
    <n v="0.15"/>
    <n v="1190"/>
    <n v="350.89"/>
    <x v="3"/>
    <s v="Delivered"/>
    <n v="1190"/>
    <n v="29.48655462184874"/>
    <s v="Profit"/>
    <s v="Kavya Reddy"/>
    <x v="2"/>
    <x v="0"/>
    <s v="Bengaluru"/>
    <s v="Karnataka"/>
    <s v="2023-09-02"/>
    <s v="26-35"/>
    <n v="350.89"/>
  </r>
  <r>
    <s v="ORD02114"/>
    <d v="2026-02-04T00:00:00"/>
    <s v="CUST0229"/>
    <x v="0"/>
    <x v="14"/>
    <n v="2"/>
    <n v="0.1"/>
    <n v="810"/>
    <n v="155.83000000000001"/>
    <x v="3"/>
    <s v="Shipped"/>
    <n v="405"/>
    <n v="19.238271604938269"/>
    <s v="Profit"/>
    <s v="Harini Chopra"/>
    <x v="0"/>
    <x v="0"/>
    <s v="Bengaluru"/>
    <s v="Karnataka"/>
    <s v="2025-05-19"/>
    <s v="26-35"/>
    <n v="77.915000000000006"/>
  </r>
  <r>
    <s v="ORD02115"/>
    <d v="2025-09-25T00:00:00"/>
    <s v="CUST0537"/>
    <x v="1"/>
    <x v="1"/>
    <n v="1"/>
    <n v="0.3"/>
    <n v="1260"/>
    <n v="277.86"/>
    <x v="0"/>
    <s v="Delivered"/>
    <n v="1260"/>
    <n v="22.05238095238095"/>
    <s v="Profit"/>
    <s v="Vikram Pillai"/>
    <x v="0"/>
    <x v="0"/>
    <s v="Bengaluru"/>
    <s v="Karnataka"/>
    <s v="2023-11-18"/>
    <s v="26-35"/>
    <n v="277.86"/>
  </r>
  <r>
    <s v="ORD02116"/>
    <d v="2025-07-18T00:00:00"/>
    <s v="CUST0075"/>
    <x v="3"/>
    <x v="8"/>
    <n v="1"/>
    <n v="0.1"/>
    <n v="4050"/>
    <n v="1167.3599999999999"/>
    <x v="0"/>
    <s v="Delivered"/>
    <n v="4050"/>
    <n v="28.8237037037037"/>
    <s v="Profit"/>
    <s v="Karthik Sharma"/>
    <x v="0"/>
    <x v="0"/>
    <s v="Bengaluru"/>
    <s v="Karnataka"/>
    <s v="2025-09-08"/>
    <s v="36-50"/>
    <n v="1167.3599999999999"/>
  </r>
  <r>
    <s v="ORD02117"/>
    <d v="2025-11-30T00:00:00"/>
    <s v="CUST0066"/>
    <x v="2"/>
    <x v="2"/>
    <n v="3"/>
    <n v="0.05"/>
    <n v="37050"/>
    <n v="8112.79"/>
    <x v="3"/>
    <s v="Delivered"/>
    <n v="12350"/>
    <n v="21.89686909581647"/>
    <s v="Profit"/>
    <s v="Aarav Gupta"/>
    <x v="0"/>
    <x v="2"/>
    <s v="Jaipur"/>
    <s v="Rajasthan"/>
    <s v="2024-06-18"/>
    <s v="51+"/>
    <n v="2704.2633333333329"/>
  </r>
  <r>
    <s v="ORD02118"/>
    <d v="2026-07-29T00:00:00"/>
    <s v="CUST0425"/>
    <x v="2"/>
    <x v="5"/>
    <n v="3"/>
    <n v="0.1"/>
    <n v="29700"/>
    <n v="5568.68"/>
    <x v="0"/>
    <s v="Delivered"/>
    <n v="9900"/>
    <n v="18.749764309764309"/>
    <s v="Profit"/>
    <s v="Lakshmi Mishra"/>
    <x v="0"/>
    <x v="3"/>
    <s v="Bhubaneswar"/>
    <s v="Odisha"/>
    <s v="2024-08-12"/>
    <s v="26-35"/>
    <n v="1856.2266666666669"/>
  </r>
  <r>
    <s v="ORD02119"/>
    <d v="2026-01-18T00:00:00"/>
    <s v="CUST0395"/>
    <x v="1"/>
    <x v="12"/>
    <n v="10"/>
    <n v="0"/>
    <n v="14000"/>
    <n v="5000"/>
    <x v="3"/>
    <s v="Delivered"/>
    <n v="1400"/>
    <n v="35.714285714285722"/>
    <s v="Profit"/>
    <s v="Ananya Gupta"/>
    <x v="0"/>
    <x v="2"/>
    <s v="Lucknow"/>
    <s v="Uttar Pradesh"/>
    <s v="2025-01-30"/>
    <s v="18-25"/>
    <n v="500"/>
  </r>
  <r>
    <s v="ORD02120"/>
    <d v="2025-08-06T00:00:00"/>
    <s v="CUST0041"/>
    <x v="3"/>
    <x v="8"/>
    <n v="2"/>
    <n v="0.1"/>
    <n v="8100"/>
    <n v="2524.39"/>
    <x v="2"/>
    <s v="Delivered"/>
    <n v="4050"/>
    <n v="31.165308641975312"/>
    <s v="Profit"/>
    <s v="Priya Iyer"/>
    <x v="0"/>
    <x v="0"/>
    <s v="Hyderabad"/>
    <s v="Telangana"/>
    <s v="2023-09-13"/>
    <s v="26-35"/>
    <n v="1262.1949999999999"/>
  </r>
  <r>
    <s v="ORD02121"/>
    <d v="2026-07-01T00:00:00"/>
    <s v="CUST0523"/>
    <x v="1"/>
    <x v="13"/>
    <n v="1"/>
    <n v="0.05"/>
    <n v="3990"/>
    <n v="1026.78"/>
    <x v="0"/>
    <s v="Delivered"/>
    <n v="3990"/>
    <n v="25.73383458646617"/>
    <s v="Profit"/>
    <s v="Vikram Kulkarni"/>
    <x v="0"/>
    <x v="2"/>
    <s v="Chandigarh"/>
    <s v="Chandigarh"/>
    <s v="2023-09-25"/>
    <s v="51+"/>
    <n v="1026.78"/>
  </r>
  <r>
    <s v="ORD02122"/>
    <d v="2026-07-20T00:00:00"/>
    <s v="CUST0192"/>
    <x v="3"/>
    <x v="10"/>
    <n v="4"/>
    <n v="0"/>
    <n v="220000"/>
    <n v="36000"/>
    <x v="0"/>
    <s v="Delivered"/>
    <n v="55000"/>
    <n v="16.36363636363636"/>
    <s v="Profit"/>
    <s v="Kavya Verma"/>
    <x v="2"/>
    <x v="3"/>
    <s v="Bhubaneswar"/>
    <s v="Odisha"/>
    <s v="2023-06-15"/>
    <s v="36-50"/>
    <n v="9000"/>
  </r>
  <r>
    <s v="ORD02123"/>
    <d v="2026-01-25T00:00:00"/>
    <s v="CUST0532"/>
    <x v="0"/>
    <x v="7"/>
    <n v="15"/>
    <n v="0.1"/>
    <n v="12150"/>
    <n v="3486.99"/>
    <x v="1"/>
    <s v="Delivered"/>
    <n v="810"/>
    <n v="28.699506172839509"/>
    <s v="Profit"/>
    <s v="Kavya Khan"/>
    <x v="0"/>
    <x v="2"/>
    <s v="Chandigarh"/>
    <s v="Chandigarh"/>
    <s v="2025-09-23"/>
    <s v="18-25"/>
    <n v="232.46600000000001"/>
  </r>
  <r>
    <s v="ORD02124"/>
    <d v="2026-02-23T00:00:00"/>
    <s v="CUST0583"/>
    <x v="3"/>
    <x v="11"/>
    <n v="1"/>
    <n v="0"/>
    <n v="2500"/>
    <n v="800"/>
    <x v="0"/>
    <s v="Shipped"/>
    <n v="2500"/>
    <n v="32"/>
    <s v="Profit"/>
    <s v="Shreya Menon"/>
    <x v="2"/>
    <x v="1"/>
    <s v="Ahmedabad"/>
    <s v="Gujarat"/>
    <s v="2023-09-05"/>
    <s v="26-35"/>
    <n v="800"/>
  </r>
  <r>
    <s v="ORD02125"/>
    <d v="2026-05-10T00:00:00"/>
    <s v="CUST0154"/>
    <x v="2"/>
    <x v="3"/>
    <n v="1"/>
    <n v="0.15"/>
    <n v="12750"/>
    <n v="2300.42"/>
    <x v="0"/>
    <s v="Shipped"/>
    <n v="12750"/>
    <n v="18.042509803921568"/>
    <s v="Profit"/>
    <s v="Arjun Sharma"/>
    <x v="2"/>
    <x v="2"/>
    <s v="Jaipur"/>
    <s v="Rajasthan"/>
    <s v="2025-06-30"/>
    <s v="26-35"/>
    <n v="2300.42"/>
  </r>
  <r>
    <s v="ORD02126"/>
    <d v="2025-09-14T00:00:00"/>
    <s v="CUST0254"/>
    <x v="3"/>
    <x v="11"/>
    <n v="1"/>
    <n v="0"/>
    <n v="2500"/>
    <n v="800"/>
    <x v="3"/>
    <s v="Delivered"/>
    <n v="2500"/>
    <n v="32"/>
    <s v="Profit"/>
    <s v="Sneha Mishra"/>
    <x v="1"/>
    <x v="2"/>
    <s v="Jaipur"/>
    <s v="Rajasthan"/>
    <s v="2025-05-30"/>
    <s v="36-50"/>
    <n v="800"/>
  </r>
  <r>
    <s v="ORD02127"/>
    <d v="2026-04-22T00:00:00"/>
    <s v="CUST0107"/>
    <x v="2"/>
    <x v="3"/>
    <n v="1"/>
    <n v="0.1"/>
    <n v="13500"/>
    <n v="2412.3200000000002"/>
    <x v="0"/>
    <s v="Shipped"/>
    <n v="13500"/>
    <n v="17.869037037037039"/>
    <s v="Profit"/>
    <s v="Ishaan Sharma"/>
    <x v="0"/>
    <x v="3"/>
    <s v="Bhubaneswar"/>
    <s v="Odisha"/>
    <s v="2024-11-29"/>
    <s v="26-35"/>
    <n v="2412.3200000000002"/>
  </r>
  <r>
    <s v="ORD02128"/>
    <d v="2025-10-20T00:00:00"/>
    <s v="CUST0083"/>
    <x v="3"/>
    <x v="10"/>
    <n v="2"/>
    <n v="0.1"/>
    <n v="99000"/>
    <n v="11635.29"/>
    <x v="3"/>
    <s v="Delivered"/>
    <n v="49500"/>
    <n v="11.75281818181818"/>
    <s v="Profit"/>
    <s v="Nisha Singh"/>
    <x v="0"/>
    <x v="0"/>
    <s v="Bengaluru"/>
    <s v="Karnataka"/>
    <s v="2024-07-24"/>
    <s v="26-35"/>
    <n v="5817.6450000000004"/>
  </r>
  <r>
    <s v="ORD02129"/>
    <d v="2026-08-23T00:00:00"/>
    <s v="CUST0294"/>
    <x v="3"/>
    <x v="4"/>
    <n v="1"/>
    <n v="0.1"/>
    <n v="16200"/>
    <n v="2032.38"/>
    <x v="1"/>
    <s v="Delivered"/>
    <n v="16200"/>
    <n v="12.545555555555559"/>
    <s v="Profit"/>
    <s v="Diya Chopra"/>
    <x v="0"/>
    <x v="1"/>
    <s v="Ahmedabad"/>
    <s v="Gujarat"/>
    <s v="2025-03-17"/>
    <s v="26-35"/>
    <n v="2032.38"/>
  </r>
  <r>
    <s v="ORD02130"/>
    <d v="2025-08-14T00:00:00"/>
    <s v="CUST0214"/>
    <x v="3"/>
    <x v="8"/>
    <n v="3"/>
    <n v="0.15"/>
    <n v="11475"/>
    <n v="3053.84"/>
    <x v="1"/>
    <s v="Delivered"/>
    <n v="3825"/>
    <n v="26.61298474945534"/>
    <s v="Profit"/>
    <s v="Ananya Rao"/>
    <x v="0"/>
    <x v="0"/>
    <s v="Hyderabad"/>
    <s v="Telangana"/>
    <s v="2023-07-14"/>
    <s v="51+"/>
    <n v="1017.9466666666671"/>
  </r>
  <r>
    <s v="ORD02131"/>
    <d v="2025-07-08T00:00:00"/>
    <s v="CUST0600"/>
    <x v="1"/>
    <x v="13"/>
    <n v="4"/>
    <n v="0.05"/>
    <n v="15960"/>
    <n v="4249.5"/>
    <x v="0"/>
    <s v="Delivered"/>
    <n v="3990"/>
    <n v="26.625939849624061"/>
    <s v="Profit"/>
    <s v="Shreya Sharma"/>
    <x v="2"/>
    <x v="2"/>
    <s v="Jaipur"/>
    <s v="Rajasthan"/>
    <s v="2024-09-15"/>
    <s v="36-50"/>
    <n v="1062.375"/>
  </r>
  <r>
    <s v="ORD02132"/>
    <d v="2025-12-14T00:00:00"/>
    <s v="CUST0273"/>
    <x v="0"/>
    <x v="14"/>
    <n v="2"/>
    <n v="0.1"/>
    <n v="810"/>
    <n v="144.88"/>
    <x v="3"/>
    <s v="Delivered"/>
    <n v="405"/>
    <n v="17.886419753086422"/>
    <s v="Profit"/>
    <s v="Akash Verma"/>
    <x v="1"/>
    <x v="0"/>
    <s v="Chennai"/>
    <s v="Tamil Nadu"/>
    <s v="2024-07-10"/>
    <s v="51+"/>
    <n v="72.44"/>
  </r>
  <r>
    <s v="ORD02133"/>
    <d v="2026-02-03T00:00:00"/>
    <s v="CUST0251"/>
    <x v="0"/>
    <x v="0"/>
    <n v="4"/>
    <n v="0.05"/>
    <n v="53200"/>
    <n v="-12432.41"/>
    <x v="3"/>
    <s v="Returned"/>
    <n v="13300"/>
    <n v="-23.369191729323308"/>
    <s v="Loss"/>
    <s v="Arjun Verma"/>
    <x v="2"/>
    <x v="0"/>
    <s v="Coimbatore"/>
    <s v="Tamil Nadu"/>
    <s v="2023-06-16"/>
    <s v="36-50"/>
    <n v="-3108.1025"/>
  </r>
  <r>
    <s v="ORD02134"/>
    <d v="2026-01-08T00:00:00"/>
    <s v="CUST0573"/>
    <x v="0"/>
    <x v="14"/>
    <n v="2"/>
    <n v="0.1"/>
    <n v="810"/>
    <n v="177.69"/>
    <x v="1"/>
    <s v="Delivered"/>
    <n v="405"/>
    <n v="21.93703703703704"/>
    <s v="Profit"/>
    <s v="Aditya Pillai"/>
    <x v="0"/>
    <x v="1"/>
    <s v="Surat"/>
    <s v="Gujarat"/>
    <s v="2024-03-11"/>
    <s v="18-25"/>
    <n v="88.844999999999999"/>
  </r>
  <r>
    <s v="ORD02135"/>
    <d v="2025-08-04T00:00:00"/>
    <s v="CUST0171"/>
    <x v="3"/>
    <x v="10"/>
    <n v="4"/>
    <n v="0.15"/>
    <n v="187000"/>
    <n v="20984.77"/>
    <x v="2"/>
    <s v="Delivered"/>
    <n v="46750"/>
    <n v="11.221802139037431"/>
    <s v="Profit"/>
    <s v="Nisha Reddy"/>
    <x v="0"/>
    <x v="2"/>
    <s v="Jaipur"/>
    <s v="Rajasthan"/>
    <s v="2025-06-10"/>
    <s v="36-50"/>
    <n v="5246.1925000000001"/>
  </r>
  <r>
    <s v="ORD02136"/>
    <d v="2025-09-15T00:00:00"/>
    <s v="CUST0586"/>
    <x v="1"/>
    <x v="13"/>
    <n v="4"/>
    <n v="0.3"/>
    <n v="11760"/>
    <n v="979.68"/>
    <x v="2"/>
    <s v="Delivered"/>
    <n v="2940"/>
    <n v="8.3306122448979583"/>
    <s v="Profit"/>
    <s v="Sanjay Mehta"/>
    <x v="1"/>
    <x v="0"/>
    <s v="Chennai"/>
    <s v="Tamil Nadu"/>
    <s v="2023-09-11"/>
    <s v="26-35"/>
    <n v="244.92"/>
  </r>
  <r>
    <s v="ORD02137"/>
    <d v="2026-05-25T00:00:00"/>
    <s v="CUST0295"/>
    <x v="0"/>
    <x v="0"/>
    <n v="6"/>
    <n v="0.1"/>
    <n v="75600"/>
    <n v="12492.38"/>
    <x v="1"/>
    <s v="Shipped"/>
    <n v="12600"/>
    <n v="16.524312169312172"/>
    <s v="Profit"/>
    <s v="Pooja Chopra"/>
    <x v="1"/>
    <x v="2"/>
    <s v="Chandigarh"/>
    <s v="Chandigarh"/>
    <s v="2023-09-02"/>
    <s v="18-25"/>
    <n v="2082.063333333333"/>
  </r>
  <r>
    <s v="ORD02138"/>
    <d v="2025-08-23T00:00:00"/>
    <s v="CUST0137"/>
    <x v="2"/>
    <x v="2"/>
    <n v="3"/>
    <n v="0.05"/>
    <n v="37050"/>
    <n v="8042.38"/>
    <x v="3"/>
    <s v="Delivered"/>
    <n v="12350"/>
    <n v="21.706828609986509"/>
    <s v="Profit"/>
    <s v="Nisha Rao"/>
    <x v="1"/>
    <x v="2"/>
    <s v="Delhi"/>
    <s v="Delhi"/>
    <s v="2024-07-02"/>
    <s v="26-35"/>
    <n v="2680.793333333334"/>
  </r>
  <r>
    <s v="ORD02139"/>
    <d v="2026-06-09T00:00:00"/>
    <s v="CUST0425"/>
    <x v="0"/>
    <x v="7"/>
    <n v="1"/>
    <n v="0.1"/>
    <n v="810"/>
    <n v="218.46"/>
    <x v="1"/>
    <s v="Delivered"/>
    <n v="810"/>
    <n v="26.970370370370372"/>
    <s v="Profit"/>
    <s v="Lakshmi Mishra"/>
    <x v="0"/>
    <x v="3"/>
    <s v="Bhubaneswar"/>
    <s v="Odisha"/>
    <s v="2024-08-12"/>
    <s v="26-35"/>
    <n v="218.46"/>
  </r>
  <r>
    <s v="ORD02140"/>
    <d v="2026-08-31T00:00:00"/>
    <s v="CUST0167"/>
    <x v="1"/>
    <x v="1"/>
    <n v="3"/>
    <n v="0.2"/>
    <n v="4320"/>
    <n v="1239.53"/>
    <x v="3"/>
    <s v="Delivered"/>
    <n v="1440"/>
    <n v="28.692824074074071"/>
    <s v="Profit"/>
    <s v="Aarav Mehta"/>
    <x v="0"/>
    <x v="0"/>
    <s v="Hyderabad"/>
    <s v="Telangana"/>
    <s v="2024-10-15"/>
    <s v="51+"/>
    <n v="413.17666666666668"/>
  </r>
  <r>
    <s v="ORD02141"/>
    <d v="2026-05-11T00:00:00"/>
    <s v="CUST0007"/>
    <x v="2"/>
    <x v="3"/>
    <n v="2"/>
    <n v="0.15"/>
    <n v="25500"/>
    <n v="-3081.33"/>
    <x v="2"/>
    <s v="Cancelled"/>
    <n v="12750"/>
    <n v="-12.08364705882353"/>
    <s v="Loss"/>
    <s v="Harini Khan"/>
    <x v="0"/>
    <x v="0"/>
    <s v="Bengaluru"/>
    <s v="Karnataka"/>
    <s v="2025-07-02"/>
    <s v="36-50"/>
    <n v="-1540.665"/>
  </r>
  <r>
    <s v="ORD02142"/>
    <d v="2025-07-08T00:00:00"/>
    <s v="CUST0068"/>
    <x v="0"/>
    <x v="7"/>
    <n v="6"/>
    <n v="0.1"/>
    <n v="4860"/>
    <n v="1388.14"/>
    <x v="2"/>
    <s v="Delivered"/>
    <n v="810"/>
    <n v="28.562551440329219"/>
    <s v="Profit"/>
    <s v="Harini Pillai"/>
    <x v="1"/>
    <x v="3"/>
    <s v="Guwahati"/>
    <s v="Assam"/>
    <s v="2024-04-08"/>
    <s v="36-50"/>
    <n v="231.35666666666671"/>
  </r>
  <r>
    <s v="ORD02143"/>
    <d v="2025-10-30T00:00:00"/>
    <s v="CUST0108"/>
    <x v="3"/>
    <x v="10"/>
    <n v="3"/>
    <n v="0.05"/>
    <n v="156750"/>
    <n v="20053.71"/>
    <x v="3"/>
    <s v="Delivered"/>
    <n v="52250"/>
    <n v="12.79343540669856"/>
    <s v="Profit"/>
    <s v="Ananya Sharma"/>
    <x v="1"/>
    <x v="2"/>
    <s v="Chandigarh"/>
    <s v="Chandigarh"/>
    <s v="2025-12-04"/>
    <s v="26-35"/>
    <n v="6684.57"/>
  </r>
  <r>
    <s v="ORD02144"/>
    <d v="2026-02-03T00:00:00"/>
    <s v="CUST0493"/>
    <x v="0"/>
    <x v="6"/>
    <n v="1"/>
    <n v="0.3"/>
    <n v="245"/>
    <n v="45.03"/>
    <x v="3"/>
    <s v="Delivered"/>
    <n v="245"/>
    <n v="18.37959183673469"/>
    <s v="Profit"/>
    <s v="Vikram Patel"/>
    <x v="1"/>
    <x v="1"/>
    <s v="Pune"/>
    <s v="Maharashtra"/>
    <s v="2023-09-05"/>
    <s v="36-50"/>
    <n v="45.03"/>
  </r>
  <r>
    <s v="ORD02145"/>
    <d v="2026-07-28T00:00:00"/>
    <s v="CUST0052"/>
    <x v="2"/>
    <x v="2"/>
    <n v="3"/>
    <n v="0.1"/>
    <n v="35100"/>
    <n v="7554.05"/>
    <x v="2"/>
    <s v="Delivered"/>
    <n v="11700"/>
    <n v="21.521509971509971"/>
    <s v="Profit"/>
    <s v="Arjun Verma"/>
    <x v="2"/>
    <x v="0"/>
    <s v="Lucknow"/>
    <s v="Uttar Pradesh"/>
    <s v="2023-11-01"/>
    <s v="26-35"/>
    <n v="2518.0166666666669"/>
  </r>
  <r>
    <s v="ORD02146"/>
    <d v="2025-07-08T00:00:00"/>
    <s v="CUST0333"/>
    <x v="2"/>
    <x v="2"/>
    <n v="3"/>
    <n v="0"/>
    <n v="39000"/>
    <n v="9600"/>
    <x v="3"/>
    <s v="Delivered"/>
    <n v="13000"/>
    <n v="24.61538461538462"/>
    <s v="Profit"/>
    <s v="Aditya Gupta"/>
    <x v="0"/>
    <x v="0"/>
    <s v="Chennai"/>
    <s v="Tamil Nadu"/>
    <s v="2023-02-18"/>
    <s v="26-35"/>
    <n v="3200"/>
  </r>
  <r>
    <s v="ORD02147"/>
    <d v="2025-12-03T00:00:00"/>
    <s v="CUST0087"/>
    <x v="3"/>
    <x v="10"/>
    <n v="1"/>
    <n v="0.05"/>
    <n v="52250"/>
    <n v="7728.57"/>
    <x v="3"/>
    <s v="Shipped"/>
    <n v="52250"/>
    <n v="14.79152153110048"/>
    <s v="Profit"/>
    <s v="Ishaan Khan"/>
    <x v="0"/>
    <x v="2"/>
    <s v="Lucknow"/>
    <s v="Uttar Pradesh"/>
    <s v="2023-07-11"/>
    <s v="51+"/>
    <n v="7728.57"/>
  </r>
  <r>
    <s v="ORD02148"/>
    <d v="2025-10-11T00:00:00"/>
    <s v="CUST0008"/>
    <x v="0"/>
    <x v="7"/>
    <n v="6"/>
    <n v="0.3"/>
    <n v="3780"/>
    <n v="852.67"/>
    <x v="2"/>
    <s v="Delivered"/>
    <n v="630"/>
    <n v="22.55740740740741"/>
    <s v="Profit"/>
    <s v="Vikram Menon"/>
    <x v="2"/>
    <x v="2"/>
    <s v="Jaipur"/>
    <s v="Rajasthan"/>
    <s v="2023-06-25"/>
    <s v="36-50"/>
    <n v="142.11166666666671"/>
  </r>
  <r>
    <s v="ORD02149"/>
    <d v="2026-05-27T00:00:00"/>
    <s v="CUST0525"/>
    <x v="2"/>
    <x v="3"/>
    <n v="1"/>
    <n v="0"/>
    <n v="15000"/>
    <n v="3500"/>
    <x v="0"/>
    <s v="Delivered"/>
    <n v="15000"/>
    <n v="23.333333333333329"/>
    <s v="Profit"/>
    <s v="Varun Gupta"/>
    <x v="2"/>
    <x v="2"/>
    <s v="Delhi"/>
    <s v="Delhi"/>
    <s v="2023-05-14"/>
    <s v="36-50"/>
    <n v="3500"/>
  </r>
  <r>
    <s v="ORD02150"/>
    <d v="2026-01-05T00:00:00"/>
    <s v="CUST0012"/>
    <x v="1"/>
    <x v="15"/>
    <n v="4"/>
    <n v="0.15"/>
    <n v="7480"/>
    <n v="2256.02"/>
    <x v="0"/>
    <s v="Shipped"/>
    <n v="1870"/>
    <n v="30.160695187165771"/>
    <s v="Profit"/>
    <s v="Akash Nair"/>
    <x v="1"/>
    <x v="0"/>
    <s v="Chennai"/>
    <s v="Tamil Nadu"/>
    <s v="2025-11-27"/>
    <s v="36-50"/>
    <n v="564.005"/>
  </r>
  <r>
    <s v="ORD02151"/>
    <d v="2026-03-31T00:00:00"/>
    <s v="CUST0501"/>
    <x v="2"/>
    <x v="3"/>
    <n v="5"/>
    <n v="0.1"/>
    <n v="67500"/>
    <n v="13121.46"/>
    <x v="1"/>
    <s v="Delivered"/>
    <n v="13500"/>
    <n v="19.4392"/>
    <s v="Profit"/>
    <s v="Rahul Pillai"/>
    <x v="1"/>
    <x v="0"/>
    <s v="Bengaluru"/>
    <s v="Karnataka"/>
    <s v="2024-03-13"/>
    <s v="36-50"/>
    <n v="2624.2919999999999"/>
  </r>
  <r>
    <s v="ORD02152"/>
    <d v="2026-05-22T00:00:00"/>
    <s v="CUST0019"/>
    <x v="2"/>
    <x v="3"/>
    <n v="1"/>
    <n v="0.1"/>
    <n v="13500"/>
    <n v="2518.61"/>
    <x v="2"/>
    <s v="Delivered"/>
    <n v="13500"/>
    <n v="18.656370370370372"/>
    <s v="Profit"/>
    <s v="Ishaan Pillai"/>
    <x v="0"/>
    <x v="1"/>
    <s v="Ahmedabad"/>
    <s v="Gujarat"/>
    <s v="2023-06-28"/>
    <s v="36-50"/>
    <n v="2518.61"/>
  </r>
  <r>
    <s v="ORD02153"/>
    <d v="2026-02-11T00:00:00"/>
    <s v="CUST0169"/>
    <x v="1"/>
    <x v="1"/>
    <n v="3"/>
    <n v="0.1"/>
    <n v="4860"/>
    <n v="1575.15"/>
    <x v="2"/>
    <s v="Delivered"/>
    <n v="1620"/>
    <n v="32.410493827160487"/>
    <s v="Profit"/>
    <s v="Sneha Bose"/>
    <x v="0"/>
    <x v="0"/>
    <s v="Hyderabad"/>
    <s v="Telangana"/>
    <s v="2024-09-10"/>
    <s v="26-35"/>
    <n v="525.05000000000007"/>
  </r>
  <r>
    <s v="ORD02154"/>
    <d v="2025-08-25T00:00:00"/>
    <s v="CUST0112"/>
    <x v="3"/>
    <x v="10"/>
    <n v="2"/>
    <n v="0.1"/>
    <n v="99000"/>
    <n v="9637.36"/>
    <x v="3"/>
    <s v="Delivered"/>
    <n v="49500"/>
    <n v="9.7347070707070706"/>
    <s v="Profit"/>
    <s v="Akash Khan"/>
    <x v="0"/>
    <x v="1"/>
    <s v="Pune"/>
    <s v="Maharashtra"/>
    <s v="2025-03-04"/>
    <s v="26-35"/>
    <n v="4818.68"/>
  </r>
  <r>
    <s v="ORD02155"/>
    <d v="2026-06-03T00:00:00"/>
    <s v="CUST0067"/>
    <x v="1"/>
    <x v="1"/>
    <n v="1"/>
    <n v="0"/>
    <n v="1800"/>
    <n v="650"/>
    <x v="3"/>
    <s v="Delivered"/>
    <n v="1800"/>
    <n v="36.111111111111107"/>
    <s v="Profit"/>
    <s v="Varun Joshi"/>
    <x v="0"/>
    <x v="0"/>
    <s v="Chennai"/>
    <s v="Tamil Nadu"/>
    <s v="2024-10-29"/>
    <s v="26-35"/>
    <n v="650"/>
  </r>
  <r>
    <s v="ORD02156"/>
    <d v="2026-08-14T00:00:00"/>
    <s v="CUST0439"/>
    <x v="2"/>
    <x v="9"/>
    <n v="1"/>
    <n v="0.15"/>
    <n v="7650"/>
    <n v="1233.8"/>
    <x v="1"/>
    <s v="Delivered"/>
    <n v="7650"/>
    <n v="16.128104575163398"/>
    <s v="Profit"/>
    <s v="Arjun Kulkarni"/>
    <x v="0"/>
    <x v="3"/>
    <s v="Patna"/>
    <s v="Bihar"/>
    <s v="2023-01-03"/>
    <s v="36-50"/>
    <n v="1233.8"/>
  </r>
  <r>
    <s v="ORD02157"/>
    <d v="2026-03-10T00:00:00"/>
    <s v="CUST0581"/>
    <x v="0"/>
    <x v="0"/>
    <n v="4"/>
    <n v="0.15"/>
    <n v="47600"/>
    <n v="5063.45"/>
    <x v="0"/>
    <s v="Delivered"/>
    <n v="11900"/>
    <n v="10.637499999999999"/>
    <s v="Profit"/>
    <s v="Aditya Naidu"/>
    <x v="0"/>
    <x v="0"/>
    <s v="Coimbatore"/>
    <s v="Tamil Nadu"/>
    <s v="2024-10-03"/>
    <s v="18-25"/>
    <n v="1265.8625"/>
  </r>
  <r>
    <s v="ORD02158"/>
    <d v="2025-09-26T00:00:00"/>
    <s v="CUST0405"/>
    <x v="0"/>
    <x v="6"/>
    <n v="1"/>
    <n v="0.15"/>
    <n v="297.5"/>
    <n v="79.680000000000007"/>
    <x v="3"/>
    <s v="Delivered"/>
    <n v="297.5"/>
    <n v="26.783193277310929"/>
    <s v="Profit"/>
    <s v="Varun Naidu"/>
    <x v="0"/>
    <x v="0"/>
    <s v="Chennai"/>
    <s v="Tamil Nadu"/>
    <s v="2024-05-06"/>
    <s v="26-35"/>
    <n v="79.680000000000007"/>
  </r>
  <r>
    <s v="ORD02159"/>
    <d v="2026-03-22T00:00:00"/>
    <s v="CUST0111"/>
    <x v="3"/>
    <x v="4"/>
    <n v="4"/>
    <n v="0.05"/>
    <n v="68400"/>
    <n v="12055.66"/>
    <x v="0"/>
    <s v="Delivered"/>
    <n v="17100"/>
    <n v="17.62523391812865"/>
    <s v="Profit"/>
    <s v="Akash Verma"/>
    <x v="0"/>
    <x v="1"/>
    <s v="Pune"/>
    <s v="Maharashtra"/>
    <s v="2023-06-12"/>
    <s v="36-50"/>
    <n v="3013.915"/>
  </r>
  <r>
    <s v="ORD02160"/>
    <d v="2026-07-29T00:00:00"/>
    <s v="CUST0436"/>
    <x v="2"/>
    <x v="2"/>
    <n v="15"/>
    <n v="0.2"/>
    <n v="156000"/>
    <n v="16578.11"/>
    <x v="3"/>
    <s v="Delivered"/>
    <n v="10400"/>
    <n v="10.62699358974359"/>
    <s v="Profit"/>
    <s v="Divya Patel"/>
    <x v="0"/>
    <x v="1"/>
    <s v="Surat"/>
    <s v="Gujarat"/>
    <s v="2025-10-12"/>
    <s v="26-35"/>
    <n v="1105.2073333333331"/>
  </r>
  <r>
    <s v="ORD02161"/>
    <d v="2026-04-14T00:00:00"/>
    <s v="CUST0454"/>
    <x v="2"/>
    <x v="5"/>
    <n v="4"/>
    <n v="0.1"/>
    <n v="39600"/>
    <n v="7011.88"/>
    <x v="3"/>
    <s v="Delivered"/>
    <n v="9900"/>
    <n v="17.706767676767679"/>
    <s v="Profit"/>
    <s v="Kavya Pillai"/>
    <x v="2"/>
    <x v="2"/>
    <s v="Delhi"/>
    <s v="Delhi"/>
    <s v="2024-02-07"/>
    <s v="26-35"/>
    <n v="1752.97"/>
  </r>
  <r>
    <s v="ORD02162"/>
    <d v="2025-09-12T00:00:00"/>
    <s v="CUST0426"/>
    <x v="0"/>
    <x v="7"/>
    <n v="3"/>
    <n v="0.1"/>
    <n v="2430"/>
    <n v="707.1"/>
    <x v="2"/>
    <s v="Shipped"/>
    <n v="810"/>
    <n v="29.098765432098769"/>
    <s v="Profit"/>
    <s v="Sneha Rao"/>
    <x v="1"/>
    <x v="2"/>
    <s v="Lucknow"/>
    <s v="Uttar Pradesh"/>
    <s v="2025-02-23"/>
    <s v="36-50"/>
    <n v="235.7"/>
  </r>
  <r>
    <s v="ORD02163"/>
    <d v="2026-03-11T00:00:00"/>
    <s v="CUST0469"/>
    <x v="3"/>
    <x v="10"/>
    <n v="3"/>
    <n v="0"/>
    <n v="165000"/>
    <n v="27000"/>
    <x v="3"/>
    <s v="Delivered"/>
    <n v="55000"/>
    <n v="16.36363636363636"/>
    <s v="Profit"/>
    <s v="Kavya Khan"/>
    <x v="1"/>
    <x v="3"/>
    <s v="Bhubaneswar"/>
    <s v="Odisha"/>
    <s v="2025-06-06"/>
    <s v="26-35"/>
    <n v="9000"/>
  </r>
  <r>
    <s v="ORD02164"/>
    <d v="2026-08-07T00:00:00"/>
    <s v="CUST0122"/>
    <x v="2"/>
    <x v="2"/>
    <n v="2"/>
    <n v="0.1"/>
    <n v="23400"/>
    <n v="4628.6099999999997"/>
    <x v="0"/>
    <s v="Delivered"/>
    <n v="11700"/>
    <n v="19.780384615384609"/>
    <s v="Profit"/>
    <s v="Pooja Pillai"/>
    <x v="1"/>
    <x v="1"/>
    <s v="Pune"/>
    <s v="Maharashtra"/>
    <s v="2023-03-15"/>
    <s v="26-35"/>
    <n v="2314.3049999999998"/>
  </r>
  <r>
    <s v="ORD02165"/>
    <d v="2026-08-10T00:00:00"/>
    <s v="CUST0421"/>
    <x v="2"/>
    <x v="2"/>
    <n v="2"/>
    <n v="0"/>
    <n v="26000"/>
    <n v="6400"/>
    <x v="3"/>
    <s v="Shipped"/>
    <n v="13000"/>
    <n v="24.61538461538462"/>
    <s v="Profit"/>
    <s v="Sneha Iyer"/>
    <x v="0"/>
    <x v="3"/>
    <s v="Guwahati"/>
    <s v="Assam"/>
    <s v="2024-05-14"/>
    <s v="51+"/>
    <n v="3200"/>
  </r>
  <r>
    <s v="ORD02166"/>
    <d v="2026-03-02T00:00:00"/>
    <s v="CUST0479"/>
    <x v="0"/>
    <x v="6"/>
    <n v="1"/>
    <n v="0.15"/>
    <n v="297.5"/>
    <n v="-2.04"/>
    <x v="2"/>
    <s v="Cancelled"/>
    <n v="297.5"/>
    <n v="-0.68571428571428572"/>
    <s v="Loss"/>
    <s v="Rohan Sharma"/>
    <x v="0"/>
    <x v="3"/>
    <s v="Guwahati"/>
    <s v="Assam"/>
    <s v="2023-04-27"/>
    <s v="36-50"/>
    <n v="-2.04"/>
  </r>
  <r>
    <s v="ORD02167"/>
    <d v="2026-06-26T00:00:00"/>
    <s v="CUST0223"/>
    <x v="3"/>
    <x v="4"/>
    <n v="2"/>
    <n v="0.2"/>
    <n v="28800"/>
    <n v="2004.21"/>
    <x v="2"/>
    <s v="Delivered"/>
    <n v="14400"/>
    <n v="6.9590624999999999"/>
    <s v="Profit"/>
    <s v="Akash Bose"/>
    <x v="0"/>
    <x v="0"/>
    <s v="Chennai"/>
    <s v="Tamil Nadu"/>
    <s v="2023-12-31"/>
    <s v="18-25"/>
    <n v="1002.105"/>
  </r>
  <r>
    <s v="ORD02168"/>
    <d v="2026-08-22T00:00:00"/>
    <s v="CUST0255"/>
    <x v="2"/>
    <x v="2"/>
    <n v="2"/>
    <n v="0.15"/>
    <n v="22100"/>
    <n v="-2882.84"/>
    <x v="3"/>
    <s v="Cancelled"/>
    <n v="11050"/>
    <n v="-13.044524886877831"/>
    <s v="Loss"/>
    <s v="Aarav Menon"/>
    <x v="2"/>
    <x v="2"/>
    <s v="Delhi"/>
    <s v="Delhi"/>
    <s v="2025-10-02"/>
    <s v="36-50"/>
    <n v="-1441.42"/>
  </r>
  <r>
    <s v="ORD02169"/>
    <d v="2026-08-03T00:00:00"/>
    <s v="CUST0394"/>
    <x v="0"/>
    <x v="6"/>
    <n v="1"/>
    <n v="0"/>
    <n v="350"/>
    <n v="120"/>
    <x v="3"/>
    <s v="Delivered"/>
    <n v="350"/>
    <n v="34.285714285714278"/>
    <s v="Profit"/>
    <s v="Shreya Nair"/>
    <x v="1"/>
    <x v="2"/>
    <s v="Jaipur"/>
    <s v="Rajasthan"/>
    <s v="2024-07-08"/>
    <s v="26-35"/>
    <n v="120"/>
  </r>
  <r>
    <s v="ORD02170"/>
    <d v="2025-12-09T00:00:00"/>
    <s v="CUST0126"/>
    <x v="0"/>
    <x v="6"/>
    <n v="1"/>
    <n v="0.15"/>
    <n v="297.5"/>
    <n v="93.04"/>
    <x v="3"/>
    <s v="Delivered"/>
    <n v="297.5"/>
    <n v="31.273949579831928"/>
    <s v="Profit"/>
    <s v="Manoj Mehta"/>
    <x v="1"/>
    <x v="0"/>
    <s v="Bengaluru"/>
    <s v="Karnataka"/>
    <s v="2025-10-04"/>
    <s v="36-50"/>
    <n v="93.04"/>
  </r>
  <r>
    <s v="ORD02171"/>
    <d v="2026-02-28T00:00:00"/>
    <s v="CUST0522"/>
    <x v="3"/>
    <x v="4"/>
    <n v="2"/>
    <n v="0.05"/>
    <n v="34200"/>
    <n v="5691.42"/>
    <x v="2"/>
    <s v="Delivered"/>
    <n v="17100"/>
    <n v="16.641578947368419"/>
    <s v="Profit"/>
    <s v="Karthik Joshi"/>
    <x v="2"/>
    <x v="0"/>
    <s v="Bengaluru"/>
    <s v="Karnataka"/>
    <s v="2023-06-28"/>
    <s v="36-50"/>
    <n v="2845.71"/>
  </r>
  <r>
    <s v="ORD02172"/>
    <d v="2026-07-06T00:00:00"/>
    <s v="CUST0083"/>
    <x v="2"/>
    <x v="9"/>
    <n v="1"/>
    <n v="0.05"/>
    <n v="8550"/>
    <n v="2013.08"/>
    <x v="2"/>
    <s v="Delivered"/>
    <n v="8550"/>
    <n v="23.54479532163743"/>
    <s v="Profit"/>
    <s v="Nisha Singh"/>
    <x v="0"/>
    <x v="0"/>
    <s v="Bengaluru"/>
    <s v="Karnataka"/>
    <s v="2024-07-24"/>
    <s v="26-35"/>
    <n v="2013.08"/>
  </r>
  <r>
    <s v="ORD02173"/>
    <d v="2025-12-11T00:00:00"/>
    <s v="CUST0114"/>
    <x v="1"/>
    <x v="1"/>
    <n v="1"/>
    <n v="0.05"/>
    <n v="1710"/>
    <n v="162.96"/>
    <x v="2"/>
    <s v="Cancelled"/>
    <n v="1710"/>
    <n v="9.5298245614035082"/>
    <s v="Profit"/>
    <s v="Aarav Reddy"/>
    <x v="1"/>
    <x v="0"/>
    <s v="Coimbatore"/>
    <s v="Tamil Nadu"/>
    <s v="2023-11-15"/>
    <s v="18-25"/>
    <n v="162.96"/>
  </r>
  <r>
    <s v="ORD02174"/>
    <d v="2026-06-15T00:00:00"/>
    <s v="CUST0028"/>
    <x v="0"/>
    <x v="6"/>
    <n v="10"/>
    <n v="0.2"/>
    <n v="2800"/>
    <n v="801.25"/>
    <x v="3"/>
    <s v="Delivered"/>
    <n v="280"/>
    <n v="28.616071428571431"/>
    <s v="Profit"/>
    <s v="Manoj Menon"/>
    <x v="0"/>
    <x v="1"/>
    <s v="Pune"/>
    <s v="Maharashtra"/>
    <s v="2023-11-15"/>
    <s v="36-50"/>
    <n v="80.125"/>
  </r>
  <r>
    <s v="ORD02175"/>
    <d v="2025-08-28T00:00:00"/>
    <s v="CUST0278"/>
    <x v="0"/>
    <x v="0"/>
    <n v="15"/>
    <n v="0"/>
    <n v="210000"/>
    <n v="42000"/>
    <x v="0"/>
    <s v="Delivered"/>
    <n v="14000"/>
    <n v="20"/>
    <s v="Profit"/>
    <s v="Sneha Mehta"/>
    <x v="1"/>
    <x v="3"/>
    <s v="Guwahati"/>
    <s v="Assam"/>
    <s v="2025-03-21"/>
    <s v="26-35"/>
    <n v="2800"/>
  </r>
  <r>
    <s v="ORD02176"/>
    <d v="2025-09-19T00:00:00"/>
    <s v="CUST0434"/>
    <x v="2"/>
    <x v="9"/>
    <n v="4"/>
    <n v="0.2"/>
    <n v="28800"/>
    <n v="3282.46"/>
    <x v="1"/>
    <s v="Delivered"/>
    <n v="7200"/>
    <n v="11.397430555555561"/>
    <s v="Profit"/>
    <s v="Meera Nair"/>
    <x v="0"/>
    <x v="2"/>
    <s v="Delhi"/>
    <s v="Delhi"/>
    <s v="2023-06-30"/>
    <s v="51+"/>
    <n v="820.61500000000001"/>
  </r>
  <r>
    <s v="ORD02177"/>
    <d v="2025-10-08T00:00:00"/>
    <s v="CUST0235"/>
    <x v="2"/>
    <x v="9"/>
    <n v="1"/>
    <n v="0.1"/>
    <n v="8100"/>
    <n v="1817.34"/>
    <x v="2"/>
    <s v="Delivered"/>
    <n v="8100"/>
    <n v="22.436296296296291"/>
    <s v="Profit"/>
    <s v="Harini Gupta"/>
    <x v="0"/>
    <x v="1"/>
    <s v="Pune"/>
    <s v="Maharashtra"/>
    <s v="2024-04-09"/>
    <s v="26-35"/>
    <n v="1817.34"/>
  </r>
  <r>
    <s v="ORD02178"/>
    <d v="2025-11-10T00:00:00"/>
    <s v="CUST0374"/>
    <x v="3"/>
    <x v="4"/>
    <n v="1"/>
    <n v="0.2"/>
    <n v="14400"/>
    <n v="453.74"/>
    <x v="1"/>
    <s v="Delivered"/>
    <n v="14400"/>
    <n v="3.1509722222222218"/>
    <s v="Profit"/>
    <s v="Ishaan Chopra"/>
    <x v="0"/>
    <x v="0"/>
    <s v="Bengaluru"/>
    <s v="Karnataka"/>
    <s v="2024-09-12"/>
    <s v="18-25"/>
    <n v="453.74"/>
  </r>
  <r>
    <s v="ORD02179"/>
    <d v="2025-11-20T00:00:00"/>
    <s v="CUST0402"/>
    <x v="1"/>
    <x v="15"/>
    <n v="3"/>
    <n v="0.15"/>
    <n v="5610"/>
    <n v="1774.25"/>
    <x v="1"/>
    <s v="Delivered"/>
    <n v="1870"/>
    <n v="31.626559714795011"/>
    <s v="Profit"/>
    <s v="Diya Pillai"/>
    <x v="1"/>
    <x v="0"/>
    <s v="Chennai"/>
    <s v="Tamil Nadu"/>
    <s v="2025-08-08"/>
    <s v="36-50"/>
    <n v="591.41666666666663"/>
  </r>
  <r>
    <s v="ORD02180"/>
    <d v="2025-11-30T00:00:00"/>
    <s v="CUST0209"/>
    <x v="0"/>
    <x v="14"/>
    <n v="4"/>
    <n v="0.1"/>
    <n v="1620"/>
    <n v="321.60000000000002"/>
    <x v="2"/>
    <s v="Delivered"/>
    <n v="405"/>
    <n v="19.851851851851851"/>
    <s v="Profit"/>
    <s v="Rahul Naidu"/>
    <x v="0"/>
    <x v="0"/>
    <s v="Hyderabad"/>
    <s v="Telangana"/>
    <s v="2023-02-09"/>
    <s v="36-50"/>
    <n v="80.400000000000006"/>
  </r>
  <r>
    <s v="ORD02181"/>
    <d v="2026-07-09T00:00:00"/>
    <s v="CUST0429"/>
    <x v="0"/>
    <x v="14"/>
    <n v="1"/>
    <n v="0.1"/>
    <n v="405"/>
    <n v="76.3"/>
    <x v="0"/>
    <s v="Delivered"/>
    <n v="405"/>
    <n v="18.839506172839499"/>
    <s v="Profit"/>
    <s v="Pooja Mishra"/>
    <x v="1"/>
    <x v="3"/>
    <s v="Bhubaneswar"/>
    <s v="Odisha"/>
    <s v="2023-01-22"/>
    <s v="36-50"/>
    <n v="76.3"/>
  </r>
  <r>
    <s v="ORD02182"/>
    <d v="2026-02-15T00:00:00"/>
    <s v="CUST0530"/>
    <x v="1"/>
    <x v="15"/>
    <n v="5"/>
    <n v="0.05"/>
    <n v="10450"/>
    <n v="3315.49"/>
    <x v="0"/>
    <s v="Delivered"/>
    <n v="2090"/>
    <n v="31.727177033492818"/>
    <s v="Profit"/>
    <s v="Harini Chopra"/>
    <x v="2"/>
    <x v="2"/>
    <s v="Delhi"/>
    <s v="Delhi"/>
    <s v="2023-03-04"/>
    <s v="51+"/>
    <n v="663.09799999999996"/>
  </r>
  <r>
    <s v="ORD02183"/>
    <d v="2026-04-19T00:00:00"/>
    <s v="CUST0438"/>
    <x v="1"/>
    <x v="1"/>
    <n v="3"/>
    <n v="0.1"/>
    <n v="4860"/>
    <n v="1502.49"/>
    <x v="2"/>
    <s v="Delivered"/>
    <n v="1620"/>
    <n v="30.915432098765429"/>
    <s v="Profit"/>
    <s v="Diya Nair"/>
    <x v="0"/>
    <x v="3"/>
    <s v="Bhubaneswar"/>
    <s v="Odisha"/>
    <s v="2024-03-15"/>
    <s v="51+"/>
    <n v="500.83"/>
  </r>
  <r>
    <s v="ORD02184"/>
    <d v="2025-11-04T00:00:00"/>
    <s v="CUST0379"/>
    <x v="3"/>
    <x v="8"/>
    <n v="1"/>
    <n v="0"/>
    <n v="4500"/>
    <n v="1500"/>
    <x v="0"/>
    <s v="Delivered"/>
    <n v="4500"/>
    <n v="33.333333333333329"/>
    <s v="Profit"/>
    <s v="Sneha Pillai"/>
    <x v="0"/>
    <x v="1"/>
    <s v="Surat"/>
    <s v="Gujarat"/>
    <s v="2024-06-25"/>
    <s v="18-25"/>
    <n v="1500"/>
  </r>
  <r>
    <s v="ORD02185"/>
    <d v="2026-03-02T00:00:00"/>
    <s v="CUST0220"/>
    <x v="2"/>
    <x v="2"/>
    <n v="5"/>
    <n v="0.05"/>
    <n v="61750"/>
    <n v="14507.38"/>
    <x v="0"/>
    <s v="Delivered"/>
    <n v="12350"/>
    <n v="23.49373279352227"/>
    <s v="Profit"/>
    <s v="Pooja Kulkarni"/>
    <x v="0"/>
    <x v="1"/>
    <s v="Surat"/>
    <s v="Gujarat"/>
    <s v="2024-05-02"/>
    <s v="18-25"/>
    <n v="2901.4760000000001"/>
  </r>
  <r>
    <s v="ORD02186"/>
    <d v="2026-02-12T00:00:00"/>
    <s v="CUST0223"/>
    <x v="2"/>
    <x v="5"/>
    <n v="2"/>
    <n v="0.05"/>
    <n v="20900"/>
    <n v="4539.95"/>
    <x v="0"/>
    <s v="Delivered"/>
    <n v="10450"/>
    <n v="21.72224880382775"/>
    <s v="Profit"/>
    <s v="Akash Bose"/>
    <x v="0"/>
    <x v="0"/>
    <s v="Chennai"/>
    <s v="Tamil Nadu"/>
    <s v="2023-12-31"/>
    <s v="18-25"/>
    <n v="2269.9749999999999"/>
  </r>
  <r>
    <s v="ORD02187"/>
    <d v="2026-03-31T00:00:00"/>
    <s v="CUST0490"/>
    <x v="3"/>
    <x v="8"/>
    <n v="1"/>
    <n v="0"/>
    <n v="4500"/>
    <n v="1500"/>
    <x v="0"/>
    <s v="Delivered"/>
    <n v="4500"/>
    <n v="33.333333333333329"/>
    <s v="Profit"/>
    <s v="Nisha Khan"/>
    <x v="0"/>
    <x v="3"/>
    <s v="Bhubaneswar"/>
    <s v="Odisha"/>
    <s v="2025-08-22"/>
    <s v="51+"/>
    <n v="1500"/>
  </r>
  <r>
    <s v="ORD02188"/>
    <d v="2025-11-17T00:00:00"/>
    <s v="CUST0559"/>
    <x v="0"/>
    <x v="6"/>
    <n v="3"/>
    <n v="0.05"/>
    <n v="997.5"/>
    <n v="332.24"/>
    <x v="2"/>
    <s v="Delivered"/>
    <n v="332.5"/>
    <n v="33.30726817042607"/>
    <s v="Profit"/>
    <s v="Karthik Pillai"/>
    <x v="2"/>
    <x v="1"/>
    <s v="Ahmedabad"/>
    <s v="Gujarat"/>
    <s v="2024-02-26"/>
    <s v="51+"/>
    <n v="110.7466666666667"/>
  </r>
  <r>
    <s v="ORD02189"/>
    <d v="2026-02-04T00:00:00"/>
    <s v="CUST0584"/>
    <x v="1"/>
    <x v="13"/>
    <n v="1"/>
    <n v="0"/>
    <n v="4200"/>
    <n v="1200"/>
    <x v="1"/>
    <s v="Delivered"/>
    <n v="4200"/>
    <n v="28.571428571428569"/>
    <s v="Profit"/>
    <s v="Arjun Das"/>
    <x v="0"/>
    <x v="1"/>
    <s v="Ahmedabad"/>
    <s v="Gujarat"/>
    <s v="2025-11-24"/>
    <s v="18-25"/>
    <n v="1200"/>
  </r>
  <r>
    <s v="ORD02190"/>
    <d v="2026-02-23T00:00:00"/>
    <s v="CUST0203"/>
    <x v="1"/>
    <x v="13"/>
    <n v="1"/>
    <n v="0.15"/>
    <n v="3570"/>
    <n v="822.9"/>
    <x v="1"/>
    <s v="Delivered"/>
    <n v="3570"/>
    <n v="23.05042016806723"/>
    <s v="Profit"/>
    <s v="Arjun Gupta"/>
    <x v="2"/>
    <x v="0"/>
    <s v="Chennai"/>
    <s v="Tamil Nadu"/>
    <s v="2025-03-25"/>
    <s v="36-50"/>
    <n v="822.9"/>
  </r>
  <r>
    <s v="ORD02191"/>
    <d v="2026-07-14T00:00:00"/>
    <s v="CUST0587"/>
    <x v="2"/>
    <x v="2"/>
    <n v="3"/>
    <n v="0.1"/>
    <n v="35100"/>
    <n v="7037.25"/>
    <x v="3"/>
    <s v="Delivered"/>
    <n v="11700"/>
    <n v="20.049145299145302"/>
    <s v="Profit"/>
    <s v="Ishaan Kulkarni"/>
    <x v="2"/>
    <x v="3"/>
    <s v="Guwahati"/>
    <s v="Assam"/>
    <s v="2025-01-05"/>
    <s v="26-35"/>
    <n v="2345.75"/>
  </r>
  <r>
    <s v="ORD02192"/>
    <d v="2026-03-15T00:00:00"/>
    <s v="CUST0300"/>
    <x v="2"/>
    <x v="5"/>
    <n v="3"/>
    <n v="0.1"/>
    <n v="29700"/>
    <n v="5957.55"/>
    <x v="1"/>
    <s v="Delivered"/>
    <n v="9900"/>
    <n v="20.059090909090909"/>
    <s v="Profit"/>
    <s v="Ananya Patel"/>
    <x v="0"/>
    <x v="2"/>
    <s v="Chandigarh"/>
    <s v="Chandigarh"/>
    <s v="2025-08-18"/>
    <s v="18-25"/>
    <n v="1985.85"/>
  </r>
  <r>
    <s v="ORD02193"/>
    <d v="2025-09-21T00:00:00"/>
    <s v="CUST0412"/>
    <x v="0"/>
    <x v="6"/>
    <n v="5"/>
    <n v="0.05"/>
    <n v="1662.5"/>
    <n v="542.66999999999996"/>
    <x v="3"/>
    <s v="Delivered"/>
    <n v="332.5"/>
    <n v="32.641804511278202"/>
    <s v="Profit"/>
    <s v="Akash Khan"/>
    <x v="0"/>
    <x v="0"/>
    <s v="Chennai"/>
    <s v="Tamil Nadu"/>
    <s v="2025-03-27"/>
    <s v="26-35"/>
    <n v="108.53400000000001"/>
  </r>
  <r>
    <s v="ORD02194"/>
    <d v="2025-12-16T00:00:00"/>
    <s v="CUST0516"/>
    <x v="0"/>
    <x v="7"/>
    <n v="2"/>
    <n v="0.1"/>
    <n v="1620"/>
    <n v="432.03"/>
    <x v="1"/>
    <s v="Delivered"/>
    <n v="810"/>
    <n v="26.668518518518521"/>
    <s v="Profit"/>
    <s v="Rahul Mishra"/>
    <x v="1"/>
    <x v="0"/>
    <s v="Hyderabad"/>
    <s v="Telangana"/>
    <s v="2024-01-31"/>
    <s v="26-35"/>
    <n v="216.01499999999999"/>
  </r>
  <r>
    <s v="ORD02195"/>
    <d v="2025-11-22T00:00:00"/>
    <s v="CUST0529"/>
    <x v="1"/>
    <x v="15"/>
    <n v="1"/>
    <n v="0.1"/>
    <n v="1980"/>
    <n v="600.70000000000005"/>
    <x v="0"/>
    <s v="Delivered"/>
    <n v="1980"/>
    <n v="30.338383838383841"/>
    <s v="Profit"/>
    <s v="Ananya Rao"/>
    <x v="1"/>
    <x v="1"/>
    <s v="Surat"/>
    <s v="Gujarat"/>
    <s v="2023-10-24"/>
    <s v="18-25"/>
    <n v="600.70000000000005"/>
  </r>
  <r>
    <s v="ORD02196"/>
    <d v="2026-01-02T00:00:00"/>
    <s v="CUST0170"/>
    <x v="2"/>
    <x v="9"/>
    <n v="5"/>
    <n v="0.1"/>
    <n v="40500"/>
    <n v="9166.43"/>
    <x v="1"/>
    <s v="Shipped"/>
    <n v="8100"/>
    <n v="22.633160493827159"/>
    <s v="Profit"/>
    <s v="Meera Iyer"/>
    <x v="2"/>
    <x v="0"/>
    <s v="Hyderabad"/>
    <s v="Telangana"/>
    <s v="2025-04-02"/>
    <s v="36-50"/>
    <n v="1833.2860000000001"/>
  </r>
  <r>
    <s v="ORD02197"/>
    <d v="2026-06-19T00:00:00"/>
    <s v="CUST0243"/>
    <x v="3"/>
    <x v="11"/>
    <n v="2"/>
    <n v="0"/>
    <n v="5000"/>
    <n v="1600"/>
    <x v="2"/>
    <s v="Delivered"/>
    <n v="2500"/>
    <n v="32"/>
    <s v="Profit"/>
    <s v="Manoj Das"/>
    <x v="1"/>
    <x v="3"/>
    <s v="Kolkata"/>
    <s v="West Bengal"/>
    <s v="2023-02-23"/>
    <s v="26-35"/>
    <n v="800"/>
  </r>
  <r>
    <s v="ORD02198"/>
    <d v="2026-01-08T00:00:00"/>
    <s v="CUST0487"/>
    <x v="0"/>
    <x v="14"/>
    <n v="1"/>
    <n v="0"/>
    <n v="450"/>
    <n v="110"/>
    <x v="0"/>
    <s v="Delivered"/>
    <n v="450"/>
    <n v="24.444444444444439"/>
    <s v="Profit"/>
    <s v="Arjun Mishra"/>
    <x v="0"/>
    <x v="2"/>
    <s v="Jaipur"/>
    <s v="Rajasthan"/>
    <s v="2024-05-23"/>
    <s v="51+"/>
    <n v="110"/>
  </r>
  <r>
    <s v="ORD02199"/>
    <d v="2025-09-22T00:00:00"/>
    <s v="CUST0184"/>
    <x v="1"/>
    <x v="13"/>
    <n v="2"/>
    <n v="0"/>
    <n v="8400"/>
    <n v="95.45"/>
    <x v="1"/>
    <s v="Cancelled"/>
    <n v="4200"/>
    <n v="1.136309523809524"/>
    <s v="Profit"/>
    <s v="Rahul Iyer"/>
    <x v="2"/>
    <x v="2"/>
    <s v="Jaipur"/>
    <s v="Rajasthan"/>
    <s v="2024-10-21"/>
    <s v="18-25"/>
    <n v="47.725000000000001"/>
  </r>
  <r>
    <s v="ORD02200"/>
    <d v="2025-12-25T00:00:00"/>
    <s v="CUST0028"/>
    <x v="1"/>
    <x v="12"/>
    <n v="3"/>
    <n v="0.15"/>
    <n v="3570"/>
    <n v="976.75"/>
    <x v="3"/>
    <s v="Delivered"/>
    <n v="1190"/>
    <n v="27.35994397759104"/>
    <s v="Profit"/>
    <s v="Manoj Menon"/>
    <x v="0"/>
    <x v="1"/>
    <s v="Pune"/>
    <s v="Maharashtra"/>
    <s v="2023-11-15"/>
    <s v="36-50"/>
    <n v="325.58333333333331"/>
  </r>
  <r>
    <s v="ORD02202"/>
    <d v="2025-11-19T00:00:00"/>
    <s v="CUST0364"/>
    <x v="3"/>
    <x v="10"/>
    <n v="2"/>
    <n v="0.2"/>
    <n v="88000"/>
    <n v="-32528.080000000002"/>
    <x v="2"/>
    <s v="Cancelled"/>
    <n v="44000"/>
    <n v="-36.963727272727283"/>
    <s v="Loss"/>
    <s v="Varun Bose"/>
    <x v="0"/>
    <x v="2"/>
    <s v="Delhi"/>
    <s v="Delhi"/>
    <s v="2024-10-25"/>
    <s v="18-25"/>
    <n v="-16264.04"/>
  </r>
  <r>
    <s v="ORD02203"/>
    <d v="2025-08-15T00:00:00"/>
    <s v="CUST0228"/>
    <x v="3"/>
    <x v="10"/>
    <n v="4"/>
    <n v="0.05"/>
    <n v="209000"/>
    <n v="30622.01"/>
    <x v="2"/>
    <s v="Delivered"/>
    <n v="52250"/>
    <n v="14.651679425837321"/>
    <s v="Profit"/>
    <s v="Rohan Reddy"/>
    <x v="2"/>
    <x v="0"/>
    <s v="Coimbatore"/>
    <s v="Tamil Nadu"/>
    <s v="2025-11-28"/>
    <s v="36-50"/>
    <n v="7655.5024999999996"/>
  </r>
  <r>
    <s v="ORD02204"/>
    <d v="2025-07-15T00:00:00"/>
    <s v="CUST0264"/>
    <x v="2"/>
    <x v="2"/>
    <n v="6"/>
    <n v="0.2"/>
    <n v="62400"/>
    <n v="7172.89"/>
    <x v="1"/>
    <s v="Delivered"/>
    <n v="10400"/>
    <n v="11.49501602564103"/>
    <s v="Profit"/>
    <s v="Sneha Kulkarni"/>
    <x v="1"/>
    <x v="0"/>
    <s v="Chennai"/>
    <s v="Tamil Nadu"/>
    <s v="2024-02-11"/>
    <s v="51+"/>
    <n v="1195.481666666667"/>
  </r>
  <r>
    <s v="ORD02205"/>
    <d v="2025-09-03T00:00:00"/>
    <s v="CUST0160"/>
    <x v="3"/>
    <x v="4"/>
    <n v="1"/>
    <n v="0"/>
    <n v="18000"/>
    <n v="3500"/>
    <x v="2"/>
    <s v="Delivered"/>
    <n v="18000"/>
    <n v="19.44444444444445"/>
    <s v="Profit"/>
    <s v="Divya Sharma"/>
    <x v="2"/>
    <x v="0"/>
    <s v="Bengaluru"/>
    <s v="Karnataka"/>
    <s v="2024-09-25"/>
    <s v="18-25"/>
    <n v="3500"/>
  </r>
  <r>
    <s v="ORD02206"/>
    <d v="2025-10-23T00:00:00"/>
    <s v="CUST0023"/>
    <x v="1"/>
    <x v="13"/>
    <n v="1"/>
    <n v="0"/>
    <n v="4200"/>
    <n v="1200"/>
    <x v="1"/>
    <s v="Delivered"/>
    <n v="4200"/>
    <n v="28.571428571428569"/>
    <s v="Profit"/>
    <s v="Diya Naidu"/>
    <x v="0"/>
    <x v="3"/>
    <s v="Guwahati"/>
    <s v="Assam"/>
    <s v="2024-03-23"/>
    <s v="36-50"/>
    <n v="1200"/>
  </r>
  <r>
    <s v="ORD02207"/>
    <d v="2026-08-30T00:00:00"/>
    <s v="CUST0555"/>
    <x v="1"/>
    <x v="13"/>
    <n v="1"/>
    <n v="0"/>
    <n v="4200"/>
    <n v="-246.64"/>
    <x v="1"/>
    <s v="Cancelled"/>
    <n v="4200"/>
    <n v="-5.8723809523809516"/>
    <s v="Loss"/>
    <s v="Aarav Mehta"/>
    <x v="0"/>
    <x v="0"/>
    <s v="Coimbatore"/>
    <s v="Tamil Nadu"/>
    <s v="2023-05-19"/>
    <s v="51+"/>
    <n v="-246.64"/>
  </r>
  <r>
    <s v="ORD02208"/>
    <d v="2025-11-21T00:00:00"/>
    <s v="CUST0019"/>
    <x v="3"/>
    <x v="4"/>
    <n v="5"/>
    <n v="0.1"/>
    <n v="81000"/>
    <n v="10099.629999999999"/>
    <x v="2"/>
    <s v="Delivered"/>
    <n v="16200"/>
    <n v="12.46867901234568"/>
    <s v="Profit"/>
    <s v="Ishaan Pillai"/>
    <x v="0"/>
    <x v="1"/>
    <s v="Ahmedabad"/>
    <s v="Gujarat"/>
    <s v="2023-06-28"/>
    <s v="36-50"/>
    <n v="2019.9259999999999"/>
  </r>
  <r>
    <s v="ORD02209"/>
    <d v="2026-05-11T00:00:00"/>
    <s v="CUST0468"/>
    <x v="0"/>
    <x v="6"/>
    <n v="4"/>
    <n v="0.05"/>
    <n v="1330"/>
    <n v="444.12"/>
    <x v="0"/>
    <s v="Delivered"/>
    <n v="332.5"/>
    <n v="33.39248120300752"/>
    <s v="Profit"/>
    <s v="Lakshmi Mehta"/>
    <x v="1"/>
    <x v="0"/>
    <s v="Chennai"/>
    <s v="Tamil Nadu"/>
    <s v="2023-03-02"/>
    <s v="26-35"/>
    <n v="111.03"/>
  </r>
  <r>
    <s v="ORD02210"/>
    <d v="2025-08-28T00:00:00"/>
    <s v="CUST0573"/>
    <x v="2"/>
    <x v="5"/>
    <n v="3"/>
    <n v="0.1"/>
    <n v="29700"/>
    <n v="5342.38"/>
    <x v="2"/>
    <s v="Delivered"/>
    <n v="9900"/>
    <n v="17.987811447811449"/>
    <s v="Profit"/>
    <s v="Aditya Pillai"/>
    <x v="0"/>
    <x v="1"/>
    <s v="Surat"/>
    <s v="Gujarat"/>
    <s v="2024-03-11"/>
    <s v="18-25"/>
    <n v="1780.7933333333331"/>
  </r>
  <r>
    <s v="ORD02211"/>
    <d v="2026-01-18T00:00:00"/>
    <s v="CUST0086"/>
    <x v="0"/>
    <x v="14"/>
    <n v="2"/>
    <n v="0.1"/>
    <n v="810"/>
    <n v="-425.29"/>
    <x v="1"/>
    <s v="Returned"/>
    <n v="405"/>
    <n v="-52.504938271604942"/>
    <s v="Loss"/>
    <s v="Pooja Khan"/>
    <x v="2"/>
    <x v="1"/>
    <s v=" Chennai "/>
    <s v="Maharashtra"/>
    <s v="2023-05-28"/>
    <s v="36-50"/>
    <n v="-212.64500000000001"/>
  </r>
  <r>
    <s v="ORD02212"/>
    <d v="2026-08-05T00:00:00"/>
    <s v="CUST0142"/>
    <x v="0"/>
    <x v="7"/>
    <n v="3"/>
    <n v="0"/>
    <n v="2700"/>
    <n v="840"/>
    <x v="3"/>
    <s v="Delivered"/>
    <n v="900"/>
    <n v="31.111111111111111"/>
    <s v="Profit"/>
    <s v="Pooja Bose"/>
    <x v="0"/>
    <x v="1"/>
    <s v="Surat"/>
    <s v="Gujarat"/>
    <s v="2025-05-21"/>
    <s v="51+"/>
    <n v="280"/>
  </r>
  <r>
    <s v="ORD02213"/>
    <d v="2025-10-17T00:00:00"/>
    <s v="CUST0425"/>
    <x v="0"/>
    <x v="6"/>
    <n v="1"/>
    <n v="0.15"/>
    <n v="297.5"/>
    <n v="86.29"/>
    <x v="3"/>
    <s v="Delivered"/>
    <n v="297.5"/>
    <n v="29.00504201680673"/>
    <s v="Profit"/>
    <s v="Lakshmi Mishra"/>
    <x v="0"/>
    <x v="3"/>
    <s v="Bhubaneswar"/>
    <s v="Odisha"/>
    <s v="2024-08-12"/>
    <s v="26-35"/>
    <n v="86.29"/>
  </r>
  <r>
    <s v="ORD02214"/>
    <d v="2026-06-24T00:00:00"/>
    <s v="CUST0540"/>
    <x v="2"/>
    <x v="3"/>
    <n v="5"/>
    <n v="0.1"/>
    <n v="67500"/>
    <n v="12818.44"/>
    <x v="0"/>
    <s v="Delivered"/>
    <n v="13500"/>
    <n v="18.990281481481482"/>
    <s v="Profit"/>
    <s v="Kavya Rao"/>
    <x v="0"/>
    <x v="0"/>
    <s v="Chennai"/>
    <s v="Tamil Nadu"/>
    <s v="2023-09-30"/>
    <s v="18-25"/>
    <n v="2563.6880000000001"/>
  </r>
  <r>
    <s v="ORD02215"/>
    <d v="2025-09-03T00:00:00"/>
    <s v="CUST0113"/>
    <x v="3"/>
    <x v="4"/>
    <n v="2"/>
    <n v="0.15"/>
    <n v="30600"/>
    <n v="2657.37"/>
    <x v="0"/>
    <s v="Delivered"/>
    <n v="15300"/>
    <n v="8.6842156862745092"/>
    <s v="Profit"/>
    <s v="Diya Pillai"/>
    <x v="2"/>
    <x v="1"/>
    <s v="Ahmedabad"/>
    <s v="Gujarat"/>
    <s v="2024-08-29"/>
    <s v="26-35"/>
    <n v="1328.6849999999999"/>
  </r>
  <r>
    <s v="ORD02216"/>
    <d v="2026-06-12T00:00:00"/>
    <s v="CUST0182"/>
    <x v="0"/>
    <x v="6"/>
    <n v="1"/>
    <n v="0.15"/>
    <n v="297.5"/>
    <n v="95.97"/>
    <x v="0"/>
    <s v="Delivered"/>
    <n v="297.5"/>
    <n v="32.258823529411757"/>
    <s v="Profit"/>
    <s v="Shreya Iyer"/>
    <x v="2"/>
    <x v="3"/>
    <s v="Patna"/>
    <s v="Bihar"/>
    <s v="2023-07-03"/>
    <s v="36-50"/>
    <n v="95.97"/>
  </r>
  <r>
    <s v="ORD02217"/>
    <d v="2026-01-21T00:00:00"/>
    <s v="CUST0048"/>
    <x v="0"/>
    <x v="6"/>
    <n v="1"/>
    <n v="0.15"/>
    <n v="297.5"/>
    <n v="87.66"/>
    <x v="2"/>
    <s v="Delivered"/>
    <n v="297.5"/>
    <n v="29.46554621848739"/>
    <s v="Profit"/>
    <s v="Rohan Das"/>
    <x v="0"/>
    <x v="1"/>
    <s v="Ahmedabad"/>
    <s v="Gujarat"/>
    <s v="2025-04-11"/>
    <s v="26-35"/>
    <n v="87.66"/>
  </r>
  <r>
    <s v="ORD02218"/>
    <d v="2026-04-12T00:00:00"/>
    <s v="CUST0232"/>
    <x v="3"/>
    <x v="8"/>
    <n v="3"/>
    <n v="0.1"/>
    <n v="12150"/>
    <n v="3802.01"/>
    <x v="1"/>
    <s v="Shipped"/>
    <n v="4050"/>
    <n v="31.2922633744856"/>
    <s v="Profit"/>
    <s v="Priya Menon"/>
    <x v="0"/>
    <x v="1"/>
    <s v="Pune"/>
    <s v="Maharashtra"/>
    <s v="2024-06-24"/>
    <s v="18-25"/>
    <n v="1267.336666666667"/>
  </r>
  <r>
    <s v="ORD02219"/>
    <d v="2025-12-24T00:00:00"/>
    <s v="CUST0371"/>
    <x v="0"/>
    <x v="14"/>
    <n v="2"/>
    <n v="0.05"/>
    <n v="855"/>
    <n v="188.54"/>
    <x v="0"/>
    <s v="Delivered"/>
    <n v="427.5"/>
    <n v="22.051461988304091"/>
    <s v="Profit"/>
    <s v="Karthik Naidu"/>
    <x v="1"/>
    <x v="2"/>
    <s v="Jaipur"/>
    <s v="Rajasthan"/>
    <s v="2023-09-13"/>
    <s v="18-25"/>
    <n v="94.27"/>
  </r>
  <r>
    <s v="ORD02220"/>
    <d v="2026-04-22T00:00:00"/>
    <s v="CUST0139"/>
    <x v="3"/>
    <x v="10"/>
    <n v="1"/>
    <n v="0.1"/>
    <n v="49500"/>
    <n v="5806.48"/>
    <x v="3"/>
    <s v="Delivered"/>
    <n v="49500"/>
    <n v="11.730262626262631"/>
    <s v="Profit"/>
    <s v="Lakshmi Das"/>
    <x v="1"/>
    <x v="1"/>
    <s v="Surat"/>
    <s v="Gujarat"/>
    <s v="2023-05-25"/>
    <s v="36-50"/>
    <n v="5806.48"/>
  </r>
  <r>
    <s v="ORD02221"/>
    <d v="2025-10-26T00:00:00"/>
    <s v="CUST0129"/>
    <x v="3"/>
    <x v="10"/>
    <n v="4"/>
    <n v="0"/>
    <n v="220000"/>
    <n v="36000"/>
    <x v="0"/>
    <s v="Delivered"/>
    <n v="55000"/>
    <n v="16.36363636363636"/>
    <s v="Profit"/>
    <s v="Varun Patel"/>
    <x v="0"/>
    <x v="3"/>
    <s v="Kolkata"/>
    <s v="West Bengal"/>
    <s v="2024-08-22"/>
    <s v="51+"/>
    <n v="9000"/>
  </r>
  <r>
    <s v="ORD02222"/>
    <d v="2025-12-16T00:00:00"/>
    <s v="CUST0192"/>
    <x v="3"/>
    <x v="11"/>
    <n v="6"/>
    <n v="0"/>
    <n v="15000"/>
    <n v="4800"/>
    <x v="2"/>
    <s v="Delivered"/>
    <n v="2500"/>
    <n v="32"/>
    <s v="Profit"/>
    <s v="Kavya Verma"/>
    <x v="2"/>
    <x v="3"/>
    <s v="Bhubaneswar"/>
    <s v="Odisha"/>
    <s v="2023-06-15"/>
    <s v="36-50"/>
    <n v="800"/>
  </r>
  <r>
    <s v="ORD02223"/>
    <d v="2025-07-16T00:00:00"/>
    <s v="CUST0440"/>
    <x v="2"/>
    <x v="2"/>
    <n v="4"/>
    <n v="0"/>
    <n v="52000"/>
    <n v="12800"/>
    <x v="1"/>
    <s v="Shipped"/>
    <n v="13000"/>
    <n v="24.61538461538462"/>
    <s v="Profit"/>
    <s v="Harini Sharma"/>
    <x v="1"/>
    <x v="0"/>
    <s v="Hyderabad"/>
    <s v="Telangana"/>
    <s v="2024-06-03"/>
    <s v="18-25"/>
    <n v="3200"/>
  </r>
  <r>
    <s v="ORD02224"/>
    <d v="2025-07-21T00:00:00"/>
    <s v="CUST0562"/>
    <x v="0"/>
    <x v="7"/>
    <n v="1"/>
    <n v="0.05"/>
    <n v="855"/>
    <n v="244.04"/>
    <x v="1"/>
    <s v="Delivered"/>
    <n v="855"/>
    <n v="28.542690058479529"/>
    <s v="Profit"/>
    <s v="Shreya Das"/>
    <x v="0"/>
    <x v="2"/>
    <s v="Chandigarh"/>
    <s v="Chandigarh"/>
    <s v="2024-05-03"/>
    <s v="36-50"/>
    <n v="244.04"/>
  </r>
  <r>
    <s v="ORD02225"/>
    <d v="2026-04-20T00:00:00"/>
    <s v="CUST0404"/>
    <x v="0"/>
    <x v="14"/>
    <n v="3"/>
    <n v="0.2"/>
    <n v="1080"/>
    <n v="147.81"/>
    <x v="1"/>
    <s v="Delivered"/>
    <n v="360"/>
    <n v="13.68611111111111"/>
    <s v="Profit"/>
    <s v="Pooja Kulkarni"/>
    <x v="0"/>
    <x v="1"/>
    <s v="Ahmedabad"/>
    <s v="Gujarat"/>
    <s v="2025-04-01"/>
    <s v="36-50"/>
    <n v="49.27"/>
  </r>
  <r>
    <s v="ORD02226"/>
    <d v="2026-04-24T00:00:00"/>
    <s v="CUST0020"/>
    <x v="3"/>
    <x v="10"/>
    <n v="1"/>
    <n v="0.2"/>
    <n v="44000"/>
    <n v="1668.58"/>
    <x v="2"/>
    <s v="Delivered"/>
    <n v="44000"/>
    <n v="3.7922272727272728"/>
    <s v="Profit"/>
    <s v="Aarav Pillai"/>
    <x v="0"/>
    <x v="2"/>
    <s v="Lucknow"/>
    <s v="Uttar Pradesh"/>
    <s v="2025-11-30"/>
    <s v="26-35"/>
    <n v="1668.58"/>
  </r>
  <r>
    <s v="ORD02227"/>
    <d v="2025-07-08T00:00:00"/>
    <s v="CUST0066"/>
    <x v="2"/>
    <x v="9"/>
    <n v="1"/>
    <n v="0.3"/>
    <n v="6300"/>
    <n v="617.22"/>
    <x v="3"/>
    <s v="Delivered"/>
    <n v="6300"/>
    <n v="9.7971428571428572"/>
    <s v="Profit"/>
    <s v="Aarav Gupta"/>
    <x v="0"/>
    <x v="2"/>
    <s v="Jaipur"/>
    <s v="Rajasthan"/>
    <s v="2024-06-18"/>
    <s v="51+"/>
    <n v="617.22"/>
  </r>
  <r>
    <s v="ORD02228"/>
    <d v="2025-11-11T00:00:00"/>
    <s v="CUST0524"/>
    <x v="1"/>
    <x v="1"/>
    <n v="3"/>
    <n v="0"/>
    <n v="5400"/>
    <n v="1950"/>
    <x v="3"/>
    <s v="Delivered"/>
    <n v="1800"/>
    <n v="36.111111111111107"/>
    <s v="Profit"/>
    <s v="Pooja Mehta"/>
    <x v="0"/>
    <x v="1"/>
    <s v="Ahmedabad"/>
    <s v="Gujarat"/>
    <s v="2023-03-20"/>
    <s v="36-50"/>
    <n v="650"/>
  </r>
  <r>
    <s v="ORD02229"/>
    <d v="2025-08-04T00:00:00"/>
    <s v="CUST0093"/>
    <x v="3"/>
    <x v="8"/>
    <n v="1"/>
    <n v="0.1"/>
    <n v="4050"/>
    <n v="-725.82"/>
    <x v="1"/>
    <s v="Returned"/>
    <n v="4050"/>
    <n v="-17.921481481481479"/>
    <s v="Loss"/>
    <s v="Sanjay Rao"/>
    <x v="0"/>
    <x v="3"/>
    <s v="Kolkata"/>
    <s v="West Bengal"/>
    <s v="2023-12-13"/>
    <s v="26-35"/>
    <n v="-725.82"/>
  </r>
  <r>
    <s v="ORD02230"/>
    <d v="2026-07-14T00:00:00"/>
    <s v="CUST0028"/>
    <x v="1"/>
    <x v="12"/>
    <n v="2"/>
    <n v="0.1"/>
    <n v="2520"/>
    <n v="771.8"/>
    <x v="3"/>
    <s v="Delivered"/>
    <n v="1260"/>
    <n v="30.62698412698413"/>
    <s v="Profit"/>
    <s v="Manoj Menon"/>
    <x v="0"/>
    <x v="1"/>
    <s v="Pune"/>
    <s v="Maharashtra"/>
    <s v="2023-11-15"/>
    <s v="36-50"/>
    <n v="385.9"/>
  </r>
  <r>
    <s v="ORD02231"/>
    <d v="2026-05-04T00:00:00"/>
    <s v="CUST0520"/>
    <x v="2"/>
    <x v="5"/>
    <n v="10"/>
    <n v="0.05"/>
    <n v="104500"/>
    <n v="21974.19"/>
    <x v="1"/>
    <s v="Delivered"/>
    <n v="10450"/>
    <n v="21.027933014354069"/>
    <s v="Profit"/>
    <s v="Karthik Chopra"/>
    <x v="0"/>
    <x v="0"/>
    <s v="Chennai"/>
    <s v="Tamil Nadu"/>
    <s v="2023-12-09"/>
    <s v="26-35"/>
    <n v="2197.4189999999999"/>
  </r>
  <r>
    <s v="ORD02232"/>
    <d v="2026-02-27T00:00:00"/>
    <s v="CUST0577"/>
    <x v="1"/>
    <x v="13"/>
    <n v="1"/>
    <n v="0"/>
    <n v="4200"/>
    <n v="1200"/>
    <x v="0"/>
    <s v="Delivered"/>
    <n v="4200"/>
    <n v="28.571428571428569"/>
    <s v="Profit"/>
    <s v="Lakshmi Joshi"/>
    <x v="1"/>
    <x v="1"/>
    <s v="Ahmedabad"/>
    <s v="Gujarat"/>
    <s v="2024-09-03"/>
    <s v="26-35"/>
    <n v="1200"/>
  </r>
  <r>
    <s v="ORD02233"/>
    <d v="2026-08-18T00:00:00"/>
    <s v="CUST0190"/>
    <x v="0"/>
    <x v="14"/>
    <n v="4"/>
    <n v="0.15"/>
    <n v="1530"/>
    <n v="277.76"/>
    <x v="2"/>
    <s v="Delivered"/>
    <n v="382.5"/>
    <n v="18.154248366013071"/>
    <s v="Profit"/>
    <s v="Rohan Naidu"/>
    <x v="0"/>
    <x v="0"/>
    <s v="Coimbatore"/>
    <s v="Tamil Nadu"/>
    <s v="2023-02-24"/>
    <s v="26-35"/>
    <n v="69.44"/>
  </r>
  <r>
    <s v="ORD02234"/>
    <d v="2026-05-24T00:00:00"/>
    <s v="CUST0083"/>
    <x v="2"/>
    <x v="3"/>
    <n v="2"/>
    <n v="0.1"/>
    <n v="27000"/>
    <n v="4743.1499999999996"/>
    <x v="3"/>
    <s v="Delivered"/>
    <n v="13500"/>
    <n v="17.56722222222222"/>
    <s v="Profit"/>
    <s v="Nisha Singh"/>
    <x v="0"/>
    <x v="0"/>
    <s v="Bengaluru"/>
    <s v="Karnataka"/>
    <s v="2024-07-24"/>
    <s v="26-35"/>
    <n v="2371.5749999999998"/>
  </r>
  <r>
    <s v="ORD02235"/>
    <d v="2025-09-29T00:00:00"/>
    <s v="CUST0528"/>
    <x v="3"/>
    <x v="4"/>
    <n v="2"/>
    <n v="0.1"/>
    <n v="32400"/>
    <n v="4473.12"/>
    <x v="0"/>
    <s v="Delivered"/>
    <n v="16200"/>
    <n v="13.805925925925919"/>
    <s v="Profit"/>
    <s v="Karthik Menon"/>
    <x v="0"/>
    <x v="0"/>
    <s v="Chennai"/>
    <s v="Tamil Nadu"/>
    <s v="2024-07-24"/>
    <s v="36-50"/>
    <n v="2236.56"/>
  </r>
  <r>
    <s v="ORD02236"/>
    <d v="2025-12-01T00:00:00"/>
    <s v="CUST0555"/>
    <x v="2"/>
    <x v="5"/>
    <n v="4"/>
    <n v="0.2"/>
    <n v="35200"/>
    <n v="5326.38"/>
    <x v="1"/>
    <s v="Delivered"/>
    <n v="8800"/>
    <n v="15.131761363636359"/>
    <s v="Profit"/>
    <s v="Aarav Mehta"/>
    <x v="0"/>
    <x v="0"/>
    <s v="Coimbatore"/>
    <s v="Tamil Nadu"/>
    <s v="2023-05-19"/>
    <s v="51+"/>
    <n v="1331.595"/>
  </r>
  <r>
    <s v="ORD02237"/>
    <d v="2026-01-07T00:00:00"/>
    <s v="CUST0104"/>
    <x v="2"/>
    <x v="3"/>
    <n v="6"/>
    <n v="0"/>
    <n v="90000"/>
    <n v="21000"/>
    <x v="3"/>
    <s v="Delivered"/>
    <n v="15000"/>
    <n v="23.333333333333329"/>
    <s v="Profit"/>
    <s v="Karthik Gupta"/>
    <x v="0"/>
    <x v="2"/>
    <s v="Delhi"/>
    <s v="Delhi"/>
    <s v="2024-07-15"/>
    <s v="36-50"/>
    <n v="3500"/>
  </r>
  <r>
    <s v="ORD02238"/>
    <d v="2026-02-24T00:00:00"/>
    <s v="CUST0332"/>
    <x v="0"/>
    <x v="14"/>
    <n v="3"/>
    <n v="0.15"/>
    <n v="1147.5"/>
    <n v="-370.71"/>
    <x v="2"/>
    <s v="Cancelled"/>
    <n v="382.5"/>
    <n v="-32.305882352941182"/>
    <s v="Loss"/>
    <s v="Vikram Rao"/>
    <x v="1"/>
    <x v="0"/>
    <s v="Coimbatore"/>
    <s v="Tamil Nadu"/>
    <s v="2023-07-04"/>
    <s v="26-35"/>
    <n v="-123.57"/>
  </r>
  <r>
    <s v="ORD02239"/>
    <d v="2026-05-09T00:00:00"/>
    <s v="CUST0042"/>
    <x v="3"/>
    <x v="11"/>
    <n v="3"/>
    <n v="0.15"/>
    <n v="6375"/>
    <n v="1777.87"/>
    <x v="3"/>
    <s v="Delivered"/>
    <n v="2125"/>
    <n v="27.888156862745099"/>
    <s v="Profit"/>
    <s v="Vikram Khan"/>
    <x v="0"/>
    <x v="1"/>
    <s v="Pune"/>
    <s v="Maharashtra"/>
    <s v="2025-04-16"/>
    <s v="18-25"/>
    <n v="592.62333333333333"/>
  </r>
  <r>
    <s v="ORD02240"/>
    <d v="2026-03-30T00:00:00"/>
    <s v="CUST0162"/>
    <x v="3"/>
    <x v="11"/>
    <n v="4"/>
    <n v="0"/>
    <n v="10000"/>
    <n v="-122.31"/>
    <x v="1"/>
    <s v="Cancelled"/>
    <n v="2500"/>
    <n v="-1.2231000000000001"/>
    <s v="Loss"/>
    <s v="Lakshmi Bose"/>
    <x v="0"/>
    <x v="0"/>
    <s v="Bengaluru"/>
    <s v="Karnataka"/>
    <s v="2025-06-13"/>
    <s v="26-35"/>
    <n v="-30.577500000000001"/>
  </r>
  <r>
    <s v="ORD02241"/>
    <d v="2026-02-23T00:00:00"/>
    <s v="CUST0222"/>
    <x v="2"/>
    <x v="3"/>
    <n v="3"/>
    <n v="0.1"/>
    <n v="40500"/>
    <n v="7227.54"/>
    <x v="1"/>
    <s v="Delivered"/>
    <n v="13500"/>
    <n v="17.84577777777778"/>
    <s v="Profit"/>
    <s v="Nisha Mehta"/>
    <x v="2"/>
    <x v="1"/>
    <s v="Mumbai"/>
    <s v="Maharashtra"/>
    <s v="2025-08-16"/>
    <s v="26-35"/>
    <n v="2409.1799999999998"/>
  </r>
  <r>
    <s v="ORD02242"/>
    <d v="2025-07-14T00:00:00"/>
    <s v="CUST0338"/>
    <x v="0"/>
    <x v="14"/>
    <n v="15"/>
    <n v="0.15"/>
    <n v="5737.5"/>
    <n v="849.68"/>
    <x v="0"/>
    <s v="Delivered"/>
    <n v="382.5"/>
    <n v="14.809237472766879"/>
    <s v="Profit"/>
    <s v="Kavya Bose"/>
    <x v="1"/>
    <x v="0"/>
    <s v="Hyderabad"/>
    <s v="Telangana"/>
    <s v="2024-10-27"/>
    <s v="26-35"/>
    <n v="56.645333333333333"/>
  </r>
  <r>
    <s v="ORD02243"/>
    <d v="2026-06-09T00:00:00"/>
    <s v="CUST0037"/>
    <x v="0"/>
    <x v="0"/>
    <n v="4"/>
    <n v="0"/>
    <n v="56000"/>
    <n v="11200"/>
    <x v="0"/>
    <s v="Delivered"/>
    <n v="14000"/>
    <n v="20"/>
    <s v="Profit"/>
    <s v="Aarav Iyer"/>
    <x v="0"/>
    <x v="1"/>
    <s v="Pune"/>
    <s v="Maharashtra"/>
    <s v="2024-02-21"/>
    <s v="26-35"/>
    <n v="2800"/>
  </r>
  <r>
    <s v="ORD02244"/>
    <d v="2025-10-02T00:00:00"/>
    <s v="CUST0537"/>
    <x v="0"/>
    <x v="6"/>
    <n v="2"/>
    <n v="0.15"/>
    <n v="595"/>
    <n v="155.44999999999999"/>
    <x v="3"/>
    <s v="Delivered"/>
    <n v="297.5"/>
    <n v="26.12605042016807"/>
    <s v="Profit"/>
    <s v="Vikram Pillai"/>
    <x v="0"/>
    <x v="0"/>
    <s v="Bengaluru"/>
    <s v="Karnataka"/>
    <s v="2023-11-18"/>
    <s v="26-35"/>
    <n v="77.724999999999994"/>
  </r>
  <r>
    <s v="ORD02245"/>
    <d v="2025-09-19T00:00:00"/>
    <s v="CUST0586"/>
    <x v="1"/>
    <x v="12"/>
    <n v="2"/>
    <n v="0"/>
    <n v="2800"/>
    <n v="1000"/>
    <x v="3"/>
    <s v="Delivered"/>
    <n v="1400"/>
    <n v="35.714285714285722"/>
    <s v="Profit"/>
    <s v="Sanjay Mehta"/>
    <x v="1"/>
    <x v="0"/>
    <s v="Chennai"/>
    <s v="Tamil Nadu"/>
    <s v="2023-09-11"/>
    <s v="26-35"/>
    <n v="500"/>
  </r>
  <r>
    <s v="ORD02246"/>
    <d v="2025-10-22T00:00:00"/>
    <s v="CUST0176"/>
    <x v="1"/>
    <x v="12"/>
    <n v="2"/>
    <n v="0.05"/>
    <n v="2660"/>
    <n v="936.63"/>
    <x v="2"/>
    <s v="Delivered"/>
    <n v="1330"/>
    <n v="35.211654135338343"/>
    <s v="Profit"/>
    <s v="Diya Patel"/>
    <x v="0"/>
    <x v="2"/>
    <s v="Jaipur"/>
    <s v="Rajasthan"/>
    <s v="2023-08-21"/>
    <s v="26-35"/>
    <n v="468.315"/>
  </r>
  <r>
    <s v="ORD02247"/>
    <d v="2025-07-14T00:00:00"/>
    <s v="CUST0216"/>
    <x v="1"/>
    <x v="13"/>
    <n v="1"/>
    <n v="0.1"/>
    <n v="3780"/>
    <n v="945.14"/>
    <x v="2"/>
    <s v="Delivered"/>
    <n v="3780"/>
    <n v="25.00370370370371"/>
    <s v="Profit"/>
    <s v="Karthik Mishra"/>
    <x v="0"/>
    <x v="0"/>
    <s v="Hyderabad"/>
    <s v="Telangana"/>
    <s v="2024-06-25"/>
    <s v="26-35"/>
    <n v="945.14"/>
  </r>
  <r>
    <s v="ORD02248"/>
    <d v="2026-04-25T00:00:00"/>
    <s v="CUST0096"/>
    <x v="2"/>
    <x v="2"/>
    <n v="6"/>
    <n v="0"/>
    <n v="78000"/>
    <n v="19200"/>
    <x v="0"/>
    <s v="Delivered"/>
    <n v="13000"/>
    <n v="24.61538461538462"/>
    <s v="Profit"/>
    <s v="Harini Bose"/>
    <x v="1"/>
    <x v="1"/>
    <s v="Pune"/>
    <s v="Maharashtra"/>
    <s v="2025-01-14"/>
    <s v="51+"/>
    <n v="3200"/>
  </r>
  <r>
    <s v="ORD02249"/>
    <d v="2025-11-08T00:00:00"/>
    <s v="CUST0528"/>
    <x v="3"/>
    <x v="11"/>
    <n v="5"/>
    <n v="0.05"/>
    <n v="11875"/>
    <n v="-3385.96"/>
    <x v="0"/>
    <s v="Returned"/>
    <n v="2375"/>
    <n v="-28.513347368421051"/>
    <s v="Loss"/>
    <s v="Karthik Menon"/>
    <x v="0"/>
    <x v="0"/>
    <s v="Chennai"/>
    <s v="Tamil Nadu"/>
    <s v="2024-07-24"/>
    <s v="36-50"/>
    <n v="-677.19200000000001"/>
  </r>
  <r>
    <s v="ORD02250"/>
    <d v="2025-10-17T00:00:00"/>
    <s v="CUST0404"/>
    <x v="3"/>
    <x v="4"/>
    <n v="1"/>
    <n v="0.05"/>
    <n v="17100"/>
    <n v="3057.9"/>
    <x v="0"/>
    <s v="Delivered"/>
    <n v="17100"/>
    <n v="17.882456140350879"/>
    <s v="Profit"/>
    <s v="Pooja Kulkarni"/>
    <x v="0"/>
    <x v="1"/>
    <s v="Ahmedabad"/>
    <s v="Gujarat"/>
    <s v="2025-04-01"/>
    <s v="36-50"/>
    <n v="3057.9"/>
  </r>
  <r>
    <s v="ORD02251"/>
    <d v="2026-03-16T00:00:00"/>
    <s v="CUST0384"/>
    <x v="1"/>
    <x v="1"/>
    <n v="3"/>
    <n v="0.05"/>
    <n v="5130"/>
    <n v="-780.11"/>
    <x v="1"/>
    <s v="Cancelled"/>
    <n v="1710"/>
    <n v="-15.206822612085769"/>
    <s v="Loss"/>
    <s v="Pooja Gupta"/>
    <x v="1"/>
    <x v="1"/>
    <s v="Pune"/>
    <s v="Maharashtra"/>
    <s v="2025-11-14"/>
    <s v="36-50"/>
    <n v="-260.03666666666669"/>
  </r>
  <r>
    <s v="ORD02252"/>
    <d v="2026-08-18T00:00:00"/>
    <s v="CUST0391"/>
    <x v="0"/>
    <x v="0"/>
    <n v="1"/>
    <n v="0"/>
    <n v="14000"/>
    <n v="-5537.48"/>
    <x v="0"/>
    <s v="Returned"/>
    <n v="14000"/>
    <n v="-39.553428571428569"/>
    <s v="Loss"/>
    <s v="Divya Das"/>
    <x v="2"/>
    <x v="0"/>
    <s v="Bengaluru"/>
    <s v="Karnataka"/>
    <s v="2023-03-08"/>
    <s v="36-50"/>
    <n v="-5537.48"/>
  </r>
  <r>
    <s v="ORD02253"/>
    <d v="2026-08-07T00:00:00"/>
    <s v="CUST0520"/>
    <x v="3"/>
    <x v="10"/>
    <n v="3"/>
    <n v="0.2"/>
    <n v="132000"/>
    <n v="1359.31"/>
    <x v="3"/>
    <s v="Delivered"/>
    <n v="44000"/>
    <n v="1.029780303030303"/>
    <s v="Profit"/>
    <s v="Karthik Chopra"/>
    <x v="0"/>
    <x v="0"/>
    <s v="Chennai"/>
    <s v="Tamil Nadu"/>
    <s v="2023-12-09"/>
    <s v="26-35"/>
    <n v="453.1033333333333"/>
  </r>
  <r>
    <s v="ORD02254"/>
    <d v="2025-08-11T00:00:00"/>
    <s v="CUST0030"/>
    <x v="3"/>
    <x v="8"/>
    <n v="4"/>
    <n v="0"/>
    <n v="18000"/>
    <n v="6000"/>
    <x v="2"/>
    <s v="Delivered"/>
    <n v="4500"/>
    <n v="33.333333333333329"/>
    <s v="Profit"/>
    <s v="Rahul Sharma"/>
    <x v="0"/>
    <x v="1"/>
    <s v="Mumbai"/>
    <s v="Maharashtra"/>
    <s v="2025-03-19"/>
    <s v="36-50"/>
    <n v="1500"/>
  </r>
  <r>
    <s v="ORD02255"/>
    <d v="2026-07-03T00:00:00"/>
    <s v="CUST0520"/>
    <x v="0"/>
    <x v="14"/>
    <n v="1"/>
    <n v="0.15"/>
    <n v="382.5"/>
    <n v="72.69"/>
    <x v="1"/>
    <s v="Delivered"/>
    <n v="382.5"/>
    <n v="19.003921568627451"/>
    <s v="Profit"/>
    <s v="Karthik Chopra"/>
    <x v="0"/>
    <x v="0"/>
    <s v="Chennai"/>
    <s v="Tamil Nadu"/>
    <s v="2023-12-09"/>
    <s v="26-35"/>
    <n v="72.69"/>
  </r>
  <r>
    <s v="ORD02256"/>
    <d v="2026-05-21T00:00:00"/>
    <s v="CUST0287"/>
    <x v="1"/>
    <x v="15"/>
    <n v="2"/>
    <n v="0.15"/>
    <n v="3740"/>
    <n v="943.6"/>
    <x v="0"/>
    <s v="Delivered"/>
    <n v="1870"/>
    <n v="25.229946524064172"/>
    <s v="Profit"/>
    <s v="Akash Pillai"/>
    <x v="1"/>
    <x v="0"/>
    <s v="Chennai"/>
    <s v="Tamil Nadu"/>
    <s v="2023-07-20"/>
    <s v="18-25"/>
    <n v="471.8"/>
  </r>
  <r>
    <s v="ORD02257"/>
    <d v="2026-02-14T00:00:00"/>
    <s v="CUST0312"/>
    <x v="2"/>
    <x v="2"/>
    <n v="1"/>
    <n v="0.1"/>
    <n v="11700"/>
    <n v="2400.5100000000002"/>
    <x v="1"/>
    <s v="Delivered"/>
    <n v="11700"/>
    <n v="20.51717948717949"/>
    <s v="Profit"/>
    <s v="Kavya Menon"/>
    <x v="1"/>
    <x v="1"/>
    <s v="Mumbai"/>
    <s v="Maharashtra"/>
    <s v="2023-05-26"/>
    <s v="26-35"/>
    <n v="2400.5100000000002"/>
  </r>
  <r>
    <s v="ORD02258"/>
    <d v="2026-02-06T00:00:00"/>
    <s v="CUST0473"/>
    <x v="2"/>
    <x v="5"/>
    <n v="2"/>
    <n v="0.15"/>
    <n v="18700"/>
    <n v="3186.98"/>
    <x v="2"/>
    <s v="Delivered"/>
    <n v="9350"/>
    <n v="17.042673796791441"/>
    <s v="Profit"/>
    <s v="Ananya Rao"/>
    <x v="2"/>
    <x v="2"/>
    <s v="Chandigarh"/>
    <s v="Chandigarh"/>
    <s v="2025-12-18"/>
    <s v="51+"/>
    <n v="1593.49"/>
  </r>
  <r>
    <s v="ORD02259"/>
    <d v="2026-05-09T00:00:00"/>
    <s v="CUST0142"/>
    <x v="2"/>
    <x v="2"/>
    <n v="3"/>
    <n v="0.15"/>
    <n v="33150"/>
    <n v="6765.56"/>
    <x v="3"/>
    <s v="Delivered"/>
    <n v="11050"/>
    <n v="20.408929110105579"/>
    <s v="Profit"/>
    <s v="Pooja Bose"/>
    <x v="0"/>
    <x v="1"/>
    <s v="Surat"/>
    <s v="Gujarat"/>
    <s v="2025-05-21"/>
    <s v="51+"/>
    <n v="2255.186666666667"/>
  </r>
  <r>
    <s v="ORD02260"/>
    <d v="2026-04-24T00:00:00"/>
    <s v="CUST0002"/>
    <x v="0"/>
    <x v="14"/>
    <n v="1"/>
    <n v="0.2"/>
    <n v="360"/>
    <n v="66.650000000000006"/>
    <x v="2"/>
    <s v="Delivered"/>
    <n v="360"/>
    <n v="18.513888888888889"/>
    <s v="Profit"/>
    <s v="Varun Reddy"/>
    <x v="2"/>
    <x v="1"/>
    <s v="Surat"/>
    <s v="Gujarat"/>
    <s v="2025-01-21"/>
    <s v="36-50"/>
    <n v="66.650000000000006"/>
  </r>
  <r>
    <s v="ORD02261"/>
    <d v="2026-08-06T00:00:00"/>
    <s v="CUST0216"/>
    <x v="0"/>
    <x v="7"/>
    <n v="3"/>
    <n v="0"/>
    <n v="2700"/>
    <n v="-369.1"/>
    <x v="2"/>
    <s v="Returned"/>
    <n v="900"/>
    <n v="-13.670370370370369"/>
    <s v="Loss"/>
    <s v="Karthik Mishra"/>
    <x v="0"/>
    <x v="0"/>
    <s v="Hyderabad"/>
    <s v="Telangana"/>
    <s v="2024-06-25"/>
    <s v="26-35"/>
    <n v="-123.0333333333333"/>
  </r>
  <r>
    <s v="ORD02262"/>
    <d v="2025-09-08T00:00:00"/>
    <s v="CUST0551"/>
    <x v="1"/>
    <x v="12"/>
    <n v="3"/>
    <n v="0.2"/>
    <n v="3360"/>
    <n v="-957.99"/>
    <x v="2"/>
    <s v="Cancelled"/>
    <n v="1120"/>
    <n v="-28.511607142857141"/>
    <s v="Loss"/>
    <s v="Ishaan Gupta"/>
    <x v="0"/>
    <x v="3"/>
    <s v="Patna"/>
    <s v="Bihar"/>
    <s v="2025-08-09"/>
    <s v="26-35"/>
    <n v="-319.33"/>
  </r>
  <r>
    <s v="ORD02263"/>
    <d v="2025-08-03T00:00:00"/>
    <s v="CUST0018"/>
    <x v="0"/>
    <x v="6"/>
    <n v="4"/>
    <n v="0.2"/>
    <n v="1120"/>
    <n v="330.31"/>
    <x v="1"/>
    <s v="Delivered"/>
    <n v="280"/>
    <n v="29.491964285714289"/>
    <s v="Profit"/>
    <s v="Aditya Mehta"/>
    <x v="0"/>
    <x v="0"/>
    <s v="Hyderabad"/>
    <s v="Telangana"/>
    <s v="2025-01-15"/>
    <s v="51+"/>
    <n v="82.577500000000001"/>
  </r>
  <r>
    <s v="ORD02264"/>
    <d v="2026-08-30T00:00:00"/>
    <s v="CUST0447"/>
    <x v="1"/>
    <x v="12"/>
    <n v="2"/>
    <n v="0.1"/>
    <n v="2520"/>
    <n v="780.63"/>
    <x v="0"/>
    <s v="Delivered"/>
    <n v="1260"/>
    <n v="30.977380952380951"/>
    <s v="Profit"/>
    <s v="Aarav Iyer"/>
    <x v="2"/>
    <x v="0"/>
    <s v="Hyderabad"/>
    <s v="Telangana"/>
    <s v="2024-09-12"/>
    <s v="36-50"/>
    <n v="390.315"/>
  </r>
  <r>
    <s v="ORD02265"/>
    <d v="2026-07-12T00:00:00"/>
    <s v="CUST0333"/>
    <x v="1"/>
    <x v="13"/>
    <n v="1"/>
    <n v="0.05"/>
    <n v="3990"/>
    <n v="1074.3499999999999"/>
    <x v="2"/>
    <s v="Delivered"/>
    <n v="3990"/>
    <n v="26.92606516290726"/>
    <s v="Profit"/>
    <s v="Aditya Gupta"/>
    <x v="0"/>
    <x v="0"/>
    <s v="Chennai"/>
    <s v="Tamil Nadu"/>
    <s v="2023-02-18"/>
    <s v="26-35"/>
    <n v="1074.3499999999999"/>
  </r>
  <r>
    <s v="ORD02266"/>
    <d v="2025-12-04T00:00:00"/>
    <s v="CUST0143"/>
    <x v="3"/>
    <x v="11"/>
    <n v="3"/>
    <n v="0.1"/>
    <n v="6750"/>
    <n v="-3174.41"/>
    <x v="0"/>
    <s v="Cancelled"/>
    <n v="2250"/>
    <n v="-47.028296296296297"/>
    <s v="Loss"/>
    <s v="Ananya Naidu"/>
    <x v="2"/>
    <x v="0"/>
    <s v="Bengaluru"/>
    <s v="Karnataka"/>
    <s v="2023-04-11"/>
    <s v="36-50"/>
    <n v="-1058.136666666667"/>
  </r>
  <r>
    <s v="ORD02267"/>
    <d v="2025-08-27T00:00:00"/>
    <s v="CUST0186"/>
    <x v="0"/>
    <x v="6"/>
    <n v="1"/>
    <n v="0.1"/>
    <n v="315"/>
    <n v="94.35"/>
    <x v="2"/>
    <s v="Shipped"/>
    <n v="315"/>
    <n v="29.952380952380949"/>
    <s v="Profit"/>
    <s v="Vikram Verma"/>
    <x v="1"/>
    <x v="0"/>
    <s v="Coimbatore"/>
    <s v="Tamil Nadu"/>
    <s v="2024-03-12"/>
    <s v="18-25"/>
    <n v="94.35"/>
  </r>
  <r>
    <s v="ORD02268"/>
    <d v="2026-02-22T00:00:00"/>
    <s v="CUST0014"/>
    <x v="1"/>
    <x v="13"/>
    <n v="1"/>
    <n v="0"/>
    <n v="4200"/>
    <n v="1200"/>
    <x v="1"/>
    <s v="Delivered"/>
    <n v="4200"/>
    <n v="28.571428571428569"/>
    <s v="Profit"/>
    <s v="Lakshmi Verma"/>
    <x v="2"/>
    <x v="0"/>
    <s v="Chennai"/>
    <s v="Tamil Nadu"/>
    <s v="2024-11-24"/>
    <s v="36-50"/>
    <n v="1200"/>
  </r>
  <r>
    <s v="ORD02269"/>
    <d v="2026-02-02T00:00:00"/>
    <s v="CUST0578"/>
    <x v="2"/>
    <x v="9"/>
    <n v="6"/>
    <n v="0.1"/>
    <n v="48600"/>
    <n v="10407.61"/>
    <x v="0"/>
    <s v="Delivered"/>
    <n v="8100"/>
    <n v="21.4148353909465"/>
    <s v="Profit"/>
    <s v="Sneha Rao"/>
    <x v="0"/>
    <x v="1"/>
    <s v="Pune"/>
    <s v="Maharashtra"/>
    <s v="2023-03-03"/>
    <s v="26-35"/>
    <n v="1734.6016666666669"/>
  </r>
  <r>
    <s v="ORD02270"/>
    <d v="2026-06-03T00:00:00"/>
    <s v="CUST0170"/>
    <x v="3"/>
    <x v="8"/>
    <n v="3"/>
    <n v="0.15"/>
    <n v="11475"/>
    <n v="3148.85"/>
    <x v="0"/>
    <s v="Delivered"/>
    <n v="3825"/>
    <n v="27.440958605664491"/>
    <s v="Profit"/>
    <s v="Meera Iyer"/>
    <x v="2"/>
    <x v="0"/>
    <s v="Hyderabad"/>
    <s v="Telangana"/>
    <s v="2025-04-02"/>
    <s v="36-50"/>
    <n v="1049.616666666667"/>
  </r>
  <r>
    <s v="ORD02271"/>
    <d v="2025-07-24T00:00:00"/>
    <s v="CUST0379"/>
    <x v="1"/>
    <x v="13"/>
    <n v="3"/>
    <n v="0"/>
    <n v="12600"/>
    <n v="3600"/>
    <x v="0"/>
    <s v="Delivered"/>
    <n v="4200"/>
    <n v="28.571428571428569"/>
    <s v="Profit"/>
    <s v="Sneha Pillai"/>
    <x v="0"/>
    <x v="1"/>
    <s v="Surat"/>
    <s v="Gujarat"/>
    <s v="2024-06-25"/>
    <s v="18-25"/>
    <n v="1200"/>
  </r>
  <r>
    <s v="ORD02272"/>
    <d v="2026-07-17T00:00:00"/>
    <s v="CUST0114"/>
    <x v="2"/>
    <x v="9"/>
    <n v="15"/>
    <n v="0.1"/>
    <n v="121500"/>
    <n v="27591.66"/>
    <x v="2"/>
    <s v="Delivered"/>
    <n v="8100"/>
    <n v="22.709185185185181"/>
    <s v="Profit"/>
    <s v="Aarav Reddy"/>
    <x v="1"/>
    <x v="0"/>
    <s v="Coimbatore"/>
    <s v="Tamil Nadu"/>
    <s v="2023-11-15"/>
    <s v="18-25"/>
    <n v="1839.444"/>
  </r>
  <r>
    <s v="ORD02273"/>
    <d v="2026-01-19T00:00:00"/>
    <s v="CUST0560"/>
    <x v="3"/>
    <x v="11"/>
    <n v="1"/>
    <n v="0"/>
    <n v="2500"/>
    <n v="-945.94"/>
    <x v="2"/>
    <s v="Returned"/>
    <n v="2500"/>
    <n v="-37.837600000000002"/>
    <s v="Loss"/>
    <s v="Rohan Rao"/>
    <x v="0"/>
    <x v="0"/>
    <s v="Bengaluru"/>
    <s v="Karnataka"/>
    <s v="2023-05-29"/>
    <s v="18-25"/>
    <n v="-945.94"/>
  </r>
  <r>
    <s v="ORD02274"/>
    <d v="2026-08-03T00:00:00"/>
    <s v="CUST0474"/>
    <x v="0"/>
    <x v="14"/>
    <n v="1"/>
    <n v="0"/>
    <n v="450"/>
    <n v="110"/>
    <x v="2"/>
    <s v="Delivered"/>
    <n v="450"/>
    <n v="24.444444444444439"/>
    <s v="Profit"/>
    <s v="Meera Chopra"/>
    <x v="2"/>
    <x v="0"/>
    <s v="Hyderabad"/>
    <s v="Telangana"/>
    <s v="2023-02-16"/>
    <s v="36-50"/>
    <n v="110"/>
  </r>
  <r>
    <s v="ORD02275"/>
    <d v="2026-06-30T00:00:00"/>
    <s v="CUST0556"/>
    <x v="1"/>
    <x v="15"/>
    <n v="6"/>
    <n v="0.1"/>
    <n v="11880"/>
    <n v="3438.83"/>
    <x v="0"/>
    <s v="Delivered"/>
    <n v="1980"/>
    <n v="28.946380471380468"/>
    <s v="Profit"/>
    <s v="Karthik Chopra"/>
    <x v="0"/>
    <x v="0"/>
    <s v="Coimbatore"/>
    <s v="Tamil Nadu"/>
    <s v="2024-08-09"/>
    <s v="26-35"/>
    <n v="573.13833333333332"/>
  </r>
  <r>
    <s v="ORD02276"/>
    <d v="2026-06-14T00:00:00"/>
    <s v="CUST0539"/>
    <x v="0"/>
    <x v="0"/>
    <n v="3"/>
    <n v="0.15"/>
    <n v="35700"/>
    <n v="4217.13"/>
    <x v="0"/>
    <s v="Delivered"/>
    <n v="11900"/>
    <n v="11.812689075630249"/>
    <s v="Profit"/>
    <s v="Diya Chopra"/>
    <x v="0"/>
    <x v="3"/>
    <s v="Patna"/>
    <s v="Bihar"/>
    <s v="2024-02-04"/>
    <s v="36-50"/>
    <n v="1405.71"/>
  </r>
  <r>
    <s v="ORD02277"/>
    <d v="2025-08-27T00:00:00"/>
    <s v="CUST0199"/>
    <x v="1"/>
    <x v="1"/>
    <n v="2"/>
    <n v="0.1"/>
    <n v="3240"/>
    <n v="1055.99"/>
    <x v="2"/>
    <s v="Delivered"/>
    <n v="1620"/>
    <n v="32.592283950617293"/>
    <s v="Profit"/>
    <s v="Shreya Pillai"/>
    <x v="0"/>
    <x v="2"/>
    <s v="Jaipur"/>
    <s v="Rajasthan"/>
    <s v="2023-07-08"/>
    <s v="26-35"/>
    <n v="527.995"/>
  </r>
  <r>
    <s v="ORD02278"/>
    <d v="2025-08-15T00:00:00"/>
    <s v="CUST0251"/>
    <x v="0"/>
    <x v="6"/>
    <n v="2"/>
    <n v="0.2"/>
    <n v="560"/>
    <n v="165.02"/>
    <x v="0"/>
    <s v="Delivered"/>
    <n v="280"/>
    <n v="29.467857142857149"/>
    <s v="Profit"/>
    <s v="Arjun Verma"/>
    <x v="2"/>
    <x v="0"/>
    <s v="Coimbatore"/>
    <s v="Tamil Nadu"/>
    <s v="2023-06-16"/>
    <s v="36-50"/>
    <n v="82.51"/>
  </r>
  <r>
    <s v="ORD02279"/>
    <d v="2025-09-24T00:00:00"/>
    <s v="CUST0100"/>
    <x v="0"/>
    <x v="0"/>
    <n v="5"/>
    <n v="0"/>
    <n v="70000"/>
    <n v="14000"/>
    <x v="2"/>
    <s v="Delivered"/>
    <n v="14000"/>
    <n v="20"/>
    <s v="Profit"/>
    <s v="Priya Singh"/>
    <x v="1"/>
    <x v="0"/>
    <s v="Chennai"/>
    <s v="Tamil Nadu"/>
    <s v="2023-03-14"/>
    <s v="26-35"/>
    <n v="2800"/>
  </r>
  <r>
    <s v="ORD02280"/>
    <d v="2025-12-11T00:00:00"/>
    <s v="CUST0041"/>
    <x v="3"/>
    <x v="8"/>
    <n v="4"/>
    <n v="0.1"/>
    <n v="16200"/>
    <n v="4531.25"/>
    <x v="2"/>
    <s v="Delivered"/>
    <n v="4050"/>
    <n v="27.970679012345681"/>
    <s v="Profit"/>
    <s v="Priya Iyer"/>
    <x v="0"/>
    <x v="0"/>
    <s v="Hyderabad"/>
    <s v="Telangana"/>
    <s v="2023-09-13"/>
    <s v="26-35"/>
    <n v="1132.8125"/>
  </r>
  <r>
    <s v="ORD02281"/>
    <d v="2026-07-03T00:00:00"/>
    <s v="CUST0444"/>
    <x v="2"/>
    <x v="2"/>
    <n v="1"/>
    <n v="0.15"/>
    <n v="11050"/>
    <n v="2243.17"/>
    <x v="3"/>
    <s v="Delivered"/>
    <n v="11050"/>
    <n v="20.30018099547511"/>
    <s v="Profit"/>
    <s v="Harini Naidu"/>
    <x v="0"/>
    <x v="3"/>
    <s v="Guwahati"/>
    <s v="Assam"/>
    <s v="2023-05-21"/>
    <s v="18-25"/>
    <n v="2243.17"/>
  </r>
  <r>
    <s v="ORD02282"/>
    <d v="2026-08-29T00:00:00"/>
    <s v="CUST0073"/>
    <x v="3"/>
    <x v="11"/>
    <n v="2"/>
    <n v="0.1"/>
    <n v="4500"/>
    <n v="-1124.29"/>
    <x v="3"/>
    <s v="Cancelled"/>
    <n v="2250"/>
    <n v="-24.984222222222218"/>
    <s v="Loss"/>
    <s v="Kavya Pillai"/>
    <x v="0"/>
    <x v="0"/>
    <s v="Hyderabad"/>
    <s v="Telangana"/>
    <s v="2023-04-01"/>
    <s v="26-35"/>
    <n v="-562.14499999999998"/>
  </r>
  <r>
    <s v="ORD02283"/>
    <d v="2026-02-26T00:00:00"/>
    <s v="CUST0252"/>
    <x v="3"/>
    <x v="8"/>
    <n v="6"/>
    <n v="0"/>
    <n v="27000"/>
    <n v="9000"/>
    <x v="1"/>
    <s v="Delivered"/>
    <n v="4500"/>
    <n v="33.333333333333329"/>
    <s v="Profit"/>
    <s v="Ishaan Pillai"/>
    <x v="0"/>
    <x v="0"/>
    <s v="Coimbatore"/>
    <s v="Tamil Nadu"/>
    <s v="2024-06-19"/>
    <s v="36-50"/>
    <n v="1500"/>
  </r>
  <r>
    <s v="ORD02284"/>
    <d v="2026-06-26T00:00:00"/>
    <s v="CUST0292"/>
    <x v="0"/>
    <x v="7"/>
    <n v="2"/>
    <n v="0.1"/>
    <n v="1620"/>
    <n v="413.72"/>
    <x v="1"/>
    <s v="Delivered"/>
    <n v="810"/>
    <n v="25.53827160493827"/>
    <s v="Profit"/>
    <s v="Sanjay Khan"/>
    <x v="0"/>
    <x v="0"/>
    <s v="Bengaluru"/>
    <s v="Karnataka"/>
    <s v="2023-07-05"/>
    <s v="26-35"/>
    <n v="206.86"/>
  </r>
  <r>
    <s v="ORD02285"/>
    <d v="2026-05-29T00:00:00"/>
    <s v="CUST0074"/>
    <x v="2"/>
    <x v="2"/>
    <n v="2"/>
    <n v="0"/>
    <n v="26000"/>
    <n v="6400"/>
    <x v="2"/>
    <s v="Delivered"/>
    <n v="13000"/>
    <n v="24.61538461538462"/>
    <s v="Profit"/>
    <s v="Sanjay Rao"/>
    <x v="2"/>
    <x v="3"/>
    <s v="Kolkata"/>
    <s v="West Bengal"/>
    <s v="2025-12-13"/>
    <s v="26-35"/>
    <n v="3200"/>
  </r>
  <r>
    <s v="ORD02286"/>
    <d v="2026-01-22T00:00:00"/>
    <s v="CUST0218"/>
    <x v="1"/>
    <x v="13"/>
    <n v="1"/>
    <n v="0.2"/>
    <n v="3360"/>
    <n v="780.46"/>
    <x v="0"/>
    <s v="Delivered"/>
    <n v="3360"/>
    <n v="23.227976190476191"/>
    <s v="Profit"/>
    <s v="Shreya Sharma"/>
    <x v="2"/>
    <x v="2"/>
    <s v="Lucknow"/>
    <s v="Uttar Pradesh"/>
    <s v="2025-01-22"/>
    <s v="36-50"/>
    <n v="780.46"/>
  </r>
  <r>
    <s v="ORD02287"/>
    <d v="2026-06-08T00:00:00"/>
    <s v="CUST0517"/>
    <x v="1"/>
    <x v="1"/>
    <n v="3"/>
    <n v="0.15"/>
    <n v="4590"/>
    <n v="280.64"/>
    <x v="3"/>
    <s v="Cancelled"/>
    <n v="1530"/>
    <n v="6.1141612200435729"/>
    <s v="Profit"/>
    <s v="Diya Iyer"/>
    <x v="2"/>
    <x v="1"/>
    <s v="Pune"/>
    <s v="Maharashtra"/>
    <s v="2024-05-04"/>
    <s v="26-35"/>
    <n v="93.546666666666667"/>
  </r>
  <r>
    <s v="ORD02288"/>
    <d v="2025-12-08T00:00:00"/>
    <s v="CUST0337"/>
    <x v="3"/>
    <x v="11"/>
    <n v="3"/>
    <n v="0.15"/>
    <n v="6375"/>
    <n v="1859.02"/>
    <x v="3"/>
    <s v="Delivered"/>
    <n v="2125"/>
    <n v="29.161098039215691"/>
    <s v="Profit"/>
    <s v="Varun Das"/>
    <x v="1"/>
    <x v="3"/>
    <s v="Kolkata"/>
    <s v="West Bengal"/>
    <s v="2023-06-16"/>
    <s v="51+"/>
    <n v="619.67333333333329"/>
  </r>
  <r>
    <s v="ORD02289"/>
    <d v="2026-03-31T00:00:00"/>
    <s v="CUST0356"/>
    <x v="0"/>
    <x v="14"/>
    <n v="2"/>
    <n v="0.15"/>
    <n v="765"/>
    <n v="-385.52"/>
    <x v="2"/>
    <s v="Cancelled"/>
    <n v="382.5"/>
    <n v="-50.394771241830057"/>
    <s v="Loss"/>
    <s v="Manoj Gupta"/>
    <x v="0"/>
    <x v="2"/>
    <s v="Chandigarh"/>
    <s v="Chandigarh"/>
    <s v="2023-08-04"/>
    <s v="26-35"/>
    <n v="-192.76"/>
  </r>
  <r>
    <s v="ORD02290"/>
    <d v="2025-12-12T00:00:00"/>
    <s v="CUST0156"/>
    <x v="0"/>
    <x v="6"/>
    <n v="1"/>
    <n v="0.1"/>
    <n v="315"/>
    <n v="102.41"/>
    <x v="1"/>
    <s v="Delivered"/>
    <n v="315"/>
    <n v="32.511111111111113"/>
    <s v="Profit"/>
    <s v="Meera Patel"/>
    <x v="2"/>
    <x v="0"/>
    <s v="Coimbatore"/>
    <s v="Tamil Nadu"/>
    <s v="2024-10-11"/>
    <s v="26-35"/>
    <n v="102.41"/>
  </r>
  <r>
    <s v="ORD02291"/>
    <d v="2025-10-03T00:00:00"/>
    <s v="CUST0166"/>
    <x v="3"/>
    <x v="10"/>
    <n v="2"/>
    <n v="0.1"/>
    <n v="99000"/>
    <n v="9360.41"/>
    <x v="2"/>
    <s v="Delivered"/>
    <n v="49500"/>
    <n v="9.4549595959595951"/>
    <s v="Profit"/>
    <s v="Arjun Gupta"/>
    <x v="2"/>
    <x v="0"/>
    <s v="Chennai"/>
    <s v="Tamil Nadu"/>
    <s v="2024-10-19"/>
    <s v="18-25"/>
    <n v="4680.2049999999999"/>
  </r>
  <r>
    <s v="ORD02292"/>
    <d v="2025-11-23T00:00:00"/>
    <s v="CUST0443"/>
    <x v="1"/>
    <x v="1"/>
    <n v="10"/>
    <n v="0.1"/>
    <n v="16200"/>
    <n v="5566.46"/>
    <x v="0"/>
    <s v="Delivered"/>
    <n v="1620"/>
    <n v="34.360864197530873"/>
    <s v="Profit"/>
    <s v="Akash Sharma"/>
    <x v="1"/>
    <x v="0"/>
    <s v="Coimbatore"/>
    <s v="Tamil Nadu"/>
    <s v="2023-10-10"/>
    <s v="51+"/>
    <n v="556.64599999999996"/>
  </r>
  <r>
    <s v="ORD02293"/>
    <d v="2025-07-25T00:00:00"/>
    <s v="CUST0397"/>
    <x v="0"/>
    <x v="0"/>
    <n v="1"/>
    <n v="0.3"/>
    <n v="9800"/>
    <n v="-88.54"/>
    <x v="1"/>
    <s v="Delivered"/>
    <n v="9800"/>
    <n v="-0.9034693877551021"/>
    <s v="Loss"/>
    <s v="Akash Reddy"/>
    <x v="0"/>
    <x v="1"/>
    <s v="Pune"/>
    <s v="Maharashtra"/>
    <s v="2023-04-16"/>
    <s v="36-50"/>
    <n v="-88.54"/>
  </r>
  <r>
    <s v="ORD02294"/>
    <d v="2026-06-30T00:00:00"/>
    <s v="CUST0081"/>
    <x v="3"/>
    <x v="4"/>
    <n v="1"/>
    <n v="0"/>
    <n v="18000"/>
    <n v="3500"/>
    <x v="3"/>
    <s v="Delivered"/>
    <n v="18000"/>
    <n v="19.44444444444445"/>
    <s v="Profit"/>
    <s v="Ananya Rao"/>
    <x v="2"/>
    <x v="0"/>
    <s v="Chennai"/>
    <s v="Tamil Nadu"/>
    <s v="2023-10-09"/>
    <s v="36-50"/>
    <n v="3500"/>
  </r>
  <r>
    <s v="ORD02295"/>
    <d v="2025-11-27T00:00:00"/>
    <s v="CUST0256"/>
    <x v="1"/>
    <x v="15"/>
    <n v="1"/>
    <n v="0.05"/>
    <n v="2090"/>
    <n v="698.58"/>
    <x v="1"/>
    <s v="Delivered"/>
    <n v="2090"/>
    <n v="33.424880382775122"/>
    <s v="Profit"/>
    <s v="Karthik Singh"/>
    <x v="0"/>
    <x v="0"/>
    <s v="Chennai"/>
    <s v="Tamil Nadu"/>
    <s v="2024-11-27"/>
    <s v="26-35"/>
    <n v="698.58"/>
  </r>
  <r>
    <s v="ORD02296"/>
    <d v="2026-08-09T00:00:00"/>
    <s v="CUST0475"/>
    <x v="2"/>
    <x v="3"/>
    <n v="1"/>
    <n v="0.1"/>
    <n v="13500"/>
    <n v="2761.68"/>
    <x v="1"/>
    <s v="Delivered"/>
    <n v="13500"/>
    <n v="20.456888888888891"/>
    <s v="Profit"/>
    <s v="Divya Verma"/>
    <x v="0"/>
    <x v="0"/>
    <s v="Bengaluru"/>
    <s v="Karnataka"/>
    <s v="2025-12-10"/>
    <s v="26-35"/>
    <n v="2761.68"/>
  </r>
  <r>
    <s v="ORD02297"/>
    <d v="2026-02-20T00:00:00"/>
    <s v="CUST0410"/>
    <x v="2"/>
    <x v="3"/>
    <n v="1"/>
    <n v="0"/>
    <n v="15000"/>
    <n v="3500"/>
    <x v="3"/>
    <s v="Delivered"/>
    <n v="15000"/>
    <n v="23.333333333333329"/>
    <s v="Profit"/>
    <s v="Pooja Iyer"/>
    <x v="1"/>
    <x v="0"/>
    <s v="Bengaluru"/>
    <s v="Karnataka"/>
    <s v="2025-07-08"/>
    <s v="18-25"/>
    <n v="3500"/>
  </r>
  <r>
    <s v="ORD02298"/>
    <d v="2025-11-27T00:00:00"/>
    <s v="CUST0409"/>
    <x v="2"/>
    <x v="9"/>
    <n v="1"/>
    <n v="0.2"/>
    <n v="7200"/>
    <n v="1278.77"/>
    <x v="3"/>
    <s v="Delivered"/>
    <n v="7200"/>
    <n v="17.760694444444439"/>
    <s v="Profit"/>
    <s v="Arjun Khan"/>
    <x v="2"/>
    <x v="2"/>
    <s v="Chandigarh"/>
    <s v="Chandigarh"/>
    <s v="2025-06-20"/>
    <s v="18-25"/>
    <n v="1278.77"/>
  </r>
  <r>
    <s v="ORD02299"/>
    <d v="2026-02-17T00:00:00"/>
    <s v="CUST0407"/>
    <x v="0"/>
    <x v="7"/>
    <n v="1"/>
    <n v="0.1"/>
    <n v="810"/>
    <n v="230.74"/>
    <x v="3"/>
    <s v="Delivered"/>
    <n v="810"/>
    <n v="28.48641975308642"/>
    <s v="Profit"/>
    <s v="Sneha Verma"/>
    <x v="2"/>
    <x v="2"/>
    <s v="Lucknow"/>
    <s v="Uttar Pradesh"/>
    <s v="2024-09-16"/>
    <s v="36-50"/>
    <n v="230.74"/>
  </r>
  <r>
    <s v="ORD02300"/>
    <d v="2025-09-26T00:00:00"/>
    <s v="CUST0166"/>
    <x v="0"/>
    <x v="14"/>
    <n v="2"/>
    <n v="0"/>
    <n v="900"/>
    <n v="220"/>
    <x v="0"/>
    <s v="Delivered"/>
    <n v="450"/>
    <n v="24.444444444444439"/>
    <s v="Profit"/>
    <s v="Arjun Gupta"/>
    <x v="2"/>
    <x v="0"/>
    <s v="Chennai"/>
    <s v="Tamil Nadu"/>
    <s v="2024-10-19"/>
    <s v="18-25"/>
    <n v="110"/>
  </r>
  <r>
    <s v="ORD02301"/>
    <d v="2026-07-29T00:00:00"/>
    <s v="CUST0157"/>
    <x v="3"/>
    <x v="11"/>
    <n v="1"/>
    <n v="0.2"/>
    <n v="2000"/>
    <n v="486.83"/>
    <x v="2"/>
    <s v="Delivered"/>
    <n v="2000"/>
    <n v="24.3415"/>
    <s v="Profit"/>
    <s v="Diya Rao"/>
    <x v="1"/>
    <x v="0"/>
    <s v="Bengaluru"/>
    <s v="Karnataka"/>
    <s v="2024-02-13"/>
    <s v="51+"/>
    <n v="486.83"/>
  </r>
  <r>
    <s v="ORD02302"/>
    <d v="2026-07-06T00:00:00"/>
    <s v="CUST0385"/>
    <x v="1"/>
    <x v="1"/>
    <n v="1"/>
    <n v="0.2"/>
    <n v="1440"/>
    <n v="400.88"/>
    <x v="3"/>
    <s v="Delivered"/>
    <n v="1440"/>
    <n v="27.838888888888889"/>
    <s v="Profit"/>
    <s v="Karthik Singh"/>
    <x v="0"/>
    <x v="0"/>
    <s v="Coimbatore"/>
    <s v="Tamil Nadu"/>
    <s v="2023-06-06"/>
    <s v="26-35"/>
    <n v="400.88"/>
  </r>
  <r>
    <s v="ORD02303"/>
    <d v="2025-10-31T00:00:00"/>
    <s v="CUST0453"/>
    <x v="3"/>
    <x v="8"/>
    <n v="3"/>
    <n v="0.15"/>
    <n v="11475"/>
    <n v="3126.16"/>
    <x v="3"/>
    <s v="Delivered"/>
    <n v="3825"/>
    <n v="27.243224400871458"/>
    <s v="Profit"/>
    <s v="Harini Rao"/>
    <x v="0"/>
    <x v="2"/>
    <s v="Chandigarh"/>
    <s v="Chandigarh"/>
    <s v="2023-06-23"/>
    <s v="26-35"/>
    <n v="1042.0533333333331"/>
  </r>
  <r>
    <s v="ORD02304"/>
    <d v="2026-07-23T00:00:00"/>
    <s v="CUST0259"/>
    <x v="0"/>
    <x v="7"/>
    <n v="1"/>
    <n v="0.1"/>
    <n v="810"/>
    <n v="216.21"/>
    <x v="0"/>
    <s v="Shipped"/>
    <n v="810"/>
    <n v="26.6925925925926"/>
    <s v="Profit"/>
    <s v="Manoj Menon"/>
    <x v="2"/>
    <x v="0"/>
    <s v="Coimbatore"/>
    <s v="Tamil Nadu"/>
    <s v="2023-10-20"/>
    <s v="26-35"/>
    <n v="216.21"/>
  </r>
  <r>
    <s v="ORD02305"/>
    <d v="2025-11-14T00:00:00"/>
    <s v="CUST0169"/>
    <x v="3"/>
    <x v="4"/>
    <n v="4"/>
    <n v="0"/>
    <n v="72000"/>
    <n v="14000"/>
    <x v="3"/>
    <s v="Delivered"/>
    <n v="18000"/>
    <n v="19.44444444444445"/>
    <s v="Profit"/>
    <s v="Sneha Bose"/>
    <x v="0"/>
    <x v="0"/>
    <s v="Hyderabad"/>
    <s v="Telangana"/>
    <s v="2024-09-10"/>
    <s v="26-35"/>
    <n v="3500"/>
  </r>
  <r>
    <s v="ORD02306"/>
    <d v="2026-01-27T00:00:00"/>
    <s v="CUST0531"/>
    <x v="1"/>
    <x v="13"/>
    <n v="2"/>
    <n v="0.1"/>
    <n v="7560"/>
    <n v="1739.7"/>
    <x v="2"/>
    <s v="Delivered"/>
    <n v="3780"/>
    <n v="23.011904761904759"/>
    <s v="Profit"/>
    <s v="Kavya Mishra"/>
    <x v="2"/>
    <x v="0"/>
    <s v="Coimbatore"/>
    <s v="Tamil Nadu"/>
    <s v="2023-10-06"/>
    <s v="26-35"/>
    <n v="869.85"/>
  </r>
  <r>
    <s v="ORD02307"/>
    <d v="2026-04-02T00:00:00"/>
    <s v="CUST0475"/>
    <x v="2"/>
    <x v="2"/>
    <n v="3"/>
    <n v="0.1"/>
    <n v="35100"/>
    <n v="6870.22"/>
    <x v="0"/>
    <s v="Delivered"/>
    <n v="11700"/>
    <n v="19.573276353276349"/>
    <s v="Profit"/>
    <s v="Divya Verma"/>
    <x v="0"/>
    <x v="0"/>
    <s v="Bengaluru"/>
    <s v="Karnataka"/>
    <s v="2025-12-10"/>
    <s v="26-35"/>
    <n v="2290.0733333333328"/>
  </r>
  <r>
    <s v="ORD02308"/>
    <d v="2026-04-12T00:00:00"/>
    <s v="CUST0480"/>
    <x v="2"/>
    <x v="5"/>
    <n v="2"/>
    <n v="0"/>
    <n v="22000"/>
    <n v="5200"/>
    <x v="3"/>
    <s v="Delivered"/>
    <n v="11000"/>
    <n v="23.63636363636364"/>
    <s v="Profit"/>
    <s v="Ananya Mehta"/>
    <x v="1"/>
    <x v="2"/>
    <s v="Chandigarh"/>
    <s v="Chandigarh"/>
    <s v="2023-12-24"/>
    <s v="36-50"/>
    <n v="2600"/>
  </r>
  <r>
    <s v="ORD02309"/>
    <d v="2025-07-29T00:00:00"/>
    <s v="CUST0260"/>
    <x v="3"/>
    <x v="4"/>
    <n v="3"/>
    <n v="0"/>
    <n v="54000"/>
    <n v="10500"/>
    <x v="1"/>
    <s v="Delivered"/>
    <n v="18000"/>
    <n v="19.44444444444445"/>
    <s v="Profit"/>
    <s v="Harini Khan"/>
    <x v="0"/>
    <x v="3"/>
    <s v="Bhubaneswar"/>
    <s v="Odisha"/>
    <s v="2023-01-28"/>
    <s v="26-35"/>
    <n v="3500"/>
  </r>
  <r>
    <s v="ORD02310"/>
    <d v="2025-07-29T00:00:00"/>
    <s v="CUST0080"/>
    <x v="1"/>
    <x v="13"/>
    <n v="3"/>
    <n v="0"/>
    <n v="12600"/>
    <n v="-1266.3900000000001"/>
    <x v="2"/>
    <s v="Cancelled"/>
    <n v="4200"/>
    <n v="-10.050714285714291"/>
    <s v="Loss"/>
    <s v="Vikram Verma"/>
    <x v="1"/>
    <x v="3"/>
    <s v="Patna"/>
    <s v="Bihar"/>
    <s v="2024-09-20"/>
    <s v="51+"/>
    <n v="-422.13000000000011"/>
  </r>
  <r>
    <s v="ORD02311"/>
    <d v="2026-02-08T00:00:00"/>
    <s v="CUST0144"/>
    <x v="3"/>
    <x v="11"/>
    <n v="1"/>
    <n v="0.1"/>
    <n v="2250"/>
    <n v="682.9"/>
    <x v="0"/>
    <s v="Delivered"/>
    <n v="2250"/>
    <n v="30.351111111111109"/>
    <s v="Profit"/>
    <s v="Priya Gupta"/>
    <x v="0"/>
    <x v="1"/>
    <s v="Surat"/>
    <s v="Gujarat"/>
    <s v="2025-12-26"/>
    <s v="51+"/>
    <n v="682.9"/>
  </r>
  <r>
    <s v="ORD02312"/>
    <d v="2026-02-16T00:00:00"/>
    <s v="CUST0044"/>
    <x v="2"/>
    <x v="9"/>
    <n v="1"/>
    <n v="0.1"/>
    <n v="8100"/>
    <n v="1714.86"/>
    <x v="1"/>
    <s v="Delivered"/>
    <n v="8100"/>
    <n v="21.171111111111109"/>
    <s v="Profit"/>
    <s v="Rahul Rao"/>
    <x v="0"/>
    <x v="1"/>
    <s v="Pune"/>
    <s v="Maharashtra"/>
    <s v="2025-07-18"/>
    <s v="36-50"/>
    <n v="1714.86"/>
  </r>
  <r>
    <s v="ORD02313"/>
    <d v="2026-05-17T00:00:00"/>
    <s v="CUST0188"/>
    <x v="1"/>
    <x v="1"/>
    <n v="3"/>
    <n v="0.05"/>
    <n v="5130"/>
    <n v="1729.96"/>
    <x v="3"/>
    <s v="Delivered"/>
    <n v="1710"/>
    <n v="33.722417153996098"/>
    <s v="Profit"/>
    <s v="Ishaan Pillai"/>
    <x v="0"/>
    <x v="2"/>
    <s v="Delhi"/>
    <s v="Delhi"/>
    <s v="2025-06-05"/>
    <s v="36-50"/>
    <n v="576.65333333333331"/>
  </r>
  <r>
    <s v="ORD02314"/>
    <d v="2026-08-09T00:00:00"/>
    <s v="CUST0109"/>
    <x v="0"/>
    <x v="7"/>
    <n v="3"/>
    <n v="0"/>
    <n v="2700"/>
    <n v="840"/>
    <x v="1"/>
    <s v="Shipped"/>
    <n v="900"/>
    <n v="31.111111111111111"/>
    <s v="Profit"/>
    <s v="Lakshmi Gupta"/>
    <x v="1"/>
    <x v="1"/>
    <s v="Surat"/>
    <s v="Gujarat"/>
    <s v="2023-01-04"/>
    <s v="26-35"/>
    <n v="280"/>
  </r>
  <r>
    <s v="ORD02315"/>
    <d v="2026-07-13T00:00:00"/>
    <s v="CUST0081"/>
    <x v="0"/>
    <x v="7"/>
    <n v="3"/>
    <n v="0.1"/>
    <n v="2430"/>
    <n v="713.43"/>
    <x v="3"/>
    <s v="Delivered"/>
    <n v="810"/>
    <n v="29.359259259259261"/>
    <s v="Profit"/>
    <s v="Ananya Rao"/>
    <x v="2"/>
    <x v="0"/>
    <s v="Chennai"/>
    <s v="Tamil Nadu"/>
    <s v="2023-10-09"/>
    <s v="36-50"/>
    <n v="237.81"/>
  </r>
  <r>
    <s v="ORD02316"/>
    <d v="2025-11-17T00:00:00"/>
    <s v="CUST0025"/>
    <x v="2"/>
    <x v="2"/>
    <n v="1"/>
    <n v="0.15"/>
    <n v="11050"/>
    <n v="1675.59"/>
    <x v="2"/>
    <s v="Delivered"/>
    <n v="11050"/>
    <n v="15.163710407239821"/>
    <s v="Profit"/>
    <s v="Aditya Rao"/>
    <x v="0"/>
    <x v="2"/>
    <s v="Chandigarh"/>
    <s v="Chandigarh"/>
    <s v="2025-12-16"/>
    <s v="26-35"/>
    <n v="1675.59"/>
  </r>
  <r>
    <s v="ORD02317"/>
    <d v="2025-09-14T00:00:00"/>
    <s v="CUST0018"/>
    <x v="0"/>
    <x v="6"/>
    <n v="1"/>
    <n v="0"/>
    <n v="350"/>
    <n v="120"/>
    <x v="0"/>
    <s v="Delivered"/>
    <n v="350"/>
    <n v="34.285714285714278"/>
    <s v="Profit"/>
    <s v="Aditya Mehta"/>
    <x v="0"/>
    <x v="0"/>
    <s v="Hyderabad"/>
    <s v="Telangana"/>
    <s v="2025-01-15"/>
    <s v="51+"/>
    <n v="120"/>
  </r>
  <r>
    <s v="ORD02318"/>
    <d v="2026-04-15T00:00:00"/>
    <s v="CUST0100"/>
    <x v="1"/>
    <x v="15"/>
    <n v="6"/>
    <n v="0"/>
    <n v="13200"/>
    <n v="4500"/>
    <x v="1"/>
    <s v="Delivered"/>
    <n v="2200"/>
    <n v="34.090909090909093"/>
    <s v="Profit"/>
    <s v="Priya Singh"/>
    <x v="1"/>
    <x v="0"/>
    <s v="Chennai"/>
    <s v="Tamil Nadu"/>
    <s v="2023-03-14"/>
    <s v="26-35"/>
    <n v="750"/>
  </r>
  <r>
    <s v="ORD02319"/>
    <d v="2025-08-12T00:00:00"/>
    <s v="CUST0204"/>
    <x v="0"/>
    <x v="14"/>
    <n v="3"/>
    <n v="0.05"/>
    <n v="1282.5"/>
    <n v="-499.73"/>
    <x v="0"/>
    <s v="Returned"/>
    <n v="427.5"/>
    <n v="-38.965302144249513"/>
    <s v="Loss"/>
    <s v="Karthik Mehta"/>
    <x v="0"/>
    <x v="1"/>
    <s v="Surat"/>
    <s v="Gujarat"/>
    <s v="2025-07-25"/>
    <s v="26-35"/>
    <n v="-166.57666666666671"/>
  </r>
  <r>
    <s v="ORD02320"/>
    <d v="2025-11-23T00:00:00"/>
    <s v="CUST0158"/>
    <x v="3"/>
    <x v="8"/>
    <n v="1"/>
    <n v="0"/>
    <n v="4500"/>
    <n v="1500"/>
    <x v="3"/>
    <s v="Delivered"/>
    <n v="4500"/>
    <n v="33.333333333333329"/>
    <s v="Profit"/>
    <s v="Ananya Reddy"/>
    <x v="2"/>
    <x v="0"/>
    <s v="Bengaluru"/>
    <s v="Karnataka"/>
    <s v="2024-04-04"/>
    <s v="18-25"/>
    <n v="1500"/>
  </r>
  <r>
    <s v="ORD02321"/>
    <d v="2026-03-11T00:00:00"/>
    <s v="CUST0035"/>
    <x v="2"/>
    <x v="2"/>
    <n v="3"/>
    <n v="0.15"/>
    <n v="33150"/>
    <n v="6807.76"/>
    <x v="1"/>
    <s v="Delivered"/>
    <n v="11050"/>
    <n v="20.536229260935141"/>
    <s v="Profit"/>
    <s v="Karthik Verma"/>
    <x v="1"/>
    <x v="3"/>
    <s v="Guwahati"/>
    <s v="Assam"/>
    <s v="2025-01-09"/>
    <s v="51+"/>
    <n v="2269.253333333334"/>
  </r>
  <r>
    <s v="ORD02322"/>
    <d v="2026-04-08T00:00:00"/>
    <s v="CUST0442"/>
    <x v="2"/>
    <x v="3"/>
    <n v="3"/>
    <n v="0.1"/>
    <n v="40500"/>
    <n v="8250.52"/>
    <x v="2"/>
    <s v="Delivered"/>
    <n v="13500"/>
    <n v="20.371654320987659"/>
    <s v="Profit"/>
    <s v="Akash Kulkarni"/>
    <x v="0"/>
    <x v="0"/>
    <s v="Bengaluru"/>
    <s v="Karnataka"/>
    <s v="2023-09-01"/>
    <s v="36-50"/>
    <n v="2750.1733333333341"/>
  </r>
  <r>
    <s v="ORD02323"/>
    <d v="2026-01-20T00:00:00"/>
    <s v="CUST0532"/>
    <x v="1"/>
    <x v="13"/>
    <n v="1"/>
    <n v="0"/>
    <n v="4200"/>
    <n v="1200"/>
    <x v="1"/>
    <s v="Delivered"/>
    <n v="4200"/>
    <n v="28.571428571428569"/>
    <s v="Profit"/>
    <s v="Kavya Khan"/>
    <x v="0"/>
    <x v="2"/>
    <s v="Chandigarh"/>
    <s v="Chandigarh"/>
    <s v="2025-09-23"/>
    <s v="18-25"/>
    <n v="1200"/>
  </r>
  <r>
    <s v="ORD02324"/>
    <d v="2025-10-05T00:00:00"/>
    <s v="CUST0228"/>
    <x v="1"/>
    <x v="12"/>
    <n v="3"/>
    <n v="0.15"/>
    <n v="3570"/>
    <n v="1046.46"/>
    <x v="3"/>
    <s v="Delivered"/>
    <n v="1190"/>
    <n v="29.312605042016809"/>
    <s v="Profit"/>
    <s v="Rohan Reddy"/>
    <x v="2"/>
    <x v="0"/>
    <s v="Coimbatore"/>
    <s v="Tamil Nadu"/>
    <s v="2025-11-28"/>
    <s v="36-50"/>
    <n v="348.82"/>
  </r>
  <r>
    <s v="ORD02325"/>
    <d v="2026-01-14T00:00:00"/>
    <s v="CUST0430"/>
    <x v="3"/>
    <x v="10"/>
    <n v="5"/>
    <n v="0"/>
    <n v="275000"/>
    <n v="45000"/>
    <x v="0"/>
    <s v="Delivered"/>
    <n v="55000"/>
    <n v="16.36363636363636"/>
    <s v="Profit"/>
    <s v="Akash Mishra"/>
    <x v="0"/>
    <x v="3"/>
    <s v="Patna"/>
    <s v="Bihar"/>
    <s v="2023-02-09"/>
    <s v="36-50"/>
    <n v="9000"/>
  </r>
  <r>
    <s v="ORD02326"/>
    <d v="2026-08-02T00:00:00"/>
    <s v="CUST0521"/>
    <x v="0"/>
    <x v="6"/>
    <n v="6"/>
    <n v="0.05"/>
    <n v="1995"/>
    <n v="645.74"/>
    <x v="3"/>
    <s v="Delivered"/>
    <n v="332.5"/>
    <n v="32.367919799498743"/>
    <s v="Profit"/>
    <s v="Priya Singh"/>
    <x v="0"/>
    <x v="0"/>
    <s v="Bengaluru"/>
    <s v="Karnataka"/>
    <s v="2025-11-16"/>
    <s v="51+"/>
    <n v="107.62333333333331"/>
  </r>
  <r>
    <s v="ORD02327"/>
    <d v="2026-05-09T00:00:00"/>
    <s v="CUST0317"/>
    <x v="1"/>
    <x v="13"/>
    <n v="1"/>
    <n v="0.05"/>
    <n v="3990"/>
    <n v="1028.6400000000001"/>
    <x v="1"/>
    <s v="Delivered"/>
    <n v="3990"/>
    <n v="25.78045112781955"/>
    <s v="Profit"/>
    <s v="Shreya Sharma"/>
    <x v="2"/>
    <x v="2"/>
    <s v="Chandigarh"/>
    <s v="Chandigarh"/>
    <s v="2025-05-20"/>
    <s v="26-35"/>
    <n v="1028.6400000000001"/>
  </r>
  <r>
    <s v="ORD02328"/>
    <d v="2025-08-13T00:00:00"/>
    <s v="CUST0307"/>
    <x v="1"/>
    <x v="1"/>
    <n v="2"/>
    <n v="0.1"/>
    <n v="3240"/>
    <n v="1038.02"/>
    <x v="3"/>
    <s v="Delivered"/>
    <n v="1620"/>
    <n v="32.037654320987649"/>
    <s v="Profit"/>
    <s v="Diya Mishra"/>
    <x v="1"/>
    <x v="0"/>
    <s v="Coimbatore"/>
    <s v="Tamil Nadu"/>
    <s v="2024-12-29"/>
    <s v="26-35"/>
    <n v="519.01"/>
  </r>
  <r>
    <s v="ORD02329"/>
    <d v="2025-08-12T00:00:00"/>
    <s v="CUST0419"/>
    <x v="3"/>
    <x v="11"/>
    <n v="3"/>
    <n v="0.1"/>
    <n v="6750"/>
    <n v="2001.68"/>
    <x v="1"/>
    <s v="Delivered"/>
    <n v="2250"/>
    <n v="29.654518518518518"/>
    <s v="Profit"/>
    <s v="Ishaan Singh"/>
    <x v="0"/>
    <x v="2"/>
    <s v="Chandigarh"/>
    <s v="Chandigarh"/>
    <s v="2024-05-23"/>
    <s v="18-25"/>
    <n v="667.22666666666669"/>
  </r>
  <r>
    <s v="ORD02330"/>
    <d v="2026-06-11T00:00:00"/>
    <s v="CUST0396"/>
    <x v="1"/>
    <x v="12"/>
    <n v="2"/>
    <n v="0.15"/>
    <n v="2380"/>
    <n v="675.09"/>
    <x v="0"/>
    <s v="Delivered"/>
    <n v="1190"/>
    <n v="28.365126050420169"/>
    <s v="Profit"/>
    <s v="Rahul Mishra"/>
    <x v="0"/>
    <x v="0"/>
    <s v="Bengaluru"/>
    <s v="Karnataka"/>
    <s v="2023-05-26"/>
    <s v="18-25"/>
    <n v="337.54500000000002"/>
  </r>
  <r>
    <s v="ORD02331"/>
    <d v="2026-03-08T00:00:00"/>
    <s v="CUST0288"/>
    <x v="2"/>
    <x v="2"/>
    <n v="3"/>
    <n v="0"/>
    <n v="39000"/>
    <n v="9600"/>
    <x v="2"/>
    <s v="Delivered"/>
    <n v="13000"/>
    <n v="24.61538461538462"/>
    <s v="Profit"/>
    <s v="Karthik Reddy"/>
    <x v="1"/>
    <x v="2"/>
    <s v="Lucknow"/>
    <s v="Uttar Pradesh"/>
    <s v="2024-02-24"/>
    <s v="36-50"/>
    <n v="3200"/>
  </r>
  <r>
    <s v="ORD02332"/>
    <d v="2026-07-27T00:00:00"/>
    <s v="CUST0498"/>
    <x v="1"/>
    <x v="12"/>
    <n v="1"/>
    <n v="0"/>
    <n v="1400"/>
    <n v="500"/>
    <x v="1"/>
    <s v="Delivered"/>
    <n v="1400"/>
    <n v="35.714285714285722"/>
    <s v="Profit"/>
    <s v="Lakshmi Menon"/>
    <x v="1"/>
    <x v="2"/>
    <s v="Jaipur"/>
    <s v="Rajasthan"/>
    <s v="2023-06-04"/>
    <s v="26-35"/>
    <n v="500"/>
  </r>
  <r>
    <s v="ORD02333"/>
    <d v="2025-08-31T00:00:00"/>
    <s v="CUST0513"/>
    <x v="3"/>
    <x v="10"/>
    <n v="1"/>
    <n v="0.05"/>
    <n v="52250"/>
    <n v="-16435.93"/>
    <x v="1"/>
    <s v="Returned"/>
    <n v="52250"/>
    <n v="-31.456325358851679"/>
    <s v="Loss"/>
    <s v="Varun Das"/>
    <x v="1"/>
    <x v="2"/>
    <s v="Jaipur"/>
    <s v="Rajasthan"/>
    <s v="2025-05-03"/>
    <s v="18-25"/>
    <n v="-16435.93"/>
  </r>
  <r>
    <s v="ORD02334"/>
    <d v="2025-12-21T00:00:00"/>
    <s v="CUST0573"/>
    <x v="1"/>
    <x v="1"/>
    <n v="1"/>
    <n v="0.15"/>
    <n v="1530"/>
    <n v="-651.29999999999995"/>
    <x v="0"/>
    <s v="Returned"/>
    <n v="1530"/>
    <n v="-42.568627450980387"/>
    <s v="Loss"/>
    <s v="Aditya Pillai"/>
    <x v="0"/>
    <x v="1"/>
    <s v="Surat"/>
    <s v="Gujarat"/>
    <s v="2024-03-11"/>
    <s v="18-25"/>
    <n v="-651.29999999999995"/>
  </r>
  <r>
    <s v="ORD02335"/>
    <d v="2025-07-10T00:00:00"/>
    <s v="CUST0068"/>
    <x v="2"/>
    <x v="2"/>
    <n v="3"/>
    <n v="0.2"/>
    <n v="31200"/>
    <n v="3907.94"/>
    <x v="2"/>
    <s v="Delivered"/>
    <n v="10400"/>
    <n v="12.52544871794872"/>
    <s v="Profit"/>
    <s v="Harini Pillai"/>
    <x v="1"/>
    <x v="3"/>
    <s v="Guwahati"/>
    <s v="Assam"/>
    <s v="2024-04-08"/>
    <s v="36-50"/>
    <n v="1302.646666666667"/>
  </r>
  <r>
    <s v="ORD02336"/>
    <d v="2026-06-02T00:00:00"/>
    <s v="CUST0263"/>
    <x v="3"/>
    <x v="8"/>
    <n v="4"/>
    <n v="0"/>
    <n v="18000"/>
    <n v="6000"/>
    <x v="3"/>
    <s v="Delivered"/>
    <n v="4500"/>
    <n v="33.333333333333329"/>
    <s v="Profit"/>
    <s v="Priya Khan"/>
    <x v="0"/>
    <x v="3"/>
    <s v="Kolkata"/>
    <s v="West Bengal"/>
    <s v="2025-03-25"/>
    <s v="26-35"/>
    <n v="1500"/>
  </r>
  <r>
    <s v="ORD02337"/>
    <d v="2025-09-20T00:00:00"/>
    <s v="CUST0121"/>
    <x v="1"/>
    <x v="15"/>
    <n v="4"/>
    <n v="0.1"/>
    <n v="7920"/>
    <n v="2331.0100000000002"/>
    <x v="0"/>
    <s v="Delivered"/>
    <n v="1980"/>
    <n v="29.431944444444451"/>
    <s v="Profit"/>
    <s v="Meera Menon"/>
    <x v="0"/>
    <x v="0"/>
    <s v="Bengaluru"/>
    <s v="Karnataka"/>
    <s v="2023-11-16"/>
    <s v="26-35"/>
    <n v="582.75250000000005"/>
  </r>
  <r>
    <s v="ORD02338"/>
    <d v="2025-10-14T00:00:00"/>
    <s v="CUST0182"/>
    <x v="0"/>
    <x v="7"/>
    <n v="2"/>
    <n v="0.1"/>
    <n v="1620"/>
    <n v="428.49"/>
    <x v="1"/>
    <s v="Delivered"/>
    <n v="810"/>
    <n v="26.45"/>
    <s v="Profit"/>
    <s v="Shreya Iyer"/>
    <x v="2"/>
    <x v="3"/>
    <s v="Patna"/>
    <s v="Bihar"/>
    <s v="2023-07-03"/>
    <s v="36-50"/>
    <n v="214.245"/>
  </r>
  <r>
    <s v="ORD02339"/>
    <d v="2026-08-22T00:00:00"/>
    <s v="CUST0415"/>
    <x v="0"/>
    <x v="6"/>
    <n v="1"/>
    <n v="0.15"/>
    <n v="297.5"/>
    <n v="-17.32"/>
    <x v="3"/>
    <s v="Returned"/>
    <n v="297.5"/>
    <n v="-5.8218487394957981"/>
    <s v="Loss"/>
    <s v="Manoj Bose"/>
    <x v="1"/>
    <x v="0"/>
    <s v="Bengaluru"/>
    <s v="Karnataka"/>
    <s v="2024-07-04"/>
    <s v="36-50"/>
    <n v="-17.32"/>
  </r>
  <r>
    <s v="ORD02340"/>
    <d v="2026-07-14T00:00:00"/>
    <s v="CUST0401"/>
    <x v="1"/>
    <x v="15"/>
    <n v="3"/>
    <n v="0.2"/>
    <n v="5280"/>
    <n v="1497.77"/>
    <x v="2"/>
    <s v="Delivered"/>
    <n v="1760"/>
    <n v="28.366856060606061"/>
    <s v="Profit"/>
    <s v="Ananya Nair"/>
    <x v="0"/>
    <x v="0"/>
    <s v="Hyderabad"/>
    <s v="Telangana"/>
    <s v="2024-04-08"/>
    <s v="26-35"/>
    <n v="499.25666666666672"/>
  </r>
  <r>
    <s v="ORD02341"/>
    <d v="2026-07-19T00:00:00"/>
    <s v="CUST0140"/>
    <x v="3"/>
    <x v="10"/>
    <n v="1"/>
    <n v="0.15"/>
    <n v="46750"/>
    <n v="4001.47"/>
    <x v="0"/>
    <s v="Delivered"/>
    <n v="46750"/>
    <n v="8.5592941176470578"/>
    <s v="Profit"/>
    <s v="Ananya Naidu"/>
    <x v="1"/>
    <x v="2"/>
    <s v="Chandigarh"/>
    <s v="Chandigarh"/>
    <s v="2024-04-14"/>
    <s v="26-35"/>
    <n v="4001.47"/>
  </r>
  <r>
    <s v="ORD02342"/>
    <d v="2025-11-20T00:00:00"/>
    <s v="CUST0217"/>
    <x v="3"/>
    <x v="8"/>
    <n v="4"/>
    <n v="0.05"/>
    <n v="17100"/>
    <n v="5279.7"/>
    <x v="3"/>
    <s v="Shipped"/>
    <n v="4275"/>
    <n v="30.875438596491229"/>
    <s v="Profit"/>
    <s v="Pooja Mehta"/>
    <x v="0"/>
    <x v="0"/>
    <s v="Hyderabad"/>
    <s v="Telangana"/>
    <s v="2024-11-14"/>
    <s v="51+"/>
    <n v="1319.925"/>
  </r>
  <r>
    <s v="ORD02343"/>
    <d v="2025-08-17T00:00:00"/>
    <s v="CUST0082"/>
    <x v="2"/>
    <x v="9"/>
    <n v="2"/>
    <n v="0.2"/>
    <n v="14400"/>
    <n v="1894.75"/>
    <x v="3"/>
    <s v="Delivered"/>
    <n v="7200"/>
    <n v="13.157986111111111"/>
    <s v="Profit"/>
    <s v="Sneha Singh"/>
    <x v="2"/>
    <x v="3"/>
    <s v="Patna"/>
    <s v="Bihar"/>
    <s v="2024-05-04"/>
    <s v="36-50"/>
    <n v="947.375"/>
  </r>
  <r>
    <s v="ORD02344"/>
    <d v="2025-11-17T00:00:00"/>
    <s v="CUST0552"/>
    <x v="0"/>
    <x v="0"/>
    <n v="5"/>
    <n v="0"/>
    <n v="70000"/>
    <n v="14000"/>
    <x v="3"/>
    <s v="Delivered"/>
    <n v="14000"/>
    <n v="20"/>
    <s v="Profit"/>
    <s v="Rahul Pillai"/>
    <x v="0"/>
    <x v="1"/>
    <s v="Mumbai"/>
    <s v="Maharashtra"/>
    <s v="2024-11-20"/>
    <s v="26-35"/>
    <n v="2800"/>
  </r>
  <r>
    <s v="ORD02345"/>
    <d v="2025-08-06T00:00:00"/>
    <s v="CUST0410"/>
    <x v="2"/>
    <x v="9"/>
    <n v="1"/>
    <n v="0.15"/>
    <n v="7650"/>
    <n v="1226.8900000000001"/>
    <x v="3"/>
    <s v="Delivered"/>
    <n v="7650"/>
    <n v="16.03777777777778"/>
    <s v="Profit"/>
    <s v="Pooja Iyer"/>
    <x v="1"/>
    <x v="0"/>
    <s v="Bengaluru"/>
    <s v="Karnataka"/>
    <s v="2025-07-08"/>
    <s v="18-25"/>
    <n v="1226.8900000000001"/>
  </r>
  <r>
    <s v="ORD02346"/>
    <d v="2025-12-01T00:00:00"/>
    <s v="CUST0543"/>
    <x v="3"/>
    <x v="4"/>
    <n v="2"/>
    <n v="0.15"/>
    <n v="30600"/>
    <n v="2413.98"/>
    <x v="3"/>
    <s v="Delivered"/>
    <n v="15300"/>
    <n v="7.8888235294117646"/>
    <s v="Profit"/>
    <s v="Ananya Iyer"/>
    <x v="1"/>
    <x v="0"/>
    <s v="Chennai"/>
    <s v="Tamil Nadu"/>
    <s v="2025-10-16"/>
    <s v="26-35"/>
    <n v="1206.99"/>
  </r>
  <r>
    <s v="ORD02347"/>
    <d v="2026-02-07T00:00:00"/>
    <s v="CUST0481"/>
    <x v="3"/>
    <x v="11"/>
    <n v="3"/>
    <n v="0.15"/>
    <n v="6375"/>
    <n v="1514.67"/>
    <x v="2"/>
    <s v="Delivered"/>
    <n v="2125"/>
    <n v="23.75952941176471"/>
    <s v="Profit"/>
    <s v="Diya Kulkarni"/>
    <x v="1"/>
    <x v="2"/>
    <s v="Lucknow"/>
    <s v="Uttar Pradesh"/>
    <s v="2024-07-28"/>
    <s v="26-35"/>
    <n v="504.89"/>
  </r>
  <r>
    <s v="ORD02348"/>
    <d v="2026-08-05T00:00:00"/>
    <s v="CUST0452"/>
    <x v="3"/>
    <x v="8"/>
    <n v="2"/>
    <n v="0.1"/>
    <n v="8100"/>
    <n v="2332.36"/>
    <x v="2"/>
    <s v="Delivered"/>
    <n v="4050"/>
    <n v="28.794567901234569"/>
    <s v="Profit"/>
    <s v="Varun Das"/>
    <x v="0"/>
    <x v="2"/>
    <s v="Lucknow"/>
    <s v="Uttar Pradesh"/>
    <s v="2024-09-25"/>
    <s v="36-50"/>
    <n v="1166.18"/>
  </r>
  <r>
    <s v="ORD02349"/>
    <d v="2026-06-29T00:00:00"/>
    <s v="CUST0447"/>
    <x v="0"/>
    <x v="6"/>
    <n v="3"/>
    <n v="0.05"/>
    <n v="997.5"/>
    <n v="335.49"/>
    <x v="2"/>
    <s v="Delivered"/>
    <n v="332.5"/>
    <n v="33.63308270676692"/>
    <s v="Profit"/>
    <s v="Aarav Iyer"/>
    <x v="2"/>
    <x v="0"/>
    <s v="Hyderabad"/>
    <s v="Telangana"/>
    <s v="2024-09-12"/>
    <s v="36-50"/>
    <n v="111.83"/>
  </r>
  <r>
    <s v="ORD02350"/>
    <d v="2026-01-26T00:00:00"/>
    <s v="CUST0540"/>
    <x v="2"/>
    <x v="2"/>
    <n v="2"/>
    <n v="0.05"/>
    <n v="24700"/>
    <n v="5712.83"/>
    <x v="1"/>
    <s v="Delivered"/>
    <n v="12350"/>
    <n v="23.128866396761129"/>
    <s v="Profit"/>
    <s v="Kavya Rao"/>
    <x v="0"/>
    <x v="0"/>
    <s v="Chennai"/>
    <s v="Tamil Nadu"/>
    <s v="2023-09-30"/>
    <s v="18-25"/>
    <n v="2856.415"/>
  </r>
  <r>
    <s v="ORD02351"/>
    <d v="2025-08-21T00:00:00"/>
    <s v="CUST0431"/>
    <x v="0"/>
    <x v="0"/>
    <n v="2"/>
    <n v="0.1"/>
    <n v="25200"/>
    <n v="4061.83"/>
    <x v="0"/>
    <s v="Delivered"/>
    <n v="12600"/>
    <n v="16.118373015873011"/>
    <s v="Profit"/>
    <s v="Manoj Naidu"/>
    <x v="1"/>
    <x v="0"/>
    <s v="Bengaluru"/>
    <s v="Karnataka"/>
    <s v="2023-01-16"/>
    <s v="36-50"/>
    <n v="2030.915"/>
  </r>
  <r>
    <s v="ORD02352"/>
    <d v="2025-10-13T00:00:00"/>
    <s v="CUST0576"/>
    <x v="2"/>
    <x v="9"/>
    <n v="4"/>
    <n v="0"/>
    <n v="36000"/>
    <n v="9200"/>
    <x v="3"/>
    <s v="Delivered"/>
    <n v="9000"/>
    <n v="25.55555555555555"/>
    <s v="Profit"/>
    <s v="Harini Pillai"/>
    <x v="0"/>
    <x v="0"/>
    <s v="Hyderabad"/>
    <s v="Telangana"/>
    <s v="2023-05-25"/>
    <s v="26-35"/>
    <n v="2300"/>
  </r>
  <r>
    <s v="ORD02353"/>
    <d v="2025-08-18T00:00:00"/>
    <s v="CUST0317"/>
    <x v="2"/>
    <x v="5"/>
    <n v="2"/>
    <n v="0.2"/>
    <n v="17600"/>
    <n v="3178.66"/>
    <x v="1"/>
    <s v="Delivered"/>
    <n v="8800"/>
    <n v="18.06056818181818"/>
    <s v="Profit"/>
    <s v="Shreya Sharma"/>
    <x v="2"/>
    <x v="2"/>
    <s v="Chandigarh"/>
    <s v="Chandigarh"/>
    <s v="2025-05-20"/>
    <s v="26-35"/>
    <n v="1589.33"/>
  </r>
  <r>
    <s v="ORD02354"/>
    <d v="2026-06-03T00:00:00"/>
    <s v="CUST0252"/>
    <x v="0"/>
    <x v="0"/>
    <n v="2"/>
    <n v="0.05"/>
    <n v="26600"/>
    <n v="4590.68"/>
    <x v="0"/>
    <s v="Shipped"/>
    <n v="13300"/>
    <n v="17.25819548872181"/>
    <s v="Profit"/>
    <s v="Ishaan Pillai"/>
    <x v="0"/>
    <x v="0"/>
    <s v="Coimbatore"/>
    <s v="Tamil Nadu"/>
    <s v="2024-06-19"/>
    <s v="36-50"/>
    <n v="2295.34"/>
  </r>
  <r>
    <s v="ORD02355"/>
    <d v="2025-11-25T00:00:00"/>
    <s v="CUST0187"/>
    <x v="0"/>
    <x v="14"/>
    <n v="1"/>
    <n v="0.05"/>
    <n v="427.5"/>
    <n v="-210.41"/>
    <x v="3"/>
    <s v="Returned"/>
    <n v="427.5"/>
    <n v="-49.218713450292398"/>
    <s v="Loss"/>
    <s v="Nisha Bose"/>
    <x v="0"/>
    <x v="1"/>
    <s v="Mumbai"/>
    <s v="Maharashtra"/>
    <s v="2025-12-11"/>
    <s v="51+"/>
    <n v="-210.41"/>
  </r>
  <r>
    <s v="ORD02356"/>
    <d v="2025-12-20T00:00:00"/>
    <s v="CUST0425"/>
    <x v="3"/>
    <x v="11"/>
    <n v="2"/>
    <n v="0"/>
    <n v="5000"/>
    <n v="1600"/>
    <x v="0"/>
    <s v="Delivered"/>
    <n v="2500"/>
    <n v="32"/>
    <s v="Profit"/>
    <s v="Lakshmi Mishra"/>
    <x v="0"/>
    <x v="3"/>
    <s v="Bhubaneswar"/>
    <s v="Odisha"/>
    <s v="2024-08-12"/>
    <s v="26-35"/>
    <n v="800"/>
  </r>
  <r>
    <s v="ORD02357"/>
    <d v="2026-06-20T00:00:00"/>
    <s v="CUST0276"/>
    <x v="0"/>
    <x v="6"/>
    <n v="1"/>
    <n v="0.2"/>
    <n v="280"/>
    <n v="66.94"/>
    <x v="2"/>
    <s v="Delivered"/>
    <n v="280"/>
    <n v="23.907142857142858"/>
    <s v="Profit"/>
    <s v="Lakshmi Pillai"/>
    <x v="2"/>
    <x v="1"/>
    <s v="Mumbai"/>
    <s v="Maharashtra"/>
    <s v="2024-01-26"/>
    <s v="36-50"/>
    <n v="66.94"/>
  </r>
  <r>
    <s v="ORD02358"/>
    <d v="2026-03-16T00:00:00"/>
    <s v="CUST0202"/>
    <x v="1"/>
    <x v="15"/>
    <n v="1"/>
    <n v="0.2"/>
    <n v="1760"/>
    <n v="-262.87"/>
    <x v="0"/>
    <s v="Cancelled"/>
    <n v="1760"/>
    <n v="-14.93579545454546"/>
    <s v="Loss"/>
    <s v="Manoj Gupta"/>
    <x v="1"/>
    <x v="1"/>
    <s v="Pune"/>
    <s v="Maharashtra"/>
    <s v="2023-12-07"/>
    <s v="26-35"/>
    <n v="-262.87"/>
  </r>
  <r>
    <s v="ORD02359"/>
    <d v="2026-03-19T00:00:00"/>
    <s v="CUST0233"/>
    <x v="2"/>
    <x v="9"/>
    <n v="2"/>
    <n v="0.2"/>
    <n v="14400"/>
    <n v="2782.77"/>
    <x v="1"/>
    <s v="Delivered"/>
    <n v="7200"/>
    <n v="19.32479166666667"/>
    <s v="Profit"/>
    <s v="Aarav Menon"/>
    <x v="0"/>
    <x v="2"/>
    <s v="Chandigarh"/>
    <s v="Chandigarh"/>
    <s v="2023-12-22"/>
    <s v="26-35"/>
    <n v="1391.385"/>
  </r>
  <r>
    <s v="ORD02360"/>
    <d v="2026-03-04T00:00:00"/>
    <s v="CUST0358"/>
    <x v="1"/>
    <x v="13"/>
    <n v="4"/>
    <n v="0.1"/>
    <n v="15120"/>
    <n v="3414.41"/>
    <x v="3"/>
    <s v="Delivered"/>
    <n v="3780"/>
    <n v="22.582076719576719"/>
    <s v="Profit"/>
    <s v="Sanjay Das"/>
    <x v="0"/>
    <x v="0"/>
    <s v="Hyderabad"/>
    <s v="Telangana"/>
    <s v="2025-08-29"/>
    <s v="18-25"/>
    <n v="853.60249999999996"/>
  </r>
  <r>
    <s v="ORD02361"/>
    <d v="2026-08-03T00:00:00"/>
    <s v="CUST0333"/>
    <x v="3"/>
    <x v="10"/>
    <n v="6"/>
    <n v="0.1"/>
    <n v="297000"/>
    <n v="37548.449999999997"/>
    <x v="2"/>
    <s v="Delivered"/>
    <n v="49500"/>
    <n v="12.642575757575759"/>
    <s v="Profit"/>
    <s v="Aditya Gupta"/>
    <x v="0"/>
    <x v="0"/>
    <s v="Chennai"/>
    <s v="Tamil Nadu"/>
    <s v="2023-02-18"/>
    <s v="26-35"/>
    <n v="6258.0749999999998"/>
  </r>
  <r>
    <s v="ORD02362"/>
    <d v="2025-09-14T00:00:00"/>
    <s v="CUST0398"/>
    <x v="3"/>
    <x v="11"/>
    <n v="3"/>
    <n v="0.3"/>
    <n v="5250"/>
    <n v="768.88"/>
    <x v="2"/>
    <s v="Delivered"/>
    <n v="1750"/>
    <n v="14.64533333333333"/>
    <s v="Profit"/>
    <s v="Meera Gupta"/>
    <x v="1"/>
    <x v="3"/>
    <s v="Bhubaneswar"/>
    <s v="Odisha"/>
    <s v="2024-02-27"/>
    <s v="36-50"/>
    <n v="256.29333333333341"/>
  </r>
  <r>
    <s v="ORD02363"/>
    <d v="2026-02-27T00:00:00"/>
    <s v="CUST0305"/>
    <x v="3"/>
    <x v="11"/>
    <n v="1"/>
    <n v="0"/>
    <n v="2500"/>
    <n v="800"/>
    <x v="3"/>
    <s v="Delivered"/>
    <n v="2500"/>
    <n v="32"/>
    <s v="Profit"/>
    <s v="Nisha Mishra"/>
    <x v="0"/>
    <x v="2"/>
    <s v="Jaipur"/>
    <s v="Rajasthan"/>
    <s v="2024-11-15"/>
    <s v="26-35"/>
    <n v="800"/>
  </r>
  <r>
    <s v="ORD02364"/>
    <d v="2026-04-09T00:00:00"/>
    <s v="CUST0402"/>
    <x v="1"/>
    <x v="1"/>
    <n v="5"/>
    <n v="0"/>
    <n v="9000"/>
    <n v="3250"/>
    <x v="2"/>
    <s v="Delivered"/>
    <n v="1800"/>
    <n v="36.111111111111107"/>
    <s v="Profit"/>
    <s v="Diya Pillai"/>
    <x v="1"/>
    <x v="0"/>
    <s v="Chennai"/>
    <s v="Tamil Nadu"/>
    <s v="2025-08-08"/>
    <s v="36-50"/>
    <n v="650"/>
  </r>
  <r>
    <s v="ORD02365"/>
    <d v="2025-11-01T00:00:00"/>
    <s v="CUST0521"/>
    <x v="3"/>
    <x v="11"/>
    <n v="4"/>
    <n v="0.05"/>
    <n v="9500"/>
    <n v="2860.99"/>
    <x v="1"/>
    <s v="Delivered"/>
    <n v="2375"/>
    <n v="30.115684210526311"/>
    <s v="Profit"/>
    <s v="Priya Singh"/>
    <x v="0"/>
    <x v="0"/>
    <s v="Bengaluru"/>
    <s v="Karnataka"/>
    <s v="2025-11-16"/>
    <s v="51+"/>
    <n v="715.24749999999995"/>
  </r>
  <r>
    <s v="ORD02366"/>
    <d v="2025-10-12T00:00:00"/>
    <s v="CUST0049"/>
    <x v="1"/>
    <x v="1"/>
    <n v="4"/>
    <n v="0"/>
    <n v="7200"/>
    <n v="-1185.26"/>
    <x v="1"/>
    <s v="Returned"/>
    <n v="1800"/>
    <n v="-16.461944444444441"/>
    <s v="Loss"/>
    <s v="Lakshmi Kulkarni"/>
    <x v="0"/>
    <x v="1"/>
    <s v="Ahmedabad"/>
    <s v="Gujarat"/>
    <s v="2023-01-08"/>
    <s v="26-35"/>
    <n v="-296.315"/>
  </r>
  <r>
    <s v="ORD02367"/>
    <d v="2025-07-09T00:00:00"/>
    <s v="CUST0410"/>
    <x v="0"/>
    <x v="14"/>
    <n v="5"/>
    <n v="0.1"/>
    <n v="2025"/>
    <n v="380.22"/>
    <x v="1"/>
    <s v="Shipped"/>
    <n v="405"/>
    <n v="18.776296296296302"/>
    <s v="Profit"/>
    <s v="Pooja Iyer"/>
    <x v="1"/>
    <x v="0"/>
    <s v="Bengaluru"/>
    <s v="Karnataka"/>
    <s v="2025-07-08"/>
    <s v="18-25"/>
    <n v="76.044000000000011"/>
  </r>
  <r>
    <s v="ORD02368"/>
    <d v="2025-11-30T00:00:00"/>
    <s v="CUST0275"/>
    <x v="0"/>
    <x v="14"/>
    <n v="1"/>
    <n v="0.1"/>
    <n v="405"/>
    <n v="77.239999999999995"/>
    <x v="3"/>
    <s v="Shipped"/>
    <n v="405"/>
    <n v="19.071604938271602"/>
    <s v="Profit"/>
    <s v="Divya Verma"/>
    <x v="0"/>
    <x v="2"/>
    <s v="Lucknow"/>
    <s v="Uttar Pradesh"/>
    <s v="2025-01-09"/>
    <s v="26-35"/>
    <n v="77.239999999999995"/>
  </r>
  <r>
    <s v="ORD02369"/>
    <d v="2025-10-02T00:00:00"/>
    <s v="CUST0038"/>
    <x v="1"/>
    <x v="1"/>
    <n v="1"/>
    <n v="0.1"/>
    <n v="1620"/>
    <n v="540.15"/>
    <x v="3"/>
    <s v="Delivered"/>
    <n v="1620"/>
    <n v="33.342592592592588"/>
    <s v="Profit"/>
    <s v="Harini Sharma"/>
    <x v="2"/>
    <x v="0"/>
    <s v="Coimbatore"/>
    <s v="Tamil Nadu"/>
    <s v="2024-06-22"/>
    <s v="36-50"/>
    <n v="540.15"/>
  </r>
  <r>
    <s v="ORD02370"/>
    <d v="2026-05-30T00:00:00"/>
    <s v="CUST0174"/>
    <x v="0"/>
    <x v="7"/>
    <n v="2"/>
    <n v="0.2"/>
    <n v="1440"/>
    <n v="397.46"/>
    <x v="0"/>
    <s v="Delivered"/>
    <n v="720"/>
    <n v="27.601388888888891"/>
    <s v="Profit"/>
    <s v="Sneha Mehta"/>
    <x v="1"/>
    <x v="3"/>
    <s v="Patna"/>
    <s v="Bihar"/>
    <s v="2025-05-15"/>
    <s v="26-35"/>
    <n v="198.73"/>
  </r>
  <r>
    <s v="ORD02371"/>
    <d v="2025-07-14T00:00:00"/>
    <s v="CUST0307"/>
    <x v="0"/>
    <x v="0"/>
    <n v="4"/>
    <n v="0.1"/>
    <n v="50400"/>
    <n v="7732.31"/>
    <x v="0"/>
    <s v="Delivered"/>
    <n v="12600"/>
    <n v="15.34188492063492"/>
    <s v="Profit"/>
    <s v="Diya Mishra"/>
    <x v="1"/>
    <x v="0"/>
    <s v="Coimbatore"/>
    <s v="Tamil Nadu"/>
    <s v="2024-12-29"/>
    <s v="26-35"/>
    <n v="1933.0775000000001"/>
  </r>
  <r>
    <s v="ORD02372"/>
    <d v="2026-02-01T00:00:00"/>
    <s v="CUST0114"/>
    <x v="0"/>
    <x v="14"/>
    <n v="1"/>
    <n v="0.1"/>
    <n v="405"/>
    <n v="85.54"/>
    <x v="1"/>
    <s v="Delivered"/>
    <n v="405"/>
    <n v="21.120987654320992"/>
    <s v="Profit"/>
    <s v="Aarav Reddy"/>
    <x v="1"/>
    <x v="0"/>
    <s v="Coimbatore"/>
    <s v="Tamil Nadu"/>
    <s v="2023-11-15"/>
    <s v="18-25"/>
    <n v="85.54"/>
  </r>
  <r>
    <s v="ORD02373"/>
    <d v="2025-09-27T00:00:00"/>
    <s v="CUST0452"/>
    <x v="2"/>
    <x v="3"/>
    <n v="4"/>
    <n v="0.15"/>
    <n v="51000"/>
    <n v="8569.41"/>
    <x v="3"/>
    <s v="Delivered"/>
    <n v="12750"/>
    <n v="16.80276470588235"/>
    <s v="Profit"/>
    <s v="Varun Das"/>
    <x v="0"/>
    <x v="2"/>
    <s v="Lucknow"/>
    <s v="Uttar Pradesh"/>
    <s v="2024-09-25"/>
    <s v="36-50"/>
    <n v="2142.3525"/>
  </r>
  <r>
    <s v="ORD02374"/>
    <d v="2026-06-22T00:00:00"/>
    <s v="CUST0343"/>
    <x v="0"/>
    <x v="14"/>
    <n v="4"/>
    <n v="0.1"/>
    <n v="1620"/>
    <n v="333.57"/>
    <x v="0"/>
    <s v="Delivered"/>
    <n v="405"/>
    <n v="20.590740740740738"/>
    <s v="Profit"/>
    <s v="Meera Iyer"/>
    <x v="0"/>
    <x v="0"/>
    <s v="Bengaluru"/>
    <s v="Karnataka"/>
    <s v="2024-08-02"/>
    <s v="36-50"/>
    <n v="83.392499999999998"/>
  </r>
  <r>
    <s v="ORD02375"/>
    <d v="2025-09-09T00:00:00"/>
    <s v="CUST0553"/>
    <x v="3"/>
    <x v="8"/>
    <n v="10"/>
    <n v="0.2"/>
    <n v="36000"/>
    <n v="7989.11"/>
    <x v="1"/>
    <s v="Delivered"/>
    <n v="3600"/>
    <n v="22.191972222222219"/>
    <s v="Profit"/>
    <s v="Diya Mishra"/>
    <x v="2"/>
    <x v="0"/>
    <s v="Coimbatore"/>
    <s v="Tamil Nadu"/>
    <s v="2025-01-24"/>
    <s v="36-50"/>
    <n v="798.91099999999994"/>
  </r>
  <r>
    <s v="ORD02376"/>
    <d v="2026-05-22T00:00:00"/>
    <s v="CUST0096"/>
    <x v="1"/>
    <x v="12"/>
    <n v="4"/>
    <n v="0.1"/>
    <n v="5040"/>
    <n v="1548.33"/>
    <x v="0"/>
    <s v="Delivered"/>
    <n v="1260"/>
    <n v="30.720833333333331"/>
    <s v="Profit"/>
    <s v="Harini Bose"/>
    <x v="1"/>
    <x v="1"/>
    <s v="Pune"/>
    <s v="Maharashtra"/>
    <s v="2025-01-14"/>
    <s v="51+"/>
    <n v="387.08249999999998"/>
  </r>
  <r>
    <s v="ORD02377"/>
    <d v="2025-08-27T00:00:00"/>
    <s v="CUST0408"/>
    <x v="2"/>
    <x v="9"/>
    <n v="5"/>
    <n v="0.05"/>
    <n v="42750"/>
    <n v="10108.68"/>
    <x v="1"/>
    <s v="Delivered"/>
    <n v="8550"/>
    <n v="23.646035087719302"/>
    <s v="Profit"/>
    <s v="Akash Joshi"/>
    <x v="1"/>
    <x v="1"/>
    <s v="Ahmedabad"/>
    <s v="Gujarat"/>
    <s v="2025-10-05"/>
    <s v="26-35"/>
    <n v="2021.7360000000001"/>
  </r>
  <r>
    <s v="ORD02378"/>
    <d v="2025-09-02T00:00:00"/>
    <s v="CUST0215"/>
    <x v="1"/>
    <x v="13"/>
    <n v="3"/>
    <n v="0.15"/>
    <n v="10710"/>
    <n v="2680.5"/>
    <x v="1"/>
    <s v="Delivered"/>
    <n v="3570"/>
    <n v="25.028011204481789"/>
    <s v="Profit"/>
    <s v="Pooja Reddy"/>
    <x v="1"/>
    <x v="0"/>
    <s v="Bengaluru"/>
    <s v="Karnataka"/>
    <s v="2025-07-16"/>
    <s v="26-35"/>
    <n v="893.5"/>
  </r>
  <r>
    <s v="ORD02379"/>
    <d v="2026-02-15T00:00:00"/>
    <s v="CUST0479"/>
    <x v="3"/>
    <x v="11"/>
    <n v="4"/>
    <n v="0.15"/>
    <n v="8500"/>
    <n v="2479.8200000000002"/>
    <x v="1"/>
    <s v="Shipped"/>
    <n v="2125"/>
    <n v="29.174352941176469"/>
    <s v="Profit"/>
    <s v="Rohan Sharma"/>
    <x v="0"/>
    <x v="3"/>
    <s v="Guwahati"/>
    <s v="Assam"/>
    <s v="2023-04-27"/>
    <s v="36-50"/>
    <n v="619.95500000000004"/>
  </r>
  <r>
    <s v="ORD02380"/>
    <d v="2025-12-28T00:00:00"/>
    <s v="CUST0325"/>
    <x v="3"/>
    <x v="10"/>
    <n v="2"/>
    <n v="0.05"/>
    <n v="104500"/>
    <n v="15279.24"/>
    <x v="2"/>
    <s v="Shipped"/>
    <n v="52250"/>
    <n v="14.621282296650721"/>
    <s v="Profit"/>
    <s v="Arjun Mishra"/>
    <x v="0"/>
    <x v="0"/>
    <s v="Chennai"/>
    <s v="Tamil Nadu"/>
    <s v="2023-05-08"/>
    <s v="51+"/>
    <n v="7639.62"/>
  </r>
  <r>
    <s v="ORD02381"/>
    <d v="2026-06-08T00:00:00"/>
    <s v="CUST0455"/>
    <x v="3"/>
    <x v="4"/>
    <n v="1"/>
    <n v="0.05"/>
    <n v="17100"/>
    <n v="2747.61"/>
    <x v="2"/>
    <s v="Delivered"/>
    <n v="17100"/>
    <n v="16.06789473684211"/>
    <s v="Profit"/>
    <s v="Priya Sharma"/>
    <x v="0"/>
    <x v="0"/>
    <s v="Hyderabad"/>
    <s v="Telangana"/>
    <s v="2023-12-10"/>
    <s v="26-35"/>
    <n v="2747.61"/>
  </r>
  <r>
    <s v="ORD02382"/>
    <d v="2026-04-02T00:00:00"/>
    <s v="CUST0370"/>
    <x v="3"/>
    <x v="4"/>
    <n v="4"/>
    <n v="0.1"/>
    <n v="64800"/>
    <n v="10302.61"/>
    <x v="1"/>
    <s v="Delivered"/>
    <n v="16200"/>
    <n v="15.899089506172841"/>
    <s v="Profit"/>
    <s v="Diya Kulkarni"/>
    <x v="1"/>
    <x v="2"/>
    <s v="Chandigarh"/>
    <s v="Chandigarh"/>
    <s v="2024-04-20"/>
    <s v="26-35"/>
    <n v="2575.6525000000001"/>
  </r>
  <r>
    <s v="ORD02383"/>
    <d v="2026-02-19T00:00:00"/>
    <s v="CUST0013"/>
    <x v="0"/>
    <x v="14"/>
    <n v="2"/>
    <n v="0.05"/>
    <n v="855"/>
    <n v="188.1"/>
    <x v="3"/>
    <s v="Shipped"/>
    <n v="427.5"/>
    <n v="22"/>
    <s v="Profit"/>
    <s v="Aarav Iyer"/>
    <x v="0"/>
    <x v="2"/>
    <s v="Chandigarh"/>
    <s v="Chandigarh"/>
    <s v="2025-09-04"/>
    <s v="26-35"/>
    <n v="94.05"/>
  </r>
  <r>
    <s v="ORD02384"/>
    <d v="2026-01-22T00:00:00"/>
    <s v="CUST0499"/>
    <x v="0"/>
    <x v="6"/>
    <n v="5"/>
    <n v="0.1"/>
    <n v="1575"/>
    <n v="462.3"/>
    <x v="1"/>
    <s v="Delivered"/>
    <n v="315"/>
    <n v="29.352380952380951"/>
    <s v="Profit"/>
    <s v="Meera Singh"/>
    <x v="0"/>
    <x v="1"/>
    <s v="Pune"/>
    <s v="Maharashtra"/>
    <s v="2025-06-01"/>
    <s v="36-50"/>
    <n v="92.460000000000008"/>
  </r>
  <r>
    <s v="ORD02385"/>
    <d v="2026-08-25T00:00:00"/>
    <s v="CUST0473"/>
    <x v="3"/>
    <x v="4"/>
    <n v="3"/>
    <n v="0.1"/>
    <n v="48600"/>
    <n v="7444.03"/>
    <x v="2"/>
    <s v="Delivered"/>
    <n v="16200"/>
    <n v="15.316934156378601"/>
    <s v="Profit"/>
    <s v="Ananya Rao"/>
    <x v="2"/>
    <x v="2"/>
    <s v="Chandigarh"/>
    <s v="Chandigarh"/>
    <s v="2025-12-18"/>
    <s v="51+"/>
    <n v="2481.3433333333328"/>
  </r>
  <r>
    <s v="ORD02386"/>
    <d v="2025-12-03T00:00:00"/>
    <s v="CUST0053"/>
    <x v="2"/>
    <x v="2"/>
    <n v="5"/>
    <n v="0.1"/>
    <n v="58500"/>
    <n v="10598.05"/>
    <x v="2"/>
    <s v="Delivered"/>
    <n v="11700"/>
    <n v="18.116324786324789"/>
    <s v="Profit"/>
    <s v="Aarav Menon"/>
    <x v="2"/>
    <x v="1"/>
    <s v="Pune"/>
    <s v="Maharashtra"/>
    <s v="2025-06-23"/>
    <s v="26-35"/>
    <n v="2119.61"/>
  </r>
  <r>
    <s v="ORD02387"/>
    <d v="2026-06-27T00:00:00"/>
    <s v="CUST0463"/>
    <x v="0"/>
    <x v="6"/>
    <n v="4"/>
    <n v="0.1"/>
    <n v="1260"/>
    <n v="396.96"/>
    <x v="1"/>
    <s v="Delivered"/>
    <n v="315"/>
    <n v="31.504761904761899"/>
    <s v="Profit"/>
    <s v="Shreya Patel"/>
    <x v="0"/>
    <x v="0"/>
    <s v="Coimbatore"/>
    <s v="Tamil Nadu"/>
    <s v="2024-02-20"/>
    <s v="51+"/>
    <n v="99.24"/>
  </r>
  <r>
    <s v="ORD02388"/>
    <d v="2026-03-17T00:00:00"/>
    <s v="CUST0148"/>
    <x v="2"/>
    <x v="2"/>
    <n v="3"/>
    <n v="0"/>
    <n v="39000"/>
    <n v="9600"/>
    <x v="0"/>
    <s v="Delivered"/>
    <n v="13000"/>
    <n v="24.61538461538462"/>
    <s v="Profit"/>
    <s v="Sanjay Mishra"/>
    <x v="0"/>
    <x v="3"/>
    <s v="Bhubaneswar"/>
    <s v="Odisha"/>
    <s v="2023-09-04"/>
    <s v="51+"/>
    <n v="3200"/>
  </r>
  <r>
    <s v="ORD02389"/>
    <d v="2025-07-12T00:00:00"/>
    <s v="CUST0058"/>
    <x v="3"/>
    <x v="8"/>
    <n v="1"/>
    <n v="0"/>
    <n v="4500"/>
    <n v="1500"/>
    <x v="1"/>
    <s v="Delivered"/>
    <n v="4500"/>
    <n v="33.333333333333329"/>
    <s v="Profit"/>
    <s v="Divya Nair"/>
    <x v="2"/>
    <x v="3"/>
    <s v="Guwahati"/>
    <s v="Assam"/>
    <s v="2023-01-13"/>
    <s v="26-35"/>
    <n v="1500"/>
  </r>
  <r>
    <s v="ORD02390"/>
    <d v="2026-01-08T00:00:00"/>
    <s v="CUST0024"/>
    <x v="2"/>
    <x v="9"/>
    <n v="2"/>
    <n v="0.1"/>
    <n v="16200"/>
    <n v="3781.91"/>
    <x v="2"/>
    <s v="Delivered"/>
    <n v="8100"/>
    <n v="23.34512345679012"/>
    <s v="Profit"/>
    <s v="Lakshmi Pillai"/>
    <x v="1"/>
    <x v="0"/>
    <s v="Coimbatore"/>
    <s v="Tamil Nadu"/>
    <s v="2024-11-26"/>
    <s v="26-35"/>
    <n v="1890.9549999999999"/>
  </r>
  <r>
    <s v="ORD02391"/>
    <d v="2026-07-01T00:00:00"/>
    <s v="CUST0418"/>
    <x v="2"/>
    <x v="3"/>
    <n v="1"/>
    <n v="0.1"/>
    <n v="13500"/>
    <n v="2316.91"/>
    <x v="2"/>
    <s v="Delivered"/>
    <n v="13500"/>
    <n v="17.16229629629629"/>
    <s v="Profit"/>
    <s v="Pooja Menon"/>
    <x v="2"/>
    <x v="1"/>
    <s v="Pune"/>
    <s v="Maharashtra"/>
    <s v="2023-08-14"/>
    <s v="18-25"/>
    <n v="2316.91"/>
  </r>
  <r>
    <s v="ORD02392"/>
    <d v="2026-05-28T00:00:00"/>
    <s v="CUST0264"/>
    <x v="3"/>
    <x v="10"/>
    <n v="3"/>
    <n v="0.05"/>
    <n v="156750"/>
    <n v="-73522.259999999995"/>
    <x v="0"/>
    <s v="Returned"/>
    <n v="52250"/>
    <n v="-46.904153110047837"/>
    <s v="Loss"/>
    <s v="Sneha Kulkarni"/>
    <x v="1"/>
    <x v="0"/>
    <s v="Chennai"/>
    <s v="Tamil Nadu"/>
    <s v="2024-02-11"/>
    <s v="51+"/>
    <n v="-24507.42"/>
  </r>
  <r>
    <s v="ORD02393"/>
    <d v="2026-08-20T00:00:00"/>
    <s v="CUST0162"/>
    <x v="2"/>
    <x v="3"/>
    <n v="3"/>
    <n v="0"/>
    <n v="45000"/>
    <n v="10500"/>
    <x v="0"/>
    <s v="Delivered"/>
    <n v="15000"/>
    <n v="23.333333333333329"/>
    <s v="Profit"/>
    <s v="Lakshmi Bose"/>
    <x v="0"/>
    <x v="0"/>
    <s v="Bengaluru"/>
    <s v="Karnataka"/>
    <s v="2025-06-13"/>
    <s v="26-35"/>
    <n v="3500"/>
  </r>
  <r>
    <s v="ORD02394"/>
    <d v="2025-07-04T00:00:00"/>
    <s v="CUST0126"/>
    <x v="3"/>
    <x v="4"/>
    <n v="1"/>
    <n v="0.05"/>
    <n v="17100"/>
    <n v="3010.64"/>
    <x v="3"/>
    <s v="Delivered"/>
    <n v="17100"/>
    <n v="17.60608187134503"/>
    <s v="Profit"/>
    <s v="Manoj Mehta"/>
    <x v="1"/>
    <x v="0"/>
    <s v="Bengaluru"/>
    <s v="Karnataka"/>
    <s v="2025-10-04"/>
    <s v="36-50"/>
    <n v="3010.64"/>
  </r>
  <r>
    <s v="ORD02395"/>
    <d v="2025-08-26T00:00:00"/>
    <s v="CUST0425"/>
    <x v="0"/>
    <x v="0"/>
    <n v="1"/>
    <n v="0"/>
    <n v="14000"/>
    <n v="2800"/>
    <x v="2"/>
    <s v="Delivered"/>
    <n v="14000"/>
    <n v="20"/>
    <s v="Profit"/>
    <s v="Lakshmi Mishra"/>
    <x v="0"/>
    <x v="3"/>
    <s v="Bhubaneswar"/>
    <s v="Odisha"/>
    <s v="2024-08-12"/>
    <s v="26-35"/>
    <n v="2800"/>
  </r>
  <r>
    <s v="ORD02396"/>
    <d v="2025-11-21T00:00:00"/>
    <s v="CUST0261"/>
    <x v="0"/>
    <x v="0"/>
    <n v="4"/>
    <n v="0.15"/>
    <n v="47600"/>
    <n v="5648.26"/>
    <x v="3"/>
    <s v="Delivered"/>
    <n v="11900"/>
    <n v="11.866092436974791"/>
    <s v="Profit"/>
    <s v="Lakshmi Joshi"/>
    <x v="1"/>
    <x v="1"/>
    <s v="Pune"/>
    <s v="Maharashtra"/>
    <s v="2024-05-26"/>
    <s v="36-50"/>
    <n v="1412.0650000000001"/>
  </r>
  <r>
    <s v="ORD02397"/>
    <d v="2025-08-02T00:00:00"/>
    <s v="CUST0262"/>
    <x v="3"/>
    <x v="10"/>
    <n v="5"/>
    <n v="0.05"/>
    <n v="261250"/>
    <n v="36093.64"/>
    <x v="1"/>
    <s v="Delivered"/>
    <n v="52250"/>
    <n v="13.81574736842105"/>
    <s v="Profit"/>
    <s v="Varun Menon"/>
    <x v="1"/>
    <x v="2"/>
    <s v="Chandigarh"/>
    <s v="Chandigarh"/>
    <s v="2025-12-16"/>
    <s v="36-50"/>
    <n v="7218.7280000000001"/>
  </r>
  <r>
    <s v="ORD02398"/>
    <d v="2026-04-12T00:00:00"/>
    <s v="CUST0291"/>
    <x v="3"/>
    <x v="10"/>
    <n v="4"/>
    <n v="0"/>
    <n v="220000"/>
    <n v="36000"/>
    <x v="1"/>
    <s v="Shipped"/>
    <n v="55000"/>
    <n v="16.36363636363636"/>
    <s v="Profit"/>
    <s v="Divya Chopra"/>
    <x v="1"/>
    <x v="0"/>
    <s v="Bengaluru"/>
    <s v="Karnataka"/>
    <s v="2023-10-19"/>
    <s v="18-25"/>
    <n v="9000"/>
  </r>
  <r>
    <s v="ORD02399"/>
    <d v="2026-07-23T00:00:00"/>
    <s v="CUST0540"/>
    <x v="0"/>
    <x v="14"/>
    <n v="2"/>
    <n v="0.1"/>
    <n v="810"/>
    <n v="150.79"/>
    <x v="3"/>
    <s v="Delivered"/>
    <n v="405"/>
    <n v="18.616049382716049"/>
    <s v="Profit"/>
    <s v="Kavya Rao"/>
    <x v="0"/>
    <x v="0"/>
    <s v="Chennai"/>
    <s v="Tamil Nadu"/>
    <s v="2023-09-30"/>
    <s v="18-25"/>
    <n v="75.394999999999996"/>
  </r>
  <r>
    <s v="ORD02400"/>
    <d v="2026-01-27T00:00:00"/>
    <s v="CUST0173"/>
    <x v="3"/>
    <x v="10"/>
    <n v="5"/>
    <n v="0"/>
    <n v="275000"/>
    <n v="-53981.43"/>
    <x v="1"/>
    <s v="Cancelled"/>
    <n v="55000"/>
    <n v="-19.629610909090911"/>
    <s v="Loss"/>
    <s v="Rohan Rao"/>
    <x v="1"/>
    <x v="0"/>
    <s v="Bengaluru"/>
    <s v="Karnataka"/>
    <s v="2024-03-17"/>
    <s v="18-25"/>
    <n v="-10796.286"/>
  </r>
  <r>
    <s v="ORD02401"/>
    <d v="2026-08-23T00:00:00"/>
    <s v="CUST0085"/>
    <x v="0"/>
    <x v="0"/>
    <n v="2"/>
    <n v="0.1"/>
    <n v="25200"/>
    <n v="-4602.8900000000003"/>
    <x v="2"/>
    <s v="Returned"/>
    <n v="12600"/>
    <n v="-18.26543650793651"/>
    <s v="Loss"/>
    <s v="Meera Gupta"/>
    <x v="1"/>
    <x v="2"/>
    <s v="Chandigarh"/>
    <s v="Chandigarh"/>
    <s v="2025-09-07"/>
    <s v="36-50"/>
    <n v="-2301.4450000000002"/>
  </r>
  <r>
    <s v="ORD02402"/>
    <d v="2026-07-03T00:00:00"/>
    <s v="CUST0183"/>
    <x v="3"/>
    <x v="4"/>
    <n v="6"/>
    <n v="0.3"/>
    <n v="75600"/>
    <n v="-2264.25"/>
    <x v="2"/>
    <s v="Delivered"/>
    <n v="12600"/>
    <n v="-2.9950396825396819"/>
    <s v="Loss"/>
    <s v="Meera Kulkarni"/>
    <x v="0"/>
    <x v="0"/>
    <s v="Coimbatore"/>
    <s v="Tamil Nadu"/>
    <s v="2024-09-21"/>
    <s v="26-35"/>
    <n v="-377.375"/>
  </r>
  <r>
    <s v="ORD02403"/>
    <d v="2025-10-14T00:00:00"/>
    <s v="CUST0310"/>
    <x v="1"/>
    <x v="15"/>
    <n v="3"/>
    <n v="0.1"/>
    <n v="5940"/>
    <n v="1831.96"/>
    <x v="0"/>
    <s v="Delivered"/>
    <n v="1980"/>
    <n v="30.841077441077442"/>
    <s v="Profit"/>
    <s v="Karthik Chopra"/>
    <x v="1"/>
    <x v="3"/>
    <s v="Guwahati"/>
    <s v="Assam"/>
    <s v="2024-09-09"/>
    <s v="18-25"/>
    <n v="610.65333333333331"/>
  </r>
  <r>
    <s v="ORD02404"/>
    <d v="2025-07-28T00:00:00"/>
    <s v="CUST0532"/>
    <x v="3"/>
    <x v="11"/>
    <n v="3"/>
    <n v="0.1"/>
    <n v="6750"/>
    <n v="1941.97"/>
    <x v="1"/>
    <s v="Delivered"/>
    <n v="2250"/>
    <n v="28.769925925925929"/>
    <s v="Profit"/>
    <s v="Kavya Khan"/>
    <x v="0"/>
    <x v="2"/>
    <s v="Chandigarh"/>
    <s v="Chandigarh"/>
    <s v="2025-09-23"/>
    <s v="18-25"/>
    <n v="647.32333333333338"/>
  </r>
  <r>
    <s v="ORD02405"/>
    <d v="2026-05-17T00:00:00"/>
    <s v="CUST0329"/>
    <x v="3"/>
    <x v="8"/>
    <n v="4"/>
    <n v="0.15"/>
    <n v="15300"/>
    <n v="3957.43"/>
    <x v="0"/>
    <s v="Delivered"/>
    <n v="3825"/>
    <n v="25.865555555555549"/>
    <s v="Profit"/>
    <s v="Shreya Pillai"/>
    <x v="0"/>
    <x v="3"/>
    <s v="Bhubaneswar"/>
    <s v="Odisha"/>
    <s v="2024-08-08"/>
    <s v="26-35"/>
    <n v="989.35749999999996"/>
  </r>
  <r>
    <s v="ORD02406"/>
    <d v="2026-05-11T00:00:00"/>
    <s v="CUST0335"/>
    <x v="3"/>
    <x v="10"/>
    <n v="2"/>
    <n v="0.1"/>
    <n v="99000"/>
    <n v="-18206.18"/>
    <x v="3"/>
    <s v="Cancelled"/>
    <n v="49500"/>
    <n v="-18.39008080808081"/>
    <s v="Loss"/>
    <s v="Diya Pillai"/>
    <x v="0"/>
    <x v="0"/>
    <s v="Bengaluru"/>
    <s v="Karnataka"/>
    <s v="2025-05-24"/>
    <s v="36-50"/>
    <n v="-9103.09"/>
  </r>
  <r>
    <s v="ORD02407"/>
    <d v="2026-02-10T00:00:00"/>
    <s v="CUST0465"/>
    <x v="1"/>
    <x v="12"/>
    <n v="3"/>
    <n v="0.2"/>
    <n v="3360"/>
    <n v="996.84"/>
    <x v="3"/>
    <s v="Delivered"/>
    <n v="1120"/>
    <n v="29.667857142857141"/>
    <s v="Profit"/>
    <s v="Ananya Pillai"/>
    <x v="2"/>
    <x v="2"/>
    <s v="Delhi"/>
    <s v="Delhi"/>
    <s v="2023-04-30"/>
    <s v="26-35"/>
    <n v="332.28"/>
  </r>
  <r>
    <s v="ORD02408"/>
    <d v="2026-02-05T00:00:00"/>
    <s v="CUST0483"/>
    <x v="3"/>
    <x v="11"/>
    <n v="2"/>
    <n v="0.15"/>
    <n v="4250"/>
    <n v="1137.1199999999999"/>
    <x v="0"/>
    <s v="Delivered"/>
    <n v="2125"/>
    <n v="26.755764705882349"/>
    <s v="Profit"/>
    <s v="Harini Rao"/>
    <x v="2"/>
    <x v="0"/>
    <s v="Bengaluru"/>
    <s v="Karnataka"/>
    <s v="2025-12-26"/>
    <s v="18-25"/>
    <n v="568.55999999999995"/>
  </r>
  <r>
    <s v="ORD02409"/>
    <d v="2025-07-05T00:00:00"/>
    <s v="CUST0223"/>
    <x v="2"/>
    <x v="3"/>
    <n v="2"/>
    <n v="0.05"/>
    <n v="28500"/>
    <n v="5860.38"/>
    <x v="2"/>
    <s v="Delivered"/>
    <n v="14250"/>
    <n v="20.562736842105259"/>
    <s v="Profit"/>
    <s v="Akash Bose"/>
    <x v="0"/>
    <x v="0"/>
    <s v="Chennai"/>
    <s v="Tamil Nadu"/>
    <s v="2023-12-31"/>
    <s v="18-25"/>
    <n v="2930.19"/>
  </r>
  <r>
    <s v="ORD02410"/>
    <d v="2025-11-13T00:00:00"/>
    <s v="CUST0090"/>
    <x v="3"/>
    <x v="10"/>
    <n v="2"/>
    <n v="0.15"/>
    <n v="93500"/>
    <n v="6062.54"/>
    <x v="0"/>
    <s v="Shipped"/>
    <n v="46750"/>
    <n v="6.4839999999999991"/>
    <s v="Profit"/>
    <s v="Nisha Bose"/>
    <x v="1"/>
    <x v="0"/>
    <s v="Coimbatore"/>
    <s v="Tamil Nadu"/>
    <s v="2024-09-07"/>
    <s v="51+"/>
    <n v="3031.27"/>
  </r>
  <r>
    <s v="ORD02411"/>
    <d v="2026-06-07T00:00:00"/>
    <s v="CUST0436"/>
    <x v="2"/>
    <x v="9"/>
    <n v="1"/>
    <n v="0.1"/>
    <n v="8100"/>
    <n v="-1049.7"/>
    <x v="1"/>
    <s v="Returned"/>
    <n v="8100"/>
    <n v="-12.959259259259261"/>
    <s v="Loss"/>
    <s v="Divya Patel"/>
    <x v="0"/>
    <x v="1"/>
    <s v="Surat"/>
    <s v="Gujarat"/>
    <s v="2025-10-12"/>
    <s v="26-35"/>
    <n v="-1049.7"/>
  </r>
  <r>
    <s v="ORD02412"/>
    <d v="2026-07-08T00:00:00"/>
    <s v="CUST0274"/>
    <x v="0"/>
    <x v="14"/>
    <n v="3"/>
    <n v="0.05"/>
    <n v="1282.5"/>
    <n v="280.20999999999998"/>
    <x v="3"/>
    <s v="Delivered"/>
    <n v="427.5"/>
    <n v="21.848732943469781"/>
    <s v="Profit"/>
    <s v="Meera Bose"/>
    <x v="1"/>
    <x v="0"/>
    <s v="Hyderabad"/>
    <s v="Telangana"/>
    <s v="2025-01-06"/>
    <s v="26-35"/>
    <n v="93.403333333333322"/>
  </r>
  <r>
    <s v="ORD02413"/>
    <d v="2026-06-08T00:00:00"/>
    <s v="CUST0219"/>
    <x v="0"/>
    <x v="14"/>
    <n v="3"/>
    <n v="0.05"/>
    <n v="1282.5"/>
    <n v="279.47000000000003"/>
    <x v="0"/>
    <s v="Delivered"/>
    <n v="427.5"/>
    <n v="21.791033138401559"/>
    <s v="Profit"/>
    <s v="Rahul Menon"/>
    <x v="1"/>
    <x v="3"/>
    <s v="Patna"/>
    <s v="Bihar"/>
    <s v="2023-10-06"/>
    <s v="36-50"/>
    <n v="93.15666666666668"/>
  </r>
  <r>
    <s v="ORD02414"/>
    <d v="2026-01-22T00:00:00"/>
    <s v="CUST0087"/>
    <x v="3"/>
    <x v="4"/>
    <n v="4"/>
    <n v="0.05"/>
    <n v="68400"/>
    <n v="12305.57"/>
    <x v="3"/>
    <s v="Delivered"/>
    <n v="17100"/>
    <n v="17.990599415204681"/>
    <s v="Profit"/>
    <s v="Ishaan Khan"/>
    <x v="0"/>
    <x v="2"/>
    <s v="Lucknow"/>
    <s v="Uttar Pradesh"/>
    <s v="2023-07-11"/>
    <s v="51+"/>
    <n v="3076.3924999999999"/>
  </r>
  <r>
    <s v="ORD02415"/>
    <d v="2025-07-24T00:00:00"/>
    <s v="CUST0289"/>
    <x v="0"/>
    <x v="6"/>
    <n v="1"/>
    <n v="0"/>
    <n v="350"/>
    <n v="120"/>
    <x v="3"/>
    <s v="Delivered"/>
    <n v="350"/>
    <n v="34.285714285714278"/>
    <s v="Profit"/>
    <s v="Rahul Iyer"/>
    <x v="2"/>
    <x v="0"/>
    <s v="Coimbatore"/>
    <s v="Tamil Nadu"/>
    <s v="2023-01-07"/>
    <s v="18-25"/>
    <n v="120"/>
  </r>
  <r>
    <s v="ORD02416"/>
    <d v="2026-04-07T00:00:00"/>
    <s v="CUST0383"/>
    <x v="2"/>
    <x v="3"/>
    <n v="3"/>
    <n v="0.1"/>
    <n v="40500"/>
    <n v="7871.8"/>
    <x v="0"/>
    <s v="Delivered"/>
    <n v="13500"/>
    <n v="19.43654320987654"/>
    <s v="Profit"/>
    <s v="Arjun Mehta"/>
    <x v="0"/>
    <x v="0"/>
    <s v="Chennai"/>
    <s v="Tamil Nadu"/>
    <s v="2024-05-07"/>
    <s v="51+"/>
    <n v="2623.9333333333329"/>
  </r>
  <r>
    <s v="ORD02417"/>
    <d v="2026-03-29T00:00:00"/>
    <s v="CUST0065"/>
    <x v="0"/>
    <x v="7"/>
    <n v="4"/>
    <n v="0.2"/>
    <n v="2880"/>
    <n v="-1029.2"/>
    <x v="0"/>
    <s v="Returned"/>
    <n v="720"/>
    <n v="-35.736111111111107"/>
    <s v="Loss"/>
    <s v="Sneha Singh"/>
    <x v="0"/>
    <x v="0"/>
    <s v="Hyderabad"/>
    <s v="Telangana"/>
    <s v="2023-03-24"/>
    <s v="18-25"/>
    <n v="-257.3"/>
  </r>
  <r>
    <s v="ORD02418"/>
    <d v="2025-11-26T00:00:00"/>
    <s v="CUST0357"/>
    <x v="1"/>
    <x v="13"/>
    <n v="3"/>
    <n v="0.2"/>
    <n v="10080"/>
    <n v="-1953.32"/>
    <x v="0"/>
    <s v="Cancelled"/>
    <n v="3360"/>
    <n v="-19.3781746031746"/>
    <s v="Loss"/>
    <s v="Aarav Gupta"/>
    <x v="2"/>
    <x v="2"/>
    <s v="Chandigarh"/>
    <s v="Chandigarh"/>
    <s v="2023-04-16"/>
    <s v="26-35"/>
    <n v="-651.10666666666668"/>
  </r>
  <r>
    <s v="ORD02419"/>
    <d v="2025-11-28T00:00:00"/>
    <s v="CUST0326"/>
    <x v="3"/>
    <x v="8"/>
    <n v="1"/>
    <n v="0.1"/>
    <n v="4050"/>
    <n v="-1645.39"/>
    <x v="1"/>
    <s v="Returned"/>
    <n v="4050"/>
    <n v="-40.626913580246907"/>
    <s v="Loss"/>
    <s v="Karthik Das"/>
    <x v="0"/>
    <x v="2"/>
    <s v="Lucknow"/>
    <s v="Uttar Pradesh"/>
    <s v="2025-07-07"/>
    <s v="51+"/>
    <n v="-1645.39"/>
  </r>
  <r>
    <s v="ORD02420"/>
    <d v="2026-04-18T00:00:00"/>
    <s v="CUST0456"/>
    <x v="0"/>
    <x v="6"/>
    <n v="3"/>
    <n v="0.15"/>
    <n v="892.5"/>
    <n v="246.15"/>
    <x v="1"/>
    <s v="Shipped"/>
    <n v="297.5"/>
    <n v="27.579831932773111"/>
    <s v="Profit"/>
    <s v="Ananya Das"/>
    <x v="0"/>
    <x v="3"/>
    <s v="Patna"/>
    <s v="Bihar"/>
    <s v="2025-06-07"/>
    <s v="18-25"/>
    <n v="82.05"/>
  </r>
  <r>
    <s v="ORD02421"/>
    <d v="2026-05-17T00:00:00"/>
    <s v="CUST0565"/>
    <x v="3"/>
    <x v="10"/>
    <n v="3"/>
    <n v="0.15"/>
    <n v="140250"/>
    <n v="8270.01"/>
    <x v="3"/>
    <s v="Delivered"/>
    <n v="46750"/>
    <n v="5.8966203208556154"/>
    <s v="Profit"/>
    <s v="Rahul Bose"/>
    <x v="0"/>
    <x v="0"/>
    <s v="Coimbatore"/>
    <s v="Tamil Nadu"/>
    <s v="2024-03-26"/>
    <s v="51+"/>
    <n v="2756.67"/>
  </r>
  <r>
    <s v="ORD02422"/>
    <d v="2026-05-03T00:00:00"/>
    <s v="CUST0238"/>
    <x v="2"/>
    <x v="9"/>
    <n v="2"/>
    <n v="0.15"/>
    <n v="15300"/>
    <n v="2783.93"/>
    <x v="3"/>
    <s v="Delivered"/>
    <n v="7650"/>
    <n v="18.195620915032681"/>
    <s v="Profit"/>
    <s v="Vikram Sharma"/>
    <x v="2"/>
    <x v="0"/>
    <s v="Bengaluru"/>
    <s v="Karnataka"/>
    <s v="2025-03-30"/>
    <s v="26-35"/>
    <n v="1391.9649999999999"/>
  </r>
  <r>
    <s v="ORD02423"/>
    <d v="2026-05-26T00:00:00"/>
    <s v="CUST0468"/>
    <x v="0"/>
    <x v="14"/>
    <n v="2"/>
    <n v="0.1"/>
    <n v="810"/>
    <n v="148.43"/>
    <x v="3"/>
    <s v="Delivered"/>
    <n v="405"/>
    <n v="18.32469135802469"/>
    <s v="Profit"/>
    <s v="Lakshmi Mehta"/>
    <x v="1"/>
    <x v="0"/>
    <s v="Chennai"/>
    <s v="Tamil Nadu"/>
    <s v="2023-03-02"/>
    <s v="26-35"/>
    <n v="74.215000000000003"/>
  </r>
  <r>
    <s v="ORD02424"/>
    <d v="2025-11-06T00:00:00"/>
    <s v="CUST0385"/>
    <x v="2"/>
    <x v="3"/>
    <n v="4"/>
    <n v="0.05"/>
    <n v="57000"/>
    <n v="12222.41"/>
    <x v="2"/>
    <s v="Delivered"/>
    <n v="14250"/>
    <n v="21.442824561403508"/>
    <s v="Profit"/>
    <s v="Karthik Singh"/>
    <x v="0"/>
    <x v="0"/>
    <s v="Coimbatore"/>
    <s v="Tamil Nadu"/>
    <s v="2023-06-06"/>
    <s v="26-35"/>
    <n v="3055.6025"/>
  </r>
  <r>
    <s v="ORD02425"/>
    <d v="2026-04-06T00:00:00"/>
    <s v="CUST0176"/>
    <x v="0"/>
    <x v="7"/>
    <n v="1"/>
    <n v="0.1"/>
    <n v="810"/>
    <n v="205.1"/>
    <x v="1"/>
    <s v="Delivered"/>
    <n v="810"/>
    <n v="25.320987654320991"/>
    <s v="Profit"/>
    <s v="Diya Patel"/>
    <x v="0"/>
    <x v="2"/>
    <s v="Jaipur"/>
    <s v="Rajasthan"/>
    <s v="2023-08-21"/>
    <s v="26-35"/>
    <n v="205.1"/>
  </r>
  <r>
    <s v="ORD02426"/>
    <d v="2026-06-20T00:00:00"/>
    <s v="CUST0480"/>
    <x v="1"/>
    <x v="1"/>
    <n v="2"/>
    <n v="0.05"/>
    <n v="3420"/>
    <n v="1210.8399999999999"/>
    <x v="1"/>
    <s v="Delivered"/>
    <n v="1710"/>
    <n v="35.404678362573087"/>
    <s v="Profit"/>
    <s v="Ananya Mehta"/>
    <x v="1"/>
    <x v="2"/>
    <s v="Chandigarh"/>
    <s v="Chandigarh"/>
    <s v="2023-12-24"/>
    <s v="36-50"/>
    <n v="605.41999999999996"/>
  </r>
  <r>
    <s v="ORD02427"/>
    <d v="2025-11-29T00:00:00"/>
    <s v="CUST0447"/>
    <x v="3"/>
    <x v="11"/>
    <n v="4"/>
    <n v="0.1"/>
    <n v="9000"/>
    <n v="2424.15"/>
    <x v="3"/>
    <s v="Delivered"/>
    <n v="2250"/>
    <n v="26.934999999999999"/>
    <s v="Profit"/>
    <s v="Aarav Iyer"/>
    <x v="2"/>
    <x v="0"/>
    <s v="Hyderabad"/>
    <s v="Telangana"/>
    <s v="2024-09-12"/>
    <s v="36-50"/>
    <n v="606.03750000000002"/>
  </r>
  <r>
    <s v="ORD02428"/>
    <d v="2025-08-14T00:00:00"/>
    <s v="CUST0366"/>
    <x v="3"/>
    <x v="4"/>
    <n v="3"/>
    <n v="0.15"/>
    <n v="45900"/>
    <n v="-5903.01"/>
    <x v="0"/>
    <s v="Cancelled"/>
    <n v="15300"/>
    <n v="-12.86058823529412"/>
    <s v="Loss"/>
    <s v="Priya Rao"/>
    <x v="2"/>
    <x v="3"/>
    <s v="Bhubaneswar"/>
    <s v="Odisha"/>
    <s v="2023-03-13"/>
    <s v="26-35"/>
    <n v="-1967.67"/>
  </r>
  <r>
    <s v="ORD02429"/>
    <d v="2026-05-26T00:00:00"/>
    <s v="CUST0008"/>
    <x v="3"/>
    <x v="11"/>
    <n v="5"/>
    <n v="0.2"/>
    <n v="10000"/>
    <n v="2222.7600000000002"/>
    <x v="3"/>
    <s v="Shipped"/>
    <n v="2000"/>
    <n v="22.227599999999999"/>
    <s v="Profit"/>
    <s v="Vikram Menon"/>
    <x v="2"/>
    <x v="2"/>
    <s v="Jaipur"/>
    <s v="Rajasthan"/>
    <s v="2023-06-25"/>
    <s v="36-50"/>
    <n v="444.55200000000002"/>
  </r>
  <r>
    <s v="ORD02430"/>
    <d v="2025-07-01T00:00:00"/>
    <s v="CUST0495"/>
    <x v="3"/>
    <x v="11"/>
    <n v="1"/>
    <n v="0.1"/>
    <n v="2250"/>
    <n v="612.51"/>
    <x v="2"/>
    <s v="Delivered"/>
    <n v="2250"/>
    <n v="27.222666666666669"/>
    <s v="Profit"/>
    <s v="Harini Gupta"/>
    <x v="1"/>
    <x v="2"/>
    <s v="Chandigarh"/>
    <s v="Chandigarh"/>
    <s v="2025-10-03"/>
    <s v="26-35"/>
    <n v="612.51"/>
  </r>
  <r>
    <s v="ORD02431"/>
    <d v="2025-08-06T00:00:00"/>
    <s v="CUST0088"/>
    <x v="2"/>
    <x v="9"/>
    <n v="4"/>
    <n v="0.2"/>
    <n v="28800"/>
    <n v="-9856.8799999999992"/>
    <x v="2"/>
    <s v="Cancelled"/>
    <n v="7200"/>
    <n v="-34.225277777777777"/>
    <s v="Loss"/>
    <s v="Sneha Verma"/>
    <x v="1"/>
    <x v="0"/>
    <s v="Chennai"/>
    <s v="Tamil Nadu"/>
    <s v="2023-06-12"/>
    <s v="26-35"/>
    <n v="-2464.2199999999998"/>
  </r>
  <r>
    <s v="ORD02432"/>
    <d v="2026-01-28T00:00:00"/>
    <s v="CUST0237"/>
    <x v="3"/>
    <x v="4"/>
    <n v="2"/>
    <n v="0.1"/>
    <n v="32400"/>
    <n v="5220.41"/>
    <x v="2"/>
    <s v="Delivered"/>
    <n v="16200"/>
    <n v="16.11237654320988"/>
    <s v="Profit"/>
    <s v="Arjun Joshi"/>
    <x v="2"/>
    <x v="1"/>
    <s v="Pune"/>
    <s v="Maharashtra"/>
    <s v="2024-08-22"/>
    <s v="36-50"/>
    <n v="2610.2049999999999"/>
  </r>
  <r>
    <s v="ORD02433"/>
    <d v="2026-08-06T00:00:00"/>
    <s v="CUST0363"/>
    <x v="1"/>
    <x v="12"/>
    <n v="3"/>
    <n v="0"/>
    <n v="4200"/>
    <n v="1500"/>
    <x v="2"/>
    <s v="Delivered"/>
    <n v="1400"/>
    <n v="35.714285714285722"/>
    <s v="Profit"/>
    <s v="Priya Patel"/>
    <x v="1"/>
    <x v="0"/>
    <s v="Chennai"/>
    <s v="Tamil Nadu"/>
    <s v="2024-01-12"/>
    <s v="51+"/>
    <n v="500"/>
  </r>
  <r>
    <s v="ORD02434"/>
    <d v="2026-05-11T00:00:00"/>
    <s v="CUST0007"/>
    <x v="3"/>
    <x v="8"/>
    <n v="2"/>
    <n v="0.05"/>
    <n v="8550"/>
    <n v="2784.82"/>
    <x v="2"/>
    <s v="Delivered"/>
    <n v="4275"/>
    <n v="32.570994152046786"/>
    <s v="Profit"/>
    <s v="Harini Khan"/>
    <x v="0"/>
    <x v="0"/>
    <s v="Bengaluru"/>
    <s v="Karnataka"/>
    <s v="2025-07-02"/>
    <s v="36-50"/>
    <n v="1392.41"/>
  </r>
  <r>
    <s v="ORD02435"/>
    <d v="2025-10-17T00:00:00"/>
    <s v="CUST0343"/>
    <x v="0"/>
    <x v="14"/>
    <n v="4"/>
    <n v="0"/>
    <n v="1800"/>
    <n v="440"/>
    <x v="0"/>
    <s v="Delivered"/>
    <n v="450"/>
    <n v="24.444444444444439"/>
    <s v="Profit"/>
    <s v="Meera Iyer"/>
    <x v="0"/>
    <x v="0"/>
    <s v="Bengaluru"/>
    <s v="Karnataka"/>
    <s v="2024-08-02"/>
    <s v="36-50"/>
    <n v="110"/>
  </r>
  <r>
    <s v="ORD02436"/>
    <d v="2026-06-23T00:00:00"/>
    <s v="CUST0136"/>
    <x v="3"/>
    <x v="11"/>
    <n v="4"/>
    <n v="0.05"/>
    <n v="9500"/>
    <n v="2835.97"/>
    <x v="1"/>
    <s v="Delivered"/>
    <n v="2375"/>
    <n v="29.852315789473678"/>
    <s v="Profit"/>
    <s v="Meera Patel"/>
    <x v="0"/>
    <x v="2"/>
    <s v="Delhi"/>
    <s v="Delhi"/>
    <s v="2024-08-15"/>
    <s v="36-50"/>
    <n v="708.99249999999995"/>
  </r>
  <r>
    <s v="ORD02437"/>
    <d v="2026-08-30T00:00:00"/>
    <s v="CUST0259"/>
    <x v="0"/>
    <x v="6"/>
    <n v="1"/>
    <n v="0.1"/>
    <n v="315"/>
    <n v="103.37"/>
    <x v="3"/>
    <s v="Delivered"/>
    <n v="315"/>
    <n v="32.815873015873017"/>
    <s v="Profit"/>
    <s v="Manoj Menon"/>
    <x v="2"/>
    <x v="0"/>
    <s v="Coimbatore"/>
    <s v="Tamil Nadu"/>
    <s v="2023-10-20"/>
    <s v="26-35"/>
    <n v="103.37"/>
  </r>
  <r>
    <s v="ORD02438"/>
    <d v="2026-02-18T00:00:00"/>
    <s v="CUST0251"/>
    <x v="2"/>
    <x v="3"/>
    <n v="1"/>
    <n v="0"/>
    <n v="15000"/>
    <n v="3500"/>
    <x v="1"/>
    <s v="Shipped"/>
    <n v="15000"/>
    <n v="23.333333333333329"/>
    <s v="Profit"/>
    <s v="Arjun Verma"/>
    <x v="2"/>
    <x v="0"/>
    <s v="Coimbatore"/>
    <s v="Tamil Nadu"/>
    <s v="2023-06-16"/>
    <s v="36-50"/>
    <n v="3500"/>
  </r>
  <r>
    <s v="ORD02439"/>
    <d v="2025-10-20T00:00:00"/>
    <s v="CUST0214"/>
    <x v="2"/>
    <x v="9"/>
    <n v="2"/>
    <n v="0.2"/>
    <n v="14400"/>
    <n v="1892.13"/>
    <x v="2"/>
    <s v="Delivered"/>
    <n v="7200"/>
    <n v="13.139791666666669"/>
    <s v="Profit"/>
    <s v="Ananya Rao"/>
    <x v="0"/>
    <x v="0"/>
    <s v="Hyderabad"/>
    <s v="Telangana"/>
    <s v="2023-07-14"/>
    <s v="51+"/>
    <n v="946.06500000000005"/>
  </r>
  <r>
    <s v="ORD02440"/>
    <d v="2025-12-31T00:00:00"/>
    <s v="CUST0176"/>
    <x v="0"/>
    <x v="14"/>
    <n v="2"/>
    <n v="0.05"/>
    <n v="855"/>
    <n v="197.2"/>
    <x v="0"/>
    <s v="Delivered"/>
    <n v="427.5"/>
    <n v="23.064327485380119"/>
    <s v="Profit"/>
    <s v="Diya Patel"/>
    <x v="0"/>
    <x v="2"/>
    <s v="Jaipur"/>
    <s v="Rajasthan"/>
    <s v="2023-08-21"/>
    <s v="26-35"/>
    <n v="98.6"/>
  </r>
  <r>
    <s v="ORD02441"/>
    <d v="2025-10-24T00:00:00"/>
    <s v="CUST0543"/>
    <x v="0"/>
    <x v="7"/>
    <n v="3"/>
    <n v="0.15"/>
    <n v="2295"/>
    <n v="-1147.94"/>
    <x v="1"/>
    <s v="Cancelled"/>
    <n v="765"/>
    <n v="-50.01917211328977"/>
    <s v="Loss"/>
    <s v="Ananya Iyer"/>
    <x v="1"/>
    <x v="0"/>
    <s v="Chennai"/>
    <s v="Tamil Nadu"/>
    <s v="2025-10-16"/>
    <s v="26-35"/>
    <n v="-382.6466666666667"/>
  </r>
  <r>
    <s v="ORD02442"/>
    <d v="2026-05-02T00:00:00"/>
    <s v="CUST0514"/>
    <x v="3"/>
    <x v="11"/>
    <n v="3"/>
    <n v="0.15"/>
    <n v="6375"/>
    <n v="1758.02"/>
    <x v="1"/>
    <s v="Delivered"/>
    <n v="2125"/>
    <n v="27.57678431372549"/>
    <s v="Profit"/>
    <s v="Manoj Iyer"/>
    <x v="0"/>
    <x v="2"/>
    <s v="Lucknow"/>
    <s v="Uttar Pradesh"/>
    <s v="2023-09-19"/>
    <s v="36-50"/>
    <n v="586.00666666666666"/>
  </r>
  <r>
    <s v="ORD02443"/>
    <d v="2025-07-12T00:00:00"/>
    <s v="CUST0396"/>
    <x v="3"/>
    <x v="8"/>
    <n v="2"/>
    <n v="0.05"/>
    <n v="8550"/>
    <n v="2709.71"/>
    <x v="0"/>
    <s v="Delivered"/>
    <n v="4275"/>
    <n v="31.692514619883038"/>
    <s v="Profit"/>
    <s v="Rahul Mishra"/>
    <x v="0"/>
    <x v="0"/>
    <s v="Bengaluru"/>
    <s v="Karnataka"/>
    <s v="2023-05-26"/>
    <s v="18-25"/>
    <n v="1354.855"/>
  </r>
  <r>
    <s v="ORD02444"/>
    <d v="2025-09-24T00:00:00"/>
    <s v="CUST0344"/>
    <x v="0"/>
    <x v="0"/>
    <n v="4"/>
    <n v="0"/>
    <n v="56000"/>
    <n v="11200"/>
    <x v="1"/>
    <s v="Delivered"/>
    <n v="14000"/>
    <n v="20"/>
    <s v="Profit"/>
    <s v="Aditya Gupta"/>
    <x v="1"/>
    <x v="1"/>
    <s v="Ahmedabad"/>
    <s v="Gujarat"/>
    <s v="2023-09-29"/>
    <s v="36-50"/>
    <n v="2800"/>
  </r>
  <r>
    <s v="ORD02445"/>
    <d v="2026-01-28T00:00:00"/>
    <s v="CUST0259"/>
    <x v="3"/>
    <x v="10"/>
    <n v="1"/>
    <n v="0.2"/>
    <n v="44000"/>
    <n v="2044.89"/>
    <x v="0"/>
    <s v="Shipped"/>
    <n v="44000"/>
    <n v="4.6474772727272731"/>
    <s v="Profit"/>
    <s v="Manoj Menon"/>
    <x v="2"/>
    <x v="0"/>
    <s v="Coimbatore"/>
    <s v="Tamil Nadu"/>
    <s v="2023-10-20"/>
    <s v="26-35"/>
    <n v="2044.89"/>
  </r>
  <r>
    <s v="ORD02446"/>
    <d v="2026-03-02T00:00:00"/>
    <s v="CUST0413"/>
    <x v="1"/>
    <x v="1"/>
    <n v="5"/>
    <n v="0.05"/>
    <n v="8550"/>
    <n v="2939.78"/>
    <x v="0"/>
    <s v="Delivered"/>
    <n v="1710"/>
    <n v="34.383391812865497"/>
    <s v="Profit"/>
    <s v="Sanjay Bose"/>
    <x v="0"/>
    <x v="0"/>
    <s v="Chennai"/>
    <s v="Tamil Nadu"/>
    <s v="2023-05-01"/>
    <s v="26-35"/>
    <n v="587.95600000000002"/>
  </r>
  <r>
    <s v="ORD02447"/>
    <d v="2025-09-29T00:00:00"/>
    <s v="CUST0131"/>
    <x v="0"/>
    <x v="0"/>
    <n v="2"/>
    <n v="0.15"/>
    <n v="23800"/>
    <n v="2467.84"/>
    <x v="3"/>
    <s v="Delivered"/>
    <n v="11900"/>
    <n v="10.3690756302521"/>
    <s v="Profit"/>
    <s v="Harini Das"/>
    <x v="0"/>
    <x v="0"/>
    <s v="Chennai"/>
    <s v="Tamil Nadu"/>
    <s v="2024-10-14"/>
    <s v="26-35"/>
    <n v="1233.92"/>
  </r>
  <r>
    <s v="ORD02448"/>
    <d v="2026-08-03T00:00:00"/>
    <s v="CUST0332"/>
    <x v="2"/>
    <x v="3"/>
    <n v="3"/>
    <n v="0.2"/>
    <n v="36000"/>
    <n v="5764.85"/>
    <x v="0"/>
    <s v="Shipped"/>
    <n v="12000"/>
    <n v="16.013472222222219"/>
    <s v="Profit"/>
    <s v="Vikram Rao"/>
    <x v="1"/>
    <x v="0"/>
    <s v="Coimbatore"/>
    <s v="Tamil Nadu"/>
    <s v="2023-07-04"/>
    <s v="26-35"/>
    <n v="1921.616666666667"/>
  </r>
  <r>
    <s v="ORD02449"/>
    <d v="2026-04-19T00:00:00"/>
    <s v="CUST0501"/>
    <x v="2"/>
    <x v="9"/>
    <n v="1"/>
    <n v="0"/>
    <n v="9000"/>
    <n v="2300"/>
    <x v="0"/>
    <s v="Delivered"/>
    <n v="9000"/>
    <n v="25.55555555555555"/>
    <s v="Profit"/>
    <s v="Rahul Pillai"/>
    <x v="1"/>
    <x v="0"/>
    <s v="Bengaluru"/>
    <s v="Karnataka"/>
    <s v="2024-03-13"/>
    <s v="36-50"/>
    <n v="2300"/>
  </r>
  <r>
    <s v="ORD02450"/>
    <d v="2025-07-18T00:00:00"/>
    <s v="CUST0310"/>
    <x v="1"/>
    <x v="1"/>
    <n v="4"/>
    <n v="0.1"/>
    <n v="6480"/>
    <n v="2266.11"/>
    <x v="2"/>
    <s v="Delivered"/>
    <n v="1620"/>
    <n v="34.970833333333331"/>
    <s v="Profit"/>
    <s v="Karthik Chopra"/>
    <x v="1"/>
    <x v="3"/>
    <s v="Guwahati"/>
    <s v="Assam"/>
    <s v="2024-09-09"/>
    <s v="18-25"/>
    <n v="566.52750000000003"/>
  </r>
  <r>
    <s v="ORD02451"/>
    <d v="2025-11-24T00:00:00"/>
    <s v="CUST0326"/>
    <x v="0"/>
    <x v="0"/>
    <n v="1"/>
    <n v="0"/>
    <n v="14000"/>
    <n v="2800"/>
    <x v="2"/>
    <s v="Delivered"/>
    <n v="14000"/>
    <n v="20"/>
    <s v="Profit"/>
    <s v="Karthik Das"/>
    <x v="0"/>
    <x v="2"/>
    <s v="Lucknow"/>
    <s v="Uttar Pradesh"/>
    <s v="2025-07-07"/>
    <s v="51+"/>
    <n v="2800"/>
  </r>
  <r>
    <s v="ORD02452"/>
    <d v="2025-11-29T00:00:00"/>
    <s v="CUST0274"/>
    <x v="0"/>
    <x v="7"/>
    <n v="3"/>
    <n v="0.05"/>
    <n v="2565"/>
    <n v="778.09"/>
    <x v="0"/>
    <s v="Delivered"/>
    <n v="855"/>
    <n v="30.334892787524371"/>
    <s v="Profit"/>
    <s v="Meera Bose"/>
    <x v="1"/>
    <x v="0"/>
    <s v="Hyderabad"/>
    <s v="Telangana"/>
    <s v="2025-01-06"/>
    <s v="26-35"/>
    <n v="259.36333333333329"/>
  </r>
  <r>
    <s v="ORD02453"/>
    <d v="2026-08-22T00:00:00"/>
    <s v="CUST0367"/>
    <x v="0"/>
    <x v="14"/>
    <n v="6"/>
    <n v="0.1"/>
    <n v="2430"/>
    <n v="-663.64"/>
    <x v="3"/>
    <s v="Returned"/>
    <n v="405"/>
    <n v="-27.310288065843618"/>
    <s v="Loss"/>
    <s v="Harini Kulkarni"/>
    <x v="0"/>
    <x v="3"/>
    <s v="Bhubaneswar"/>
    <s v="Odisha"/>
    <s v="2025-10-09"/>
    <s v="18-25"/>
    <n v="-110.6066666666667"/>
  </r>
  <r>
    <s v="ORD02454"/>
    <d v="2026-03-13T00:00:00"/>
    <s v="CUST0569"/>
    <x v="3"/>
    <x v="11"/>
    <n v="3"/>
    <n v="0.3"/>
    <n v="5250"/>
    <n v="581.27"/>
    <x v="1"/>
    <s v="Delivered"/>
    <n v="1750"/>
    <n v="11.07180952380952"/>
    <s v="Profit"/>
    <s v="Arjun Menon"/>
    <x v="2"/>
    <x v="1"/>
    <s v="Ahmedabad"/>
    <s v="Gujarat"/>
    <s v="2023-09-24"/>
    <s v="26-35"/>
    <n v="193.75666666666669"/>
  </r>
  <r>
    <s v="ORD02455"/>
    <d v="2025-11-10T00:00:00"/>
    <s v="CUST0342"/>
    <x v="2"/>
    <x v="3"/>
    <n v="3"/>
    <n v="0.15"/>
    <n v="38250"/>
    <n v="6632.6"/>
    <x v="3"/>
    <s v="Delivered"/>
    <n v="12750"/>
    <n v="17.340130718954249"/>
    <s v="Profit"/>
    <s v="Rohan Rao"/>
    <x v="0"/>
    <x v="3"/>
    <s v="Guwahati"/>
    <s v="Assam"/>
    <s v="2023-02-17"/>
    <s v="26-35"/>
    <n v="2210.8666666666668"/>
  </r>
  <r>
    <s v="ORD02456"/>
    <d v="2026-06-09T00:00:00"/>
    <s v="CUST0241"/>
    <x v="1"/>
    <x v="15"/>
    <n v="1"/>
    <n v="0.1"/>
    <n v="1980"/>
    <n v="581.73"/>
    <x v="0"/>
    <s v="Shipped"/>
    <n v="1980"/>
    <n v="29.380303030303029"/>
    <s v="Profit"/>
    <s v="Harini Menon"/>
    <x v="0"/>
    <x v="1"/>
    <s v="Pune"/>
    <s v="Maharashtra"/>
    <s v="2023-01-16"/>
    <s v="18-25"/>
    <n v="581.73"/>
  </r>
  <r>
    <s v="ORD02457"/>
    <d v="2025-12-09T00:00:00"/>
    <s v="CUST0211"/>
    <x v="3"/>
    <x v="10"/>
    <n v="2"/>
    <n v="0"/>
    <n v="110000"/>
    <n v="18000"/>
    <x v="1"/>
    <s v="Delivered"/>
    <n v="55000"/>
    <n v="16.36363636363636"/>
    <s v="Profit"/>
    <s v="Akash Kulkarni"/>
    <x v="0"/>
    <x v="1"/>
    <s v="Surat"/>
    <s v="Gujarat"/>
    <s v="2024-06-07"/>
    <s v="36-50"/>
    <n v="9000"/>
  </r>
  <r>
    <s v="ORD02458"/>
    <d v="2026-05-27T00:00:00"/>
    <s v="CUST0503"/>
    <x v="1"/>
    <x v="13"/>
    <n v="1"/>
    <n v="0.05"/>
    <n v="3990"/>
    <n v="1093.96"/>
    <x v="3"/>
    <s v="Delivered"/>
    <n v="3990"/>
    <n v="27.417543859649129"/>
    <s v="Profit"/>
    <s v="Manoj Nair"/>
    <x v="2"/>
    <x v="0"/>
    <s v="Hyderabad"/>
    <s v="Telangana"/>
    <s v="2025-08-16"/>
    <s v="51+"/>
    <n v="1093.96"/>
  </r>
  <r>
    <s v="ORD02459"/>
    <d v="2026-05-12T00:00:00"/>
    <s v="CUST0269"/>
    <x v="2"/>
    <x v="2"/>
    <n v="4"/>
    <n v="0.05"/>
    <n v="49400"/>
    <n v="10725.65"/>
    <x v="1"/>
    <s v="Delivered"/>
    <n v="12350"/>
    <n v="21.711842105263159"/>
    <s v="Profit"/>
    <s v="Manoj Das"/>
    <x v="1"/>
    <x v="2"/>
    <s v="Delhi"/>
    <s v="Delhi"/>
    <s v="2025-06-23"/>
    <s v="36-50"/>
    <n v="2681.4124999999999"/>
  </r>
  <r>
    <s v="ORD02460"/>
    <d v="2025-07-24T00:00:00"/>
    <s v="CUST0041"/>
    <x v="3"/>
    <x v="8"/>
    <n v="1"/>
    <n v="0"/>
    <n v="4500"/>
    <n v="-1052.71"/>
    <x v="0"/>
    <s v="Returned"/>
    <n v="4500"/>
    <n v="-23.393555555555562"/>
    <s v="Loss"/>
    <s v="Priya Iyer"/>
    <x v="0"/>
    <x v="0"/>
    <s v="Hyderabad"/>
    <s v="Telangana"/>
    <s v="2023-09-13"/>
    <s v="26-35"/>
    <n v="-1052.71"/>
  </r>
  <r>
    <s v="ORD02461"/>
    <d v="2026-01-22T00:00:00"/>
    <s v="CUST0139"/>
    <x v="2"/>
    <x v="3"/>
    <n v="2"/>
    <n v="0"/>
    <n v="30000"/>
    <n v="7000"/>
    <x v="1"/>
    <s v="Delivered"/>
    <n v="15000"/>
    <n v="23.333333333333329"/>
    <s v="Profit"/>
    <s v="Lakshmi Das"/>
    <x v="1"/>
    <x v="1"/>
    <s v="Surat"/>
    <s v="Gujarat"/>
    <s v="2023-05-25"/>
    <s v="36-50"/>
    <n v="3500"/>
  </r>
  <r>
    <s v="ORD02462"/>
    <d v="2025-07-20T00:00:00"/>
    <s v="CUST0538"/>
    <x v="0"/>
    <x v="6"/>
    <n v="3"/>
    <n v="0"/>
    <n v="1050"/>
    <n v="-293.35000000000002"/>
    <x v="0"/>
    <s v="Returned"/>
    <n v="350"/>
    <n v="-27.93809523809524"/>
    <s v="Loss"/>
    <s v="Sanjay Chopra"/>
    <x v="1"/>
    <x v="0"/>
    <s v="Coimbatore"/>
    <s v="Tamil Nadu"/>
    <s v="2024-01-09"/>
    <s v="36-50"/>
    <n v="-97.783333333333346"/>
  </r>
  <r>
    <s v="ORD02463"/>
    <d v="2026-07-02T00:00:00"/>
    <s v="CUST0114"/>
    <x v="2"/>
    <x v="3"/>
    <n v="2"/>
    <n v="0.05"/>
    <n v="28500"/>
    <n v="5844.89"/>
    <x v="3"/>
    <s v="Delivered"/>
    <n v="14250"/>
    <n v="20.508385964912279"/>
    <s v="Profit"/>
    <s v="Aarav Reddy"/>
    <x v="1"/>
    <x v="0"/>
    <s v="Coimbatore"/>
    <s v="Tamil Nadu"/>
    <s v="2023-11-15"/>
    <s v="18-25"/>
    <n v="2922.4450000000002"/>
  </r>
  <r>
    <s v="ORD02464"/>
    <d v="2026-04-28T00:00:00"/>
    <s v="CUST0284"/>
    <x v="1"/>
    <x v="12"/>
    <n v="2"/>
    <n v="0.15"/>
    <n v="2380"/>
    <n v="671.06"/>
    <x v="1"/>
    <s v="Shipped"/>
    <n v="1190"/>
    <n v="28.195798319327729"/>
    <s v="Profit"/>
    <s v="Pooja Mehta"/>
    <x v="0"/>
    <x v="0"/>
    <s v="Chennai"/>
    <s v="Tamil Nadu"/>
    <s v="2024-07-24"/>
    <s v="36-50"/>
    <n v="335.53"/>
  </r>
  <r>
    <s v="ORD02465"/>
    <d v="2026-01-15T00:00:00"/>
    <s v="CUST0432"/>
    <x v="3"/>
    <x v="4"/>
    <n v="4"/>
    <n v="0.15"/>
    <n v="61200"/>
    <n v="5936.15"/>
    <x v="2"/>
    <s v="Delivered"/>
    <n v="15300"/>
    <n v="9.6995915032679729"/>
    <s v="Profit"/>
    <s v="Pooja Singh"/>
    <x v="1"/>
    <x v="0"/>
    <s v="Coimbatore"/>
    <s v="Tamil Nadu"/>
    <s v="2023-02-17"/>
    <s v="18-25"/>
    <n v="1484.0374999999999"/>
  </r>
  <r>
    <s v="ORD02466"/>
    <d v="2025-09-26T00:00:00"/>
    <s v="CUST0014"/>
    <x v="3"/>
    <x v="11"/>
    <n v="10"/>
    <n v="0.2"/>
    <n v="20000"/>
    <n v="3765.72"/>
    <x v="1"/>
    <s v="Delivered"/>
    <n v="2000"/>
    <n v="18.828600000000002"/>
    <s v="Profit"/>
    <s v="Lakshmi Verma"/>
    <x v="2"/>
    <x v="0"/>
    <s v="Chennai"/>
    <s v="Tamil Nadu"/>
    <s v="2024-11-24"/>
    <s v="36-50"/>
    <n v="376.572"/>
  </r>
  <r>
    <s v="ORD02467"/>
    <d v="2025-12-04T00:00:00"/>
    <s v="CUST0049"/>
    <x v="2"/>
    <x v="2"/>
    <n v="15"/>
    <n v="0"/>
    <n v="195000"/>
    <n v="48000"/>
    <x v="0"/>
    <s v="Delivered"/>
    <n v="13000"/>
    <n v="24.61538461538462"/>
    <s v="Profit"/>
    <s v="Lakshmi Kulkarni"/>
    <x v="0"/>
    <x v="1"/>
    <s v="Ahmedabad"/>
    <s v="Gujarat"/>
    <s v="2023-01-08"/>
    <s v="26-35"/>
    <n v="3200"/>
  </r>
  <r>
    <s v="ORD02468"/>
    <d v="2025-11-26T00:00:00"/>
    <s v="CUST0137"/>
    <x v="3"/>
    <x v="8"/>
    <n v="1"/>
    <n v="0.05"/>
    <n v="4275"/>
    <n v="1395.52"/>
    <x v="3"/>
    <s v="Delivered"/>
    <n v="4275"/>
    <n v="32.643742690058481"/>
    <s v="Profit"/>
    <s v="Nisha Rao"/>
    <x v="1"/>
    <x v="2"/>
    <s v="Delhi"/>
    <s v="Delhi"/>
    <s v="2024-07-02"/>
    <s v="26-35"/>
    <n v="1395.52"/>
  </r>
  <r>
    <s v="ORD02469"/>
    <d v="2026-03-01T00:00:00"/>
    <s v="CUST0166"/>
    <x v="1"/>
    <x v="1"/>
    <n v="2"/>
    <n v="0.1"/>
    <n v="3240"/>
    <n v="1097.47"/>
    <x v="3"/>
    <s v="Delivered"/>
    <n v="1620"/>
    <n v="33.872530864197529"/>
    <s v="Profit"/>
    <s v="Arjun Gupta"/>
    <x v="2"/>
    <x v="0"/>
    <s v="Chennai"/>
    <s v="Tamil Nadu"/>
    <s v="2024-10-19"/>
    <s v="18-25"/>
    <n v="548.73500000000001"/>
  </r>
  <r>
    <s v="ORD02470"/>
    <d v="2025-09-18T00:00:00"/>
    <s v="CUST0457"/>
    <x v="0"/>
    <x v="6"/>
    <n v="5"/>
    <n v="0.05"/>
    <n v="1662.5"/>
    <n v="540.36"/>
    <x v="3"/>
    <s v="Delivered"/>
    <n v="332.5"/>
    <n v="32.502857142857152"/>
    <s v="Profit"/>
    <s v="Karthik Bose"/>
    <x v="2"/>
    <x v="0"/>
    <s v="Hyderabad"/>
    <s v="Telangana"/>
    <s v="2025-04-05"/>
    <s v="51+"/>
    <n v="108.072"/>
  </r>
  <r>
    <s v="ORD02471"/>
    <d v="2026-08-07T00:00:00"/>
    <s v="CUST0479"/>
    <x v="3"/>
    <x v="4"/>
    <n v="3"/>
    <n v="0.2"/>
    <n v="43200"/>
    <n v="4359.63"/>
    <x v="0"/>
    <s v="Delivered"/>
    <n v="14400"/>
    <n v="10.091736111111111"/>
    <s v="Profit"/>
    <s v="Rohan Sharma"/>
    <x v="0"/>
    <x v="3"/>
    <s v="Guwahati"/>
    <s v="Assam"/>
    <s v="2023-04-27"/>
    <s v="36-50"/>
    <n v="1453.21"/>
  </r>
  <r>
    <s v="ORD02472"/>
    <d v="2026-08-25T00:00:00"/>
    <s v="CUST0028"/>
    <x v="2"/>
    <x v="9"/>
    <n v="3"/>
    <n v="0"/>
    <n v="27000"/>
    <n v="6900"/>
    <x v="0"/>
    <s v="Delivered"/>
    <n v="9000"/>
    <n v="25.55555555555555"/>
    <s v="Profit"/>
    <s v="Manoj Menon"/>
    <x v="0"/>
    <x v="1"/>
    <s v="Pune"/>
    <s v="Maharashtra"/>
    <s v="2023-11-15"/>
    <s v="36-50"/>
    <n v="2300"/>
  </r>
  <r>
    <s v="ORD02473"/>
    <d v="2026-04-04T00:00:00"/>
    <s v="CUST0343"/>
    <x v="1"/>
    <x v="15"/>
    <n v="1"/>
    <n v="0.05"/>
    <n v="2090"/>
    <n v="694.46"/>
    <x v="2"/>
    <s v="Delivered"/>
    <n v="2090"/>
    <n v="33.22775119617225"/>
    <s v="Profit"/>
    <s v="Meera Iyer"/>
    <x v="0"/>
    <x v="0"/>
    <s v="Bengaluru"/>
    <s v="Karnataka"/>
    <s v="2024-08-02"/>
    <s v="36-50"/>
    <n v="694.46"/>
  </r>
  <r>
    <s v="ORD02474"/>
    <d v="2026-05-01T00:00:00"/>
    <s v="CUST0145"/>
    <x v="1"/>
    <x v="1"/>
    <n v="5"/>
    <n v="0.15"/>
    <n v="7650"/>
    <n v="2388.64"/>
    <x v="2"/>
    <s v="Delivered"/>
    <n v="1530"/>
    <n v="31.224052287581699"/>
    <s v="Profit"/>
    <s v="Arjun Das"/>
    <x v="0"/>
    <x v="1"/>
    <s v="Ahmedabad"/>
    <s v="Gujarat"/>
    <s v="2023-06-06"/>
    <s v="51+"/>
    <n v="477.72800000000001"/>
  </r>
  <r>
    <s v="ORD02475"/>
    <d v="2026-03-07T00:00:00"/>
    <s v="CUST0079"/>
    <x v="1"/>
    <x v="1"/>
    <n v="3"/>
    <n v="0.05"/>
    <n v="5130"/>
    <n v="1739.4"/>
    <x v="2"/>
    <s v="Delivered"/>
    <n v="1710"/>
    <n v="33.906432748538009"/>
    <s v="Profit"/>
    <s v="Akash Mehta"/>
    <x v="0"/>
    <x v="0"/>
    <s v="Chennai"/>
    <s v="Tamil Nadu"/>
    <s v="2024-07-12"/>
    <s v="51+"/>
    <n v="579.80000000000007"/>
  </r>
  <r>
    <s v="ORD02476"/>
    <d v="2025-12-04T00:00:00"/>
    <s v="CUST0041"/>
    <x v="0"/>
    <x v="14"/>
    <n v="5"/>
    <n v="0.05"/>
    <n v="2137.5"/>
    <n v="477.15"/>
    <x v="3"/>
    <s v="Delivered"/>
    <n v="427.5"/>
    <n v="22.322807017543859"/>
    <s v="Profit"/>
    <s v="Priya Iyer"/>
    <x v="0"/>
    <x v="0"/>
    <s v="Hyderabad"/>
    <s v="Telangana"/>
    <s v="2023-09-13"/>
    <s v="26-35"/>
    <n v="95.429999999999993"/>
  </r>
  <r>
    <s v="ORD02477"/>
    <d v="2025-08-25T00:00:00"/>
    <s v="CUST0023"/>
    <x v="3"/>
    <x v="8"/>
    <n v="4"/>
    <n v="0.1"/>
    <n v="16200"/>
    <n v="4917.78"/>
    <x v="3"/>
    <s v="Delivered"/>
    <n v="4050"/>
    <n v="30.356666666666669"/>
    <s v="Profit"/>
    <s v="Diya Naidu"/>
    <x v="0"/>
    <x v="3"/>
    <s v="Guwahati"/>
    <s v="Assam"/>
    <s v="2024-03-23"/>
    <s v="36-50"/>
    <n v="1229.4449999999999"/>
  </r>
  <r>
    <s v="ORD02478"/>
    <d v="2026-03-04T00:00:00"/>
    <s v="CUST0204"/>
    <x v="2"/>
    <x v="5"/>
    <n v="2"/>
    <n v="0.15"/>
    <n v="18700"/>
    <n v="3352"/>
    <x v="3"/>
    <s v="Delivered"/>
    <n v="9350"/>
    <n v="17.925133689839569"/>
    <s v="Profit"/>
    <s v="Karthik Mehta"/>
    <x v="0"/>
    <x v="1"/>
    <s v="Surat"/>
    <s v="Gujarat"/>
    <s v="2025-07-25"/>
    <s v="26-35"/>
    <n v="1676"/>
  </r>
  <r>
    <s v="ORD02479"/>
    <d v="2026-05-27T00:00:00"/>
    <s v="CUST0468"/>
    <x v="2"/>
    <x v="3"/>
    <n v="10"/>
    <n v="0.15"/>
    <n v="127500"/>
    <n v="24505.69"/>
    <x v="0"/>
    <s v="Delivered"/>
    <n v="12750"/>
    <n v="19.220149019607842"/>
    <s v="Profit"/>
    <s v="Lakshmi Mehta"/>
    <x v="1"/>
    <x v="0"/>
    <s v="Chennai"/>
    <s v="Tamil Nadu"/>
    <s v="2023-03-02"/>
    <s v="26-35"/>
    <n v="2450.569"/>
  </r>
  <r>
    <s v="ORD02480"/>
    <d v="2026-02-27T00:00:00"/>
    <s v="CUST0148"/>
    <x v="3"/>
    <x v="11"/>
    <n v="1"/>
    <n v="0"/>
    <n v="2500"/>
    <n v="159.38"/>
    <x v="0"/>
    <s v="Returned"/>
    <n v="2500"/>
    <n v="6.3752000000000004"/>
    <s v="Profit"/>
    <s v="Sanjay Mishra"/>
    <x v="0"/>
    <x v="3"/>
    <s v="Bhubaneswar"/>
    <s v="Odisha"/>
    <s v="2023-09-04"/>
    <s v="51+"/>
    <n v="159.38"/>
  </r>
  <r>
    <s v="ORD02481"/>
    <d v="2026-07-28T00:00:00"/>
    <s v="CUST0385"/>
    <x v="1"/>
    <x v="15"/>
    <n v="4"/>
    <n v="0.1"/>
    <n v="7920"/>
    <n v="-3069.07"/>
    <x v="3"/>
    <s v="Returned"/>
    <n v="1980"/>
    <n v="-38.750883838383842"/>
    <s v="Loss"/>
    <s v="Karthik Singh"/>
    <x v="0"/>
    <x v="0"/>
    <s v="Coimbatore"/>
    <s v="Tamil Nadu"/>
    <s v="2023-06-06"/>
    <s v="26-35"/>
    <n v="-767.26750000000004"/>
  </r>
  <r>
    <s v="ORD02482"/>
    <d v="2026-01-17T00:00:00"/>
    <s v="CUST0143"/>
    <x v="0"/>
    <x v="0"/>
    <n v="3"/>
    <n v="0"/>
    <n v="42000"/>
    <n v="8400"/>
    <x v="1"/>
    <s v="Delivered"/>
    <n v="14000"/>
    <n v="20"/>
    <s v="Profit"/>
    <s v="Ananya Naidu"/>
    <x v="2"/>
    <x v="0"/>
    <s v="Bengaluru"/>
    <s v="Karnataka"/>
    <s v="2023-04-11"/>
    <s v="36-50"/>
    <n v="2800"/>
  </r>
  <r>
    <s v="ORD02483"/>
    <d v="2026-07-02T00:00:00"/>
    <s v="CUST0600"/>
    <x v="3"/>
    <x v="4"/>
    <n v="6"/>
    <n v="0.2"/>
    <n v="86400"/>
    <n v="-51842.21"/>
    <x v="0"/>
    <s v="Returned"/>
    <n v="14400"/>
    <n v="-60.002557870370367"/>
    <s v="Loss"/>
    <s v="Shreya Sharma"/>
    <x v="2"/>
    <x v="2"/>
    <s v="Jaipur"/>
    <s v="Rajasthan"/>
    <s v="2024-09-15"/>
    <s v="36-50"/>
    <n v="-8640.3683333333338"/>
  </r>
  <r>
    <s v="ORD02484"/>
    <d v="2026-02-09T00:00:00"/>
    <s v="CUST0207"/>
    <x v="1"/>
    <x v="1"/>
    <n v="3"/>
    <n v="0.3"/>
    <n v="3780"/>
    <n v="742.03"/>
    <x v="3"/>
    <s v="Delivered"/>
    <n v="1260"/>
    <n v="19.63042328042328"/>
    <s v="Profit"/>
    <s v="Divya Chopra"/>
    <x v="0"/>
    <x v="1"/>
    <s v="Pune"/>
    <s v="Maharashtra"/>
    <s v="2025-03-02"/>
    <s v="26-35"/>
    <n v="247.34333333333331"/>
  </r>
  <r>
    <s v="ORD02485"/>
    <d v="2026-01-10T00:00:00"/>
    <s v="CUST0228"/>
    <x v="2"/>
    <x v="9"/>
    <n v="3"/>
    <n v="0.05"/>
    <n v="25650"/>
    <n v="6064.47"/>
    <x v="3"/>
    <s v="Delivered"/>
    <n v="8550"/>
    <n v="23.643157894736849"/>
    <s v="Profit"/>
    <s v="Rohan Reddy"/>
    <x v="2"/>
    <x v="0"/>
    <s v="Coimbatore"/>
    <s v="Tamil Nadu"/>
    <s v="2025-11-28"/>
    <s v="36-50"/>
    <n v="2021.49"/>
  </r>
  <r>
    <s v="ORD02486"/>
    <d v="2026-05-18T00:00:00"/>
    <s v="CUST0366"/>
    <x v="3"/>
    <x v="8"/>
    <n v="2"/>
    <n v="0.1"/>
    <n v="8100"/>
    <n v="2474.6"/>
    <x v="0"/>
    <s v="Delivered"/>
    <n v="4050"/>
    <n v="30.550617283950611"/>
    <s v="Profit"/>
    <s v="Priya Rao"/>
    <x v="2"/>
    <x v="3"/>
    <s v="Bhubaneswar"/>
    <s v="Odisha"/>
    <s v="2023-03-13"/>
    <s v="26-35"/>
    <n v="1237.3"/>
  </r>
  <r>
    <s v="ORD02487"/>
    <d v="2026-05-02T00:00:00"/>
    <s v="CUST0352"/>
    <x v="3"/>
    <x v="11"/>
    <n v="2"/>
    <n v="0"/>
    <n v="5000"/>
    <n v="1600"/>
    <x v="0"/>
    <s v="Delivered"/>
    <n v="2500"/>
    <n v="32"/>
    <s v="Profit"/>
    <s v="Ishaan Verma"/>
    <x v="0"/>
    <x v="1"/>
    <s v="Ahmedabad"/>
    <s v="Gujarat"/>
    <s v="2024-05-01"/>
    <s v="51+"/>
    <n v="800"/>
  </r>
  <r>
    <s v="ORD02488"/>
    <d v="2025-07-15T00:00:00"/>
    <s v="CUST0212"/>
    <x v="0"/>
    <x v="7"/>
    <n v="2"/>
    <n v="0.15"/>
    <n v="1530"/>
    <n v="-788.04"/>
    <x v="1"/>
    <s v="Cancelled"/>
    <n v="765"/>
    <n v="-51.505882352941178"/>
    <s v="Loss"/>
    <s v="Vikram Singh"/>
    <x v="0"/>
    <x v="1"/>
    <s v="Mumbai"/>
    <s v="Maharashtra"/>
    <s v="2025-06-26"/>
    <s v="26-35"/>
    <n v="-394.02"/>
  </r>
  <r>
    <s v="ORD02489"/>
    <d v="2026-06-23T00:00:00"/>
    <s v="CUST0475"/>
    <x v="2"/>
    <x v="3"/>
    <n v="1"/>
    <n v="0.15"/>
    <n v="12750"/>
    <n v="2132.79"/>
    <x v="1"/>
    <s v="Delivered"/>
    <n v="12750"/>
    <n v="16.72776470588235"/>
    <s v="Profit"/>
    <s v="Divya Verma"/>
    <x v="0"/>
    <x v="0"/>
    <s v="Bengaluru"/>
    <s v="Karnataka"/>
    <s v="2025-12-10"/>
    <s v="26-35"/>
    <n v="2132.79"/>
  </r>
  <r>
    <s v="ORD02490"/>
    <d v="2025-07-06T00:00:00"/>
    <s v="CUST0464"/>
    <x v="1"/>
    <x v="15"/>
    <n v="1"/>
    <n v="0.1"/>
    <n v="1980"/>
    <n v="630.15"/>
    <x v="0"/>
    <s v="Delivered"/>
    <n v="1980"/>
    <n v="31.825757575757571"/>
    <s v="Profit"/>
    <s v="Arjun Gupta"/>
    <x v="2"/>
    <x v="2"/>
    <s v="Jaipur"/>
    <s v="Rajasthan"/>
    <s v="2024-06-16"/>
    <s v="36-50"/>
    <n v="630.15"/>
  </r>
  <r>
    <s v="ORD02491"/>
    <d v="2026-07-17T00:00:00"/>
    <s v="CUST0191"/>
    <x v="0"/>
    <x v="14"/>
    <n v="2"/>
    <n v="0"/>
    <n v="900"/>
    <n v="220"/>
    <x v="1"/>
    <s v="Delivered"/>
    <n v="450"/>
    <n v="24.444444444444439"/>
    <s v="Profit"/>
    <s v="Nisha Verma"/>
    <x v="0"/>
    <x v="2"/>
    <s v="Delhi"/>
    <s v="Delhi"/>
    <s v="2023-10-05"/>
    <s v="18-25"/>
    <n v="110"/>
  </r>
  <r>
    <s v="ORD02492"/>
    <d v="2025-08-20T00:00:00"/>
    <s v="CUST0041"/>
    <x v="1"/>
    <x v="1"/>
    <n v="1"/>
    <n v="0"/>
    <n v="1800"/>
    <n v="650"/>
    <x v="3"/>
    <s v="Delivered"/>
    <n v="1800"/>
    <n v="36.111111111111107"/>
    <s v="Profit"/>
    <s v="Priya Iyer"/>
    <x v="0"/>
    <x v="0"/>
    <s v="Hyderabad"/>
    <s v="Telangana"/>
    <s v="2023-09-13"/>
    <s v="26-35"/>
    <n v="650"/>
  </r>
  <r>
    <s v="ORD02493"/>
    <d v="2026-06-12T00:00:00"/>
    <s v="CUST0086"/>
    <x v="1"/>
    <x v="1"/>
    <n v="6"/>
    <n v="0"/>
    <n v="10800"/>
    <n v="3900"/>
    <x v="0"/>
    <s v="Delivered"/>
    <n v="1800"/>
    <n v="36.111111111111107"/>
    <s v="Profit"/>
    <s v="Pooja Khan"/>
    <x v="2"/>
    <x v="1"/>
    <s v=" Chennai "/>
    <s v="Maharashtra"/>
    <s v="2023-05-28"/>
    <s v="36-50"/>
    <n v="650"/>
  </r>
  <r>
    <s v="ORD02494"/>
    <d v="2026-02-09T00:00:00"/>
    <s v="CUST0061"/>
    <x v="0"/>
    <x v="7"/>
    <n v="6"/>
    <n v="0.1"/>
    <n v="4860"/>
    <n v="1223.3699999999999"/>
    <x v="3"/>
    <s v="Delivered"/>
    <n v="810"/>
    <n v="25.172222222222221"/>
    <s v="Profit"/>
    <s v="Meera Kulkarni"/>
    <x v="0"/>
    <x v="0"/>
    <s v="Bengaluru"/>
    <s v="Karnataka"/>
    <s v="2024-11-07"/>
    <s v="18-25"/>
    <n v="203.89500000000001"/>
  </r>
  <r>
    <s v="ORD02495"/>
    <d v="2026-02-21T00:00:00"/>
    <s v="CUST0599"/>
    <x v="2"/>
    <x v="3"/>
    <n v="6"/>
    <n v="0.1"/>
    <n v="81000"/>
    <n v="13687.75"/>
    <x v="1"/>
    <s v="Delivered"/>
    <n v="13500"/>
    <n v="16.898456790123461"/>
    <s v="Profit"/>
    <s v="Rahul Das"/>
    <x v="1"/>
    <x v="0"/>
    <s v="Coimbatore"/>
    <s v="Tamil Nadu"/>
    <s v="2024-01-12"/>
    <s v="26-35"/>
    <n v="2281.291666666667"/>
  </r>
  <r>
    <s v="ORD02496"/>
    <d v="2026-07-12T00:00:00"/>
    <s v="CUST0189"/>
    <x v="0"/>
    <x v="6"/>
    <n v="1"/>
    <n v="0"/>
    <n v="350"/>
    <n v="120"/>
    <x v="0"/>
    <s v="Shipped"/>
    <n v="350"/>
    <n v="34.285714285714278"/>
    <s v="Profit"/>
    <s v="Kavya Pillai"/>
    <x v="2"/>
    <x v="1"/>
    <s v="Mumbai"/>
    <s v="Maharashtra"/>
    <s v="2023-12-12"/>
    <s v="18-25"/>
    <n v="120"/>
  </r>
  <r>
    <s v="ORD02497"/>
    <d v="2026-01-19T00:00:00"/>
    <s v="CUST0353"/>
    <x v="1"/>
    <x v="12"/>
    <n v="2"/>
    <n v="0"/>
    <n v="2800"/>
    <n v="1000"/>
    <x v="0"/>
    <s v="Delivered"/>
    <n v="1400"/>
    <n v="35.714285714285722"/>
    <s v="Profit"/>
    <s v="Aditya Iyer"/>
    <x v="2"/>
    <x v="0"/>
    <s v="Hyderabad"/>
    <s v="Telangana"/>
    <s v="2024-08-21"/>
    <s v="36-50"/>
    <n v="500"/>
  </r>
  <r>
    <s v="ORD02498"/>
    <d v="2025-10-25T00:00:00"/>
    <s v="CUST0162"/>
    <x v="3"/>
    <x v="4"/>
    <n v="1"/>
    <n v="0"/>
    <n v="18000"/>
    <n v="3500"/>
    <x v="3"/>
    <s v="Delivered"/>
    <n v="18000"/>
    <n v="19.44444444444445"/>
    <s v="Profit"/>
    <s v="Lakshmi Bose"/>
    <x v="0"/>
    <x v="0"/>
    <s v="Bengaluru"/>
    <s v="Karnataka"/>
    <s v="2025-06-13"/>
    <s v="26-35"/>
    <n v="3500"/>
  </r>
  <r>
    <s v="ORD02499"/>
    <d v="2025-10-25T00:00:00"/>
    <s v="CUST0338"/>
    <x v="1"/>
    <x v="12"/>
    <n v="1"/>
    <n v="0.1"/>
    <n v="1260"/>
    <n v="-141.47"/>
    <x v="1"/>
    <s v="Cancelled"/>
    <n v="1260"/>
    <n v="-11.22777777777778"/>
    <s v="Loss"/>
    <s v="Kavya Bose"/>
    <x v="1"/>
    <x v="0"/>
    <s v="Hyderabad"/>
    <s v="Telangana"/>
    <s v="2024-10-27"/>
    <s v="26-35"/>
    <n v="-141.47"/>
  </r>
  <r>
    <s v="ORD02500"/>
    <d v="2026-04-13T00:00:00"/>
    <s v="CUST0415"/>
    <x v="3"/>
    <x v="4"/>
    <n v="1"/>
    <n v="0.05"/>
    <n v="17100"/>
    <n v="3022.37"/>
    <x v="1"/>
    <s v="Delivered"/>
    <n v="17100"/>
    <n v="17.674678362573101"/>
    <s v="Profit"/>
    <s v="Manoj Bose"/>
    <x v="1"/>
    <x v="0"/>
    <s v="Bengaluru"/>
    <s v="Karnataka"/>
    <s v="2024-07-04"/>
    <s v="36-50"/>
    <n v="3022.37"/>
  </r>
  <r>
    <s v="ORD02502"/>
    <d v="2025-11-28T00:00:00"/>
    <s v="CUST0545"/>
    <x v="0"/>
    <x v="0"/>
    <n v="4"/>
    <n v="0.2"/>
    <n v="44800"/>
    <n v="4563.62"/>
    <x v="2"/>
    <s v="Delivered"/>
    <n v="11200"/>
    <n v="10.18665178571429"/>
    <s v="Profit"/>
    <s v="Manoj Mehta"/>
    <x v="2"/>
    <x v="0"/>
    <s v="Chennai"/>
    <s v="Tamil Nadu"/>
    <s v="2025-12-28"/>
    <s v="26-35"/>
    <n v="1140.905"/>
  </r>
  <r>
    <s v="ORD02503"/>
    <d v="2025-12-31T00:00:00"/>
    <s v="CUST0160"/>
    <x v="3"/>
    <x v="11"/>
    <n v="1"/>
    <n v="0"/>
    <n v="2500"/>
    <n v="71.69"/>
    <x v="1"/>
    <s v="Cancelled"/>
    <n v="2500"/>
    <n v="2.8675999999999999"/>
    <s v="Profit"/>
    <s v="Divya Sharma"/>
    <x v="2"/>
    <x v="0"/>
    <s v="Bengaluru"/>
    <s v="Karnataka"/>
    <s v="2024-09-25"/>
    <s v="18-25"/>
    <n v="71.69"/>
  </r>
  <r>
    <s v="ORD02504"/>
    <d v="2026-03-29T00:00:00"/>
    <s v="CUST0095"/>
    <x v="2"/>
    <x v="5"/>
    <n v="6"/>
    <n v="0.15"/>
    <n v="56100"/>
    <n v="-15449.98"/>
    <x v="3"/>
    <s v="Returned"/>
    <n v="9350"/>
    <n v="-27.540071301247771"/>
    <s v="Loss"/>
    <s v="Manoj Rao"/>
    <x v="1"/>
    <x v="3"/>
    <s v="Guwahati"/>
    <s v="Assam"/>
    <s v="2024-09-25"/>
    <s v="36-50"/>
    <n v="-2574.996666666666"/>
  </r>
  <r>
    <s v="ORD02505"/>
    <d v="2025-08-16T00:00:00"/>
    <s v="CUST0404"/>
    <x v="3"/>
    <x v="8"/>
    <n v="4"/>
    <n v="0.05"/>
    <n v="17100"/>
    <n v="-3504.41"/>
    <x v="2"/>
    <s v="Returned"/>
    <n v="4275"/>
    <n v="-20.49362573099415"/>
    <s v="Loss"/>
    <s v="Pooja Kulkarni"/>
    <x v="0"/>
    <x v="1"/>
    <s v="Ahmedabad"/>
    <s v="Gujarat"/>
    <s v="2025-04-01"/>
    <s v="36-50"/>
    <n v="-876.10249999999996"/>
  </r>
  <r>
    <s v="ORD02506"/>
    <d v="2025-10-08T00:00:00"/>
    <s v="CUST0014"/>
    <x v="3"/>
    <x v="4"/>
    <n v="2"/>
    <n v="0"/>
    <n v="36000"/>
    <n v="7000"/>
    <x v="1"/>
    <s v="Delivered"/>
    <n v="18000"/>
    <n v="19.44444444444445"/>
    <s v="Profit"/>
    <s v="Lakshmi Verma"/>
    <x v="2"/>
    <x v="0"/>
    <s v="Chennai"/>
    <s v="Tamil Nadu"/>
    <s v="2024-11-24"/>
    <s v="36-50"/>
    <n v="3500"/>
  </r>
  <r>
    <s v="ORD02507"/>
    <d v="2025-10-25T00:00:00"/>
    <s v="CUST0253"/>
    <x v="1"/>
    <x v="15"/>
    <n v="2"/>
    <n v="0.3"/>
    <n v="3080"/>
    <n v="389.18"/>
    <x v="2"/>
    <s v="Shipped"/>
    <n v="1540"/>
    <n v="12.63571428571429"/>
    <s v="Profit"/>
    <s v="Manoj Joshi"/>
    <x v="1"/>
    <x v="1"/>
    <s v="Ahmedabad"/>
    <s v="Gujarat"/>
    <s v="2025-01-11"/>
    <s v="36-50"/>
    <n v="194.59"/>
  </r>
  <r>
    <s v="ORD02508"/>
    <d v="2025-07-08T00:00:00"/>
    <s v="CUST0029"/>
    <x v="0"/>
    <x v="7"/>
    <n v="3"/>
    <n v="0"/>
    <n v="2700"/>
    <n v="840"/>
    <x v="1"/>
    <s v="Delivered"/>
    <n v="900"/>
    <n v="31.111111111111111"/>
    <s v="Profit"/>
    <s v="Rohan Kulkarni"/>
    <x v="0"/>
    <x v="1"/>
    <s v="Mumbai"/>
    <s v="Maharashtra"/>
    <s v="2023-04-17"/>
    <s v="36-50"/>
    <n v="280"/>
  </r>
  <r>
    <s v="ORD02509"/>
    <d v="2025-07-04T00:00:00"/>
    <s v="CUST0339"/>
    <x v="3"/>
    <x v="11"/>
    <n v="1"/>
    <n v="0.05"/>
    <n v="2375"/>
    <n v="-319.04000000000002"/>
    <x v="0"/>
    <s v="Cancelled"/>
    <n v="2375"/>
    <n v="-13.433263157894739"/>
    <s v="Loss"/>
    <s v="Meera Das"/>
    <x v="0"/>
    <x v="1"/>
    <s v="Mumbai"/>
    <s v="Maharashtra"/>
    <s v="2023-04-03"/>
    <s v="36-50"/>
    <n v="-319.04000000000002"/>
  </r>
  <r>
    <s v="ORD02510"/>
    <d v="2025-08-06T00:00:00"/>
    <s v="CUST0277"/>
    <x v="0"/>
    <x v="7"/>
    <n v="2"/>
    <n v="0"/>
    <n v="1800"/>
    <n v="560"/>
    <x v="1"/>
    <s v="Shipped"/>
    <n v="900"/>
    <n v="31.111111111111111"/>
    <s v="Profit"/>
    <s v="Pooja Sharma"/>
    <x v="1"/>
    <x v="3"/>
    <s v="Patna"/>
    <s v="Bihar"/>
    <s v="2025-02-27"/>
    <s v="18-25"/>
    <n v="280"/>
  </r>
  <r>
    <s v="ORD02511"/>
    <d v="2026-02-01T00:00:00"/>
    <s v="CUST0456"/>
    <x v="3"/>
    <x v="10"/>
    <n v="3"/>
    <n v="0"/>
    <n v="165000"/>
    <n v="27000"/>
    <x v="0"/>
    <s v="Delivered"/>
    <n v="55000"/>
    <n v="16.36363636363636"/>
    <s v="Profit"/>
    <s v="Ananya Das"/>
    <x v="0"/>
    <x v="3"/>
    <s v="Patna"/>
    <s v="Bihar"/>
    <s v="2025-06-07"/>
    <s v="18-25"/>
    <n v="9000"/>
  </r>
  <r>
    <s v="ORD02512"/>
    <d v="2026-05-22T00:00:00"/>
    <s v="CUST0340"/>
    <x v="0"/>
    <x v="7"/>
    <n v="2"/>
    <n v="0.15"/>
    <n v="1530"/>
    <n v="366.7"/>
    <x v="0"/>
    <s v="Delivered"/>
    <n v="765"/>
    <n v="23.967320261437909"/>
    <s v="Profit"/>
    <s v="Lakshmi Pillai"/>
    <x v="1"/>
    <x v="0"/>
    <s v="Chennai"/>
    <s v="Tamil Nadu"/>
    <s v="2023-11-04"/>
    <s v="18-25"/>
    <n v="183.35"/>
  </r>
  <r>
    <s v="ORD02513"/>
    <d v="2025-11-29T00:00:00"/>
    <s v="CUST0152"/>
    <x v="3"/>
    <x v="11"/>
    <n v="2"/>
    <n v="0.1"/>
    <n v="4500"/>
    <n v="1181.28"/>
    <x v="0"/>
    <s v="Delivered"/>
    <n v="2250"/>
    <n v="26.250666666666671"/>
    <s v="Profit"/>
    <s v="Harini Rao"/>
    <x v="0"/>
    <x v="0"/>
    <s v="Coimbatore"/>
    <s v="Tamil Nadu"/>
    <s v="2025-12-02"/>
    <s v="51+"/>
    <n v="590.64"/>
  </r>
  <r>
    <s v="ORD02514"/>
    <d v="2025-10-09T00:00:00"/>
    <s v="CUST0036"/>
    <x v="0"/>
    <x v="6"/>
    <n v="3"/>
    <n v="0.05"/>
    <n v="997.5"/>
    <n v="318.27999999999997"/>
    <x v="1"/>
    <s v="Delivered"/>
    <n v="332.5"/>
    <n v="31.9077694235589"/>
    <s v="Profit"/>
    <s v="Priya Patel"/>
    <x v="2"/>
    <x v="3"/>
    <s v="Guwahati"/>
    <s v="Assam"/>
    <s v="2023-10-18"/>
    <s v="26-35"/>
    <n v="106.09333333333331"/>
  </r>
  <r>
    <s v="ORD02515"/>
    <d v="2026-05-24T00:00:00"/>
    <s v="CUST0020"/>
    <x v="3"/>
    <x v="4"/>
    <n v="1"/>
    <n v="0.05"/>
    <n v="17100"/>
    <n v="2754.92"/>
    <x v="3"/>
    <s v="Shipped"/>
    <n v="17100"/>
    <n v="16.1106432748538"/>
    <s v="Profit"/>
    <s v="Aarav Pillai"/>
    <x v="0"/>
    <x v="2"/>
    <s v="Lucknow"/>
    <s v="Uttar Pradesh"/>
    <s v="2025-11-30"/>
    <s v="26-35"/>
    <n v="2754.92"/>
  </r>
  <r>
    <s v="ORD02516"/>
    <d v="2026-02-02T00:00:00"/>
    <s v="CUST0051"/>
    <x v="3"/>
    <x v="10"/>
    <n v="2"/>
    <n v="0.2"/>
    <n v="88000"/>
    <n v="1637.01"/>
    <x v="1"/>
    <s v="Delivered"/>
    <n v="44000"/>
    <n v="1.8602386363636361"/>
    <s v="Profit"/>
    <s v="Aditya Sharma"/>
    <x v="0"/>
    <x v="3"/>
    <s v="Guwahati"/>
    <s v="Assam"/>
    <s v="2025-06-30"/>
    <s v="26-35"/>
    <n v="818.505"/>
  </r>
  <r>
    <s v="ORD02517"/>
    <d v="2025-10-10T00:00:00"/>
    <s v="CUST0219"/>
    <x v="2"/>
    <x v="5"/>
    <n v="4"/>
    <n v="0.1"/>
    <n v="39600"/>
    <n v="7465.84"/>
    <x v="1"/>
    <s v="Shipped"/>
    <n v="9900"/>
    <n v="18.853131313131311"/>
    <s v="Profit"/>
    <s v="Rahul Menon"/>
    <x v="1"/>
    <x v="3"/>
    <s v="Patna"/>
    <s v="Bihar"/>
    <s v="2023-10-06"/>
    <s v="36-50"/>
    <n v="1866.46"/>
  </r>
  <r>
    <s v="ORD02518"/>
    <d v="2026-02-28T00:00:00"/>
    <s v="CUST0238"/>
    <x v="3"/>
    <x v="11"/>
    <n v="2"/>
    <n v="0.1"/>
    <n v="4500"/>
    <n v="1349.33"/>
    <x v="0"/>
    <s v="Delivered"/>
    <n v="2250"/>
    <n v="29.985111111111109"/>
    <s v="Profit"/>
    <s v="Vikram Sharma"/>
    <x v="2"/>
    <x v="0"/>
    <s v="Bengaluru"/>
    <s v="Karnataka"/>
    <s v="2025-03-30"/>
    <s v="26-35"/>
    <n v="674.66499999999996"/>
  </r>
  <r>
    <s v="ORD02519"/>
    <d v="2025-07-26T00:00:00"/>
    <s v="CUST0094"/>
    <x v="2"/>
    <x v="5"/>
    <n v="4"/>
    <n v="0.1"/>
    <n v="39600"/>
    <n v="7100.16"/>
    <x v="3"/>
    <s v="Delivered"/>
    <n v="9900"/>
    <n v="17.92969696969697"/>
    <s v="Profit"/>
    <s v="Akash Joshi"/>
    <x v="1"/>
    <x v="3"/>
    <s v="Kolkata"/>
    <s v="West Bengal"/>
    <s v="2025-06-22"/>
    <s v="36-50"/>
    <n v="1775.04"/>
  </r>
  <r>
    <s v="ORD02520"/>
    <d v="2025-08-17T00:00:00"/>
    <s v="CUST0583"/>
    <x v="1"/>
    <x v="13"/>
    <n v="3"/>
    <n v="0"/>
    <n v="12600"/>
    <n v="3600"/>
    <x v="1"/>
    <s v="Delivered"/>
    <n v="4200"/>
    <n v="28.571428571428569"/>
    <s v="Profit"/>
    <s v="Shreya Menon"/>
    <x v="2"/>
    <x v="1"/>
    <s v="Ahmedabad"/>
    <s v="Gujarat"/>
    <s v="2023-09-05"/>
    <s v="26-35"/>
    <n v="1200"/>
  </r>
  <r>
    <s v="ORD02521"/>
    <d v="2025-07-24T00:00:00"/>
    <s v="CUST0220"/>
    <x v="1"/>
    <x v="12"/>
    <n v="3"/>
    <n v="0.1"/>
    <n v="3780"/>
    <n v="1180.5"/>
    <x v="2"/>
    <s v="Delivered"/>
    <n v="1260"/>
    <n v="31.230158730158731"/>
    <s v="Profit"/>
    <s v="Pooja Kulkarni"/>
    <x v="0"/>
    <x v="1"/>
    <s v="Surat"/>
    <s v="Gujarat"/>
    <s v="2024-05-02"/>
    <s v="18-25"/>
    <n v="393.5"/>
  </r>
  <r>
    <s v="ORD02522"/>
    <d v="2026-01-31T00:00:00"/>
    <s v="CUST0319"/>
    <x v="0"/>
    <x v="6"/>
    <n v="1"/>
    <n v="0.05"/>
    <n v="332.5"/>
    <n v="106.06"/>
    <x v="3"/>
    <s v="Delivered"/>
    <n v="332.5"/>
    <n v="31.897744360902259"/>
    <s v="Profit"/>
    <s v="Vikram Sharma"/>
    <x v="0"/>
    <x v="0"/>
    <s v="Bengaluru"/>
    <s v="Karnataka"/>
    <s v="2024-01-16"/>
    <s v="26-35"/>
    <n v="106.06"/>
  </r>
  <r>
    <s v="ORD02523"/>
    <d v="2025-07-08T00:00:00"/>
    <s v="CUST0281"/>
    <x v="2"/>
    <x v="3"/>
    <n v="4"/>
    <n v="0.1"/>
    <n v="54000"/>
    <n v="-23219.34"/>
    <x v="3"/>
    <s v="Cancelled"/>
    <n v="13500"/>
    <n v="-42.998777777777782"/>
    <s v="Loss"/>
    <s v="Divya Reddy"/>
    <x v="0"/>
    <x v="0"/>
    <s v="Coimbatore"/>
    <s v="Tamil Nadu"/>
    <s v="2025-04-27"/>
    <s v="36-50"/>
    <n v="-5804.835"/>
  </r>
  <r>
    <s v="ORD02524"/>
    <d v="2026-07-27T00:00:00"/>
    <s v="CUST0531"/>
    <x v="2"/>
    <x v="3"/>
    <n v="4"/>
    <n v="0.1"/>
    <n v="54000"/>
    <n v="10814.83"/>
    <x v="0"/>
    <s v="Delivered"/>
    <n v="13500"/>
    <n v="20.027462962962961"/>
    <s v="Profit"/>
    <s v="Kavya Mishra"/>
    <x v="2"/>
    <x v="0"/>
    <s v="Coimbatore"/>
    <s v="Tamil Nadu"/>
    <s v="2023-10-06"/>
    <s v="26-35"/>
    <n v="2703.7075"/>
  </r>
  <r>
    <s v="ORD02525"/>
    <d v="2025-09-10T00:00:00"/>
    <s v="CUST0402"/>
    <x v="1"/>
    <x v="15"/>
    <n v="4"/>
    <n v="0.2"/>
    <n v="7040"/>
    <n v="1919.49"/>
    <x v="2"/>
    <s v="Delivered"/>
    <n v="1760"/>
    <n v="27.265482954545451"/>
    <s v="Profit"/>
    <s v="Diya Pillai"/>
    <x v="1"/>
    <x v="0"/>
    <s v="Chennai"/>
    <s v="Tamil Nadu"/>
    <s v="2025-08-08"/>
    <s v="36-50"/>
    <n v="479.8725"/>
  </r>
  <r>
    <s v="ORD02526"/>
    <d v="2026-05-07T00:00:00"/>
    <s v="CUST0461"/>
    <x v="2"/>
    <x v="3"/>
    <n v="2"/>
    <n v="0.1"/>
    <n v="27000"/>
    <n v="-6197.61"/>
    <x v="2"/>
    <s v="Cancelled"/>
    <n v="13500"/>
    <n v="-22.954111111111111"/>
    <s v="Loss"/>
    <s v="Shreya Sharma"/>
    <x v="0"/>
    <x v="1"/>
    <s v="Mumbai"/>
    <s v="Maharashtra"/>
    <s v="2024-05-10"/>
    <s v="26-35"/>
    <n v="-3098.8049999999998"/>
  </r>
  <r>
    <s v="ORD02527"/>
    <d v="2026-08-11T00:00:00"/>
    <s v="CUST0182"/>
    <x v="0"/>
    <x v="0"/>
    <n v="2"/>
    <n v="0"/>
    <n v="28000"/>
    <n v="5600"/>
    <x v="3"/>
    <s v="Delivered"/>
    <n v="14000"/>
    <n v="20"/>
    <s v="Profit"/>
    <s v="Shreya Iyer"/>
    <x v="2"/>
    <x v="3"/>
    <s v="Patna"/>
    <s v="Bihar"/>
    <s v="2023-07-03"/>
    <s v="36-50"/>
    <n v="2800"/>
  </r>
  <r>
    <s v="ORD02528"/>
    <d v="2026-04-25T00:00:00"/>
    <s v="CUST0455"/>
    <x v="0"/>
    <x v="6"/>
    <n v="4"/>
    <n v="0.15"/>
    <n v="1190"/>
    <n v="-134.76"/>
    <x v="3"/>
    <s v="Returned"/>
    <n v="297.5"/>
    <n v="-11.32436974789916"/>
    <s v="Loss"/>
    <s v="Priya Sharma"/>
    <x v="0"/>
    <x v="0"/>
    <s v="Hyderabad"/>
    <s v="Telangana"/>
    <s v="2023-12-10"/>
    <s v="26-35"/>
    <n v="-33.69"/>
  </r>
  <r>
    <s v="ORD02529"/>
    <d v="2025-11-09T00:00:00"/>
    <s v="CUST0527"/>
    <x v="2"/>
    <x v="9"/>
    <n v="2"/>
    <n v="0.1"/>
    <n v="16200"/>
    <n v="3571.51"/>
    <x v="1"/>
    <s v="Delivered"/>
    <n v="8100"/>
    <n v="22.046358024691362"/>
    <s v="Profit"/>
    <s v="Aarav Patel"/>
    <x v="0"/>
    <x v="0"/>
    <s v="Hyderabad"/>
    <s v="Telangana"/>
    <s v="2024-04-04"/>
    <s v="26-35"/>
    <n v="1785.7550000000001"/>
  </r>
  <r>
    <s v="ORD02530"/>
    <d v="2026-07-27T00:00:00"/>
    <s v="CUST0427"/>
    <x v="1"/>
    <x v="1"/>
    <n v="2"/>
    <n v="0"/>
    <n v="3600"/>
    <n v="1300"/>
    <x v="2"/>
    <s v="Delivered"/>
    <n v="1800"/>
    <n v="36.111111111111107"/>
    <s v="Profit"/>
    <s v="Nisha Mehta"/>
    <x v="1"/>
    <x v="0"/>
    <s v="Chennai"/>
    <s v="Tamil Nadu"/>
    <s v="2025-08-11"/>
    <s v="51+"/>
    <n v="650"/>
  </r>
  <r>
    <s v="ORD02531"/>
    <d v="2026-07-19T00:00:00"/>
    <s v="CUST0301"/>
    <x v="1"/>
    <x v="15"/>
    <n v="1"/>
    <n v="0.1"/>
    <n v="1980"/>
    <n v="-330.47"/>
    <x v="0"/>
    <s v="Returned"/>
    <n v="1980"/>
    <n v="-16.69040404040404"/>
    <s v="Loss"/>
    <s v="Pooja Bose"/>
    <x v="0"/>
    <x v="0"/>
    <s v="Bengaluru"/>
    <s v="Karnataka"/>
    <s v="2025-11-12"/>
    <s v="26-35"/>
    <n v="-330.47"/>
  </r>
  <r>
    <s v="ORD02532"/>
    <d v="2026-07-06T00:00:00"/>
    <s v="CUST0370"/>
    <x v="3"/>
    <x v="4"/>
    <n v="2"/>
    <n v="0.05"/>
    <n v="34200"/>
    <n v="5877.81"/>
    <x v="2"/>
    <s v="Delivered"/>
    <n v="17100"/>
    <n v="17.186578947368421"/>
    <s v="Profit"/>
    <s v="Diya Kulkarni"/>
    <x v="1"/>
    <x v="2"/>
    <s v="Chandigarh"/>
    <s v="Chandigarh"/>
    <s v="2024-04-20"/>
    <s v="26-35"/>
    <n v="2938.9050000000002"/>
  </r>
  <r>
    <s v="ORD02533"/>
    <d v="2026-03-14T00:00:00"/>
    <s v="CUST0501"/>
    <x v="2"/>
    <x v="5"/>
    <n v="1"/>
    <n v="0.05"/>
    <n v="10450"/>
    <n v="2270.15"/>
    <x v="1"/>
    <s v="Shipped"/>
    <n v="10450"/>
    <n v="21.72392344497608"/>
    <s v="Profit"/>
    <s v="Rahul Pillai"/>
    <x v="1"/>
    <x v="0"/>
    <s v="Bengaluru"/>
    <s v="Karnataka"/>
    <s v="2024-03-13"/>
    <s v="36-50"/>
    <n v="2270.15"/>
  </r>
  <r>
    <s v="ORD02534"/>
    <d v="2026-08-14T00:00:00"/>
    <s v="CUST0175"/>
    <x v="0"/>
    <x v="7"/>
    <n v="1"/>
    <n v="0"/>
    <n v="900"/>
    <n v="280"/>
    <x v="0"/>
    <s v="Delivered"/>
    <n v="900"/>
    <n v="31.111111111111111"/>
    <s v="Profit"/>
    <s v="Akash Mehta"/>
    <x v="0"/>
    <x v="1"/>
    <s v="Ahmedabad"/>
    <s v="Gujarat"/>
    <s v="2023-12-29"/>
    <s v="36-50"/>
    <n v="280"/>
  </r>
  <r>
    <s v="ORD02535"/>
    <d v="2026-06-05T00:00:00"/>
    <s v="CUST0166"/>
    <x v="0"/>
    <x v="6"/>
    <n v="5"/>
    <n v="0.05"/>
    <n v="1662.5"/>
    <n v="545.04"/>
    <x v="3"/>
    <s v="Delivered"/>
    <n v="332.5"/>
    <n v="32.784360902255642"/>
    <s v="Profit"/>
    <s v="Arjun Gupta"/>
    <x v="2"/>
    <x v="0"/>
    <s v="Chennai"/>
    <s v="Tamil Nadu"/>
    <s v="2024-10-19"/>
    <s v="18-25"/>
    <n v="109.008"/>
  </r>
  <r>
    <s v="ORD02536"/>
    <d v="2026-01-03T00:00:00"/>
    <s v="CUST0489"/>
    <x v="3"/>
    <x v="8"/>
    <n v="1"/>
    <n v="0.05"/>
    <n v="4275"/>
    <n v="-125.72"/>
    <x v="0"/>
    <s v="Returned"/>
    <n v="4275"/>
    <n v="-2.9408187134502919"/>
    <s v="Loss"/>
    <s v="Kavya Das"/>
    <x v="0"/>
    <x v="0"/>
    <s v="Coimbatore"/>
    <s v="Tamil Nadu"/>
    <s v="2024-03-29"/>
    <s v="26-35"/>
    <n v="-125.72"/>
  </r>
  <r>
    <s v="ORD02537"/>
    <d v="2025-11-07T00:00:00"/>
    <s v="CUST0325"/>
    <x v="2"/>
    <x v="9"/>
    <n v="5"/>
    <n v="0.1"/>
    <n v="40500"/>
    <n v="8450.69"/>
    <x v="3"/>
    <s v="Shipped"/>
    <n v="8100"/>
    <n v="20.8659012345679"/>
    <s v="Profit"/>
    <s v="Arjun Mishra"/>
    <x v="0"/>
    <x v="0"/>
    <s v="Chennai"/>
    <s v="Tamil Nadu"/>
    <s v="2023-05-08"/>
    <s v="51+"/>
    <n v="1690.1379999999999"/>
  </r>
  <r>
    <s v="ORD02538"/>
    <d v="2026-07-06T00:00:00"/>
    <s v="CUST0353"/>
    <x v="0"/>
    <x v="14"/>
    <n v="1"/>
    <n v="0.1"/>
    <n v="405"/>
    <n v="86.61"/>
    <x v="2"/>
    <s v="Delivered"/>
    <n v="405"/>
    <n v="21.38518518518519"/>
    <s v="Profit"/>
    <s v="Aditya Iyer"/>
    <x v="2"/>
    <x v="0"/>
    <s v="Hyderabad"/>
    <s v="Telangana"/>
    <s v="2024-08-21"/>
    <s v="36-50"/>
    <n v="86.61"/>
  </r>
  <r>
    <s v="ORD02539"/>
    <d v="2025-07-06T00:00:00"/>
    <s v="CUST0217"/>
    <x v="0"/>
    <x v="7"/>
    <n v="1"/>
    <n v="0.15"/>
    <n v="765"/>
    <n v="206.56"/>
    <x v="1"/>
    <s v="Delivered"/>
    <n v="765"/>
    <n v="27.00130718954248"/>
    <s v="Profit"/>
    <s v="Pooja Mehta"/>
    <x v="0"/>
    <x v="0"/>
    <s v="Hyderabad"/>
    <s v="Telangana"/>
    <s v="2024-11-14"/>
    <s v="51+"/>
    <n v="206.56"/>
  </r>
  <r>
    <s v="ORD02540"/>
    <d v="2026-06-20T00:00:00"/>
    <s v="CUST0190"/>
    <x v="3"/>
    <x v="11"/>
    <n v="2"/>
    <n v="0"/>
    <n v="5000"/>
    <n v="1600"/>
    <x v="1"/>
    <s v="Delivered"/>
    <n v="2500"/>
    <n v="32"/>
    <s v="Profit"/>
    <s v="Rohan Naidu"/>
    <x v="0"/>
    <x v="0"/>
    <s v="Coimbatore"/>
    <s v="Tamil Nadu"/>
    <s v="2023-02-24"/>
    <s v="26-35"/>
    <n v="800"/>
  </r>
  <r>
    <s v="ORD02541"/>
    <d v="2026-07-28T00:00:00"/>
    <s v="CUST0230"/>
    <x v="0"/>
    <x v="14"/>
    <n v="4"/>
    <n v="0.1"/>
    <n v="1620"/>
    <n v="351.87"/>
    <x v="0"/>
    <s v="Delivered"/>
    <n v="405"/>
    <n v="21.720370370370372"/>
    <s v="Profit"/>
    <s v="Ishaan Iyer"/>
    <x v="0"/>
    <x v="0"/>
    <s v="Bengaluru"/>
    <s v="Karnataka"/>
    <s v="2025-11-29"/>
    <s v="26-35"/>
    <n v="87.967500000000001"/>
  </r>
  <r>
    <s v="ORD02542"/>
    <d v="2026-01-20T00:00:00"/>
    <s v="CUST0121"/>
    <x v="1"/>
    <x v="12"/>
    <n v="4"/>
    <n v="0.15"/>
    <n v="4760"/>
    <n v="1417.59"/>
    <x v="0"/>
    <s v="Delivered"/>
    <n v="1190"/>
    <n v="29.781302521008399"/>
    <s v="Profit"/>
    <s v="Meera Menon"/>
    <x v="0"/>
    <x v="0"/>
    <s v="Bengaluru"/>
    <s v="Karnataka"/>
    <s v="2023-11-16"/>
    <s v="26-35"/>
    <n v="354.39749999999998"/>
  </r>
  <r>
    <s v="ORD02543"/>
    <d v="2025-11-08T00:00:00"/>
    <s v="CUST0250"/>
    <x v="0"/>
    <x v="6"/>
    <n v="3"/>
    <n v="0"/>
    <n v="1050"/>
    <n v="360"/>
    <x v="2"/>
    <s v="Delivered"/>
    <n v="350"/>
    <n v="34.285714285714278"/>
    <s v="Profit"/>
    <s v="Sanjay Das"/>
    <x v="1"/>
    <x v="1"/>
    <s v="Ahmedabad"/>
    <s v="Gujarat"/>
    <s v="2024-08-01"/>
    <s v="26-35"/>
    <n v="120"/>
  </r>
  <r>
    <s v="ORD02544"/>
    <d v="2026-03-03T00:00:00"/>
    <s v="CUST0199"/>
    <x v="0"/>
    <x v="0"/>
    <n v="6"/>
    <n v="0.1"/>
    <n v="75600"/>
    <n v="12791.84"/>
    <x v="1"/>
    <s v="Delivered"/>
    <n v="12600"/>
    <n v="16.920423280423279"/>
    <s v="Profit"/>
    <s v="Shreya Pillai"/>
    <x v="0"/>
    <x v="2"/>
    <s v="Jaipur"/>
    <s v="Rajasthan"/>
    <s v="2023-07-08"/>
    <s v="26-35"/>
    <n v="2131.9733333333329"/>
  </r>
  <r>
    <s v="ORD02545"/>
    <d v="2026-08-10T00:00:00"/>
    <s v="CUST0537"/>
    <x v="0"/>
    <x v="14"/>
    <n v="5"/>
    <n v="0.1"/>
    <n v="2025"/>
    <n v="422.67"/>
    <x v="1"/>
    <s v="Delivered"/>
    <n v="405"/>
    <n v="20.872592592592589"/>
    <s v="Profit"/>
    <s v="Vikram Pillai"/>
    <x v="0"/>
    <x v="0"/>
    <s v="Bengaluru"/>
    <s v="Karnataka"/>
    <s v="2023-11-18"/>
    <s v="26-35"/>
    <n v="84.534000000000006"/>
  </r>
  <r>
    <s v="ORD02546"/>
    <d v="2025-08-12T00:00:00"/>
    <s v="CUST0093"/>
    <x v="1"/>
    <x v="15"/>
    <n v="1"/>
    <n v="0.15"/>
    <n v="1870"/>
    <n v="569.12"/>
    <x v="2"/>
    <s v="Delivered"/>
    <n v="1870"/>
    <n v="30.434224598930481"/>
    <s v="Profit"/>
    <s v="Sanjay Rao"/>
    <x v="0"/>
    <x v="3"/>
    <s v="Kolkata"/>
    <s v="West Bengal"/>
    <s v="2023-12-13"/>
    <s v="26-35"/>
    <n v="569.12"/>
  </r>
  <r>
    <s v="ORD02547"/>
    <d v="2025-11-11T00:00:00"/>
    <s v="CUST0061"/>
    <x v="3"/>
    <x v="10"/>
    <n v="2"/>
    <n v="0.05"/>
    <n v="104500"/>
    <n v="15292.96"/>
    <x v="3"/>
    <s v="Delivered"/>
    <n v="52250"/>
    <n v="14.63441148325359"/>
    <s v="Profit"/>
    <s v="Meera Kulkarni"/>
    <x v="0"/>
    <x v="0"/>
    <s v="Bengaluru"/>
    <s v="Karnataka"/>
    <s v="2024-11-07"/>
    <s v="18-25"/>
    <n v="7646.48"/>
  </r>
  <r>
    <s v="ORD02548"/>
    <d v="2026-07-14T00:00:00"/>
    <s v="CUST0100"/>
    <x v="3"/>
    <x v="4"/>
    <n v="1"/>
    <n v="0.05"/>
    <n v="17100"/>
    <n v="2886.96"/>
    <x v="0"/>
    <s v="Delivered"/>
    <n v="17100"/>
    <n v="16.882807017543861"/>
    <s v="Profit"/>
    <s v="Priya Singh"/>
    <x v="1"/>
    <x v="0"/>
    <s v="Chennai"/>
    <s v="Tamil Nadu"/>
    <s v="2023-03-14"/>
    <s v="26-35"/>
    <n v="2886.96"/>
  </r>
  <r>
    <s v="ORD02549"/>
    <d v="2025-09-08T00:00:00"/>
    <s v="CUST0490"/>
    <x v="0"/>
    <x v="7"/>
    <n v="2"/>
    <n v="0.1"/>
    <n v="1620"/>
    <n v="412.91"/>
    <x v="0"/>
    <s v="Delivered"/>
    <n v="810"/>
    <n v="25.488271604938269"/>
    <s v="Profit"/>
    <s v="Nisha Khan"/>
    <x v="0"/>
    <x v="3"/>
    <s v="Bhubaneswar"/>
    <s v="Odisha"/>
    <s v="2025-08-22"/>
    <s v="51+"/>
    <n v="206.45500000000001"/>
  </r>
  <r>
    <s v="ORD02550"/>
    <d v="2025-07-18T00:00:00"/>
    <s v="CUST0229"/>
    <x v="3"/>
    <x v="10"/>
    <n v="15"/>
    <n v="0.2"/>
    <n v="660000"/>
    <n v="-479560.98"/>
    <x v="3"/>
    <s v="Returned"/>
    <n v="44000"/>
    <n v="-72.660754545454537"/>
    <s v="Loss"/>
    <s v="Harini Chopra"/>
    <x v="0"/>
    <x v="0"/>
    <s v="Bengaluru"/>
    <s v="Karnataka"/>
    <s v="2025-05-19"/>
    <s v="26-35"/>
    <n v="-31970.732"/>
  </r>
  <r>
    <s v="ORD02551"/>
    <d v="2025-12-27T00:00:00"/>
    <s v="CUST0362"/>
    <x v="2"/>
    <x v="9"/>
    <n v="2"/>
    <n v="0.2"/>
    <n v="14400"/>
    <n v="2428.69"/>
    <x v="2"/>
    <s v="Delivered"/>
    <n v="7200"/>
    <n v="16.86590277777778"/>
    <s v="Profit"/>
    <s v="Karthik Joshi"/>
    <x v="0"/>
    <x v="0"/>
    <s v="Coimbatore"/>
    <s v="Tamil Nadu"/>
    <s v="2025-09-08"/>
    <s v="26-35"/>
    <n v="1214.345"/>
  </r>
  <r>
    <s v="ORD02552"/>
    <d v="2026-07-11T00:00:00"/>
    <s v="CUST0128"/>
    <x v="3"/>
    <x v="4"/>
    <n v="2"/>
    <n v="0"/>
    <n v="36000"/>
    <n v="-18963.68"/>
    <x v="0"/>
    <s v="Returned"/>
    <n v="18000"/>
    <n v="-52.676888888888882"/>
    <s v="Loss"/>
    <s v="Sneha Mishra"/>
    <x v="2"/>
    <x v="0"/>
    <s v="Chennai"/>
    <s v="Tamil Nadu"/>
    <s v="2024-09-12"/>
    <s v="36-50"/>
    <n v="-9481.84"/>
  </r>
  <r>
    <s v="ORD02553"/>
    <d v="2025-07-19T00:00:00"/>
    <s v="CUST0102"/>
    <x v="1"/>
    <x v="13"/>
    <n v="1"/>
    <n v="0.05"/>
    <n v="3990"/>
    <n v="1083.1199999999999"/>
    <x v="3"/>
    <s v="Delivered"/>
    <n v="3990"/>
    <n v="27.14586466165413"/>
    <s v="Profit"/>
    <s v="Akash Bose"/>
    <x v="0"/>
    <x v="2"/>
    <s v="Jaipur"/>
    <s v="Rajasthan"/>
    <s v="2023-03-30"/>
    <s v="36-50"/>
    <n v="1083.1199999999999"/>
  </r>
  <r>
    <s v="ORD02554"/>
    <d v="2026-02-24T00:00:00"/>
    <s v="CUST0343"/>
    <x v="3"/>
    <x v="4"/>
    <n v="1"/>
    <n v="0.1"/>
    <n v="16200"/>
    <n v="2547.81"/>
    <x v="2"/>
    <s v="Delivered"/>
    <n v="16200"/>
    <n v="15.72722222222222"/>
    <s v="Profit"/>
    <s v="Meera Iyer"/>
    <x v="0"/>
    <x v="0"/>
    <s v="Bengaluru"/>
    <s v="Karnataka"/>
    <s v="2024-08-02"/>
    <s v="36-50"/>
    <n v="2547.81"/>
  </r>
  <r>
    <s v="ORD02555"/>
    <d v="2026-02-14T00:00:00"/>
    <s v="CUST0292"/>
    <x v="0"/>
    <x v="14"/>
    <n v="6"/>
    <n v="0.05"/>
    <n v="2565"/>
    <n v="566.41999999999996"/>
    <x v="3"/>
    <s v="Shipped"/>
    <n v="427.5"/>
    <n v="22.082651072124751"/>
    <s v="Profit"/>
    <s v="Sanjay Khan"/>
    <x v="0"/>
    <x v="0"/>
    <s v="Bengaluru"/>
    <s v="Karnataka"/>
    <s v="2023-07-05"/>
    <s v="26-35"/>
    <n v="94.403333333333322"/>
  </r>
  <r>
    <s v="ORD02556"/>
    <d v="2026-06-24T00:00:00"/>
    <s v="CUST0319"/>
    <x v="3"/>
    <x v="4"/>
    <n v="1"/>
    <n v="0.1"/>
    <n v="16200"/>
    <n v="2209.42"/>
    <x v="1"/>
    <s v="Delivered"/>
    <n v="16200"/>
    <n v="13.638395061728399"/>
    <s v="Profit"/>
    <s v="Vikram Sharma"/>
    <x v="0"/>
    <x v="0"/>
    <s v="Bengaluru"/>
    <s v="Karnataka"/>
    <s v="2024-01-16"/>
    <s v="26-35"/>
    <n v="2209.42"/>
  </r>
  <r>
    <s v="ORD02557"/>
    <d v="2026-07-03T00:00:00"/>
    <s v="CUST0527"/>
    <x v="3"/>
    <x v="8"/>
    <n v="1"/>
    <n v="0.1"/>
    <n v="4050"/>
    <n v="1257.3499999999999"/>
    <x v="2"/>
    <s v="Shipped"/>
    <n v="4050"/>
    <n v="31.04567901234568"/>
    <s v="Profit"/>
    <s v="Aarav Patel"/>
    <x v="0"/>
    <x v="0"/>
    <s v="Hyderabad"/>
    <s v="Telangana"/>
    <s v="2024-04-04"/>
    <s v="26-35"/>
    <n v="1257.3499999999999"/>
  </r>
  <r>
    <s v="ORD02558"/>
    <d v="2026-02-24T00:00:00"/>
    <s v="CUST0469"/>
    <x v="2"/>
    <x v="3"/>
    <n v="1"/>
    <n v="0.1"/>
    <n v="13500"/>
    <n v="2278.12"/>
    <x v="0"/>
    <s v="Delivered"/>
    <n v="13500"/>
    <n v="16.874962962962961"/>
    <s v="Profit"/>
    <s v="Kavya Khan"/>
    <x v="1"/>
    <x v="3"/>
    <s v="Bhubaneswar"/>
    <s v="Odisha"/>
    <s v="2025-06-06"/>
    <s v="26-35"/>
    <n v="2278.12"/>
  </r>
  <r>
    <s v="ORD02559"/>
    <d v="2025-07-09T00:00:00"/>
    <s v="CUST0471"/>
    <x v="1"/>
    <x v="12"/>
    <n v="1"/>
    <n v="0"/>
    <n v="1400"/>
    <n v="500"/>
    <x v="0"/>
    <s v="Delivered"/>
    <n v="1400"/>
    <n v="35.714285714285722"/>
    <s v="Profit"/>
    <s v="Divya Kulkarni"/>
    <x v="1"/>
    <x v="2"/>
    <s v="Jaipur"/>
    <s v="Rajasthan"/>
    <s v="2025-04-16"/>
    <s v="26-35"/>
    <n v="500"/>
  </r>
  <r>
    <s v="ORD02560"/>
    <d v="2025-09-20T00:00:00"/>
    <s v="CUST0413"/>
    <x v="0"/>
    <x v="6"/>
    <n v="3"/>
    <n v="0.05"/>
    <n v="997.5"/>
    <n v="326.52"/>
    <x v="3"/>
    <s v="Delivered"/>
    <n v="332.5"/>
    <n v="32.733834586466173"/>
    <s v="Profit"/>
    <s v="Sanjay Bose"/>
    <x v="0"/>
    <x v="0"/>
    <s v="Chennai"/>
    <s v="Tamil Nadu"/>
    <s v="2023-05-01"/>
    <s v="26-35"/>
    <n v="108.84"/>
  </r>
  <r>
    <s v="ORD02561"/>
    <d v="2026-05-10T00:00:00"/>
    <s v="CUST0541"/>
    <x v="1"/>
    <x v="13"/>
    <n v="5"/>
    <n v="0"/>
    <n v="21000"/>
    <n v="6000"/>
    <x v="1"/>
    <s v="Delivered"/>
    <n v="4200"/>
    <n v="28.571428571428569"/>
    <s v="Profit"/>
    <s v="Rahul Mishra"/>
    <x v="0"/>
    <x v="3"/>
    <s v="Kolkata"/>
    <s v="West Bengal"/>
    <s v="2025-05-13"/>
    <s v="51+"/>
    <n v="1200"/>
  </r>
  <r>
    <s v="ORD02562"/>
    <d v="2025-12-01T00:00:00"/>
    <s v="CUST0423"/>
    <x v="2"/>
    <x v="3"/>
    <n v="5"/>
    <n v="0.05"/>
    <n v="71250"/>
    <n v="15659.42"/>
    <x v="0"/>
    <s v="Delivered"/>
    <n v="14250"/>
    <n v="21.978133333333329"/>
    <s v="Profit"/>
    <s v="Rohan Nair"/>
    <x v="0"/>
    <x v="2"/>
    <s v="Chandigarh"/>
    <s v="Chandigarh"/>
    <s v="2023-06-08"/>
    <s v="51+"/>
    <n v="3131.884"/>
  </r>
  <r>
    <s v="ORD02563"/>
    <d v="2026-07-26T00:00:00"/>
    <s v="CUST0483"/>
    <x v="3"/>
    <x v="10"/>
    <n v="5"/>
    <n v="0"/>
    <n v="275000"/>
    <n v="-171858.98"/>
    <x v="3"/>
    <s v="Returned"/>
    <n v="55000"/>
    <n v="-62.494174545454548"/>
    <s v="Loss"/>
    <s v="Harini Rao"/>
    <x v="2"/>
    <x v="0"/>
    <s v="Bengaluru"/>
    <s v="Karnataka"/>
    <s v="2025-12-26"/>
    <s v="18-25"/>
    <n v="-34371.796000000002"/>
  </r>
  <r>
    <s v="ORD02564"/>
    <d v="2025-08-31T00:00:00"/>
    <s v="CUST0178"/>
    <x v="3"/>
    <x v="4"/>
    <n v="2"/>
    <n v="0.15"/>
    <n v="30600"/>
    <n v="2910.57"/>
    <x v="0"/>
    <s v="Delivered"/>
    <n v="15300"/>
    <n v="9.5116666666666667"/>
    <s v="Profit"/>
    <s v="Ananya Pillai"/>
    <x v="0"/>
    <x v="1"/>
    <s v="Pune"/>
    <s v="Maharashtra"/>
    <s v="2025-02-10"/>
    <s v="26-35"/>
    <n v="1455.2850000000001"/>
  </r>
  <r>
    <s v="ORD02565"/>
    <d v="2026-02-23T00:00:00"/>
    <s v="CUST0219"/>
    <x v="1"/>
    <x v="1"/>
    <n v="3"/>
    <n v="0"/>
    <n v="5400"/>
    <n v="1950"/>
    <x v="0"/>
    <s v="Shipped"/>
    <n v="1800"/>
    <n v="36.111111111111107"/>
    <s v="Profit"/>
    <s v="Rahul Menon"/>
    <x v="1"/>
    <x v="3"/>
    <s v="Patna"/>
    <s v="Bihar"/>
    <s v="2023-10-06"/>
    <s v="36-50"/>
    <n v="650"/>
  </r>
  <r>
    <s v="ORD02566"/>
    <d v="2025-09-20T00:00:00"/>
    <s v="CUST0020"/>
    <x v="0"/>
    <x v="6"/>
    <n v="1"/>
    <n v="0"/>
    <n v="350"/>
    <n v="120"/>
    <x v="1"/>
    <s v="Delivered"/>
    <n v="350"/>
    <n v="34.285714285714278"/>
    <s v="Profit"/>
    <s v="Aarav Pillai"/>
    <x v="0"/>
    <x v="2"/>
    <s v="Lucknow"/>
    <s v="Uttar Pradesh"/>
    <s v="2025-11-30"/>
    <s v="26-35"/>
    <n v="120"/>
  </r>
  <r>
    <s v="ORD02567"/>
    <d v="2026-01-17T00:00:00"/>
    <s v="CUST0048"/>
    <x v="2"/>
    <x v="2"/>
    <n v="1"/>
    <n v="0"/>
    <n v="13000"/>
    <n v="3200"/>
    <x v="0"/>
    <s v="Delivered"/>
    <n v="13000"/>
    <n v="24.61538461538462"/>
    <s v="Profit"/>
    <s v="Rohan Das"/>
    <x v="0"/>
    <x v="1"/>
    <s v="Ahmedabad"/>
    <s v="Gujarat"/>
    <s v="2025-04-11"/>
    <s v="26-35"/>
    <n v="3200"/>
  </r>
  <r>
    <s v="ORD02568"/>
    <d v="2025-09-05T00:00:00"/>
    <s v="CUST0198"/>
    <x v="3"/>
    <x v="4"/>
    <n v="2"/>
    <n v="0.1"/>
    <n v="32400"/>
    <n v="4671.33"/>
    <x v="1"/>
    <s v="Delivered"/>
    <n v="16200"/>
    <n v="14.41768518518519"/>
    <s v="Profit"/>
    <s v="Varun Joshi"/>
    <x v="1"/>
    <x v="3"/>
    <s v="Bhubaneswar"/>
    <s v="Odisha"/>
    <s v="2024-08-06"/>
    <s v="36-50"/>
    <n v="2335.665"/>
  </r>
  <r>
    <s v="ORD02569"/>
    <d v="2025-11-16T00:00:00"/>
    <s v="CUST0396"/>
    <x v="1"/>
    <x v="13"/>
    <n v="2"/>
    <n v="0.1"/>
    <n v="7560"/>
    <n v="1786.52"/>
    <x v="3"/>
    <s v="Delivered"/>
    <n v="3780"/>
    <n v="23.63121693121693"/>
    <s v="Profit"/>
    <s v="Rahul Mishra"/>
    <x v="0"/>
    <x v="0"/>
    <s v="Bengaluru"/>
    <s v="Karnataka"/>
    <s v="2023-05-26"/>
    <s v="18-25"/>
    <n v="893.26"/>
  </r>
  <r>
    <s v="ORD02570"/>
    <d v="2026-02-18T00:00:00"/>
    <s v="CUST0483"/>
    <x v="2"/>
    <x v="2"/>
    <n v="3"/>
    <n v="0.1"/>
    <n v="35100"/>
    <n v="6934.66"/>
    <x v="0"/>
    <s v="Delivered"/>
    <n v="11700"/>
    <n v="19.756866096866101"/>
    <s v="Profit"/>
    <s v="Harini Rao"/>
    <x v="2"/>
    <x v="0"/>
    <s v="Bengaluru"/>
    <s v="Karnataka"/>
    <s v="2025-12-26"/>
    <s v="18-25"/>
    <n v="2311.5533333333328"/>
  </r>
  <r>
    <s v="ORD02571"/>
    <d v="2026-06-25T00:00:00"/>
    <s v="CUST0353"/>
    <x v="1"/>
    <x v="1"/>
    <n v="2"/>
    <n v="0.2"/>
    <n v="2880"/>
    <n v="-631.05999999999995"/>
    <x v="3"/>
    <s v="Cancelled"/>
    <n v="1440"/>
    <n v="-21.911805555555549"/>
    <s v="Loss"/>
    <s v="Aditya Iyer"/>
    <x v="2"/>
    <x v="0"/>
    <s v="Hyderabad"/>
    <s v="Telangana"/>
    <s v="2024-08-21"/>
    <s v="36-50"/>
    <n v="-315.52999999999997"/>
  </r>
  <r>
    <s v="ORD02572"/>
    <d v="2025-10-24T00:00:00"/>
    <s v="CUST0504"/>
    <x v="2"/>
    <x v="2"/>
    <n v="3"/>
    <n v="0.05"/>
    <n v="37050"/>
    <n v="8289.7000000000007"/>
    <x v="3"/>
    <s v="Delivered"/>
    <n v="12350"/>
    <n v="22.37435897435898"/>
    <s v="Profit"/>
    <s v="Karthik Khan"/>
    <x v="2"/>
    <x v="1"/>
    <s v="Pune"/>
    <s v="Maharashtra"/>
    <s v="2024-10-02"/>
    <s v="36-50"/>
    <n v="2763.233333333334"/>
  </r>
  <r>
    <s v="ORD02573"/>
    <d v="2025-11-19T00:00:00"/>
    <s v="CUST0162"/>
    <x v="3"/>
    <x v="11"/>
    <n v="1"/>
    <n v="0.05"/>
    <n v="2375"/>
    <n v="715.7"/>
    <x v="1"/>
    <s v="Delivered"/>
    <n v="2375"/>
    <n v="30.134736842105269"/>
    <s v="Profit"/>
    <s v="Lakshmi Bose"/>
    <x v="0"/>
    <x v="0"/>
    <s v="Bengaluru"/>
    <s v="Karnataka"/>
    <s v="2025-06-13"/>
    <s v="26-35"/>
    <n v="715.7"/>
  </r>
  <r>
    <s v="ORD02574"/>
    <d v="2025-08-26T00:00:00"/>
    <s v="CUST0140"/>
    <x v="1"/>
    <x v="15"/>
    <n v="1"/>
    <n v="0"/>
    <n v="2200"/>
    <n v="750"/>
    <x v="1"/>
    <s v="Shipped"/>
    <n v="2200"/>
    <n v="34.090909090909093"/>
    <s v="Profit"/>
    <s v="Ananya Naidu"/>
    <x v="1"/>
    <x v="2"/>
    <s v="Chandigarh"/>
    <s v="Chandigarh"/>
    <s v="2024-04-14"/>
    <s v="26-35"/>
    <n v="750"/>
  </r>
  <r>
    <s v="ORD02575"/>
    <d v="2025-08-27T00:00:00"/>
    <s v="CUST0164"/>
    <x v="0"/>
    <x v="6"/>
    <n v="2"/>
    <n v="0"/>
    <n v="700"/>
    <n v="240"/>
    <x v="3"/>
    <s v="Delivered"/>
    <n v="350"/>
    <n v="34.285714285714278"/>
    <s v="Profit"/>
    <s v="Priya Sharma"/>
    <x v="0"/>
    <x v="3"/>
    <s v="Kolkata"/>
    <s v="West Bengal"/>
    <s v="2023-08-28"/>
    <s v="36-50"/>
    <n v="120"/>
  </r>
  <r>
    <s v="ORD02576"/>
    <d v="2026-06-02T00:00:00"/>
    <s v="CUST0350"/>
    <x v="0"/>
    <x v="7"/>
    <n v="1"/>
    <n v="0.15"/>
    <n v="765"/>
    <n v="196.61"/>
    <x v="3"/>
    <s v="Delivered"/>
    <n v="765"/>
    <n v="25.700653594771239"/>
    <s v="Profit"/>
    <s v="Diya Pillai"/>
    <x v="2"/>
    <x v="1"/>
    <s v="Pune"/>
    <s v="Maharashtra"/>
    <s v="2025-08-02"/>
    <s v="18-25"/>
    <n v="196.61"/>
  </r>
  <r>
    <s v="ORD02577"/>
    <d v="2026-05-02T00:00:00"/>
    <s v="CUST0332"/>
    <x v="2"/>
    <x v="3"/>
    <n v="3"/>
    <n v="0.05"/>
    <n v="42750"/>
    <n v="9086.4"/>
    <x v="1"/>
    <s v="Delivered"/>
    <n v="14250"/>
    <n v="21.25473684210526"/>
    <s v="Profit"/>
    <s v="Vikram Rao"/>
    <x v="1"/>
    <x v="0"/>
    <s v="Coimbatore"/>
    <s v="Tamil Nadu"/>
    <s v="2023-07-04"/>
    <s v="26-35"/>
    <n v="3028.8"/>
  </r>
  <r>
    <s v="ORD02578"/>
    <d v="2026-01-06T00:00:00"/>
    <s v="CUST0576"/>
    <x v="0"/>
    <x v="0"/>
    <n v="1"/>
    <n v="0.2"/>
    <n v="11200"/>
    <n v="-3283.69"/>
    <x v="3"/>
    <s v="Returned"/>
    <n v="11200"/>
    <n v="-29.31866071428572"/>
    <s v="Loss"/>
    <s v="Harini Pillai"/>
    <x v="0"/>
    <x v="0"/>
    <s v="Hyderabad"/>
    <s v="Telangana"/>
    <s v="2023-05-25"/>
    <s v="26-35"/>
    <n v="-3283.69"/>
  </r>
  <r>
    <s v="ORD02579"/>
    <d v="2026-08-14T00:00:00"/>
    <s v="CUST0553"/>
    <x v="3"/>
    <x v="8"/>
    <n v="1"/>
    <n v="0.1"/>
    <n v="4050"/>
    <n v="1208.1400000000001"/>
    <x v="2"/>
    <s v="Delivered"/>
    <n v="4050"/>
    <n v="29.83061728395062"/>
    <s v="Profit"/>
    <s v="Diya Mishra"/>
    <x v="2"/>
    <x v="0"/>
    <s v="Coimbatore"/>
    <s v="Tamil Nadu"/>
    <s v="2025-01-24"/>
    <s v="36-50"/>
    <n v="1208.1400000000001"/>
  </r>
  <r>
    <s v="ORD02580"/>
    <d v="2025-08-17T00:00:00"/>
    <s v="CUST0314"/>
    <x v="2"/>
    <x v="2"/>
    <n v="4"/>
    <n v="0"/>
    <n v="52000"/>
    <n v="12800"/>
    <x v="2"/>
    <s v="Delivered"/>
    <n v="13000"/>
    <n v="24.61538461538462"/>
    <s v="Profit"/>
    <s v="Aarav Mishra"/>
    <x v="0"/>
    <x v="0"/>
    <s v="Bengaluru"/>
    <s v="Karnataka"/>
    <s v="2025-10-30"/>
    <s v="26-35"/>
    <n v="3200"/>
  </r>
  <r>
    <s v="ORD02581"/>
    <d v="2025-08-21T00:00:00"/>
    <s v="CUST0038"/>
    <x v="2"/>
    <x v="2"/>
    <n v="2"/>
    <n v="0.15"/>
    <n v="22100"/>
    <n v="4082.14"/>
    <x v="0"/>
    <s v="Delivered"/>
    <n v="11050"/>
    <n v="18.471221719457009"/>
    <s v="Profit"/>
    <s v="Harini Sharma"/>
    <x v="2"/>
    <x v="0"/>
    <s v="Coimbatore"/>
    <s v="Tamil Nadu"/>
    <s v="2024-06-22"/>
    <s v="36-50"/>
    <n v="2041.07"/>
  </r>
  <r>
    <s v="ORD02582"/>
    <d v="2026-01-08T00:00:00"/>
    <s v="CUST0103"/>
    <x v="1"/>
    <x v="1"/>
    <n v="2"/>
    <n v="0"/>
    <n v="3600"/>
    <n v="1300"/>
    <x v="1"/>
    <s v="Delivered"/>
    <n v="1800"/>
    <n v="36.111111111111107"/>
    <s v="Profit"/>
    <s v="Rohan Rao"/>
    <x v="0"/>
    <x v="0"/>
    <s v="Bengaluru"/>
    <s v="Karnataka"/>
    <s v="2023-11-09"/>
    <s v="36-50"/>
    <n v="650"/>
  </r>
  <r>
    <s v="ORD02583"/>
    <d v="2025-12-03T00:00:00"/>
    <s v="CUST0036"/>
    <x v="2"/>
    <x v="3"/>
    <n v="3"/>
    <n v="0.15"/>
    <n v="38250"/>
    <n v="6077.6"/>
    <x v="2"/>
    <s v="Delivered"/>
    <n v="12750"/>
    <n v="15.889150326797379"/>
    <s v="Profit"/>
    <s v="Priya Patel"/>
    <x v="2"/>
    <x v="3"/>
    <s v="Guwahati"/>
    <s v="Assam"/>
    <s v="2023-10-18"/>
    <s v="26-35"/>
    <n v="2025.866666666667"/>
  </r>
  <r>
    <s v="ORD02584"/>
    <d v="2025-09-27T00:00:00"/>
    <s v="CUST0549"/>
    <x v="3"/>
    <x v="11"/>
    <n v="5"/>
    <n v="0.2"/>
    <n v="10000"/>
    <n v="2420.3000000000002"/>
    <x v="3"/>
    <s v="Delivered"/>
    <n v="2000"/>
    <n v="24.202999999999999"/>
    <s v="Profit"/>
    <s v="Lakshmi Das"/>
    <x v="0"/>
    <x v="1"/>
    <s v="Ahmedabad"/>
    <s v="Gujarat"/>
    <s v="2024-02-21"/>
    <s v="36-50"/>
    <n v="484.06000000000012"/>
  </r>
  <r>
    <s v="ORD02585"/>
    <d v="2025-08-31T00:00:00"/>
    <s v="CUST0121"/>
    <x v="2"/>
    <x v="3"/>
    <n v="2"/>
    <n v="0.1"/>
    <n v="27000"/>
    <n v="5043.79"/>
    <x v="2"/>
    <s v="Delivered"/>
    <n v="13500"/>
    <n v="18.68070370370371"/>
    <s v="Profit"/>
    <s v="Meera Menon"/>
    <x v="0"/>
    <x v="0"/>
    <s v="Bengaluru"/>
    <s v="Karnataka"/>
    <s v="2023-11-16"/>
    <s v="26-35"/>
    <n v="2521.895"/>
  </r>
  <r>
    <s v="ORD02586"/>
    <d v="2026-03-22T00:00:00"/>
    <s v="CUST0103"/>
    <x v="0"/>
    <x v="14"/>
    <n v="2"/>
    <n v="0.15"/>
    <n v="765"/>
    <n v="137.34"/>
    <x v="2"/>
    <s v="Delivered"/>
    <n v="382.5"/>
    <n v="17.952941176470588"/>
    <s v="Profit"/>
    <s v="Rohan Rao"/>
    <x v="0"/>
    <x v="0"/>
    <s v="Bengaluru"/>
    <s v="Karnataka"/>
    <s v="2023-11-09"/>
    <s v="36-50"/>
    <n v="68.67"/>
  </r>
  <r>
    <s v="ORD02587"/>
    <d v="2025-07-13T00:00:00"/>
    <s v="CUST0111"/>
    <x v="2"/>
    <x v="2"/>
    <n v="1"/>
    <n v="0.1"/>
    <n v="11700"/>
    <n v="2140.83"/>
    <x v="3"/>
    <s v="Shipped"/>
    <n v="11700"/>
    <n v="18.297692307692309"/>
    <s v="Profit"/>
    <s v="Akash Verma"/>
    <x v="0"/>
    <x v="1"/>
    <s v="Pune"/>
    <s v="Maharashtra"/>
    <s v="2023-06-12"/>
    <s v="36-50"/>
    <n v="2140.83"/>
  </r>
  <r>
    <s v="ORD02588"/>
    <d v="2026-04-28T00:00:00"/>
    <s v="CUST0343"/>
    <x v="3"/>
    <x v="4"/>
    <n v="4"/>
    <n v="0.3"/>
    <n v="50400"/>
    <n v="-2655.42"/>
    <x v="0"/>
    <s v="Delivered"/>
    <n v="12600"/>
    <n v="-5.2686904761904758"/>
    <s v="Loss"/>
    <s v="Meera Iyer"/>
    <x v="0"/>
    <x v="0"/>
    <s v="Bengaluru"/>
    <s v="Karnataka"/>
    <s v="2024-08-02"/>
    <s v="36-50"/>
    <n v="-663.85500000000002"/>
  </r>
  <r>
    <s v="ORD02589"/>
    <d v="2026-04-09T00:00:00"/>
    <s v="CUST0060"/>
    <x v="1"/>
    <x v="13"/>
    <n v="3"/>
    <n v="0.1"/>
    <n v="11340"/>
    <n v="2598.42"/>
    <x v="3"/>
    <s v="Delivered"/>
    <n v="3780"/>
    <n v="22.913756613756611"/>
    <s v="Profit"/>
    <s v="Akash Mehta"/>
    <x v="0"/>
    <x v="3"/>
    <s v="Patna"/>
    <s v="Bihar"/>
    <s v="2025-01-15"/>
    <s v="36-50"/>
    <n v="866.14"/>
  </r>
  <r>
    <s v="ORD02590"/>
    <d v="2025-10-13T00:00:00"/>
    <s v="CUST0383"/>
    <x v="2"/>
    <x v="2"/>
    <n v="4"/>
    <n v="0.2"/>
    <n v="41600"/>
    <n v="6980.86"/>
    <x v="2"/>
    <s v="Delivered"/>
    <n v="10400"/>
    <n v="16.780913461538461"/>
    <s v="Profit"/>
    <s v="Arjun Mehta"/>
    <x v="0"/>
    <x v="0"/>
    <s v="Chennai"/>
    <s v="Tamil Nadu"/>
    <s v="2024-05-07"/>
    <s v="51+"/>
    <n v="1745.2149999999999"/>
  </r>
  <r>
    <s v="ORD02591"/>
    <d v="2025-07-23T00:00:00"/>
    <s v="CUST0454"/>
    <x v="2"/>
    <x v="9"/>
    <n v="3"/>
    <n v="0.2"/>
    <n v="21600"/>
    <n v="3921.16"/>
    <x v="3"/>
    <s v="Delivered"/>
    <n v="7200"/>
    <n v="18.153518518518521"/>
    <s v="Profit"/>
    <s v="Kavya Pillai"/>
    <x v="2"/>
    <x v="2"/>
    <s v="Delhi"/>
    <s v="Delhi"/>
    <s v="2024-02-07"/>
    <s v="26-35"/>
    <n v="1307.0533333333331"/>
  </r>
  <r>
    <s v="ORD02592"/>
    <d v="2025-11-14T00:00:00"/>
    <s v="CUST0273"/>
    <x v="3"/>
    <x v="8"/>
    <n v="1"/>
    <n v="0"/>
    <n v="4500"/>
    <n v="1500"/>
    <x v="3"/>
    <s v="Shipped"/>
    <n v="4500"/>
    <n v="33.333333333333329"/>
    <s v="Profit"/>
    <s v="Akash Verma"/>
    <x v="1"/>
    <x v="0"/>
    <s v="Chennai"/>
    <s v="Tamil Nadu"/>
    <s v="2024-07-10"/>
    <s v="51+"/>
    <n v="1500"/>
  </r>
  <r>
    <s v="ORD02593"/>
    <d v="2025-11-04T00:00:00"/>
    <s v="CUST0015"/>
    <x v="2"/>
    <x v="2"/>
    <n v="1"/>
    <n v="0"/>
    <n v="13000"/>
    <n v="3200"/>
    <x v="0"/>
    <s v="Delivered"/>
    <n v="13000"/>
    <n v="24.61538461538462"/>
    <s v="Profit"/>
    <s v="Diya Pillai"/>
    <x v="1"/>
    <x v="0"/>
    <s v="Coimbatore"/>
    <s v="Tamil Nadu"/>
    <s v="2024-09-16"/>
    <s v="51+"/>
    <n v="3200"/>
  </r>
  <r>
    <s v="ORD02594"/>
    <d v="2026-02-13T00:00:00"/>
    <s v="CUST0014"/>
    <x v="2"/>
    <x v="3"/>
    <n v="3"/>
    <n v="0.2"/>
    <n v="36000"/>
    <n v="-18834.87"/>
    <x v="1"/>
    <s v="Cancelled"/>
    <n v="12000"/>
    <n v="-52.319083333333317"/>
    <s v="Loss"/>
    <s v="Lakshmi Verma"/>
    <x v="2"/>
    <x v="0"/>
    <s v="Chennai"/>
    <s v="Tamil Nadu"/>
    <s v="2024-11-24"/>
    <s v="36-50"/>
    <n v="-6278.29"/>
  </r>
  <r>
    <s v="ORD02595"/>
    <d v="2026-02-08T00:00:00"/>
    <s v="CUST0599"/>
    <x v="3"/>
    <x v="11"/>
    <n v="3"/>
    <n v="0.2"/>
    <n v="6000"/>
    <n v="1335.9"/>
    <x v="1"/>
    <s v="Delivered"/>
    <n v="2000"/>
    <n v="22.265000000000001"/>
    <s v="Profit"/>
    <s v="Rahul Das"/>
    <x v="1"/>
    <x v="0"/>
    <s v="Coimbatore"/>
    <s v="Tamil Nadu"/>
    <s v="2024-01-12"/>
    <s v="26-35"/>
    <n v="445.3"/>
  </r>
  <r>
    <s v="ORD02596"/>
    <d v="2026-01-18T00:00:00"/>
    <s v="CUST0515"/>
    <x v="2"/>
    <x v="3"/>
    <n v="5"/>
    <n v="0.2"/>
    <n v="60000"/>
    <n v="-34392.67"/>
    <x v="3"/>
    <s v="Cancelled"/>
    <n v="12000"/>
    <n v="-57.321116666666661"/>
    <s v="Loss"/>
    <s v="Priya Rao"/>
    <x v="2"/>
    <x v="0"/>
    <s v="Chennai"/>
    <s v="Tamil Nadu"/>
    <s v="2025-06-05"/>
    <s v="18-25"/>
    <n v="-6878.5339999999997"/>
  </r>
  <r>
    <s v="ORD02597"/>
    <d v="2025-10-21T00:00:00"/>
    <s v="CUST0372"/>
    <x v="3"/>
    <x v="11"/>
    <n v="2"/>
    <n v="0.3"/>
    <n v="3500"/>
    <n v="361.73"/>
    <x v="3"/>
    <s v="Delivered"/>
    <n v="1750"/>
    <n v="10.335142857142859"/>
    <s v="Profit"/>
    <s v="Akash Das"/>
    <x v="1"/>
    <x v="0"/>
    <s v="Bengaluru"/>
    <s v="Karnataka"/>
    <s v="2024-08-19"/>
    <s v="36-50"/>
    <n v="180.86500000000001"/>
  </r>
  <r>
    <s v="ORD02598"/>
    <d v="2026-07-23T00:00:00"/>
    <s v="CUST0273"/>
    <x v="2"/>
    <x v="9"/>
    <n v="4"/>
    <n v="0"/>
    <n v="36000"/>
    <n v="9200"/>
    <x v="2"/>
    <s v="Delivered"/>
    <n v="9000"/>
    <n v="25.55555555555555"/>
    <s v="Profit"/>
    <s v="Akash Verma"/>
    <x v="1"/>
    <x v="0"/>
    <s v="Chennai"/>
    <s v="Tamil Nadu"/>
    <s v="2024-07-10"/>
    <s v="51+"/>
    <n v="2300"/>
  </r>
  <r>
    <s v="ORD02599"/>
    <d v="2025-11-19T00:00:00"/>
    <s v="CUST0366"/>
    <x v="2"/>
    <x v="2"/>
    <n v="3"/>
    <n v="0.2"/>
    <n v="31200"/>
    <n v="5620.63"/>
    <x v="1"/>
    <s v="Delivered"/>
    <n v="10400"/>
    <n v="18.014839743589739"/>
    <s v="Profit"/>
    <s v="Priya Rao"/>
    <x v="2"/>
    <x v="3"/>
    <s v="Bhubaneswar"/>
    <s v="Odisha"/>
    <s v="2023-03-13"/>
    <s v="26-35"/>
    <n v="1873.5433333333331"/>
  </r>
  <r>
    <s v="ORD02600"/>
    <d v="2026-05-30T00:00:00"/>
    <s v="CUST0103"/>
    <x v="2"/>
    <x v="9"/>
    <n v="5"/>
    <n v="0.2"/>
    <n v="36000"/>
    <n v="4675.72"/>
    <x v="1"/>
    <s v="Delivered"/>
    <n v="7200"/>
    <n v="12.98811111111111"/>
    <s v="Profit"/>
    <s v="Rohan Rao"/>
    <x v="0"/>
    <x v="0"/>
    <s v="Bengaluru"/>
    <s v="Karnataka"/>
    <s v="2023-11-09"/>
    <s v="36-50"/>
    <n v="935.14400000000001"/>
  </r>
  <r>
    <s v="ORD02601"/>
    <d v="2025-08-13T00:00:00"/>
    <s v="CUST0237"/>
    <x v="1"/>
    <x v="13"/>
    <n v="4"/>
    <n v="0.1"/>
    <n v="15120"/>
    <n v="-1125.73"/>
    <x v="3"/>
    <s v="Cancelled"/>
    <n v="3780"/>
    <n v="-7.4453042328042329"/>
    <s v="Loss"/>
    <s v="Arjun Joshi"/>
    <x v="2"/>
    <x v="1"/>
    <s v="Pune"/>
    <s v="Maharashtra"/>
    <s v="2024-08-22"/>
    <s v="36-50"/>
    <n v="-281.4325"/>
  </r>
  <r>
    <s v="ORD02602"/>
    <d v="2026-08-27T00:00:00"/>
    <s v="CUST0473"/>
    <x v="1"/>
    <x v="1"/>
    <n v="6"/>
    <n v="0.1"/>
    <n v="9720"/>
    <n v="368.58"/>
    <x v="3"/>
    <s v="Returned"/>
    <n v="1620"/>
    <n v="3.791975308641975"/>
    <s v="Profit"/>
    <s v="Ananya Rao"/>
    <x v="2"/>
    <x v="2"/>
    <s v="Chandigarh"/>
    <s v="Chandigarh"/>
    <s v="2025-12-18"/>
    <s v="51+"/>
    <n v="61.43"/>
  </r>
  <r>
    <s v="ORD02603"/>
    <d v="2026-05-04T00:00:00"/>
    <s v="CUST0228"/>
    <x v="2"/>
    <x v="2"/>
    <n v="10"/>
    <n v="0.2"/>
    <n v="104000"/>
    <n v="11247.96"/>
    <x v="3"/>
    <s v="Delivered"/>
    <n v="10400"/>
    <n v="10.81534615384615"/>
    <s v="Profit"/>
    <s v="Rohan Reddy"/>
    <x v="2"/>
    <x v="0"/>
    <s v="Coimbatore"/>
    <s v="Tamil Nadu"/>
    <s v="2025-11-28"/>
    <s v="36-50"/>
    <n v="1124.796"/>
  </r>
  <r>
    <s v="ORD02604"/>
    <d v="2025-08-13T00:00:00"/>
    <s v="CUST0423"/>
    <x v="0"/>
    <x v="0"/>
    <n v="6"/>
    <n v="0.1"/>
    <n v="75600"/>
    <n v="9684.08"/>
    <x v="2"/>
    <s v="Shipped"/>
    <n v="12600"/>
    <n v="12.809629629629629"/>
    <s v="Profit"/>
    <s v="Rohan Nair"/>
    <x v="0"/>
    <x v="2"/>
    <s v="Chandigarh"/>
    <s v="Chandigarh"/>
    <s v="2023-06-08"/>
    <s v="51+"/>
    <n v="1614.0133333333331"/>
  </r>
  <r>
    <s v="ORD02605"/>
    <d v="2025-11-29T00:00:00"/>
    <s v="CUST0244"/>
    <x v="0"/>
    <x v="7"/>
    <n v="1"/>
    <n v="0"/>
    <n v="900"/>
    <n v="-405.34"/>
    <x v="3"/>
    <s v="Returned"/>
    <n v="900"/>
    <n v="-45.037777777777777"/>
    <s v="Loss"/>
    <s v="Ishaan Khan"/>
    <x v="0"/>
    <x v="0"/>
    <s v="Bengaluru"/>
    <s v="Karnataka"/>
    <s v="2024-01-08"/>
    <s v="36-50"/>
    <n v="-405.34"/>
  </r>
  <r>
    <s v="ORD02606"/>
    <d v="2026-06-10T00:00:00"/>
    <s v="CUST0139"/>
    <x v="0"/>
    <x v="7"/>
    <n v="2"/>
    <n v="0"/>
    <n v="1800"/>
    <n v="-146.22999999999999"/>
    <x v="0"/>
    <s v="Returned"/>
    <n v="900"/>
    <n v="-8.1238888888888887"/>
    <s v="Loss"/>
    <s v="Lakshmi Das"/>
    <x v="1"/>
    <x v="1"/>
    <s v="Surat"/>
    <s v="Gujarat"/>
    <s v="2023-05-25"/>
    <s v="36-50"/>
    <n v="-73.114999999999995"/>
  </r>
  <r>
    <s v="ORD02607"/>
    <d v="2025-12-15T00:00:00"/>
    <s v="CUST0110"/>
    <x v="2"/>
    <x v="5"/>
    <n v="2"/>
    <n v="0.15"/>
    <n v="18700"/>
    <n v="3272.57"/>
    <x v="1"/>
    <s v="Delivered"/>
    <n v="9350"/>
    <n v="17.500374331550798"/>
    <s v="Profit"/>
    <s v="Ananya Gupta"/>
    <x v="0"/>
    <x v="3"/>
    <s v="Patna"/>
    <s v="Tamil Nadu"/>
    <s v="2025-06-10"/>
    <s v="26-35"/>
    <n v="1636.2850000000001"/>
  </r>
  <r>
    <s v="ORD02608"/>
    <d v="2026-05-27T00:00:00"/>
    <s v="CUST0539"/>
    <x v="1"/>
    <x v="12"/>
    <n v="1"/>
    <n v="0"/>
    <n v="1400"/>
    <n v="500"/>
    <x v="1"/>
    <s v="Shipped"/>
    <n v="1400"/>
    <n v="35.714285714285722"/>
    <s v="Profit"/>
    <s v="Diya Chopra"/>
    <x v="0"/>
    <x v="3"/>
    <s v="Patna"/>
    <s v="Bihar"/>
    <s v="2024-02-04"/>
    <s v="36-50"/>
    <n v="500"/>
  </r>
  <r>
    <s v="ORD02609"/>
    <d v="2026-07-23T00:00:00"/>
    <s v="CUST0402"/>
    <x v="1"/>
    <x v="13"/>
    <n v="3"/>
    <n v="0"/>
    <n v="12600"/>
    <n v="3600"/>
    <x v="2"/>
    <s v="Delivered"/>
    <n v="4200"/>
    <n v="28.571428571428569"/>
    <s v="Profit"/>
    <s v="Diya Pillai"/>
    <x v="1"/>
    <x v="0"/>
    <s v="Chennai"/>
    <s v="Tamil Nadu"/>
    <s v="2025-08-08"/>
    <s v="36-50"/>
    <n v="1200"/>
  </r>
  <r>
    <s v="ORD02610"/>
    <d v="2026-06-13T00:00:00"/>
    <s v="CUST0262"/>
    <x v="2"/>
    <x v="2"/>
    <n v="4"/>
    <n v="0.2"/>
    <n v="41600"/>
    <n v="5445.28"/>
    <x v="3"/>
    <s v="Delivered"/>
    <n v="10400"/>
    <n v="13.08961538461538"/>
    <s v="Profit"/>
    <s v="Varun Menon"/>
    <x v="1"/>
    <x v="2"/>
    <s v="Chandigarh"/>
    <s v="Chandigarh"/>
    <s v="2025-12-16"/>
    <s v="36-50"/>
    <n v="1361.32"/>
  </r>
  <r>
    <s v="ORD02611"/>
    <d v="2026-08-25T00:00:00"/>
    <s v="CUST0531"/>
    <x v="2"/>
    <x v="3"/>
    <n v="1"/>
    <n v="0.1"/>
    <n v="13500"/>
    <n v="2363.3000000000002"/>
    <x v="3"/>
    <s v="Delivered"/>
    <n v="13500"/>
    <n v="17.505925925925929"/>
    <s v="Profit"/>
    <s v="Kavya Mishra"/>
    <x v="2"/>
    <x v="0"/>
    <s v="Coimbatore"/>
    <s v="Tamil Nadu"/>
    <s v="2023-10-06"/>
    <s v="26-35"/>
    <n v="2363.3000000000002"/>
  </r>
  <r>
    <s v="ORD02612"/>
    <d v="2026-07-01T00:00:00"/>
    <s v="CUST0063"/>
    <x v="1"/>
    <x v="13"/>
    <n v="3"/>
    <n v="0.15"/>
    <n v="10710"/>
    <n v="2473.94"/>
    <x v="2"/>
    <s v="Delivered"/>
    <n v="3570"/>
    <n v="23.099346405228761"/>
    <s v="Profit"/>
    <s v="Kavya Nair"/>
    <x v="0"/>
    <x v="2"/>
    <s v="Jaipur"/>
    <s v="Rajasthan"/>
    <s v="2024-06-25"/>
    <s v="51+"/>
    <n v="824.64666666666665"/>
  </r>
  <r>
    <s v="ORD02613"/>
    <d v="2025-10-31T00:00:00"/>
    <s v="CUST0015"/>
    <x v="3"/>
    <x v="11"/>
    <n v="1"/>
    <n v="0.15"/>
    <n v="2125"/>
    <n v="-940.37"/>
    <x v="0"/>
    <s v="Returned"/>
    <n v="2125"/>
    <n v="-44.252705882352942"/>
    <s v="Loss"/>
    <s v="Diya Pillai"/>
    <x v="1"/>
    <x v="0"/>
    <s v="Coimbatore"/>
    <s v="Tamil Nadu"/>
    <s v="2024-09-16"/>
    <s v="51+"/>
    <n v="-940.37"/>
  </r>
  <r>
    <s v="ORD02614"/>
    <d v="2026-05-09T00:00:00"/>
    <s v="CUST0167"/>
    <x v="1"/>
    <x v="15"/>
    <n v="10"/>
    <n v="0"/>
    <n v="22000"/>
    <n v="7500"/>
    <x v="0"/>
    <s v="Delivered"/>
    <n v="2200"/>
    <n v="34.090909090909093"/>
    <s v="Profit"/>
    <s v="Aarav Mehta"/>
    <x v="0"/>
    <x v="0"/>
    <s v="Hyderabad"/>
    <s v="Telangana"/>
    <s v="2024-10-15"/>
    <s v="51+"/>
    <n v="750"/>
  </r>
  <r>
    <s v="ORD02615"/>
    <d v="2025-07-11T00:00:00"/>
    <s v="CUST0507"/>
    <x v="0"/>
    <x v="6"/>
    <n v="3"/>
    <n v="0.1"/>
    <n v="945"/>
    <n v="14.97"/>
    <x v="3"/>
    <s v="Cancelled"/>
    <n v="315"/>
    <n v="1.5841269841269841"/>
    <s v="Profit"/>
    <s v="Aarav Naidu"/>
    <x v="0"/>
    <x v="2"/>
    <s v="Jaipur"/>
    <s v="Rajasthan"/>
    <s v="2023-05-03"/>
    <s v="36-50"/>
    <n v="4.99"/>
  </r>
  <r>
    <s v="ORD02616"/>
    <d v="2025-12-11T00:00:00"/>
    <s v="CUST0116"/>
    <x v="1"/>
    <x v="13"/>
    <n v="1"/>
    <n v="0.05"/>
    <n v="3990"/>
    <n v="1060.3900000000001"/>
    <x v="0"/>
    <s v="Delivered"/>
    <n v="3990"/>
    <n v="26.576190476190479"/>
    <s v="Profit"/>
    <s v="Meera Gupta"/>
    <x v="1"/>
    <x v="3"/>
    <s v="Patna"/>
    <s v="Bihar"/>
    <s v="2023-01-02"/>
    <s v="26-35"/>
    <n v="1060.3900000000001"/>
  </r>
  <r>
    <s v="ORD02617"/>
    <d v="2025-12-08T00:00:00"/>
    <s v="CUST0506"/>
    <x v="3"/>
    <x v="10"/>
    <n v="3"/>
    <n v="0.1"/>
    <n v="148500"/>
    <n v="14768.45"/>
    <x v="2"/>
    <s v="Shipped"/>
    <n v="49500"/>
    <n v="9.9450841750841761"/>
    <s v="Profit"/>
    <s v="Sneha Mehta"/>
    <x v="0"/>
    <x v="2"/>
    <s v="Jaipur"/>
    <s v="Rajasthan"/>
    <s v="2025-02-24"/>
    <s v="51+"/>
    <n v="4922.8166666666666"/>
  </r>
  <r>
    <s v="ORD02618"/>
    <d v="2025-09-08T00:00:00"/>
    <s v="CUST0434"/>
    <x v="2"/>
    <x v="3"/>
    <n v="4"/>
    <n v="0.1"/>
    <n v="54000"/>
    <n v="10095.280000000001"/>
    <x v="1"/>
    <s v="Delivered"/>
    <n v="13500"/>
    <n v="18.694962962962961"/>
    <s v="Profit"/>
    <s v="Meera Nair"/>
    <x v="0"/>
    <x v="2"/>
    <s v="Delhi"/>
    <s v="Delhi"/>
    <s v="2023-06-30"/>
    <s v="51+"/>
    <n v="2523.8200000000002"/>
  </r>
  <r>
    <s v="ORD02619"/>
    <d v="2026-02-22T00:00:00"/>
    <s v="CUST0143"/>
    <x v="0"/>
    <x v="14"/>
    <n v="2"/>
    <n v="0.1"/>
    <n v="810"/>
    <n v="144.13"/>
    <x v="0"/>
    <s v="Shipped"/>
    <n v="405"/>
    <n v="17.79382716049383"/>
    <s v="Profit"/>
    <s v="Ananya Naidu"/>
    <x v="2"/>
    <x v="0"/>
    <s v="Bengaluru"/>
    <s v="Karnataka"/>
    <s v="2023-04-11"/>
    <s v="36-50"/>
    <n v="72.064999999999998"/>
  </r>
  <r>
    <s v="ORD02620"/>
    <d v="2026-05-31T00:00:00"/>
    <s v="CUST0359"/>
    <x v="2"/>
    <x v="3"/>
    <n v="1"/>
    <n v="0"/>
    <n v="15000"/>
    <n v="3500"/>
    <x v="1"/>
    <s v="Shipped"/>
    <n v="15000"/>
    <n v="23.333333333333329"/>
    <s v="Profit"/>
    <s v="Ananya Mishra"/>
    <x v="0"/>
    <x v="0"/>
    <s v="Bengaluru"/>
    <s v="Karnataka"/>
    <s v="2024-05-22"/>
    <s v="26-35"/>
    <n v="3500"/>
  </r>
  <r>
    <s v="ORD02621"/>
    <d v="2026-06-23T00:00:00"/>
    <s v="CUST0139"/>
    <x v="3"/>
    <x v="8"/>
    <n v="5"/>
    <n v="0.15"/>
    <n v="19125"/>
    <n v="5163.1400000000003"/>
    <x v="2"/>
    <s v="Delivered"/>
    <n v="3825"/>
    <n v="26.996810457516339"/>
    <s v="Profit"/>
    <s v="Lakshmi Das"/>
    <x v="1"/>
    <x v="1"/>
    <s v="Surat"/>
    <s v="Gujarat"/>
    <s v="2023-05-25"/>
    <s v="36-50"/>
    <n v="1032.6279999999999"/>
  </r>
  <r>
    <s v="ORD02622"/>
    <d v="2026-06-23T00:00:00"/>
    <s v="CUST0405"/>
    <x v="0"/>
    <x v="0"/>
    <n v="5"/>
    <n v="0.05"/>
    <n v="66500"/>
    <n v="11725.61"/>
    <x v="0"/>
    <s v="Delivered"/>
    <n v="13300"/>
    <n v="17.632496240601501"/>
    <s v="Profit"/>
    <s v="Varun Naidu"/>
    <x v="0"/>
    <x v="0"/>
    <s v="Chennai"/>
    <s v="Tamil Nadu"/>
    <s v="2024-05-06"/>
    <s v="26-35"/>
    <n v="2345.1219999999998"/>
  </r>
  <r>
    <s v="ORD02623"/>
    <d v="2025-12-14T00:00:00"/>
    <s v="CUST0565"/>
    <x v="2"/>
    <x v="3"/>
    <n v="1"/>
    <n v="0.15"/>
    <n v="12750"/>
    <n v="1695.71"/>
    <x v="1"/>
    <s v="Shipped"/>
    <n v="12750"/>
    <n v="13.299686274509799"/>
    <s v="Profit"/>
    <s v="Rahul Bose"/>
    <x v="0"/>
    <x v="0"/>
    <s v="Coimbatore"/>
    <s v="Tamil Nadu"/>
    <s v="2024-03-26"/>
    <s v="51+"/>
    <n v="1695.71"/>
  </r>
  <r>
    <s v="ORD02624"/>
    <d v="2026-08-03T00:00:00"/>
    <s v="CUST0396"/>
    <x v="0"/>
    <x v="14"/>
    <n v="3"/>
    <n v="0.05"/>
    <n v="1282.5"/>
    <n v="285.60000000000002"/>
    <x v="2"/>
    <s v="Delivered"/>
    <n v="427.5"/>
    <n v="22.26900584795322"/>
    <s v="Profit"/>
    <s v="Rahul Mishra"/>
    <x v="0"/>
    <x v="0"/>
    <s v="Bengaluru"/>
    <s v="Karnataka"/>
    <s v="2023-05-26"/>
    <s v="18-25"/>
    <n v="95.2"/>
  </r>
  <r>
    <s v="ORD02625"/>
    <d v="2026-07-23T00:00:00"/>
    <s v="CUST0572"/>
    <x v="2"/>
    <x v="2"/>
    <n v="1"/>
    <n v="0"/>
    <n v="13000"/>
    <n v="3200"/>
    <x v="3"/>
    <s v="Delivered"/>
    <n v="13000"/>
    <n v="24.61538461538462"/>
    <s v="Profit"/>
    <s v="Manoj Kulkarni"/>
    <x v="1"/>
    <x v="2"/>
    <s v="Lucknow"/>
    <s v="Uttar Pradesh"/>
    <s v="2024-03-30"/>
    <s v="18-25"/>
    <n v="3200"/>
  </r>
  <r>
    <s v="ORD02626"/>
    <d v="2025-07-23T00:00:00"/>
    <s v="CUST0267"/>
    <x v="0"/>
    <x v="14"/>
    <n v="1"/>
    <n v="0"/>
    <n v="450"/>
    <n v="110"/>
    <x v="1"/>
    <s v="Delivered"/>
    <n v="450"/>
    <n v="24.444444444444439"/>
    <s v="Profit"/>
    <s v="Arjun Kulkarni"/>
    <x v="1"/>
    <x v="3"/>
    <s v="Patna"/>
    <s v="Bihar"/>
    <s v="2023-05-20"/>
    <s v="26-35"/>
    <n v="110"/>
  </r>
  <r>
    <s v="ORD02627"/>
    <d v="2026-03-22T00:00:00"/>
    <s v="CUST0230"/>
    <x v="3"/>
    <x v="4"/>
    <n v="2"/>
    <n v="0"/>
    <n v="36000"/>
    <n v="-20363.259999999998"/>
    <x v="2"/>
    <s v="Returned"/>
    <n v="18000"/>
    <n v="-56.564611111111113"/>
    <s v="Loss"/>
    <s v="Ishaan Iyer"/>
    <x v="0"/>
    <x v="0"/>
    <s v="Bengaluru"/>
    <s v="Karnataka"/>
    <s v="2025-11-29"/>
    <s v="26-35"/>
    <n v="-10181.629999999999"/>
  </r>
  <r>
    <s v="ORD02628"/>
    <d v="2025-12-01T00:00:00"/>
    <s v="CUST0183"/>
    <x v="1"/>
    <x v="12"/>
    <n v="3"/>
    <n v="0.05"/>
    <n v="3990"/>
    <n v="1371.3"/>
    <x v="3"/>
    <s v="Delivered"/>
    <n v="1330"/>
    <n v="34.368421052631582"/>
    <s v="Profit"/>
    <s v="Meera Kulkarni"/>
    <x v="0"/>
    <x v="0"/>
    <s v="Coimbatore"/>
    <s v="Tamil Nadu"/>
    <s v="2024-09-21"/>
    <s v="26-35"/>
    <n v="457.1"/>
  </r>
  <r>
    <s v="ORD02629"/>
    <d v="2026-06-29T00:00:00"/>
    <s v="CUST0396"/>
    <x v="2"/>
    <x v="2"/>
    <n v="3"/>
    <n v="0.15"/>
    <n v="33150"/>
    <n v="4718.78"/>
    <x v="1"/>
    <s v="Delivered"/>
    <n v="11050"/>
    <n v="14.234630467571639"/>
    <s v="Profit"/>
    <s v="Rahul Mishra"/>
    <x v="0"/>
    <x v="0"/>
    <s v="Bengaluru"/>
    <s v="Karnataka"/>
    <s v="2023-05-26"/>
    <s v="18-25"/>
    <n v="1572.926666666667"/>
  </r>
  <r>
    <s v="ORD02630"/>
    <d v="2025-08-30T00:00:00"/>
    <s v="CUST0415"/>
    <x v="1"/>
    <x v="15"/>
    <n v="2"/>
    <n v="0.1"/>
    <n v="3960"/>
    <n v="1191.94"/>
    <x v="2"/>
    <s v="Delivered"/>
    <n v="1980"/>
    <n v="30.09949494949495"/>
    <s v="Profit"/>
    <s v="Manoj Bose"/>
    <x v="1"/>
    <x v="0"/>
    <s v="Bengaluru"/>
    <s v="Karnataka"/>
    <s v="2024-07-04"/>
    <s v="36-50"/>
    <n v="595.97"/>
  </r>
  <r>
    <s v="ORD02631"/>
    <d v="2026-06-21T00:00:00"/>
    <s v="CUST0388"/>
    <x v="2"/>
    <x v="5"/>
    <n v="1"/>
    <n v="0"/>
    <n v="11000"/>
    <n v="2600"/>
    <x v="0"/>
    <s v="Shipped"/>
    <n v="11000"/>
    <n v="23.63636363636364"/>
    <s v="Profit"/>
    <s v="Shreya Kulkarni"/>
    <x v="0"/>
    <x v="0"/>
    <s v="Bengaluru"/>
    <s v="Karnataka"/>
    <s v="2025-08-28"/>
    <s v="36-50"/>
    <n v="2600"/>
  </r>
  <r>
    <s v="ORD02632"/>
    <d v="2026-02-18T00:00:00"/>
    <s v="CUST0144"/>
    <x v="0"/>
    <x v="7"/>
    <n v="4"/>
    <n v="0.15"/>
    <n v="3060"/>
    <n v="854.26"/>
    <x v="1"/>
    <s v="Delivered"/>
    <n v="765"/>
    <n v="27.91699346405229"/>
    <s v="Profit"/>
    <s v="Priya Gupta"/>
    <x v="0"/>
    <x v="1"/>
    <s v="Surat"/>
    <s v="Gujarat"/>
    <s v="2025-12-26"/>
    <s v="51+"/>
    <n v="213.565"/>
  </r>
  <r>
    <s v="ORD02633"/>
    <d v="2025-07-09T00:00:00"/>
    <s v="CUST0589"/>
    <x v="3"/>
    <x v="8"/>
    <n v="1"/>
    <n v="0.1"/>
    <n v="4050"/>
    <n v="1172.3599999999999"/>
    <x v="2"/>
    <s v="Shipped"/>
    <n v="4050"/>
    <n v="28.947160493827159"/>
    <s v="Profit"/>
    <s v="Sanjay Patel"/>
    <x v="2"/>
    <x v="2"/>
    <s v="Delhi"/>
    <s v="Delhi"/>
    <s v="2024-12-17"/>
    <s v="36-50"/>
    <n v="1172.3599999999999"/>
  </r>
  <r>
    <s v="ORD02634"/>
    <d v="2025-10-23T00:00:00"/>
    <s v="CUST0266"/>
    <x v="3"/>
    <x v="4"/>
    <n v="2"/>
    <n v="0"/>
    <n v="36000"/>
    <n v="7000"/>
    <x v="1"/>
    <s v="Delivered"/>
    <n v="18000"/>
    <n v="19.44444444444445"/>
    <s v="Profit"/>
    <s v="Priya Khan"/>
    <x v="0"/>
    <x v="1"/>
    <s v="Pune"/>
    <s v="Maharashtra"/>
    <s v="2023-08-25"/>
    <s v="26-35"/>
    <n v="3500"/>
  </r>
  <r>
    <s v="ORD02635"/>
    <d v="2026-08-04T00:00:00"/>
    <s v="CUST0450"/>
    <x v="0"/>
    <x v="6"/>
    <n v="6"/>
    <n v="0"/>
    <n v="2100"/>
    <n v="720"/>
    <x v="3"/>
    <s v="Delivered"/>
    <n v="350"/>
    <n v="34.285714285714278"/>
    <s v="Profit"/>
    <s v="Shreya Mishra"/>
    <x v="2"/>
    <x v="3"/>
    <s v="Guwahati"/>
    <s v="Assam"/>
    <s v="2026-01-04"/>
    <s v="36-50"/>
    <n v="120"/>
  </r>
  <r>
    <s v="ORD02636"/>
    <d v="2025-09-10T00:00:00"/>
    <s v="CUST0374"/>
    <x v="0"/>
    <x v="6"/>
    <n v="1"/>
    <n v="0.15"/>
    <n v="297.5"/>
    <n v="95.08"/>
    <x v="1"/>
    <s v="Delivered"/>
    <n v="297.5"/>
    <n v="31.959663865546219"/>
    <s v="Profit"/>
    <s v="Ishaan Chopra"/>
    <x v="0"/>
    <x v="0"/>
    <s v="Bengaluru"/>
    <s v="Karnataka"/>
    <s v="2024-09-12"/>
    <s v="18-25"/>
    <n v="95.08"/>
  </r>
  <r>
    <s v="ORD02637"/>
    <d v="2026-01-30T00:00:00"/>
    <s v="CUST0538"/>
    <x v="3"/>
    <x v="8"/>
    <n v="2"/>
    <n v="0"/>
    <n v="9000"/>
    <n v="3000"/>
    <x v="2"/>
    <s v="Delivered"/>
    <n v="4500"/>
    <n v="33.333333333333329"/>
    <s v="Profit"/>
    <s v="Sanjay Chopra"/>
    <x v="1"/>
    <x v="0"/>
    <s v="Coimbatore"/>
    <s v="Tamil Nadu"/>
    <s v="2024-01-09"/>
    <s v="36-50"/>
    <n v="1500"/>
  </r>
  <r>
    <s v="ORD02638"/>
    <d v="2025-12-21T00:00:00"/>
    <s v="CUST0158"/>
    <x v="2"/>
    <x v="3"/>
    <n v="3"/>
    <n v="0.05"/>
    <n v="42750"/>
    <n v="9288.73"/>
    <x v="1"/>
    <s v="Shipped"/>
    <n v="14250"/>
    <n v="21.728023391812869"/>
    <s v="Profit"/>
    <s v="Ananya Reddy"/>
    <x v="2"/>
    <x v="0"/>
    <s v="Bengaluru"/>
    <s v="Karnataka"/>
    <s v="2024-04-04"/>
    <s v="18-25"/>
    <n v="3096.2433333333329"/>
  </r>
  <r>
    <s v="ORD02639"/>
    <d v="2026-02-16T00:00:00"/>
    <s v="CUST0186"/>
    <x v="2"/>
    <x v="5"/>
    <n v="3"/>
    <n v="0.1"/>
    <n v="29700"/>
    <n v="6027.72"/>
    <x v="1"/>
    <s v="Delivered"/>
    <n v="9900"/>
    <n v="20.295353535353531"/>
    <s v="Profit"/>
    <s v="Vikram Verma"/>
    <x v="1"/>
    <x v="0"/>
    <s v="Coimbatore"/>
    <s v="Tamil Nadu"/>
    <s v="2024-03-12"/>
    <s v="18-25"/>
    <n v="2009.24"/>
  </r>
  <r>
    <s v="ORD02640"/>
    <d v="2026-07-30T00:00:00"/>
    <s v="CUST0273"/>
    <x v="0"/>
    <x v="6"/>
    <n v="1"/>
    <n v="0.1"/>
    <n v="315"/>
    <n v="99.9"/>
    <x v="0"/>
    <s v="Delivered"/>
    <n v="315"/>
    <n v="31.714285714285719"/>
    <s v="Profit"/>
    <s v="Akash Verma"/>
    <x v="1"/>
    <x v="0"/>
    <s v="Chennai"/>
    <s v="Tamil Nadu"/>
    <s v="2024-07-10"/>
    <s v="51+"/>
    <n v="99.9"/>
  </r>
  <r>
    <s v="ORD02641"/>
    <d v="2025-09-28T00:00:00"/>
    <s v="CUST0044"/>
    <x v="2"/>
    <x v="5"/>
    <n v="3"/>
    <n v="0.2"/>
    <n v="26400"/>
    <n v="3831.62"/>
    <x v="3"/>
    <s v="Shipped"/>
    <n v="8800"/>
    <n v="14.513712121212119"/>
    <s v="Profit"/>
    <s v="Rahul Rao"/>
    <x v="0"/>
    <x v="1"/>
    <s v="Pune"/>
    <s v="Maharashtra"/>
    <s v="2025-07-18"/>
    <s v="36-50"/>
    <n v="1277.2066666666669"/>
  </r>
  <r>
    <s v="ORD02642"/>
    <d v="2026-03-03T00:00:00"/>
    <s v="CUST0462"/>
    <x v="1"/>
    <x v="12"/>
    <n v="2"/>
    <n v="0.3"/>
    <n v="1960"/>
    <n v="324.26"/>
    <x v="2"/>
    <s v="Delivered"/>
    <n v="980"/>
    <n v="16.543877551020412"/>
    <s v="Profit"/>
    <s v="Lakshmi Iyer"/>
    <x v="0"/>
    <x v="2"/>
    <s v="Delhi"/>
    <s v="Delhi"/>
    <s v="2025-05-06"/>
    <s v="36-50"/>
    <n v="162.13"/>
  </r>
  <r>
    <s v="ORD02643"/>
    <d v="2025-07-12T00:00:00"/>
    <s v="CUST0515"/>
    <x v="2"/>
    <x v="9"/>
    <n v="2"/>
    <n v="0"/>
    <n v="18000"/>
    <n v="4600"/>
    <x v="1"/>
    <s v="Delivered"/>
    <n v="9000"/>
    <n v="25.55555555555555"/>
    <s v="Profit"/>
    <s v="Priya Rao"/>
    <x v="2"/>
    <x v="0"/>
    <s v="Chennai"/>
    <s v="Tamil Nadu"/>
    <s v="2025-06-05"/>
    <s v="18-25"/>
    <n v="2300"/>
  </r>
  <r>
    <s v="ORD02644"/>
    <d v="2026-04-18T00:00:00"/>
    <s v="CUST0046"/>
    <x v="3"/>
    <x v="10"/>
    <n v="1"/>
    <n v="0.05"/>
    <n v="52250"/>
    <n v="6860.52"/>
    <x v="2"/>
    <s v="Delivered"/>
    <n v="52250"/>
    <n v="13.13018181818182"/>
    <s v="Profit"/>
    <s v="Kavya Pillai"/>
    <x v="1"/>
    <x v="3"/>
    <s v="Kolkata"/>
    <s v="West Bengal"/>
    <s v="2025-11-12"/>
    <s v="36-50"/>
    <n v="6860.52"/>
  </r>
  <r>
    <s v="ORD02645"/>
    <d v="2025-07-08T00:00:00"/>
    <s v="CUST0510"/>
    <x v="3"/>
    <x v="8"/>
    <n v="3"/>
    <n v="0.2"/>
    <n v="10800"/>
    <n v="2497.11"/>
    <x v="1"/>
    <s v="Delivered"/>
    <n v="3600"/>
    <n v="23.121388888888891"/>
    <s v="Profit"/>
    <s v="Vikram Singh"/>
    <x v="1"/>
    <x v="0"/>
    <s v="Coimbatore"/>
    <s v="Tamil Nadu"/>
    <s v="2024-08-20"/>
    <s v="36-50"/>
    <n v="832.37"/>
  </r>
  <r>
    <s v="ORD02646"/>
    <d v="2026-02-04T00:00:00"/>
    <s v="CUST0468"/>
    <x v="3"/>
    <x v="10"/>
    <n v="2"/>
    <n v="0.05"/>
    <n v="104500"/>
    <n v="14761.34"/>
    <x v="1"/>
    <s v="Shipped"/>
    <n v="52250"/>
    <n v="14.12568421052632"/>
    <s v="Profit"/>
    <s v="Lakshmi Mehta"/>
    <x v="1"/>
    <x v="0"/>
    <s v="Chennai"/>
    <s v="Tamil Nadu"/>
    <s v="2023-03-02"/>
    <s v="26-35"/>
    <n v="7380.67"/>
  </r>
  <r>
    <s v="ORD02647"/>
    <d v="2026-05-21T00:00:00"/>
    <s v="CUST0375"/>
    <x v="1"/>
    <x v="12"/>
    <n v="6"/>
    <n v="0.2"/>
    <n v="6720"/>
    <n v="1667.36"/>
    <x v="1"/>
    <s v="Delivered"/>
    <n v="1120"/>
    <n v="24.81190476190476"/>
    <s v="Profit"/>
    <s v="Sneha Pillai"/>
    <x v="0"/>
    <x v="0"/>
    <s v="Bengaluru"/>
    <s v="Karnataka"/>
    <s v="2024-01-03"/>
    <s v="26-35"/>
    <n v="277.89333333333332"/>
  </r>
  <r>
    <s v="ORD02648"/>
    <d v="2026-08-25T00:00:00"/>
    <s v="CUST0124"/>
    <x v="0"/>
    <x v="7"/>
    <n v="1"/>
    <n v="0.1"/>
    <n v="810"/>
    <n v="213.02"/>
    <x v="0"/>
    <s v="Delivered"/>
    <n v="810"/>
    <n v="26.298765432098769"/>
    <s v="Profit"/>
    <s v="Vikram Das"/>
    <x v="0"/>
    <x v="1"/>
    <s v="Pune"/>
    <s v="Maharashtra"/>
    <s v="2024-07-21"/>
    <s v="51+"/>
    <n v="213.02"/>
  </r>
  <r>
    <s v="ORD02649"/>
    <d v="2026-04-30T00:00:00"/>
    <s v="CUST0313"/>
    <x v="2"/>
    <x v="3"/>
    <n v="1"/>
    <n v="0.15"/>
    <n v="12750"/>
    <n v="1764.56"/>
    <x v="1"/>
    <s v="Delivered"/>
    <n v="12750"/>
    <n v="13.839686274509811"/>
    <s v="Profit"/>
    <s v="Ananya Reddy"/>
    <x v="2"/>
    <x v="2"/>
    <s v="Chandigarh"/>
    <s v="Chandigarh"/>
    <s v="2025-09-06"/>
    <s v="26-35"/>
    <n v="1764.56"/>
  </r>
  <r>
    <s v="ORD02650"/>
    <d v="2025-12-20T00:00:00"/>
    <s v="CUST0362"/>
    <x v="2"/>
    <x v="5"/>
    <n v="1"/>
    <n v="0.15"/>
    <n v="9350"/>
    <n v="1797.55"/>
    <x v="2"/>
    <s v="Delivered"/>
    <n v="9350"/>
    <n v="19.22513368983957"/>
    <s v="Profit"/>
    <s v="Karthik Joshi"/>
    <x v="0"/>
    <x v="0"/>
    <s v="Coimbatore"/>
    <s v="Tamil Nadu"/>
    <s v="2025-09-08"/>
    <s v="26-35"/>
    <n v="1797.55"/>
  </r>
  <r>
    <s v="ORD02651"/>
    <d v="2026-07-25T00:00:00"/>
    <s v="CUST0512"/>
    <x v="3"/>
    <x v="4"/>
    <n v="2"/>
    <n v="0.1"/>
    <n v="32400"/>
    <n v="5015.45"/>
    <x v="1"/>
    <s v="Delivered"/>
    <n v="16200"/>
    <n v="15.47978395061728"/>
    <s v="Profit"/>
    <s v="Aarav Verma"/>
    <x v="2"/>
    <x v="3"/>
    <s v="Kolkata"/>
    <s v="West Bengal"/>
    <s v="2025-10-17"/>
    <s v="26-35"/>
    <n v="2507.7249999999999"/>
  </r>
  <r>
    <s v="ORD02652"/>
    <d v="2025-11-13T00:00:00"/>
    <s v="CUST0346"/>
    <x v="1"/>
    <x v="12"/>
    <n v="6"/>
    <n v="0.05"/>
    <n v="7980"/>
    <n v="2691.73"/>
    <x v="1"/>
    <s v="Shipped"/>
    <n v="1330"/>
    <n v="33.730952380952381"/>
    <s v="Profit"/>
    <s v="Aarav Iyer"/>
    <x v="0"/>
    <x v="1"/>
    <s v="Ahmedabad"/>
    <s v="Gujarat"/>
    <s v="2025-10-12"/>
    <s v="18-25"/>
    <n v="448.62166666666673"/>
  </r>
  <r>
    <s v="ORD02653"/>
    <d v="2025-08-15T00:00:00"/>
    <s v="CUST0322"/>
    <x v="0"/>
    <x v="6"/>
    <n v="3"/>
    <n v="0.1"/>
    <n v="945"/>
    <n v="308.39"/>
    <x v="2"/>
    <s v="Delivered"/>
    <n v="315"/>
    <n v="32.633862433862433"/>
    <s v="Profit"/>
    <s v="Ananya Joshi"/>
    <x v="0"/>
    <x v="2"/>
    <s v="Delhi"/>
    <s v="Delhi"/>
    <s v="2025-01-13"/>
    <s v="26-35"/>
    <n v="102.7966666666667"/>
  </r>
  <r>
    <s v="ORD02654"/>
    <d v="2026-05-09T00:00:00"/>
    <s v="CUST0103"/>
    <x v="3"/>
    <x v="11"/>
    <n v="2"/>
    <n v="0.3"/>
    <n v="3500"/>
    <n v="499.56"/>
    <x v="1"/>
    <s v="Shipped"/>
    <n v="1750"/>
    <n v="14.27314285714286"/>
    <s v="Profit"/>
    <s v="Rohan Rao"/>
    <x v="0"/>
    <x v="0"/>
    <s v="Bengaluru"/>
    <s v="Karnataka"/>
    <s v="2023-11-09"/>
    <s v="36-50"/>
    <n v="249.78"/>
  </r>
  <r>
    <s v="ORD02655"/>
    <d v="2026-07-29T00:00:00"/>
    <s v="CUST0405"/>
    <x v="1"/>
    <x v="13"/>
    <n v="3"/>
    <n v="0.05"/>
    <n v="11970"/>
    <n v="3073.82"/>
    <x v="1"/>
    <s v="Delivered"/>
    <n v="3990"/>
    <n v="25.679365079365081"/>
    <s v="Profit"/>
    <s v="Varun Naidu"/>
    <x v="0"/>
    <x v="0"/>
    <s v="Chennai"/>
    <s v="Tamil Nadu"/>
    <s v="2024-05-06"/>
    <s v="26-35"/>
    <n v="1024.606666666667"/>
  </r>
  <r>
    <s v="ORD02656"/>
    <d v="2026-05-16T00:00:00"/>
    <s v="CUST0190"/>
    <x v="3"/>
    <x v="10"/>
    <n v="1"/>
    <n v="0.05"/>
    <n v="52250"/>
    <n v="7382.04"/>
    <x v="3"/>
    <s v="Delivered"/>
    <n v="52250"/>
    <n v="14.128306220095689"/>
    <s v="Profit"/>
    <s v="Rohan Naidu"/>
    <x v="0"/>
    <x v="0"/>
    <s v="Coimbatore"/>
    <s v="Tamil Nadu"/>
    <s v="2023-02-24"/>
    <s v="26-35"/>
    <n v="7382.04"/>
  </r>
  <r>
    <s v="ORD02657"/>
    <d v="2025-10-25T00:00:00"/>
    <s v="CUST0103"/>
    <x v="2"/>
    <x v="2"/>
    <n v="5"/>
    <n v="0.1"/>
    <n v="58500"/>
    <n v="11202.37"/>
    <x v="3"/>
    <s v="Delivered"/>
    <n v="11700"/>
    <n v="19.149350427350431"/>
    <s v="Profit"/>
    <s v="Rohan Rao"/>
    <x v="0"/>
    <x v="0"/>
    <s v="Bengaluru"/>
    <s v="Karnataka"/>
    <s v="2023-11-09"/>
    <s v="36-50"/>
    <n v="2240.4740000000002"/>
  </r>
  <r>
    <s v="ORD02658"/>
    <d v="2025-10-09T00:00:00"/>
    <s v="CUST0576"/>
    <x v="2"/>
    <x v="3"/>
    <n v="1"/>
    <n v="0.15"/>
    <n v="12750"/>
    <n v="1788.68"/>
    <x v="3"/>
    <s v="Shipped"/>
    <n v="12750"/>
    <n v="14.02886274509804"/>
    <s v="Profit"/>
    <s v="Harini Pillai"/>
    <x v="0"/>
    <x v="0"/>
    <s v="Hyderabad"/>
    <s v="Telangana"/>
    <s v="2023-05-25"/>
    <s v="26-35"/>
    <n v="1788.68"/>
  </r>
  <r>
    <s v="ORD02659"/>
    <d v="2026-08-10T00:00:00"/>
    <s v="CUST0495"/>
    <x v="0"/>
    <x v="6"/>
    <n v="2"/>
    <n v="0"/>
    <n v="700"/>
    <n v="240"/>
    <x v="1"/>
    <s v="Delivered"/>
    <n v="350"/>
    <n v="34.285714285714278"/>
    <s v="Profit"/>
    <s v="Harini Gupta"/>
    <x v="1"/>
    <x v="2"/>
    <s v="Chandigarh"/>
    <s v="Chandigarh"/>
    <s v="2025-10-03"/>
    <s v="26-35"/>
    <n v="120"/>
  </r>
  <r>
    <s v="ORD02660"/>
    <d v="2026-06-05T00:00:00"/>
    <s v="CUST0031"/>
    <x v="3"/>
    <x v="8"/>
    <n v="1"/>
    <n v="0.05"/>
    <n v="4275"/>
    <n v="1317.23"/>
    <x v="1"/>
    <s v="Delivered"/>
    <n v="4275"/>
    <n v="30.812397660818711"/>
    <s v="Profit"/>
    <s v="Priya Mishra"/>
    <x v="2"/>
    <x v="0"/>
    <s v="Bengaluru"/>
    <s v="Karnataka"/>
    <s v="2023-05-09"/>
    <s v="51+"/>
    <n v="1317.23"/>
  </r>
  <r>
    <s v="ORD02661"/>
    <d v="2026-06-14T00:00:00"/>
    <s v="CUST0003"/>
    <x v="3"/>
    <x v="8"/>
    <n v="2"/>
    <n v="0.1"/>
    <n v="8100"/>
    <n v="2453.84"/>
    <x v="2"/>
    <s v="Delivered"/>
    <n v="4050"/>
    <n v="30.29432098765432"/>
    <s v="Profit"/>
    <s v="Sanjay Mehta"/>
    <x v="2"/>
    <x v="1"/>
    <s v="Ahmedabad"/>
    <s v="Gujarat"/>
    <s v="2025-05-11"/>
    <s v="26-35"/>
    <n v="1226.92"/>
  </r>
  <r>
    <s v="ORD02662"/>
    <d v="2026-07-13T00:00:00"/>
    <s v="CUST0595"/>
    <x v="3"/>
    <x v="11"/>
    <n v="5"/>
    <n v="0.1"/>
    <n v="11250"/>
    <n v="-803.91"/>
    <x v="2"/>
    <s v="Cancelled"/>
    <n v="2250"/>
    <n v="-7.1458666666666666"/>
    <s v="Loss"/>
    <s v="Nisha Menon"/>
    <x v="0"/>
    <x v="3"/>
    <s v="Kolkata"/>
    <s v="West Bengal"/>
    <s v="2025-07-16"/>
    <s v="51+"/>
    <n v="-160.78200000000001"/>
  </r>
  <r>
    <s v="ORD02663"/>
    <d v="2025-12-05T00:00:00"/>
    <s v="CUST0594"/>
    <x v="3"/>
    <x v="10"/>
    <n v="5"/>
    <n v="0.05"/>
    <n v="261250"/>
    <n v="37439.57"/>
    <x v="0"/>
    <s v="Delivered"/>
    <n v="52250"/>
    <n v="14.33093588516746"/>
    <s v="Profit"/>
    <s v="Ishaan Bose"/>
    <x v="1"/>
    <x v="0"/>
    <s v="Coimbatore"/>
    <s v="Tamil Nadu"/>
    <s v="2024-06-29"/>
    <s v="51+"/>
    <n v="7487.9139999999998"/>
  </r>
  <r>
    <s v="ORD02664"/>
    <d v="2026-01-19T00:00:00"/>
    <s v="CUST0369"/>
    <x v="3"/>
    <x v="11"/>
    <n v="2"/>
    <n v="0"/>
    <n v="5000"/>
    <n v="1600"/>
    <x v="0"/>
    <s v="Delivered"/>
    <n v="2500"/>
    <n v="32"/>
    <s v="Profit"/>
    <s v="Lakshmi Gupta"/>
    <x v="0"/>
    <x v="3"/>
    <s v="Bhubaneswar"/>
    <s v="Odisha"/>
    <s v="2023-10-13"/>
    <s v="36-50"/>
    <n v="800"/>
  </r>
  <r>
    <s v="ORD02665"/>
    <d v="2026-04-08T00:00:00"/>
    <s v="CUST0157"/>
    <x v="0"/>
    <x v="7"/>
    <n v="2"/>
    <n v="0.15"/>
    <n v="1530"/>
    <n v="388.2"/>
    <x v="0"/>
    <s v="Delivered"/>
    <n v="765"/>
    <n v="25.372549019607838"/>
    <s v="Profit"/>
    <s v="Diya Rao"/>
    <x v="1"/>
    <x v="0"/>
    <s v="Bengaluru"/>
    <s v="Karnataka"/>
    <s v="2024-02-13"/>
    <s v="51+"/>
    <n v="194.1"/>
  </r>
  <r>
    <s v="ORD02666"/>
    <d v="2026-05-23T00:00:00"/>
    <s v="CUST0310"/>
    <x v="2"/>
    <x v="2"/>
    <n v="3"/>
    <n v="0.05"/>
    <n v="37050"/>
    <n v="8518.2999999999993"/>
    <x v="0"/>
    <s v="Delivered"/>
    <n v="12350"/>
    <n v="22.991363022941972"/>
    <s v="Profit"/>
    <s v="Karthik Chopra"/>
    <x v="1"/>
    <x v="3"/>
    <s v="Guwahati"/>
    <s v="Assam"/>
    <s v="2024-09-09"/>
    <s v="18-25"/>
    <n v="2839.4333333333329"/>
  </r>
  <r>
    <s v="ORD02667"/>
    <d v="2025-08-17T00:00:00"/>
    <s v="CUST0497"/>
    <x v="2"/>
    <x v="3"/>
    <n v="3"/>
    <n v="0.1"/>
    <n v="40500"/>
    <n v="-8647.35"/>
    <x v="1"/>
    <s v="Returned"/>
    <n v="13500"/>
    <n v="-21.351481481481478"/>
    <s v="Loss"/>
    <s v="Karthik Singh"/>
    <x v="0"/>
    <x v="1"/>
    <s v="Ahmedabad"/>
    <s v="Gujarat"/>
    <s v="2023-10-15"/>
    <s v="36-50"/>
    <n v="-2882.45"/>
  </r>
  <r>
    <s v="ORD02668"/>
    <d v="2026-06-27T00:00:00"/>
    <s v="CUST0341"/>
    <x v="0"/>
    <x v="7"/>
    <n v="1"/>
    <n v="0"/>
    <n v="900"/>
    <n v="280"/>
    <x v="3"/>
    <s v="Delivered"/>
    <n v="900"/>
    <n v="31.111111111111111"/>
    <s v="Profit"/>
    <s v="Arjun Mehta"/>
    <x v="1"/>
    <x v="0"/>
    <s v="Coimbatore"/>
    <s v="Tamil Nadu"/>
    <s v="2023-11-21"/>
    <s v="26-35"/>
    <n v="280"/>
  </r>
  <r>
    <s v="ORD02669"/>
    <d v="2026-07-24T00:00:00"/>
    <s v="CUST0161"/>
    <x v="3"/>
    <x v="4"/>
    <n v="4"/>
    <n v="0"/>
    <n v="72000"/>
    <n v="14000"/>
    <x v="3"/>
    <s v="Delivered"/>
    <n v="18000"/>
    <n v="19.44444444444445"/>
    <s v="Profit"/>
    <s v="Rohan Reddy"/>
    <x v="2"/>
    <x v="0"/>
    <s v="Bengaluru"/>
    <s v="Karnataka"/>
    <s v="2025-07-10"/>
    <s v="51+"/>
    <n v="3500"/>
  </r>
  <r>
    <s v="ORD02670"/>
    <d v="2026-07-06T00:00:00"/>
    <s v="CUST0119"/>
    <x v="2"/>
    <x v="3"/>
    <n v="2"/>
    <n v="0.1"/>
    <n v="27000"/>
    <n v="4869.33"/>
    <x v="0"/>
    <s v="Delivered"/>
    <n v="13500"/>
    <n v="18.03455555555556"/>
    <s v="Profit"/>
    <s v="Divya Naidu"/>
    <x v="1"/>
    <x v="0"/>
    <s v="Coimbatore"/>
    <s v="Tamil Nadu"/>
    <s v="2023-05-25"/>
    <s v="36-50"/>
    <n v="2434.665"/>
  </r>
  <r>
    <s v="ORD02671"/>
    <d v="2026-06-07T00:00:00"/>
    <s v="CUST0443"/>
    <x v="0"/>
    <x v="7"/>
    <n v="1"/>
    <n v="0.3"/>
    <n v="630"/>
    <n v="68.97"/>
    <x v="2"/>
    <s v="Delivered"/>
    <n v="630"/>
    <n v="10.94761904761905"/>
    <s v="Profit"/>
    <s v="Akash Sharma"/>
    <x v="1"/>
    <x v="0"/>
    <s v="Coimbatore"/>
    <s v="Tamil Nadu"/>
    <s v="2023-10-10"/>
    <s v="51+"/>
    <n v="68.97"/>
  </r>
  <r>
    <s v="ORD02672"/>
    <d v="2026-03-16T00:00:00"/>
    <s v="CUST0422"/>
    <x v="2"/>
    <x v="5"/>
    <n v="5"/>
    <n v="0.1"/>
    <n v="49500"/>
    <n v="-20903.349999999999"/>
    <x v="3"/>
    <s v="Returned"/>
    <n v="9900"/>
    <n v="-42.228989898989887"/>
    <s v="Loss"/>
    <s v="Meera Nair"/>
    <x v="1"/>
    <x v="0"/>
    <s v="Coimbatore"/>
    <s v="Tamil Nadu"/>
    <s v="2025-02-08"/>
    <s v="26-35"/>
    <n v="-4180.67"/>
  </r>
  <r>
    <s v="ORD02673"/>
    <d v="2025-10-06T00:00:00"/>
    <s v="CUST0593"/>
    <x v="3"/>
    <x v="4"/>
    <n v="5"/>
    <n v="0.1"/>
    <n v="81000"/>
    <n v="10679.96"/>
    <x v="1"/>
    <s v="Delivered"/>
    <n v="16200"/>
    <n v="13.18513580246913"/>
    <s v="Profit"/>
    <s v="Ananya Reddy"/>
    <x v="1"/>
    <x v="2"/>
    <s v="Lucknow"/>
    <s v="Uttar Pradesh"/>
    <s v="2023-11-05"/>
    <s v="51+"/>
    <n v="2135.9920000000002"/>
  </r>
  <r>
    <s v="ORD02674"/>
    <d v="2025-11-27T00:00:00"/>
    <s v="CUST0003"/>
    <x v="1"/>
    <x v="15"/>
    <n v="6"/>
    <n v="0"/>
    <n v="13200"/>
    <n v="4500"/>
    <x v="1"/>
    <s v="Delivered"/>
    <n v="2200"/>
    <n v="34.090909090909093"/>
    <s v="Profit"/>
    <s v="Sanjay Mehta"/>
    <x v="2"/>
    <x v="1"/>
    <s v="Ahmedabad"/>
    <s v="Gujarat"/>
    <s v="2025-05-11"/>
    <s v="26-35"/>
    <n v="750"/>
  </r>
  <r>
    <s v="ORD02675"/>
    <d v="2025-12-15T00:00:00"/>
    <s v="CUST0119"/>
    <x v="0"/>
    <x v="7"/>
    <n v="1"/>
    <n v="0"/>
    <n v="900"/>
    <n v="280"/>
    <x v="3"/>
    <s v="Shipped"/>
    <n v="900"/>
    <n v="31.111111111111111"/>
    <s v="Profit"/>
    <s v="Divya Naidu"/>
    <x v="1"/>
    <x v="0"/>
    <s v="Coimbatore"/>
    <s v="Tamil Nadu"/>
    <s v="2023-05-25"/>
    <s v="36-50"/>
    <n v="280"/>
  </r>
  <r>
    <s v="ORD02676"/>
    <d v="2026-05-06T00:00:00"/>
    <s v="CUST0462"/>
    <x v="1"/>
    <x v="13"/>
    <n v="1"/>
    <n v="0.2"/>
    <n v="3360"/>
    <n v="682.02"/>
    <x v="3"/>
    <s v="Delivered"/>
    <n v="3360"/>
    <n v="20.298214285714291"/>
    <s v="Profit"/>
    <s v="Lakshmi Iyer"/>
    <x v="0"/>
    <x v="2"/>
    <s v="Delhi"/>
    <s v="Delhi"/>
    <s v="2025-05-06"/>
    <s v="36-50"/>
    <n v="682.02"/>
  </r>
  <r>
    <s v="ORD02677"/>
    <d v="2026-07-01T00:00:00"/>
    <s v="CUST0399"/>
    <x v="3"/>
    <x v="10"/>
    <n v="1"/>
    <n v="0.05"/>
    <n v="52250"/>
    <n v="7440.4"/>
    <x v="1"/>
    <s v="Delivered"/>
    <n v="52250"/>
    <n v="14.24"/>
    <s v="Profit"/>
    <s v="Kavya Iyer"/>
    <x v="0"/>
    <x v="2"/>
    <s v="Lucknow"/>
    <s v="Uttar Pradesh"/>
    <s v="2023-10-24"/>
    <s v="26-35"/>
    <n v="7440.4"/>
  </r>
  <r>
    <s v="ORD02678"/>
    <d v="2026-02-03T00:00:00"/>
    <s v="CUST0187"/>
    <x v="0"/>
    <x v="14"/>
    <n v="1"/>
    <n v="0.1"/>
    <n v="405"/>
    <n v="80.94"/>
    <x v="0"/>
    <s v="Shipped"/>
    <n v="405"/>
    <n v="19.985185185185181"/>
    <s v="Profit"/>
    <s v="Nisha Bose"/>
    <x v="0"/>
    <x v="1"/>
    <s v="Mumbai"/>
    <s v="Maharashtra"/>
    <s v="2025-12-11"/>
    <s v="51+"/>
    <n v="80.94"/>
  </r>
  <r>
    <s v="ORD02679"/>
    <d v="2026-01-09T00:00:00"/>
    <s v="CUST0267"/>
    <x v="0"/>
    <x v="7"/>
    <n v="1"/>
    <n v="0.3"/>
    <n v="630"/>
    <n v="148.53"/>
    <x v="2"/>
    <s v="Delivered"/>
    <n v="630"/>
    <n v="23.576190476190479"/>
    <s v="Profit"/>
    <s v="Arjun Kulkarni"/>
    <x v="1"/>
    <x v="3"/>
    <s v="Patna"/>
    <s v="Bihar"/>
    <s v="2023-05-20"/>
    <s v="26-35"/>
    <n v="148.53"/>
  </r>
  <r>
    <s v="ORD02680"/>
    <d v="2026-05-19T00:00:00"/>
    <s v="CUST0013"/>
    <x v="0"/>
    <x v="0"/>
    <n v="3"/>
    <n v="0.1"/>
    <n v="37800"/>
    <n v="6018.39"/>
    <x v="3"/>
    <s v="Delivered"/>
    <n v="12600"/>
    <n v="15.92166666666667"/>
    <s v="Profit"/>
    <s v="Aarav Iyer"/>
    <x v="0"/>
    <x v="2"/>
    <s v="Chandigarh"/>
    <s v="Chandigarh"/>
    <s v="2025-09-04"/>
    <s v="26-35"/>
    <n v="2006.13"/>
  </r>
  <r>
    <s v="ORD02681"/>
    <d v="2026-01-05T00:00:00"/>
    <s v="CUST0362"/>
    <x v="3"/>
    <x v="10"/>
    <n v="6"/>
    <n v="0.1"/>
    <n v="297000"/>
    <n v="34392.089999999997"/>
    <x v="3"/>
    <s v="Delivered"/>
    <n v="49500"/>
    <n v="11.579828282828281"/>
    <s v="Profit"/>
    <s v="Karthik Joshi"/>
    <x v="0"/>
    <x v="0"/>
    <s v="Coimbatore"/>
    <s v="Tamil Nadu"/>
    <s v="2025-09-08"/>
    <s v="26-35"/>
    <n v="5732.0149999999994"/>
  </r>
  <r>
    <s v="ORD02682"/>
    <d v="2025-09-10T00:00:00"/>
    <s v="CUST0073"/>
    <x v="3"/>
    <x v="10"/>
    <n v="2"/>
    <n v="0.05"/>
    <n v="104500"/>
    <n v="15442.32"/>
    <x v="1"/>
    <s v="Shipped"/>
    <n v="52250"/>
    <n v="14.777339712918661"/>
    <s v="Profit"/>
    <s v="Kavya Pillai"/>
    <x v="0"/>
    <x v="0"/>
    <s v="Hyderabad"/>
    <s v="Telangana"/>
    <s v="2023-04-01"/>
    <s v="26-35"/>
    <n v="7721.16"/>
  </r>
  <r>
    <s v="ORD02683"/>
    <d v="2025-10-14T00:00:00"/>
    <s v="CUST0252"/>
    <x v="1"/>
    <x v="15"/>
    <n v="2"/>
    <n v="0"/>
    <n v="4400"/>
    <n v="1500"/>
    <x v="2"/>
    <s v="Delivered"/>
    <n v="2200"/>
    <n v="34.090909090909093"/>
    <s v="Profit"/>
    <s v="Ishaan Pillai"/>
    <x v="0"/>
    <x v="0"/>
    <s v="Coimbatore"/>
    <s v="Tamil Nadu"/>
    <s v="2024-06-19"/>
    <s v="36-50"/>
    <n v="750"/>
  </r>
  <r>
    <s v="ORD02684"/>
    <d v="2026-04-09T00:00:00"/>
    <s v="CUST0307"/>
    <x v="0"/>
    <x v="0"/>
    <n v="2"/>
    <n v="0.1"/>
    <n v="25200"/>
    <n v="-3364.3"/>
    <x v="1"/>
    <s v="Returned"/>
    <n v="12600"/>
    <n v="-13.35039682539683"/>
    <s v="Loss"/>
    <s v="Diya Mishra"/>
    <x v="1"/>
    <x v="0"/>
    <s v="Coimbatore"/>
    <s v="Tamil Nadu"/>
    <s v="2024-12-29"/>
    <s v="26-35"/>
    <n v="-1682.15"/>
  </r>
  <r>
    <s v="ORD02685"/>
    <d v="2026-03-13T00:00:00"/>
    <s v="CUST0376"/>
    <x v="1"/>
    <x v="12"/>
    <n v="2"/>
    <n v="0.2"/>
    <n v="2240"/>
    <n v="576.61"/>
    <x v="2"/>
    <s v="Delivered"/>
    <n v="1120"/>
    <n v="25.74151785714286"/>
    <s v="Profit"/>
    <s v="Ishaan Patel"/>
    <x v="0"/>
    <x v="3"/>
    <s v="Guwahati"/>
    <s v="Assam"/>
    <s v="2024-01-17"/>
    <s v="26-35"/>
    <n v="288.30500000000001"/>
  </r>
  <r>
    <s v="ORD02686"/>
    <d v="2025-07-03T00:00:00"/>
    <s v="CUST0517"/>
    <x v="3"/>
    <x v="8"/>
    <n v="1"/>
    <n v="0.3"/>
    <n v="3150"/>
    <n v="839.06"/>
    <x v="3"/>
    <s v="Delivered"/>
    <n v="3150"/>
    <n v="26.636825396825401"/>
    <s v="Profit"/>
    <s v="Diya Iyer"/>
    <x v="2"/>
    <x v="1"/>
    <s v="Pune"/>
    <s v="Maharashtra"/>
    <s v="2024-05-04"/>
    <s v="26-35"/>
    <n v="839.06"/>
  </r>
  <r>
    <s v="ORD02687"/>
    <d v="2025-09-02T00:00:00"/>
    <s v="CUST0543"/>
    <x v="3"/>
    <x v="4"/>
    <n v="3"/>
    <n v="0.05"/>
    <n v="51300"/>
    <n v="8816.08"/>
    <x v="2"/>
    <s v="Delivered"/>
    <n v="17100"/>
    <n v="17.185341130604289"/>
    <s v="Profit"/>
    <s v="Ananya Iyer"/>
    <x v="1"/>
    <x v="0"/>
    <s v="Chennai"/>
    <s v="Tamil Nadu"/>
    <s v="2025-10-16"/>
    <s v="26-35"/>
    <n v="2938.6933333333332"/>
  </r>
  <r>
    <s v="ORD02688"/>
    <d v="2026-07-16T00:00:00"/>
    <s v="CUST0252"/>
    <x v="3"/>
    <x v="8"/>
    <n v="6"/>
    <n v="0.2"/>
    <n v="21600"/>
    <n v="6331.43"/>
    <x v="3"/>
    <s v="Delivered"/>
    <n v="3600"/>
    <n v="29.312175925925931"/>
    <s v="Profit"/>
    <s v="Ishaan Pillai"/>
    <x v="0"/>
    <x v="0"/>
    <s v="Coimbatore"/>
    <s v="Tamil Nadu"/>
    <s v="2024-06-19"/>
    <s v="36-50"/>
    <n v="1055.238333333333"/>
  </r>
  <r>
    <s v="ORD02689"/>
    <d v="2025-08-26T00:00:00"/>
    <s v="CUST0410"/>
    <x v="0"/>
    <x v="7"/>
    <n v="1"/>
    <n v="0"/>
    <n v="900"/>
    <n v="280"/>
    <x v="1"/>
    <s v="Delivered"/>
    <n v="900"/>
    <n v="31.111111111111111"/>
    <s v="Profit"/>
    <s v="Pooja Iyer"/>
    <x v="1"/>
    <x v="0"/>
    <s v="Bengaluru"/>
    <s v="Karnataka"/>
    <s v="2025-07-08"/>
    <s v="18-25"/>
    <n v="280"/>
  </r>
  <r>
    <s v="ORD02690"/>
    <d v="2026-07-28T00:00:00"/>
    <s v="CUST0062"/>
    <x v="1"/>
    <x v="12"/>
    <n v="3"/>
    <n v="0"/>
    <n v="4200"/>
    <n v="1500"/>
    <x v="2"/>
    <s v="Delivered"/>
    <n v="1400"/>
    <n v="35.714285714285722"/>
    <s v="Profit"/>
    <s v="Harini Pillai"/>
    <x v="1"/>
    <x v="2"/>
    <s v="Jaipur"/>
    <s v="Rajasthan"/>
    <s v="2023-04-01"/>
    <s v="36-50"/>
    <n v="500"/>
  </r>
  <r>
    <s v="ORD02691"/>
    <d v="2026-03-11T00:00:00"/>
    <s v="CUST0528"/>
    <x v="3"/>
    <x v="8"/>
    <n v="6"/>
    <n v="0.05"/>
    <n v="25650"/>
    <n v="8162.56"/>
    <x v="1"/>
    <s v="Delivered"/>
    <n v="4275"/>
    <n v="31.82284600389864"/>
    <s v="Profit"/>
    <s v="Karthik Menon"/>
    <x v="0"/>
    <x v="0"/>
    <s v="Chennai"/>
    <s v="Tamil Nadu"/>
    <s v="2024-07-24"/>
    <s v="36-50"/>
    <n v="1360.426666666667"/>
  </r>
  <r>
    <s v="ORD02692"/>
    <d v="2026-08-28T00:00:00"/>
    <s v="CUST0402"/>
    <x v="0"/>
    <x v="0"/>
    <n v="2"/>
    <n v="0.2"/>
    <n v="22400"/>
    <n v="1233.27"/>
    <x v="0"/>
    <s v="Delivered"/>
    <n v="11200"/>
    <n v="5.5056696428571428"/>
    <s v="Profit"/>
    <s v="Diya Pillai"/>
    <x v="1"/>
    <x v="0"/>
    <s v="Chennai"/>
    <s v="Tamil Nadu"/>
    <s v="2025-08-08"/>
    <s v="36-50"/>
    <n v="616.63499999999999"/>
  </r>
  <r>
    <s v="ORD02693"/>
    <d v="2025-10-21T00:00:00"/>
    <s v="CUST0440"/>
    <x v="0"/>
    <x v="7"/>
    <n v="1"/>
    <n v="0.15"/>
    <n v="765"/>
    <n v="191.35"/>
    <x v="2"/>
    <s v="Delivered"/>
    <n v="765"/>
    <n v="25.01307189542484"/>
    <s v="Profit"/>
    <s v="Harini Sharma"/>
    <x v="1"/>
    <x v="0"/>
    <s v="Hyderabad"/>
    <s v="Telangana"/>
    <s v="2024-06-03"/>
    <s v="18-25"/>
    <n v="191.35"/>
  </r>
  <r>
    <s v="ORD02694"/>
    <d v="2026-05-29T00:00:00"/>
    <s v="CUST0193"/>
    <x v="3"/>
    <x v="8"/>
    <n v="4"/>
    <n v="0.05"/>
    <n v="17100"/>
    <n v="5583.88"/>
    <x v="3"/>
    <s v="Delivered"/>
    <n v="4275"/>
    <n v="32.654269005847951"/>
    <s v="Profit"/>
    <s v="Ananya Gupta"/>
    <x v="0"/>
    <x v="1"/>
    <s v="Pune"/>
    <s v="Maharashtra"/>
    <s v="2024-05-12"/>
    <s v="36-50"/>
    <n v="1395.97"/>
  </r>
  <r>
    <s v="ORD02695"/>
    <d v="2025-07-11T00:00:00"/>
    <s v="CUST0257"/>
    <x v="3"/>
    <x v="11"/>
    <n v="1"/>
    <n v="0.05"/>
    <n v="2375"/>
    <n v="738.74"/>
    <x v="0"/>
    <s v="Shipped"/>
    <n v="2375"/>
    <n v="31.10484210526316"/>
    <s v="Profit"/>
    <s v="Rahul Patel"/>
    <x v="0"/>
    <x v="2"/>
    <s v="Delhi"/>
    <s v="Delhi"/>
    <s v="2025-10-24"/>
    <s v="36-50"/>
    <n v="738.74"/>
  </r>
  <r>
    <s v="ORD02696"/>
    <d v="2026-04-14T00:00:00"/>
    <s v="CUST0251"/>
    <x v="1"/>
    <x v="13"/>
    <n v="1"/>
    <n v="0.1"/>
    <n v="3780"/>
    <n v="924.74"/>
    <x v="0"/>
    <s v="Shipped"/>
    <n v="3780"/>
    <n v="24.464021164021158"/>
    <s v="Profit"/>
    <s v="Arjun Verma"/>
    <x v="2"/>
    <x v="0"/>
    <s v="Coimbatore"/>
    <s v="Tamil Nadu"/>
    <s v="2023-06-16"/>
    <s v="36-50"/>
    <n v="924.74"/>
  </r>
  <r>
    <s v="ORD02697"/>
    <d v="2025-11-14T00:00:00"/>
    <s v="CUST0514"/>
    <x v="3"/>
    <x v="8"/>
    <n v="2"/>
    <n v="0.15"/>
    <n v="7650"/>
    <n v="-1023.79"/>
    <x v="0"/>
    <s v="Cancelled"/>
    <n v="3825"/>
    <n v="-13.38287581699346"/>
    <s v="Loss"/>
    <s v="Manoj Iyer"/>
    <x v="0"/>
    <x v="2"/>
    <s v="Lucknow"/>
    <s v="Uttar Pradesh"/>
    <s v="2023-09-19"/>
    <s v="36-50"/>
    <n v="-511.89499999999998"/>
  </r>
  <r>
    <s v="ORD02698"/>
    <d v="2025-11-22T00:00:00"/>
    <s v="CUST0358"/>
    <x v="0"/>
    <x v="14"/>
    <n v="1"/>
    <n v="0.2"/>
    <n v="360"/>
    <n v="65.150000000000006"/>
    <x v="0"/>
    <s v="Delivered"/>
    <n v="360"/>
    <n v="18.097222222222221"/>
    <s v="Profit"/>
    <s v="Sanjay Das"/>
    <x v="0"/>
    <x v="0"/>
    <s v="Hyderabad"/>
    <s v="Telangana"/>
    <s v="2025-08-29"/>
    <s v="18-25"/>
    <n v="65.150000000000006"/>
  </r>
  <r>
    <s v="ORD02699"/>
    <d v="2025-12-27T00:00:00"/>
    <s v="CUST0598"/>
    <x v="3"/>
    <x v="4"/>
    <n v="2"/>
    <n v="0"/>
    <n v="36000"/>
    <n v="7000"/>
    <x v="0"/>
    <s v="Shipped"/>
    <n v="18000"/>
    <n v="19.44444444444445"/>
    <s v="Profit"/>
    <s v="Arjun Das"/>
    <x v="0"/>
    <x v="0"/>
    <s v="Hyderabad"/>
    <s v="Telangana"/>
    <s v="2024-07-07"/>
    <s v="36-50"/>
    <n v="3500"/>
  </r>
  <r>
    <s v="ORD02700"/>
    <d v="2026-08-12T00:00:00"/>
    <s v="CUST0393"/>
    <x v="0"/>
    <x v="7"/>
    <n v="3"/>
    <n v="0"/>
    <n v="2700"/>
    <n v="840"/>
    <x v="3"/>
    <s v="Delivered"/>
    <n v="900"/>
    <n v="31.111111111111111"/>
    <s v="Profit"/>
    <s v="Vikram Patel"/>
    <x v="1"/>
    <x v="1"/>
    <s v="Mumbai"/>
    <s v="Maharashtra"/>
    <s v="2024-07-03"/>
    <s v="36-50"/>
    <n v="280"/>
  </r>
  <r>
    <s v="ORD02701"/>
    <d v="2025-08-12T00:00:00"/>
    <s v="CUST0519"/>
    <x v="3"/>
    <x v="8"/>
    <n v="1"/>
    <n v="0.15"/>
    <n v="3825"/>
    <n v="1115.9100000000001"/>
    <x v="3"/>
    <s v="Delivered"/>
    <n v="3825"/>
    <n v="29.174117647058829"/>
    <s v="Profit"/>
    <s v="Rahul Bose"/>
    <x v="1"/>
    <x v="1"/>
    <s v="Pune"/>
    <s v="Maharashtra"/>
    <s v="2025-12-27"/>
    <s v="26-35"/>
    <n v="1115.9100000000001"/>
  </r>
  <r>
    <s v="ORD02702"/>
    <d v="2025-07-31T00:00:00"/>
    <s v="CUST0165"/>
    <x v="3"/>
    <x v="8"/>
    <n v="3"/>
    <n v="0.1"/>
    <n v="12150"/>
    <n v="3407.5"/>
    <x v="3"/>
    <s v="Delivered"/>
    <n v="4050"/>
    <n v="28.045267489711929"/>
    <s v="Profit"/>
    <s v="Diya Mishra"/>
    <x v="0"/>
    <x v="0"/>
    <s v="Hyderabad"/>
    <s v="Telangana"/>
    <s v="2025-04-25"/>
    <s v="51+"/>
    <n v="1135.833333333333"/>
  </r>
  <r>
    <s v="ORD02703"/>
    <d v="2026-02-14T00:00:00"/>
    <s v="CUST0215"/>
    <x v="1"/>
    <x v="15"/>
    <n v="4"/>
    <n v="0"/>
    <n v="8800"/>
    <n v="3000"/>
    <x v="1"/>
    <s v="Delivered"/>
    <n v="2200"/>
    <n v="34.090909090909093"/>
    <s v="Profit"/>
    <s v="Pooja Reddy"/>
    <x v="1"/>
    <x v="0"/>
    <s v="Bengaluru"/>
    <s v="Karnataka"/>
    <s v="2025-07-16"/>
    <s v="26-35"/>
    <n v="750"/>
  </r>
  <r>
    <s v="ORD02704"/>
    <d v="2026-05-09T00:00:00"/>
    <s v="CUST0047"/>
    <x v="3"/>
    <x v="8"/>
    <n v="5"/>
    <n v="0.15"/>
    <n v="19125"/>
    <n v="5639.17"/>
    <x v="3"/>
    <s v="Delivered"/>
    <n v="3825"/>
    <n v="29.485856209150331"/>
    <s v="Profit"/>
    <s v="Rahul Das"/>
    <x v="2"/>
    <x v="0"/>
    <s v="Hyderabad"/>
    <s v="Telangana"/>
    <s v="2025-07-16"/>
    <s v="26-35"/>
    <n v="1127.8340000000001"/>
  </r>
  <r>
    <s v="ORD02705"/>
    <d v="2025-08-10T00:00:00"/>
    <s v="CUST0333"/>
    <x v="1"/>
    <x v="15"/>
    <n v="2"/>
    <n v="0.05"/>
    <n v="4180"/>
    <n v="1391.79"/>
    <x v="0"/>
    <s v="Delivered"/>
    <n v="2090"/>
    <n v="33.296411483253593"/>
    <s v="Profit"/>
    <s v="Aditya Gupta"/>
    <x v="0"/>
    <x v="0"/>
    <s v="Chennai"/>
    <s v="Tamil Nadu"/>
    <s v="2023-02-18"/>
    <s v="26-35"/>
    <n v="695.89499999999998"/>
  </r>
  <r>
    <s v="ORD02706"/>
    <d v="2025-08-29T00:00:00"/>
    <s v="CUST0118"/>
    <x v="1"/>
    <x v="15"/>
    <n v="3"/>
    <n v="0.05"/>
    <n v="6270"/>
    <n v="1978.58"/>
    <x v="3"/>
    <s v="Delivered"/>
    <n v="2090"/>
    <n v="31.55629984051037"/>
    <s v="Profit"/>
    <s v="Aarav Iyer"/>
    <x v="0"/>
    <x v="1"/>
    <s v="Mumbai"/>
    <s v="Maharashtra"/>
    <s v="2025-03-16"/>
    <s v="36-50"/>
    <n v="659.52666666666664"/>
  </r>
  <r>
    <s v="ORD02707"/>
    <d v="2026-07-09T00:00:00"/>
    <s v="CUST0217"/>
    <x v="1"/>
    <x v="12"/>
    <n v="4"/>
    <n v="0.15"/>
    <n v="4760"/>
    <n v="1319.45"/>
    <x v="2"/>
    <s v="Delivered"/>
    <n v="1190"/>
    <n v="27.719537815126049"/>
    <s v="Profit"/>
    <s v="Pooja Mehta"/>
    <x v="0"/>
    <x v="0"/>
    <s v="Hyderabad"/>
    <s v="Telangana"/>
    <s v="2024-11-14"/>
    <s v="51+"/>
    <n v="329.86250000000001"/>
  </r>
  <r>
    <s v="ORD02708"/>
    <d v="2026-05-15T00:00:00"/>
    <s v="CUST0248"/>
    <x v="0"/>
    <x v="14"/>
    <n v="1"/>
    <n v="0"/>
    <n v="450"/>
    <n v="110"/>
    <x v="1"/>
    <s v="Delivered"/>
    <n v="450"/>
    <n v="24.444444444444439"/>
    <s v="Profit"/>
    <s v="Meera Das"/>
    <x v="1"/>
    <x v="2"/>
    <s v="Chandigarh"/>
    <s v="Chandigarh"/>
    <s v="2024-12-30"/>
    <s v="18-25"/>
    <n v="110"/>
  </r>
  <r>
    <s v="ORD02709"/>
    <d v="2025-10-26T00:00:00"/>
    <s v="CUST0224"/>
    <x v="3"/>
    <x v="11"/>
    <n v="1"/>
    <n v="0.05"/>
    <n v="2375"/>
    <n v="716.51"/>
    <x v="3"/>
    <s v="Shipped"/>
    <n v="2375"/>
    <n v="30.16884210526316"/>
    <s v="Profit"/>
    <s v="Varun Menon"/>
    <x v="1"/>
    <x v="1"/>
    <s v="Mumbai"/>
    <s v="Maharashtra"/>
    <s v="2023-02-06"/>
    <s v="18-25"/>
    <n v="716.51"/>
  </r>
  <r>
    <s v="ORD02710"/>
    <d v="2025-12-02T00:00:00"/>
    <s v="CUST0492"/>
    <x v="0"/>
    <x v="14"/>
    <n v="4"/>
    <n v="0.05"/>
    <n v="1710"/>
    <n v="397.86"/>
    <x v="0"/>
    <s v="Delivered"/>
    <n v="427.5"/>
    <n v="23.266666666666669"/>
    <s v="Profit"/>
    <s v="Shreya Reddy"/>
    <x v="0"/>
    <x v="2"/>
    <s v="Delhi"/>
    <s v="Delhi"/>
    <s v="2023-07-29"/>
    <s v="18-25"/>
    <n v="99.465000000000003"/>
  </r>
  <r>
    <s v="ORD02711"/>
    <d v="2025-09-06T00:00:00"/>
    <s v="CUST0535"/>
    <x v="3"/>
    <x v="8"/>
    <n v="1"/>
    <n v="0.15"/>
    <n v="3825"/>
    <n v="1102.8"/>
    <x v="2"/>
    <s v="Delivered"/>
    <n v="3825"/>
    <n v="28.831372549019608"/>
    <s v="Profit"/>
    <s v="Sanjay Reddy"/>
    <x v="0"/>
    <x v="0"/>
    <s v="Bengaluru"/>
    <s v="Karnataka"/>
    <s v="2024-03-17"/>
    <s v="18-25"/>
    <n v="1102.8"/>
  </r>
  <r>
    <s v="ORD02712"/>
    <d v="2025-12-15T00:00:00"/>
    <s v="CUST0410"/>
    <x v="3"/>
    <x v="4"/>
    <n v="2"/>
    <n v="0.05"/>
    <n v="34200"/>
    <n v="-4273.5200000000004"/>
    <x v="1"/>
    <s v="Returned"/>
    <n v="17100"/>
    <n v="-12.495672514619891"/>
    <s v="Loss"/>
    <s v="Pooja Iyer"/>
    <x v="1"/>
    <x v="0"/>
    <s v="Bengaluru"/>
    <s v="Karnataka"/>
    <s v="2025-07-08"/>
    <s v="18-25"/>
    <n v="-2136.7600000000002"/>
  </r>
  <r>
    <s v="ORD02713"/>
    <d v="2026-03-14T00:00:00"/>
    <s v="CUST0152"/>
    <x v="2"/>
    <x v="5"/>
    <n v="3"/>
    <n v="0.15"/>
    <n v="28050"/>
    <n v="4581.57"/>
    <x v="0"/>
    <s v="Delivered"/>
    <n v="9350"/>
    <n v="16.33358288770053"/>
    <s v="Profit"/>
    <s v="Harini Rao"/>
    <x v="0"/>
    <x v="0"/>
    <s v="Coimbatore"/>
    <s v="Tamil Nadu"/>
    <s v="2025-12-02"/>
    <s v="51+"/>
    <n v="1527.19"/>
  </r>
  <r>
    <s v="ORD02714"/>
    <d v="2025-10-15T00:00:00"/>
    <s v="CUST0119"/>
    <x v="2"/>
    <x v="2"/>
    <n v="6"/>
    <n v="0.05"/>
    <n v="74100"/>
    <n v="16735.38"/>
    <x v="0"/>
    <s v="Delivered"/>
    <n v="12350"/>
    <n v="22.58485829959514"/>
    <s v="Profit"/>
    <s v="Divya Naidu"/>
    <x v="1"/>
    <x v="0"/>
    <s v="Coimbatore"/>
    <s v="Tamil Nadu"/>
    <s v="2023-05-25"/>
    <s v="36-50"/>
    <n v="2789.23"/>
  </r>
  <r>
    <s v="ORD02715"/>
    <d v="2025-10-01T00:00:00"/>
    <s v="CUST0441"/>
    <x v="2"/>
    <x v="3"/>
    <n v="4"/>
    <n v="0.15"/>
    <n v="51000"/>
    <n v="8027.52"/>
    <x v="3"/>
    <s v="Shipped"/>
    <n v="12750"/>
    <n v="15.74023529411765"/>
    <s v="Profit"/>
    <s v="Arjun Joshi"/>
    <x v="0"/>
    <x v="0"/>
    <s v="Bengaluru"/>
    <s v="Karnataka"/>
    <s v="2024-05-10"/>
    <s v="18-25"/>
    <n v="2006.88"/>
  </r>
  <r>
    <s v="ORD02716"/>
    <d v="2026-04-22T00:00:00"/>
    <s v="CUST0286"/>
    <x v="1"/>
    <x v="15"/>
    <n v="3"/>
    <n v="0.1"/>
    <n v="5940"/>
    <n v="1748.88"/>
    <x v="0"/>
    <s v="Delivered"/>
    <n v="1980"/>
    <n v="29.442424242424241"/>
    <s v="Profit"/>
    <s v="Meera Rao"/>
    <x v="2"/>
    <x v="3"/>
    <s v="Patna"/>
    <s v="Bihar"/>
    <s v="2023-12-05"/>
    <s v="26-35"/>
    <n v="582.96"/>
  </r>
  <r>
    <s v="ORD02717"/>
    <d v="2026-08-19T00:00:00"/>
    <s v="CUST0479"/>
    <x v="2"/>
    <x v="2"/>
    <n v="3"/>
    <n v="0"/>
    <n v="39000"/>
    <n v="9600"/>
    <x v="0"/>
    <s v="Delivered"/>
    <n v="13000"/>
    <n v="24.61538461538462"/>
    <s v="Profit"/>
    <s v="Rohan Sharma"/>
    <x v="0"/>
    <x v="3"/>
    <s v="Guwahati"/>
    <s v="Assam"/>
    <s v="2023-04-27"/>
    <s v="36-50"/>
    <n v="3200"/>
  </r>
  <r>
    <s v="ORD02718"/>
    <d v="2026-05-20T00:00:00"/>
    <s v="CUST0421"/>
    <x v="3"/>
    <x v="8"/>
    <n v="4"/>
    <n v="0"/>
    <n v="18000"/>
    <n v="6000"/>
    <x v="0"/>
    <s v="Delivered"/>
    <n v="4500"/>
    <n v="33.333333333333329"/>
    <s v="Profit"/>
    <s v="Sneha Iyer"/>
    <x v="0"/>
    <x v="3"/>
    <s v="Guwahati"/>
    <s v="Assam"/>
    <s v="2024-05-14"/>
    <s v="51+"/>
    <n v="1500"/>
  </r>
  <r>
    <s v="ORD02719"/>
    <d v="2026-05-26T00:00:00"/>
    <s v="CUST0565"/>
    <x v="1"/>
    <x v="13"/>
    <n v="5"/>
    <n v="0.1"/>
    <n v="18900"/>
    <n v="4576.3"/>
    <x v="2"/>
    <s v="Delivered"/>
    <n v="3780"/>
    <n v="24.213227513227519"/>
    <s v="Profit"/>
    <s v="Rahul Bose"/>
    <x v="0"/>
    <x v="0"/>
    <s v="Coimbatore"/>
    <s v="Tamil Nadu"/>
    <s v="2024-03-26"/>
    <s v="51+"/>
    <n v="915.26"/>
  </r>
  <r>
    <s v="ORD02720"/>
    <d v="2025-12-20T00:00:00"/>
    <s v="CUST0542"/>
    <x v="3"/>
    <x v="10"/>
    <n v="1"/>
    <n v="0.15"/>
    <n v="46750"/>
    <n v="4696.05"/>
    <x v="3"/>
    <s v="Delivered"/>
    <n v="46750"/>
    <n v="10.045026737967911"/>
    <s v="Profit"/>
    <s v="Vikram Rao"/>
    <x v="1"/>
    <x v="0"/>
    <s v="Bengaluru"/>
    <s v="Karnataka"/>
    <s v="2023-06-19"/>
    <s v="36-50"/>
    <n v="4696.05"/>
  </r>
  <r>
    <s v="ORD02721"/>
    <d v="2026-03-12T00:00:00"/>
    <s v="CUST0137"/>
    <x v="2"/>
    <x v="9"/>
    <n v="2"/>
    <n v="0.1"/>
    <n v="16200"/>
    <n v="3650.96"/>
    <x v="3"/>
    <s v="Delivered"/>
    <n v="8100"/>
    <n v="22.53679012345679"/>
    <s v="Profit"/>
    <s v="Nisha Rao"/>
    <x v="1"/>
    <x v="2"/>
    <s v="Delhi"/>
    <s v="Delhi"/>
    <s v="2024-07-02"/>
    <s v="26-35"/>
    <n v="1825.48"/>
  </r>
  <r>
    <s v="ORD02722"/>
    <d v="2025-07-02T00:00:00"/>
    <s v="CUST0024"/>
    <x v="2"/>
    <x v="5"/>
    <n v="2"/>
    <n v="0"/>
    <n v="22000"/>
    <n v="5200"/>
    <x v="0"/>
    <s v="Delivered"/>
    <n v="11000"/>
    <n v="23.63636363636364"/>
    <s v="Profit"/>
    <s v="Lakshmi Pillai"/>
    <x v="1"/>
    <x v="0"/>
    <s v="Coimbatore"/>
    <s v="Tamil Nadu"/>
    <s v="2024-11-26"/>
    <s v="26-35"/>
    <n v="2600"/>
  </r>
  <r>
    <s v="ORD02723"/>
    <d v="2025-07-27T00:00:00"/>
    <s v="CUST0365"/>
    <x v="3"/>
    <x v="4"/>
    <n v="5"/>
    <n v="0.2"/>
    <n v="72000"/>
    <n v="3100.88"/>
    <x v="1"/>
    <s v="Delivered"/>
    <n v="14400"/>
    <n v="4.3067777777777776"/>
    <s v="Profit"/>
    <s v="Rohan Naidu"/>
    <x v="0"/>
    <x v="1"/>
    <s v="Pune"/>
    <s v="Maharashtra"/>
    <s v="2023-05-21"/>
    <s v="26-35"/>
    <n v="620.17600000000004"/>
  </r>
  <r>
    <s v="ORD02724"/>
    <d v="2025-10-19T00:00:00"/>
    <s v="CUST0294"/>
    <x v="0"/>
    <x v="7"/>
    <n v="6"/>
    <n v="0.1"/>
    <n v="4860"/>
    <n v="1278.4000000000001"/>
    <x v="1"/>
    <s v="Delivered"/>
    <n v="810"/>
    <n v="26.304526748971199"/>
    <s v="Profit"/>
    <s v="Diya Chopra"/>
    <x v="0"/>
    <x v="1"/>
    <s v="Ahmedabad"/>
    <s v="Gujarat"/>
    <s v="2025-03-17"/>
    <s v="26-35"/>
    <n v="213.06666666666669"/>
  </r>
  <r>
    <s v="ORD02725"/>
    <d v="2025-07-11T00:00:00"/>
    <s v="CUST0128"/>
    <x v="3"/>
    <x v="4"/>
    <n v="1"/>
    <n v="0.15"/>
    <n v="15300"/>
    <n v="1683.75"/>
    <x v="1"/>
    <s v="Delivered"/>
    <n v="15300"/>
    <n v="11.004901960784309"/>
    <s v="Profit"/>
    <s v="Sneha Mishra"/>
    <x v="2"/>
    <x v="0"/>
    <s v="Chennai"/>
    <s v="Tamil Nadu"/>
    <s v="2024-09-12"/>
    <s v="36-50"/>
    <n v="1683.75"/>
  </r>
  <r>
    <s v="ORD02726"/>
    <d v="2026-05-30T00:00:00"/>
    <s v="CUST0103"/>
    <x v="1"/>
    <x v="12"/>
    <n v="1"/>
    <n v="0.05"/>
    <n v="1330"/>
    <n v="464.26"/>
    <x v="2"/>
    <s v="Shipped"/>
    <n v="1330"/>
    <n v="34.906766917293233"/>
    <s v="Profit"/>
    <s v="Rohan Rao"/>
    <x v="0"/>
    <x v="0"/>
    <s v="Bengaluru"/>
    <s v="Karnataka"/>
    <s v="2023-11-09"/>
    <s v="36-50"/>
    <n v="464.26"/>
  </r>
  <r>
    <s v="ORD02727"/>
    <d v="2025-09-03T00:00:00"/>
    <s v="CUST0141"/>
    <x v="2"/>
    <x v="5"/>
    <n v="4"/>
    <n v="0.1"/>
    <n v="39600"/>
    <n v="-13569.29"/>
    <x v="3"/>
    <s v="Cancelled"/>
    <n v="9900"/>
    <n v="-34.265883838383843"/>
    <s v="Loss"/>
    <s v="Kavya Reddy"/>
    <x v="2"/>
    <x v="0"/>
    <s v="Bengaluru"/>
    <s v="Karnataka"/>
    <s v="2023-09-02"/>
    <s v="26-35"/>
    <n v="-3392.3225000000002"/>
  </r>
  <r>
    <s v="ORD02728"/>
    <d v="2025-07-05T00:00:00"/>
    <s v="CUST0401"/>
    <x v="0"/>
    <x v="0"/>
    <n v="1"/>
    <n v="0.05"/>
    <n v="13300"/>
    <n v="-4427.22"/>
    <x v="1"/>
    <s v="Returned"/>
    <n v="13300"/>
    <n v="-33.287368421052633"/>
    <s v="Loss"/>
    <s v="Ananya Nair"/>
    <x v="0"/>
    <x v="0"/>
    <s v="Hyderabad"/>
    <s v="Telangana"/>
    <s v="2024-04-08"/>
    <s v="26-35"/>
    <n v="-4427.22"/>
  </r>
  <r>
    <s v="ORD02729"/>
    <d v="2025-12-21T00:00:00"/>
    <s v="CUST0531"/>
    <x v="0"/>
    <x v="14"/>
    <n v="1"/>
    <n v="0.05"/>
    <n v="427.5"/>
    <n v="93.96"/>
    <x v="0"/>
    <s v="Delivered"/>
    <n v="427.5"/>
    <n v="21.97894736842105"/>
    <s v="Profit"/>
    <s v="Kavya Mishra"/>
    <x v="2"/>
    <x v="0"/>
    <s v="Coimbatore"/>
    <s v="Tamil Nadu"/>
    <s v="2023-10-06"/>
    <s v="26-35"/>
    <n v="93.96"/>
  </r>
  <r>
    <s v="ORD02730"/>
    <d v="2026-06-09T00:00:00"/>
    <s v="CUST0501"/>
    <x v="1"/>
    <x v="1"/>
    <n v="1"/>
    <n v="0.1"/>
    <n v="1620"/>
    <n v="-697.8"/>
    <x v="3"/>
    <s v="Cancelled"/>
    <n v="1620"/>
    <n v="-43.074074074074069"/>
    <s v="Loss"/>
    <s v="Rahul Pillai"/>
    <x v="1"/>
    <x v="0"/>
    <s v="Bengaluru"/>
    <s v="Karnataka"/>
    <s v="2024-03-13"/>
    <s v="36-50"/>
    <n v="-697.8"/>
  </r>
  <r>
    <s v="ORD02731"/>
    <d v="2026-08-25T00:00:00"/>
    <s v="CUST0468"/>
    <x v="1"/>
    <x v="12"/>
    <n v="2"/>
    <n v="0.05"/>
    <n v="2660"/>
    <n v="918.77"/>
    <x v="2"/>
    <s v="Delivered"/>
    <n v="1330"/>
    <n v="34.540225563909772"/>
    <s v="Profit"/>
    <s v="Lakshmi Mehta"/>
    <x v="1"/>
    <x v="0"/>
    <s v="Chennai"/>
    <s v="Tamil Nadu"/>
    <s v="2023-03-02"/>
    <s v="26-35"/>
    <n v="459.38499999999999"/>
  </r>
  <r>
    <s v="ORD02732"/>
    <d v="2025-11-04T00:00:00"/>
    <s v="CUST0501"/>
    <x v="3"/>
    <x v="10"/>
    <n v="1"/>
    <n v="0"/>
    <n v="55000"/>
    <n v="9000"/>
    <x v="3"/>
    <s v="Shipped"/>
    <n v="55000"/>
    <n v="16.36363636363636"/>
    <s v="Profit"/>
    <s v="Rahul Pillai"/>
    <x v="1"/>
    <x v="0"/>
    <s v="Bengaluru"/>
    <s v="Karnataka"/>
    <s v="2024-03-13"/>
    <s v="36-50"/>
    <n v="9000"/>
  </r>
  <r>
    <s v="ORD02733"/>
    <d v="2025-08-04T00:00:00"/>
    <s v="CUST0309"/>
    <x v="1"/>
    <x v="1"/>
    <n v="4"/>
    <n v="0.1"/>
    <n v="6480"/>
    <n v="-61.97"/>
    <x v="3"/>
    <s v="Returned"/>
    <n v="1620"/>
    <n v="-0.95632716049382716"/>
    <s v="Loss"/>
    <s v="Divya Iyer"/>
    <x v="2"/>
    <x v="2"/>
    <s v="Lucknow"/>
    <s v="Uttar Pradesh"/>
    <s v="2024-10-13"/>
    <s v="26-35"/>
    <n v="-15.4925"/>
  </r>
  <r>
    <s v="ORD02734"/>
    <d v="2026-05-14T00:00:00"/>
    <s v="CUST0341"/>
    <x v="3"/>
    <x v="8"/>
    <n v="1"/>
    <n v="0.15"/>
    <n v="3825"/>
    <n v="987.8"/>
    <x v="2"/>
    <s v="Shipped"/>
    <n v="3825"/>
    <n v="25.82483660130719"/>
    <s v="Profit"/>
    <s v="Arjun Mehta"/>
    <x v="1"/>
    <x v="0"/>
    <s v="Coimbatore"/>
    <s v="Tamil Nadu"/>
    <s v="2023-11-21"/>
    <s v="26-35"/>
    <n v="987.8"/>
  </r>
  <r>
    <s v="ORD02735"/>
    <d v="2026-07-11T00:00:00"/>
    <s v="CUST0216"/>
    <x v="2"/>
    <x v="2"/>
    <n v="4"/>
    <n v="0.2"/>
    <n v="41600"/>
    <n v="6644.36"/>
    <x v="0"/>
    <s v="Delivered"/>
    <n v="10400"/>
    <n v="15.972019230769231"/>
    <s v="Profit"/>
    <s v="Karthik Mishra"/>
    <x v="0"/>
    <x v="0"/>
    <s v="Hyderabad"/>
    <s v="Telangana"/>
    <s v="2024-06-25"/>
    <s v="26-35"/>
    <n v="1661.09"/>
  </r>
  <r>
    <s v="ORD02736"/>
    <d v="2026-05-03T00:00:00"/>
    <s v="CUST0219"/>
    <x v="3"/>
    <x v="8"/>
    <n v="1"/>
    <n v="0.2"/>
    <n v="3600"/>
    <n v="876.07"/>
    <x v="1"/>
    <s v="Shipped"/>
    <n v="3600"/>
    <n v="24.33527777777778"/>
    <s v="Profit"/>
    <s v="Rahul Menon"/>
    <x v="1"/>
    <x v="3"/>
    <s v="Patna"/>
    <s v="Bihar"/>
    <s v="2023-10-06"/>
    <s v="36-50"/>
    <n v="876.07"/>
  </r>
  <r>
    <s v="ORD02737"/>
    <d v="2025-12-20T00:00:00"/>
    <s v="CUST0170"/>
    <x v="1"/>
    <x v="12"/>
    <n v="4"/>
    <n v="0.1"/>
    <n v="5040"/>
    <n v="1675.73"/>
    <x v="3"/>
    <s v="Delivered"/>
    <n v="1260"/>
    <n v="33.24861111111111"/>
    <s v="Profit"/>
    <s v="Meera Iyer"/>
    <x v="2"/>
    <x v="0"/>
    <s v="Hyderabad"/>
    <s v="Telangana"/>
    <s v="2025-04-02"/>
    <s v="36-50"/>
    <n v="418.9325"/>
  </r>
  <r>
    <s v="ORD02738"/>
    <d v="2025-09-29T00:00:00"/>
    <s v="CUST0596"/>
    <x v="2"/>
    <x v="3"/>
    <n v="1"/>
    <n v="0.1"/>
    <n v="13500"/>
    <n v="2718.82"/>
    <x v="0"/>
    <s v="Delivered"/>
    <n v="13500"/>
    <n v="20.139407407407411"/>
    <s v="Profit"/>
    <s v="Manoj Rao"/>
    <x v="0"/>
    <x v="0"/>
    <s v="Bengaluru"/>
    <s v="Karnataka"/>
    <s v="2024-01-21"/>
    <s v="18-25"/>
    <n v="2718.82"/>
  </r>
  <r>
    <s v="ORD02739"/>
    <d v="2026-03-22T00:00:00"/>
    <s v="CUST0185"/>
    <x v="0"/>
    <x v="6"/>
    <n v="1"/>
    <n v="0.2"/>
    <n v="280"/>
    <n v="66.849999999999994"/>
    <x v="0"/>
    <s v="Delivered"/>
    <n v="280"/>
    <n v="23.875"/>
    <s v="Profit"/>
    <s v="Karthik Mehta"/>
    <x v="2"/>
    <x v="2"/>
    <s v="Chandigarh"/>
    <s v="Chandigarh"/>
    <s v="2025-01-12"/>
    <s v="36-50"/>
    <n v="66.849999999999994"/>
  </r>
  <r>
    <s v="ORD02740"/>
    <d v="2026-03-20T00:00:00"/>
    <s v="CUST0241"/>
    <x v="0"/>
    <x v="0"/>
    <n v="4"/>
    <n v="0.05"/>
    <n v="53200"/>
    <n v="-17486.7"/>
    <x v="3"/>
    <s v="Cancelled"/>
    <n v="13300"/>
    <n v="-32.869736842105262"/>
    <s v="Loss"/>
    <s v="Harini Menon"/>
    <x v="0"/>
    <x v="1"/>
    <s v="Pune"/>
    <s v="Maharashtra"/>
    <s v="2023-01-16"/>
    <s v="18-25"/>
    <n v="-4371.6750000000002"/>
  </r>
  <r>
    <s v="ORD02741"/>
    <d v="2026-06-05T00:00:00"/>
    <s v="CUST0500"/>
    <x v="2"/>
    <x v="5"/>
    <n v="5"/>
    <n v="0.15"/>
    <n v="46750"/>
    <n v="7159.23"/>
    <x v="0"/>
    <s v="Delivered"/>
    <n v="9350"/>
    <n v="15.31386096256684"/>
    <s v="Profit"/>
    <s v="Akash Bose"/>
    <x v="0"/>
    <x v="1"/>
    <s v="Mumbai"/>
    <s v="Maharashtra"/>
    <s v="2024-06-01"/>
    <s v="36-50"/>
    <n v="1431.846"/>
  </r>
  <r>
    <s v="ORD02742"/>
    <d v="2026-02-18T00:00:00"/>
    <s v="CUST0014"/>
    <x v="2"/>
    <x v="2"/>
    <n v="1"/>
    <n v="0.2"/>
    <n v="10400"/>
    <n v="1925.99"/>
    <x v="2"/>
    <s v="Delivered"/>
    <n v="10400"/>
    <n v="18.519134615384619"/>
    <s v="Profit"/>
    <s v="Lakshmi Verma"/>
    <x v="2"/>
    <x v="0"/>
    <s v="Chennai"/>
    <s v="Tamil Nadu"/>
    <s v="2024-11-24"/>
    <s v="36-50"/>
    <n v="1925.99"/>
  </r>
  <r>
    <s v="ORD02743"/>
    <d v="2026-02-13T00:00:00"/>
    <s v="CUST0474"/>
    <x v="3"/>
    <x v="11"/>
    <n v="3"/>
    <n v="0.05"/>
    <n v="7125"/>
    <n v="2163.4899999999998"/>
    <x v="1"/>
    <s v="Delivered"/>
    <n v="2375"/>
    <n v="30.36477192982456"/>
    <s v="Profit"/>
    <s v="Meera Chopra"/>
    <x v="2"/>
    <x v="0"/>
    <s v="Hyderabad"/>
    <s v="Telangana"/>
    <s v="2023-02-16"/>
    <s v="36-50"/>
    <n v="721.1633333333333"/>
  </r>
  <r>
    <s v="ORD02744"/>
    <d v="2026-01-25T00:00:00"/>
    <s v="CUST0018"/>
    <x v="0"/>
    <x v="6"/>
    <n v="4"/>
    <n v="0.3"/>
    <n v="980"/>
    <n v="192.97"/>
    <x v="0"/>
    <s v="Delivered"/>
    <n v="245"/>
    <n v="19.690816326530609"/>
    <s v="Profit"/>
    <s v="Aditya Mehta"/>
    <x v="0"/>
    <x v="0"/>
    <s v="Hyderabad"/>
    <s v="Telangana"/>
    <s v="2025-01-15"/>
    <s v="51+"/>
    <n v="48.2425"/>
  </r>
  <r>
    <s v="ORD02745"/>
    <d v="2025-12-28T00:00:00"/>
    <s v="CUST0169"/>
    <x v="3"/>
    <x v="11"/>
    <n v="1"/>
    <n v="0.1"/>
    <n v="2250"/>
    <n v="621.59"/>
    <x v="3"/>
    <s v="Delivered"/>
    <n v="2250"/>
    <n v="27.626222222222221"/>
    <s v="Profit"/>
    <s v="Sneha Bose"/>
    <x v="0"/>
    <x v="0"/>
    <s v="Hyderabad"/>
    <s v="Telangana"/>
    <s v="2024-09-10"/>
    <s v="26-35"/>
    <n v="621.59"/>
  </r>
  <r>
    <s v="ORD02746"/>
    <d v="2026-06-04T00:00:00"/>
    <s v="CUST0063"/>
    <x v="2"/>
    <x v="2"/>
    <n v="3"/>
    <n v="0.2"/>
    <n v="31200"/>
    <n v="3695.14"/>
    <x v="1"/>
    <s v="Delivered"/>
    <n v="10400"/>
    <n v="11.84339743589744"/>
    <s v="Profit"/>
    <s v="Kavya Nair"/>
    <x v="0"/>
    <x v="2"/>
    <s v="Jaipur"/>
    <s v="Rajasthan"/>
    <s v="2024-06-25"/>
    <s v="51+"/>
    <n v="1231.7133333333329"/>
  </r>
  <r>
    <s v="ORD02747"/>
    <d v="2025-11-25T00:00:00"/>
    <s v="CUST0247"/>
    <x v="1"/>
    <x v="13"/>
    <n v="1"/>
    <n v="0.15"/>
    <n v="3570"/>
    <n v="746.53"/>
    <x v="0"/>
    <s v="Delivered"/>
    <n v="3570"/>
    <n v="20.911204481792719"/>
    <s v="Profit"/>
    <s v="Meera Singh"/>
    <x v="0"/>
    <x v="3"/>
    <s v="Patna"/>
    <s v="Bihar"/>
    <s v="2023-01-30"/>
    <s v="18-25"/>
    <n v="746.53"/>
  </r>
  <r>
    <s v="ORD02748"/>
    <d v="2026-06-11T00:00:00"/>
    <s v="CUST0003"/>
    <x v="3"/>
    <x v="8"/>
    <n v="2"/>
    <n v="0.1"/>
    <n v="8100"/>
    <n v="2283.7399999999998"/>
    <x v="2"/>
    <s v="Delivered"/>
    <n v="4050"/>
    <n v="28.194320987654319"/>
    <s v="Profit"/>
    <s v="Sanjay Mehta"/>
    <x v="2"/>
    <x v="1"/>
    <s v="Ahmedabad"/>
    <s v="Gujarat"/>
    <s v="2025-05-11"/>
    <s v="26-35"/>
    <n v="1141.8699999999999"/>
  </r>
  <r>
    <s v="ORD02749"/>
    <d v="2025-11-27T00:00:00"/>
    <s v="CUST0362"/>
    <x v="2"/>
    <x v="2"/>
    <n v="3"/>
    <n v="0.1"/>
    <n v="35100"/>
    <n v="7503.34"/>
    <x v="2"/>
    <s v="Shipped"/>
    <n v="11700"/>
    <n v="21.377037037037042"/>
    <s v="Profit"/>
    <s v="Karthik Joshi"/>
    <x v="0"/>
    <x v="0"/>
    <s v="Coimbatore"/>
    <s v="Tamil Nadu"/>
    <s v="2025-09-08"/>
    <s v="26-35"/>
    <n v="2501.1133333333328"/>
  </r>
  <r>
    <s v="ORD02750"/>
    <d v="2025-10-02T00:00:00"/>
    <s v="CUST0078"/>
    <x v="0"/>
    <x v="6"/>
    <n v="4"/>
    <n v="0.3"/>
    <n v="980"/>
    <n v="-107.47"/>
    <x v="1"/>
    <s v="Cancelled"/>
    <n v="245"/>
    <n v="-10.966326530612241"/>
    <s v="Loss"/>
    <s v="Harini Khan"/>
    <x v="0"/>
    <x v="3"/>
    <s v="Bhubaneswar"/>
    <s v="Odisha"/>
    <s v="2024-10-05"/>
    <s v="26-35"/>
    <n v="-26.8675"/>
  </r>
  <r>
    <s v="ORD02751"/>
    <d v="2025-07-05T00:00:00"/>
    <s v="CUST0015"/>
    <x v="1"/>
    <x v="15"/>
    <n v="1"/>
    <n v="0.1"/>
    <n v="1980"/>
    <n v="637.05999999999995"/>
    <x v="1"/>
    <s v="Delivered"/>
    <n v="1980"/>
    <n v="32.17474747474747"/>
    <s v="Profit"/>
    <s v="Diya Pillai"/>
    <x v="1"/>
    <x v="0"/>
    <s v="Coimbatore"/>
    <s v="Tamil Nadu"/>
    <s v="2024-09-16"/>
    <s v="51+"/>
    <n v="637.05999999999995"/>
  </r>
  <r>
    <s v="ORD02752"/>
    <d v="2025-08-29T00:00:00"/>
    <s v="CUST0482"/>
    <x v="0"/>
    <x v="14"/>
    <n v="2"/>
    <n v="0"/>
    <n v="900"/>
    <n v="220"/>
    <x v="0"/>
    <s v="Delivered"/>
    <n v="450"/>
    <n v="24.444444444444439"/>
    <s v="Profit"/>
    <s v="Divya Reddy"/>
    <x v="0"/>
    <x v="0"/>
    <s v="Chennai"/>
    <s v="Tamil Nadu"/>
    <s v="2025-06-12"/>
    <s v="26-35"/>
    <n v="110"/>
  </r>
  <r>
    <s v="ORD02753"/>
    <d v="2025-12-26T00:00:00"/>
    <s v="CUST0431"/>
    <x v="2"/>
    <x v="2"/>
    <n v="10"/>
    <n v="0.2"/>
    <n v="104000"/>
    <n v="18282.22"/>
    <x v="3"/>
    <s v="Delivered"/>
    <n v="10400"/>
    <n v="17.579057692307689"/>
    <s v="Profit"/>
    <s v="Manoj Naidu"/>
    <x v="1"/>
    <x v="0"/>
    <s v="Bengaluru"/>
    <s v="Karnataka"/>
    <s v="2023-01-16"/>
    <s v="36-50"/>
    <n v="1828.222"/>
  </r>
  <r>
    <s v="ORD02754"/>
    <d v="2025-11-11T00:00:00"/>
    <s v="CUST0528"/>
    <x v="2"/>
    <x v="5"/>
    <n v="1"/>
    <n v="0.2"/>
    <n v="8800"/>
    <n v="773.3"/>
    <x v="1"/>
    <s v="Shipped"/>
    <n v="8800"/>
    <n v="8.7874999999999996"/>
    <s v="Profit"/>
    <s v="Karthik Menon"/>
    <x v="0"/>
    <x v="0"/>
    <s v="Chennai"/>
    <s v="Tamil Nadu"/>
    <s v="2024-07-24"/>
    <s v="36-50"/>
    <n v="773.3"/>
  </r>
  <r>
    <s v="ORD02755"/>
    <d v="2026-08-01T00:00:00"/>
    <s v="CUST0168"/>
    <x v="0"/>
    <x v="0"/>
    <n v="1"/>
    <n v="0.15"/>
    <n v="11900"/>
    <n v="1563.07"/>
    <x v="3"/>
    <s v="Delivered"/>
    <n v="11900"/>
    <n v="13.13504201680672"/>
    <s v="Profit"/>
    <s v="Shreya Sharma"/>
    <x v="1"/>
    <x v="1"/>
    <s v="Ahmedabad"/>
    <s v="Gujarat"/>
    <s v="2025-04-13"/>
    <s v="51+"/>
    <n v="1563.07"/>
  </r>
  <r>
    <s v="ORD02756"/>
    <d v="2025-09-25T00:00:00"/>
    <s v="CUST0209"/>
    <x v="3"/>
    <x v="8"/>
    <n v="3"/>
    <n v="0.05"/>
    <n v="12825"/>
    <n v="4154.25"/>
    <x v="1"/>
    <s v="Delivered"/>
    <n v="4275"/>
    <n v="32.39181286549708"/>
    <s v="Profit"/>
    <s v="Rahul Naidu"/>
    <x v="0"/>
    <x v="0"/>
    <s v="Hyderabad"/>
    <s v="Telangana"/>
    <s v="2023-02-09"/>
    <s v="36-50"/>
    <n v="1384.75"/>
  </r>
  <r>
    <s v="ORD02757"/>
    <d v="2026-05-01T00:00:00"/>
    <s v="CUST0505"/>
    <x v="2"/>
    <x v="5"/>
    <n v="4"/>
    <n v="0.05"/>
    <n v="41800"/>
    <n v="-22306.37"/>
    <x v="0"/>
    <s v="Cancelled"/>
    <n v="10450"/>
    <n v="-53.364521531100472"/>
    <s v="Loss"/>
    <s v="Aarav Pillai"/>
    <x v="0"/>
    <x v="2"/>
    <s v="Lucknow"/>
    <s v="Uttar Pradesh"/>
    <s v="2025-05-09"/>
    <s v="51+"/>
    <n v="-5576.5924999999997"/>
  </r>
  <r>
    <s v="ORD02758"/>
    <d v="2025-09-15T00:00:00"/>
    <s v="CUST0465"/>
    <x v="2"/>
    <x v="3"/>
    <n v="3"/>
    <n v="0.05"/>
    <n v="42750"/>
    <n v="8885.81"/>
    <x v="1"/>
    <s v="Shipped"/>
    <n v="14250"/>
    <n v="20.78552046783625"/>
    <s v="Profit"/>
    <s v="Ananya Pillai"/>
    <x v="2"/>
    <x v="2"/>
    <s v="Delhi"/>
    <s v="Delhi"/>
    <s v="2023-04-30"/>
    <s v="26-35"/>
    <n v="2961.936666666666"/>
  </r>
  <r>
    <s v="ORD02759"/>
    <d v="2026-08-29T00:00:00"/>
    <s v="CUST0460"/>
    <x v="1"/>
    <x v="13"/>
    <n v="1"/>
    <n v="0"/>
    <n v="4200"/>
    <n v="1200"/>
    <x v="3"/>
    <s v="Delivered"/>
    <n v="4200"/>
    <n v="28.571428571428569"/>
    <s v="Profit"/>
    <s v="Rohan Nair"/>
    <x v="0"/>
    <x v="0"/>
    <s v="Chennai"/>
    <s v="Tamil Nadu"/>
    <s v="2023-12-17"/>
    <s v="18-25"/>
    <n v="1200"/>
  </r>
  <r>
    <s v="ORD02760"/>
    <d v="2025-11-19T00:00:00"/>
    <s v="CUST0318"/>
    <x v="2"/>
    <x v="3"/>
    <n v="4"/>
    <n v="0"/>
    <n v="60000"/>
    <n v="14000"/>
    <x v="3"/>
    <s v="Delivered"/>
    <n v="15000"/>
    <n v="23.333333333333329"/>
    <s v="Profit"/>
    <s v="Kavya Menon"/>
    <x v="1"/>
    <x v="2"/>
    <s v="Lucknow"/>
    <s v="Uttar Pradesh"/>
    <s v="2023-08-09"/>
    <s v="18-25"/>
    <n v="3500"/>
  </r>
  <r>
    <s v="ORD02761"/>
    <d v="2026-01-17T00:00:00"/>
    <s v="CUST0563"/>
    <x v="2"/>
    <x v="3"/>
    <n v="3"/>
    <n v="0.15"/>
    <n v="38250"/>
    <n v="5651.7"/>
    <x v="1"/>
    <s v="Delivered"/>
    <n v="12750"/>
    <n v="14.7756862745098"/>
    <s v="Profit"/>
    <s v="Meera Das"/>
    <x v="1"/>
    <x v="1"/>
    <s v="Ahmedabad"/>
    <s v="Gujarat"/>
    <s v="2023-10-23"/>
    <s v="26-35"/>
    <n v="1883.9"/>
  </r>
  <r>
    <s v="ORD02762"/>
    <d v="2026-01-06T00:00:00"/>
    <s v="CUST0386"/>
    <x v="2"/>
    <x v="9"/>
    <n v="1"/>
    <n v="0.15"/>
    <n v="7650"/>
    <n v="1160.8800000000001"/>
    <x v="1"/>
    <s v="Delivered"/>
    <n v="7650"/>
    <n v="15.174901960784309"/>
    <s v="Profit"/>
    <s v="Pooja Kulkarni"/>
    <x v="0"/>
    <x v="0"/>
    <s v="Chennai"/>
    <s v="Tamil Nadu"/>
    <s v="2023-03-27"/>
    <s v="26-35"/>
    <n v="1160.8800000000001"/>
  </r>
  <r>
    <s v="ORD02763"/>
    <d v="2026-04-01T00:00:00"/>
    <s v="CUST0090"/>
    <x v="3"/>
    <x v="4"/>
    <n v="3"/>
    <n v="0.05"/>
    <n v="51300"/>
    <n v="8791.25"/>
    <x v="1"/>
    <s v="Delivered"/>
    <n v="17100"/>
    <n v="17.136939571150101"/>
    <s v="Profit"/>
    <s v="Nisha Bose"/>
    <x v="1"/>
    <x v="0"/>
    <s v="Coimbatore"/>
    <s v="Tamil Nadu"/>
    <s v="2024-09-07"/>
    <s v="51+"/>
    <n v="2930.416666666667"/>
  </r>
  <r>
    <s v="ORD02764"/>
    <d v="2026-05-18T00:00:00"/>
    <s v="CUST0343"/>
    <x v="3"/>
    <x v="11"/>
    <n v="1"/>
    <n v="0.3"/>
    <n v="1750"/>
    <n v="442.17"/>
    <x v="3"/>
    <s v="Delivered"/>
    <n v="1750"/>
    <n v="25.266857142857148"/>
    <s v="Profit"/>
    <s v="Meera Iyer"/>
    <x v="0"/>
    <x v="0"/>
    <s v="Bengaluru"/>
    <s v="Karnataka"/>
    <s v="2024-08-02"/>
    <s v="36-50"/>
    <n v="442.17"/>
  </r>
  <r>
    <s v="ORD02765"/>
    <d v="2025-09-05T00:00:00"/>
    <s v="CUST0592"/>
    <x v="3"/>
    <x v="8"/>
    <n v="4"/>
    <n v="0.15"/>
    <n v="15300"/>
    <n v="4389.9799999999996"/>
    <x v="3"/>
    <s v="Delivered"/>
    <n v="3825"/>
    <n v="28.692679738562092"/>
    <s v="Profit"/>
    <s v="Priya Kulkarni"/>
    <x v="0"/>
    <x v="3"/>
    <s v="Patna"/>
    <s v="Bihar"/>
    <s v="2023-07-25"/>
    <s v="26-35"/>
    <n v="1097.4949999999999"/>
  </r>
  <r>
    <s v="ORD02766"/>
    <d v="2026-08-28T00:00:00"/>
    <s v="CUST0190"/>
    <x v="0"/>
    <x v="14"/>
    <n v="10"/>
    <n v="0.05"/>
    <n v="4275"/>
    <n v="922.53"/>
    <x v="3"/>
    <s v="Shipped"/>
    <n v="427.5"/>
    <n v="21.57964912280702"/>
    <s v="Profit"/>
    <s v="Rohan Naidu"/>
    <x v="0"/>
    <x v="0"/>
    <s v="Coimbatore"/>
    <s v="Tamil Nadu"/>
    <s v="2023-02-24"/>
    <s v="26-35"/>
    <n v="92.253"/>
  </r>
  <r>
    <s v="ORD02767"/>
    <d v="2025-12-14T00:00:00"/>
    <s v="CUST0110"/>
    <x v="3"/>
    <x v="4"/>
    <n v="4"/>
    <n v="0.3"/>
    <n v="50400"/>
    <n v="-1714.58"/>
    <x v="1"/>
    <s v="Delivered"/>
    <n v="12600"/>
    <n v="-3.4019444444444442"/>
    <s v="Loss"/>
    <s v="Ananya Gupta"/>
    <x v="0"/>
    <x v="3"/>
    <s v="Patna"/>
    <s v="Tamil Nadu"/>
    <s v="2025-06-10"/>
    <s v="26-35"/>
    <n v="-428.64499999999998"/>
  </r>
  <r>
    <s v="ORD02768"/>
    <d v="2026-02-23T00:00:00"/>
    <s v="CUST0132"/>
    <x v="3"/>
    <x v="8"/>
    <n v="1"/>
    <n v="0"/>
    <n v="4500"/>
    <n v="1500"/>
    <x v="3"/>
    <s v="Delivered"/>
    <n v="4500"/>
    <n v="33.333333333333329"/>
    <s v="Profit"/>
    <s v="Akash Rao"/>
    <x v="2"/>
    <x v="1"/>
    <s v="Pune"/>
    <s v="Maharashtra"/>
    <s v="2023-10-01"/>
    <s v="36-50"/>
    <n v="1500"/>
  </r>
  <r>
    <s v="ORD02769"/>
    <d v="2026-01-27T00:00:00"/>
    <s v="CUST0033"/>
    <x v="3"/>
    <x v="8"/>
    <n v="1"/>
    <n v="0"/>
    <n v="4500"/>
    <n v="1500"/>
    <x v="2"/>
    <s v="Delivered"/>
    <n v="4500"/>
    <n v="33.333333333333329"/>
    <s v="Profit"/>
    <s v="Ananya Das"/>
    <x v="0"/>
    <x v="2"/>
    <s v="Delhi"/>
    <s v="Delhi"/>
    <s v="2023-12-18"/>
    <s v="18-25"/>
    <n v="1500"/>
  </r>
  <r>
    <s v="ORD02770"/>
    <d v="2025-11-24T00:00:00"/>
    <s v="CUST0077"/>
    <x v="0"/>
    <x v="6"/>
    <n v="2"/>
    <n v="0.1"/>
    <n v="630"/>
    <n v="184.86"/>
    <x v="0"/>
    <s v="Delivered"/>
    <n v="315"/>
    <n v="29.342857142857142"/>
    <s v="Profit"/>
    <s v="Aarav Patel"/>
    <x v="2"/>
    <x v="3"/>
    <s v="Bhubaneswar"/>
    <s v="Odisha"/>
    <s v="2023-01-09"/>
    <s v="36-50"/>
    <n v="92.43"/>
  </r>
  <r>
    <s v="ORD02771"/>
    <d v="2026-05-29T00:00:00"/>
    <s v="CUST0396"/>
    <x v="0"/>
    <x v="14"/>
    <n v="4"/>
    <n v="0.15"/>
    <n v="1530"/>
    <n v="223.25"/>
    <x v="2"/>
    <s v="Delivered"/>
    <n v="382.5"/>
    <n v="14.591503267973859"/>
    <s v="Profit"/>
    <s v="Rahul Mishra"/>
    <x v="0"/>
    <x v="0"/>
    <s v="Bengaluru"/>
    <s v="Karnataka"/>
    <s v="2023-05-26"/>
    <s v="18-25"/>
    <n v="55.8125"/>
  </r>
  <r>
    <s v="ORD02772"/>
    <d v="2026-08-03T00:00:00"/>
    <s v="CUST0298"/>
    <x v="3"/>
    <x v="4"/>
    <n v="3"/>
    <n v="0.15"/>
    <n v="45900"/>
    <n v="5471.85"/>
    <x v="2"/>
    <s v="Delivered"/>
    <n v="15300"/>
    <n v="11.921241830065361"/>
    <s v="Profit"/>
    <s v="Diya Joshi"/>
    <x v="0"/>
    <x v="0"/>
    <s v="Chennai"/>
    <s v="Tamil Nadu"/>
    <s v="2025-01-10"/>
    <s v="18-25"/>
    <n v="1823.95"/>
  </r>
  <r>
    <s v="ORD02773"/>
    <d v="2026-05-28T00:00:00"/>
    <s v="CUST0142"/>
    <x v="2"/>
    <x v="2"/>
    <n v="3"/>
    <n v="0.2"/>
    <n v="31200"/>
    <n v="4463.74"/>
    <x v="3"/>
    <s v="Delivered"/>
    <n v="10400"/>
    <n v="14.30685897435897"/>
    <s v="Profit"/>
    <s v="Pooja Bose"/>
    <x v="0"/>
    <x v="1"/>
    <s v="Surat"/>
    <s v="Gujarat"/>
    <s v="2025-05-21"/>
    <s v="51+"/>
    <n v="1487.913333333333"/>
  </r>
  <r>
    <s v="ORD02774"/>
    <d v="2026-02-07T00:00:00"/>
    <s v="CUST0362"/>
    <x v="0"/>
    <x v="0"/>
    <n v="4"/>
    <n v="0.1"/>
    <n v="50400"/>
    <n v="7219.55"/>
    <x v="1"/>
    <s v="Delivered"/>
    <n v="12600"/>
    <n v="14.324503968253969"/>
    <s v="Profit"/>
    <s v="Karthik Joshi"/>
    <x v="0"/>
    <x v="0"/>
    <s v="Coimbatore"/>
    <s v="Tamil Nadu"/>
    <s v="2025-09-08"/>
    <s v="26-35"/>
    <n v="1804.8875"/>
  </r>
  <r>
    <s v="ORD02775"/>
    <d v="2026-02-01T00:00:00"/>
    <s v="CUST0451"/>
    <x v="1"/>
    <x v="1"/>
    <n v="2"/>
    <n v="0"/>
    <n v="3600"/>
    <n v="1300"/>
    <x v="0"/>
    <s v="Delivered"/>
    <n v="1800"/>
    <n v="36.111111111111107"/>
    <s v="Profit"/>
    <s v="Diya Naidu"/>
    <x v="0"/>
    <x v="1"/>
    <s v="Pune"/>
    <s v="Maharashtra"/>
    <s v="2024-06-17"/>
    <s v="26-35"/>
    <n v="650"/>
  </r>
  <r>
    <s v="ORD02776"/>
    <d v="2025-08-10T00:00:00"/>
    <s v="CUST0386"/>
    <x v="3"/>
    <x v="11"/>
    <n v="1"/>
    <n v="0.2"/>
    <n v="2000"/>
    <n v="565.07000000000005"/>
    <x v="3"/>
    <s v="Delivered"/>
    <n v="2000"/>
    <n v="28.253499999999999"/>
    <s v="Profit"/>
    <s v="Pooja Kulkarni"/>
    <x v="0"/>
    <x v="0"/>
    <s v="Chennai"/>
    <s v="Tamil Nadu"/>
    <s v="2023-03-27"/>
    <s v="26-35"/>
    <n v="565.07000000000005"/>
  </r>
  <r>
    <s v="ORD02777"/>
    <d v="2025-12-01T00:00:00"/>
    <s v="CUST0196"/>
    <x v="0"/>
    <x v="14"/>
    <n v="3"/>
    <n v="0.1"/>
    <n v="1215"/>
    <n v="247.46"/>
    <x v="3"/>
    <s v="Delivered"/>
    <n v="405"/>
    <n v="20.367078189300411"/>
    <s v="Profit"/>
    <s v="Nisha Sharma"/>
    <x v="2"/>
    <x v="2"/>
    <s v="Lucknow"/>
    <s v="Uttar Pradesh"/>
    <s v="2025-03-20"/>
    <s v="26-35"/>
    <n v="82.486666666666665"/>
  </r>
  <r>
    <s v="ORD02778"/>
    <d v="2026-08-18T00:00:00"/>
    <s v="CUST0301"/>
    <x v="0"/>
    <x v="7"/>
    <n v="2"/>
    <n v="0.1"/>
    <n v="1620"/>
    <n v="424.84"/>
    <x v="0"/>
    <s v="Delivered"/>
    <n v="810"/>
    <n v="26.224691358024689"/>
    <s v="Profit"/>
    <s v="Pooja Bose"/>
    <x v="0"/>
    <x v="0"/>
    <s v="Bengaluru"/>
    <s v="Karnataka"/>
    <s v="2025-11-12"/>
    <s v="26-35"/>
    <n v="212.42"/>
  </r>
  <r>
    <s v="ORD02779"/>
    <d v="2025-07-01T00:00:00"/>
    <s v="CUST0356"/>
    <x v="3"/>
    <x v="10"/>
    <n v="1"/>
    <n v="0.05"/>
    <n v="52250"/>
    <n v="7483.48"/>
    <x v="2"/>
    <s v="Delivered"/>
    <n v="52250"/>
    <n v="14.322449760765551"/>
    <s v="Profit"/>
    <s v="Manoj Gupta"/>
    <x v="0"/>
    <x v="2"/>
    <s v="Chandigarh"/>
    <s v="Chandigarh"/>
    <s v="2023-08-04"/>
    <s v="26-35"/>
    <n v="7483.48"/>
  </r>
  <r>
    <s v="ORD02780"/>
    <d v="2026-07-24T00:00:00"/>
    <s v="CUST0475"/>
    <x v="3"/>
    <x v="4"/>
    <n v="2"/>
    <n v="0.05"/>
    <n v="34200"/>
    <n v="6095.54"/>
    <x v="0"/>
    <s v="Delivered"/>
    <n v="17100"/>
    <n v="17.823216374269009"/>
    <s v="Profit"/>
    <s v="Divya Verma"/>
    <x v="0"/>
    <x v="0"/>
    <s v="Bengaluru"/>
    <s v="Karnataka"/>
    <s v="2025-12-10"/>
    <s v="26-35"/>
    <n v="3047.77"/>
  </r>
  <r>
    <s v="ORD02781"/>
    <d v="2025-10-30T00:00:00"/>
    <s v="CUST0554"/>
    <x v="1"/>
    <x v="12"/>
    <n v="3"/>
    <n v="0.15"/>
    <n v="3570"/>
    <n v="970.59"/>
    <x v="3"/>
    <s v="Delivered"/>
    <n v="1190"/>
    <n v="27.187394957983201"/>
    <s v="Profit"/>
    <s v="Aarav Gupta"/>
    <x v="0"/>
    <x v="1"/>
    <s v="Surat"/>
    <s v="Gujarat"/>
    <s v="2024-05-24"/>
    <s v="26-35"/>
    <n v="323.52999999999997"/>
  </r>
  <r>
    <s v="ORD02782"/>
    <d v="2025-07-10T00:00:00"/>
    <s v="CUST0167"/>
    <x v="3"/>
    <x v="10"/>
    <n v="6"/>
    <n v="0"/>
    <n v="330000"/>
    <n v="54000"/>
    <x v="3"/>
    <s v="Delivered"/>
    <n v="55000"/>
    <n v="16.36363636363636"/>
    <s v="Profit"/>
    <s v="Aarav Mehta"/>
    <x v="0"/>
    <x v="0"/>
    <s v="Hyderabad"/>
    <s v="Telangana"/>
    <s v="2024-10-15"/>
    <s v="51+"/>
    <n v="9000"/>
  </r>
  <r>
    <s v="ORD02783"/>
    <d v="2025-09-05T00:00:00"/>
    <s v="CUST0388"/>
    <x v="2"/>
    <x v="9"/>
    <n v="2"/>
    <n v="0.1"/>
    <n v="16200"/>
    <n v="3104.59"/>
    <x v="0"/>
    <s v="Delivered"/>
    <n v="8100"/>
    <n v="19.16413580246914"/>
    <s v="Profit"/>
    <s v="Shreya Kulkarni"/>
    <x v="0"/>
    <x v="0"/>
    <s v="Bengaluru"/>
    <s v="Karnataka"/>
    <s v="2025-08-28"/>
    <s v="36-50"/>
    <n v="1552.2950000000001"/>
  </r>
  <r>
    <s v="ORD02784"/>
    <d v="2025-08-06T00:00:00"/>
    <s v="CUST0383"/>
    <x v="0"/>
    <x v="6"/>
    <n v="3"/>
    <n v="0"/>
    <n v="1050"/>
    <n v="-72.489999999999995"/>
    <x v="1"/>
    <s v="Cancelled"/>
    <n v="350"/>
    <n v="-6.9038095238095227"/>
    <s v="Loss"/>
    <s v="Arjun Mehta"/>
    <x v="0"/>
    <x v="0"/>
    <s v="Chennai"/>
    <s v="Tamil Nadu"/>
    <s v="2024-05-07"/>
    <s v="51+"/>
    <n v="-24.16333333333333"/>
  </r>
  <r>
    <s v="ORD02785"/>
    <d v="2026-08-01T00:00:00"/>
    <s v="CUST0280"/>
    <x v="2"/>
    <x v="9"/>
    <n v="1"/>
    <n v="0.15"/>
    <n v="7650"/>
    <n v="1442.98"/>
    <x v="1"/>
    <s v="Delivered"/>
    <n v="7650"/>
    <n v="18.862483660130721"/>
    <s v="Profit"/>
    <s v="Vikram Kulkarni"/>
    <x v="0"/>
    <x v="1"/>
    <s v="Mumbai"/>
    <s v="Maharashtra"/>
    <s v="2025-06-23"/>
    <s v="26-35"/>
    <n v="1442.98"/>
  </r>
  <r>
    <s v="ORD02786"/>
    <d v="2026-08-12T00:00:00"/>
    <s v="CUST0187"/>
    <x v="2"/>
    <x v="5"/>
    <n v="1"/>
    <n v="0.1"/>
    <n v="9900"/>
    <n v="1719.21"/>
    <x v="2"/>
    <s v="Delivered"/>
    <n v="9900"/>
    <n v="17.365757575757581"/>
    <s v="Profit"/>
    <s v="Nisha Bose"/>
    <x v="0"/>
    <x v="1"/>
    <s v="Mumbai"/>
    <s v="Maharashtra"/>
    <s v="2025-12-11"/>
    <s v="51+"/>
    <n v="1719.21"/>
  </r>
  <r>
    <s v="ORD02787"/>
    <d v="2026-05-23T00:00:00"/>
    <s v="CUST0155"/>
    <x v="0"/>
    <x v="14"/>
    <n v="5"/>
    <n v="0.15"/>
    <n v="1912.5"/>
    <n v="295.72000000000003"/>
    <x v="2"/>
    <s v="Delivered"/>
    <n v="382.5"/>
    <n v="15.462483660130721"/>
    <s v="Profit"/>
    <s v="Ishaan Sharma"/>
    <x v="0"/>
    <x v="0"/>
    <s v="Bengaluru"/>
    <s v="Karnataka"/>
    <s v="2023-07-08"/>
    <s v="26-35"/>
    <n v="59.144000000000013"/>
  </r>
  <r>
    <s v="ORD02788"/>
    <d v="2025-09-29T00:00:00"/>
    <s v="CUST0120"/>
    <x v="0"/>
    <x v="0"/>
    <n v="1"/>
    <n v="0.1"/>
    <n v="12600"/>
    <n v="1708.62"/>
    <x v="1"/>
    <s v="Delivered"/>
    <n v="12600"/>
    <n v="13.560476190476191"/>
    <s v="Profit"/>
    <s v="Sanjay Sharma"/>
    <x v="2"/>
    <x v="0"/>
    <s v="Bengaluru"/>
    <s v="Karnataka"/>
    <s v="2024-05-20"/>
    <s v="26-35"/>
    <n v="1708.62"/>
  </r>
  <r>
    <s v="ORD02789"/>
    <d v="2026-03-30T00:00:00"/>
    <s v="CUST0032"/>
    <x v="2"/>
    <x v="9"/>
    <n v="2"/>
    <n v="0.2"/>
    <n v="14400"/>
    <n v="2145.1"/>
    <x v="2"/>
    <s v="Delivered"/>
    <n v="7200"/>
    <n v="14.896527777777781"/>
    <s v="Profit"/>
    <s v="Pooja Nair"/>
    <x v="0"/>
    <x v="2"/>
    <s v="Delhi"/>
    <s v="Delhi"/>
    <s v="2025-05-13"/>
    <s v="26-35"/>
    <n v="1072.55"/>
  </r>
  <r>
    <s v="ORD02790"/>
    <d v="2026-05-25T00:00:00"/>
    <s v="CUST0170"/>
    <x v="2"/>
    <x v="9"/>
    <n v="1"/>
    <n v="0.05"/>
    <n v="8550"/>
    <n v="2068.27"/>
    <x v="3"/>
    <s v="Delivered"/>
    <n v="8550"/>
    <n v="24.190292397660819"/>
    <s v="Profit"/>
    <s v="Meera Iyer"/>
    <x v="2"/>
    <x v="0"/>
    <s v="Hyderabad"/>
    <s v="Telangana"/>
    <s v="2025-04-02"/>
    <s v="36-50"/>
    <n v="2068.27"/>
  </r>
  <r>
    <s v="ORD02791"/>
    <d v="2025-07-13T00:00:00"/>
    <s v="CUST0598"/>
    <x v="2"/>
    <x v="2"/>
    <n v="5"/>
    <n v="0.1"/>
    <n v="58500"/>
    <n v="12823.79"/>
    <x v="2"/>
    <s v="Delivered"/>
    <n v="11700"/>
    <n v="21.921008547008551"/>
    <s v="Profit"/>
    <s v="Arjun Das"/>
    <x v="0"/>
    <x v="0"/>
    <s v="Hyderabad"/>
    <s v="Telangana"/>
    <s v="2024-07-07"/>
    <s v="36-50"/>
    <n v="2564.7579999999998"/>
  </r>
  <r>
    <s v="ORD02792"/>
    <d v="2025-09-09T00:00:00"/>
    <s v="CUST0229"/>
    <x v="2"/>
    <x v="5"/>
    <n v="1"/>
    <n v="0.2"/>
    <n v="8800"/>
    <n v="1380.16"/>
    <x v="1"/>
    <s v="Delivered"/>
    <n v="8800"/>
    <n v="15.68363636363636"/>
    <s v="Profit"/>
    <s v="Harini Chopra"/>
    <x v="0"/>
    <x v="0"/>
    <s v="Bengaluru"/>
    <s v="Karnataka"/>
    <s v="2025-05-19"/>
    <s v="26-35"/>
    <n v="1380.16"/>
  </r>
  <r>
    <s v="ORD02793"/>
    <d v="2025-10-11T00:00:00"/>
    <s v="CUST0090"/>
    <x v="1"/>
    <x v="12"/>
    <n v="3"/>
    <n v="0.2"/>
    <n v="3360"/>
    <n v="970.3"/>
    <x v="3"/>
    <s v="Delivered"/>
    <n v="1120"/>
    <n v="28.87797619047619"/>
    <s v="Profit"/>
    <s v="Nisha Bose"/>
    <x v="1"/>
    <x v="0"/>
    <s v="Coimbatore"/>
    <s v="Tamil Nadu"/>
    <s v="2024-09-07"/>
    <s v="51+"/>
    <n v="323.43333333333328"/>
  </r>
  <r>
    <s v="ORD02794"/>
    <d v="2026-06-19T00:00:00"/>
    <s v="CUST0184"/>
    <x v="3"/>
    <x v="8"/>
    <n v="1"/>
    <n v="0.15"/>
    <n v="3825"/>
    <n v="1135.46"/>
    <x v="3"/>
    <s v="Delivered"/>
    <n v="3825"/>
    <n v="29.685228758169931"/>
    <s v="Profit"/>
    <s v="Rahul Iyer"/>
    <x v="2"/>
    <x v="2"/>
    <s v="Jaipur"/>
    <s v="Rajasthan"/>
    <s v="2024-10-21"/>
    <s v="18-25"/>
    <n v="1135.46"/>
  </r>
  <r>
    <s v="ORD02795"/>
    <d v="2026-05-14T00:00:00"/>
    <s v="CUST0328"/>
    <x v="1"/>
    <x v="15"/>
    <n v="1"/>
    <n v="0.1"/>
    <n v="1980"/>
    <n v="563.26"/>
    <x v="3"/>
    <s v="Delivered"/>
    <n v="1980"/>
    <n v="28.44747474747475"/>
    <s v="Profit"/>
    <s v="Priya Patel"/>
    <x v="1"/>
    <x v="2"/>
    <s v="Delhi"/>
    <s v="Delhi"/>
    <s v="2025-03-16"/>
    <s v="18-25"/>
    <n v="563.26"/>
  </r>
  <r>
    <s v="ORD02796"/>
    <d v="2025-08-07T00:00:00"/>
    <s v="CUST0007"/>
    <x v="0"/>
    <x v="7"/>
    <n v="1"/>
    <n v="0"/>
    <n v="900"/>
    <n v="280"/>
    <x v="3"/>
    <s v="Delivered"/>
    <n v="900"/>
    <n v="31.111111111111111"/>
    <s v="Profit"/>
    <s v="Harini Khan"/>
    <x v="0"/>
    <x v="0"/>
    <s v="Bengaluru"/>
    <s v="Karnataka"/>
    <s v="2025-07-02"/>
    <s v="36-50"/>
    <n v="280"/>
  </r>
  <r>
    <s v="ORD02797"/>
    <d v="2026-08-05T00:00:00"/>
    <s v="CUST0547"/>
    <x v="1"/>
    <x v="13"/>
    <n v="1"/>
    <n v="0"/>
    <n v="4200"/>
    <n v="1200"/>
    <x v="3"/>
    <s v="Delivered"/>
    <n v="4200"/>
    <n v="28.571428571428569"/>
    <s v="Profit"/>
    <s v="Priya Naidu"/>
    <x v="0"/>
    <x v="2"/>
    <s v="Lucknow"/>
    <s v="Uttar Pradesh"/>
    <s v="2024-03-14"/>
    <s v="51+"/>
    <n v="1200"/>
  </r>
  <r>
    <s v="ORD02798"/>
    <d v="2025-11-02T00:00:00"/>
    <s v="CUST0081"/>
    <x v="2"/>
    <x v="2"/>
    <n v="1"/>
    <n v="0.15"/>
    <n v="11050"/>
    <n v="-6970.97"/>
    <x v="0"/>
    <s v="Cancelled"/>
    <n v="11050"/>
    <n v="-63.085701357466057"/>
    <s v="Loss"/>
    <s v="Ananya Rao"/>
    <x v="2"/>
    <x v="0"/>
    <s v="Chennai"/>
    <s v="Tamil Nadu"/>
    <s v="2023-10-09"/>
    <s v="36-50"/>
    <n v="-6970.97"/>
  </r>
  <r>
    <s v="ORD02799"/>
    <d v="2025-12-25T00:00:00"/>
    <s v="CUST0289"/>
    <x v="0"/>
    <x v="7"/>
    <n v="2"/>
    <n v="0.05"/>
    <n v="1710"/>
    <n v="485.74"/>
    <x v="0"/>
    <s v="Delivered"/>
    <n v="855"/>
    <n v="28.405847953216369"/>
    <s v="Profit"/>
    <s v="Rahul Iyer"/>
    <x v="2"/>
    <x v="0"/>
    <s v="Coimbatore"/>
    <s v="Tamil Nadu"/>
    <s v="2023-01-07"/>
    <s v="18-25"/>
    <n v="242.87"/>
  </r>
  <r>
    <s v="ORD02800"/>
    <d v="2025-12-21T00:00:00"/>
    <s v="CUST0012"/>
    <x v="0"/>
    <x v="14"/>
    <n v="3"/>
    <n v="0.05"/>
    <n v="1282.5"/>
    <n v="-183.38"/>
    <x v="1"/>
    <s v="Cancelled"/>
    <n v="427.5"/>
    <n v="-14.298635477582851"/>
    <s v="Loss"/>
    <s v="Akash Nair"/>
    <x v="1"/>
    <x v="0"/>
    <s v="Chennai"/>
    <s v="Tamil Nadu"/>
    <s v="2025-11-27"/>
    <s v="36-50"/>
    <n v="-61.126666666666672"/>
  </r>
  <r>
    <s v="ORD02802"/>
    <d v="2025-08-04T00:00:00"/>
    <s v="CUST0362"/>
    <x v="3"/>
    <x v="11"/>
    <n v="1"/>
    <n v="0.2"/>
    <n v="2000"/>
    <n v="497.82"/>
    <x v="0"/>
    <s v="Delivered"/>
    <n v="2000"/>
    <n v="24.890999999999998"/>
    <s v="Profit"/>
    <s v="Karthik Joshi"/>
    <x v="0"/>
    <x v="0"/>
    <s v="Coimbatore"/>
    <s v="Tamil Nadu"/>
    <s v="2025-09-08"/>
    <s v="26-35"/>
    <n v="497.82"/>
  </r>
  <r>
    <s v="ORD02803"/>
    <d v="2025-08-18T00:00:00"/>
    <s v="CUST0487"/>
    <x v="3"/>
    <x v="4"/>
    <n v="2"/>
    <n v="0.1"/>
    <n v="32400"/>
    <n v="4525.46"/>
    <x v="2"/>
    <s v="Shipped"/>
    <n v="16200"/>
    <n v="13.967469135802469"/>
    <s v="Profit"/>
    <s v="Arjun Mishra"/>
    <x v="0"/>
    <x v="2"/>
    <s v="Jaipur"/>
    <s v="Rajasthan"/>
    <s v="2024-05-23"/>
    <s v="51+"/>
    <n v="2262.73"/>
  </r>
  <r>
    <s v="ORD02804"/>
    <d v="2025-09-06T00:00:00"/>
    <s v="CUST0047"/>
    <x v="3"/>
    <x v="8"/>
    <n v="5"/>
    <n v="0.15"/>
    <n v="19125"/>
    <n v="5521.56"/>
    <x v="1"/>
    <s v="Delivered"/>
    <n v="3825"/>
    <n v="28.87090196078432"/>
    <s v="Profit"/>
    <s v="Rahul Das"/>
    <x v="2"/>
    <x v="0"/>
    <s v="Hyderabad"/>
    <s v="Telangana"/>
    <s v="2025-07-16"/>
    <s v="26-35"/>
    <n v="1104.3119999999999"/>
  </r>
  <r>
    <s v="ORD02805"/>
    <d v="2025-09-30T00:00:00"/>
    <s v="CUST0359"/>
    <x v="1"/>
    <x v="13"/>
    <n v="3"/>
    <n v="0"/>
    <n v="12600"/>
    <n v="3600"/>
    <x v="1"/>
    <s v="Delivered"/>
    <n v="4200"/>
    <n v="28.571428571428569"/>
    <s v="Profit"/>
    <s v="Ananya Mishra"/>
    <x v="0"/>
    <x v="0"/>
    <s v="Bengaluru"/>
    <s v="Karnataka"/>
    <s v="2024-05-22"/>
    <s v="26-35"/>
    <n v="1200"/>
  </r>
  <r>
    <s v="ORD02806"/>
    <d v="2025-08-16T00:00:00"/>
    <s v="CUST0303"/>
    <x v="3"/>
    <x v="4"/>
    <n v="3"/>
    <n v="0.1"/>
    <n v="48600"/>
    <n v="7541.75"/>
    <x v="2"/>
    <s v="Delivered"/>
    <n v="16200"/>
    <n v="15.51800411522634"/>
    <s v="Profit"/>
    <s v="Aarav Sharma"/>
    <x v="1"/>
    <x v="0"/>
    <s v="Bengaluru"/>
    <s v="Karnataka"/>
    <s v="2024-12-30"/>
    <s v="26-35"/>
    <n v="2513.916666666667"/>
  </r>
  <r>
    <s v="ORD02807"/>
    <d v="2025-11-12T00:00:00"/>
    <s v="CUST0424"/>
    <x v="1"/>
    <x v="15"/>
    <n v="3"/>
    <n v="0.1"/>
    <n v="5940"/>
    <n v="1938.8"/>
    <x v="2"/>
    <s v="Delivered"/>
    <n v="1980"/>
    <n v="32.639730639730637"/>
    <s v="Profit"/>
    <s v="Sanjay Chopra"/>
    <x v="0"/>
    <x v="3"/>
    <s v="Guwahati"/>
    <s v="Assam"/>
    <s v="2023-09-21"/>
    <s v="36-50"/>
    <n v="646.26666666666665"/>
  </r>
  <r>
    <s v="ORD02808"/>
    <d v="2025-09-26T00:00:00"/>
    <s v="CUST0217"/>
    <x v="3"/>
    <x v="8"/>
    <n v="1"/>
    <n v="0.15"/>
    <n v="3825"/>
    <n v="943.29"/>
    <x v="3"/>
    <s v="Shipped"/>
    <n v="3825"/>
    <n v="24.661176470588231"/>
    <s v="Profit"/>
    <s v="Pooja Mehta"/>
    <x v="0"/>
    <x v="0"/>
    <s v="Hyderabad"/>
    <s v="Telangana"/>
    <s v="2024-11-14"/>
    <s v="51+"/>
    <n v="943.29"/>
  </r>
  <r>
    <s v="ORD02809"/>
    <d v="2026-05-24T00:00:00"/>
    <s v="CUST0012"/>
    <x v="1"/>
    <x v="12"/>
    <n v="2"/>
    <n v="0.1"/>
    <n v="2520"/>
    <n v="814.26"/>
    <x v="0"/>
    <s v="Delivered"/>
    <n v="1260"/>
    <n v="32.311904761904763"/>
    <s v="Profit"/>
    <s v="Akash Nair"/>
    <x v="1"/>
    <x v="0"/>
    <s v="Chennai"/>
    <s v="Tamil Nadu"/>
    <s v="2025-11-27"/>
    <s v="36-50"/>
    <n v="407.13"/>
  </r>
  <r>
    <s v="ORD02810"/>
    <d v="2026-06-21T00:00:00"/>
    <s v="CUST0360"/>
    <x v="1"/>
    <x v="12"/>
    <n v="2"/>
    <n v="0.05"/>
    <n v="2660"/>
    <n v="890.13"/>
    <x v="3"/>
    <s v="Shipped"/>
    <n v="1330"/>
    <n v="33.463533834586471"/>
    <s v="Profit"/>
    <s v="Sneha Reddy"/>
    <x v="2"/>
    <x v="2"/>
    <s v="Lucknow"/>
    <s v="Uttar Pradesh"/>
    <s v="2024-02-17"/>
    <s v="18-25"/>
    <n v="445.065"/>
  </r>
  <r>
    <s v="ORD02811"/>
    <d v="2026-01-24T00:00:00"/>
    <s v="CUST0033"/>
    <x v="3"/>
    <x v="10"/>
    <n v="4"/>
    <n v="0.1"/>
    <n v="198000"/>
    <n v="17636.97"/>
    <x v="3"/>
    <s v="Shipped"/>
    <n v="49500"/>
    <n v="8.9075606060606063"/>
    <s v="Profit"/>
    <s v="Ananya Das"/>
    <x v="0"/>
    <x v="2"/>
    <s v="Delhi"/>
    <s v="Delhi"/>
    <s v="2023-12-18"/>
    <s v="18-25"/>
    <n v="4409.2425000000003"/>
  </r>
  <r>
    <s v="ORD02812"/>
    <d v="2025-10-27T00:00:00"/>
    <s v="CUST0179"/>
    <x v="0"/>
    <x v="7"/>
    <n v="3"/>
    <n v="0.15"/>
    <n v="2295"/>
    <n v="499.48"/>
    <x v="0"/>
    <s v="Delivered"/>
    <n v="765"/>
    <n v="21.763834422657951"/>
    <s v="Profit"/>
    <s v="Akash Pillai"/>
    <x v="0"/>
    <x v="1"/>
    <s v="Pune"/>
    <s v="Maharashtra"/>
    <s v="2024-09-14"/>
    <s v="51+"/>
    <n v="166.49333333333331"/>
  </r>
  <r>
    <s v="ORD02813"/>
    <d v="2026-06-24T00:00:00"/>
    <s v="CUST0225"/>
    <x v="0"/>
    <x v="6"/>
    <n v="3"/>
    <n v="0.1"/>
    <n v="945"/>
    <n v="292.7"/>
    <x v="2"/>
    <s v="Delivered"/>
    <n v="315"/>
    <n v="30.973544973544971"/>
    <s v="Profit"/>
    <s v="Meera Khan"/>
    <x v="2"/>
    <x v="0"/>
    <s v="Coimbatore"/>
    <s v="Tamil Nadu"/>
    <s v="2025-12-18"/>
    <s v="26-35"/>
    <n v="97.566666666666663"/>
  </r>
  <r>
    <s v="ORD02814"/>
    <d v="2026-06-11T00:00:00"/>
    <s v="CUST0114"/>
    <x v="2"/>
    <x v="2"/>
    <n v="1"/>
    <n v="0.2"/>
    <n v="10400"/>
    <n v="1890"/>
    <x v="1"/>
    <s v="Delivered"/>
    <n v="10400"/>
    <n v="18.17307692307692"/>
    <s v="Profit"/>
    <s v="Aarav Reddy"/>
    <x v="1"/>
    <x v="0"/>
    <s v="Coimbatore"/>
    <s v="Tamil Nadu"/>
    <s v="2023-11-15"/>
    <s v="18-25"/>
    <n v="1890"/>
  </r>
  <r>
    <s v="ORD02815"/>
    <d v="2026-06-14T00:00:00"/>
    <s v="CUST0448"/>
    <x v="2"/>
    <x v="9"/>
    <n v="3"/>
    <n v="0.1"/>
    <n v="24300"/>
    <n v="4757.01"/>
    <x v="0"/>
    <s v="Delivered"/>
    <n v="8100"/>
    <n v="19.576172839506171"/>
    <s v="Profit"/>
    <s v="Meera Iyer"/>
    <x v="0"/>
    <x v="2"/>
    <s v="Jaipur"/>
    <s v="Rajasthan"/>
    <s v="2023-01-18"/>
    <s v="36-50"/>
    <n v="1585.67"/>
  </r>
  <r>
    <s v="ORD02816"/>
    <d v="2026-04-25T00:00:00"/>
    <s v="CUST0315"/>
    <x v="0"/>
    <x v="0"/>
    <n v="10"/>
    <n v="0"/>
    <n v="140000"/>
    <n v="28000"/>
    <x v="1"/>
    <s v="Delivered"/>
    <n v="14000"/>
    <n v="20"/>
    <s v="Profit"/>
    <s v="Harini Verma"/>
    <x v="0"/>
    <x v="0"/>
    <s v="Coimbatore"/>
    <s v="Tamil Nadu"/>
    <s v="2024-10-22"/>
    <s v="18-25"/>
    <n v="2800"/>
  </r>
  <r>
    <s v="ORD02817"/>
    <d v="2025-07-29T00:00:00"/>
    <s v="CUST0422"/>
    <x v="2"/>
    <x v="5"/>
    <n v="4"/>
    <n v="0.1"/>
    <n v="39600"/>
    <n v="6773.82"/>
    <x v="3"/>
    <s v="Delivered"/>
    <n v="9900"/>
    <n v="17.10560606060606"/>
    <s v="Profit"/>
    <s v="Meera Nair"/>
    <x v="1"/>
    <x v="0"/>
    <s v="Coimbatore"/>
    <s v="Tamil Nadu"/>
    <s v="2025-02-08"/>
    <s v="26-35"/>
    <n v="1693.4549999999999"/>
  </r>
  <r>
    <s v="ORD02818"/>
    <d v="2025-09-20T00:00:00"/>
    <s v="CUST0142"/>
    <x v="3"/>
    <x v="10"/>
    <n v="1"/>
    <n v="0.1"/>
    <n v="49500"/>
    <n v="5970.97"/>
    <x v="0"/>
    <s v="Delivered"/>
    <n v="49500"/>
    <n v="12.06256565656566"/>
    <s v="Profit"/>
    <s v="Pooja Bose"/>
    <x v="0"/>
    <x v="1"/>
    <s v="Surat"/>
    <s v="Gujarat"/>
    <s v="2025-05-21"/>
    <s v="51+"/>
    <n v="5970.97"/>
  </r>
  <r>
    <s v="ORD02819"/>
    <d v="2026-05-09T00:00:00"/>
    <s v="CUST0175"/>
    <x v="1"/>
    <x v="1"/>
    <n v="2"/>
    <n v="0"/>
    <n v="3600"/>
    <n v="1300"/>
    <x v="2"/>
    <s v="Delivered"/>
    <n v="1800"/>
    <n v="36.111111111111107"/>
    <s v="Profit"/>
    <s v="Akash Mehta"/>
    <x v="0"/>
    <x v="1"/>
    <s v="Ahmedabad"/>
    <s v="Gujarat"/>
    <s v="2023-12-29"/>
    <s v="36-50"/>
    <n v="650"/>
  </r>
  <r>
    <s v="ORD02820"/>
    <d v="2025-12-29T00:00:00"/>
    <s v="CUST0169"/>
    <x v="2"/>
    <x v="5"/>
    <n v="3"/>
    <n v="0"/>
    <n v="33000"/>
    <n v="7800"/>
    <x v="1"/>
    <s v="Delivered"/>
    <n v="11000"/>
    <n v="23.63636363636364"/>
    <s v="Profit"/>
    <s v="Sneha Bose"/>
    <x v="0"/>
    <x v="0"/>
    <s v="Hyderabad"/>
    <s v="Telangana"/>
    <s v="2024-09-10"/>
    <s v="26-35"/>
    <n v="2600"/>
  </r>
  <r>
    <s v="ORD02821"/>
    <d v="2025-08-10T00:00:00"/>
    <s v="CUST0100"/>
    <x v="3"/>
    <x v="11"/>
    <n v="6"/>
    <n v="0.1"/>
    <n v="13500"/>
    <n v="3613.62"/>
    <x v="1"/>
    <s v="Delivered"/>
    <n v="2250"/>
    <n v="26.76755555555556"/>
    <s v="Profit"/>
    <s v="Priya Singh"/>
    <x v="1"/>
    <x v="0"/>
    <s v="Chennai"/>
    <s v="Tamil Nadu"/>
    <s v="2023-03-14"/>
    <s v="26-35"/>
    <n v="602.27"/>
  </r>
  <r>
    <s v="ORD02822"/>
    <d v="2026-03-24T00:00:00"/>
    <s v="CUST0352"/>
    <x v="2"/>
    <x v="3"/>
    <n v="1"/>
    <n v="0"/>
    <n v="15000"/>
    <n v="-7610.3"/>
    <x v="0"/>
    <s v="Cancelled"/>
    <n v="15000"/>
    <n v="-50.73533333333333"/>
    <s v="Loss"/>
    <s v="Ishaan Verma"/>
    <x v="0"/>
    <x v="1"/>
    <s v="Ahmedabad"/>
    <s v="Gujarat"/>
    <s v="2024-05-01"/>
    <s v="51+"/>
    <n v="-7610.3"/>
  </r>
  <r>
    <s v="ORD02823"/>
    <d v="2025-12-24T00:00:00"/>
    <s v="CUST0516"/>
    <x v="1"/>
    <x v="12"/>
    <n v="2"/>
    <n v="0.3"/>
    <n v="1960"/>
    <n v="428.98"/>
    <x v="3"/>
    <s v="Delivered"/>
    <n v="980"/>
    <n v="21.88673469387755"/>
    <s v="Profit"/>
    <s v="Rahul Mishra"/>
    <x v="1"/>
    <x v="0"/>
    <s v="Hyderabad"/>
    <s v="Telangana"/>
    <s v="2024-01-31"/>
    <s v="26-35"/>
    <n v="214.49"/>
  </r>
  <r>
    <s v="ORD02824"/>
    <d v="2026-02-27T00:00:00"/>
    <s v="CUST0245"/>
    <x v="3"/>
    <x v="4"/>
    <n v="2"/>
    <n v="0.2"/>
    <n v="28800"/>
    <n v="3434.35"/>
    <x v="3"/>
    <s v="Delivered"/>
    <n v="14400"/>
    <n v="11.92482638888889"/>
    <s v="Profit"/>
    <s v="Shreya Sharma"/>
    <x v="0"/>
    <x v="2"/>
    <s v="Lucknow"/>
    <s v="Uttar Pradesh"/>
    <s v="2024-04-20"/>
    <s v="51+"/>
    <n v="1717.175"/>
  </r>
  <r>
    <s v="ORD02825"/>
    <d v="2026-06-17T00:00:00"/>
    <s v="CUST0386"/>
    <x v="2"/>
    <x v="9"/>
    <n v="5"/>
    <n v="0"/>
    <n v="45000"/>
    <n v="11500"/>
    <x v="1"/>
    <s v="Delivered"/>
    <n v="9000"/>
    <n v="25.55555555555555"/>
    <s v="Profit"/>
    <s v="Pooja Kulkarni"/>
    <x v="0"/>
    <x v="0"/>
    <s v="Chennai"/>
    <s v="Tamil Nadu"/>
    <s v="2023-03-27"/>
    <s v="26-35"/>
    <n v="2300"/>
  </r>
  <r>
    <s v="ORD02826"/>
    <d v="2025-10-03T00:00:00"/>
    <s v="CUST0470"/>
    <x v="2"/>
    <x v="5"/>
    <n v="1"/>
    <n v="0.1"/>
    <n v="9900"/>
    <n v="1908.4"/>
    <x v="0"/>
    <s v="Delivered"/>
    <n v="9900"/>
    <n v="19.27676767676768"/>
    <s v="Profit"/>
    <s v="Akash Kulkarni"/>
    <x v="0"/>
    <x v="1"/>
    <s v="Surat"/>
    <s v="Gujarat"/>
    <s v="2025-07-01"/>
    <s v="51+"/>
    <n v="1908.4"/>
  </r>
  <r>
    <s v="ORD02827"/>
    <d v="2026-01-16T00:00:00"/>
    <s v="CUST0342"/>
    <x v="2"/>
    <x v="2"/>
    <n v="1"/>
    <n v="0.1"/>
    <n v="11700"/>
    <n v="2611.0500000000002"/>
    <x v="1"/>
    <s v="Delivered"/>
    <n v="11700"/>
    <n v="22.31666666666667"/>
    <s v="Profit"/>
    <s v="Rohan Rao"/>
    <x v="0"/>
    <x v="3"/>
    <s v="Guwahati"/>
    <s v="Assam"/>
    <s v="2023-02-17"/>
    <s v="26-35"/>
    <n v="2611.0500000000002"/>
  </r>
  <r>
    <s v="ORD02828"/>
    <d v="2025-11-27T00:00:00"/>
    <s v="CUST0128"/>
    <x v="2"/>
    <x v="2"/>
    <n v="10"/>
    <n v="0"/>
    <n v="130000"/>
    <n v="32000"/>
    <x v="3"/>
    <s v="Delivered"/>
    <n v="13000"/>
    <n v="24.61538461538462"/>
    <s v="Profit"/>
    <s v="Sneha Mishra"/>
    <x v="2"/>
    <x v="0"/>
    <s v="Chennai"/>
    <s v="Tamil Nadu"/>
    <s v="2024-09-12"/>
    <s v="36-50"/>
    <n v="3200"/>
  </r>
  <r>
    <s v="ORD02829"/>
    <d v="2025-12-03T00:00:00"/>
    <s v="CUST0569"/>
    <x v="2"/>
    <x v="3"/>
    <n v="3"/>
    <n v="0.1"/>
    <n v="40500"/>
    <n v="7804.96"/>
    <x v="2"/>
    <s v="Delivered"/>
    <n v="13500"/>
    <n v="19.271506172839501"/>
    <s v="Profit"/>
    <s v="Arjun Menon"/>
    <x v="2"/>
    <x v="1"/>
    <s v="Ahmedabad"/>
    <s v="Gujarat"/>
    <s v="2023-09-24"/>
    <s v="26-35"/>
    <n v="2601.6533333333332"/>
  </r>
  <r>
    <s v="ORD02830"/>
    <d v="2026-08-05T00:00:00"/>
    <s v="CUST0487"/>
    <x v="2"/>
    <x v="2"/>
    <n v="1"/>
    <n v="0.05"/>
    <n v="12350"/>
    <n v="2856.72"/>
    <x v="3"/>
    <s v="Delivered"/>
    <n v="12350"/>
    <n v="23.13133603238866"/>
    <s v="Profit"/>
    <s v="Arjun Mishra"/>
    <x v="0"/>
    <x v="2"/>
    <s v="Jaipur"/>
    <s v="Rajasthan"/>
    <s v="2024-05-23"/>
    <s v="51+"/>
    <n v="2856.72"/>
  </r>
  <r>
    <s v="ORD02831"/>
    <d v="2026-02-10T00:00:00"/>
    <s v="CUST0186"/>
    <x v="3"/>
    <x v="8"/>
    <n v="3"/>
    <n v="0.3"/>
    <n v="9450"/>
    <n v="-2943.06"/>
    <x v="0"/>
    <s v="Cancelled"/>
    <n v="3150"/>
    <n v="-31.143492063492062"/>
    <s v="Loss"/>
    <s v="Vikram Verma"/>
    <x v="1"/>
    <x v="0"/>
    <s v="Coimbatore"/>
    <s v="Tamil Nadu"/>
    <s v="2024-03-12"/>
    <s v="18-25"/>
    <n v="-981.02"/>
  </r>
  <r>
    <s v="ORD02832"/>
    <d v="2026-03-27T00:00:00"/>
    <s v="CUST0013"/>
    <x v="3"/>
    <x v="8"/>
    <n v="10"/>
    <n v="0.1"/>
    <n v="40500"/>
    <n v="12007.12"/>
    <x v="2"/>
    <s v="Delivered"/>
    <n v="4050"/>
    <n v="29.647209876543211"/>
    <s v="Profit"/>
    <s v="Aarav Iyer"/>
    <x v="0"/>
    <x v="2"/>
    <s v="Chandigarh"/>
    <s v="Chandigarh"/>
    <s v="2025-09-04"/>
    <s v="26-35"/>
    <n v="1200.712"/>
  </r>
  <r>
    <s v="ORD02833"/>
    <d v="2026-08-31T00:00:00"/>
    <s v="CUST0543"/>
    <x v="0"/>
    <x v="6"/>
    <n v="5"/>
    <n v="0.15"/>
    <n v="1487.5"/>
    <n v="446.95"/>
    <x v="0"/>
    <s v="Shipped"/>
    <n v="297.5"/>
    <n v="30.047058823529412"/>
    <s v="Profit"/>
    <s v="Ananya Iyer"/>
    <x v="1"/>
    <x v="0"/>
    <s v="Chennai"/>
    <s v="Tamil Nadu"/>
    <s v="2025-10-16"/>
    <s v="26-35"/>
    <n v="89.39"/>
  </r>
  <r>
    <s v="ORD02834"/>
    <d v="2025-11-09T00:00:00"/>
    <s v="CUST0516"/>
    <x v="2"/>
    <x v="5"/>
    <n v="1"/>
    <n v="0.1"/>
    <n v="9900"/>
    <n v="-1653.92"/>
    <x v="2"/>
    <s v="Cancelled"/>
    <n v="9900"/>
    <n v="-16.706262626262632"/>
    <s v="Loss"/>
    <s v="Rahul Mishra"/>
    <x v="1"/>
    <x v="0"/>
    <s v="Hyderabad"/>
    <s v="Telangana"/>
    <s v="2024-01-31"/>
    <s v="26-35"/>
    <n v="-1653.92"/>
  </r>
  <r>
    <s v="ORD02835"/>
    <d v="2026-05-21T00:00:00"/>
    <s v="CUST0469"/>
    <x v="1"/>
    <x v="1"/>
    <n v="1"/>
    <n v="0"/>
    <n v="1800"/>
    <n v="650"/>
    <x v="3"/>
    <s v="Delivered"/>
    <n v="1800"/>
    <n v="36.111111111111107"/>
    <s v="Profit"/>
    <s v="Kavya Khan"/>
    <x v="1"/>
    <x v="3"/>
    <s v="Bhubaneswar"/>
    <s v="Odisha"/>
    <s v="2025-06-06"/>
    <s v="26-35"/>
    <n v="650"/>
  </r>
  <r>
    <s v="ORD02836"/>
    <d v="2025-07-21T00:00:00"/>
    <s v="CUST0184"/>
    <x v="3"/>
    <x v="8"/>
    <n v="2"/>
    <n v="0.1"/>
    <n v="8100"/>
    <n v="2263.37"/>
    <x v="3"/>
    <s v="Delivered"/>
    <n v="4050"/>
    <n v="27.942839506172842"/>
    <s v="Profit"/>
    <s v="Rahul Iyer"/>
    <x v="2"/>
    <x v="2"/>
    <s v="Jaipur"/>
    <s v="Rajasthan"/>
    <s v="2024-10-21"/>
    <s v="18-25"/>
    <n v="1131.6849999999999"/>
  </r>
  <r>
    <s v="ORD02837"/>
    <d v="2025-08-22T00:00:00"/>
    <s v="CUST0435"/>
    <x v="0"/>
    <x v="14"/>
    <n v="4"/>
    <n v="0.15"/>
    <n v="1530"/>
    <n v="277.82"/>
    <x v="1"/>
    <s v="Delivered"/>
    <n v="382.5"/>
    <n v="18.158169934640519"/>
    <s v="Profit"/>
    <s v="Lakshmi Menon"/>
    <x v="0"/>
    <x v="0"/>
    <s v="Chennai"/>
    <s v="Tamil Nadu"/>
    <s v="2025-04-17"/>
    <s v="26-35"/>
    <n v="69.454999999999998"/>
  </r>
  <r>
    <s v="ORD02838"/>
    <d v="2026-05-15T00:00:00"/>
    <s v="CUST0056"/>
    <x v="3"/>
    <x v="8"/>
    <n v="2"/>
    <n v="0.15"/>
    <n v="7650"/>
    <n v="2264.31"/>
    <x v="2"/>
    <s v="Shipped"/>
    <n v="3825"/>
    <n v="29.598823529411771"/>
    <s v="Profit"/>
    <s v="Vikram Pillai"/>
    <x v="0"/>
    <x v="3"/>
    <s v="Patna"/>
    <s v="Bihar"/>
    <s v="2024-11-12"/>
    <s v="18-25"/>
    <n v="1132.155"/>
  </r>
  <r>
    <s v="ORD02839"/>
    <d v="2026-08-21T00:00:00"/>
    <s v="CUST0251"/>
    <x v="1"/>
    <x v="13"/>
    <n v="1"/>
    <n v="0"/>
    <n v="4200"/>
    <n v="1200"/>
    <x v="0"/>
    <s v="Delivered"/>
    <n v="4200"/>
    <n v="28.571428571428569"/>
    <s v="Profit"/>
    <s v="Arjun Verma"/>
    <x v="2"/>
    <x v="0"/>
    <s v="Coimbatore"/>
    <s v="Tamil Nadu"/>
    <s v="2023-06-16"/>
    <s v="36-50"/>
    <n v="1200"/>
  </r>
  <r>
    <s v="ORD02840"/>
    <d v="2026-03-15T00:00:00"/>
    <s v="CUST0267"/>
    <x v="1"/>
    <x v="15"/>
    <n v="1"/>
    <n v="0.05"/>
    <n v="2090"/>
    <n v="682.91"/>
    <x v="1"/>
    <s v="Shipped"/>
    <n v="2090"/>
    <n v="32.67511961722488"/>
    <s v="Profit"/>
    <s v="Arjun Kulkarni"/>
    <x v="1"/>
    <x v="3"/>
    <s v="Patna"/>
    <s v="Bihar"/>
    <s v="2023-05-20"/>
    <s v="26-35"/>
    <n v="682.91"/>
  </r>
  <r>
    <s v="ORD02841"/>
    <d v="2026-07-09T00:00:00"/>
    <s v="CUST0121"/>
    <x v="2"/>
    <x v="9"/>
    <n v="1"/>
    <n v="0"/>
    <n v="9000"/>
    <n v="2300"/>
    <x v="3"/>
    <s v="Delivered"/>
    <n v="9000"/>
    <n v="25.55555555555555"/>
    <s v="Profit"/>
    <s v="Meera Menon"/>
    <x v="0"/>
    <x v="0"/>
    <s v="Bengaluru"/>
    <s v="Karnataka"/>
    <s v="2023-11-16"/>
    <s v="26-35"/>
    <n v="2300"/>
  </r>
  <r>
    <s v="ORD02842"/>
    <d v="2026-07-17T00:00:00"/>
    <s v="CUST0140"/>
    <x v="2"/>
    <x v="2"/>
    <n v="1"/>
    <n v="0"/>
    <n v="13000"/>
    <n v="3200"/>
    <x v="0"/>
    <s v="Delivered"/>
    <n v="13000"/>
    <n v="24.61538461538462"/>
    <s v="Profit"/>
    <s v="Ananya Naidu"/>
    <x v="1"/>
    <x v="2"/>
    <s v="Chandigarh"/>
    <s v="Chandigarh"/>
    <s v="2024-04-14"/>
    <s v="26-35"/>
    <n v="3200"/>
  </r>
  <r>
    <s v="ORD02843"/>
    <d v="2025-10-19T00:00:00"/>
    <s v="CUST0243"/>
    <x v="1"/>
    <x v="12"/>
    <n v="5"/>
    <n v="0.2"/>
    <n v="5600"/>
    <n v="1356"/>
    <x v="3"/>
    <s v="Delivered"/>
    <n v="1120"/>
    <n v="24.214285714285712"/>
    <s v="Profit"/>
    <s v="Manoj Das"/>
    <x v="1"/>
    <x v="3"/>
    <s v="Kolkata"/>
    <s v="West Bengal"/>
    <s v="2023-02-23"/>
    <s v="26-35"/>
    <n v="271.2"/>
  </r>
  <r>
    <s v="ORD02844"/>
    <d v="2026-02-01T00:00:00"/>
    <s v="CUST0524"/>
    <x v="0"/>
    <x v="0"/>
    <n v="4"/>
    <n v="0.1"/>
    <n v="50400"/>
    <n v="-24368.39"/>
    <x v="2"/>
    <s v="Returned"/>
    <n v="12600"/>
    <n v="-48.349980158730162"/>
    <s v="Loss"/>
    <s v="Pooja Mehta"/>
    <x v="0"/>
    <x v="1"/>
    <s v="Ahmedabad"/>
    <s v="Gujarat"/>
    <s v="2023-03-20"/>
    <s v="36-50"/>
    <n v="-6092.0974999999999"/>
  </r>
  <r>
    <s v="ORD02845"/>
    <d v="2025-09-24T00:00:00"/>
    <s v="CUST0152"/>
    <x v="3"/>
    <x v="4"/>
    <n v="1"/>
    <n v="0.1"/>
    <n v="16200"/>
    <n v="2033.05"/>
    <x v="2"/>
    <s v="Delivered"/>
    <n v="16200"/>
    <n v="12.54969135802469"/>
    <s v="Profit"/>
    <s v="Harini Rao"/>
    <x v="0"/>
    <x v="0"/>
    <s v="Coimbatore"/>
    <s v="Tamil Nadu"/>
    <s v="2025-12-02"/>
    <s v="51+"/>
    <n v="2033.05"/>
  </r>
  <r>
    <s v="ORD02846"/>
    <d v="2025-11-02T00:00:00"/>
    <s v="CUST0152"/>
    <x v="1"/>
    <x v="13"/>
    <n v="2"/>
    <n v="0.15"/>
    <n v="7140"/>
    <n v="1511.25"/>
    <x v="3"/>
    <s v="Delivered"/>
    <n v="3570"/>
    <n v="21.165966386554619"/>
    <s v="Profit"/>
    <s v="Harini Rao"/>
    <x v="0"/>
    <x v="0"/>
    <s v="Coimbatore"/>
    <s v="Tamil Nadu"/>
    <s v="2025-12-02"/>
    <s v="51+"/>
    <n v="755.625"/>
  </r>
  <r>
    <s v="ORD02847"/>
    <d v="2026-07-26T00:00:00"/>
    <s v="CUST0203"/>
    <x v="1"/>
    <x v="15"/>
    <n v="2"/>
    <n v="0.1"/>
    <n v="3960"/>
    <n v="-222.27"/>
    <x v="0"/>
    <s v="Returned"/>
    <n v="1980"/>
    <n v="-5.6128787878787882"/>
    <s v="Loss"/>
    <s v="Arjun Gupta"/>
    <x v="2"/>
    <x v="0"/>
    <s v="Chennai"/>
    <s v="Tamil Nadu"/>
    <s v="2025-03-25"/>
    <s v="36-50"/>
    <n v="-111.13500000000001"/>
  </r>
  <r>
    <s v="ORD02848"/>
    <d v="2025-12-04T00:00:00"/>
    <s v="CUST0158"/>
    <x v="3"/>
    <x v="8"/>
    <n v="2"/>
    <n v="0.1"/>
    <n v="8100"/>
    <n v="2262.92"/>
    <x v="2"/>
    <s v="Delivered"/>
    <n v="4050"/>
    <n v="27.937283950617289"/>
    <s v="Profit"/>
    <s v="Ananya Reddy"/>
    <x v="2"/>
    <x v="0"/>
    <s v="Bengaluru"/>
    <s v="Karnataka"/>
    <s v="2024-04-04"/>
    <s v="18-25"/>
    <n v="1131.46"/>
  </r>
  <r>
    <s v="ORD02849"/>
    <d v="2025-07-22T00:00:00"/>
    <s v="CUST0113"/>
    <x v="2"/>
    <x v="9"/>
    <n v="5"/>
    <n v="0.05"/>
    <n v="42750"/>
    <n v="9675.18"/>
    <x v="3"/>
    <s v="Delivered"/>
    <n v="8550"/>
    <n v="22.632000000000001"/>
    <s v="Profit"/>
    <s v="Diya Pillai"/>
    <x v="2"/>
    <x v="1"/>
    <s v="Ahmedabad"/>
    <s v="Gujarat"/>
    <s v="2024-08-29"/>
    <s v="26-35"/>
    <n v="1935.0360000000001"/>
  </r>
  <r>
    <s v="ORD02850"/>
    <d v="2025-10-02T00:00:00"/>
    <s v="CUST0006"/>
    <x v="1"/>
    <x v="13"/>
    <n v="2"/>
    <n v="0.05"/>
    <n v="7980"/>
    <n v="2202.88"/>
    <x v="2"/>
    <s v="Delivered"/>
    <n v="3990"/>
    <n v="27.60501253132832"/>
    <s v="Profit"/>
    <s v="Sneha Joshi"/>
    <x v="1"/>
    <x v="1"/>
    <s v="Mumbai"/>
    <s v="Maharashtra"/>
    <s v="2025-06-29"/>
    <s v="36-50"/>
    <n v="1101.44"/>
  </r>
  <r>
    <s v="ORD02851"/>
    <d v="2025-11-17T00:00:00"/>
    <s v="CUST0003"/>
    <x v="2"/>
    <x v="2"/>
    <n v="2"/>
    <n v="0"/>
    <n v="26000"/>
    <n v="6400"/>
    <x v="0"/>
    <s v="Delivered"/>
    <n v="13000"/>
    <n v="24.61538461538462"/>
    <s v="Profit"/>
    <s v="Sanjay Mehta"/>
    <x v="2"/>
    <x v="1"/>
    <s v="Ahmedabad"/>
    <s v="Gujarat"/>
    <s v="2025-05-11"/>
    <s v="26-35"/>
    <n v="3200"/>
  </r>
  <r>
    <s v="ORD02852"/>
    <d v="2026-04-18T00:00:00"/>
    <s v="CUST0281"/>
    <x v="2"/>
    <x v="9"/>
    <n v="2"/>
    <n v="0"/>
    <n v="18000"/>
    <n v="4600"/>
    <x v="3"/>
    <s v="Delivered"/>
    <n v="9000"/>
    <n v="25.55555555555555"/>
    <s v="Profit"/>
    <s v="Divya Reddy"/>
    <x v="0"/>
    <x v="0"/>
    <s v="Coimbatore"/>
    <s v="Tamil Nadu"/>
    <s v="2025-04-27"/>
    <s v="36-50"/>
    <n v="2300"/>
  </r>
  <r>
    <s v="ORD02853"/>
    <d v="2026-07-14T00:00:00"/>
    <s v="CUST0190"/>
    <x v="3"/>
    <x v="11"/>
    <n v="4"/>
    <n v="0.05"/>
    <n v="9500"/>
    <n v="2893.96"/>
    <x v="3"/>
    <s v="Delivered"/>
    <n v="2375"/>
    <n v="30.462736842105269"/>
    <s v="Profit"/>
    <s v="Rohan Naidu"/>
    <x v="0"/>
    <x v="0"/>
    <s v="Coimbatore"/>
    <s v="Tamil Nadu"/>
    <s v="2023-02-24"/>
    <s v="26-35"/>
    <n v="723.49"/>
  </r>
  <r>
    <s v="ORD02854"/>
    <d v="2026-08-28T00:00:00"/>
    <s v="CUST0427"/>
    <x v="2"/>
    <x v="3"/>
    <n v="3"/>
    <n v="0.3"/>
    <n v="31500"/>
    <n v="-20247.02"/>
    <x v="0"/>
    <s v="Cancelled"/>
    <n v="10500"/>
    <n v="-64.276253968253968"/>
    <s v="Loss"/>
    <s v="Nisha Mehta"/>
    <x v="1"/>
    <x v="0"/>
    <s v="Chennai"/>
    <s v="Tamil Nadu"/>
    <s v="2025-08-11"/>
    <s v="51+"/>
    <n v="-6749.0066666666671"/>
  </r>
  <r>
    <s v="ORD02855"/>
    <d v="2026-04-17T00:00:00"/>
    <s v="CUST0508"/>
    <x v="0"/>
    <x v="14"/>
    <n v="10"/>
    <n v="0"/>
    <n v="4500"/>
    <n v="-2075.88"/>
    <x v="1"/>
    <s v="Cancelled"/>
    <n v="450"/>
    <n v="-46.13066666666667"/>
    <s v="Loss"/>
    <s v="Karthik Naidu"/>
    <x v="0"/>
    <x v="3"/>
    <s v="Guwahati"/>
    <s v="Assam"/>
    <s v="2024-10-11"/>
    <s v="18-25"/>
    <n v="-207.58799999999999"/>
  </r>
  <r>
    <s v="ORD02856"/>
    <d v="2026-08-17T00:00:00"/>
    <s v="CUST0203"/>
    <x v="0"/>
    <x v="14"/>
    <n v="1"/>
    <n v="0.1"/>
    <n v="405"/>
    <n v="82.92"/>
    <x v="1"/>
    <s v="Delivered"/>
    <n v="405"/>
    <n v="20.474074074074071"/>
    <s v="Profit"/>
    <s v="Arjun Gupta"/>
    <x v="2"/>
    <x v="0"/>
    <s v="Chennai"/>
    <s v="Tamil Nadu"/>
    <s v="2025-03-25"/>
    <s v="36-50"/>
    <n v="82.92"/>
  </r>
  <r>
    <s v="ORD02857"/>
    <d v="2026-04-24T00:00:00"/>
    <s v="CUST0528"/>
    <x v="3"/>
    <x v="4"/>
    <n v="6"/>
    <n v="0.05"/>
    <n v="102600"/>
    <n v="16988.54"/>
    <x v="2"/>
    <s v="Delivered"/>
    <n v="17100"/>
    <n v="16.55803118908382"/>
    <s v="Profit"/>
    <s v="Karthik Menon"/>
    <x v="0"/>
    <x v="0"/>
    <s v="Chennai"/>
    <s v="Tamil Nadu"/>
    <s v="2024-07-24"/>
    <s v="36-50"/>
    <n v="2831.4233333333341"/>
  </r>
  <r>
    <s v="ORD02858"/>
    <d v="2025-07-13T00:00:00"/>
    <s v="CUST0104"/>
    <x v="2"/>
    <x v="2"/>
    <n v="3"/>
    <n v="0.05"/>
    <n v="37050"/>
    <n v="8273.01"/>
    <x v="1"/>
    <s v="Shipped"/>
    <n v="12350"/>
    <n v="22.329311740890692"/>
    <s v="Profit"/>
    <s v="Karthik Gupta"/>
    <x v="0"/>
    <x v="2"/>
    <s v="Delhi"/>
    <s v="Delhi"/>
    <s v="2024-07-15"/>
    <s v="36-50"/>
    <n v="2757.67"/>
  </r>
  <r>
    <s v="ORD02859"/>
    <d v="2025-08-30T00:00:00"/>
    <s v="CUST0373"/>
    <x v="0"/>
    <x v="7"/>
    <n v="4"/>
    <n v="0.1"/>
    <n v="3240"/>
    <n v="877.7"/>
    <x v="0"/>
    <s v="Delivered"/>
    <n v="810"/>
    <n v="27.08950617283951"/>
    <s v="Profit"/>
    <s v="Karthik Sharma"/>
    <x v="1"/>
    <x v="1"/>
    <s v="Ahmedabad"/>
    <s v="Gujarat"/>
    <s v="2023-12-05"/>
    <s v="51+"/>
    <n v="219.42500000000001"/>
  </r>
  <r>
    <s v="ORD02860"/>
    <d v="2026-02-27T00:00:00"/>
    <s v="CUST0310"/>
    <x v="3"/>
    <x v="8"/>
    <n v="2"/>
    <n v="0.2"/>
    <n v="7200"/>
    <n v="1561.19"/>
    <x v="0"/>
    <s v="Shipped"/>
    <n v="3600"/>
    <n v="21.68319444444445"/>
    <s v="Profit"/>
    <s v="Karthik Chopra"/>
    <x v="1"/>
    <x v="3"/>
    <s v="Guwahati"/>
    <s v="Assam"/>
    <s v="2024-09-09"/>
    <s v="18-25"/>
    <n v="780.59500000000003"/>
  </r>
  <r>
    <s v="ORD02861"/>
    <d v="2026-05-12T00:00:00"/>
    <s v="CUST0026"/>
    <x v="0"/>
    <x v="0"/>
    <n v="2"/>
    <n v="0.05"/>
    <n v="26600"/>
    <n v="4863.1499999999996"/>
    <x v="1"/>
    <s v="Shipped"/>
    <n v="13300"/>
    <n v="18.282518796992481"/>
    <s v="Profit"/>
    <s v="Arjun Mehta"/>
    <x v="2"/>
    <x v="0"/>
    <s v="Coimbatore"/>
    <s v="Tamil Nadu"/>
    <s v="2025-07-27"/>
    <s v="26-35"/>
    <n v="2431.5749999999998"/>
  </r>
  <r>
    <s v="ORD02862"/>
    <d v="2026-03-03T00:00:00"/>
    <s v="CUST0065"/>
    <x v="2"/>
    <x v="5"/>
    <n v="3"/>
    <n v="0.2"/>
    <n v="26400"/>
    <n v="3621.95"/>
    <x v="1"/>
    <s v="Delivered"/>
    <n v="8800"/>
    <n v="13.71950757575758"/>
    <s v="Profit"/>
    <s v="Sneha Singh"/>
    <x v="0"/>
    <x v="0"/>
    <s v="Hyderabad"/>
    <s v="Telangana"/>
    <s v="2023-03-24"/>
    <s v="18-25"/>
    <n v="1207.3166666666671"/>
  </r>
  <r>
    <s v="ORD02863"/>
    <d v="2025-11-09T00:00:00"/>
    <s v="CUST0007"/>
    <x v="3"/>
    <x v="4"/>
    <n v="2"/>
    <n v="0.15"/>
    <n v="30600"/>
    <n v="3270.99"/>
    <x v="0"/>
    <s v="Delivered"/>
    <n v="15300"/>
    <n v="10.68950980392157"/>
    <s v="Profit"/>
    <s v="Harini Khan"/>
    <x v="0"/>
    <x v="0"/>
    <s v="Bengaluru"/>
    <s v="Karnataka"/>
    <s v="2025-07-02"/>
    <s v="36-50"/>
    <n v="1635.4949999999999"/>
  </r>
  <r>
    <s v="ORD02864"/>
    <d v="2026-01-01T00:00:00"/>
    <s v="CUST0187"/>
    <x v="3"/>
    <x v="8"/>
    <n v="1"/>
    <n v="0.05"/>
    <n v="4275"/>
    <n v="1359.42"/>
    <x v="3"/>
    <s v="Delivered"/>
    <n v="4275"/>
    <n v="31.79929824561404"/>
    <s v="Profit"/>
    <s v="Nisha Bose"/>
    <x v="0"/>
    <x v="1"/>
    <s v="Mumbai"/>
    <s v="Maharashtra"/>
    <s v="2025-12-11"/>
    <s v="51+"/>
    <n v="1359.42"/>
  </r>
  <r>
    <s v="ORD02865"/>
    <d v="2025-08-10T00:00:00"/>
    <s v="CUST0043"/>
    <x v="2"/>
    <x v="5"/>
    <n v="3"/>
    <n v="0.15"/>
    <n v="28050"/>
    <n v="4115.3599999999997"/>
    <x v="0"/>
    <s v="Delivered"/>
    <n v="9350"/>
    <n v="14.67151515151515"/>
    <s v="Profit"/>
    <s v="Meera Mehta"/>
    <x v="1"/>
    <x v="1"/>
    <s v="Mumbai"/>
    <s v="Maharashtra"/>
    <s v="2024-04-22"/>
    <s v="51+"/>
    <n v="1371.7866666666671"/>
  </r>
  <r>
    <s v="ORD02866"/>
    <d v="2026-01-19T00:00:00"/>
    <s v="CUST0198"/>
    <x v="2"/>
    <x v="3"/>
    <n v="2"/>
    <n v="0.15"/>
    <n v="25500"/>
    <n v="-9755.56"/>
    <x v="2"/>
    <s v="Returned"/>
    <n v="12750"/>
    <n v="-38.257098039215677"/>
    <s v="Loss"/>
    <s v="Varun Joshi"/>
    <x v="1"/>
    <x v="3"/>
    <s v="Bhubaneswar"/>
    <s v="Odisha"/>
    <s v="2024-08-06"/>
    <s v="36-50"/>
    <n v="-4877.78"/>
  </r>
  <r>
    <s v="ORD02867"/>
    <d v="2026-02-16T00:00:00"/>
    <s v="CUST0250"/>
    <x v="3"/>
    <x v="11"/>
    <n v="4"/>
    <n v="0"/>
    <n v="10000"/>
    <n v="3200"/>
    <x v="3"/>
    <s v="Shipped"/>
    <n v="2500"/>
    <n v="32"/>
    <s v="Profit"/>
    <s v="Sanjay Das"/>
    <x v="1"/>
    <x v="1"/>
    <s v="Ahmedabad"/>
    <s v="Gujarat"/>
    <s v="2024-08-01"/>
    <s v="26-35"/>
    <n v="800"/>
  </r>
  <r>
    <s v="ORD02868"/>
    <d v="2026-04-13T00:00:00"/>
    <s v="CUST0058"/>
    <x v="1"/>
    <x v="15"/>
    <n v="2"/>
    <n v="0.1"/>
    <n v="3960"/>
    <n v="-1163.73"/>
    <x v="0"/>
    <s v="Cancelled"/>
    <n v="1980"/>
    <n v="-29.387121212121219"/>
    <s v="Loss"/>
    <s v="Divya Nair"/>
    <x v="2"/>
    <x v="3"/>
    <s v="Guwahati"/>
    <s v="Assam"/>
    <s v="2023-01-13"/>
    <s v="26-35"/>
    <n v="-581.86500000000001"/>
  </r>
  <r>
    <s v="ORD02869"/>
    <d v="2025-12-31T00:00:00"/>
    <s v="CUST0388"/>
    <x v="1"/>
    <x v="12"/>
    <n v="10"/>
    <n v="0.1"/>
    <n v="12600"/>
    <n v="4146.4799999999996"/>
    <x v="3"/>
    <s v="Delivered"/>
    <n v="1260"/>
    <n v="32.908571428571427"/>
    <s v="Profit"/>
    <s v="Shreya Kulkarni"/>
    <x v="0"/>
    <x v="0"/>
    <s v="Bengaluru"/>
    <s v="Karnataka"/>
    <s v="2025-08-28"/>
    <s v="36-50"/>
    <n v="414.64800000000002"/>
  </r>
  <r>
    <s v="ORD02870"/>
    <d v="2026-05-26T00:00:00"/>
    <s v="CUST0419"/>
    <x v="0"/>
    <x v="6"/>
    <n v="2"/>
    <n v="0.05"/>
    <n v="665"/>
    <n v="216.99"/>
    <x v="1"/>
    <s v="Delivered"/>
    <n v="332.5"/>
    <n v="32.630075187969929"/>
    <s v="Profit"/>
    <s v="Ishaan Singh"/>
    <x v="0"/>
    <x v="2"/>
    <s v="Chandigarh"/>
    <s v="Chandigarh"/>
    <s v="2024-05-23"/>
    <s v="18-25"/>
    <n v="108.495"/>
  </r>
  <r>
    <s v="ORD02871"/>
    <d v="2025-10-27T00:00:00"/>
    <s v="CUST0556"/>
    <x v="1"/>
    <x v="13"/>
    <n v="3"/>
    <n v="0"/>
    <n v="12600"/>
    <n v="3600"/>
    <x v="3"/>
    <s v="Delivered"/>
    <n v="4200"/>
    <n v="28.571428571428569"/>
    <s v="Profit"/>
    <s v="Karthik Chopra"/>
    <x v="0"/>
    <x v="0"/>
    <s v="Coimbatore"/>
    <s v="Tamil Nadu"/>
    <s v="2024-08-09"/>
    <s v="26-35"/>
    <n v="1200"/>
  </r>
  <r>
    <s v="ORD02872"/>
    <d v="2025-08-07T00:00:00"/>
    <s v="CUST0424"/>
    <x v="0"/>
    <x v="14"/>
    <n v="3"/>
    <n v="0.1"/>
    <n v="1215"/>
    <n v="248.7"/>
    <x v="0"/>
    <s v="Delivered"/>
    <n v="405"/>
    <n v="20.46913580246914"/>
    <s v="Profit"/>
    <s v="Sanjay Chopra"/>
    <x v="0"/>
    <x v="3"/>
    <s v="Guwahati"/>
    <s v="Assam"/>
    <s v="2023-09-21"/>
    <s v="36-50"/>
    <n v="82.899999999999991"/>
  </r>
  <r>
    <s v="ORD02873"/>
    <d v="2025-07-13T00:00:00"/>
    <s v="CUST0265"/>
    <x v="2"/>
    <x v="2"/>
    <n v="5"/>
    <n v="0.2"/>
    <n v="52000"/>
    <n v="5796.87"/>
    <x v="0"/>
    <s v="Delivered"/>
    <n v="10400"/>
    <n v="11.14782692307692"/>
    <s v="Profit"/>
    <s v="Aditya Rao"/>
    <x v="0"/>
    <x v="2"/>
    <s v="Jaipur"/>
    <s v="Rajasthan"/>
    <s v="2023-07-24"/>
    <s v="51+"/>
    <n v="1159.374"/>
  </r>
  <r>
    <s v="ORD02874"/>
    <d v="2026-01-14T00:00:00"/>
    <s v="CUST0374"/>
    <x v="0"/>
    <x v="6"/>
    <n v="2"/>
    <n v="0"/>
    <n v="700"/>
    <n v="52.95"/>
    <x v="1"/>
    <s v="Cancelled"/>
    <n v="350"/>
    <n v="7.5642857142857149"/>
    <s v="Profit"/>
    <s v="Ishaan Chopra"/>
    <x v="0"/>
    <x v="0"/>
    <s v="Bengaluru"/>
    <s v="Karnataka"/>
    <s v="2024-09-12"/>
    <s v="18-25"/>
    <n v="26.475000000000001"/>
  </r>
  <r>
    <s v="ORD02875"/>
    <d v="2026-02-03T00:00:00"/>
    <s v="CUST0493"/>
    <x v="1"/>
    <x v="15"/>
    <n v="3"/>
    <n v="0.1"/>
    <n v="5940"/>
    <n v="1764.95"/>
    <x v="3"/>
    <s v="Delivered"/>
    <n v="1980"/>
    <n v="29.712962962962958"/>
    <s v="Profit"/>
    <s v="Vikram Patel"/>
    <x v="1"/>
    <x v="1"/>
    <s v="Pune"/>
    <s v="Maharashtra"/>
    <s v="2023-09-05"/>
    <s v="36-50"/>
    <n v="588.31666666666672"/>
  </r>
  <r>
    <s v="ORD02876"/>
    <d v="2025-10-13T00:00:00"/>
    <s v="CUST0316"/>
    <x v="2"/>
    <x v="9"/>
    <n v="2"/>
    <n v="0.1"/>
    <n v="16200"/>
    <n v="3219.88"/>
    <x v="1"/>
    <s v="Shipped"/>
    <n v="8100"/>
    <n v="19.875802469135799"/>
    <s v="Profit"/>
    <s v="Sneha Iyer"/>
    <x v="2"/>
    <x v="3"/>
    <s v="Guwahati"/>
    <s v="Assam"/>
    <s v="2024-04-21"/>
    <s v="26-35"/>
    <n v="1609.94"/>
  </r>
  <r>
    <s v="ORD02877"/>
    <d v="2026-06-29T00:00:00"/>
    <s v="CUST0510"/>
    <x v="1"/>
    <x v="13"/>
    <n v="2"/>
    <n v="0.05"/>
    <n v="7980"/>
    <n v="2124.1"/>
    <x v="1"/>
    <s v="Delivered"/>
    <n v="3990"/>
    <n v="26.617794486215541"/>
    <s v="Profit"/>
    <s v="Vikram Singh"/>
    <x v="1"/>
    <x v="0"/>
    <s v="Coimbatore"/>
    <s v="Tamil Nadu"/>
    <s v="2024-08-20"/>
    <s v="36-50"/>
    <n v="1062.05"/>
  </r>
  <r>
    <s v="ORD02878"/>
    <d v="2026-01-11T00:00:00"/>
    <s v="CUST0400"/>
    <x v="1"/>
    <x v="15"/>
    <n v="1"/>
    <n v="0.2"/>
    <n v="1760"/>
    <n v="543.67999999999995"/>
    <x v="1"/>
    <s v="Delivered"/>
    <n v="1760"/>
    <n v="30.890909090909091"/>
    <s v="Profit"/>
    <s v="Karthik Bose"/>
    <x v="0"/>
    <x v="0"/>
    <s v="Hyderabad"/>
    <s v="Telangana"/>
    <s v="2024-08-01"/>
    <s v="36-50"/>
    <n v="543.67999999999995"/>
  </r>
  <r>
    <s v="ORD02879"/>
    <d v="2025-09-18T00:00:00"/>
    <s v="CUST0319"/>
    <x v="2"/>
    <x v="2"/>
    <n v="3"/>
    <n v="0.1"/>
    <n v="35100"/>
    <n v="6372.7"/>
    <x v="1"/>
    <s v="Delivered"/>
    <n v="11700"/>
    <n v="18.155840455840451"/>
    <s v="Profit"/>
    <s v="Vikram Sharma"/>
    <x v="0"/>
    <x v="0"/>
    <s v="Bengaluru"/>
    <s v="Karnataka"/>
    <s v="2024-01-16"/>
    <s v="26-35"/>
    <n v="2124.2333333333331"/>
  </r>
  <r>
    <s v="ORD02880"/>
    <d v="2026-04-07T00:00:00"/>
    <s v="CUST0410"/>
    <x v="1"/>
    <x v="1"/>
    <n v="2"/>
    <n v="0"/>
    <n v="3600"/>
    <n v="1300"/>
    <x v="2"/>
    <s v="Shipped"/>
    <n v="1800"/>
    <n v="36.111111111111107"/>
    <s v="Profit"/>
    <s v="Pooja Iyer"/>
    <x v="1"/>
    <x v="0"/>
    <s v="Bengaluru"/>
    <s v="Karnataka"/>
    <s v="2025-07-08"/>
    <s v="18-25"/>
    <n v="650"/>
  </r>
  <r>
    <s v="ORD02881"/>
    <d v="2026-08-09T00:00:00"/>
    <s v="CUST0269"/>
    <x v="2"/>
    <x v="9"/>
    <n v="3"/>
    <n v="0.2"/>
    <n v="21600"/>
    <n v="-10130.17"/>
    <x v="2"/>
    <s v="Returned"/>
    <n v="7200"/>
    <n v="-46.898935185185188"/>
    <s v="Loss"/>
    <s v="Manoj Das"/>
    <x v="1"/>
    <x v="2"/>
    <s v="Delhi"/>
    <s v="Delhi"/>
    <s v="2025-06-23"/>
    <s v="36-50"/>
    <n v="-3376.7233333333329"/>
  </r>
  <r>
    <s v="ORD02882"/>
    <d v="2026-06-05T00:00:00"/>
    <s v="CUST0091"/>
    <x v="3"/>
    <x v="10"/>
    <n v="2"/>
    <n v="0"/>
    <n v="110000"/>
    <n v="18000"/>
    <x v="3"/>
    <s v="Shipped"/>
    <n v="55000"/>
    <n v="16.36363636363636"/>
    <s v="Profit"/>
    <s v="Lakshmi Das"/>
    <x v="1"/>
    <x v="3"/>
    <s v="Patna"/>
    <s v="Bihar"/>
    <s v="2024-07-22"/>
    <s v="26-35"/>
    <n v="9000"/>
  </r>
  <r>
    <s v="ORD02883"/>
    <d v="2025-12-27T00:00:00"/>
    <s v="CUST0171"/>
    <x v="1"/>
    <x v="1"/>
    <n v="5"/>
    <n v="0.1"/>
    <n v="8100"/>
    <n v="2751.33"/>
    <x v="0"/>
    <s v="Shipped"/>
    <n v="1620"/>
    <n v="33.967037037037038"/>
    <s v="Profit"/>
    <s v="Nisha Reddy"/>
    <x v="0"/>
    <x v="2"/>
    <s v="Jaipur"/>
    <s v="Rajasthan"/>
    <s v="2025-06-10"/>
    <s v="36-50"/>
    <n v="550.26599999999996"/>
  </r>
  <r>
    <s v="ORD02884"/>
    <d v="2026-05-23T00:00:00"/>
    <s v="CUST0087"/>
    <x v="0"/>
    <x v="14"/>
    <n v="3"/>
    <n v="0.3"/>
    <n v="945"/>
    <n v="-8.49"/>
    <x v="3"/>
    <s v="Delivered"/>
    <n v="315"/>
    <n v="-0.89841269841269855"/>
    <s v="Loss"/>
    <s v="Ishaan Khan"/>
    <x v="0"/>
    <x v="2"/>
    <s v="Lucknow"/>
    <s v="Uttar Pradesh"/>
    <s v="2023-07-11"/>
    <s v="51+"/>
    <n v="-2.83"/>
  </r>
  <r>
    <s v="ORD02885"/>
    <d v="2026-04-22T00:00:00"/>
    <s v="CUST0562"/>
    <x v="3"/>
    <x v="8"/>
    <n v="5"/>
    <n v="0.05"/>
    <n v="21375"/>
    <n v="6599.74"/>
    <x v="1"/>
    <s v="Delivered"/>
    <n v="4275"/>
    <n v="30.875976608187131"/>
    <s v="Profit"/>
    <s v="Shreya Das"/>
    <x v="0"/>
    <x v="2"/>
    <s v="Chandigarh"/>
    <s v="Chandigarh"/>
    <s v="2024-05-03"/>
    <s v="36-50"/>
    <n v="1319.9480000000001"/>
  </r>
  <r>
    <s v="ORD02886"/>
    <d v="2026-02-01T00:00:00"/>
    <s v="CUST0349"/>
    <x v="1"/>
    <x v="12"/>
    <n v="3"/>
    <n v="0.15"/>
    <n v="3570"/>
    <n v="966.27"/>
    <x v="2"/>
    <s v="Delivered"/>
    <n v="1190"/>
    <n v="27.06638655462185"/>
    <s v="Profit"/>
    <s v="Aarav Nair"/>
    <x v="1"/>
    <x v="0"/>
    <s v="Hyderabad"/>
    <s v="Telangana"/>
    <s v="2025-07-22"/>
    <s v="26-35"/>
    <n v="322.08999999999997"/>
  </r>
  <r>
    <s v="ORD02887"/>
    <d v="2026-05-11T00:00:00"/>
    <s v="CUST0244"/>
    <x v="3"/>
    <x v="10"/>
    <n v="3"/>
    <n v="0.15"/>
    <n v="140250"/>
    <n v="13389.1"/>
    <x v="3"/>
    <s v="Delivered"/>
    <n v="46750"/>
    <n v="9.5465953654188951"/>
    <s v="Profit"/>
    <s v="Ishaan Khan"/>
    <x v="0"/>
    <x v="0"/>
    <s v="Bengaluru"/>
    <s v="Karnataka"/>
    <s v="2024-01-08"/>
    <s v="36-50"/>
    <n v="4463.0333333333338"/>
  </r>
  <r>
    <s v="ORD02888"/>
    <d v="2026-01-20T00:00:00"/>
    <s v="CUST0250"/>
    <x v="1"/>
    <x v="15"/>
    <n v="4"/>
    <n v="0.1"/>
    <n v="7920"/>
    <n v="2513.4299999999998"/>
    <x v="0"/>
    <s v="Delivered"/>
    <n v="1980"/>
    <n v="31.735227272727268"/>
    <s v="Profit"/>
    <s v="Sanjay Das"/>
    <x v="1"/>
    <x v="1"/>
    <s v="Ahmedabad"/>
    <s v="Gujarat"/>
    <s v="2024-08-01"/>
    <s v="26-35"/>
    <n v="628.35749999999996"/>
  </r>
  <r>
    <s v="ORD02889"/>
    <d v="2025-11-20T00:00:00"/>
    <s v="CUST0100"/>
    <x v="0"/>
    <x v="7"/>
    <n v="2"/>
    <n v="0"/>
    <n v="1800"/>
    <n v="560"/>
    <x v="2"/>
    <s v="Delivered"/>
    <n v="900"/>
    <n v="31.111111111111111"/>
    <s v="Profit"/>
    <s v="Priya Singh"/>
    <x v="1"/>
    <x v="0"/>
    <s v="Chennai"/>
    <s v="Tamil Nadu"/>
    <s v="2023-03-14"/>
    <s v="26-35"/>
    <n v="280"/>
  </r>
  <r>
    <s v="ORD02890"/>
    <d v="2026-01-27T00:00:00"/>
    <s v="CUST0047"/>
    <x v="0"/>
    <x v="7"/>
    <n v="3"/>
    <n v="0.15"/>
    <n v="2295"/>
    <n v="-663.44"/>
    <x v="1"/>
    <s v="Returned"/>
    <n v="765"/>
    <n v="-28.908061002178648"/>
    <s v="Loss"/>
    <s v="Rahul Das"/>
    <x v="2"/>
    <x v="0"/>
    <s v="Hyderabad"/>
    <s v="Telangana"/>
    <s v="2025-07-16"/>
    <s v="26-35"/>
    <n v="-221.1466666666667"/>
  </r>
  <r>
    <s v="ORD02891"/>
    <d v="2026-02-24T00:00:00"/>
    <s v="CUST0594"/>
    <x v="2"/>
    <x v="5"/>
    <n v="2"/>
    <n v="0.05"/>
    <n v="20900"/>
    <n v="4666.7"/>
    <x v="1"/>
    <s v="Delivered"/>
    <n v="10450"/>
    <n v="22.32870813397129"/>
    <s v="Profit"/>
    <s v="Ishaan Bose"/>
    <x v="1"/>
    <x v="0"/>
    <s v="Coimbatore"/>
    <s v="Tamil Nadu"/>
    <s v="2024-06-29"/>
    <s v="51+"/>
    <n v="2333.35"/>
  </r>
  <r>
    <s v="ORD02892"/>
    <d v="2026-04-08T00:00:00"/>
    <s v="CUST0500"/>
    <x v="3"/>
    <x v="4"/>
    <n v="1"/>
    <n v="0.2"/>
    <n v="14400"/>
    <n v="892"/>
    <x v="1"/>
    <s v="Delivered"/>
    <n v="14400"/>
    <n v="6.1944444444444446"/>
    <s v="Profit"/>
    <s v="Akash Bose"/>
    <x v="0"/>
    <x v="1"/>
    <s v="Mumbai"/>
    <s v="Maharashtra"/>
    <s v="2024-06-01"/>
    <s v="36-50"/>
    <n v="892"/>
  </r>
  <r>
    <s v="ORD02893"/>
    <d v="2026-08-25T00:00:00"/>
    <s v="CUST0325"/>
    <x v="3"/>
    <x v="8"/>
    <n v="3"/>
    <n v="0.15"/>
    <n v="11475"/>
    <n v="2932.39"/>
    <x v="1"/>
    <s v="Delivered"/>
    <n v="3825"/>
    <n v="25.554596949891071"/>
    <s v="Profit"/>
    <s v="Arjun Mishra"/>
    <x v="0"/>
    <x v="0"/>
    <s v="Chennai"/>
    <s v="Tamil Nadu"/>
    <s v="2023-05-08"/>
    <s v="51+"/>
    <n v="977.46333333333325"/>
  </r>
  <r>
    <s v="ORD02894"/>
    <d v="2025-09-10T00:00:00"/>
    <s v="CUST0599"/>
    <x v="3"/>
    <x v="8"/>
    <n v="1"/>
    <n v="0"/>
    <n v="4500"/>
    <n v="-1680.58"/>
    <x v="2"/>
    <s v="Cancelled"/>
    <n v="4500"/>
    <n v="-37.346222222222217"/>
    <s v="Loss"/>
    <s v="Rahul Das"/>
    <x v="1"/>
    <x v="0"/>
    <s v="Coimbatore"/>
    <s v="Tamil Nadu"/>
    <s v="2024-01-12"/>
    <s v="26-35"/>
    <n v="-1680.58"/>
  </r>
  <r>
    <s v="ORD02895"/>
    <d v="2026-02-16T00:00:00"/>
    <s v="CUST0235"/>
    <x v="3"/>
    <x v="4"/>
    <n v="2"/>
    <n v="0.1"/>
    <n v="32400"/>
    <n v="4924.04"/>
    <x v="1"/>
    <s v="Delivered"/>
    <n v="16200"/>
    <n v="15.19765432098766"/>
    <s v="Profit"/>
    <s v="Harini Gupta"/>
    <x v="0"/>
    <x v="1"/>
    <s v="Pune"/>
    <s v="Maharashtra"/>
    <s v="2024-04-09"/>
    <s v="26-35"/>
    <n v="2462.02"/>
  </r>
  <r>
    <s v="ORD02896"/>
    <d v="2026-08-29T00:00:00"/>
    <s v="CUST0204"/>
    <x v="1"/>
    <x v="12"/>
    <n v="5"/>
    <n v="0.3"/>
    <n v="4900"/>
    <n v="-146.66"/>
    <x v="3"/>
    <s v="Cancelled"/>
    <n v="980"/>
    <n v="-2.9930612244897961"/>
    <s v="Loss"/>
    <s v="Karthik Mehta"/>
    <x v="0"/>
    <x v="1"/>
    <s v="Surat"/>
    <s v="Gujarat"/>
    <s v="2025-07-25"/>
    <s v="26-35"/>
    <n v="-29.332000000000001"/>
  </r>
  <r>
    <s v="ORD02897"/>
    <d v="2026-03-10T00:00:00"/>
    <s v="CUST0482"/>
    <x v="3"/>
    <x v="8"/>
    <n v="2"/>
    <n v="0.15"/>
    <n v="7650"/>
    <n v="2252.85"/>
    <x v="3"/>
    <s v="Delivered"/>
    <n v="3825"/>
    <n v="29.44901960784313"/>
    <s v="Profit"/>
    <s v="Divya Reddy"/>
    <x v="0"/>
    <x v="0"/>
    <s v="Chennai"/>
    <s v="Tamil Nadu"/>
    <s v="2025-06-12"/>
    <s v="26-35"/>
    <n v="1126.425"/>
  </r>
  <r>
    <s v="ORD02898"/>
    <d v="2025-10-07T00:00:00"/>
    <s v="CUST0364"/>
    <x v="3"/>
    <x v="4"/>
    <n v="1"/>
    <n v="0.1"/>
    <n v="16200"/>
    <n v="-7932.26"/>
    <x v="3"/>
    <s v="Returned"/>
    <n v="16200"/>
    <n v="-48.964567901234567"/>
    <s v="Loss"/>
    <s v="Varun Bose"/>
    <x v="0"/>
    <x v="2"/>
    <s v="Delhi"/>
    <s v="Delhi"/>
    <s v="2024-10-25"/>
    <s v="18-25"/>
    <n v="-7932.26"/>
  </r>
  <r>
    <s v="ORD02899"/>
    <d v="2026-07-23T00:00:00"/>
    <s v="CUST0343"/>
    <x v="0"/>
    <x v="6"/>
    <n v="2"/>
    <n v="0.1"/>
    <n v="630"/>
    <n v="183.22"/>
    <x v="3"/>
    <s v="Delivered"/>
    <n v="315"/>
    <n v="29.082539682539679"/>
    <s v="Profit"/>
    <s v="Meera Iyer"/>
    <x v="0"/>
    <x v="0"/>
    <s v="Bengaluru"/>
    <s v="Karnataka"/>
    <s v="2024-08-02"/>
    <s v="36-50"/>
    <n v="91.61"/>
  </r>
  <r>
    <s v="ORD02900"/>
    <d v="2026-02-03T00:00:00"/>
    <s v="CUST0203"/>
    <x v="2"/>
    <x v="3"/>
    <n v="2"/>
    <n v="0"/>
    <n v="30000"/>
    <n v="7000"/>
    <x v="1"/>
    <s v="Shipped"/>
    <n v="15000"/>
    <n v="23.333333333333329"/>
    <s v="Profit"/>
    <s v="Arjun Gupta"/>
    <x v="2"/>
    <x v="0"/>
    <s v="Chennai"/>
    <s v="Tamil Nadu"/>
    <s v="2025-03-25"/>
    <s v="36-50"/>
    <n v="3500"/>
  </r>
  <r>
    <s v="ORD02901"/>
    <d v="2025-10-17T00:00:00"/>
    <s v="CUST0372"/>
    <x v="3"/>
    <x v="11"/>
    <n v="1"/>
    <n v="0.1"/>
    <n v="2250"/>
    <n v="-66.16"/>
    <x v="2"/>
    <s v="Returned"/>
    <n v="2250"/>
    <n v="-2.9404444444444442"/>
    <s v="Loss"/>
    <s v="Akash Das"/>
    <x v="1"/>
    <x v="0"/>
    <s v="Bengaluru"/>
    <s v="Karnataka"/>
    <s v="2024-08-19"/>
    <s v="36-50"/>
    <n v="-66.16"/>
  </r>
  <r>
    <s v="ORD02902"/>
    <d v="2025-11-14T00:00:00"/>
    <s v="CUST0342"/>
    <x v="2"/>
    <x v="2"/>
    <n v="5"/>
    <n v="0.1"/>
    <n v="58500"/>
    <n v="11902.27"/>
    <x v="2"/>
    <s v="Shipped"/>
    <n v="11700"/>
    <n v="20.345760683760691"/>
    <s v="Profit"/>
    <s v="Rohan Rao"/>
    <x v="0"/>
    <x v="3"/>
    <s v="Guwahati"/>
    <s v="Assam"/>
    <s v="2023-02-17"/>
    <s v="26-35"/>
    <n v="2380.4540000000002"/>
  </r>
  <r>
    <s v="ORD02903"/>
    <d v="2026-03-08T00:00:00"/>
    <s v="CUST0208"/>
    <x v="0"/>
    <x v="14"/>
    <n v="1"/>
    <n v="0.05"/>
    <n v="427.5"/>
    <n v="92.69"/>
    <x v="3"/>
    <s v="Delivered"/>
    <n v="427.5"/>
    <n v="21.68187134502924"/>
    <s v="Profit"/>
    <s v="Sneha Pillai"/>
    <x v="0"/>
    <x v="0"/>
    <s v="Hyderabad"/>
    <s v="Telangana"/>
    <s v="2025-02-01"/>
    <s v="26-35"/>
    <n v="92.69"/>
  </r>
  <r>
    <s v="ORD02904"/>
    <d v="2026-01-12T00:00:00"/>
    <s v="CUST0065"/>
    <x v="0"/>
    <x v="7"/>
    <n v="4"/>
    <n v="0.05"/>
    <n v="3420"/>
    <n v="1038.26"/>
    <x v="0"/>
    <s v="Delivered"/>
    <n v="855"/>
    <n v="30.358479532163742"/>
    <s v="Profit"/>
    <s v="Sneha Singh"/>
    <x v="0"/>
    <x v="0"/>
    <s v="Hyderabad"/>
    <s v="Telangana"/>
    <s v="2023-03-24"/>
    <s v="18-25"/>
    <n v="259.565"/>
  </r>
  <r>
    <s v="ORD02905"/>
    <d v="2026-02-06T00:00:00"/>
    <s v="CUST0511"/>
    <x v="3"/>
    <x v="10"/>
    <n v="3"/>
    <n v="0.1"/>
    <n v="148500"/>
    <n v="16950.21"/>
    <x v="1"/>
    <s v="Shipped"/>
    <n v="49500"/>
    <n v="11.414282828282831"/>
    <s v="Profit"/>
    <s v="Sneha Naidu"/>
    <x v="1"/>
    <x v="2"/>
    <s v="Delhi"/>
    <s v="Delhi"/>
    <s v="2023-05-20"/>
    <s v="18-25"/>
    <n v="5650.07"/>
  </r>
  <r>
    <s v="ORD02906"/>
    <d v="2026-02-11T00:00:00"/>
    <s v="CUST0087"/>
    <x v="0"/>
    <x v="0"/>
    <n v="6"/>
    <n v="0.2"/>
    <n v="67200"/>
    <n v="9207.43"/>
    <x v="2"/>
    <s v="Shipped"/>
    <n v="11200"/>
    <n v="13.70153273809524"/>
    <s v="Profit"/>
    <s v="Ishaan Khan"/>
    <x v="0"/>
    <x v="2"/>
    <s v="Lucknow"/>
    <s v="Uttar Pradesh"/>
    <s v="2023-07-11"/>
    <s v="51+"/>
    <n v="1534.5716666666669"/>
  </r>
  <r>
    <s v="ORD02907"/>
    <d v="2025-12-18T00:00:00"/>
    <s v="CUST0114"/>
    <x v="0"/>
    <x v="7"/>
    <n v="2"/>
    <n v="0.15"/>
    <n v="1530"/>
    <n v="358.62"/>
    <x v="3"/>
    <s v="Delivered"/>
    <n v="765"/>
    <n v="23.439215686274508"/>
    <s v="Profit"/>
    <s v="Aarav Reddy"/>
    <x v="1"/>
    <x v="0"/>
    <s v="Coimbatore"/>
    <s v="Tamil Nadu"/>
    <s v="2023-11-15"/>
    <s v="18-25"/>
    <n v="179.31"/>
  </r>
  <r>
    <s v="ORD02908"/>
    <d v="2026-06-23T00:00:00"/>
    <s v="CUST0218"/>
    <x v="3"/>
    <x v="10"/>
    <n v="2"/>
    <n v="0.05"/>
    <n v="104500"/>
    <n v="14407.29"/>
    <x v="3"/>
    <s v="Delivered"/>
    <n v="52250"/>
    <n v="13.78688038277512"/>
    <s v="Profit"/>
    <s v="Shreya Sharma"/>
    <x v="2"/>
    <x v="2"/>
    <s v="Lucknow"/>
    <s v="Uttar Pradesh"/>
    <s v="2025-01-22"/>
    <s v="36-50"/>
    <n v="7203.6450000000004"/>
  </r>
  <r>
    <s v="ORD02909"/>
    <d v="2026-01-07T00:00:00"/>
    <s v="CUST0274"/>
    <x v="0"/>
    <x v="7"/>
    <n v="1"/>
    <n v="0.15"/>
    <n v="765"/>
    <n v="191.56"/>
    <x v="3"/>
    <s v="Delivered"/>
    <n v="765"/>
    <n v="25.040522875817"/>
    <s v="Profit"/>
    <s v="Meera Bose"/>
    <x v="1"/>
    <x v="0"/>
    <s v="Hyderabad"/>
    <s v="Telangana"/>
    <s v="2025-01-06"/>
    <s v="26-35"/>
    <n v="191.56"/>
  </r>
  <r>
    <s v="ORD02910"/>
    <d v="2026-07-13T00:00:00"/>
    <s v="CUST0350"/>
    <x v="1"/>
    <x v="12"/>
    <n v="4"/>
    <n v="0.1"/>
    <n v="5040"/>
    <n v="1595.99"/>
    <x v="3"/>
    <s v="Delivered"/>
    <n v="1260"/>
    <n v="31.666468253968251"/>
    <s v="Profit"/>
    <s v="Diya Pillai"/>
    <x v="2"/>
    <x v="1"/>
    <s v="Pune"/>
    <s v="Maharashtra"/>
    <s v="2025-08-02"/>
    <s v="18-25"/>
    <n v="398.9975"/>
  </r>
  <r>
    <s v="ORD02911"/>
    <d v="2025-12-27T00:00:00"/>
    <s v="CUST0308"/>
    <x v="0"/>
    <x v="0"/>
    <n v="1"/>
    <n v="0.3"/>
    <n v="9800"/>
    <n v="-234.49"/>
    <x v="1"/>
    <s v="Delivered"/>
    <n v="9800"/>
    <n v="-2.392755102040816"/>
    <s v="Loss"/>
    <s v="Divya Naidu"/>
    <x v="2"/>
    <x v="0"/>
    <s v="Bengaluru"/>
    <s v="Karnataka"/>
    <s v="2025-12-11"/>
    <s v="51+"/>
    <n v="-234.49"/>
  </r>
  <r>
    <s v="ORD02912"/>
    <d v="2025-10-12T00:00:00"/>
    <s v="CUST0270"/>
    <x v="0"/>
    <x v="7"/>
    <n v="3"/>
    <n v="0.05"/>
    <n v="2565"/>
    <n v="755.06"/>
    <x v="3"/>
    <s v="Delivered"/>
    <n v="855"/>
    <n v="29.43703703703703"/>
    <s v="Profit"/>
    <s v="Sanjay Bose"/>
    <x v="1"/>
    <x v="1"/>
    <s v="Pune"/>
    <s v="Maharashtra"/>
    <s v="2024-03-11"/>
    <s v="18-25"/>
    <n v="251.68666666666661"/>
  </r>
  <r>
    <s v="ORD02913"/>
    <d v="2025-10-20T00:00:00"/>
    <s v="CUST0018"/>
    <x v="0"/>
    <x v="6"/>
    <n v="3"/>
    <n v="0.1"/>
    <n v="945"/>
    <n v="-98.48"/>
    <x v="1"/>
    <s v="Cancelled"/>
    <n v="315"/>
    <n v="-10.421164021164021"/>
    <s v="Loss"/>
    <s v="Aditya Mehta"/>
    <x v="0"/>
    <x v="0"/>
    <s v="Hyderabad"/>
    <s v="Telangana"/>
    <s v="2025-01-15"/>
    <s v="51+"/>
    <n v="-32.826666666666668"/>
  </r>
  <r>
    <s v="ORD02914"/>
    <d v="2026-05-06T00:00:00"/>
    <s v="CUST0403"/>
    <x v="2"/>
    <x v="5"/>
    <n v="4"/>
    <n v="0.2"/>
    <n v="35200"/>
    <n v="4225.6000000000004"/>
    <x v="2"/>
    <s v="Delivered"/>
    <n v="8800"/>
    <n v="12.004545454545459"/>
    <s v="Profit"/>
    <s v="Nisha Mehta"/>
    <x v="0"/>
    <x v="1"/>
    <s v="Pune"/>
    <s v="Maharashtra"/>
    <s v="2025-11-22"/>
    <s v="36-50"/>
    <n v="1056.4000000000001"/>
  </r>
  <r>
    <s v="ORD02915"/>
    <d v="2025-07-26T00:00:00"/>
    <s v="CUST0214"/>
    <x v="3"/>
    <x v="4"/>
    <n v="1"/>
    <n v="0"/>
    <n v="18000"/>
    <n v="3500"/>
    <x v="2"/>
    <s v="Delivered"/>
    <n v="18000"/>
    <n v="19.44444444444445"/>
    <s v="Profit"/>
    <s v="Ananya Rao"/>
    <x v="0"/>
    <x v="0"/>
    <s v="Hyderabad"/>
    <s v="Telangana"/>
    <s v="2023-07-14"/>
    <s v="51+"/>
    <n v="3500"/>
  </r>
  <r>
    <s v="ORD02916"/>
    <d v="2026-04-14T00:00:00"/>
    <s v="CUST0112"/>
    <x v="2"/>
    <x v="9"/>
    <n v="2"/>
    <n v="0"/>
    <n v="18000"/>
    <n v="4600"/>
    <x v="1"/>
    <s v="Delivered"/>
    <n v="9000"/>
    <n v="25.55555555555555"/>
    <s v="Profit"/>
    <s v="Akash Khan"/>
    <x v="0"/>
    <x v="1"/>
    <s v="Pune"/>
    <s v="Maharashtra"/>
    <s v="2025-03-04"/>
    <s v="26-35"/>
    <n v="2300"/>
  </r>
  <r>
    <s v="ORD02917"/>
    <d v="2025-07-04T00:00:00"/>
    <s v="CUST0271"/>
    <x v="0"/>
    <x v="0"/>
    <n v="1"/>
    <n v="0.15"/>
    <n v="11900"/>
    <n v="1630.31"/>
    <x v="1"/>
    <s v="Delivered"/>
    <n v="11900"/>
    <n v="13.70008403361344"/>
    <s v="Profit"/>
    <s v="Rohan Mehta"/>
    <x v="1"/>
    <x v="2"/>
    <s v="Delhi"/>
    <s v="Delhi"/>
    <s v="2025-01-13"/>
    <s v="51+"/>
    <n v="1630.31"/>
  </r>
  <r>
    <s v="ORD02918"/>
    <d v="2026-01-10T00:00:00"/>
    <s v="CUST0313"/>
    <x v="0"/>
    <x v="6"/>
    <n v="2"/>
    <n v="0.05"/>
    <n v="665"/>
    <n v="217.97"/>
    <x v="2"/>
    <s v="Delivered"/>
    <n v="332.5"/>
    <n v="32.777443609022548"/>
    <s v="Profit"/>
    <s v="Ananya Reddy"/>
    <x v="2"/>
    <x v="2"/>
    <s v="Chandigarh"/>
    <s v="Chandigarh"/>
    <s v="2025-09-06"/>
    <s v="26-35"/>
    <n v="108.985"/>
  </r>
  <r>
    <s v="ORD02919"/>
    <d v="2025-08-10T00:00:00"/>
    <s v="CUST0018"/>
    <x v="3"/>
    <x v="10"/>
    <n v="2"/>
    <n v="0.1"/>
    <n v="99000"/>
    <n v="8687.16"/>
    <x v="1"/>
    <s v="Delivered"/>
    <n v="49500"/>
    <n v="8.774909090909091"/>
    <s v="Profit"/>
    <s v="Aditya Mehta"/>
    <x v="0"/>
    <x v="0"/>
    <s v="Hyderabad"/>
    <s v="Telangana"/>
    <s v="2025-01-15"/>
    <s v="51+"/>
    <n v="4343.58"/>
  </r>
  <r>
    <s v="ORD02920"/>
    <d v="2026-03-21T00:00:00"/>
    <s v="CUST0513"/>
    <x v="3"/>
    <x v="10"/>
    <n v="3"/>
    <n v="0.15"/>
    <n v="140250"/>
    <n v="7235.69"/>
    <x v="1"/>
    <s v="Delivered"/>
    <n v="46750"/>
    <n v="5.1591372549019603"/>
    <s v="Profit"/>
    <s v="Varun Das"/>
    <x v="1"/>
    <x v="2"/>
    <s v="Jaipur"/>
    <s v="Rajasthan"/>
    <s v="2025-05-03"/>
    <s v="18-25"/>
    <n v="2411.896666666667"/>
  </r>
  <r>
    <s v="ORD02921"/>
    <d v="2025-09-20T00:00:00"/>
    <s v="CUST0280"/>
    <x v="2"/>
    <x v="9"/>
    <n v="4"/>
    <n v="0"/>
    <n v="36000"/>
    <n v="9200"/>
    <x v="0"/>
    <s v="Delivered"/>
    <n v="9000"/>
    <n v="25.55555555555555"/>
    <s v="Profit"/>
    <s v="Vikram Kulkarni"/>
    <x v="0"/>
    <x v="1"/>
    <s v="Mumbai"/>
    <s v="Maharashtra"/>
    <s v="2025-06-23"/>
    <s v="26-35"/>
    <n v="2300"/>
  </r>
  <r>
    <s v="ORD02922"/>
    <d v="2026-03-17T00:00:00"/>
    <s v="CUST0027"/>
    <x v="0"/>
    <x v="0"/>
    <n v="2"/>
    <n v="0.15"/>
    <n v="23800"/>
    <n v="3614.08"/>
    <x v="2"/>
    <s v="Delivered"/>
    <n v="11900"/>
    <n v="15.18521008403361"/>
    <s v="Profit"/>
    <s v="Sanjay Gupta"/>
    <x v="0"/>
    <x v="2"/>
    <s v="Delhi"/>
    <s v="Delhi"/>
    <s v="2024-08-19"/>
    <s v="36-50"/>
    <n v="1807.04"/>
  </r>
  <r>
    <s v="ORD02923"/>
    <d v="2025-09-28T00:00:00"/>
    <s v="CUST0443"/>
    <x v="3"/>
    <x v="11"/>
    <n v="1"/>
    <n v="0.15"/>
    <n v="2125"/>
    <n v="553.66999999999996"/>
    <x v="0"/>
    <s v="Delivered"/>
    <n v="2125"/>
    <n v="26.055058823529411"/>
    <s v="Profit"/>
    <s v="Akash Sharma"/>
    <x v="1"/>
    <x v="0"/>
    <s v="Coimbatore"/>
    <s v="Tamil Nadu"/>
    <s v="2023-10-10"/>
    <s v="51+"/>
    <n v="553.66999999999996"/>
  </r>
  <r>
    <s v="ORD02924"/>
    <d v="2025-07-01T00:00:00"/>
    <s v="CUST0528"/>
    <x v="3"/>
    <x v="11"/>
    <n v="1"/>
    <n v="0.15"/>
    <n v="2125"/>
    <n v="-460.94"/>
    <x v="1"/>
    <s v="Cancelled"/>
    <n v="2125"/>
    <n v="-21.691294117647061"/>
    <s v="Loss"/>
    <s v="Karthik Menon"/>
    <x v="0"/>
    <x v="0"/>
    <s v="Chennai"/>
    <s v="Tamil Nadu"/>
    <s v="2024-07-24"/>
    <s v="36-50"/>
    <n v="-460.94"/>
  </r>
  <r>
    <s v="ORD02925"/>
    <d v="2026-07-09T00:00:00"/>
    <s v="CUST0157"/>
    <x v="2"/>
    <x v="3"/>
    <n v="2"/>
    <n v="0.05"/>
    <n v="28500"/>
    <n v="-9163.89"/>
    <x v="1"/>
    <s v="Cancelled"/>
    <n v="14250"/>
    <n v="-32.154000000000003"/>
    <s v="Loss"/>
    <s v="Diya Rao"/>
    <x v="1"/>
    <x v="0"/>
    <s v="Bengaluru"/>
    <s v="Karnataka"/>
    <s v="2024-02-13"/>
    <s v="51+"/>
    <n v="-4581.9449999999997"/>
  </r>
  <r>
    <s v="ORD02926"/>
    <d v="2026-02-15T00:00:00"/>
    <s v="CUST0529"/>
    <x v="2"/>
    <x v="5"/>
    <n v="2"/>
    <n v="0.05"/>
    <n v="20900"/>
    <n v="4560.38"/>
    <x v="3"/>
    <s v="Delivered"/>
    <n v="10450"/>
    <n v="21.82"/>
    <s v="Profit"/>
    <s v="Ananya Rao"/>
    <x v="1"/>
    <x v="1"/>
    <s v="Surat"/>
    <s v="Gujarat"/>
    <s v="2023-10-24"/>
    <s v="18-25"/>
    <n v="2280.19"/>
  </r>
  <r>
    <s v="ORD02927"/>
    <d v="2026-05-14T00:00:00"/>
    <s v="CUST0215"/>
    <x v="1"/>
    <x v="15"/>
    <n v="6"/>
    <n v="0.2"/>
    <n v="10560"/>
    <n v="3139.03"/>
    <x v="0"/>
    <s v="Delivered"/>
    <n v="1760"/>
    <n v="29.72566287878788"/>
    <s v="Profit"/>
    <s v="Pooja Reddy"/>
    <x v="1"/>
    <x v="0"/>
    <s v="Bengaluru"/>
    <s v="Karnataka"/>
    <s v="2025-07-16"/>
    <s v="26-35"/>
    <n v="523.17166666666674"/>
  </r>
  <r>
    <s v="ORD02928"/>
    <d v="2025-10-07T00:00:00"/>
    <s v="CUST0587"/>
    <x v="0"/>
    <x v="14"/>
    <n v="1"/>
    <n v="0.1"/>
    <n v="405"/>
    <n v="82.87"/>
    <x v="0"/>
    <s v="Shipped"/>
    <n v="405"/>
    <n v="20.46172839506173"/>
    <s v="Profit"/>
    <s v="Ishaan Kulkarni"/>
    <x v="2"/>
    <x v="3"/>
    <s v="Guwahati"/>
    <s v="Assam"/>
    <s v="2025-01-05"/>
    <s v="26-35"/>
    <n v="82.87"/>
  </r>
  <r>
    <s v="ORD02929"/>
    <d v="2026-06-17T00:00:00"/>
    <s v="CUST0476"/>
    <x v="1"/>
    <x v="1"/>
    <n v="5"/>
    <n v="0.15"/>
    <n v="7650"/>
    <n v="2234.5100000000002"/>
    <x v="0"/>
    <s v="Delivered"/>
    <n v="1530"/>
    <n v="29.209281045751641"/>
    <s v="Profit"/>
    <s v="Ishaan Gupta"/>
    <x v="1"/>
    <x v="0"/>
    <s v="Bengaluru"/>
    <s v="Karnataka"/>
    <s v="2025-07-01"/>
    <s v="18-25"/>
    <n v="446.90199999999999"/>
  </r>
  <r>
    <s v="ORD02930"/>
    <d v="2025-10-13T00:00:00"/>
    <s v="CUST0362"/>
    <x v="1"/>
    <x v="1"/>
    <n v="4"/>
    <n v="0.1"/>
    <n v="6480"/>
    <n v="-1799.34"/>
    <x v="2"/>
    <s v="Returned"/>
    <n v="1620"/>
    <n v="-27.767592592592589"/>
    <s v="Loss"/>
    <s v="Karthik Joshi"/>
    <x v="0"/>
    <x v="0"/>
    <s v="Coimbatore"/>
    <s v="Tamil Nadu"/>
    <s v="2025-09-08"/>
    <s v="26-35"/>
    <n v="-449.83499999999998"/>
  </r>
  <r>
    <s v="ORD02931"/>
    <d v="2026-07-24T00:00:00"/>
    <s v="CUST0518"/>
    <x v="0"/>
    <x v="7"/>
    <n v="4"/>
    <n v="0.05"/>
    <n v="3420"/>
    <n v="1011.94"/>
    <x v="3"/>
    <s v="Delivered"/>
    <n v="855"/>
    <n v="29.588888888888889"/>
    <s v="Profit"/>
    <s v="Nisha Patel"/>
    <x v="2"/>
    <x v="2"/>
    <s v="Jaipur"/>
    <s v="Rajasthan"/>
    <s v="2025-04-19"/>
    <s v="36-50"/>
    <n v="252.98500000000001"/>
  </r>
  <r>
    <s v="ORD02932"/>
    <d v="2025-09-07T00:00:00"/>
    <s v="CUST0171"/>
    <x v="1"/>
    <x v="12"/>
    <n v="3"/>
    <n v="0.1"/>
    <n v="3780"/>
    <n v="1216.56"/>
    <x v="0"/>
    <s v="Delivered"/>
    <n v="1260"/>
    <n v="32.184126984126983"/>
    <s v="Profit"/>
    <s v="Nisha Reddy"/>
    <x v="0"/>
    <x v="2"/>
    <s v="Jaipur"/>
    <s v="Rajasthan"/>
    <s v="2025-06-10"/>
    <s v="36-50"/>
    <n v="405.52"/>
  </r>
  <r>
    <s v="ORD02933"/>
    <d v="2026-07-22T00:00:00"/>
    <s v="CUST0139"/>
    <x v="2"/>
    <x v="5"/>
    <n v="15"/>
    <n v="0.1"/>
    <n v="148500"/>
    <n v="31008.69"/>
    <x v="1"/>
    <s v="Delivered"/>
    <n v="9900"/>
    <n v="20.88127272727273"/>
    <s v="Profit"/>
    <s v="Lakshmi Das"/>
    <x v="1"/>
    <x v="1"/>
    <s v="Surat"/>
    <s v="Gujarat"/>
    <s v="2023-05-25"/>
    <s v="36-50"/>
    <n v="2067.2460000000001"/>
  </r>
  <r>
    <s v="ORD02934"/>
    <d v="2025-10-13T00:00:00"/>
    <s v="CUST0028"/>
    <x v="2"/>
    <x v="3"/>
    <n v="5"/>
    <n v="0.1"/>
    <n v="67500"/>
    <n v="11480.76"/>
    <x v="3"/>
    <s v="Delivered"/>
    <n v="13500"/>
    <n v="17.008533333333329"/>
    <s v="Profit"/>
    <s v="Manoj Menon"/>
    <x v="0"/>
    <x v="1"/>
    <s v="Pune"/>
    <s v="Maharashtra"/>
    <s v="2023-11-15"/>
    <s v="36-50"/>
    <n v="2296.152"/>
  </r>
  <r>
    <s v="ORD02935"/>
    <d v="2026-02-15T00:00:00"/>
    <s v="CUST0585"/>
    <x v="3"/>
    <x v="4"/>
    <n v="2"/>
    <n v="0.2"/>
    <n v="28800"/>
    <n v="3584.4"/>
    <x v="3"/>
    <s v="Delivered"/>
    <n v="14400"/>
    <n v="12.445833333333329"/>
    <s v="Profit"/>
    <s v="Diya Reddy"/>
    <x v="1"/>
    <x v="0"/>
    <s v="Bengaluru"/>
    <s v="Karnataka"/>
    <s v="2024-03-03"/>
    <s v="51+"/>
    <n v="1792.2"/>
  </r>
  <r>
    <s v="ORD02936"/>
    <d v="2026-07-11T00:00:00"/>
    <s v="CUST0322"/>
    <x v="0"/>
    <x v="14"/>
    <n v="1"/>
    <n v="0"/>
    <n v="450"/>
    <n v="-131.62"/>
    <x v="0"/>
    <s v="Returned"/>
    <n v="450"/>
    <n v="-29.248888888888889"/>
    <s v="Loss"/>
    <s v="Ananya Joshi"/>
    <x v="0"/>
    <x v="2"/>
    <s v="Delhi"/>
    <s v="Delhi"/>
    <s v="2025-01-13"/>
    <s v="26-35"/>
    <n v="-131.62"/>
  </r>
  <r>
    <s v="ORD02937"/>
    <d v="2025-12-02T00:00:00"/>
    <s v="CUST0252"/>
    <x v="2"/>
    <x v="9"/>
    <n v="4"/>
    <n v="0.05"/>
    <n v="34200"/>
    <n v="8286.73"/>
    <x v="3"/>
    <s v="Delivered"/>
    <n v="8550"/>
    <n v="24.230204678362568"/>
    <s v="Profit"/>
    <s v="Ishaan Pillai"/>
    <x v="0"/>
    <x v="0"/>
    <s v="Coimbatore"/>
    <s v="Tamil Nadu"/>
    <s v="2024-06-19"/>
    <s v="36-50"/>
    <n v="2071.6824999999999"/>
  </r>
  <r>
    <s v="ORD02938"/>
    <d v="2026-01-24T00:00:00"/>
    <s v="CUST0338"/>
    <x v="2"/>
    <x v="9"/>
    <n v="1"/>
    <n v="0.15"/>
    <n v="7650"/>
    <n v="1203.28"/>
    <x v="2"/>
    <s v="Shipped"/>
    <n v="7650"/>
    <n v="15.72915032679739"/>
    <s v="Profit"/>
    <s v="Kavya Bose"/>
    <x v="1"/>
    <x v="0"/>
    <s v="Hyderabad"/>
    <s v="Telangana"/>
    <s v="2024-10-27"/>
    <s v="26-35"/>
    <n v="1203.28"/>
  </r>
  <r>
    <s v="ORD02939"/>
    <d v="2026-07-30T00:00:00"/>
    <s v="CUST0036"/>
    <x v="3"/>
    <x v="4"/>
    <n v="3"/>
    <n v="0"/>
    <n v="54000"/>
    <n v="10500"/>
    <x v="2"/>
    <s v="Shipped"/>
    <n v="18000"/>
    <n v="19.44444444444445"/>
    <s v="Profit"/>
    <s v="Priya Patel"/>
    <x v="2"/>
    <x v="3"/>
    <s v="Guwahati"/>
    <s v="Assam"/>
    <s v="2023-10-18"/>
    <s v="26-35"/>
    <n v="3500"/>
  </r>
  <r>
    <s v="ORD02940"/>
    <d v="2026-07-10T00:00:00"/>
    <s v="CUST0055"/>
    <x v="3"/>
    <x v="10"/>
    <n v="1"/>
    <n v="0.05"/>
    <n v="52250"/>
    <n v="7640.38"/>
    <x v="1"/>
    <s v="Delivered"/>
    <n v="52250"/>
    <n v="14.62273684210526"/>
    <s v="Profit"/>
    <s v="Harini Kulkarni"/>
    <x v="0"/>
    <x v="3"/>
    <s v="Guwahati"/>
    <s v="Assam"/>
    <s v="2024-05-17"/>
    <s v="51+"/>
    <n v="7640.38"/>
  </r>
  <r>
    <s v="ORD02941"/>
    <d v="2025-09-25T00:00:00"/>
    <s v="CUST0020"/>
    <x v="3"/>
    <x v="4"/>
    <n v="1"/>
    <n v="0.15"/>
    <n v="15300"/>
    <n v="2147.61"/>
    <x v="0"/>
    <s v="Delivered"/>
    <n v="15300"/>
    <n v="14.036666666666671"/>
    <s v="Profit"/>
    <s v="Aarav Pillai"/>
    <x v="0"/>
    <x v="2"/>
    <s v="Lucknow"/>
    <s v="Uttar Pradesh"/>
    <s v="2025-11-30"/>
    <s v="26-35"/>
    <n v="2147.61"/>
  </r>
  <r>
    <s v="ORD02942"/>
    <d v="2026-05-14T00:00:00"/>
    <s v="CUST0469"/>
    <x v="3"/>
    <x v="10"/>
    <n v="2"/>
    <n v="0"/>
    <n v="110000"/>
    <n v="18000"/>
    <x v="1"/>
    <s v="Delivered"/>
    <n v="55000"/>
    <n v="16.36363636363636"/>
    <s v="Profit"/>
    <s v="Kavya Khan"/>
    <x v="1"/>
    <x v="3"/>
    <s v="Bhubaneswar"/>
    <s v="Odisha"/>
    <s v="2025-06-06"/>
    <s v="26-35"/>
    <n v="9000"/>
  </r>
  <r>
    <s v="ORD02943"/>
    <d v="2025-11-02T00:00:00"/>
    <s v="CUST0229"/>
    <x v="3"/>
    <x v="4"/>
    <n v="5"/>
    <n v="0.1"/>
    <n v="81000"/>
    <n v="10327.57"/>
    <x v="1"/>
    <s v="Delivered"/>
    <n v="16200"/>
    <n v="12.750086419753091"/>
    <s v="Profit"/>
    <s v="Harini Chopra"/>
    <x v="0"/>
    <x v="0"/>
    <s v="Bengaluru"/>
    <s v="Karnataka"/>
    <s v="2025-05-19"/>
    <s v="26-35"/>
    <n v="2065.5140000000001"/>
  </r>
  <r>
    <s v="ORD02944"/>
    <d v="2025-10-28T00:00:00"/>
    <s v="CUST0172"/>
    <x v="3"/>
    <x v="10"/>
    <n v="3"/>
    <n v="0.15"/>
    <n v="140250"/>
    <n v="-88427.01"/>
    <x v="1"/>
    <s v="Returned"/>
    <n v="46750"/>
    <n v="-63.049561497326202"/>
    <s v="Loss"/>
    <s v="Shreya Nair"/>
    <x v="0"/>
    <x v="1"/>
    <s v="Mumbai"/>
    <s v="Maharashtra"/>
    <s v="2025-02-26"/>
    <s v="36-50"/>
    <n v="-29475.67"/>
  </r>
  <r>
    <s v="ORD02945"/>
    <d v="2026-05-02T00:00:00"/>
    <s v="CUST0589"/>
    <x v="3"/>
    <x v="11"/>
    <n v="5"/>
    <n v="0.2"/>
    <n v="10000"/>
    <n v="2289.84"/>
    <x v="0"/>
    <s v="Delivered"/>
    <n v="2000"/>
    <n v="22.898399999999999"/>
    <s v="Profit"/>
    <s v="Sanjay Patel"/>
    <x v="2"/>
    <x v="2"/>
    <s v="Delhi"/>
    <s v="Delhi"/>
    <s v="2024-12-17"/>
    <s v="36-50"/>
    <n v="457.96800000000002"/>
  </r>
  <r>
    <s v="ORD02946"/>
    <d v="2026-01-23T00:00:00"/>
    <s v="CUST0269"/>
    <x v="1"/>
    <x v="12"/>
    <n v="1"/>
    <n v="0"/>
    <n v="1400"/>
    <n v="-322.35000000000002"/>
    <x v="0"/>
    <s v="Returned"/>
    <n v="1400"/>
    <n v="-23.024999999999999"/>
    <s v="Loss"/>
    <s v="Manoj Das"/>
    <x v="1"/>
    <x v="2"/>
    <s v="Delhi"/>
    <s v="Delhi"/>
    <s v="2025-06-23"/>
    <s v="36-50"/>
    <n v="-322.35000000000002"/>
  </r>
  <r>
    <s v="ORD02947"/>
    <d v="2025-07-07T00:00:00"/>
    <s v="CUST0442"/>
    <x v="2"/>
    <x v="2"/>
    <n v="1"/>
    <n v="0.1"/>
    <n v="11700"/>
    <n v="-3767.35"/>
    <x v="2"/>
    <s v="Returned"/>
    <n v="11700"/>
    <n v="-32.199572649572652"/>
    <s v="Loss"/>
    <s v="Akash Kulkarni"/>
    <x v="0"/>
    <x v="0"/>
    <s v="Bengaluru"/>
    <s v="Karnataka"/>
    <s v="2023-09-01"/>
    <s v="36-50"/>
    <n v="-3767.35"/>
  </r>
  <r>
    <s v="ORD02948"/>
    <d v="2025-11-26T00:00:00"/>
    <s v="CUST0530"/>
    <x v="3"/>
    <x v="8"/>
    <n v="3"/>
    <n v="0.1"/>
    <n v="12150"/>
    <n v="-1730.66"/>
    <x v="2"/>
    <s v="Cancelled"/>
    <n v="4050"/>
    <n v="-14.244115226337451"/>
    <s v="Loss"/>
    <s v="Harini Chopra"/>
    <x v="2"/>
    <x v="2"/>
    <s v="Delhi"/>
    <s v="Delhi"/>
    <s v="2023-03-04"/>
    <s v="51+"/>
    <n v="-576.88666666666666"/>
  </r>
  <r>
    <s v="ORD02949"/>
    <d v="2025-11-27T00:00:00"/>
    <s v="CUST0553"/>
    <x v="3"/>
    <x v="4"/>
    <n v="15"/>
    <n v="0.05"/>
    <n v="256500"/>
    <n v="41994.11"/>
    <x v="2"/>
    <s v="Delivered"/>
    <n v="17100"/>
    <n v="16.37197270955166"/>
    <s v="Profit"/>
    <s v="Diya Mishra"/>
    <x v="2"/>
    <x v="0"/>
    <s v="Coimbatore"/>
    <s v="Tamil Nadu"/>
    <s v="2025-01-24"/>
    <s v="36-50"/>
    <n v="2799.6073333333329"/>
  </r>
  <r>
    <s v="ORD02950"/>
    <d v="2025-09-23T00:00:00"/>
    <s v="CUST0166"/>
    <x v="1"/>
    <x v="12"/>
    <n v="1"/>
    <n v="0.1"/>
    <n v="1260"/>
    <n v="-72.459999999999994"/>
    <x v="1"/>
    <s v="Cancelled"/>
    <n v="1260"/>
    <n v="-5.7507936507936499"/>
    <s v="Loss"/>
    <s v="Arjun Gupta"/>
    <x v="2"/>
    <x v="0"/>
    <s v="Chennai"/>
    <s v="Tamil Nadu"/>
    <s v="2024-10-19"/>
    <s v="18-25"/>
    <n v="-72.459999999999994"/>
  </r>
  <r>
    <s v="ORD02951"/>
    <d v="2026-03-09T00:00:00"/>
    <s v="CUST0496"/>
    <x v="0"/>
    <x v="0"/>
    <n v="2"/>
    <n v="0.15"/>
    <n v="23800"/>
    <n v="2908.2"/>
    <x v="3"/>
    <s v="Delivered"/>
    <n v="11900"/>
    <n v="12.21932773109244"/>
    <s v="Profit"/>
    <s v="Akash Pillai"/>
    <x v="0"/>
    <x v="3"/>
    <s v="Bhubaneswar"/>
    <s v="Odisha"/>
    <s v="2024-06-06"/>
    <s v="36-50"/>
    <n v="1454.1"/>
  </r>
  <r>
    <s v="ORD02952"/>
    <d v="2026-01-25T00:00:00"/>
    <s v="CUST0321"/>
    <x v="3"/>
    <x v="4"/>
    <n v="3"/>
    <n v="0.1"/>
    <n v="48600"/>
    <n v="6837.38"/>
    <x v="0"/>
    <s v="Shipped"/>
    <n v="16200"/>
    <n v="14.068683127572021"/>
    <s v="Profit"/>
    <s v="Kavya Sharma"/>
    <x v="0"/>
    <x v="1"/>
    <s v="Pune"/>
    <s v="Maharashtra"/>
    <s v="2024-07-02"/>
    <s v="26-35"/>
    <n v="2279.126666666667"/>
  </r>
  <r>
    <s v="ORD02953"/>
    <d v="2025-10-18T00:00:00"/>
    <s v="CUST0032"/>
    <x v="3"/>
    <x v="11"/>
    <n v="1"/>
    <n v="0.15"/>
    <n v="2125"/>
    <n v="539.32000000000005"/>
    <x v="2"/>
    <s v="Shipped"/>
    <n v="2125"/>
    <n v="25.379764705882359"/>
    <s v="Profit"/>
    <s v="Pooja Nair"/>
    <x v="0"/>
    <x v="2"/>
    <s v="Delhi"/>
    <s v="Delhi"/>
    <s v="2025-05-13"/>
    <s v="26-35"/>
    <n v="539.32000000000005"/>
  </r>
  <r>
    <s v="ORD02954"/>
    <d v="2026-06-07T00:00:00"/>
    <s v="CUST0442"/>
    <x v="0"/>
    <x v="7"/>
    <n v="1"/>
    <n v="0.05"/>
    <n v="855"/>
    <n v="244.92"/>
    <x v="1"/>
    <s v="Shipped"/>
    <n v="855"/>
    <n v="28.645614035087721"/>
    <s v="Profit"/>
    <s v="Akash Kulkarni"/>
    <x v="0"/>
    <x v="0"/>
    <s v="Bengaluru"/>
    <s v="Karnataka"/>
    <s v="2023-09-01"/>
    <s v="36-50"/>
    <n v="244.92"/>
  </r>
  <r>
    <s v="ORD02955"/>
    <d v="2026-06-19T00:00:00"/>
    <s v="CUST0544"/>
    <x v="1"/>
    <x v="1"/>
    <n v="4"/>
    <n v="0.15"/>
    <n v="6120"/>
    <n v="1980.35"/>
    <x v="0"/>
    <s v="Delivered"/>
    <n v="1530"/>
    <n v="32.358660130718953"/>
    <s v="Profit"/>
    <s v="Rohan Menon"/>
    <x v="1"/>
    <x v="0"/>
    <s v="Hyderabad"/>
    <s v="Telangana"/>
    <s v="2024-05-08"/>
    <s v="26-35"/>
    <n v="495.08749999999998"/>
  </r>
  <r>
    <s v="ORD02956"/>
    <d v="2026-03-10T00:00:00"/>
    <s v="CUST0335"/>
    <x v="2"/>
    <x v="9"/>
    <n v="3"/>
    <n v="0.2"/>
    <n v="21600"/>
    <n v="2903.51"/>
    <x v="0"/>
    <s v="Delivered"/>
    <n v="7200"/>
    <n v="13.44217592592593"/>
    <s v="Profit"/>
    <s v="Diya Pillai"/>
    <x v="0"/>
    <x v="0"/>
    <s v="Bengaluru"/>
    <s v="Karnataka"/>
    <s v="2025-05-24"/>
    <s v="36-50"/>
    <n v="967.8366666666667"/>
  </r>
  <r>
    <s v="ORD02957"/>
    <d v="2026-04-04T00:00:00"/>
    <s v="CUST0514"/>
    <x v="2"/>
    <x v="9"/>
    <n v="15"/>
    <n v="0.1"/>
    <n v="121500"/>
    <n v="26579.08"/>
    <x v="1"/>
    <s v="Delivered"/>
    <n v="8100"/>
    <n v="21.87578600823046"/>
    <s v="Profit"/>
    <s v="Manoj Iyer"/>
    <x v="0"/>
    <x v="2"/>
    <s v="Lucknow"/>
    <s v="Uttar Pradesh"/>
    <s v="2023-09-19"/>
    <s v="36-50"/>
    <n v="1771.9386666666669"/>
  </r>
  <r>
    <s v="ORD02958"/>
    <d v="2025-10-14T00:00:00"/>
    <s v="CUST0349"/>
    <x v="1"/>
    <x v="15"/>
    <n v="1"/>
    <n v="0.05"/>
    <n v="2090"/>
    <n v="696.4"/>
    <x v="3"/>
    <s v="Delivered"/>
    <n v="2090"/>
    <n v="33.320574162679421"/>
    <s v="Profit"/>
    <s v="Aarav Nair"/>
    <x v="1"/>
    <x v="0"/>
    <s v="Hyderabad"/>
    <s v="Telangana"/>
    <s v="2025-07-22"/>
    <s v="26-35"/>
    <n v="696.4"/>
  </r>
  <r>
    <s v="ORD02959"/>
    <d v="2026-06-11T00:00:00"/>
    <s v="CUST0573"/>
    <x v="0"/>
    <x v="6"/>
    <n v="15"/>
    <n v="0"/>
    <n v="5250"/>
    <n v="1800"/>
    <x v="0"/>
    <s v="Delivered"/>
    <n v="350"/>
    <n v="34.285714285714278"/>
    <s v="Profit"/>
    <s v="Aditya Pillai"/>
    <x v="0"/>
    <x v="1"/>
    <s v="Surat"/>
    <s v="Gujarat"/>
    <s v="2024-03-11"/>
    <s v="18-25"/>
    <n v="120"/>
  </r>
  <r>
    <s v="ORD02960"/>
    <d v="2026-01-23T00:00:00"/>
    <s v="CUST0584"/>
    <x v="0"/>
    <x v="7"/>
    <n v="2"/>
    <n v="0.2"/>
    <n v="1440"/>
    <n v="346.44"/>
    <x v="2"/>
    <s v="Delivered"/>
    <n v="720"/>
    <n v="24.05833333333333"/>
    <s v="Profit"/>
    <s v="Arjun Das"/>
    <x v="0"/>
    <x v="1"/>
    <s v="Ahmedabad"/>
    <s v="Gujarat"/>
    <s v="2025-11-24"/>
    <s v="18-25"/>
    <n v="173.22"/>
  </r>
  <r>
    <s v="ORD02961"/>
    <d v="2025-09-12T00:00:00"/>
    <s v="CUST0509"/>
    <x v="0"/>
    <x v="14"/>
    <n v="5"/>
    <n v="0.1"/>
    <n v="2025"/>
    <n v="-561.94000000000005"/>
    <x v="3"/>
    <s v="Cancelled"/>
    <n v="405"/>
    <n v="-27.750123456790131"/>
    <s v="Loss"/>
    <s v="Akash Das"/>
    <x v="2"/>
    <x v="3"/>
    <s v="Patna"/>
    <s v="Bihar"/>
    <s v="2024-11-26"/>
    <s v="36-50"/>
    <n v="-112.38800000000001"/>
  </r>
  <r>
    <s v="ORD02962"/>
    <d v="2025-09-07T00:00:00"/>
    <s v="CUST0020"/>
    <x v="0"/>
    <x v="0"/>
    <n v="3"/>
    <n v="0.2"/>
    <n v="33600"/>
    <n v="-18868.919999999998"/>
    <x v="1"/>
    <s v="Cancelled"/>
    <n v="11200"/>
    <n v="-56.157499999999992"/>
    <s v="Loss"/>
    <s v="Aarav Pillai"/>
    <x v="0"/>
    <x v="2"/>
    <s v="Lucknow"/>
    <s v="Uttar Pradesh"/>
    <s v="2025-11-30"/>
    <s v="26-35"/>
    <n v="-6289.6399999999994"/>
  </r>
  <r>
    <s v="ORD02963"/>
    <d v="2026-04-22T00:00:00"/>
    <s v="CUST0325"/>
    <x v="2"/>
    <x v="2"/>
    <n v="2"/>
    <n v="0.3"/>
    <n v="18200"/>
    <n v="2548.34"/>
    <x v="0"/>
    <s v="Shipped"/>
    <n v="9100"/>
    <n v="14.001868131868131"/>
    <s v="Profit"/>
    <s v="Arjun Mishra"/>
    <x v="0"/>
    <x v="0"/>
    <s v="Chennai"/>
    <s v="Tamil Nadu"/>
    <s v="2023-05-08"/>
    <s v="51+"/>
    <n v="1274.17"/>
  </r>
  <r>
    <s v="ORD02964"/>
    <d v="2026-05-31T00:00:00"/>
    <s v="CUST0181"/>
    <x v="3"/>
    <x v="11"/>
    <n v="1"/>
    <n v="0.15"/>
    <n v="2125"/>
    <n v="483.96"/>
    <x v="0"/>
    <s v="Delivered"/>
    <n v="2125"/>
    <n v="22.774588235294111"/>
    <s v="Profit"/>
    <s v="Rohan Iyer"/>
    <x v="1"/>
    <x v="1"/>
    <s v="Surat"/>
    <s v="Gujarat"/>
    <s v="2023-03-20"/>
    <s v="36-50"/>
    <n v="483.96"/>
  </r>
  <r>
    <s v="ORD02965"/>
    <d v="2026-04-22T00:00:00"/>
    <s v="CUST0186"/>
    <x v="1"/>
    <x v="1"/>
    <n v="1"/>
    <n v="0"/>
    <n v="1800"/>
    <n v="650"/>
    <x v="1"/>
    <s v="Delivered"/>
    <n v="1800"/>
    <n v="36.111111111111107"/>
    <s v="Profit"/>
    <s v="Vikram Verma"/>
    <x v="1"/>
    <x v="0"/>
    <s v="Coimbatore"/>
    <s v="Tamil Nadu"/>
    <s v="2024-03-12"/>
    <s v="18-25"/>
    <n v="650"/>
  </r>
  <r>
    <s v="ORD02966"/>
    <d v="2026-05-21T00:00:00"/>
    <s v="CUST0409"/>
    <x v="0"/>
    <x v="6"/>
    <n v="6"/>
    <n v="0.1"/>
    <n v="1890"/>
    <n v="588.21"/>
    <x v="3"/>
    <s v="Delivered"/>
    <n v="315"/>
    <n v="31.12222222222222"/>
    <s v="Profit"/>
    <s v="Arjun Khan"/>
    <x v="2"/>
    <x v="2"/>
    <s v="Chandigarh"/>
    <s v="Chandigarh"/>
    <s v="2025-06-20"/>
    <s v="18-25"/>
    <n v="98.035000000000011"/>
  </r>
  <r>
    <s v="ORD02967"/>
    <d v="2026-06-09T00:00:00"/>
    <s v="CUST0079"/>
    <x v="0"/>
    <x v="6"/>
    <n v="2"/>
    <n v="0.2"/>
    <n v="560"/>
    <n v="143.21"/>
    <x v="2"/>
    <s v="Delivered"/>
    <n v="280"/>
    <n v="25.57321428571429"/>
    <s v="Profit"/>
    <s v="Akash Mehta"/>
    <x v="0"/>
    <x v="0"/>
    <s v="Chennai"/>
    <s v="Tamil Nadu"/>
    <s v="2024-07-12"/>
    <s v="51+"/>
    <n v="71.605000000000004"/>
  </r>
  <r>
    <s v="ORD02968"/>
    <d v="2026-04-01T00:00:00"/>
    <s v="CUST0158"/>
    <x v="3"/>
    <x v="11"/>
    <n v="3"/>
    <n v="0.2"/>
    <n v="6000"/>
    <n v="-423.74"/>
    <x v="2"/>
    <s v="Cancelled"/>
    <n v="2000"/>
    <n v="-7.0623333333333331"/>
    <s v="Loss"/>
    <s v="Ananya Reddy"/>
    <x v="2"/>
    <x v="0"/>
    <s v="Bengaluru"/>
    <s v="Karnataka"/>
    <s v="2024-04-04"/>
    <s v="18-25"/>
    <n v="-141.2466666666667"/>
  </r>
  <r>
    <s v="ORD02969"/>
    <d v="2026-01-13T00:00:00"/>
    <s v="CUST0478"/>
    <x v="2"/>
    <x v="2"/>
    <n v="4"/>
    <n v="0.15"/>
    <n v="44200"/>
    <n v="7306.14"/>
    <x v="1"/>
    <s v="Delivered"/>
    <n v="11050"/>
    <n v="16.529728506787329"/>
    <s v="Profit"/>
    <s v="Akash Iyer"/>
    <x v="0"/>
    <x v="1"/>
    <s v="Mumbai"/>
    <s v="Maharashtra"/>
    <s v="2023-10-15"/>
    <s v="51+"/>
    <n v="1826.5350000000001"/>
  </r>
  <r>
    <s v="ORD02970"/>
    <d v="2025-12-17T00:00:00"/>
    <s v="CUST0124"/>
    <x v="3"/>
    <x v="8"/>
    <n v="1"/>
    <n v="0"/>
    <n v="4500"/>
    <n v="1500"/>
    <x v="0"/>
    <s v="Shipped"/>
    <n v="4500"/>
    <n v="33.333333333333329"/>
    <s v="Profit"/>
    <s v="Vikram Das"/>
    <x v="0"/>
    <x v="1"/>
    <s v="Pune"/>
    <s v="Maharashtra"/>
    <s v="2024-07-21"/>
    <s v="51+"/>
    <n v="1500"/>
  </r>
  <r>
    <s v="ORD02971"/>
    <d v="2026-06-21T00:00:00"/>
    <s v="CUST0166"/>
    <x v="3"/>
    <x v="8"/>
    <n v="3"/>
    <n v="0.1"/>
    <n v="12150"/>
    <n v="3367.65"/>
    <x v="2"/>
    <s v="Delivered"/>
    <n v="4050"/>
    <n v="27.717283950617279"/>
    <s v="Profit"/>
    <s v="Arjun Gupta"/>
    <x v="2"/>
    <x v="0"/>
    <s v="Chennai"/>
    <s v="Tamil Nadu"/>
    <s v="2024-10-19"/>
    <s v="18-25"/>
    <n v="1122.55"/>
  </r>
  <r>
    <s v="ORD02972"/>
    <d v="2026-01-17T00:00:00"/>
    <s v="CUST0126"/>
    <x v="0"/>
    <x v="0"/>
    <n v="1"/>
    <n v="0.15"/>
    <n v="11900"/>
    <n v="1673.81"/>
    <x v="1"/>
    <s v="Delivered"/>
    <n v="11900"/>
    <n v="14.06563025210084"/>
    <s v="Profit"/>
    <s v="Manoj Mehta"/>
    <x v="1"/>
    <x v="0"/>
    <s v="Bengaluru"/>
    <s v="Karnataka"/>
    <s v="2025-10-04"/>
    <s v="36-50"/>
    <n v="1673.81"/>
  </r>
  <r>
    <s v="ORD02973"/>
    <d v="2026-06-05T00:00:00"/>
    <s v="CUST0293"/>
    <x v="1"/>
    <x v="15"/>
    <n v="2"/>
    <n v="0"/>
    <n v="4400"/>
    <n v="1500"/>
    <x v="1"/>
    <s v="Shipped"/>
    <n v="2200"/>
    <n v="34.090909090909093"/>
    <s v="Profit"/>
    <s v="Ishaan Singh"/>
    <x v="2"/>
    <x v="2"/>
    <s v="Delhi"/>
    <s v="Delhi"/>
    <s v="2023-03-09"/>
    <s v="26-35"/>
    <n v="750"/>
  </r>
  <r>
    <s v="ORD02974"/>
    <d v="2026-03-08T00:00:00"/>
    <s v="CUST0482"/>
    <x v="3"/>
    <x v="10"/>
    <n v="1"/>
    <n v="0.1"/>
    <n v="49500"/>
    <n v="4644.87"/>
    <x v="2"/>
    <s v="Shipped"/>
    <n v="49500"/>
    <n v="9.3835757575757572"/>
    <s v="Profit"/>
    <s v="Divya Reddy"/>
    <x v="0"/>
    <x v="0"/>
    <s v="Chennai"/>
    <s v="Tamil Nadu"/>
    <s v="2025-06-12"/>
    <s v="26-35"/>
    <n v="4644.87"/>
  </r>
  <r>
    <s v="ORD02975"/>
    <d v="2025-10-24T00:00:00"/>
    <s v="CUST0074"/>
    <x v="0"/>
    <x v="0"/>
    <n v="2"/>
    <n v="0.1"/>
    <n v="25200"/>
    <n v="4038.44"/>
    <x v="0"/>
    <s v="Delivered"/>
    <n v="12600"/>
    <n v="16.02555555555556"/>
    <s v="Profit"/>
    <s v="Sanjay Rao"/>
    <x v="2"/>
    <x v="3"/>
    <s v="Kolkata"/>
    <s v="West Bengal"/>
    <s v="2025-12-13"/>
    <s v="26-35"/>
    <n v="2019.22"/>
  </r>
  <r>
    <s v="ORD02976"/>
    <d v="2026-07-01T00:00:00"/>
    <s v="CUST0535"/>
    <x v="0"/>
    <x v="14"/>
    <n v="2"/>
    <n v="0.05"/>
    <n v="855"/>
    <n v="184.28"/>
    <x v="1"/>
    <s v="Shipped"/>
    <n v="427.5"/>
    <n v="21.553216374269009"/>
    <s v="Profit"/>
    <s v="Sanjay Reddy"/>
    <x v="0"/>
    <x v="0"/>
    <s v="Bengaluru"/>
    <s v="Karnataka"/>
    <s v="2024-03-17"/>
    <s v="18-25"/>
    <n v="92.14"/>
  </r>
  <r>
    <s v="ORD02977"/>
    <d v="2026-03-20T00:00:00"/>
    <s v="CUST0186"/>
    <x v="0"/>
    <x v="7"/>
    <n v="10"/>
    <n v="0.15"/>
    <n v="7650"/>
    <n v="2078.36"/>
    <x v="2"/>
    <s v="Shipped"/>
    <n v="765"/>
    <n v="27.168104575163401"/>
    <s v="Profit"/>
    <s v="Vikram Verma"/>
    <x v="1"/>
    <x v="0"/>
    <s v="Coimbatore"/>
    <s v="Tamil Nadu"/>
    <s v="2024-03-12"/>
    <s v="18-25"/>
    <n v="207.83600000000001"/>
  </r>
  <r>
    <s v="ORD02978"/>
    <d v="2025-08-11T00:00:00"/>
    <s v="CUST0574"/>
    <x v="2"/>
    <x v="9"/>
    <n v="1"/>
    <n v="0.05"/>
    <n v="8550"/>
    <n v="1953.25"/>
    <x v="3"/>
    <s v="Delivered"/>
    <n v="8550"/>
    <n v="22.845029239766081"/>
    <s v="Profit"/>
    <s v="Akash Kulkarni"/>
    <x v="1"/>
    <x v="1"/>
    <s v="Pune"/>
    <s v="Maharashtra"/>
    <s v="2025-11-01"/>
    <s v="51+"/>
    <n v="1953.25"/>
  </r>
  <r>
    <s v="ORD02979"/>
    <d v="2026-03-19T00:00:00"/>
    <s v="CUST0014"/>
    <x v="3"/>
    <x v="4"/>
    <n v="2"/>
    <n v="0.15"/>
    <n v="30600"/>
    <n v="2670.55"/>
    <x v="1"/>
    <s v="Delivered"/>
    <n v="15300"/>
    <n v="8.7272875816993469"/>
    <s v="Profit"/>
    <s v="Lakshmi Verma"/>
    <x v="2"/>
    <x v="0"/>
    <s v="Chennai"/>
    <s v="Tamil Nadu"/>
    <s v="2024-11-24"/>
    <s v="36-50"/>
    <n v="1335.2750000000001"/>
  </r>
  <r>
    <s v="ORD02980"/>
    <d v="2026-07-08T00:00:00"/>
    <s v="CUST0422"/>
    <x v="2"/>
    <x v="2"/>
    <n v="1"/>
    <n v="0.1"/>
    <n v="11700"/>
    <n v="2390.48"/>
    <x v="1"/>
    <s v="Delivered"/>
    <n v="11700"/>
    <n v="20.431452991452989"/>
    <s v="Profit"/>
    <s v="Meera Nair"/>
    <x v="1"/>
    <x v="0"/>
    <s v="Coimbatore"/>
    <s v="Tamil Nadu"/>
    <s v="2025-02-08"/>
    <s v="26-35"/>
    <n v="2390.48"/>
  </r>
  <r>
    <s v="ORD02981"/>
    <d v="2025-08-29T00:00:00"/>
    <s v="CUST0441"/>
    <x v="1"/>
    <x v="12"/>
    <n v="5"/>
    <n v="0.15"/>
    <n v="5950"/>
    <n v="1904.94"/>
    <x v="1"/>
    <s v="Delivered"/>
    <n v="1190"/>
    <n v="32.015798319327729"/>
    <s v="Profit"/>
    <s v="Arjun Joshi"/>
    <x v="0"/>
    <x v="0"/>
    <s v="Bengaluru"/>
    <s v="Karnataka"/>
    <s v="2024-05-10"/>
    <s v="18-25"/>
    <n v="380.988"/>
  </r>
  <r>
    <s v="ORD02982"/>
    <d v="2026-05-27T00:00:00"/>
    <s v="CUST0412"/>
    <x v="1"/>
    <x v="13"/>
    <n v="1"/>
    <n v="0.15"/>
    <n v="3570"/>
    <n v="721.04"/>
    <x v="0"/>
    <s v="Delivered"/>
    <n v="3570"/>
    <n v="20.19719887955182"/>
    <s v="Profit"/>
    <s v="Akash Khan"/>
    <x v="0"/>
    <x v="0"/>
    <s v="Chennai"/>
    <s v="Tamil Nadu"/>
    <s v="2025-03-27"/>
    <s v="26-35"/>
    <n v="721.04"/>
  </r>
  <r>
    <s v="ORD02983"/>
    <d v="2025-12-22T00:00:00"/>
    <s v="CUST0401"/>
    <x v="0"/>
    <x v="14"/>
    <n v="4"/>
    <n v="0.2"/>
    <n v="1440"/>
    <n v="239.34"/>
    <x v="3"/>
    <s v="Delivered"/>
    <n v="360"/>
    <n v="16.62083333333333"/>
    <s v="Profit"/>
    <s v="Ananya Nair"/>
    <x v="0"/>
    <x v="0"/>
    <s v="Hyderabad"/>
    <s v="Telangana"/>
    <s v="2024-04-08"/>
    <s v="26-35"/>
    <n v="59.835000000000001"/>
  </r>
  <r>
    <s v="ORD02984"/>
    <d v="2026-07-02T00:00:00"/>
    <s v="CUST0528"/>
    <x v="2"/>
    <x v="3"/>
    <n v="1"/>
    <n v="0.15"/>
    <n v="12750"/>
    <n v="2250.73"/>
    <x v="2"/>
    <s v="Delivered"/>
    <n v="12750"/>
    <n v="17.652784313725491"/>
    <s v="Profit"/>
    <s v="Karthik Menon"/>
    <x v="0"/>
    <x v="0"/>
    <s v="Chennai"/>
    <s v="Tamil Nadu"/>
    <s v="2024-07-24"/>
    <s v="36-50"/>
    <n v="2250.73"/>
  </r>
  <r>
    <s v="ORD02985"/>
    <d v="2025-10-19T00:00:00"/>
    <s v="CUST0521"/>
    <x v="0"/>
    <x v="7"/>
    <n v="3"/>
    <n v="0.05"/>
    <n v="2565"/>
    <n v="762.17"/>
    <x v="2"/>
    <s v="Delivered"/>
    <n v="855"/>
    <n v="29.714230019493179"/>
    <s v="Profit"/>
    <s v="Priya Singh"/>
    <x v="0"/>
    <x v="0"/>
    <s v="Bengaluru"/>
    <s v="Karnataka"/>
    <s v="2025-11-16"/>
    <s v="51+"/>
    <n v="254.05666666666659"/>
  </r>
  <r>
    <s v="ORD02986"/>
    <d v="2026-08-21T00:00:00"/>
    <s v="CUST0574"/>
    <x v="3"/>
    <x v="10"/>
    <n v="5"/>
    <n v="0.15"/>
    <n v="233750"/>
    <n v="22788.85"/>
    <x v="1"/>
    <s v="Delivered"/>
    <n v="46750"/>
    <n v="9.7492406417112285"/>
    <s v="Profit"/>
    <s v="Akash Kulkarni"/>
    <x v="1"/>
    <x v="1"/>
    <s v="Pune"/>
    <s v="Maharashtra"/>
    <s v="2025-11-01"/>
    <s v="51+"/>
    <n v="4557.7700000000004"/>
  </r>
  <r>
    <s v="ORD02987"/>
    <d v="2025-07-15T00:00:00"/>
    <s v="CUST0209"/>
    <x v="2"/>
    <x v="9"/>
    <n v="2"/>
    <n v="0.1"/>
    <n v="16200"/>
    <n v="3408.3"/>
    <x v="2"/>
    <s v="Delivered"/>
    <n v="8100"/>
    <n v="21.038888888888891"/>
    <s v="Profit"/>
    <s v="Rahul Naidu"/>
    <x v="0"/>
    <x v="0"/>
    <s v="Hyderabad"/>
    <s v="Telangana"/>
    <s v="2023-02-09"/>
    <s v="36-50"/>
    <n v="1704.15"/>
  </r>
  <r>
    <s v="ORD02988"/>
    <d v="2026-07-30T00:00:00"/>
    <s v="CUST0422"/>
    <x v="2"/>
    <x v="5"/>
    <n v="5"/>
    <n v="0.1"/>
    <n v="49500"/>
    <n v="10402.52"/>
    <x v="1"/>
    <s v="Delivered"/>
    <n v="9900"/>
    <n v="21.015191919191921"/>
    <s v="Profit"/>
    <s v="Meera Nair"/>
    <x v="1"/>
    <x v="0"/>
    <s v="Coimbatore"/>
    <s v="Tamil Nadu"/>
    <s v="2025-02-08"/>
    <s v="26-35"/>
    <n v="2080.5039999999999"/>
  </r>
  <r>
    <s v="ORD02989"/>
    <d v="2026-08-27T00:00:00"/>
    <s v="CUST0271"/>
    <x v="0"/>
    <x v="7"/>
    <n v="5"/>
    <n v="0.1"/>
    <n v="4050"/>
    <n v="1095.45"/>
    <x v="1"/>
    <s v="Delivered"/>
    <n v="810"/>
    <n v="27.048148148148151"/>
    <s v="Profit"/>
    <s v="Rohan Mehta"/>
    <x v="1"/>
    <x v="2"/>
    <s v="Delhi"/>
    <s v="Delhi"/>
    <s v="2025-01-13"/>
    <s v="51+"/>
    <n v="219.09"/>
  </r>
  <r>
    <s v="ORD02990"/>
    <d v="2026-08-02T00:00:00"/>
    <s v="CUST0415"/>
    <x v="3"/>
    <x v="4"/>
    <n v="5"/>
    <n v="0.15"/>
    <n v="76500"/>
    <n v="11074.55"/>
    <x v="3"/>
    <s v="Delivered"/>
    <n v="15300"/>
    <n v="14.476535947712421"/>
    <s v="Profit"/>
    <s v="Manoj Bose"/>
    <x v="1"/>
    <x v="0"/>
    <s v="Bengaluru"/>
    <s v="Karnataka"/>
    <s v="2024-07-04"/>
    <s v="36-50"/>
    <n v="2214.91"/>
  </r>
  <r>
    <s v="ORD02991"/>
    <d v="2026-07-09T00:00:00"/>
    <s v="CUST0521"/>
    <x v="1"/>
    <x v="1"/>
    <n v="5"/>
    <n v="0.05"/>
    <n v="8550"/>
    <n v="3017.9"/>
    <x v="1"/>
    <s v="Delivered"/>
    <n v="1710"/>
    <n v="35.297076023391817"/>
    <s v="Profit"/>
    <s v="Priya Singh"/>
    <x v="0"/>
    <x v="0"/>
    <s v="Bengaluru"/>
    <s v="Karnataka"/>
    <s v="2025-11-16"/>
    <s v="51+"/>
    <n v="603.58000000000004"/>
  </r>
  <r>
    <s v="ORD02992"/>
    <d v="2026-08-15T00:00:00"/>
    <s v="CUST0033"/>
    <x v="0"/>
    <x v="0"/>
    <n v="5"/>
    <n v="0.05"/>
    <n v="66500"/>
    <n v="11049.17"/>
    <x v="2"/>
    <s v="Delivered"/>
    <n v="13300"/>
    <n v="16.61529323308271"/>
    <s v="Profit"/>
    <s v="Ananya Das"/>
    <x v="0"/>
    <x v="2"/>
    <s v="Delhi"/>
    <s v="Delhi"/>
    <s v="2023-12-18"/>
    <s v="18-25"/>
    <n v="2209.8339999999998"/>
  </r>
  <r>
    <s v="ORD02993"/>
    <d v="2026-05-02T00:00:00"/>
    <s v="CUST0529"/>
    <x v="0"/>
    <x v="6"/>
    <n v="2"/>
    <n v="0"/>
    <n v="700"/>
    <n v="240"/>
    <x v="2"/>
    <s v="Delivered"/>
    <n v="350"/>
    <n v="34.285714285714278"/>
    <s v="Profit"/>
    <s v="Ananya Rao"/>
    <x v="1"/>
    <x v="1"/>
    <s v="Surat"/>
    <s v="Gujarat"/>
    <s v="2023-10-24"/>
    <s v="18-25"/>
    <n v="120"/>
  </r>
  <r>
    <s v="ORD02994"/>
    <d v="2026-02-09T00:00:00"/>
    <s v="CUST0281"/>
    <x v="0"/>
    <x v="0"/>
    <n v="3"/>
    <n v="0.1"/>
    <n v="37800"/>
    <n v="6362.47"/>
    <x v="3"/>
    <s v="Shipped"/>
    <n v="12600"/>
    <n v="16.831931216931221"/>
    <s v="Profit"/>
    <s v="Divya Reddy"/>
    <x v="0"/>
    <x v="0"/>
    <s v="Coimbatore"/>
    <s v="Tamil Nadu"/>
    <s v="2025-04-27"/>
    <s v="36-50"/>
    <n v="2120.8233333333328"/>
  </r>
  <r>
    <s v="ORD02995"/>
    <d v="2026-08-27T00:00:00"/>
    <s v="CUST0208"/>
    <x v="0"/>
    <x v="7"/>
    <n v="1"/>
    <n v="0.2"/>
    <n v="720"/>
    <n v="150.57"/>
    <x v="1"/>
    <s v="Delivered"/>
    <n v="720"/>
    <n v="20.912500000000001"/>
    <s v="Profit"/>
    <s v="Sneha Pillai"/>
    <x v="0"/>
    <x v="0"/>
    <s v="Hyderabad"/>
    <s v="Telangana"/>
    <s v="2025-02-01"/>
    <s v="26-35"/>
    <n v="150.57"/>
  </r>
  <r>
    <s v="ORD02996"/>
    <d v="2025-11-03T00:00:00"/>
    <s v="CUST0106"/>
    <x v="2"/>
    <x v="9"/>
    <n v="3"/>
    <n v="0"/>
    <n v="27000"/>
    <n v="6900"/>
    <x v="3"/>
    <s v="Delivered"/>
    <n v="9000"/>
    <n v="25.55555555555555"/>
    <s v="Profit"/>
    <s v="Kavya Nair"/>
    <x v="1"/>
    <x v="0"/>
    <s v="Coimbatore"/>
    <s v="Tamil Nadu"/>
    <s v="2025-07-06"/>
    <s v="36-50"/>
    <n v="2300"/>
  </r>
  <r>
    <s v="ORD02997"/>
    <d v="2025-10-02T00:00:00"/>
    <s v="CUST0509"/>
    <x v="1"/>
    <x v="12"/>
    <n v="2"/>
    <n v="0.1"/>
    <n v="2520"/>
    <n v="791.42"/>
    <x v="2"/>
    <s v="Delivered"/>
    <n v="1260"/>
    <n v="31.405555555555551"/>
    <s v="Profit"/>
    <s v="Akash Das"/>
    <x v="2"/>
    <x v="3"/>
    <s v="Patna"/>
    <s v="Bihar"/>
    <s v="2024-11-26"/>
    <s v="36-50"/>
    <n v="395.71"/>
  </r>
  <r>
    <s v="ORD02998"/>
    <d v="2025-07-06T00:00:00"/>
    <s v="CUST0178"/>
    <x v="1"/>
    <x v="12"/>
    <n v="4"/>
    <n v="0.15"/>
    <n v="4760"/>
    <n v="1613.02"/>
    <x v="1"/>
    <s v="Delivered"/>
    <n v="1190"/>
    <n v="33.886974789915961"/>
    <s v="Profit"/>
    <s v="Ananya Pillai"/>
    <x v="0"/>
    <x v="1"/>
    <s v="Pune"/>
    <s v="Maharashtra"/>
    <s v="2025-02-10"/>
    <s v="26-35"/>
    <n v="403.255"/>
  </r>
  <r>
    <s v="ORD02999"/>
    <d v="2026-05-28T00:00:00"/>
    <s v="CUST0475"/>
    <x v="3"/>
    <x v="10"/>
    <n v="3"/>
    <n v="0.1"/>
    <n v="148500"/>
    <n v="13701.93"/>
    <x v="0"/>
    <s v="Delivered"/>
    <n v="49500"/>
    <n v="9.2268888888888885"/>
    <s v="Profit"/>
    <s v="Divya Verma"/>
    <x v="0"/>
    <x v="0"/>
    <s v="Bengaluru"/>
    <s v="Karnataka"/>
    <s v="2025-12-10"/>
    <s v="26-35"/>
    <n v="4567.3100000000004"/>
  </r>
  <r>
    <s v="ORD03000"/>
    <d v="2026-08-26T00:00:00"/>
    <s v="CUST0400"/>
    <x v="0"/>
    <x v="6"/>
    <n v="6"/>
    <n v="0.15"/>
    <n v="1785"/>
    <n v="560.5"/>
    <x v="3"/>
    <s v="Delivered"/>
    <n v="297.5"/>
    <n v="31.400560224089631"/>
    <s v="Profit"/>
    <s v="Karthik Bose"/>
    <x v="0"/>
    <x v="0"/>
    <s v="Hyderabad"/>
    <s v="Telangana"/>
    <s v="2024-08-01"/>
    <s v="36-50"/>
    <n v="93.416666666666671"/>
  </r>
  <r>
    <s v="ORD03001"/>
    <d v="2025-08-29T00:00:00"/>
    <s v="CUST0106"/>
    <x v="2"/>
    <x v="9"/>
    <n v="2"/>
    <n v="0.1"/>
    <n v="16200"/>
    <n v="3663.04"/>
    <x v="0"/>
    <s v="Delivered"/>
    <n v="8100"/>
    <n v="22.611358024691359"/>
    <s v="Profit"/>
    <s v="Kavya Nair"/>
    <x v="1"/>
    <x v="0"/>
    <s v="Coimbatore"/>
    <s v="Tamil Nadu"/>
    <s v="2025-07-06"/>
    <s v="36-50"/>
    <n v="1831.52"/>
  </r>
  <r>
    <s v="ORD03002"/>
    <d v="2025-11-10T00:00:00"/>
    <s v="CUST0179"/>
    <x v="3"/>
    <x v="10"/>
    <n v="3"/>
    <n v="0"/>
    <n v="165000"/>
    <n v="27000"/>
    <x v="1"/>
    <s v="Delivered"/>
    <n v="55000"/>
    <n v="16.36363636363636"/>
    <s v="Profit"/>
    <s v="Akash Pillai"/>
    <x v="0"/>
    <x v="1"/>
    <s v="Pune"/>
    <s v="Maharashtra"/>
    <s v="2024-09-14"/>
    <s v="51+"/>
    <n v="9000"/>
  </r>
  <r>
    <s v="ORD03003"/>
    <d v="2025-08-22T00:00:00"/>
    <s v="CUST0577"/>
    <x v="0"/>
    <x v="7"/>
    <n v="5"/>
    <n v="0.1"/>
    <n v="4050"/>
    <n v="-789.15"/>
    <x v="3"/>
    <s v="Returned"/>
    <n v="810"/>
    <n v="-19.485185185185191"/>
    <s v="Loss"/>
    <s v="Lakshmi Joshi"/>
    <x v="1"/>
    <x v="1"/>
    <s v="Ahmedabad"/>
    <s v="Gujarat"/>
    <s v="2024-09-03"/>
    <s v="26-35"/>
    <n v="-157.83000000000001"/>
  </r>
  <r>
    <s v="ORD03004"/>
    <d v="2026-07-24T00:00:00"/>
    <s v="CUST0028"/>
    <x v="2"/>
    <x v="5"/>
    <n v="1"/>
    <n v="0.1"/>
    <n v="9900"/>
    <n v="1924.96"/>
    <x v="3"/>
    <s v="Delivered"/>
    <n v="9900"/>
    <n v="19.4440404040404"/>
    <s v="Profit"/>
    <s v="Manoj Menon"/>
    <x v="0"/>
    <x v="1"/>
    <s v="Pune"/>
    <s v="Maharashtra"/>
    <s v="2023-11-15"/>
    <s v="36-50"/>
    <n v="1924.96"/>
  </r>
  <r>
    <s v="ORD03005"/>
    <d v="2025-08-11T00:00:00"/>
    <s v="CUST0057"/>
    <x v="3"/>
    <x v="10"/>
    <n v="1"/>
    <n v="0.2"/>
    <n v="44000"/>
    <n v="2973.24"/>
    <x v="0"/>
    <s v="Delivered"/>
    <n v="44000"/>
    <n v="6.7573636363636362"/>
    <s v="Profit"/>
    <s v="Akash Singh"/>
    <x v="2"/>
    <x v="2"/>
    <s v="Chandigarh"/>
    <s v="Chandigarh"/>
    <s v="2024-12-21"/>
    <s v="26-35"/>
    <n v="2973.24"/>
  </r>
  <r>
    <s v="ORD03006"/>
    <d v="2026-02-28T00:00:00"/>
    <s v="CUST0540"/>
    <x v="1"/>
    <x v="1"/>
    <n v="3"/>
    <n v="0.05"/>
    <n v="5130"/>
    <n v="1807.95"/>
    <x v="3"/>
    <s v="Delivered"/>
    <n v="1710"/>
    <n v="35.242690058479532"/>
    <s v="Profit"/>
    <s v="Kavya Rao"/>
    <x v="0"/>
    <x v="0"/>
    <s v="Chennai"/>
    <s v="Tamil Nadu"/>
    <s v="2023-09-30"/>
    <s v="18-25"/>
    <n v="602.65"/>
  </r>
  <r>
    <s v="ORD03007"/>
    <d v="2026-07-11T00:00:00"/>
    <s v="CUST0020"/>
    <x v="2"/>
    <x v="5"/>
    <n v="3"/>
    <n v="0"/>
    <n v="33000"/>
    <n v="7800"/>
    <x v="2"/>
    <s v="Delivered"/>
    <n v="11000"/>
    <n v="23.63636363636364"/>
    <s v="Profit"/>
    <s v="Aarav Pillai"/>
    <x v="0"/>
    <x v="2"/>
    <s v="Lucknow"/>
    <s v="Uttar Pradesh"/>
    <s v="2025-11-30"/>
    <s v="26-35"/>
    <n v="2600"/>
  </r>
  <r>
    <s v="ORD03008"/>
    <d v="2025-08-18T00:00:00"/>
    <s v="CUST0161"/>
    <x v="2"/>
    <x v="2"/>
    <n v="2"/>
    <n v="0.05"/>
    <n v="24700"/>
    <n v="5442.6"/>
    <x v="1"/>
    <s v="Delivered"/>
    <n v="12350"/>
    <n v="22.03481781376518"/>
    <s v="Profit"/>
    <s v="Rohan Reddy"/>
    <x v="2"/>
    <x v="0"/>
    <s v="Bengaluru"/>
    <s v="Karnataka"/>
    <s v="2025-07-10"/>
    <s v="51+"/>
    <n v="2721.3"/>
  </r>
  <r>
    <s v="ORD03009"/>
    <d v="2026-08-13T00:00:00"/>
    <s v="CUST0252"/>
    <x v="3"/>
    <x v="4"/>
    <n v="2"/>
    <n v="0.15"/>
    <n v="30600"/>
    <n v="4285.9399999999996"/>
    <x v="2"/>
    <s v="Delivered"/>
    <n v="15300"/>
    <n v="14.006339869281049"/>
    <s v="Profit"/>
    <s v="Ishaan Pillai"/>
    <x v="0"/>
    <x v="0"/>
    <s v="Coimbatore"/>
    <s v="Tamil Nadu"/>
    <s v="2024-06-19"/>
    <s v="36-50"/>
    <n v="2142.9699999999998"/>
  </r>
  <r>
    <s v="ORD03010"/>
    <d v="2025-10-31T00:00:00"/>
    <s v="CUST0192"/>
    <x v="3"/>
    <x v="4"/>
    <n v="2"/>
    <n v="0"/>
    <n v="36000"/>
    <n v="-3249.5"/>
    <x v="2"/>
    <s v="Returned"/>
    <n v="18000"/>
    <n v="-9.0263888888888886"/>
    <s v="Loss"/>
    <s v="Kavya Verma"/>
    <x v="2"/>
    <x v="3"/>
    <s v="Bhubaneswar"/>
    <s v="Odisha"/>
    <s v="2023-06-15"/>
    <s v="36-50"/>
    <n v="-1624.75"/>
  </r>
  <r>
    <s v="ORD03011"/>
    <d v="2025-09-03T00:00:00"/>
    <s v="CUST0594"/>
    <x v="2"/>
    <x v="5"/>
    <n v="4"/>
    <n v="0.3"/>
    <n v="30800"/>
    <n v="799.52"/>
    <x v="3"/>
    <s v="Delivered"/>
    <n v="7700"/>
    <n v="2.5958441558441558"/>
    <s v="Profit"/>
    <s v="Ishaan Bose"/>
    <x v="1"/>
    <x v="0"/>
    <s v="Coimbatore"/>
    <s v="Tamil Nadu"/>
    <s v="2024-06-29"/>
    <s v="51+"/>
    <n v="199.88"/>
  </r>
  <r>
    <s v="ORD03012"/>
    <d v="2025-11-16T00:00:00"/>
    <s v="CUST0425"/>
    <x v="2"/>
    <x v="2"/>
    <n v="3"/>
    <n v="0"/>
    <n v="39000"/>
    <n v="9600"/>
    <x v="3"/>
    <s v="Delivered"/>
    <n v="13000"/>
    <n v="24.61538461538462"/>
    <s v="Profit"/>
    <s v="Lakshmi Mishra"/>
    <x v="0"/>
    <x v="3"/>
    <s v="Bhubaneswar"/>
    <s v="Odisha"/>
    <s v="2024-08-12"/>
    <s v="26-35"/>
    <n v="3200"/>
  </r>
  <r>
    <s v="ORD03013"/>
    <d v="2025-09-02T00:00:00"/>
    <s v="CUST0542"/>
    <x v="3"/>
    <x v="4"/>
    <n v="2"/>
    <n v="0.15"/>
    <n v="30600"/>
    <n v="3279.5"/>
    <x v="1"/>
    <s v="Shipped"/>
    <n v="15300"/>
    <n v="10.71732026143791"/>
    <s v="Profit"/>
    <s v="Vikram Rao"/>
    <x v="1"/>
    <x v="0"/>
    <s v="Bengaluru"/>
    <s v="Karnataka"/>
    <s v="2023-06-19"/>
    <s v="36-50"/>
    <n v="1639.75"/>
  </r>
  <r>
    <s v="ORD03014"/>
    <d v="2026-02-15T00:00:00"/>
    <s v="CUST0231"/>
    <x v="3"/>
    <x v="11"/>
    <n v="4"/>
    <n v="0.1"/>
    <n v="9000"/>
    <n v="2408.04"/>
    <x v="2"/>
    <s v="Shipped"/>
    <n v="2250"/>
    <n v="26.756"/>
    <s v="Profit"/>
    <s v="Rahul Rao"/>
    <x v="0"/>
    <x v="3"/>
    <s v="Guwahati"/>
    <s v="Assam"/>
    <s v="2024-11-22"/>
    <s v="36-50"/>
    <n v="602.01"/>
  </r>
  <r>
    <s v="ORD03015"/>
    <d v="2026-02-23T00:00:00"/>
    <s v="CUST0363"/>
    <x v="2"/>
    <x v="3"/>
    <n v="3"/>
    <n v="0.15"/>
    <n v="38250"/>
    <n v="6081.78"/>
    <x v="2"/>
    <s v="Delivered"/>
    <n v="12750"/>
    <n v="15.900078431372551"/>
    <s v="Profit"/>
    <s v="Priya Patel"/>
    <x v="1"/>
    <x v="0"/>
    <s v="Chennai"/>
    <s v="Tamil Nadu"/>
    <s v="2024-01-12"/>
    <s v="51+"/>
    <n v="2027.26"/>
  </r>
  <r>
    <s v="ORD03016"/>
    <d v="2025-10-05T00:00:00"/>
    <s v="CUST0140"/>
    <x v="0"/>
    <x v="7"/>
    <n v="2"/>
    <n v="0.2"/>
    <n v="1440"/>
    <n v="327.99"/>
    <x v="2"/>
    <s v="Delivered"/>
    <n v="720"/>
    <n v="22.77708333333333"/>
    <s v="Profit"/>
    <s v="Ananya Naidu"/>
    <x v="1"/>
    <x v="2"/>
    <s v="Chandigarh"/>
    <s v="Chandigarh"/>
    <s v="2024-04-14"/>
    <s v="26-35"/>
    <n v="163.995"/>
  </r>
  <r>
    <s v="ORD03017"/>
    <d v="2026-08-23T00:00:00"/>
    <s v="CUST0302"/>
    <x v="2"/>
    <x v="2"/>
    <n v="3"/>
    <n v="0.05"/>
    <n v="37050"/>
    <n v="8481.67"/>
    <x v="3"/>
    <s v="Shipped"/>
    <n v="12350"/>
    <n v="22.89249662618084"/>
    <s v="Profit"/>
    <s v="Ananya Iyer"/>
    <x v="0"/>
    <x v="1"/>
    <s v="Pune"/>
    <s v="Maharashtra"/>
    <s v="2025-09-02"/>
    <s v="26-35"/>
    <n v="2827.2233333333329"/>
  </r>
  <r>
    <s v="ORD03018"/>
    <d v="2025-11-30T00:00:00"/>
    <s v="CUST0316"/>
    <x v="0"/>
    <x v="0"/>
    <n v="5"/>
    <n v="0.15"/>
    <n v="59500"/>
    <n v="-26598.14"/>
    <x v="0"/>
    <s v="Cancelled"/>
    <n v="11900"/>
    <n v="-44.70275630252101"/>
    <s v="Loss"/>
    <s v="Sneha Iyer"/>
    <x v="2"/>
    <x v="3"/>
    <s v="Guwahati"/>
    <s v="Assam"/>
    <s v="2024-04-21"/>
    <s v="26-35"/>
    <n v="-5319.6279999999997"/>
  </r>
  <r>
    <s v="ORD03019"/>
    <d v="2026-08-29T00:00:00"/>
    <s v="CUST0348"/>
    <x v="3"/>
    <x v="11"/>
    <n v="4"/>
    <n v="0"/>
    <n v="10000"/>
    <n v="3200"/>
    <x v="1"/>
    <s v="Shipped"/>
    <n v="2500"/>
    <n v="32"/>
    <s v="Profit"/>
    <s v="Varun Verma"/>
    <x v="2"/>
    <x v="3"/>
    <s v="Patna"/>
    <s v="Bihar"/>
    <s v="2024-01-11"/>
    <s v="26-35"/>
    <n v="800"/>
  </r>
  <r>
    <s v="ORD03020"/>
    <d v="2025-12-31T00:00:00"/>
    <s v="CUST0155"/>
    <x v="3"/>
    <x v="4"/>
    <n v="1"/>
    <n v="0.15"/>
    <n v="15300"/>
    <n v="1362.56"/>
    <x v="2"/>
    <s v="Delivered"/>
    <n v="15300"/>
    <n v="8.9056209150326797"/>
    <s v="Profit"/>
    <s v="Ishaan Sharma"/>
    <x v="0"/>
    <x v="0"/>
    <s v="Bengaluru"/>
    <s v="Karnataka"/>
    <s v="2023-07-08"/>
    <s v="26-35"/>
    <n v="1362.56"/>
  </r>
  <r>
    <s v="ORD03021"/>
    <d v="2025-11-07T00:00:00"/>
    <s v="CUST0510"/>
    <x v="0"/>
    <x v="14"/>
    <n v="5"/>
    <n v="0"/>
    <n v="2250"/>
    <n v="550"/>
    <x v="3"/>
    <s v="Delivered"/>
    <n v="450"/>
    <n v="24.444444444444439"/>
    <s v="Profit"/>
    <s v="Vikram Singh"/>
    <x v="1"/>
    <x v="0"/>
    <s v="Coimbatore"/>
    <s v="Tamil Nadu"/>
    <s v="2024-08-20"/>
    <s v="36-50"/>
    <n v="110"/>
  </r>
  <r>
    <s v="ORD03022"/>
    <d v="2026-04-21T00:00:00"/>
    <s v="CUST0403"/>
    <x v="0"/>
    <x v="14"/>
    <n v="2"/>
    <n v="0"/>
    <n v="900"/>
    <n v="-322.95999999999998"/>
    <x v="0"/>
    <s v="Returned"/>
    <n v="450"/>
    <n v="-35.884444444444441"/>
    <s v="Loss"/>
    <s v="Nisha Mehta"/>
    <x v="0"/>
    <x v="1"/>
    <s v="Pune"/>
    <s v="Maharashtra"/>
    <s v="2025-11-22"/>
    <s v="36-50"/>
    <n v="-161.47999999999999"/>
  </r>
  <r>
    <s v="ORD03023"/>
    <d v="2025-12-08T00:00:00"/>
    <s v="CUST0233"/>
    <x v="3"/>
    <x v="11"/>
    <n v="3"/>
    <n v="0.1"/>
    <n v="6750"/>
    <n v="-981.21"/>
    <x v="3"/>
    <s v="Cancelled"/>
    <n v="2250"/>
    <n v="-14.53644444444445"/>
    <s v="Loss"/>
    <s v="Aarav Menon"/>
    <x v="0"/>
    <x v="2"/>
    <s v="Chandigarh"/>
    <s v="Chandigarh"/>
    <s v="2023-12-22"/>
    <s v="26-35"/>
    <n v="-327.07"/>
  </r>
  <r>
    <s v="ORD03024"/>
    <d v="2026-06-28T00:00:00"/>
    <s v="CUST0402"/>
    <x v="0"/>
    <x v="0"/>
    <n v="1"/>
    <n v="0.1"/>
    <n v="12600"/>
    <n v="1866.39"/>
    <x v="0"/>
    <s v="Shipped"/>
    <n v="12600"/>
    <n v="14.81261904761905"/>
    <s v="Profit"/>
    <s v="Diya Pillai"/>
    <x v="1"/>
    <x v="0"/>
    <s v="Chennai"/>
    <s v="Tamil Nadu"/>
    <s v="2025-08-08"/>
    <s v="36-50"/>
    <n v="1866.39"/>
  </r>
  <r>
    <s v="ORD03025"/>
    <d v="2026-03-31T00:00:00"/>
    <s v="CUST0202"/>
    <x v="2"/>
    <x v="2"/>
    <n v="2"/>
    <n v="0"/>
    <n v="26000"/>
    <n v="-1253.5999999999999"/>
    <x v="1"/>
    <s v="Returned"/>
    <n v="13000"/>
    <n v="-4.8215384615384611"/>
    <s v="Loss"/>
    <s v="Manoj Gupta"/>
    <x v="1"/>
    <x v="1"/>
    <s v="Pune"/>
    <s v="Maharashtra"/>
    <s v="2023-12-07"/>
    <s v="26-35"/>
    <n v="-626.79999999999995"/>
  </r>
  <r>
    <s v="ORD03026"/>
    <d v="2025-12-29T00:00:00"/>
    <s v="CUST0155"/>
    <x v="0"/>
    <x v="14"/>
    <n v="2"/>
    <n v="0.15"/>
    <n v="765"/>
    <n v="144.88999999999999"/>
    <x v="3"/>
    <s v="Delivered"/>
    <n v="382.5"/>
    <n v="18.939869281045748"/>
    <s v="Profit"/>
    <s v="Ishaan Sharma"/>
    <x v="0"/>
    <x v="0"/>
    <s v="Bengaluru"/>
    <s v="Karnataka"/>
    <s v="2023-07-08"/>
    <s v="26-35"/>
    <n v="72.444999999999993"/>
  </r>
  <r>
    <s v="ORD03027"/>
    <d v="2025-08-17T00:00:00"/>
    <s v="CUST0219"/>
    <x v="1"/>
    <x v="13"/>
    <n v="2"/>
    <n v="0.2"/>
    <n v="6720"/>
    <n v="1364.17"/>
    <x v="3"/>
    <s v="Delivered"/>
    <n v="3360"/>
    <n v="20.300148809523812"/>
    <s v="Profit"/>
    <s v="Rahul Menon"/>
    <x v="1"/>
    <x v="3"/>
    <s v="Patna"/>
    <s v="Bihar"/>
    <s v="2023-10-06"/>
    <s v="36-50"/>
    <n v="682.08500000000004"/>
  </r>
  <r>
    <s v="ORD03028"/>
    <d v="2026-05-19T00:00:00"/>
    <s v="CUST0141"/>
    <x v="3"/>
    <x v="8"/>
    <n v="3"/>
    <n v="0"/>
    <n v="13500"/>
    <n v="4500"/>
    <x v="0"/>
    <s v="Delivered"/>
    <n v="4500"/>
    <n v="33.333333333333329"/>
    <s v="Profit"/>
    <s v="Kavya Reddy"/>
    <x v="2"/>
    <x v="0"/>
    <s v="Bengaluru"/>
    <s v="Karnataka"/>
    <s v="2023-09-02"/>
    <s v="26-35"/>
    <n v="1500"/>
  </r>
  <r>
    <s v="ORD03029"/>
    <d v="2025-08-26T00:00:00"/>
    <s v="CUST0383"/>
    <x v="1"/>
    <x v="1"/>
    <n v="3"/>
    <n v="0"/>
    <n v="5400"/>
    <n v="1950"/>
    <x v="2"/>
    <s v="Delivered"/>
    <n v="1800"/>
    <n v="36.111111111111107"/>
    <s v="Profit"/>
    <s v="Arjun Mehta"/>
    <x v="0"/>
    <x v="0"/>
    <s v="Chennai"/>
    <s v="Tamil Nadu"/>
    <s v="2024-05-07"/>
    <s v="51+"/>
    <n v="650"/>
  </r>
  <r>
    <s v="ORD03030"/>
    <d v="2026-03-19T00:00:00"/>
    <s v="CUST0268"/>
    <x v="1"/>
    <x v="15"/>
    <n v="2"/>
    <n v="0.15"/>
    <n v="3740"/>
    <n v="1100.55"/>
    <x v="0"/>
    <s v="Delivered"/>
    <n v="1870"/>
    <n v="29.42647058823529"/>
    <s v="Profit"/>
    <s v="Rahul Singh"/>
    <x v="2"/>
    <x v="3"/>
    <s v="Bhubaneswar"/>
    <s v="Odisha"/>
    <s v="2025-01-05"/>
    <s v="26-35"/>
    <n v="550.27499999999998"/>
  </r>
  <r>
    <s v="ORD03031"/>
    <d v="2026-08-05T00:00:00"/>
    <s v="CUST0012"/>
    <x v="2"/>
    <x v="2"/>
    <n v="2"/>
    <n v="0.1"/>
    <n v="23400"/>
    <n v="-1756.27"/>
    <x v="0"/>
    <s v="Returned"/>
    <n v="11700"/>
    <n v="-7.5054273504273503"/>
    <s v="Loss"/>
    <s v="Akash Nair"/>
    <x v="1"/>
    <x v="0"/>
    <s v="Chennai"/>
    <s v="Tamil Nadu"/>
    <s v="2025-11-27"/>
    <s v="36-50"/>
    <n v="-878.13499999999999"/>
  </r>
  <r>
    <s v="ORD03032"/>
    <d v="2025-10-30T00:00:00"/>
    <s v="CUST0475"/>
    <x v="1"/>
    <x v="1"/>
    <n v="4"/>
    <n v="0.15"/>
    <n v="6120"/>
    <n v="1779.1"/>
    <x v="3"/>
    <s v="Delivered"/>
    <n v="1530"/>
    <n v="29.070261437908499"/>
    <s v="Profit"/>
    <s v="Divya Verma"/>
    <x v="0"/>
    <x v="0"/>
    <s v="Bengaluru"/>
    <s v="Karnataka"/>
    <s v="2025-12-10"/>
    <s v="26-35"/>
    <n v="444.77499999999998"/>
  </r>
  <r>
    <s v="ORD03033"/>
    <d v="2025-07-09T00:00:00"/>
    <s v="CUST0438"/>
    <x v="2"/>
    <x v="2"/>
    <n v="3"/>
    <n v="0.05"/>
    <n v="37050"/>
    <n v="8202.25"/>
    <x v="0"/>
    <s v="Delivered"/>
    <n v="12350"/>
    <n v="22.138326585695001"/>
    <s v="Profit"/>
    <s v="Diya Nair"/>
    <x v="0"/>
    <x v="3"/>
    <s v="Bhubaneswar"/>
    <s v="Odisha"/>
    <s v="2024-03-15"/>
    <s v="51+"/>
    <n v="2734.083333333333"/>
  </r>
  <r>
    <s v="ORD03034"/>
    <d v="2026-08-18T00:00:00"/>
    <s v="CUST0114"/>
    <x v="0"/>
    <x v="0"/>
    <n v="2"/>
    <n v="0.15"/>
    <n v="23800"/>
    <n v="-6690.18"/>
    <x v="1"/>
    <s v="Cancelled"/>
    <n v="11900"/>
    <n v="-28.11"/>
    <s v="Loss"/>
    <s v="Aarav Reddy"/>
    <x v="1"/>
    <x v="0"/>
    <s v="Coimbatore"/>
    <s v="Tamil Nadu"/>
    <s v="2023-11-15"/>
    <s v="18-25"/>
    <n v="-3345.09"/>
  </r>
  <r>
    <s v="ORD03035"/>
    <d v="2025-07-22T00:00:00"/>
    <s v="CUST0247"/>
    <x v="2"/>
    <x v="2"/>
    <n v="4"/>
    <n v="0"/>
    <n v="52000"/>
    <n v="12800"/>
    <x v="3"/>
    <s v="Delivered"/>
    <n v="13000"/>
    <n v="24.61538461538462"/>
    <s v="Profit"/>
    <s v="Meera Singh"/>
    <x v="0"/>
    <x v="3"/>
    <s v="Patna"/>
    <s v="Bihar"/>
    <s v="2023-01-30"/>
    <s v="18-25"/>
    <n v="3200"/>
  </r>
  <r>
    <s v="ORD03036"/>
    <d v="2026-03-11T00:00:00"/>
    <s v="CUST0392"/>
    <x v="0"/>
    <x v="0"/>
    <n v="1"/>
    <n v="0.2"/>
    <n v="11200"/>
    <n v="770.36"/>
    <x v="3"/>
    <s v="Delivered"/>
    <n v="11200"/>
    <n v="6.8782142857142858"/>
    <s v="Profit"/>
    <s v="Pooja Patel"/>
    <x v="2"/>
    <x v="1"/>
    <s v="Ahmedabad"/>
    <s v="Gujarat"/>
    <s v="2024-11-07"/>
    <s v="36-50"/>
    <n v="770.36"/>
  </r>
  <r>
    <s v="ORD03037"/>
    <d v="2026-07-27T00:00:00"/>
    <s v="CUST0263"/>
    <x v="3"/>
    <x v="8"/>
    <n v="5"/>
    <n v="0.2"/>
    <n v="18000"/>
    <n v="5049.38"/>
    <x v="2"/>
    <s v="Delivered"/>
    <n v="3600"/>
    <n v="28.05211111111111"/>
    <s v="Profit"/>
    <s v="Priya Khan"/>
    <x v="0"/>
    <x v="3"/>
    <s v="Kolkata"/>
    <s v="West Bengal"/>
    <s v="2025-03-25"/>
    <s v="26-35"/>
    <n v="1009.876"/>
  </r>
  <r>
    <s v="ORD03038"/>
    <d v="2025-11-14T00:00:00"/>
    <s v="CUST0067"/>
    <x v="2"/>
    <x v="2"/>
    <n v="5"/>
    <n v="0.15"/>
    <n v="55250"/>
    <n v="7975.3"/>
    <x v="3"/>
    <s v="Delivered"/>
    <n v="11050"/>
    <n v="14.434932126696831"/>
    <s v="Profit"/>
    <s v="Varun Joshi"/>
    <x v="0"/>
    <x v="0"/>
    <s v="Chennai"/>
    <s v="Tamil Nadu"/>
    <s v="2024-10-29"/>
    <s v="26-35"/>
    <n v="1595.06"/>
  </r>
  <r>
    <s v="ORD03039"/>
    <d v="2026-08-04T00:00:00"/>
    <s v="CUST0557"/>
    <x v="3"/>
    <x v="10"/>
    <n v="2"/>
    <n v="0.15"/>
    <n v="93500"/>
    <n v="10395.620000000001"/>
    <x v="1"/>
    <s v="Delivered"/>
    <n v="46750"/>
    <n v="11.118310160427811"/>
    <s v="Profit"/>
    <s v="Divya Mishra"/>
    <x v="0"/>
    <x v="2"/>
    <s v="Lucknow"/>
    <s v="Uttar Pradesh"/>
    <s v="2024-11-08"/>
    <s v="18-25"/>
    <n v="5197.8100000000004"/>
  </r>
  <r>
    <s v="ORD03040"/>
    <d v="2026-08-09T00:00:00"/>
    <s v="CUST0476"/>
    <x v="0"/>
    <x v="14"/>
    <n v="3"/>
    <n v="0"/>
    <n v="1350"/>
    <n v="330"/>
    <x v="2"/>
    <s v="Delivered"/>
    <n v="450"/>
    <n v="24.444444444444439"/>
    <s v="Profit"/>
    <s v="Ishaan Gupta"/>
    <x v="1"/>
    <x v="0"/>
    <s v="Bengaluru"/>
    <s v="Karnataka"/>
    <s v="2025-07-01"/>
    <s v="18-25"/>
    <n v="110"/>
  </r>
  <r>
    <s v="ORD03041"/>
    <d v="2026-04-15T00:00:00"/>
    <s v="CUST0476"/>
    <x v="2"/>
    <x v="5"/>
    <n v="2"/>
    <n v="0.05"/>
    <n v="20900"/>
    <n v="4390.07"/>
    <x v="0"/>
    <s v="Delivered"/>
    <n v="10450"/>
    <n v="21.005119617224882"/>
    <s v="Profit"/>
    <s v="Ishaan Gupta"/>
    <x v="1"/>
    <x v="0"/>
    <s v="Bengaluru"/>
    <s v="Karnataka"/>
    <s v="2025-07-01"/>
    <s v="18-25"/>
    <n v="2195.0349999999999"/>
  </r>
  <r>
    <s v="ORD03042"/>
    <d v="2026-03-21T00:00:00"/>
    <s v="CUST0146"/>
    <x v="0"/>
    <x v="0"/>
    <n v="5"/>
    <n v="0.15"/>
    <n v="59500"/>
    <n v="8011.28"/>
    <x v="3"/>
    <s v="Shipped"/>
    <n v="11900"/>
    <n v="13.464336134453781"/>
    <s v="Profit"/>
    <s v="Priya Das"/>
    <x v="3"/>
    <x v="3"/>
    <s v="Patna"/>
    <s v="Bihar"/>
    <s v="2024-06-19"/>
    <s v="26-35"/>
    <n v="1602.2560000000001"/>
  </r>
  <r>
    <s v="ORD03043"/>
    <d v="2026-05-18T00:00:00"/>
    <s v="CUST0577"/>
    <x v="2"/>
    <x v="9"/>
    <n v="6"/>
    <n v="0.1"/>
    <n v="48600"/>
    <n v="10686.95"/>
    <x v="1"/>
    <s v="Delivered"/>
    <n v="8100"/>
    <n v="21.98960905349794"/>
    <s v="Profit"/>
    <s v="Lakshmi Joshi"/>
    <x v="1"/>
    <x v="1"/>
    <s v="Ahmedabad"/>
    <s v="Gujarat"/>
    <s v="2024-09-03"/>
    <s v="26-35"/>
    <n v="1781.158333333334"/>
  </r>
  <r>
    <s v="ORD03044"/>
    <d v="2026-07-08T00:00:00"/>
    <s v="CUST0401"/>
    <x v="0"/>
    <x v="7"/>
    <n v="2"/>
    <n v="0.15"/>
    <n v="1530"/>
    <n v="383.23"/>
    <x v="0"/>
    <s v="Shipped"/>
    <n v="765"/>
    <n v="25.047712418300659"/>
    <s v="Profit"/>
    <s v="Ananya Nair"/>
    <x v="0"/>
    <x v="0"/>
    <s v="Hyderabad"/>
    <s v="Telangana"/>
    <s v="2024-04-08"/>
    <s v="26-35"/>
    <n v="191.61500000000001"/>
  </r>
  <r>
    <s v="ORD03045"/>
    <d v="2026-01-15T00:00:00"/>
    <s v="CUST0598"/>
    <x v="1"/>
    <x v="13"/>
    <n v="2"/>
    <n v="0"/>
    <n v="8400"/>
    <n v="2400"/>
    <x v="3"/>
    <s v="Delivered"/>
    <n v="4200"/>
    <n v="28.571428571428569"/>
    <s v="Profit"/>
    <s v="Arjun Das"/>
    <x v="0"/>
    <x v="0"/>
    <s v="Hyderabad"/>
    <s v="Telangana"/>
    <s v="2024-07-07"/>
    <s v="36-50"/>
    <n v="1200"/>
  </r>
  <r>
    <s v="ORD03046"/>
    <d v="2026-06-22T00:00:00"/>
    <s v="CUST0230"/>
    <x v="0"/>
    <x v="14"/>
    <n v="2"/>
    <n v="0.05"/>
    <n v="855"/>
    <n v="192.8"/>
    <x v="2"/>
    <s v="Delivered"/>
    <n v="427.5"/>
    <n v="22.549707602339179"/>
    <s v="Profit"/>
    <s v="Ishaan Iyer"/>
    <x v="0"/>
    <x v="0"/>
    <s v="Bengaluru"/>
    <s v="Karnataka"/>
    <s v="2025-11-29"/>
    <s v="26-35"/>
    <n v="96.4"/>
  </r>
  <r>
    <s v="ORD03047"/>
    <d v="2026-08-16T00:00:00"/>
    <s v="CUST0039"/>
    <x v="0"/>
    <x v="14"/>
    <n v="1"/>
    <n v="0.1"/>
    <n v="405"/>
    <n v="-217.21"/>
    <x v="1"/>
    <s v="Cancelled"/>
    <n v="405"/>
    <n v="-53.632098765432097"/>
    <s v="Loss"/>
    <s v="Varun Joshi"/>
    <x v="0"/>
    <x v="0"/>
    <s v="Coimbatore"/>
    <s v="Tamil Nadu"/>
    <s v="2025-08-21"/>
    <s v="51+"/>
    <n v="-217.21"/>
  </r>
  <r>
    <s v="ORD03048"/>
    <d v="2026-02-18T00:00:00"/>
    <s v="CUST0372"/>
    <x v="1"/>
    <x v="13"/>
    <n v="1"/>
    <n v="0.1"/>
    <n v="3780"/>
    <n v="853.84"/>
    <x v="2"/>
    <s v="Delivered"/>
    <n v="3780"/>
    <n v="22.588359788359789"/>
    <s v="Profit"/>
    <s v="Akash Das"/>
    <x v="1"/>
    <x v="0"/>
    <s v="Bengaluru"/>
    <s v="Karnataka"/>
    <s v="2024-08-19"/>
    <s v="36-50"/>
    <n v="853.84"/>
  </r>
  <r>
    <s v="ORD03049"/>
    <d v="2025-11-05T00:00:00"/>
    <s v="CUST0586"/>
    <x v="3"/>
    <x v="4"/>
    <n v="1"/>
    <n v="0"/>
    <n v="18000"/>
    <n v="3500"/>
    <x v="1"/>
    <s v="Delivered"/>
    <n v="18000"/>
    <n v="19.44444444444445"/>
    <s v="Profit"/>
    <s v="Sanjay Mehta"/>
    <x v="1"/>
    <x v="0"/>
    <s v="Chennai"/>
    <s v="Tamil Nadu"/>
    <s v="2023-09-11"/>
    <s v="26-35"/>
    <n v="3500"/>
  </r>
  <r>
    <s v="ORD03050"/>
    <d v="2025-07-04T00:00:00"/>
    <s v="CUST0190"/>
    <x v="3"/>
    <x v="4"/>
    <n v="2"/>
    <n v="0.15"/>
    <n v="30600"/>
    <n v="3775.53"/>
    <x v="0"/>
    <s v="Delivered"/>
    <n v="15300"/>
    <n v="12.338333333333329"/>
    <s v="Profit"/>
    <s v="Rohan Naidu"/>
    <x v="0"/>
    <x v="0"/>
    <s v="Coimbatore"/>
    <s v="Tamil Nadu"/>
    <s v="2023-02-24"/>
    <s v="26-35"/>
    <n v="1887.7650000000001"/>
  </r>
  <r>
    <s v="ORD03051"/>
    <d v="2026-01-25T00:00:00"/>
    <s v="CUST0100"/>
    <x v="3"/>
    <x v="11"/>
    <n v="1"/>
    <n v="0"/>
    <n v="2500"/>
    <n v="800"/>
    <x v="2"/>
    <s v="Delivered"/>
    <n v="2500"/>
    <n v="32"/>
    <s v="Profit"/>
    <s v="Priya Singh"/>
    <x v="1"/>
    <x v="0"/>
    <s v="Chennai"/>
    <s v="Tamil Nadu"/>
    <s v="2023-03-14"/>
    <s v="26-35"/>
    <n v="800"/>
  </r>
  <r>
    <s v="ORD03052"/>
    <d v="2026-02-07T00:00:00"/>
    <s v="CUST0112"/>
    <x v="0"/>
    <x v="14"/>
    <n v="2"/>
    <n v="0.15"/>
    <n v="765"/>
    <n v="151.81"/>
    <x v="3"/>
    <s v="Delivered"/>
    <n v="382.5"/>
    <n v="19.844444444444441"/>
    <s v="Profit"/>
    <s v="Akash Khan"/>
    <x v="0"/>
    <x v="1"/>
    <s v="Pune"/>
    <s v="Maharashtra"/>
    <s v="2025-03-04"/>
    <s v="26-35"/>
    <n v="75.905000000000001"/>
  </r>
  <r>
    <s v="ORD03053"/>
    <d v="2025-08-05T00:00:00"/>
    <s v="CUST0127"/>
    <x v="0"/>
    <x v="6"/>
    <n v="2"/>
    <n v="0.15"/>
    <n v="595"/>
    <n v="176.89"/>
    <x v="3"/>
    <s v="Delivered"/>
    <n v="297.5"/>
    <n v="29.72941176470588"/>
    <s v="Profit"/>
    <s v="Ananya Patel"/>
    <x v="2"/>
    <x v="2"/>
    <s v="Chandigarh"/>
    <s v="Chandigarh"/>
    <s v="2023-08-13"/>
    <s v="26-35"/>
    <n v="88.444999999999993"/>
  </r>
  <r>
    <s v="ORD03054"/>
    <d v="2025-11-27T00:00:00"/>
    <s v="CUST0531"/>
    <x v="2"/>
    <x v="2"/>
    <n v="2"/>
    <n v="0.15"/>
    <n v="22100"/>
    <n v="4461.3999999999996"/>
    <x v="0"/>
    <s v="Delivered"/>
    <n v="11050"/>
    <n v="20.187330316742081"/>
    <s v="Profit"/>
    <s v="Kavya Mishra"/>
    <x v="2"/>
    <x v="0"/>
    <s v="Coimbatore"/>
    <s v="Tamil Nadu"/>
    <s v="2023-10-06"/>
    <s v="26-35"/>
    <n v="2230.6999999999998"/>
  </r>
  <r>
    <s v="ORD03055"/>
    <d v="2025-12-15T00:00:00"/>
    <s v="CUST0470"/>
    <x v="2"/>
    <x v="3"/>
    <n v="1"/>
    <n v="0.05"/>
    <n v="14250"/>
    <n v="3101.27"/>
    <x v="1"/>
    <s v="Delivered"/>
    <n v="14250"/>
    <n v="21.763298245614031"/>
    <s v="Profit"/>
    <s v="Akash Kulkarni"/>
    <x v="0"/>
    <x v="1"/>
    <s v="Surat"/>
    <s v="Gujarat"/>
    <s v="2025-07-01"/>
    <s v="51+"/>
    <n v="3101.27"/>
  </r>
  <r>
    <s v="ORD03056"/>
    <d v="2026-02-20T00:00:00"/>
    <s v="CUST0038"/>
    <x v="3"/>
    <x v="8"/>
    <n v="2"/>
    <n v="0.05"/>
    <n v="8550"/>
    <n v="2667.99"/>
    <x v="0"/>
    <s v="Delivered"/>
    <n v="4275"/>
    <n v="31.20456140350877"/>
    <s v="Profit"/>
    <s v="Harini Sharma"/>
    <x v="2"/>
    <x v="0"/>
    <s v="Coimbatore"/>
    <s v="Tamil Nadu"/>
    <s v="2024-06-22"/>
    <s v="36-50"/>
    <n v="1333.9949999999999"/>
  </r>
  <r>
    <s v="ORD03057"/>
    <d v="2025-09-30T00:00:00"/>
    <s v="CUST0573"/>
    <x v="3"/>
    <x v="11"/>
    <n v="5"/>
    <n v="0.15"/>
    <n v="10625"/>
    <n v="2571.2800000000002"/>
    <x v="0"/>
    <s v="Delivered"/>
    <n v="2125"/>
    <n v="24.20028235294118"/>
    <s v="Profit"/>
    <s v="Aditya Pillai"/>
    <x v="0"/>
    <x v="1"/>
    <s v="Surat"/>
    <s v="Gujarat"/>
    <s v="2024-03-11"/>
    <s v="18-25"/>
    <n v="514.25600000000009"/>
  </r>
  <r>
    <s v="ORD03058"/>
    <d v="2025-10-16T00:00:00"/>
    <s v="CUST0226"/>
    <x v="1"/>
    <x v="15"/>
    <n v="1"/>
    <n v="0.3"/>
    <n v="1540"/>
    <n v="296.89"/>
    <x v="1"/>
    <s v="Delivered"/>
    <n v="1540"/>
    <n v="19.278571428571428"/>
    <s v="Profit"/>
    <s v="Kavya Joshi"/>
    <x v="0"/>
    <x v="3"/>
    <s v="Guwahati"/>
    <s v="Assam"/>
    <s v="2025-04-27"/>
    <s v="26-35"/>
    <n v="296.89"/>
  </r>
  <r>
    <s v="ORD03059"/>
    <d v="2025-09-14T00:00:00"/>
    <s v="CUST0215"/>
    <x v="2"/>
    <x v="3"/>
    <n v="3"/>
    <n v="0"/>
    <n v="45000"/>
    <n v="10500"/>
    <x v="2"/>
    <s v="Delivered"/>
    <n v="15000"/>
    <n v="23.333333333333329"/>
    <s v="Profit"/>
    <s v="Pooja Reddy"/>
    <x v="1"/>
    <x v="0"/>
    <s v="Bengaluru"/>
    <s v="Karnataka"/>
    <s v="2025-07-16"/>
    <s v="26-35"/>
    <n v="3500"/>
  </r>
  <r>
    <s v="ORD03060"/>
    <d v="2026-05-14T00:00:00"/>
    <s v="CUST0257"/>
    <x v="1"/>
    <x v="1"/>
    <n v="4"/>
    <n v="0.1"/>
    <n v="6480"/>
    <n v="2116.85"/>
    <x v="0"/>
    <s v="Delivered"/>
    <n v="1620"/>
    <n v="32.667438271604937"/>
    <s v="Profit"/>
    <s v="Rahul Patel"/>
    <x v="0"/>
    <x v="2"/>
    <s v="Delhi"/>
    <s v="Delhi"/>
    <s v="2025-10-24"/>
    <s v="36-50"/>
    <n v="529.21249999999998"/>
  </r>
  <r>
    <s v="ORD03061"/>
    <d v="2026-04-18T00:00:00"/>
    <s v="CUST0358"/>
    <x v="3"/>
    <x v="11"/>
    <n v="1"/>
    <n v="0.15"/>
    <n v="2125"/>
    <n v="541.33000000000004"/>
    <x v="3"/>
    <s v="Delivered"/>
    <n v="2125"/>
    <n v="25.47435294117647"/>
    <s v="Profit"/>
    <s v="Sanjay Das"/>
    <x v="0"/>
    <x v="0"/>
    <s v="Hyderabad"/>
    <s v="Telangana"/>
    <s v="2025-08-29"/>
    <s v="18-25"/>
    <n v="541.33000000000004"/>
  </r>
  <r>
    <s v="ORD03062"/>
    <d v="2026-03-31T00:00:00"/>
    <s v="CUST0271"/>
    <x v="0"/>
    <x v="7"/>
    <n v="15"/>
    <n v="0.3"/>
    <n v="9450"/>
    <n v="2012.3"/>
    <x v="3"/>
    <s v="Delivered"/>
    <n v="630"/>
    <n v="21.294179894179891"/>
    <s v="Profit"/>
    <s v="Rohan Mehta"/>
    <x v="1"/>
    <x v="2"/>
    <s v="Delhi"/>
    <s v="Delhi"/>
    <s v="2025-01-13"/>
    <s v="51+"/>
    <n v="134.15333333333331"/>
  </r>
  <r>
    <s v="ORD03063"/>
    <d v="2026-05-27T00:00:00"/>
    <s v="CUST0387"/>
    <x v="1"/>
    <x v="12"/>
    <n v="2"/>
    <n v="0.05"/>
    <n v="2660"/>
    <n v="886.64"/>
    <x v="3"/>
    <s v="Delivered"/>
    <n v="1330"/>
    <n v="33.332330827067672"/>
    <s v="Profit"/>
    <s v="Varun Kulkarni"/>
    <x v="0"/>
    <x v="1"/>
    <s v="Pune"/>
    <s v="Maharashtra"/>
    <s v="2024-04-15"/>
    <s v="18-25"/>
    <n v="443.32"/>
  </r>
  <r>
    <s v="ORD03064"/>
    <d v="2025-08-04T00:00:00"/>
    <s v="CUST0401"/>
    <x v="2"/>
    <x v="9"/>
    <n v="2"/>
    <n v="0.2"/>
    <n v="14400"/>
    <n v="2579.11"/>
    <x v="3"/>
    <s v="Delivered"/>
    <n v="7200"/>
    <n v="17.910486111111108"/>
    <s v="Profit"/>
    <s v="Ananya Nair"/>
    <x v="0"/>
    <x v="0"/>
    <s v="Hyderabad"/>
    <s v="Telangana"/>
    <s v="2024-04-08"/>
    <s v="26-35"/>
    <n v="1289.5550000000001"/>
  </r>
  <r>
    <s v="ORD03065"/>
    <d v="2026-01-18T00:00:00"/>
    <s v="CUST0525"/>
    <x v="0"/>
    <x v="14"/>
    <n v="1"/>
    <n v="0"/>
    <n v="450"/>
    <n v="110"/>
    <x v="0"/>
    <s v="Delivered"/>
    <n v="450"/>
    <n v="24.444444444444439"/>
    <s v="Profit"/>
    <s v="Varun Gupta"/>
    <x v="2"/>
    <x v="2"/>
    <s v="Delhi"/>
    <s v="Delhi"/>
    <s v="2023-05-14"/>
    <s v="36-50"/>
    <n v="110"/>
  </r>
  <r>
    <s v="ORD03066"/>
    <d v="2026-06-09T00:00:00"/>
    <s v="CUST0410"/>
    <x v="0"/>
    <x v="14"/>
    <n v="5"/>
    <n v="0.1"/>
    <n v="2025"/>
    <n v="414.95"/>
    <x v="3"/>
    <s v="Delivered"/>
    <n v="405"/>
    <n v="20.491358024691358"/>
    <s v="Profit"/>
    <s v="Pooja Iyer"/>
    <x v="1"/>
    <x v="0"/>
    <s v="Bengaluru"/>
    <s v="Karnataka"/>
    <s v="2025-07-08"/>
    <s v="18-25"/>
    <n v="82.99"/>
  </r>
  <r>
    <s v="ORD03067"/>
    <d v="2025-11-21T00:00:00"/>
    <s v="CUST0220"/>
    <x v="3"/>
    <x v="10"/>
    <n v="6"/>
    <n v="0.15"/>
    <n v="280500"/>
    <n v="23183.18"/>
    <x v="3"/>
    <s v="Delivered"/>
    <n v="46750"/>
    <n v="8.2649483065953646"/>
    <s v="Profit"/>
    <s v="Pooja Kulkarni"/>
    <x v="0"/>
    <x v="1"/>
    <s v="Surat"/>
    <s v="Gujarat"/>
    <s v="2024-05-02"/>
    <s v="18-25"/>
    <n v="3863.8633333333328"/>
  </r>
  <r>
    <s v="ORD03068"/>
    <d v="2025-10-21T00:00:00"/>
    <s v="CUST0461"/>
    <x v="2"/>
    <x v="2"/>
    <n v="5"/>
    <n v="0.1"/>
    <n v="58500"/>
    <n v="12368.14"/>
    <x v="1"/>
    <s v="Delivered"/>
    <n v="11700"/>
    <n v="21.142119658119661"/>
    <s v="Profit"/>
    <s v="Shreya Sharma"/>
    <x v="0"/>
    <x v="1"/>
    <s v="Mumbai"/>
    <s v="Maharashtra"/>
    <s v="2024-05-10"/>
    <s v="26-35"/>
    <n v="2473.6280000000002"/>
  </r>
  <r>
    <s v="ORD03069"/>
    <d v="2026-06-06T00:00:00"/>
    <s v="CUST0385"/>
    <x v="1"/>
    <x v="12"/>
    <n v="5"/>
    <n v="0.3"/>
    <n v="4900"/>
    <n v="895.21"/>
    <x v="2"/>
    <s v="Delivered"/>
    <n v="980"/>
    <n v="18.269591836734691"/>
    <s v="Profit"/>
    <s v="Karthik Singh"/>
    <x v="0"/>
    <x v="0"/>
    <s v="Coimbatore"/>
    <s v="Tamil Nadu"/>
    <s v="2023-06-06"/>
    <s v="26-35"/>
    <n v="179.042"/>
  </r>
  <r>
    <s v="ORD03070"/>
    <d v="2026-02-06T00:00:00"/>
    <s v="CUST0281"/>
    <x v="3"/>
    <x v="8"/>
    <n v="2"/>
    <n v="0.2"/>
    <n v="7200"/>
    <n v="2108.06"/>
    <x v="2"/>
    <s v="Shipped"/>
    <n v="3600"/>
    <n v="29.278611111111111"/>
    <s v="Profit"/>
    <s v="Divya Reddy"/>
    <x v="0"/>
    <x v="0"/>
    <s v="Coimbatore"/>
    <s v="Tamil Nadu"/>
    <s v="2025-04-27"/>
    <s v="36-50"/>
    <n v="1054.03"/>
  </r>
  <r>
    <s v="ORD03071"/>
    <d v="2025-11-20T00:00:00"/>
    <s v="CUST0034"/>
    <x v="1"/>
    <x v="13"/>
    <n v="3"/>
    <n v="0"/>
    <n v="12600"/>
    <n v="3600"/>
    <x v="0"/>
    <s v="Delivered"/>
    <n v="4200"/>
    <n v="28.571428571428569"/>
    <s v="Profit"/>
    <s v="Meera Bose"/>
    <x v="0"/>
    <x v="1"/>
    <s v="Ahmedabad"/>
    <s v="Gujarat"/>
    <s v="2023-01-29"/>
    <s v="18-25"/>
    <n v="1200"/>
  </r>
  <r>
    <s v="ORD03072"/>
    <d v="2025-07-09T00:00:00"/>
    <s v="CUST0251"/>
    <x v="2"/>
    <x v="2"/>
    <n v="1"/>
    <n v="0.1"/>
    <n v="11700"/>
    <n v="2444.54"/>
    <x v="3"/>
    <s v="Delivered"/>
    <n v="11700"/>
    <n v="20.89350427350427"/>
    <s v="Profit"/>
    <s v="Arjun Verma"/>
    <x v="2"/>
    <x v="0"/>
    <s v="Coimbatore"/>
    <s v="Tamil Nadu"/>
    <s v="2023-06-16"/>
    <s v="36-50"/>
    <n v="2444.54"/>
  </r>
  <r>
    <s v="ORD03073"/>
    <d v="2026-05-26T00:00:00"/>
    <s v="CUST0538"/>
    <x v="0"/>
    <x v="0"/>
    <n v="2"/>
    <n v="0.15"/>
    <n v="23800"/>
    <n v="3410.49"/>
    <x v="1"/>
    <s v="Shipped"/>
    <n v="11900"/>
    <n v="14.32978991596638"/>
    <s v="Profit"/>
    <s v="Sanjay Chopra"/>
    <x v="1"/>
    <x v="0"/>
    <s v="Coimbatore"/>
    <s v="Tamil Nadu"/>
    <s v="2024-01-09"/>
    <s v="36-50"/>
    <n v="1705.2449999999999"/>
  </r>
  <r>
    <s v="ORD03074"/>
    <d v="2026-07-07T00:00:00"/>
    <s v="CUST0357"/>
    <x v="2"/>
    <x v="2"/>
    <n v="2"/>
    <n v="0.2"/>
    <n v="20800"/>
    <n v="2104.4299999999998"/>
    <x v="3"/>
    <s v="Delivered"/>
    <n v="10400"/>
    <n v="10.117451923076921"/>
    <s v="Profit"/>
    <s v="Aarav Gupta"/>
    <x v="2"/>
    <x v="2"/>
    <s v="Chandigarh"/>
    <s v="Chandigarh"/>
    <s v="2023-04-16"/>
    <s v="26-35"/>
    <n v="1052.2149999999999"/>
  </r>
  <r>
    <s v="ORD03075"/>
    <d v="2025-12-27T00:00:00"/>
    <s v="CUST0098"/>
    <x v="3"/>
    <x v="4"/>
    <n v="4"/>
    <n v="0.1"/>
    <n v="64800"/>
    <n v="8663.91"/>
    <x v="1"/>
    <s v="Shipped"/>
    <n v="16200"/>
    <n v="13.370231481481481"/>
    <s v="Profit"/>
    <s v="Diya Reddy"/>
    <x v="2"/>
    <x v="2"/>
    <s v="Chandigarh"/>
    <s v="Chandigarh"/>
    <s v="2024-10-06"/>
    <s v="26-35"/>
    <n v="2165.9775"/>
  </r>
  <r>
    <s v="ORD03076"/>
    <d v="2026-06-13T00:00:00"/>
    <s v="CUST0344"/>
    <x v="2"/>
    <x v="2"/>
    <n v="2"/>
    <n v="0.05"/>
    <n v="24700"/>
    <n v="5550.37"/>
    <x v="0"/>
    <s v="Delivered"/>
    <n v="12350"/>
    <n v="22.471133603238869"/>
    <s v="Profit"/>
    <s v="Aditya Gupta"/>
    <x v="1"/>
    <x v="1"/>
    <s v="Ahmedabad"/>
    <s v="Gujarat"/>
    <s v="2023-09-29"/>
    <s v="36-50"/>
    <n v="2775.1849999999999"/>
  </r>
  <r>
    <s v="ORD03077"/>
    <d v="2026-06-28T00:00:00"/>
    <s v="CUST0136"/>
    <x v="3"/>
    <x v="8"/>
    <n v="15"/>
    <n v="0.05"/>
    <n v="64125"/>
    <n v="19901.03"/>
    <x v="3"/>
    <s v="Delivered"/>
    <n v="4275"/>
    <n v="31.034744639376221"/>
    <s v="Profit"/>
    <s v="Meera Patel"/>
    <x v="0"/>
    <x v="2"/>
    <s v="Delhi"/>
    <s v="Delhi"/>
    <s v="2024-08-15"/>
    <s v="36-50"/>
    <n v="1326.7353333333331"/>
  </r>
  <r>
    <s v="ORD03078"/>
    <d v="2026-04-26T00:00:00"/>
    <s v="CUST0543"/>
    <x v="3"/>
    <x v="4"/>
    <n v="1"/>
    <n v="0.15"/>
    <n v="15300"/>
    <n v="1342.99"/>
    <x v="3"/>
    <s v="Delivered"/>
    <n v="15300"/>
    <n v="8.7777124183006539"/>
    <s v="Profit"/>
    <s v="Ananya Iyer"/>
    <x v="1"/>
    <x v="0"/>
    <s v="Chennai"/>
    <s v="Tamil Nadu"/>
    <s v="2025-10-16"/>
    <s v="26-35"/>
    <n v="1342.99"/>
  </r>
  <r>
    <s v="ORD03079"/>
    <d v="2025-08-15T00:00:00"/>
    <s v="CUST0330"/>
    <x v="0"/>
    <x v="6"/>
    <n v="3"/>
    <n v="0.2"/>
    <n v="840"/>
    <n v="190.04"/>
    <x v="1"/>
    <s v="Delivered"/>
    <n v="280"/>
    <n v="22.62380952380952"/>
    <s v="Profit"/>
    <s v="Pooja Reddy"/>
    <x v="2"/>
    <x v="2"/>
    <s v="Delhi"/>
    <s v="Delhi"/>
    <s v="2024-02-24"/>
    <s v="18-25"/>
    <n v="63.346666666666657"/>
  </r>
  <r>
    <s v="ORD03080"/>
    <d v="2026-08-22T00:00:00"/>
    <s v="CUST0362"/>
    <x v="1"/>
    <x v="13"/>
    <n v="3"/>
    <n v="0.05"/>
    <n v="11970"/>
    <n v="3236.87"/>
    <x v="0"/>
    <s v="Delivered"/>
    <n v="3990"/>
    <n v="27.041520467836261"/>
    <s v="Profit"/>
    <s v="Karthik Joshi"/>
    <x v="0"/>
    <x v="0"/>
    <s v="Coimbatore"/>
    <s v="Tamil Nadu"/>
    <s v="2025-09-08"/>
    <s v="26-35"/>
    <n v="1078.9566666666669"/>
  </r>
  <r>
    <s v="ORD03081"/>
    <d v="2026-03-06T00:00:00"/>
    <s v="CUST0353"/>
    <x v="1"/>
    <x v="1"/>
    <n v="4"/>
    <n v="0"/>
    <n v="7200"/>
    <n v="2600"/>
    <x v="0"/>
    <s v="Shipped"/>
    <n v="1800"/>
    <n v="36.111111111111107"/>
    <s v="Profit"/>
    <s v="Aditya Iyer"/>
    <x v="2"/>
    <x v="0"/>
    <s v="Hyderabad"/>
    <s v="Telangana"/>
    <s v="2024-08-21"/>
    <s v="36-50"/>
    <n v="650"/>
  </r>
  <r>
    <s v="ORD03082"/>
    <d v="2026-05-23T00:00:00"/>
    <s v="CUST0409"/>
    <x v="3"/>
    <x v="8"/>
    <n v="1"/>
    <n v="0.05"/>
    <n v="4275"/>
    <n v="1330.88"/>
    <x v="3"/>
    <s v="Delivered"/>
    <n v="4275"/>
    <n v="31.13169590643275"/>
    <s v="Profit"/>
    <s v="Arjun Khan"/>
    <x v="2"/>
    <x v="2"/>
    <s v="Chandigarh"/>
    <s v="Chandigarh"/>
    <s v="2025-06-20"/>
    <s v="18-25"/>
    <n v="1330.88"/>
  </r>
  <r>
    <s v="ORD03083"/>
    <d v="2026-07-06T00:00:00"/>
    <s v="CUST0519"/>
    <x v="3"/>
    <x v="8"/>
    <n v="2"/>
    <n v="0.2"/>
    <n v="7200"/>
    <n v="1592.29"/>
    <x v="1"/>
    <s v="Delivered"/>
    <n v="3600"/>
    <n v="22.11513888888889"/>
    <s v="Profit"/>
    <s v="Rahul Bose"/>
    <x v="1"/>
    <x v="1"/>
    <s v="Pune"/>
    <s v="Maharashtra"/>
    <s v="2025-12-27"/>
    <s v="26-35"/>
    <n v="796.14499999999998"/>
  </r>
  <r>
    <s v="ORD03084"/>
    <d v="2026-07-05T00:00:00"/>
    <s v="CUST0433"/>
    <x v="1"/>
    <x v="1"/>
    <n v="2"/>
    <n v="0"/>
    <n v="3600"/>
    <n v="1300"/>
    <x v="3"/>
    <s v="Delivered"/>
    <n v="1800"/>
    <n v="36.111111111111107"/>
    <s v="Profit"/>
    <s v="Aarav Menon"/>
    <x v="0"/>
    <x v="2"/>
    <s v="Jaipur"/>
    <s v="Rajasthan"/>
    <s v="2024-01-23"/>
    <s v="26-35"/>
    <n v="650"/>
  </r>
  <r>
    <s v="ORD03085"/>
    <d v="2026-02-05T00:00:00"/>
    <s v="CUST0071"/>
    <x v="3"/>
    <x v="10"/>
    <n v="3"/>
    <n v="0.15"/>
    <n v="140250"/>
    <n v="7546.89"/>
    <x v="2"/>
    <s v="Delivered"/>
    <n v="46750"/>
    <n v="5.3810267379679146"/>
    <s v="Profit"/>
    <s v="Sneha Nair"/>
    <x v="1"/>
    <x v="2"/>
    <s v="Jaipur"/>
    <s v="Rajasthan"/>
    <s v="2025-08-08"/>
    <s v="26-35"/>
    <n v="2515.63"/>
  </r>
  <r>
    <s v="ORD03086"/>
    <d v="2025-09-02T00:00:00"/>
    <s v="CUST0059"/>
    <x v="1"/>
    <x v="13"/>
    <n v="1"/>
    <n v="0.05"/>
    <n v="3990"/>
    <n v="-1412.7"/>
    <x v="2"/>
    <s v="Returned"/>
    <n v="3990"/>
    <n v="-35.406015037593988"/>
    <s v="Loss"/>
    <s v="Rahul Verma"/>
    <x v="1"/>
    <x v="3"/>
    <s v="Guwahati"/>
    <s v="Assam"/>
    <s v="2023-02-16"/>
    <s v="36-50"/>
    <n v="-1412.7"/>
  </r>
  <r>
    <s v="ORD03087"/>
    <d v="2025-08-02T00:00:00"/>
    <s v="CUST0314"/>
    <x v="1"/>
    <x v="1"/>
    <n v="3"/>
    <n v="0"/>
    <n v="5400"/>
    <n v="1950"/>
    <x v="2"/>
    <s v="Delivered"/>
    <n v="1800"/>
    <n v="36.111111111111107"/>
    <s v="Profit"/>
    <s v="Aarav Mishra"/>
    <x v="0"/>
    <x v="0"/>
    <s v="Bengaluru"/>
    <s v="Karnataka"/>
    <s v="2025-10-30"/>
    <s v="26-35"/>
    <n v="650"/>
  </r>
  <r>
    <s v="ORD03088"/>
    <d v="2025-07-18T00:00:00"/>
    <s v="CUST0481"/>
    <x v="0"/>
    <x v="14"/>
    <n v="3"/>
    <n v="0"/>
    <n v="1350"/>
    <n v="330"/>
    <x v="3"/>
    <s v="Shipped"/>
    <n v="450"/>
    <n v="24.444444444444439"/>
    <s v="Profit"/>
    <s v="Diya Kulkarni"/>
    <x v="1"/>
    <x v="2"/>
    <s v="Lucknow"/>
    <s v="Uttar Pradesh"/>
    <s v="2024-07-28"/>
    <s v="26-35"/>
    <n v="110"/>
  </r>
  <r>
    <s v="ORD03089"/>
    <d v="2026-01-12T00:00:00"/>
    <s v="CUST0069"/>
    <x v="1"/>
    <x v="15"/>
    <n v="1"/>
    <n v="0.1"/>
    <n v="1980"/>
    <n v="627.66"/>
    <x v="1"/>
    <s v="Delivered"/>
    <n v="1980"/>
    <n v="31.7"/>
    <s v="Profit"/>
    <s v="Rahul Sharma"/>
    <x v="1"/>
    <x v="3"/>
    <s v="Guwahati"/>
    <s v="Assam"/>
    <s v="2023-07-22"/>
    <s v="36-50"/>
    <n v="627.66"/>
  </r>
  <r>
    <s v="ORD03090"/>
    <d v="2025-11-14T00:00:00"/>
    <s v="CUST0050"/>
    <x v="3"/>
    <x v="11"/>
    <n v="5"/>
    <n v="0.1"/>
    <n v="11250"/>
    <n v="3051.56"/>
    <x v="0"/>
    <s v="Delivered"/>
    <n v="2250"/>
    <n v="27.124977777777779"/>
    <s v="Profit"/>
    <s v="Varun Mehta"/>
    <x v="2"/>
    <x v="2"/>
    <s v="Jaipur"/>
    <s v="Rajasthan"/>
    <s v="2025-07-08"/>
    <s v="26-35"/>
    <n v="610.31200000000001"/>
  </r>
  <r>
    <s v="ORD03091"/>
    <d v="2026-01-14T00:00:00"/>
    <s v="CUST0161"/>
    <x v="0"/>
    <x v="14"/>
    <n v="3"/>
    <n v="0.15"/>
    <n v="1147.5"/>
    <n v="197.94"/>
    <x v="0"/>
    <s v="Delivered"/>
    <n v="382.5"/>
    <n v="17.249673202614382"/>
    <s v="Profit"/>
    <s v="Rohan Reddy"/>
    <x v="2"/>
    <x v="0"/>
    <s v="Bengaluru"/>
    <s v="Karnataka"/>
    <s v="2025-07-10"/>
    <s v="51+"/>
    <n v="65.98"/>
  </r>
  <r>
    <s v="ORD03092"/>
    <d v="2026-04-21T00:00:00"/>
    <s v="CUST0538"/>
    <x v="0"/>
    <x v="6"/>
    <n v="2"/>
    <n v="0.05"/>
    <n v="665"/>
    <n v="218.27"/>
    <x v="1"/>
    <s v="Delivered"/>
    <n v="332.5"/>
    <n v="32.822556390977446"/>
    <s v="Profit"/>
    <s v="Sanjay Chopra"/>
    <x v="1"/>
    <x v="0"/>
    <s v="Coimbatore"/>
    <s v="Tamil Nadu"/>
    <s v="2024-01-09"/>
    <s v="36-50"/>
    <n v="109.13500000000001"/>
  </r>
  <r>
    <s v="ORD03093"/>
    <d v="2025-08-05T00:00:00"/>
    <s v="CUST0563"/>
    <x v="2"/>
    <x v="5"/>
    <n v="4"/>
    <n v="0"/>
    <n v="44000"/>
    <n v="10400"/>
    <x v="2"/>
    <s v="Delivered"/>
    <n v="11000"/>
    <n v="23.63636363636364"/>
    <s v="Profit"/>
    <s v="Meera Das"/>
    <x v="1"/>
    <x v="1"/>
    <s v="Ahmedabad"/>
    <s v="Gujarat"/>
    <s v="2023-10-23"/>
    <s v="26-35"/>
    <n v="2600"/>
  </r>
  <r>
    <s v="ORD03094"/>
    <d v="2026-08-05T00:00:00"/>
    <s v="CUST0193"/>
    <x v="3"/>
    <x v="10"/>
    <n v="4"/>
    <n v="0.1"/>
    <n v="198000"/>
    <n v="20772.900000000001"/>
    <x v="1"/>
    <s v="Delivered"/>
    <n v="49500"/>
    <n v="10.491363636363641"/>
    <s v="Profit"/>
    <s v="Ananya Gupta"/>
    <x v="0"/>
    <x v="1"/>
    <s v="Pune"/>
    <s v="Maharashtra"/>
    <s v="2024-05-12"/>
    <s v="36-50"/>
    <n v="5193.2250000000004"/>
  </r>
  <r>
    <s v="ORD03095"/>
    <d v="2026-05-16T00:00:00"/>
    <s v="CUST0342"/>
    <x v="2"/>
    <x v="9"/>
    <n v="4"/>
    <n v="0"/>
    <n v="36000"/>
    <n v="9200"/>
    <x v="0"/>
    <s v="Delivered"/>
    <n v="9000"/>
    <n v="25.55555555555555"/>
    <s v="Profit"/>
    <s v="Rohan Rao"/>
    <x v="0"/>
    <x v="3"/>
    <s v="Guwahati"/>
    <s v="Assam"/>
    <s v="2023-02-17"/>
    <s v="26-35"/>
    <n v="2300"/>
  </r>
  <r>
    <s v="ORD03096"/>
    <d v="2025-12-25T00:00:00"/>
    <s v="CUST0133"/>
    <x v="1"/>
    <x v="13"/>
    <n v="3"/>
    <n v="0"/>
    <n v="12600"/>
    <n v="-6038.47"/>
    <x v="3"/>
    <s v="Cancelled"/>
    <n v="4200"/>
    <n v="-47.924365079365081"/>
    <s v="Loss"/>
    <s v="Varun Reddy"/>
    <x v="0"/>
    <x v="1"/>
    <s v="Pune"/>
    <s v="Maharashtra"/>
    <s v="2023-11-14"/>
    <s v="26-35"/>
    <n v="-2012.823333333333"/>
  </r>
  <r>
    <s v="ORD03097"/>
    <d v="2026-08-02T00:00:00"/>
    <s v="CUST0003"/>
    <x v="1"/>
    <x v="13"/>
    <n v="6"/>
    <n v="0.1"/>
    <n v="22680"/>
    <n v="5339.69"/>
    <x v="1"/>
    <s v="Delivered"/>
    <n v="3780"/>
    <n v="23.543606701940039"/>
    <s v="Profit"/>
    <s v="Sanjay Mehta"/>
    <x v="2"/>
    <x v="1"/>
    <s v="Ahmedabad"/>
    <s v="Gujarat"/>
    <s v="2025-05-11"/>
    <s v="26-35"/>
    <n v="889.94833333333327"/>
  </r>
  <r>
    <s v="ORD03098"/>
    <d v="2025-10-28T00:00:00"/>
    <s v="CUST0010"/>
    <x v="3"/>
    <x v="8"/>
    <n v="1"/>
    <n v="0.1"/>
    <n v="4050"/>
    <n v="1281.99"/>
    <x v="3"/>
    <s v="Delivered"/>
    <n v="4050"/>
    <n v="31.654074074074071"/>
    <s v="Profit"/>
    <s v="Karthik Bose"/>
    <x v="1"/>
    <x v="1"/>
    <s v="Pune"/>
    <s v="Maharashtra"/>
    <s v="2024-09-24"/>
    <s v="36-50"/>
    <n v="1281.99"/>
  </r>
  <r>
    <s v="ORD03099"/>
    <d v="2026-03-09T00:00:00"/>
    <s v="CUST0150"/>
    <x v="0"/>
    <x v="6"/>
    <n v="2"/>
    <n v="0.1"/>
    <n v="630"/>
    <n v="201.43"/>
    <x v="2"/>
    <s v="Shipped"/>
    <n v="315"/>
    <n v="31.973015873015871"/>
    <s v="Profit"/>
    <s v="Varun Nair"/>
    <x v="2"/>
    <x v="2"/>
    <s v="Lucknow"/>
    <s v="Uttar Pradesh"/>
    <s v="2024-10-24"/>
    <s v="36-50"/>
    <n v="100.715"/>
  </r>
  <r>
    <s v="ORD03100"/>
    <d v="2026-02-21T00:00:00"/>
    <s v="CUST0576"/>
    <x v="1"/>
    <x v="13"/>
    <n v="5"/>
    <n v="0.1"/>
    <n v="18900"/>
    <n v="4837.53"/>
    <x v="0"/>
    <s v="Delivered"/>
    <n v="3780"/>
    <n v="25.595396825396829"/>
    <s v="Profit"/>
    <s v="Harini Pillai"/>
    <x v="0"/>
    <x v="0"/>
    <s v="Hyderabad"/>
    <s v="Telangana"/>
    <s v="2023-05-25"/>
    <s v="26-35"/>
    <n v="967.50599999999997"/>
  </r>
  <r>
    <s v="ORD03102"/>
    <d v="2025-11-22T00:00:00"/>
    <s v="CUST0440"/>
    <x v="1"/>
    <x v="12"/>
    <n v="1"/>
    <n v="0.15"/>
    <n v="1190"/>
    <n v="-542.35"/>
    <x v="1"/>
    <s v="Returned"/>
    <n v="1190"/>
    <n v="-45.575630252100837"/>
    <s v="Loss"/>
    <s v="Harini Sharma"/>
    <x v="1"/>
    <x v="0"/>
    <s v="Hyderabad"/>
    <s v="Telangana"/>
    <s v="2024-06-03"/>
    <s v="18-25"/>
    <n v="-542.35"/>
  </r>
  <r>
    <s v="ORD03103"/>
    <d v="2026-05-15T00:00:00"/>
    <s v="CUST0262"/>
    <x v="2"/>
    <x v="5"/>
    <n v="5"/>
    <n v="0"/>
    <n v="55000"/>
    <n v="13000"/>
    <x v="3"/>
    <s v="Delivered"/>
    <n v="11000"/>
    <n v="23.63636363636364"/>
    <s v="Profit"/>
    <s v="Varun Menon"/>
    <x v="1"/>
    <x v="2"/>
    <s v="Chandigarh"/>
    <s v="Chandigarh"/>
    <s v="2025-12-16"/>
    <s v="36-50"/>
    <n v="2600"/>
  </r>
  <r>
    <s v="ORD03104"/>
    <d v="2026-01-17T00:00:00"/>
    <s v="CUST0217"/>
    <x v="3"/>
    <x v="10"/>
    <n v="1"/>
    <n v="0.15"/>
    <n v="46750"/>
    <n v="4192.53"/>
    <x v="0"/>
    <s v="Delivered"/>
    <n v="46750"/>
    <n v="8.9679786096256677"/>
    <s v="Profit"/>
    <s v="Pooja Mehta"/>
    <x v="0"/>
    <x v="0"/>
    <s v="Hyderabad"/>
    <s v="Telangana"/>
    <s v="2024-11-14"/>
    <s v="51+"/>
    <n v="4192.53"/>
  </r>
  <r>
    <s v="ORD03105"/>
    <d v="2025-09-30T00:00:00"/>
    <s v="CUST0123"/>
    <x v="2"/>
    <x v="2"/>
    <n v="1"/>
    <n v="0"/>
    <n v="13000"/>
    <n v="3200"/>
    <x v="1"/>
    <s v="Delivered"/>
    <n v="13000"/>
    <n v="24.61538461538462"/>
    <s v="Profit"/>
    <s v="Aarav Sharma"/>
    <x v="1"/>
    <x v="2"/>
    <s v="Delhi"/>
    <s v="Delhi"/>
    <s v="2023-01-19"/>
    <s v="26-35"/>
    <n v="3200"/>
  </r>
  <r>
    <s v="ORD03106"/>
    <d v="2026-01-14T00:00:00"/>
    <s v="CUST0378"/>
    <x v="2"/>
    <x v="9"/>
    <n v="3"/>
    <n v="0"/>
    <n v="27000"/>
    <n v="6900"/>
    <x v="0"/>
    <s v="Delivered"/>
    <n v="9000"/>
    <n v="25.55555555555555"/>
    <s v="Profit"/>
    <s v="Aarav Joshi"/>
    <x v="2"/>
    <x v="0"/>
    <s v="Bengaluru"/>
    <s v="Karnataka"/>
    <s v="2025-12-14"/>
    <s v="26-35"/>
    <n v="2300"/>
  </r>
  <r>
    <s v="ORD03107"/>
    <d v="2026-03-14T00:00:00"/>
    <s v="CUST0399"/>
    <x v="0"/>
    <x v="6"/>
    <n v="4"/>
    <n v="0.1"/>
    <n v="1260"/>
    <n v="-382.52"/>
    <x v="0"/>
    <s v="Returned"/>
    <n v="315"/>
    <n v="-30.358730158730161"/>
    <s v="Loss"/>
    <s v="Kavya Iyer"/>
    <x v="0"/>
    <x v="2"/>
    <s v="Lucknow"/>
    <s v="Uttar Pradesh"/>
    <s v="2023-10-24"/>
    <s v="26-35"/>
    <n v="-95.63"/>
  </r>
  <r>
    <s v="ORD03108"/>
    <d v="2026-07-18T00:00:00"/>
    <s v="CUST0470"/>
    <x v="2"/>
    <x v="9"/>
    <n v="4"/>
    <n v="0"/>
    <n v="36000"/>
    <n v="9200"/>
    <x v="0"/>
    <s v="Shipped"/>
    <n v="9000"/>
    <n v="25.55555555555555"/>
    <s v="Profit"/>
    <s v="Akash Kulkarni"/>
    <x v="0"/>
    <x v="1"/>
    <s v="Surat"/>
    <s v="Gujarat"/>
    <s v="2025-07-01"/>
    <s v="51+"/>
    <n v="2300"/>
  </r>
  <r>
    <s v="ORD03109"/>
    <d v="2025-12-09T00:00:00"/>
    <s v="CUST0356"/>
    <x v="3"/>
    <x v="4"/>
    <n v="2"/>
    <n v="0.1"/>
    <n v="32400"/>
    <n v="4758.6000000000004"/>
    <x v="3"/>
    <s v="Delivered"/>
    <n v="16200"/>
    <n v="14.68703703703704"/>
    <s v="Profit"/>
    <s v="Manoj Gupta"/>
    <x v="0"/>
    <x v="2"/>
    <s v="Chandigarh"/>
    <s v="Chandigarh"/>
    <s v="2023-08-04"/>
    <s v="26-35"/>
    <n v="2379.3000000000002"/>
  </r>
  <r>
    <s v="ORD03110"/>
    <d v="2026-03-31T00:00:00"/>
    <s v="CUST0508"/>
    <x v="0"/>
    <x v="7"/>
    <n v="2"/>
    <n v="0.2"/>
    <n v="1440"/>
    <n v="378.62"/>
    <x v="3"/>
    <s v="Delivered"/>
    <n v="720"/>
    <n v="26.293055555555551"/>
    <s v="Profit"/>
    <s v="Karthik Naidu"/>
    <x v="0"/>
    <x v="3"/>
    <s v="Guwahati"/>
    <s v="Assam"/>
    <s v="2024-10-11"/>
    <s v="18-25"/>
    <n v="189.31"/>
  </r>
  <r>
    <s v="ORD03111"/>
    <d v="2025-08-13T00:00:00"/>
    <s v="CUST0435"/>
    <x v="3"/>
    <x v="8"/>
    <n v="4"/>
    <n v="0.2"/>
    <n v="14400"/>
    <n v="3752.71"/>
    <x v="1"/>
    <s v="Delivered"/>
    <n v="3600"/>
    <n v="26.060486111111111"/>
    <s v="Profit"/>
    <s v="Lakshmi Menon"/>
    <x v="0"/>
    <x v="0"/>
    <s v="Chennai"/>
    <s v="Tamil Nadu"/>
    <s v="2025-04-17"/>
    <s v="26-35"/>
    <n v="938.17750000000001"/>
  </r>
  <r>
    <s v="ORD03112"/>
    <d v="2025-12-05T00:00:00"/>
    <s v="CUST0103"/>
    <x v="3"/>
    <x v="4"/>
    <n v="1"/>
    <n v="0"/>
    <n v="18000"/>
    <n v="3500"/>
    <x v="2"/>
    <s v="Delivered"/>
    <n v="18000"/>
    <n v="19.44444444444445"/>
    <s v="Profit"/>
    <s v="Rohan Rao"/>
    <x v="0"/>
    <x v="0"/>
    <s v="Bengaluru"/>
    <s v="Karnataka"/>
    <s v="2023-11-09"/>
    <s v="36-50"/>
    <n v="3500"/>
  </r>
  <r>
    <s v="ORD03113"/>
    <d v="2025-09-23T00:00:00"/>
    <s v="CUST0251"/>
    <x v="3"/>
    <x v="8"/>
    <n v="2"/>
    <n v="0.15"/>
    <n v="7650"/>
    <n v="1863"/>
    <x v="3"/>
    <s v="Delivered"/>
    <n v="3825"/>
    <n v="24.352941176470591"/>
    <s v="Profit"/>
    <s v="Arjun Verma"/>
    <x v="2"/>
    <x v="0"/>
    <s v="Coimbatore"/>
    <s v="Tamil Nadu"/>
    <s v="2023-06-16"/>
    <s v="36-50"/>
    <n v="931.5"/>
  </r>
  <r>
    <s v="ORD03114"/>
    <d v="2026-02-03T00:00:00"/>
    <s v="CUST0443"/>
    <x v="3"/>
    <x v="4"/>
    <n v="1"/>
    <n v="0.2"/>
    <n v="14400"/>
    <n v="1569.67"/>
    <x v="2"/>
    <s v="Delivered"/>
    <n v="14400"/>
    <n v="10.90048611111111"/>
    <s v="Profit"/>
    <s v="Akash Sharma"/>
    <x v="1"/>
    <x v="0"/>
    <s v="Coimbatore"/>
    <s v="Tamil Nadu"/>
    <s v="2023-10-10"/>
    <s v="51+"/>
    <n v="1569.67"/>
  </r>
  <r>
    <s v="ORD03115"/>
    <d v="2026-06-24T00:00:00"/>
    <s v="CUST0160"/>
    <x v="1"/>
    <x v="12"/>
    <n v="3"/>
    <n v="0.1"/>
    <n v="3780"/>
    <n v="1285.8399999999999"/>
    <x v="0"/>
    <s v="Delivered"/>
    <n v="1260"/>
    <n v="34.016931216931212"/>
    <s v="Profit"/>
    <s v="Divya Sharma"/>
    <x v="2"/>
    <x v="0"/>
    <s v="Bengaluru"/>
    <s v="Karnataka"/>
    <s v="2024-09-25"/>
    <s v="18-25"/>
    <n v="428.61333333333329"/>
  </r>
  <r>
    <s v="ORD03116"/>
    <d v="2025-11-09T00:00:00"/>
    <s v="CUST0122"/>
    <x v="0"/>
    <x v="14"/>
    <n v="1"/>
    <n v="0.1"/>
    <n v="405"/>
    <n v="77.760000000000005"/>
    <x v="3"/>
    <s v="Delivered"/>
    <n v="405"/>
    <n v="19.2"/>
    <s v="Profit"/>
    <s v="Pooja Pillai"/>
    <x v="1"/>
    <x v="1"/>
    <s v="Pune"/>
    <s v="Maharashtra"/>
    <s v="2023-03-15"/>
    <s v="26-35"/>
    <n v="77.760000000000005"/>
  </r>
  <r>
    <s v="ORD03117"/>
    <d v="2026-07-18T00:00:00"/>
    <s v="CUST0511"/>
    <x v="3"/>
    <x v="11"/>
    <n v="2"/>
    <n v="0.2"/>
    <n v="4000"/>
    <n v="-2365.35"/>
    <x v="2"/>
    <s v="Cancelled"/>
    <n v="2000"/>
    <n v="-59.133749999999999"/>
    <s v="Loss"/>
    <s v="Sneha Naidu"/>
    <x v="1"/>
    <x v="2"/>
    <s v="Delhi"/>
    <s v="Delhi"/>
    <s v="2023-05-20"/>
    <s v="18-25"/>
    <n v="-1182.675"/>
  </r>
  <r>
    <s v="ORD03118"/>
    <d v="2025-07-17T00:00:00"/>
    <s v="CUST0429"/>
    <x v="3"/>
    <x v="11"/>
    <n v="2"/>
    <n v="0.1"/>
    <n v="4500"/>
    <n v="-259.74"/>
    <x v="0"/>
    <s v="Cancelled"/>
    <n v="2250"/>
    <n v="-5.7720000000000002"/>
    <s v="Loss"/>
    <s v="Pooja Mishra"/>
    <x v="1"/>
    <x v="3"/>
    <s v="Bhubaneswar"/>
    <s v="Odisha"/>
    <s v="2023-01-22"/>
    <s v="36-50"/>
    <n v="-129.87"/>
  </r>
  <r>
    <s v="ORD03119"/>
    <d v="2025-11-23T00:00:00"/>
    <s v="CUST0585"/>
    <x v="0"/>
    <x v="6"/>
    <n v="5"/>
    <n v="0.1"/>
    <n v="1575"/>
    <n v="468.44"/>
    <x v="2"/>
    <s v="Delivered"/>
    <n v="315"/>
    <n v="29.742222222222221"/>
    <s v="Profit"/>
    <s v="Diya Reddy"/>
    <x v="1"/>
    <x v="0"/>
    <s v="Bengaluru"/>
    <s v="Karnataka"/>
    <s v="2024-03-03"/>
    <s v="51+"/>
    <n v="93.688000000000002"/>
  </r>
  <r>
    <s v="ORD03120"/>
    <d v="2025-11-13T00:00:00"/>
    <s v="CUST0586"/>
    <x v="2"/>
    <x v="3"/>
    <n v="2"/>
    <n v="0.3"/>
    <n v="21000"/>
    <n v="1908.12"/>
    <x v="0"/>
    <s v="Delivered"/>
    <n v="10500"/>
    <n v="9.0862857142857134"/>
    <s v="Profit"/>
    <s v="Sanjay Mehta"/>
    <x v="1"/>
    <x v="0"/>
    <s v="Chennai"/>
    <s v="Tamil Nadu"/>
    <s v="2023-09-11"/>
    <s v="26-35"/>
    <n v="954.06"/>
  </r>
  <r>
    <s v="ORD03121"/>
    <d v="2025-10-12T00:00:00"/>
    <s v="CUST0183"/>
    <x v="2"/>
    <x v="2"/>
    <n v="4"/>
    <n v="0"/>
    <n v="52000"/>
    <n v="12800"/>
    <x v="0"/>
    <s v="Delivered"/>
    <n v="13000"/>
    <n v="24.61538461538462"/>
    <s v="Profit"/>
    <s v="Meera Kulkarni"/>
    <x v="0"/>
    <x v="0"/>
    <s v="Coimbatore"/>
    <s v="Tamil Nadu"/>
    <s v="2024-09-21"/>
    <s v="26-35"/>
    <n v="3200"/>
  </r>
  <r>
    <s v="ORD03122"/>
    <d v="2026-06-24T00:00:00"/>
    <s v="CUST0298"/>
    <x v="3"/>
    <x v="4"/>
    <n v="1"/>
    <n v="0.15"/>
    <n v="15300"/>
    <n v="2006.78"/>
    <x v="1"/>
    <s v="Delivered"/>
    <n v="15300"/>
    <n v="13.116209150326799"/>
    <s v="Profit"/>
    <s v="Diya Joshi"/>
    <x v="0"/>
    <x v="0"/>
    <s v="Chennai"/>
    <s v="Tamil Nadu"/>
    <s v="2025-01-10"/>
    <s v="18-25"/>
    <n v="2006.78"/>
  </r>
  <r>
    <s v="ORD03123"/>
    <d v="2025-10-30T00:00:00"/>
    <s v="CUST0581"/>
    <x v="3"/>
    <x v="4"/>
    <n v="1"/>
    <n v="0.1"/>
    <n v="16200"/>
    <n v="2432.1"/>
    <x v="1"/>
    <s v="Delivered"/>
    <n v="16200"/>
    <n v="15.012962962962961"/>
    <s v="Profit"/>
    <s v="Aditya Naidu"/>
    <x v="0"/>
    <x v="0"/>
    <s v="Coimbatore"/>
    <s v="Tamil Nadu"/>
    <s v="2024-10-03"/>
    <s v="18-25"/>
    <n v="2432.1"/>
  </r>
  <r>
    <s v="ORD03124"/>
    <d v="2026-02-17T00:00:00"/>
    <s v="CUST0374"/>
    <x v="2"/>
    <x v="5"/>
    <n v="1"/>
    <n v="0"/>
    <n v="11000"/>
    <n v="2600"/>
    <x v="3"/>
    <s v="Delivered"/>
    <n v="11000"/>
    <n v="23.63636363636364"/>
    <s v="Profit"/>
    <s v="Ishaan Chopra"/>
    <x v="0"/>
    <x v="0"/>
    <s v="Bengaluru"/>
    <s v="Karnataka"/>
    <s v="2024-09-12"/>
    <s v="18-25"/>
    <n v="2600"/>
  </r>
  <r>
    <s v="ORD03125"/>
    <d v="2025-12-17T00:00:00"/>
    <s v="CUST0100"/>
    <x v="3"/>
    <x v="4"/>
    <n v="1"/>
    <n v="0.05"/>
    <n v="17100"/>
    <n v="2869.56"/>
    <x v="3"/>
    <s v="Delivered"/>
    <n v="17100"/>
    <n v="16.781052631578952"/>
    <s v="Profit"/>
    <s v="Priya Singh"/>
    <x v="1"/>
    <x v="0"/>
    <s v="Chennai"/>
    <s v="Tamil Nadu"/>
    <s v="2023-03-14"/>
    <s v="26-35"/>
    <n v="2869.56"/>
  </r>
  <r>
    <s v="ORD03126"/>
    <d v="2025-11-27T00:00:00"/>
    <s v="CUST0599"/>
    <x v="2"/>
    <x v="5"/>
    <n v="4"/>
    <n v="0"/>
    <n v="44000"/>
    <n v="10400"/>
    <x v="0"/>
    <s v="Shipped"/>
    <n v="11000"/>
    <n v="23.63636363636364"/>
    <s v="Profit"/>
    <s v="Rahul Das"/>
    <x v="1"/>
    <x v="0"/>
    <s v="Coimbatore"/>
    <s v="Tamil Nadu"/>
    <s v="2024-01-12"/>
    <s v="26-35"/>
    <n v="2600"/>
  </r>
  <r>
    <s v="ORD03127"/>
    <d v="2026-04-16T00:00:00"/>
    <s v="CUST0550"/>
    <x v="3"/>
    <x v="11"/>
    <n v="10"/>
    <n v="0"/>
    <n v="25000"/>
    <n v="8000"/>
    <x v="1"/>
    <s v="Delivered"/>
    <n v="2500"/>
    <n v="32"/>
    <s v="Profit"/>
    <s v="Sneha Pillai"/>
    <x v="0"/>
    <x v="1"/>
    <s v="Mumbai"/>
    <s v="Maharashtra"/>
    <s v="2025-02-28"/>
    <s v="36-50"/>
    <n v="800"/>
  </r>
  <r>
    <s v="ORD03128"/>
    <d v="2026-07-19T00:00:00"/>
    <s v="CUST0312"/>
    <x v="3"/>
    <x v="8"/>
    <n v="2"/>
    <n v="0.2"/>
    <n v="7200"/>
    <n v="1761.27"/>
    <x v="3"/>
    <s v="Delivered"/>
    <n v="3600"/>
    <n v="24.462083333333339"/>
    <s v="Profit"/>
    <s v="Kavya Menon"/>
    <x v="1"/>
    <x v="1"/>
    <s v="Mumbai"/>
    <s v="Maharashtra"/>
    <s v="2023-05-26"/>
    <s v="26-35"/>
    <n v="880.63499999999999"/>
  </r>
  <r>
    <s v="ORD03129"/>
    <d v="2025-11-12T00:00:00"/>
    <s v="CUST0020"/>
    <x v="1"/>
    <x v="12"/>
    <n v="1"/>
    <n v="0.05"/>
    <n v="1330"/>
    <n v="463.79"/>
    <x v="1"/>
    <s v="Delivered"/>
    <n v="1330"/>
    <n v="34.871428571428567"/>
    <s v="Profit"/>
    <s v="Aarav Pillai"/>
    <x v="0"/>
    <x v="2"/>
    <s v="Lucknow"/>
    <s v="Uttar Pradesh"/>
    <s v="2025-11-30"/>
    <s v="26-35"/>
    <n v="463.79"/>
  </r>
  <r>
    <s v="ORD03130"/>
    <d v="2025-12-14T00:00:00"/>
    <s v="CUST0344"/>
    <x v="0"/>
    <x v="14"/>
    <n v="2"/>
    <n v="0.1"/>
    <n v="810"/>
    <n v="144.94999999999999"/>
    <x v="3"/>
    <s v="Delivered"/>
    <n v="405"/>
    <n v="17.89506172839506"/>
    <s v="Profit"/>
    <s v="Aditya Gupta"/>
    <x v="1"/>
    <x v="1"/>
    <s v="Ahmedabad"/>
    <s v="Gujarat"/>
    <s v="2023-09-29"/>
    <s v="36-50"/>
    <n v="72.474999999999994"/>
  </r>
  <r>
    <s v="ORD03131"/>
    <d v="2026-05-05T00:00:00"/>
    <s v="CUST0510"/>
    <x v="3"/>
    <x v="10"/>
    <n v="1"/>
    <n v="0.15"/>
    <n v="46750"/>
    <n v="2824.18"/>
    <x v="2"/>
    <s v="Delivered"/>
    <n v="46750"/>
    <n v="6.0410267379679139"/>
    <s v="Profit"/>
    <s v="Vikram Singh"/>
    <x v="1"/>
    <x v="0"/>
    <s v="Coimbatore"/>
    <s v="Tamil Nadu"/>
    <s v="2024-08-20"/>
    <s v="36-50"/>
    <n v="2824.18"/>
  </r>
  <r>
    <s v="ORD03132"/>
    <d v="2026-05-28T00:00:00"/>
    <s v="CUST0010"/>
    <x v="0"/>
    <x v="7"/>
    <n v="3"/>
    <n v="0.15"/>
    <n v="2295"/>
    <n v="651.01"/>
    <x v="3"/>
    <s v="Delivered"/>
    <n v="765"/>
    <n v="28.366448801742919"/>
    <s v="Profit"/>
    <s v="Karthik Bose"/>
    <x v="1"/>
    <x v="1"/>
    <s v="Pune"/>
    <s v="Maharashtra"/>
    <s v="2024-09-24"/>
    <s v="36-50"/>
    <n v="217.0033333333333"/>
  </r>
  <r>
    <s v="ORD03133"/>
    <d v="2026-05-17T00:00:00"/>
    <s v="CUST0047"/>
    <x v="3"/>
    <x v="10"/>
    <n v="1"/>
    <n v="0.2"/>
    <n v="44000"/>
    <n v="479.29"/>
    <x v="3"/>
    <s v="Delivered"/>
    <n v="44000"/>
    <n v="1.089295454545455"/>
    <s v="Profit"/>
    <s v="Rahul Das"/>
    <x v="2"/>
    <x v="0"/>
    <s v="Hyderabad"/>
    <s v="Telangana"/>
    <s v="2025-07-16"/>
    <s v="26-35"/>
    <n v="479.29"/>
  </r>
  <r>
    <s v="ORD03134"/>
    <d v="2026-01-26T00:00:00"/>
    <s v="CUST0500"/>
    <x v="0"/>
    <x v="14"/>
    <n v="6"/>
    <n v="0.1"/>
    <n v="2430"/>
    <n v="-1103.79"/>
    <x v="0"/>
    <s v="Returned"/>
    <n v="405"/>
    <n v="-45.42345679012346"/>
    <s v="Loss"/>
    <s v="Akash Bose"/>
    <x v="0"/>
    <x v="1"/>
    <s v="Mumbai"/>
    <s v="Maharashtra"/>
    <s v="2024-06-01"/>
    <s v="36-50"/>
    <n v="-183.965"/>
  </r>
  <r>
    <s v="ORD03135"/>
    <d v="2026-01-02T00:00:00"/>
    <s v="CUST0589"/>
    <x v="0"/>
    <x v="7"/>
    <n v="2"/>
    <n v="0.15"/>
    <n v="1530"/>
    <n v="-740.17"/>
    <x v="2"/>
    <s v="Cancelled"/>
    <n v="765"/>
    <n v="-48.377124183006529"/>
    <s v="Loss"/>
    <s v="Sanjay Patel"/>
    <x v="2"/>
    <x v="2"/>
    <s v="Delhi"/>
    <s v="Delhi"/>
    <s v="2024-12-17"/>
    <s v="36-50"/>
    <n v="-370.08499999999998"/>
  </r>
  <r>
    <s v="ORD03136"/>
    <d v="2025-09-17T00:00:00"/>
    <s v="CUST0409"/>
    <x v="3"/>
    <x v="4"/>
    <n v="1"/>
    <n v="0.15"/>
    <n v="15300"/>
    <n v="2242.9899999999998"/>
    <x v="2"/>
    <s v="Delivered"/>
    <n v="15300"/>
    <n v="14.66006535947712"/>
    <s v="Profit"/>
    <s v="Arjun Khan"/>
    <x v="2"/>
    <x v="2"/>
    <s v="Chandigarh"/>
    <s v="Chandigarh"/>
    <s v="2025-06-20"/>
    <s v="18-25"/>
    <n v="2242.9899999999998"/>
  </r>
  <r>
    <s v="ORD03137"/>
    <d v="2026-03-16T00:00:00"/>
    <s v="CUST0431"/>
    <x v="2"/>
    <x v="9"/>
    <n v="1"/>
    <n v="0.2"/>
    <n v="7200"/>
    <n v="-2878.98"/>
    <x v="1"/>
    <s v="Returned"/>
    <n v="7200"/>
    <n v="-39.985833333333332"/>
    <s v="Loss"/>
    <s v="Manoj Naidu"/>
    <x v="1"/>
    <x v="0"/>
    <s v="Bengaluru"/>
    <s v="Karnataka"/>
    <s v="2023-01-16"/>
    <s v="36-50"/>
    <n v="-2878.98"/>
  </r>
  <r>
    <s v="ORD03138"/>
    <d v="2026-01-27T00:00:00"/>
    <s v="CUST0516"/>
    <x v="3"/>
    <x v="10"/>
    <n v="2"/>
    <n v="0.1"/>
    <n v="99000"/>
    <n v="11165.99"/>
    <x v="3"/>
    <s v="Shipped"/>
    <n v="49500"/>
    <n v="11.27877777777778"/>
    <s v="Profit"/>
    <s v="Rahul Mishra"/>
    <x v="1"/>
    <x v="0"/>
    <s v="Hyderabad"/>
    <s v="Telangana"/>
    <s v="2024-01-31"/>
    <s v="26-35"/>
    <n v="5582.9949999999999"/>
  </r>
  <r>
    <s v="ORD03139"/>
    <d v="2026-06-03T00:00:00"/>
    <s v="CUST0386"/>
    <x v="2"/>
    <x v="3"/>
    <n v="1"/>
    <n v="0.05"/>
    <n v="14250"/>
    <n v="2903.74"/>
    <x v="2"/>
    <s v="Delivered"/>
    <n v="14250"/>
    <n v="20.377122807017539"/>
    <s v="Profit"/>
    <s v="Pooja Kulkarni"/>
    <x v="0"/>
    <x v="0"/>
    <s v="Chennai"/>
    <s v="Tamil Nadu"/>
    <s v="2023-03-27"/>
    <s v="26-35"/>
    <n v="2903.74"/>
  </r>
  <r>
    <s v="ORD03140"/>
    <d v="2025-07-06T00:00:00"/>
    <s v="CUST0499"/>
    <x v="2"/>
    <x v="9"/>
    <n v="1"/>
    <n v="0.1"/>
    <n v="8100"/>
    <n v="1751.4"/>
    <x v="3"/>
    <s v="Delivered"/>
    <n v="8100"/>
    <n v="21.62222222222222"/>
    <s v="Profit"/>
    <s v="Meera Singh"/>
    <x v="0"/>
    <x v="1"/>
    <s v="Pune"/>
    <s v="Maharashtra"/>
    <s v="2025-06-01"/>
    <s v="36-50"/>
    <n v="1751.4"/>
  </r>
  <r>
    <s v="ORD03141"/>
    <d v="2025-09-18T00:00:00"/>
    <s v="CUST0395"/>
    <x v="0"/>
    <x v="6"/>
    <n v="5"/>
    <n v="0.1"/>
    <n v="1575"/>
    <n v="458.73"/>
    <x v="0"/>
    <s v="Delivered"/>
    <n v="315"/>
    <n v="29.125714285714292"/>
    <s v="Profit"/>
    <s v="Ananya Gupta"/>
    <x v="0"/>
    <x v="2"/>
    <s v="Lucknow"/>
    <s v="Uttar Pradesh"/>
    <s v="2025-01-30"/>
    <s v="18-25"/>
    <n v="91.746000000000009"/>
  </r>
  <r>
    <s v="ORD03142"/>
    <d v="2026-03-15T00:00:00"/>
    <s v="CUST0325"/>
    <x v="1"/>
    <x v="12"/>
    <n v="3"/>
    <n v="0.15"/>
    <n v="3570"/>
    <n v="1175.9100000000001"/>
    <x v="0"/>
    <s v="Shipped"/>
    <n v="1190"/>
    <n v="32.938655462184883"/>
    <s v="Profit"/>
    <s v="Arjun Mishra"/>
    <x v="0"/>
    <x v="0"/>
    <s v="Chennai"/>
    <s v="Tamil Nadu"/>
    <s v="2023-05-08"/>
    <s v="51+"/>
    <n v="391.97"/>
  </r>
  <r>
    <s v="ORD03143"/>
    <d v="2026-05-30T00:00:00"/>
    <s v="CUST0580"/>
    <x v="3"/>
    <x v="10"/>
    <n v="1"/>
    <n v="0"/>
    <n v="55000"/>
    <n v="9000"/>
    <x v="1"/>
    <s v="Delivered"/>
    <n v="55000"/>
    <n v="16.36363636363636"/>
    <s v="Profit"/>
    <s v="Sneha Iyer"/>
    <x v="2"/>
    <x v="1"/>
    <s v="Pune"/>
    <s v="Maharashtra"/>
    <s v="2023-10-12"/>
    <s v="36-50"/>
    <n v="9000"/>
  </r>
  <r>
    <s v="ORD03144"/>
    <d v="2025-07-24T00:00:00"/>
    <s v="CUST0047"/>
    <x v="0"/>
    <x v="7"/>
    <n v="2"/>
    <n v="0.15"/>
    <n v="1530"/>
    <n v="-680.75"/>
    <x v="1"/>
    <s v="Cancelled"/>
    <n v="765"/>
    <n v="-44.493464052287578"/>
    <s v="Loss"/>
    <s v="Rahul Das"/>
    <x v="2"/>
    <x v="0"/>
    <s v="Hyderabad"/>
    <s v="Telangana"/>
    <s v="2025-07-16"/>
    <s v="26-35"/>
    <n v="-340.375"/>
  </r>
  <r>
    <s v="ORD03145"/>
    <d v="2026-03-08T00:00:00"/>
    <s v="CUST0408"/>
    <x v="3"/>
    <x v="10"/>
    <n v="1"/>
    <n v="0"/>
    <n v="55000"/>
    <n v="9000"/>
    <x v="1"/>
    <s v="Delivered"/>
    <n v="55000"/>
    <n v="16.36363636363636"/>
    <s v="Profit"/>
    <s v="Akash Joshi"/>
    <x v="1"/>
    <x v="1"/>
    <s v="Ahmedabad"/>
    <s v="Gujarat"/>
    <s v="2025-10-05"/>
    <s v="26-35"/>
    <n v="9000"/>
  </r>
  <r>
    <s v="ORD03146"/>
    <d v="2025-09-03T00:00:00"/>
    <s v="CUST0134"/>
    <x v="0"/>
    <x v="14"/>
    <n v="2"/>
    <n v="0"/>
    <n v="900"/>
    <n v="220"/>
    <x v="3"/>
    <s v="Delivered"/>
    <n v="450"/>
    <n v="24.444444444444439"/>
    <s v="Profit"/>
    <s v="Pooja Kulkarni"/>
    <x v="0"/>
    <x v="2"/>
    <s v="Delhi"/>
    <s v="Delhi"/>
    <s v="2023-11-17"/>
    <s v="26-35"/>
    <n v="110"/>
  </r>
  <r>
    <s v="ORD03147"/>
    <d v="2026-03-01T00:00:00"/>
    <s v="CUST0432"/>
    <x v="0"/>
    <x v="6"/>
    <n v="3"/>
    <n v="0.15"/>
    <n v="892.5"/>
    <n v="230.81"/>
    <x v="2"/>
    <s v="Delivered"/>
    <n v="297.5"/>
    <n v="25.861064425770309"/>
    <s v="Profit"/>
    <s v="Pooja Singh"/>
    <x v="1"/>
    <x v="0"/>
    <s v="Coimbatore"/>
    <s v="Tamil Nadu"/>
    <s v="2023-02-17"/>
    <s v="18-25"/>
    <n v="76.936666666666667"/>
  </r>
  <r>
    <s v="ORD03148"/>
    <d v="2025-07-08T00:00:00"/>
    <s v="CUST0415"/>
    <x v="0"/>
    <x v="7"/>
    <n v="3"/>
    <n v="0.05"/>
    <n v="2565"/>
    <n v="728.01"/>
    <x v="1"/>
    <s v="Delivered"/>
    <n v="855"/>
    <n v="28.382456140350879"/>
    <s v="Profit"/>
    <s v="Manoj Bose"/>
    <x v="1"/>
    <x v="0"/>
    <s v="Bengaluru"/>
    <s v="Karnataka"/>
    <s v="2024-07-04"/>
    <s v="36-50"/>
    <n v="242.67"/>
  </r>
  <r>
    <s v="ORD03149"/>
    <d v="2025-12-17T00:00:00"/>
    <s v="CUST0163"/>
    <x v="0"/>
    <x v="6"/>
    <n v="2"/>
    <n v="0.1"/>
    <n v="630"/>
    <n v="200.13"/>
    <x v="3"/>
    <s v="Delivered"/>
    <n v="315"/>
    <n v="31.766666666666669"/>
    <s v="Profit"/>
    <s v="Rohan Iyer"/>
    <x v="2"/>
    <x v="2"/>
    <s v="Jaipur"/>
    <s v="Rajasthan"/>
    <s v="2024-05-11"/>
    <s v="18-25"/>
    <n v="100.065"/>
  </r>
  <r>
    <s v="ORD03150"/>
    <d v="2026-05-21T00:00:00"/>
    <s v="CUST0413"/>
    <x v="2"/>
    <x v="5"/>
    <n v="6"/>
    <n v="0"/>
    <n v="66000"/>
    <n v="15600"/>
    <x v="3"/>
    <s v="Delivered"/>
    <n v="11000"/>
    <n v="23.63636363636364"/>
    <s v="Profit"/>
    <s v="Sanjay Bose"/>
    <x v="0"/>
    <x v="0"/>
    <s v="Chennai"/>
    <s v="Tamil Nadu"/>
    <s v="2023-05-01"/>
    <s v="26-35"/>
    <n v="2600"/>
  </r>
  <r>
    <s v="ORD03151"/>
    <d v="2026-04-13T00:00:00"/>
    <s v="CUST0165"/>
    <x v="0"/>
    <x v="7"/>
    <n v="2"/>
    <n v="0.15"/>
    <n v="1530"/>
    <n v="368.94"/>
    <x v="3"/>
    <s v="Delivered"/>
    <n v="765"/>
    <n v="24.113725490196082"/>
    <s v="Profit"/>
    <s v="Diya Mishra"/>
    <x v="0"/>
    <x v="0"/>
    <s v="Hyderabad"/>
    <s v="Telangana"/>
    <s v="2025-04-25"/>
    <s v="51+"/>
    <n v="184.47"/>
  </r>
  <r>
    <s v="ORD03152"/>
    <d v="2025-12-19T00:00:00"/>
    <s v="CUST0333"/>
    <x v="0"/>
    <x v="6"/>
    <n v="3"/>
    <n v="0.05"/>
    <n v="997.5"/>
    <n v="322.17"/>
    <x v="2"/>
    <s v="Delivered"/>
    <n v="332.5"/>
    <n v="32.297744360902257"/>
    <s v="Profit"/>
    <s v="Aditya Gupta"/>
    <x v="0"/>
    <x v="0"/>
    <s v="Chennai"/>
    <s v="Tamil Nadu"/>
    <s v="2023-02-18"/>
    <s v="26-35"/>
    <n v="107.39"/>
  </r>
  <r>
    <s v="ORD03153"/>
    <d v="2025-08-07T00:00:00"/>
    <s v="CUST0072"/>
    <x v="2"/>
    <x v="2"/>
    <n v="3"/>
    <n v="0"/>
    <n v="39000"/>
    <n v="9600"/>
    <x v="2"/>
    <s v="Delivered"/>
    <n v="13000"/>
    <n v="24.61538461538462"/>
    <s v="Profit"/>
    <s v="Shreya Nair"/>
    <x v="0"/>
    <x v="1"/>
    <s v="Surat"/>
    <s v="Gujarat"/>
    <s v="2025-09-16"/>
    <s v="26-35"/>
    <n v="3200"/>
  </r>
  <r>
    <s v="ORD03154"/>
    <d v="2026-07-04T00:00:00"/>
    <s v="CUST0181"/>
    <x v="0"/>
    <x v="0"/>
    <n v="4"/>
    <n v="0.2"/>
    <n v="44800"/>
    <n v="4967.37"/>
    <x v="0"/>
    <s v="Delivered"/>
    <n v="11200"/>
    <n v="11.087879464285709"/>
    <s v="Profit"/>
    <s v="Rohan Iyer"/>
    <x v="1"/>
    <x v="1"/>
    <s v="Surat"/>
    <s v="Gujarat"/>
    <s v="2023-03-20"/>
    <s v="36-50"/>
    <n v="1241.8425"/>
  </r>
  <r>
    <s v="ORD03155"/>
    <d v="2025-07-07T00:00:00"/>
    <s v="CUST0247"/>
    <x v="1"/>
    <x v="15"/>
    <n v="2"/>
    <n v="0.1"/>
    <n v="3960"/>
    <n v="1217.53"/>
    <x v="0"/>
    <s v="Delivered"/>
    <n v="1980"/>
    <n v="30.74570707070707"/>
    <s v="Profit"/>
    <s v="Meera Singh"/>
    <x v="0"/>
    <x v="3"/>
    <s v="Patna"/>
    <s v="Bihar"/>
    <s v="2023-01-30"/>
    <s v="18-25"/>
    <n v="608.76499999999999"/>
  </r>
  <r>
    <s v="ORD03156"/>
    <d v="2025-12-26T00:00:00"/>
    <s v="CUST0052"/>
    <x v="2"/>
    <x v="9"/>
    <n v="3"/>
    <n v="0"/>
    <n v="27000"/>
    <n v="6900"/>
    <x v="1"/>
    <s v="Delivered"/>
    <n v="9000"/>
    <n v="25.55555555555555"/>
    <s v="Profit"/>
    <s v="Arjun Verma"/>
    <x v="2"/>
    <x v="0"/>
    <s v="Lucknow"/>
    <s v="Uttar Pradesh"/>
    <s v="2023-11-01"/>
    <s v="26-35"/>
    <n v="2300"/>
  </r>
  <r>
    <s v="ORD03157"/>
    <d v="2025-10-09T00:00:00"/>
    <s v="CUST0316"/>
    <x v="0"/>
    <x v="0"/>
    <n v="1"/>
    <n v="0.05"/>
    <n v="13300"/>
    <n v="2259.1"/>
    <x v="3"/>
    <s v="Delivered"/>
    <n v="13300"/>
    <n v="16.98571428571428"/>
    <s v="Profit"/>
    <s v="Sneha Iyer"/>
    <x v="2"/>
    <x v="3"/>
    <s v="Guwahati"/>
    <s v="Assam"/>
    <s v="2024-04-21"/>
    <s v="26-35"/>
    <n v="2259.1"/>
  </r>
  <r>
    <s v="ORD03158"/>
    <d v="2025-11-13T00:00:00"/>
    <s v="CUST0092"/>
    <x v="2"/>
    <x v="3"/>
    <n v="2"/>
    <n v="0.15"/>
    <n v="25500"/>
    <n v="3341.14"/>
    <x v="2"/>
    <s v="Shipped"/>
    <n v="12750"/>
    <n v="13.102509803921571"/>
    <s v="Profit"/>
    <s v="Harini Khan"/>
    <x v="0"/>
    <x v="2"/>
    <s v="Jaipur"/>
    <s v="Rajasthan"/>
    <s v="2025-12-12"/>
    <s v="36-50"/>
    <n v="1670.57"/>
  </r>
  <r>
    <s v="ORD03159"/>
    <d v="2026-05-29T00:00:00"/>
    <s v="CUST0576"/>
    <x v="1"/>
    <x v="12"/>
    <n v="2"/>
    <n v="0"/>
    <n v="2800"/>
    <n v="-52.85"/>
    <x v="0"/>
    <s v="Returned"/>
    <n v="1400"/>
    <n v="-1.8875"/>
    <s v="Loss"/>
    <s v="Harini Pillai"/>
    <x v="0"/>
    <x v="0"/>
    <s v="Hyderabad"/>
    <s v="Telangana"/>
    <s v="2023-05-25"/>
    <s v="26-35"/>
    <n v="-26.425000000000001"/>
  </r>
  <r>
    <s v="ORD03160"/>
    <d v="2025-11-04T00:00:00"/>
    <s v="CUST0581"/>
    <x v="1"/>
    <x v="15"/>
    <n v="1"/>
    <n v="0.1"/>
    <n v="1980"/>
    <n v="-851.18"/>
    <x v="0"/>
    <s v="Returned"/>
    <n v="1980"/>
    <n v="-42.988888888888887"/>
    <s v="Loss"/>
    <s v="Aditya Naidu"/>
    <x v="0"/>
    <x v="0"/>
    <s v="Coimbatore"/>
    <s v="Tamil Nadu"/>
    <s v="2024-10-03"/>
    <s v="18-25"/>
    <n v="-851.18"/>
  </r>
  <r>
    <s v="ORD03161"/>
    <d v="2026-05-12T00:00:00"/>
    <s v="CUST0157"/>
    <x v="3"/>
    <x v="11"/>
    <n v="6"/>
    <n v="0"/>
    <n v="15000"/>
    <n v="4800"/>
    <x v="2"/>
    <s v="Delivered"/>
    <n v="2500"/>
    <n v="32"/>
    <s v="Profit"/>
    <s v="Diya Rao"/>
    <x v="1"/>
    <x v="0"/>
    <s v="Bengaluru"/>
    <s v="Karnataka"/>
    <s v="2024-02-13"/>
    <s v="51+"/>
    <n v="800"/>
  </r>
  <r>
    <s v="ORD03162"/>
    <d v="2025-09-07T00:00:00"/>
    <s v="CUST0117"/>
    <x v="3"/>
    <x v="4"/>
    <n v="2"/>
    <n v="0"/>
    <n v="36000"/>
    <n v="7000"/>
    <x v="2"/>
    <s v="Delivered"/>
    <n v="18000"/>
    <n v="19.44444444444445"/>
    <s v="Profit"/>
    <s v="Aarav Patel"/>
    <x v="0"/>
    <x v="2"/>
    <s v="Lucknow"/>
    <s v="Uttar Pradesh"/>
    <s v="2025-09-18"/>
    <s v="26-35"/>
    <n v="3500"/>
  </r>
  <r>
    <s v="ORD03163"/>
    <d v="2026-08-15T00:00:00"/>
    <s v="CUST0331"/>
    <x v="1"/>
    <x v="1"/>
    <n v="2"/>
    <n v="0"/>
    <n v="3600"/>
    <n v="1300"/>
    <x v="3"/>
    <s v="Delivered"/>
    <n v="1800"/>
    <n v="36.111111111111107"/>
    <s v="Profit"/>
    <s v="Kavya Kulkarni"/>
    <x v="0"/>
    <x v="2"/>
    <s v="Chandigarh"/>
    <s v="Chandigarh"/>
    <s v="2023-08-28"/>
    <s v="36-50"/>
    <n v="650"/>
  </r>
  <r>
    <s v="ORD03164"/>
    <d v="2025-08-17T00:00:00"/>
    <s v="CUST0286"/>
    <x v="2"/>
    <x v="5"/>
    <n v="1"/>
    <n v="0"/>
    <n v="11000"/>
    <n v="2600"/>
    <x v="1"/>
    <s v="Delivered"/>
    <n v="11000"/>
    <n v="23.63636363636364"/>
    <s v="Profit"/>
    <s v="Meera Rao"/>
    <x v="2"/>
    <x v="3"/>
    <s v="Patna"/>
    <s v="Bihar"/>
    <s v="2023-12-05"/>
    <s v="26-35"/>
    <n v="2600"/>
  </r>
  <r>
    <s v="ORD03165"/>
    <d v="2025-11-02T00:00:00"/>
    <s v="CUST0379"/>
    <x v="1"/>
    <x v="13"/>
    <n v="2"/>
    <n v="0"/>
    <n v="8400"/>
    <n v="-3270.6"/>
    <x v="1"/>
    <s v="Cancelled"/>
    <n v="4200"/>
    <n v="-38.935714285714283"/>
    <s v="Loss"/>
    <s v="Sneha Pillai"/>
    <x v="0"/>
    <x v="1"/>
    <s v="Surat"/>
    <s v="Gujarat"/>
    <s v="2024-06-25"/>
    <s v="18-25"/>
    <n v="-1635.3"/>
  </r>
  <r>
    <s v="ORD03166"/>
    <d v="2025-08-11T00:00:00"/>
    <s v="CUST0455"/>
    <x v="2"/>
    <x v="3"/>
    <n v="1"/>
    <n v="0.05"/>
    <n v="14250"/>
    <n v="3028.47"/>
    <x v="1"/>
    <s v="Shipped"/>
    <n v="14250"/>
    <n v="21.252421052631579"/>
    <s v="Profit"/>
    <s v="Priya Sharma"/>
    <x v="0"/>
    <x v="0"/>
    <s v="Hyderabad"/>
    <s v="Telangana"/>
    <s v="2023-12-10"/>
    <s v="26-35"/>
    <n v="3028.47"/>
  </r>
  <r>
    <s v="ORD03167"/>
    <d v="2025-10-29T00:00:00"/>
    <s v="CUST0075"/>
    <x v="0"/>
    <x v="6"/>
    <n v="1"/>
    <n v="0.1"/>
    <n v="315"/>
    <n v="102.99"/>
    <x v="1"/>
    <s v="Shipped"/>
    <n v="315"/>
    <n v="32.695238095238103"/>
    <s v="Profit"/>
    <s v="Karthik Sharma"/>
    <x v="0"/>
    <x v="0"/>
    <s v="Bengaluru"/>
    <s v="Karnataka"/>
    <s v="2025-09-08"/>
    <s v="36-50"/>
    <n v="102.99"/>
  </r>
  <r>
    <s v="ORD03168"/>
    <d v="2025-11-02T00:00:00"/>
    <s v="CUST0543"/>
    <x v="2"/>
    <x v="3"/>
    <n v="2"/>
    <n v="0.05"/>
    <n v="28500"/>
    <n v="6146.39"/>
    <x v="1"/>
    <s v="Delivered"/>
    <n v="14250"/>
    <n v="21.56628070175439"/>
    <s v="Profit"/>
    <s v="Ananya Iyer"/>
    <x v="1"/>
    <x v="0"/>
    <s v="Chennai"/>
    <s v="Tamil Nadu"/>
    <s v="2025-10-16"/>
    <s v="26-35"/>
    <n v="3073.1950000000002"/>
  </r>
  <r>
    <s v="ORD03169"/>
    <d v="2026-06-21T00:00:00"/>
    <s v="CUST0323"/>
    <x v="3"/>
    <x v="11"/>
    <n v="1"/>
    <n v="0"/>
    <n v="2500"/>
    <n v="800"/>
    <x v="3"/>
    <s v="Shipped"/>
    <n v="2500"/>
    <n v="32"/>
    <s v="Profit"/>
    <s v="Manoj Menon"/>
    <x v="2"/>
    <x v="3"/>
    <s v="Patna"/>
    <s v="Bihar"/>
    <s v="2023-04-08"/>
    <s v="36-50"/>
    <n v="800"/>
  </r>
  <r>
    <s v="ORD03170"/>
    <d v="2026-03-07T00:00:00"/>
    <s v="CUST0413"/>
    <x v="2"/>
    <x v="5"/>
    <n v="2"/>
    <n v="0"/>
    <n v="22000"/>
    <n v="5200"/>
    <x v="0"/>
    <s v="Shipped"/>
    <n v="11000"/>
    <n v="23.63636363636364"/>
    <s v="Profit"/>
    <s v="Sanjay Bose"/>
    <x v="0"/>
    <x v="0"/>
    <s v="Chennai"/>
    <s v="Tamil Nadu"/>
    <s v="2023-05-01"/>
    <s v="26-35"/>
    <n v="2600"/>
  </r>
  <r>
    <s v="ORD03171"/>
    <d v="2025-07-04T00:00:00"/>
    <s v="CUST0148"/>
    <x v="1"/>
    <x v="1"/>
    <n v="4"/>
    <n v="0"/>
    <n v="7200"/>
    <n v="-1067.6400000000001"/>
    <x v="0"/>
    <s v="Cancelled"/>
    <n v="1800"/>
    <n v="-14.82833333333333"/>
    <s v="Loss"/>
    <s v="Sanjay Mishra"/>
    <x v="0"/>
    <x v="3"/>
    <s v="Bhubaneswar"/>
    <s v="Odisha"/>
    <s v="2023-09-04"/>
    <s v="51+"/>
    <n v="-266.91000000000003"/>
  </r>
  <r>
    <s v="ORD03172"/>
    <d v="2025-09-24T00:00:00"/>
    <s v="CUST0463"/>
    <x v="2"/>
    <x v="9"/>
    <n v="10"/>
    <n v="0"/>
    <n v="90000"/>
    <n v="-15768.69"/>
    <x v="3"/>
    <s v="Returned"/>
    <n v="9000"/>
    <n v="-17.52076666666667"/>
    <s v="Loss"/>
    <s v="Shreya Patel"/>
    <x v="0"/>
    <x v="0"/>
    <s v="Coimbatore"/>
    <s v="Tamil Nadu"/>
    <s v="2024-02-20"/>
    <s v="51+"/>
    <n v="-1576.8689999999999"/>
  </r>
  <r>
    <s v="ORD03173"/>
    <d v="2025-09-13T00:00:00"/>
    <s v="CUST0051"/>
    <x v="3"/>
    <x v="10"/>
    <n v="2"/>
    <n v="0.1"/>
    <n v="99000"/>
    <n v="9898.4599999999991"/>
    <x v="1"/>
    <s v="Delivered"/>
    <n v="49500"/>
    <n v="9.9984444444444431"/>
    <s v="Profit"/>
    <s v="Aditya Sharma"/>
    <x v="0"/>
    <x v="3"/>
    <s v="Guwahati"/>
    <s v="Assam"/>
    <s v="2025-06-30"/>
    <s v="26-35"/>
    <n v="4949.2299999999996"/>
  </r>
  <r>
    <s v="ORD03174"/>
    <d v="2026-06-11T00:00:00"/>
    <s v="CUST0339"/>
    <x v="0"/>
    <x v="0"/>
    <n v="1"/>
    <n v="0"/>
    <n v="14000"/>
    <n v="-2895.97"/>
    <x v="2"/>
    <s v="Cancelled"/>
    <n v="14000"/>
    <n v="-20.685500000000001"/>
    <s v="Loss"/>
    <s v="Meera Das"/>
    <x v="0"/>
    <x v="1"/>
    <s v="Mumbai"/>
    <s v="Maharashtra"/>
    <s v="2023-04-03"/>
    <s v="36-50"/>
    <n v="-2895.97"/>
  </r>
  <r>
    <s v="ORD03175"/>
    <d v="2025-07-22T00:00:00"/>
    <s v="CUST0253"/>
    <x v="0"/>
    <x v="7"/>
    <n v="2"/>
    <n v="0"/>
    <n v="1800"/>
    <n v="560"/>
    <x v="0"/>
    <s v="Delivered"/>
    <n v="900"/>
    <n v="31.111111111111111"/>
    <s v="Profit"/>
    <s v="Manoj Joshi"/>
    <x v="1"/>
    <x v="1"/>
    <s v="Ahmedabad"/>
    <s v="Gujarat"/>
    <s v="2025-01-11"/>
    <s v="36-50"/>
    <n v="280"/>
  </r>
  <r>
    <s v="ORD03176"/>
    <d v="2026-02-27T00:00:00"/>
    <s v="CUST0354"/>
    <x v="2"/>
    <x v="3"/>
    <n v="1"/>
    <n v="0.1"/>
    <n v="13500"/>
    <n v="2519.5700000000002"/>
    <x v="0"/>
    <s v="Delivered"/>
    <n v="13500"/>
    <n v="18.66348148148148"/>
    <s v="Profit"/>
    <s v="Manoj Singh"/>
    <x v="2"/>
    <x v="1"/>
    <s v="Mumbai"/>
    <s v="Maharashtra"/>
    <s v="2025-09-10"/>
    <s v="26-35"/>
    <n v="2519.5700000000002"/>
  </r>
  <r>
    <s v="ORD03177"/>
    <d v="2026-03-14T00:00:00"/>
    <s v="CUST0482"/>
    <x v="0"/>
    <x v="0"/>
    <n v="5"/>
    <n v="0.2"/>
    <n v="56000"/>
    <n v="3038.1"/>
    <x v="0"/>
    <s v="Delivered"/>
    <n v="11200"/>
    <n v="5.425178571428571"/>
    <s v="Profit"/>
    <s v="Divya Reddy"/>
    <x v="0"/>
    <x v="0"/>
    <s v="Chennai"/>
    <s v="Tamil Nadu"/>
    <s v="2025-06-12"/>
    <s v="26-35"/>
    <n v="607.62"/>
  </r>
  <r>
    <s v="ORD03178"/>
    <d v="2026-08-24T00:00:00"/>
    <s v="CUST0003"/>
    <x v="3"/>
    <x v="8"/>
    <n v="1"/>
    <n v="0.15"/>
    <n v="3825"/>
    <n v="1172.3900000000001"/>
    <x v="1"/>
    <s v="Delivered"/>
    <n v="3825"/>
    <n v="30.650718954248369"/>
    <s v="Profit"/>
    <s v="Sanjay Mehta"/>
    <x v="2"/>
    <x v="1"/>
    <s v="Ahmedabad"/>
    <s v="Gujarat"/>
    <s v="2025-05-11"/>
    <s v="26-35"/>
    <n v="1172.3900000000001"/>
  </r>
  <r>
    <s v="ORD03179"/>
    <d v="2026-07-24T00:00:00"/>
    <s v="CUST0136"/>
    <x v="1"/>
    <x v="12"/>
    <n v="1"/>
    <n v="0.15"/>
    <n v="1190"/>
    <n v="401.9"/>
    <x v="2"/>
    <s v="Delivered"/>
    <n v="1190"/>
    <n v="33.773109243697483"/>
    <s v="Profit"/>
    <s v="Meera Patel"/>
    <x v="0"/>
    <x v="2"/>
    <s v="Delhi"/>
    <s v="Delhi"/>
    <s v="2024-08-15"/>
    <s v="36-50"/>
    <n v="401.9"/>
  </r>
  <r>
    <s v="ORD03180"/>
    <d v="2025-10-16T00:00:00"/>
    <s v="CUST0275"/>
    <x v="2"/>
    <x v="2"/>
    <n v="2"/>
    <n v="0"/>
    <n v="26000"/>
    <n v="-6579.05"/>
    <x v="2"/>
    <s v="Returned"/>
    <n v="13000"/>
    <n v="-25.304038461538461"/>
    <s v="Loss"/>
    <s v="Divya Verma"/>
    <x v="0"/>
    <x v="2"/>
    <s v="Lucknow"/>
    <s v="Uttar Pradesh"/>
    <s v="2025-01-09"/>
    <s v="26-35"/>
    <n v="-3289.5250000000001"/>
  </r>
  <r>
    <s v="ORD03181"/>
    <d v="2026-01-25T00:00:00"/>
    <s v="CUST0391"/>
    <x v="0"/>
    <x v="7"/>
    <n v="2"/>
    <n v="0.3"/>
    <n v="1260"/>
    <n v="245.62"/>
    <x v="3"/>
    <s v="Delivered"/>
    <n v="630"/>
    <n v="19.49365079365079"/>
    <s v="Profit"/>
    <s v="Divya Das"/>
    <x v="2"/>
    <x v="0"/>
    <s v="Bengaluru"/>
    <s v="Karnataka"/>
    <s v="2023-03-08"/>
    <s v="36-50"/>
    <n v="122.81"/>
  </r>
  <r>
    <s v="ORD03182"/>
    <d v="2026-06-07T00:00:00"/>
    <s v="CUST0264"/>
    <x v="3"/>
    <x v="10"/>
    <n v="1"/>
    <n v="0.05"/>
    <n v="52250"/>
    <n v="-30592.17"/>
    <x v="3"/>
    <s v="Cancelled"/>
    <n v="52250"/>
    <n v="-58.549607655502392"/>
    <s v="Loss"/>
    <s v="Sneha Kulkarni"/>
    <x v="1"/>
    <x v="0"/>
    <s v="Chennai"/>
    <s v="Tamil Nadu"/>
    <s v="2024-02-11"/>
    <s v="51+"/>
    <n v="-30592.17"/>
  </r>
  <r>
    <s v="ORD03183"/>
    <d v="2025-08-09T00:00:00"/>
    <s v="CUST0468"/>
    <x v="0"/>
    <x v="6"/>
    <n v="4"/>
    <n v="0.05"/>
    <n v="1330"/>
    <n v="435.68"/>
    <x v="2"/>
    <s v="Delivered"/>
    <n v="332.5"/>
    <n v="32.757894736842111"/>
    <s v="Profit"/>
    <s v="Lakshmi Mehta"/>
    <x v="1"/>
    <x v="0"/>
    <s v="Chennai"/>
    <s v="Tamil Nadu"/>
    <s v="2023-03-02"/>
    <s v="26-35"/>
    <n v="108.92"/>
  </r>
  <r>
    <s v="ORD03184"/>
    <d v="2026-01-03T00:00:00"/>
    <s v="CUST0264"/>
    <x v="3"/>
    <x v="8"/>
    <n v="3"/>
    <n v="0.1"/>
    <n v="12150"/>
    <n v="3617.25"/>
    <x v="1"/>
    <s v="Shipped"/>
    <n v="4050"/>
    <n v="29.771604938271611"/>
    <s v="Profit"/>
    <s v="Sneha Kulkarni"/>
    <x v="1"/>
    <x v="0"/>
    <s v="Chennai"/>
    <s v="Tamil Nadu"/>
    <s v="2024-02-11"/>
    <s v="51+"/>
    <n v="1205.75"/>
  </r>
  <r>
    <s v="ORD03185"/>
    <d v="2026-07-07T00:00:00"/>
    <s v="CUST0600"/>
    <x v="2"/>
    <x v="5"/>
    <n v="5"/>
    <n v="0.05"/>
    <n v="52250"/>
    <n v="10785.39"/>
    <x v="1"/>
    <s v="Delivered"/>
    <n v="10450"/>
    <n v="20.641894736842101"/>
    <s v="Profit"/>
    <s v="Shreya Sharma"/>
    <x v="2"/>
    <x v="2"/>
    <s v="Jaipur"/>
    <s v="Rajasthan"/>
    <s v="2024-09-15"/>
    <s v="36-50"/>
    <n v="2157.078"/>
  </r>
  <r>
    <s v="ORD03186"/>
    <d v="2025-08-29T00:00:00"/>
    <s v="CUST0338"/>
    <x v="0"/>
    <x v="0"/>
    <n v="5"/>
    <n v="0.3"/>
    <n v="49000"/>
    <n v="552.65"/>
    <x v="3"/>
    <s v="Delivered"/>
    <n v="9800"/>
    <n v="1.1278571428571429"/>
    <s v="Profit"/>
    <s v="Kavya Bose"/>
    <x v="1"/>
    <x v="0"/>
    <s v="Hyderabad"/>
    <s v="Telangana"/>
    <s v="2024-10-27"/>
    <s v="26-35"/>
    <n v="110.53"/>
  </r>
  <r>
    <s v="ORD03187"/>
    <d v="2025-11-10T00:00:00"/>
    <s v="CUST0005"/>
    <x v="1"/>
    <x v="12"/>
    <n v="4"/>
    <n v="0.2"/>
    <n v="4480"/>
    <n v="1228.8399999999999"/>
    <x v="2"/>
    <s v="Delivered"/>
    <n v="1120"/>
    <n v="27.429464285714278"/>
    <s v="Profit"/>
    <s v="Rahul Kulkarni"/>
    <x v="1"/>
    <x v="1"/>
    <s v="Mumbai"/>
    <s v="Maharashtra"/>
    <s v="2024-11-06"/>
    <s v="18-25"/>
    <n v="307.20999999999998"/>
  </r>
  <r>
    <s v="ORD03188"/>
    <d v="2026-08-06T00:00:00"/>
    <s v="CUST0501"/>
    <x v="0"/>
    <x v="14"/>
    <n v="1"/>
    <n v="0.1"/>
    <n v="405"/>
    <n v="73.569999999999993"/>
    <x v="2"/>
    <s v="Delivered"/>
    <n v="405"/>
    <n v="18.165432098765429"/>
    <s v="Profit"/>
    <s v="Rahul Pillai"/>
    <x v="1"/>
    <x v="0"/>
    <s v="Bengaluru"/>
    <s v="Karnataka"/>
    <s v="2024-03-13"/>
    <s v="36-50"/>
    <n v="73.569999999999993"/>
  </r>
  <r>
    <s v="ORD03189"/>
    <d v="2025-08-15T00:00:00"/>
    <s v="CUST0531"/>
    <x v="1"/>
    <x v="15"/>
    <n v="3"/>
    <n v="0.1"/>
    <n v="5940"/>
    <n v="1823.11"/>
    <x v="1"/>
    <s v="Delivered"/>
    <n v="1980"/>
    <n v="30.692087542087538"/>
    <s v="Profit"/>
    <s v="Kavya Mishra"/>
    <x v="2"/>
    <x v="0"/>
    <s v="Coimbatore"/>
    <s v="Tamil Nadu"/>
    <s v="2023-10-06"/>
    <s v="26-35"/>
    <n v="607.70333333333326"/>
  </r>
  <r>
    <s v="ORD03190"/>
    <d v="2026-01-11T00:00:00"/>
    <s v="CUST0451"/>
    <x v="2"/>
    <x v="2"/>
    <n v="4"/>
    <n v="0.15"/>
    <n v="44200"/>
    <n v="6783.54"/>
    <x v="0"/>
    <s v="Shipped"/>
    <n v="11050"/>
    <n v="15.347375565610861"/>
    <s v="Profit"/>
    <s v="Diya Naidu"/>
    <x v="0"/>
    <x v="1"/>
    <s v="Pune"/>
    <s v="Maharashtra"/>
    <s v="2024-06-17"/>
    <s v="26-35"/>
    <n v="1695.885"/>
  </r>
  <r>
    <s v="ORD03191"/>
    <d v="2025-11-07T00:00:00"/>
    <s v="CUST0423"/>
    <x v="3"/>
    <x v="10"/>
    <n v="3"/>
    <n v="0.2"/>
    <n v="132000"/>
    <n v="10790.48"/>
    <x v="1"/>
    <s v="Delivered"/>
    <n v="44000"/>
    <n v="8.1746060606060595"/>
    <s v="Profit"/>
    <s v="Rohan Nair"/>
    <x v="0"/>
    <x v="2"/>
    <s v="Chandigarh"/>
    <s v="Chandigarh"/>
    <s v="2023-06-08"/>
    <s v="51+"/>
    <n v="3596.8266666666659"/>
  </r>
  <r>
    <s v="ORD03192"/>
    <d v="2025-10-30T00:00:00"/>
    <s v="CUST0074"/>
    <x v="2"/>
    <x v="9"/>
    <n v="2"/>
    <n v="0.15"/>
    <n v="15300"/>
    <n v="3108.49"/>
    <x v="0"/>
    <s v="Delivered"/>
    <n v="7650"/>
    <n v="20.316928104575162"/>
    <s v="Profit"/>
    <s v="Sanjay Rao"/>
    <x v="2"/>
    <x v="3"/>
    <s v="Kolkata"/>
    <s v="West Bengal"/>
    <s v="2025-12-13"/>
    <s v="26-35"/>
    <n v="1554.2449999999999"/>
  </r>
  <r>
    <s v="ORD03193"/>
    <d v="2025-10-06T00:00:00"/>
    <s v="CUST0507"/>
    <x v="3"/>
    <x v="8"/>
    <n v="3"/>
    <n v="0.2"/>
    <n v="10800"/>
    <n v="2895.14"/>
    <x v="3"/>
    <s v="Delivered"/>
    <n v="3600"/>
    <n v="26.806851851851849"/>
    <s v="Profit"/>
    <s v="Aarav Naidu"/>
    <x v="0"/>
    <x v="2"/>
    <s v="Jaipur"/>
    <s v="Rajasthan"/>
    <s v="2023-05-03"/>
    <s v="36-50"/>
    <n v="965.04666666666662"/>
  </r>
  <r>
    <s v="ORD03194"/>
    <d v="2025-09-20T00:00:00"/>
    <s v="CUST0472"/>
    <x v="0"/>
    <x v="7"/>
    <n v="3"/>
    <n v="0"/>
    <n v="2700"/>
    <n v="840"/>
    <x v="0"/>
    <s v="Delivered"/>
    <n v="900"/>
    <n v="31.111111111111111"/>
    <s v="Profit"/>
    <s v="Kavya Gupta"/>
    <x v="1"/>
    <x v="3"/>
    <s v="Bhubaneswar"/>
    <s v="Odisha"/>
    <s v="2025-07-26"/>
    <s v="26-35"/>
    <n v="280"/>
  </r>
  <r>
    <s v="ORD03195"/>
    <d v="2026-04-14T00:00:00"/>
    <s v="CUST0459"/>
    <x v="1"/>
    <x v="1"/>
    <n v="1"/>
    <n v="0"/>
    <n v="1800"/>
    <n v="650"/>
    <x v="3"/>
    <s v="Delivered"/>
    <n v="1800"/>
    <n v="36.111111111111107"/>
    <s v="Profit"/>
    <s v="Nisha Das"/>
    <x v="0"/>
    <x v="2"/>
    <s v="Chandigarh"/>
    <s v="Chandigarh"/>
    <s v="2024-10-03"/>
    <s v="26-35"/>
    <n v="650"/>
  </r>
  <r>
    <s v="ORD03196"/>
    <d v="2025-07-03T00:00:00"/>
    <s v="CUST0371"/>
    <x v="1"/>
    <x v="13"/>
    <n v="1"/>
    <n v="0"/>
    <n v="4200"/>
    <n v="1200"/>
    <x v="2"/>
    <s v="Delivered"/>
    <n v="4200"/>
    <n v="28.571428571428569"/>
    <s v="Profit"/>
    <s v="Karthik Naidu"/>
    <x v="1"/>
    <x v="2"/>
    <s v="Jaipur"/>
    <s v="Rajasthan"/>
    <s v="2023-09-13"/>
    <s v="18-25"/>
    <n v="1200"/>
  </r>
  <r>
    <s v="ORD03197"/>
    <d v="2026-03-27T00:00:00"/>
    <s v="CUST0583"/>
    <x v="2"/>
    <x v="9"/>
    <n v="2"/>
    <n v="0.05"/>
    <n v="17100"/>
    <n v="3927.66"/>
    <x v="0"/>
    <s v="Delivered"/>
    <n v="8550"/>
    <n v="22.968771929824559"/>
    <s v="Profit"/>
    <s v="Shreya Menon"/>
    <x v="2"/>
    <x v="1"/>
    <s v="Ahmedabad"/>
    <s v="Gujarat"/>
    <s v="2023-09-05"/>
    <s v="26-35"/>
    <n v="1963.83"/>
  </r>
  <r>
    <s v="ORD03198"/>
    <d v="2025-12-29T00:00:00"/>
    <s v="CUST0402"/>
    <x v="2"/>
    <x v="3"/>
    <n v="1"/>
    <n v="0.1"/>
    <n v="13500"/>
    <n v="2813.86"/>
    <x v="3"/>
    <s v="Delivered"/>
    <n v="13500"/>
    <n v="20.843407407407408"/>
    <s v="Profit"/>
    <s v="Diya Pillai"/>
    <x v="1"/>
    <x v="0"/>
    <s v="Chennai"/>
    <s v="Tamil Nadu"/>
    <s v="2025-08-08"/>
    <s v="36-50"/>
    <n v="2813.86"/>
  </r>
  <r>
    <s v="ORD03199"/>
    <d v="2025-08-26T00:00:00"/>
    <s v="CUST0306"/>
    <x v="3"/>
    <x v="10"/>
    <n v="5"/>
    <n v="0.05"/>
    <n v="261250"/>
    <n v="34280.769999999997"/>
    <x v="3"/>
    <s v="Delivered"/>
    <n v="52250"/>
    <n v="13.12182583732057"/>
    <s v="Profit"/>
    <s v="Aditya Das"/>
    <x v="0"/>
    <x v="2"/>
    <s v="Lucknow"/>
    <s v="Uttar Pradesh"/>
    <s v="2023-04-26"/>
    <s v="18-25"/>
    <n v="6856.1540000000005"/>
  </r>
  <r>
    <s v="ORD03200"/>
    <d v="2025-08-25T00:00:00"/>
    <s v="CUST0061"/>
    <x v="3"/>
    <x v="11"/>
    <n v="3"/>
    <n v="0.1"/>
    <n v="6750"/>
    <n v="-3456.67"/>
    <x v="2"/>
    <s v="Cancelled"/>
    <n v="2250"/>
    <n v="-51.209925925925923"/>
    <s v="Loss"/>
    <s v="Meera Kulkarni"/>
    <x v="0"/>
    <x v="0"/>
    <s v="Bengaluru"/>
    <s v="Karnataka"/>
    <s v="2024-11-07"/>
    <s v="18-25"/>
    <n v="-1152.2233333333329"/>
  </r>
  <r>
    <s v="ORD03201"/>
    <d v="2025-11-17T00:00:00"/>
    <s v="CUST0422"/>
    <x v="3"/>
    <x v="11"/>
    <n v="2"/>
    <n v="0.1"/>
    <n v="4500"/>
    <n v="1315.79"/>
    <x v="2"/>
    <s v="Delivered"/>
    <n v="2250"/>
    <n v="29.239777777777771"/>
    <s v="Profit"/>
    <s v="Meera Nair"/>
    <x v="1"/>
    <x v="0"/>
    <s v="Coimbatore"/>
    <s v="Tamil Nadu"/>
    <s v="2025-02-08"/>
    <s v="26-35"/>
    <n v="657.89499999999998"/>
  </r>
  <r>
    <s v="ORD03202"/>
    <d v="2026-08-06T00:00:00"/>
    <s v="CUST0362"/>
    <x v="0"/>
    <x v="7"/>
    <n v="3"/>
    <n v="0.15"/>
    <n v="2295"/>
    <n v="505.21"/>
    <x v="0"/>
    <s v="Delivered"/>
    <n v="765"/>
    <n v="22.013507625272329"/>
    <s v="Profit"/>
    <s v="Karthik Joshi"/>
    <x v="0"/>
    <x v="0"/>
    <s v="Coimbatore"/>
    <s v="Tamil Nadu"/>
    <s v="2025-09-08"/>
    <s v="26-35"/>
    <n v="168.40333333333331"/>
  </r>
  <r>
    <s v="ORD03203"/>
    <d v="2026-03-18T00:00:00"/>
    <s v="CUST0429"/>
    <x v="1"/>
    <x v="15"/>
    <n v="4"/>
    <n v="0.15"/>
    <n v="7480"/>
    <n v="2088.1799999999998"/>
    <x v="1"/>
    <s v="Delivered"/>
    <n v="1870"/>
    <n v="27.91684491978609"/>
    <s v="Profit"/>
    <s v="Pooja Mishra"/>
    <x v="1"/>
    <x v="3"/>
    <s v="Bhubaneswar"/>
    <s v="Odisha"/>
    <s v="2023-01-22"/>
    <s v="36-50"/>
    <n v="522.04499999999996"/>
  </r>
  <r>
    <s v="ORD03204"/>
    <d v="2025-08-16T00:00:00"/>
    <s v="CUST0242"/>
    <x v="2"/>
    <x v="3"/>
    <n v="2"/>
    <n v="0"/>
    <n v="30000"/>
    <n v="7000"/>
    <x v="2"/>
    <s v="Delivered"/>
    <n v="15000"/>
    <n v="23.333333333333329"/>
    <s v="Profit"/>
    <s v="Priya Singh"/>
    <x v="0"/>
    <x v="1"/>
    <s v="Pune"/>
    <s v="Maharashtra"/>
    <s v="2024-11-26"/>
    <s v="26-35"/>
    <n v="3500"/>
  </r>
  <r>
    <s v="ORD03205"/>
    <d v="2025-12-30T00:00:00"/>
    <s v="CUST0097"/>
    <x v="3"/>
    <x v="11"/>
    <n v="2"/>
    <n v="0.15"/>
    <n v="4250"/>
    <n v="1153.4000000000001"/>
    <x v="0"/>
    <s v="Delivered"/>
    <n v="2125"/>
    <n v="27.13882352941177"/>
    <s v="Profit"/>
    <s v="Manoj Patel"/>
    <x v="2"/>
    <x v="1"/>
    <s v="Pune"/>
    <s v="Maharashtra"/>
    <s v="2023-09-25"/>
    <s v="26-35"/>
    <n v="576.70000000000005"/>
  </r>
  <r>
    <s v="ORD03206"/>
    <d v="2025-09-22T00:00:00"/>
    <s v="CUST0083"/>
    <x v="0"/>
    <x v="0"/>
    <n v="2"/>
    <n v="0.3"/>
    <n v="19600"/>
    <n v="809.66"/>
    <x v="3"/>
    <s v="Delivered"/>
    <n v="9800"/>
    <n v="4.1309183673469381"/>
    <s v="Profit"/>
    <s v="Nisha Singh"/>
    <x v="0"/>
    <x v="0"/>
    <s v="Bengaluru"/>
    <s v="Karnataka"/>
    <s v="2024-07-24"/>
    <s v="26-35"/>
    <n v="404.83"/>
  </r>
  <r>
    <s v="ORD03207"/>
    <d v="2025-08-05T00:00:00"/>
    <s v="CUST0012"/>
    <x v="2"/>
    <x v="9"/>
    <n v="1"/>
    <n v="0"/>
    <n v="9000"/>
    <n v="2300"/>
    <x v="1"/>
    <s v="Delivered"/>
    <n v="9000"/>
    <n v="25.55555555555555"/>
    <s v="Profit"/>
    <s v="Akash Nair"/>
    <x v="1"/>
    <x v="0"/>
    <s v="Chennai"/>
    <s v="Tamil Nadu"/>
    <s v="2025-11-27"/>
    <s v="36-50"/>
    <n v="2300"/>
  </r>
  <r>
    <s v="ORD03208"/>
    <d v="2026-06-26T00:00:00"/>
    <s v="CUST0319"/>
    <x v="0"/>
    <x v="0"/>
    <n v="3"/>
    <n v="0.05"/>
    <n v="39900"/>
    <n v="7059.04"/>
    <x v="2"/>
    <s v="Delivered"/>
    <n v="13300"/>
    <n v="17.691829573934839"/>
    <s v="Profit"/>
    <s v="Vikram Sharma"/>
    <x v="0"/>
    <x v="0"/>
    <s v="Bengaluru"/>
    <s v="Karnataka"/>
    <s v="2024-01-16"/>
    <s v="26-35"/>
    <n v="2353.0133333333329"/>
  </r>
  <r>
    <s v="ORD03209"/>
    <d v="2025-09-29T00:00:00"/>
    <s v="CUST0028"/>
    <x v="1"/>
    <x v="12"/>
    <n v="5"/>
    <n v="0.15"/>
    <n v="5950"/>
    <n v="1849.94"/>
    <x v="2"/>
    <s v="Delivered"/>
    <n v="1190"/>
    <n v="31.091428571428569"/>
    <s v="Profit"/>
    <s v="Manoj Menon"/>
    <x v="0"/>
    <x v="1"/>
    <s v="Pune"/>
    <s v="Maharashtra"/>
    <s v="2023-11-15"/>
    <s v="36-50"/>
    <n v="369.988"/>
  </r>
  <r>
    <s v="ORD03210"/>
    <d v="2026-08-27T00:00:00"/>
    <s v="CUST0219"/>
    <x v="2"/>
    <x v="3"/>
    <n v="2"/>
    <n v="0"/>
    <n v="30000"/>
    <n v="-8116.26"/>
    <x v="3"/>
    <s v="Returned"/>
    <n v="15000"/>
    <n v="-27.054200000000002"/>
    <s v="Loss"/>
    <s v="Rahul Menon"/>
    <x v="1"/>
    <x v="3"/>
    <s v="Patna"/>
    <s v="Bihar"/>
    <s v="2023-10-06"/>
    <s v="36-50"/>
    <n v="-4058.13"/>
  </r>
  <r>
    <s v="ORD03211"/>
    <d v="2025-12-17T00:00:00"/>
    <s v="CUST0367"/>
    <x v="1"/>
    <x v="13"/>
    <n v="1"/>
    <n v="0"/>
    <n v="4200"/>
    <n v="1200"/>
    <x v="2"/>
    <s v="Delivered"/>
    <n v="4200"/>
    <n v="28.571428571428569"/>
    <s v="Profit"/>
    <s v="Harini Kulkarni"/>
    <x v="0"/>
    <x v="3"/>
    <s v="Bhubaneswar"/>
    <s v="Odisha"/>
    <s v="2025-10-09"/>
    <s v="18-25"/>
    <n v="1200"/>
  </r>
  <r>
    <s v="ORD03212"/>
    <d v="2026-01-18T00:00:00"/>
    <s v="CUST0334"/>
    <x v="3"/>
    <x v="4"/>
    <n v="3"/>
    <n v="0"/>
    <n v="54000"/>
    <n v="10500"/>
    <x v="3"/>
    <s v="Delivered"/>
    <n v="18000"/>
    <n v="19.44444444444445"/>
    <s v="Profit"/>
    <s v="Rahul Joshi"/>
    <x v="1"/>
    <x v="0"/>
    <s v="Hyderabad"/>
    <s v="Telangana"/>
    <s v="2024-05-26"/>
    <s v="26-35"/>
    <n v="3500"/>
  </r>
  <r>
    <s v="ORD03213"/>
    <d v="2025-08-19T00:00:00"/>
    <s v="CUST0114"/>
    <x v="3"/>
    <x v="11"/>
    <n v="4"/>
    <n v="0.1"/>
    <n v="9000"/>
    <n v="2445.67"/>
    <x v="0"/>
    <s v="Delivered"/>
    <n v="2250"/>
    <n v="27.17411111111111"/>
    <s v="Profit"/>
    <s v="Aarav Reddy"/>
    <x v="1"/>
    <x v="0"/>
    <s v="Coimbatore"/>
    <s v="Tamil Nadu"/>
    <s v="2023-11-15"/>
    <s v="18-25"/>
    <n v="611.41750000000002"/>
  </r>
  <r>
    <s v="ORD03214"/>
    <d v="2026-08-09T00:00:00"/>
    <s v="CUST0558"/>
    <x v="3"/>
    <x v="8"/>
    <n v="2"/>
    <n v="0.05"/>
    <n v="8550"/>
    <n v="2669.87"/>
    <x v="1"/>
    <s v="Delivered"/>
    <n v="4275"/>
    <n v="31.226549707602331"/>
    <s v="Profit"/>
    <s v="Harini Nair"/>
    <x v="0"/>
    <x v="3"/>
    <s v="Kolkata"/>
    <s v="West Bengal"/>
    <s v="2024-05-13"/>
    <s v="36-50"/>
    <n v="1334.9349999999999"/>
  </r>
  <r>
    <s v="ORD03215"/>
    <d v="2026-04-24T00:00:00"/>
    <s v="CUST0252"/>
    <x v="2"/>
    <x v="2"/>
    <n v="2"/>
    <n v="0.05"/>
    <n v="24700"/>
    <n v="5399.76"/>
    <x v="3"/>
    <s v="Shipped"/>
    <n v="12350"/>
    <n v="21.861376518218631"/>
    <s v="Profit"/>
    <s v="Ishaan Pillai"/>
    <x v="0"/>
    <x v="0"/>
    <s v="Coimbatore"/>
    <s v="Tamil Nadu"/>
    <s v="2024-06-19"/>
    <s v="36-50"/>
    <n v="2699.88"/>
  </r>
  <r>
    <s v="ORD03216"/>
    <d v="2025-07-25T00:00:00"/>
    <s v="CUST0051"/>
    <x v="3"/>
    <x v="8"/>
    <n v="1"/>
    <n v="0.15"/>
    <n v="3825"/>
    <n v="993.77"/>
    <x v="3"/>
    <s v="Delivered"/>
    <n v="3825"/>
    <n v="25.980915032679739"/>
    <s v="Profit"/>
    <s v="Aditya Sharma"/>
    <x v="0"/>
    <x v="3"/>
    <s v="Guwahati"/>
    <s v="Assam"/>
    <s v="2025-06-30"/>
    <s v="26-35"/>
    <n v="993.77"/>
  </r>
  <r>
    <s v="ORD03217"/>
    <d v="2026-08-28T00:00:00"/>
    <s v="CUST0039"/>
    <x v="3"/>
    <x v="8"/>
    <n v="1"/>
    <n v="0.1"/>
    <n v="4050"/>
    <n v="1147.95"/>
    <x v="1"/>
    <s v="Delivered"/>
    <n v="4050"/>
    <n v="28.344444444444441"/>
    <s v="Profit"/>
    <s v="Varun Joshi"/>
    <x v="0"/>
    <x v="0"/>
    <s v="Coimbatore"/>
    <s v="Tamil Nadu"/>
    <s v="2025-08-21"/>
    <s v="51+"/>
    <n v="1147.95"/>
  </r>
  <r>
    <s v="ORD03218"/>
    <d v="2025-08-04T00:00:00"/>
    <s v="CUST0353"/>
    <x v="3"/>
    <x v="10"/>
    <n v="2"/>
    <n v="0.05"/>
    <n v="104500"/>
    <n v="13899.59"/>
    <x v="2"/>
    <s v="Delivered"/>
    <n v="52250"/>
    <n v="13.301043062200961"/>
    <s v="Profit"/>
    <s v="Aditya Iyer"/>
    <x v="2"/>
    <x v="0"/>
    <s v="Hyderabad"/>
    <s v="Telangana"/>
    <s v="2024-08-21"/>
    <s v="36-50"/>
    <n v="6949.7950000000001"/>
  </r>
  <r>
    <s v="ORD03219"/>
    <d v="2026-02-05T00:00:00"/>
    <s v="CUST0137"/>
    <x v="3"/>
    <x v="8"/>
    <n v="3"/>
    <n v="0.15"/>
    <n v="11475"/>
    <n v="3581.68"/>
    <x v="3"/>
    <s v="Delivered"/>
    <n v="3825"/>
    <n v="31.212897603485839"/>
    <s v="Profit"/>
    <s v="Nisha Rao"/>
    <x v="1"/>
    <x v="2"/>
    <s v="Delhi"/>
    <s v="Delhi"/>
    <s v="2024-07-02"/>
    <s v="26-35"/>
    <n v="1193.893333333333"/>
  </r>
  <r>
    <s v="ORD03220"/>
    <d v="2025-12-07T00:00:00"/>
    <s v="CUST0334"/>
    <x v="0"/>
    <x v="0"/>
    <n v="4"/>
    <n v="0.05"/>
    <n v="53200"/>
    <n v="9931.4599999999991"/>
    <x v="0"/>
    <s v="Delivered"/>
    <n v="13300"/>
    <n v="18.66815789473684"/>
    <s v="Profit"/>
    <s v="Rahul Joshi"/>
    <x v="1"/>
    <x v="0"/>
    <s v="Hyderabad"/>
    <s v="Telangana"/>
    <s v="2024-05-26"/>
    <s v="26-35"/>
    <n v="2482.8649999999998"/>
  </r>
  <r>
    <s v="ORD03221"/>
    <d v="2025-11-21T00:00:00"/>
    <s v="CUST0415"/>
    <x v="3"/>
    <x v="11"/>
    <n v="4"/>
    <n v="0"/>
    <n v="10000"/>
    <n v="3200"/>
    <x v="0"/>
    <s v="Delivered"/>
    <n v="2500"/>
    <n v="32"/>
    <s v="Profit"/>
    <s v="Manoj Bose"/>
    <x v="1"/>
    <x v="0"/>
    <s v="Bengaluru"/>
    <s v="Karnataka"/>
    <s v="2024-07-04"/>
    <s v="36-50"/>
    <n v="800"/>
  </r>
  <r>
    <s v="ORD03222"/>
    <d v="2026-01-16T00:00:00"/>
    <s v="CUST0211"/>
    <x v="3"/>
    <x v="4"/>
    <n v="4"/>
    <n v="0.1"/>
    <n v="64800"/>
    <n v="10363.969999999999"/>
    <x v="2"/>
    <s v="Delivered"/>
    <n v="16200"/>
    <n v="15.993780864197531"/>
    <s v="Profit"/>
    <s v="Akash Kulkarni"/>
    <x v="0"/>
    <x v="1"/>
    <s v="Surat"/>
    <s v="Gujarat"/>
    <s v="2024-06-07"/>
    <s v="36-50"/>
    <n v="2590.9924999999998"/>
  </r>
  <r>
    <s v="ORD03223"/>
    <d v="2025-09-06T00:00:00"/>
    <s v="CUST0559"/>
    <x v="3"/>
    <x v="8"/>
    <n v="4"/>
    <n v="0"/>
    <n v="18000"/>
    <n v="-2079.08"/>
    <x v="3"/>
    <s v="Returned"/>
    <n v="4500"/>
    <n v="-11.550444444444439"/>
    <s v="Loss"/>
    <s v="Karthik Pillai"/>
    <x v="2"/>
    <x v="1"/>
    <s v="Ahmedabad"/>
    <s v="Gujarat"/>
    <s v="2024-02-26"/>
    <s v="51+"/>
    <n v="-519.77"/>
  </r>
  <r>
    <s v="ORD03224"/>
    <d v="2026-04-11T00:00:00"/>
    <s v="CUST0127"/>
    <x v="2"/>
    <x v="3"/>
    <n v="1"/>
    <n v="0"/>
    <n v="15000"/>
    <n v="3500"/>
    <x v="2"/>
    <s v="Shipped"/>
    <n v="15000"/>
    <n v="23.333333333333329"/>
    <s v="Profit"/>
    <s v="Ananya Patel"/>
    <x v="2"/>
    <x v="2"/>
    <s v="Chandigarh"/>
    <s v="Chandigarh"/>
    <s v="2023-08-13"/>
    <s v="26-35"/>
    <n v="3500"/>
  </r>
  <r>
    <s v="ORD03225"/>
    <d v="2025-09-20T00:00:00"/>
    <s v="CUST0591"/>
    <x v="0"/>
    <x v="6"/>
    <n v="3"/>
    <n v="0"/>
    <n v="1050"/>
    <n v="360"/>
    <x v="3"/>
    <s v="Shipped"/>
    <n v="350"/>
    <n v="34.285714285714278"/>
    <s v="Profit"/>
    <s v="Karthik Khan"/>
    <x v="1"/>
    <x v="1"/>
    <s v="Ahmedabad"/>
    <s v="Gujarat"/>
    <s v="2026-01-02"/>
    <s v="26-35"/>
    <n v="120"/>
  </r>
  <r>
    <s v="ORD03226"/>
    <d v="2025-08-24T00:00:00"/>
    <s v="CUST0479"/>
    <x v="2"/>
    <x v="2"/>
    <n v="2"/>
    <n v="0.1"/>
    <n v="23400"/>
    <n v="4505.5600000000004"/>
    <x v="2"/>
    <s v="Delivered"/>
    <n v="11700"/>
    <n v="19.254529914529918"/>
    <s v="Profit"/>
    <s v="Rohan Sharma"/>
    <x v="0"/>
    <x v="3"/>
    <s v="Guwahati"/>
    <s v="Assam"/>
    <s v="2023-04-27"/>
    <s v="36-50"/>
    <n v="2252.7800000000002"/>
  </r>
  <r>
    <s v="ORD03227"/>
    <d v="2026-08-09T00:00:00"/>
    <s v="CUST0400"/>
    <x v="1"/>
    <x v="1"/>
    <n v="2"/>
    <n v="0.05"/>
    <n v="3420"/>
    <n v="1190.9100000000001"/>
    <x v="1"/>
    <s v="Delivered"/>
    <n v="1710"/>
    <n v="34.821929824561401"/>
    <s v="Profit"/>
    <s v="Karthik Bose"/>
    <x v="0"/>
    <x v="0"/>
    <s v="Hyderabad"/>
    <s v="Telangana"/>
    <s v="2024-08-01"/>
    <s v="36-50"/>
    <n v="595.45500000000004"/>
  </r>
  <r>
    <s v="ORD03228"/>
    <d v="2026-03-08T00:00:00"/>
    <s v="CUST0552"/>
    <x v="2"/>
    <x v="9"/>
    <n v="10"/>
    <n v="0.15"/>
    <n v="76500"/>
    <n v="15190.17"/>
    <x v="1"/>
    <s v="Delivered"/>
    <n v="7650"/>
    <n v="19.856431372549022"/>
    <s v="Profit"/>
    <s v="Rahul Pillai"/>
    <x v="0"/>
    <x v="1"/>
    <s v="Mumbai"/>
    <s v="Maharashtra"/>
    <s v="2024-11-20"/>
    <s v="26-35"/>
    <n v="1519.0170000000001"/>
  </r>
  <r>
    <s v="ORD03229"/>
    <d v="2026-04-10T00:00:00"/>
    <s v="CUST0436"/>
    <x v="1"/>
    <x v="1"/>
    <n v="1"/>
    <n v="0"/>
    <n v="1800"/>
    <n v="650"/>
    <x v="0"/>
    <s v="Delivered"/>
    <n v="1800"/>
    <n v="36.111111111111107"/>
    <s v="Profit"/>
    <s v="Divya Patel"/>
    <x v="0"/>
    <x v="1"/>
    <s v="Surat"/>
    <s v="Gujarat"/>
    <s v="2025-10-12"/>
    <s v="26-35"/>
    <n v="650"/>
  </r>
  <r>
    <s v="ORD03230"/>
    <d v="2026-07-23T00:00:00"/>
    <s v="CUST0088"/>
    <x v="2"/>
    <x v="2"/>
    <n v="3"/>
    <n v="0.2"/>
    <n v="31200"/>
    <n v="5602.58"/>
    <x v="0"/>
    <s v="Shipped"/>
    <n v="10400"/>
    <n v="17.956987179487179"/>
    <s v="Profit"/>
    <s v="Sneha Verma"/>
    <x v="1"/>
    <x v="0"/>
    <s v="Chennai"/>
    <s v="Tamil Nadu"/>
    <s v="2023-06-12"/>
    <s v="26-35"/>
    <n v="1867.5266666666671"/>
  </r>
  <r>
    <s v="ORD03231"/>
    <d v="2026-06-12T00:00:00"/>
    <s v="CUST0460"/>
    <x v="3"/>
    <x v="11"/>
    <n v="1"/>
    <n v="0.05"/>
    <n v="2375"/>
    <n v="731.3"/>
    <x v="2"/>
    <s v="Delivered"/>
    <n v="2375"/>
    <n v="30.791578947368421"/>
    <s v="Profit"/>
    <s v="Rohan Nair"/>
    <x v="0"/>
    <x v="0"/>
    <s v="Chennai"/>
    <s v="Tamil Nadu"/>
    <s v="2023-12-17"/>
    <s v="18-25"/>
    <n v="731.3"/>
  </r>
  <r>
    <s v="ORD03232"/>
    <d v="2025-11-05T00:00:00"/>
    <s v="CUST0263"/>
    <x v="1"/>
    <x v="12"/>
    <n v="1"/>
    <n v="0.1"/>
    <n v="1260"/>
    <n v="4.79"/>
    <x v="2"/>
    <s v="Returned"/>
    <n v="1260"/>
    <n v="0.38015873015873008"/>
    <s v="Profit"/>
    <s v="Priya Khan"/>
    <x v="0"/>
    <x v="3"/>
    <s v="Kolkata"/>
    <s v="West Bengal"/>
    <s v="2025-03-25"/>
    <s v="26-35"/>
    <n v="4.79"/>
  </r>
  <r>
    <s v="ORD03233"/>
    <d v="2026-05-14T00:00:00"/>
    <s v="CUST0158"/>
    <x v="2"/>
    <x v="2"/>
    <n v="2"/>
    <n v="0.2"/>
    <n v="20800"/>
    <n v="3579.64"/>
    <x v="1"/>
    <s v="Shipped"/>
    <n v="10400"/>
    <n v="17.209807692307692"/>
    <s v="Profit"/>
    <s v="Ananya Reddy"/>
    <x v="2"/>
    <x v="0"/>
    <s v="Bengaluru"/>
    <s v="Karnataka"/>
    <s v="2024-04-04"/>
    <s v="18-25"/>
    <n v="1789.82"/>
  </r>
  <r>
    <s v="ORD03234"/>
    <d v="2025-12-14T00:00:00"/>
    <s v="CUST0100"/>
    <x v="1"/>
    <x v="15"/>
    <n v="3"/>
    <n v="0.1"/>
    <n v="5940"/>
    <n v="1690.15"/>
    <x v="2"/>
    <s v="Delivered"/>
    <n v="1980"/>
    <n v="28.453703703703699"/>
    <s v="Profit"/>
    <s v="Priya Singh"/>
    <x v="1"/>
    <x v="0"/>
    <s v="Chennai"/>
    <s v="Tamil Nadu"/>
    <s v="2023-03-14"/>
    <s v="26-35"/>
    <n v="563.38333333333333"/>
  </r>
  <r>
    <s v="ORD03235"/>
    <d v="2025-12-09T00:00:00"/>
    <s v="CUST0485"/>
    <x v="3"/>
    <x v="10"/>
    <n v="2"/>
    <n v="0.15"/>
    <n v="93500"/>
    <n v="-24045.27"/>
    <x v="0"/>
    <s v="Cancelled"/>
    <n v="46750"/>
    <n v="-25.71686631016043"/>
    <s v="Loss"/>
    <s v="Lakshmi Patel"/>
    <x v="0"/>
    <x v="2"/>
    <s v="Jaipur"/>
    <s v="Rajasthan"/>
    <s v="2024-10-30"/>
    <s v="26-35"/>
    <n v="-12022.635"/>
  </r>
  <r>
    <s v="ORD03236"/>
    <d v="2026-04-30T00:00:00"/>
    <s v="CUST0319"/>
    <x v="3"/>
    <x v="11"/>
    <n v="5"/>
    <n v="0.15"/>
    <n v="10625"/>
    <n v="2864.93"/>
    <x v="2"/>
    <s v="Delivered"/>
    <n v="2125"/>
    <n v="26.964047058823521"/>
    <s v="Profit"/>
    <s v="Vikram Sharma"/>
    <x v="0"/>
    <x v="0"/>
    <s v="Bengaluru"/>
    <s v="Karnataka"/>
    <s v="2024-01-16"/>
    <s v="26-35"/>
    <n v="572.98599999999999"/>
  </r>
  <r>
    <s v="ORD03237"/>
    <d v="2025-12-20T00:00:00"/>
    <s v="CUST0254"/>
    <x v="3"/>
    <x v="11"/>
    <n v="2"/>
    <n v="0"/>
    <n v="5000"/>
    <n v="1600"/>
    <x v="2"/>
    <s v="Shipped"/>
    <n v="2500"/>
    <n v="32"/>
    <s v="Profit"/>
    <s v="Sneha Mishra"/>
    <x v="1"/>
    <x v="2"/>
    <s v="Jaipur"/>
    <s v="Rajasthan"/>
    <s v="2025-05-30"/>
    <s v="36-50"/>
    <n v="800"/>
  </r>
  <r>
    <s v="ORD03238"/>
    <d v="2026-08-23T00:00:00"/>
    <s v="CUST0216"/>
    <x v="3"/>
    <x v="4"/>
    <n v="4"/>
    <n v="0.2"/>
    <n v="57600"/>
    <n v="3478.61"/>
    <x v="2"/>
    <s v="Delivered"/>
    <n v="14400"/>
    <n v="6.0392534722222226"/>
    <s v="Profit"/>
    <s v="Karthik Mishra"/>
    <x v="0"/>
    <x v="0"/>
    <s v="Hyderabad"/>
    <s v="Telangana"/>
    <s v="2024-06-25"/>
    <s v="26-35"/>
    <n v="869.65250000000003"/>
  </r>
  <r>
    <s v="ORD03239"/>
    <d v="2025-07-01T00:00:00"/>
    <s v="CUST0059"/>
    <x v="0"/>
    <x v="6"/>
    <n v="4"/>
    <n v="0"/>
    <n v="1400"/>
    <n v="-51.18"/>
    <x v="2"/>
    <s v="Returned"/>
    <n v="350"/>
    <n v="-3.6557142857142861"/>
    <s v="Loss"/>
    <s v="Rahul Verma"/>
    <x v="1"/>
    <x v="3"/>
    <s v="Guwahati"/>
    <s v="Assam"/>
    <s v="2023-02-16"/>
    <s v="36-50"/>
    <n v="-12.795"/>
  </r>
  <r>
    <s v="ORD03240"/>
    <d v="2026-03-01T00:00:00"/>
    <s v="CUST0100"/>
    <x v="3"/>
    <x v="8"/>
    <n v="1"/>
    <n v="0.15"/>
    <n v="3825"/>
    <n v="1155"/>
    <x v="0"/>
    <s v="Delivered"/>
    <n v="3825"/>
    <n v="30.196078431372548"/>
    <s v="Profit"/>
    <s v="Priya Singh"/>
    <x v="1"/>
    <x v="0"/>
    <s v="Chennai"/>
    <s v="Tamil Nadu"/>
    <s v="2023-03-14"/>
    <s v="26-35"/>
    <n v="1155"/>
  </r>
  <r>
    <s v="ORD03241"/>
    <d v="2026-01-05T00:00:00"/>
    <s v="CUST0161"/>
    <x v="0"/>
    <x v="0"/>
    <n v="2"/>
    <n v="0"/>
    <n v="28000"/>
    <n v="5600"/>
    <x v="3"/>
    <s v="Shipped"/>
    <n v="14000"/>
    <n v="20"/>
    <s v="Profit"/>
    <s v="Rohan Reddy"/>
    <x v="2"/>
    <x v="0"/>
    <s v="Bengaluru"/>
    <s v="Karnataka"/>
    <s v="2025-07-10"/>
    <s v="51+"/>
    <n v="2800"/>
  </r>
  <r>
    <s v="ORD03242"/>
    <d v="2026-05-09T00:00:00"/>
    <s v="CUST0344"/>
    <x v="0"/>
    <x v="6"/>
    <n v="3"/>
    <n v="0"/>
    <n v="1050"/>
    <n v="-404.37"/>
    <x v="2"/>
    <s v="Returned"/>
    <n v="350"/>
    <n v="-38.511428571428567"/>
    <s v="Loss"/>
    <s v="Aditya Gupta"/>
    <x v="1"/>
    <x v="1"/>
    <s v="Ahmedabad"/>
    <s v="Gujarat"/>
    <s v="2023-09-29"/>
    <s v="36-50"/>
    <n v="-134.79"/>
  </r>
  <r>
    <s v="ORD03243"/>
    <d v="2025-11-22T00:00:00"/>
    <s v="CUST0483"/>
    <x v="3"/>
    <x v="11"/>
    <n v="3"/>
    <n v="0.1"/>
    <n v="6750"/>
    <n v="-1825.29"/>
    <x v="1"/>
    <s v="Cancelled"/>
    <n v="2250"/>
    <n v="-27.041333333333331"/>
    <s v="Loss"/>
    <s v="Harini Rao"/>
    <x v="2"/>
    <x v="0"/>
    <s v="Bengaluru"/>
    <s v="Karnataka"/>
    <s v="2025-12-26"/>
    <s v="18-25"/>
    <n v="-608.42999999999995"/>
  </r>
  <r>
    <s v="ORD03244"/>
    <d v="2025-11-05T00:00:00"/>
    <s v="CUST0597"/>
    <x v="3"/>
    <x v="4"/>
    <n v="2"/>
    <n v="0"/>
    <n v="36000"/>
    <n v="7000"/>
    <x v="0"/>
    <s v="Delivered"/>
    <n v="18000"/>
    <n v="19.44444444444445"/>
    <s v="Profit"/>
    <s v="Harini Menon"/>
    <x v="1"/>
    <x v="0"/>
    <s v="Hyderabad"/>
    <s v="Telangana"/>
    <s v="2025-05-09"/>
    <s v="51+"/>
    <n v="3500"/>
  </r>
  <r>
    <s v="ORD03245"/>
    <d v="2026-08-14T00:00:00"/>
    <s v="CUST0252"/>
    <x v="3"/>
    <x v="11"/>
    <n v="3"/>
    <n v="0.1"/>
    <n v="6750"/>
    <n v="1992.5"/>
    <x v="2"/>
    <s v="Shipped"/>
    <n v="2250"/>
    <n v="29.518518518518519"/>
    <s v="Profit"/>
    <s v="Ishaan Pillai"/>
    <x v="0"/>
    <x v="0"/>
    <s v="Coimbatore"/>
    <s v="Tamil Nadu"/>
    <s v="2024-06-19"/>
    <s v="36-50"/>
    <n v="664.16666666666663"/>
  </r>
  <r>
    <s v="ORD03246"/>
    <d v="2026-08-24T00:00:00"/>
    <s v="CUST0311"/>
    <x v="3"/>
    <x v="8"/>
    <n v="2"/>
    <n v="0.2"/>
    <n v="7200"/>
    <n v="-2314.0700000000002"/>
    <x v="2"/>
    <s v="Cancelled"/>
    <n v="3600"/>
    <n v="-32.139861111111109"/>
    <s v="Loss"/>
    <s v="Sneha Verma"/>
    <x v="2"/>
    <x v="1"/>
    <s v="Surat"/>
    <s v="Gujarat"/>
    <s v="2025-03-27"/>
    <s v="18-25"/>
    <n v="-1157.0350000000001"/>
  </r>
  <r>
    <s v="ORD03247"/>
    <d v="2026-01-09T00:00:00"/>
    <s v="CUST0520"/>
    <x v="2"/>
    <x v="3"/>
    <n v="2"/>
    <n v="0"/>
    <n v="30000"/>
    <n v="-1726.86"/>
    <x v="1"/>
    <s v="Cancelled"/>
    <n v="15000"/>
    <n v="-5.7561999999999998"/>
    <s v="Loss"/>
    <s v="Karthik Chopra"/>
    <x v="0"/>
    <x v="0"/>
    <s v="Chennai"/>
    <s v="Tamil Nadu"/>
    <s v="2023-12-09"/>
    <s v="26-35"/>
    <n v="-863.43"/>
  </r>
  <r>
    <s v="ORD03248"/>
    <d v="2026-01-05T00:00:00"/>
    <s v="CUST0274"/>
    <x v="1"/>
    <x v="13"/>
    <n v="6"/>
    <n v="0"/>
    <n v="25200"/>
    <n v="343.54"/>
    <x v="3"/>
    <s v="Cancelled"/>
    <n v="4200"/>
    <n v="1.3632539682539679"/>
    <s v="Profit"/>
    <s v="Meera Bose"/>
    <x v="1"/>
    <x v="0"/>
    <s v="Hyderabad"/>
    <s v="Telangana"/>
    <s v="2025-01-06"/>
    <s v="26-35"/>
    <n v="57.256666666666668"/>
  </r>
  <r>
    <s v="ORD03249"/>
    <d v="2025-08-26T00:00:00"/>
    <s v="CUST0413"/>
    <x v="2"/>
    <x v="9"/>
    <n v="3"/>
    <n v="0.1"/>
    <n v="24300"/>
    <n v="-14242.28"/>
    <x v="3"/>
    <s v="Cancelled"/>
    <n v="8100"/>
    <n v="-58.610205761316877"/>
    <s v="Loss"/>
    <s v="Sanjay Bose"/>
    <x v="0"/>
    <x v="0"/>
    <s v="Chennai"/>
    <s v="Tamil Nadu"/>
    <s v="2023-05-01"/>
    <s v="26-35"/>
    <n v="-4747.4266666666672"/>
  </r>
  <r>
    <s v="ORD03250"/>
    <d v="2026-02-01T00:00:00"/>
    <s v="CUST0289"/>
    <x v="3"/>
    <x v="8"/>
    <n v="1"/>
    <n v="0.3"/>
    <n v="3150"/>
    <n v="875.71"/>
    <x v="3"/>
    <s v="Delivered"/>
    <n v="3150"/>
    <n v="27.800317460317469"/>
    <s v="Profit"/>
    <s v="Rahul Iyer"/>
    <x v="2"/>
    <x v="0"/>
    <s v="Coimbatore"/>
    <s v="Tamil Nadu"/>
    <s v="2023-01-07"/>
    <s v="18-25"/>
    <n v="875.71"/>
  </r>
  <r>
    <s v="ORD03251"/>
    <d v="2026-06-09T00:00:00"/>
    <s v="CUST0074"/>
    <x v="3"/>
    <x v="8"/>
    <n v="1"/>
    <n v="0.1"/>
    <n v="4050"/>
    <n v="1216.0899999999999"/>
    <x v="1"/>
    <s v="Delivered"/>
    <n v="4050"/>
    <n v="30.026913580246909"/>
    <s v="Profit"/>
    <s v="Sanjay Rao"/>
    <x v="2"/>
    <x v="3"/>
    <s v="Kolkata"/>
    <s v="West Bengal"/>
    <s v="2025-12-13"/>
    <s v="26-35"/>
    <n v="1216.0899999999999"/>
  </r>
  <r>
    <s v="ORD03252"/>
    <d v="2026-08-13T00:00:00"/>
    <s v="CUST0262"/>
    <x v="0"/>
    <x v="14"/>
    <n v="1"/>
    <n v="0"/>
    <n v="450"/>
    <n v="110"/>
    <x v="1"/>
    <s v="Shipped"/>
    <n v="450"/>
    <n v="24.444444444444439"/>
    <s v="Profit"/>
    <s v="Varun Menon"/>
    <x v="1"/>
    <x v="2"/>
    <s v="Chandigarh"/>
    <s v="Chandigarh"/>
    <s v="2025-12-16"/>
    <s v="36-50"/>
    <n v="110"/>
  </r>
  <r>
    <s v="ORD03253"/>
    <d v="2025-10-21T00:00:00"/>
    <s v="CUST0501"/>
    <x v="0"/>
    <x v="7"/>
    <n v="4"/>
    <n v="0.3"/>
    <n v="2520"/>
    <n v="371.26"/>
    <x v="3"/>
    <s v="Delivered"/>
    <n v="630"/>
    <n v="14.732539682539681"/>
    <s v="Profit"/>
    <s v="Rahul Pillai"/>
    <x v="1"/>
    <x v="0"/>
    <s v="Bengaluru"/>
    <s v="Karnataka"/>
    <s v="2024-03-13"/>
    <s v="36-50"/>
    <n v="92.814999999999998"/>
  </r>
  <r>
    <s v="ORD03254"/>
    <d v="2026-04-22T00:00:00"/>
    <s v="CUST0315"/>
    <x v="2"/>
    <x v="3"/>
    <n v="3"/>
    <n v="0.1"/>
    <n v="40500"/>
    <n v="7376.92"/>
    <x v="0"/>
    <s v="Delivered"/>
    <n v="13500"/>
    <n v="18.21461728395062"/>
    <s v="Profit"/>
    <s v="Harini Verma"/>
    <x v="0"/>
    <x v="0"/>
    <s v="Coimbatore"/>
    <s v="Tamil Nadu"/>
    <s v="2024-10-22"/>
    <s v="18-25"/>
    <n v="2458.9733333333329"/>
  </r>
  <r>
    <s v="ORD03255"/>
    <d v="2026-07-14T00:00:00"/>
    <s v="CUST0082"/>
    <x v="0"/>
    <x v="0"/>
    <n v="3"/>
    <n v="0.3"/>
    <n v="29400"/>
    <n v="-21513.99"/>
    <x v="2"/>
    <s v="Cancelled"/>
    <n v="9800"/>
    <n v="-73.176836734693879"/>
    <s v="Loss"/>
    <s v="Sneha Singh"/>
    <x v="2"/>
    <x v="3"/>
    <s v="Patna"/>
    <s v="Bihar"/>
    <s v="2024-05-04"/>
    <s v="36-50"/>
    <n v="-7171.3300000000008"/>
  </r>
  <r>
    <s v="ORD03256"/>
    <d v="2025-12-14T00:00:00"/>
    <s v="CUST0376"/>
    <x v="2"/>
    <x v="5"/>
    <n v="4"/>
    <n v="0.05"/>
    <n v="41800"/>
    <n v="8587.9"/>
    <x v="3"/>
    <s v="Delivered"/>
    <n v="10450"/>
    <n v="20.545215311004782"/>
    <s v="Profit"/>
    <s v="Ishaan Patel"/>
    <x v="0"/>
    <x v="3"/>
    <s v="Guwahati"/>
    <s v="Assam"/>
    <s v="2024-01-17"/>
    <s v="26-35"/>
    <n v="2146.9749999999999"/>
  </r>
  <r>
    <s v="ORD03257"/>
    <d v="2026-05-07T00:00:00"/>
    <s v="CUST0184"/>
    <x v="3"/>
    <x v="11"/>
    <n v="2"/>
    <n v="0.05"/>
    <n v="4750"/>
    <n v="1470.92"/>
    <x v="3"/>
    <s v="Delivered"/>
    <n v="2375"/>
    <n v="30.966736842105259"/>
    <s v="Profit"/>
    <s v="Rahul Iyer"/>
    <x v="2"/>
    <x v="2"/>
    <s v="Jaipur"/>
    <s v="Rajasthan"/>
    <s v="2024-10-21"/>
    <s v="18-25"/>
    <n v="735.46"/>
  </r>
  <r>
    <s v="ORD03258"/>
    <d v="2025-07-27T00:00:00"/>
    <s v="CUST0276"/>
    <x v="3"/>
    <x v="4"/>
    <n v="1"/>
    <n v="0.05"/>
    <n v="17100"/>
    <n v="3049.86"/>
    <x v="3"/>
    <s v="Delivered"/>
    <n v="17100"/>
    <n v="17.83543859649123"/>
    <s v="Profit"/>
    <s v="Lakshmi Pillai"/>
    <x v="2"/>
    <x v="1"/>
    <s v="Mumbai"/>
    <s v="Maharashtra"/>
    <s v="2024-01-26"/>
    <s v="36-50"/>
    <n v="3049.86"/>
  </r>
  <r>
    <s v="ORD03259"/>
    <d v="2025-11-06T00:00:00"/>
    <s v="CUST0256"/>
    <x v="3"/>
    <x v="4"/>
    <n v="3"/>
    <n v="0.15"/>
    <n v="45900"/>
    <n v="-19756.7"/>
    <x v="2"/>
    <s v="Cancelled"/>
    <n v="15300"/>
    <n v="-43.042919389978209"/>
    <s v="Loss"/>
    <s v="Karthik Singh"/>
    <x v="0"/>
    <x v="0"/>
    <s v="Chennai"/>
    <s v="Tamil Nadu"/>
    <s v="2024-11-27"/>
    <s v="26-35"/>
    <n v="-6585.5666666666666"/>
  </r>
  <r>
    <s v="ORD03260"/>
    <d v="2025-07-15T00:00:00"/>
    <s v="CUST0159"/>
    <x v="1"/>
    <x v="12"/>
    <n v="1"/>
    <n v="0.1"/>
    <n v="1260"/>
    <n v="400.03"/>
    <x v="3"/>
    <s v="Delivered"/>
    <n v="1260"/>
    <n v="31.7484126984127"/>
    <s v="Profit"/>
    <s v="Rahul Reddy"/>
    <x v="1"/>
    <x v="2"/>
    <s v="Jaipur"/>
    <s v="Rajasthan"/>
    <s v="2025-07-05"/>
    <s v="51+"/>
    <n v="400.03"/>
  </r>
  <r>
    <s v="ORD03261"/>
    <d v="2026-08-13T00:00:00"/>
    <s v="CUST0153"/>
    <x v="3"/>
    <x v="8"/>
    <n v="15"/>
    <n v="0.1"/>
    <n v="60750"/>
    <n v="18813.93"/>
    <x v="2"/>
    <s v="Delivered"/>
    <n v="4050"/>
    <n v="30.969432098765431"/>
    <s v="Profit"/>
    <s v="Aarav Nair"/>
    <x v="0"/>
    <x v="1"/>
    <s v="Mumbai"/>
    <s v="Maharashtra"/>
    <s v="2024-04-23"/>
    <s v="26-35"/>
    <n v="1254.2619999999999"/>
  </r>
  <r>
    <s v="ORD03262"/>
    <d v="2026-02-23T00:00:00"/>
    <s v="CUST0407"/>
    <x v="1"/>
    <x v="15"/>
    <n v="1"/>
    <n v="0.2"/>
    <n v="1760"/>
    <n v="524.17999999999995"/>
    <x v="0"/>
    <s v="Delivered"/>
    <n v="1760"/>
    <n v="29.78295454545454"/>
    <s v="Profit"/>
    <s v="Sneha Verma"/>
    <x v="2"/>
    <x v="2"/>
    <s v="Lucknow"/>
    <s v="Uttar Pradesh"/>
    <s v="2024-09-16"/>
    <s v="36-50"/>
    <n v="524.17999999999995"/>
  </r>
  <r>
    <s v="ORD03263"/>
    <d v="2026-08-07T00:00:00"/>
    <s v="CUST0519"/>
    <x v="2"/>
    <x v="9"/>
    <n v="2"/>
    <n v="0"/>
    <n v="18000"/>
    <n v="-1088.3"/>
    <x v="2"/>
    <s v="Cancelled"/>
    <n v="9000"/>
    <n v="-6.0461111111111112"/>
    <s v="Loss"/>
    <s v="Rahul Bose"/>
    <x v="1"/>
    <x v="1"/>
    <s v="Pune"/>
    <s v="Maharashtra"/>
    <s v="2025-12-27"/>
    <s v="26-35"/>
    <n v="-544.15"/>
  </r>
  <r>
    <s v="ORD03264"/>
    <d v="2025-08-04T00:00:00"/>
    <s v="CUST0183"/>
    <x v="2"/>
    <x v="9"/>
    <n v="1"/>
    <n v="0.1"/>
    <n v="8100"/>
    <n v="1642.7"/>
    <x v="0"/>
    <s v="Delivered"/>
    <n v="8100"/>
    <n v="20.28024691358025"/>
    <s v="Profit"/>
    <s v="Meera Kulkarni"/>
    <x v="0"/>
    <x v="0"/>
    <s v="Coimbatore"/>
    <s v="Tamil Nadu"/>
    <s v="2024-09-21"/>
    <s v="26-35"/>
    <n v="1642.7"/>
  </r>
  <r>
    <s v="ORD03265"/>
    <d v="2026-04-17T00:00:00"/>
    <s v="CUST0338"/>
    <x v="3"/>
    <x v="8"/>
    <n v="10"/>
    <n v="0.2"/>
    <n v="36000"/>
    <n v="10912.28"/>
    <x v="3"/>
    <s v="Delivered"/>
    <n v="3600"/>
    <n v="30.311888888888891"/>
    <s v="Profit"/>
    <s v="Kavya Bose"/>
    <x v="1"/>
    <x v="0"/>
    <s v="Hyderabad"/>
    <s v="Telangana"/>
    <s v="2024-10-27"/>
    <s v="26-35"/>
    <n v="1091.2280000000001"/>
  </r>
  <r>
    <s v="ORD03266"/>
    <d v="2026-05-04T00:00:00"/>
    <s v="CUST0080"/>
    <x v="1"/>
    <x v="15"/>
    <n v="4"/>
    <n v="0.2"/>
    <n v="7040"/>
    <n v="2201.0300000000002"/>
    <x v="1"/>
    <s v="Delivered"/>
    <n v="1760"/>
    <n v="31.264630681818179"/>
    <s v="Profit"/>
    <s v="Vikram Verma"/>
    <x v="1"/>
    <x v="3"/>
    <s v="Patna"/>
    <s v="Bihar"/>
    <s v="2024-09-20"/>
    <s v="51+"/>
    <n v="550.25750000000005"/>
  </r>
  <r>
    <s v="ORD03267"/>
    <d v="2026-03-17T00:00:00"/>
    <s v="CUST0551"/>
    <x v="2"/>
    <x v="2"/>
    <n v="15"/>
    <n v="0.1"/>
    <n v="175500"/>
    <n v="32340.69"/>
    <x v="1"/>
    <s v="Delivered"/>
    <n v="11700"/>
    <n v="18.427743589743589"/>
    <s v="Profit"/>
    <s v="Ishaan Gupta"/>
    <x v="0"/>
    <x v="3"/>
    <s v="Patna"/>
    <s v="Bihar"/>
    <s v="2025-08-09"/>
    <s v="26-35"/>
    <n v="2156.0459999999998"/>
  </r>
  <r>
    <s v="ORD03268"/>
    <d v="2026-04-28T00:00:00"/>
    <s v="CUST0402"/>
    <x v="1"/>
    <x v="12"/>
    <n v="5"/>
    <n v="0"/>
    <n v="7000"/>
    <n v="2500"/>
    <x v="3"/>
    <s v="Delivered"/>
    <n v="1400"/>
    <n v="35.714285714285722"/>
    <s v="Profit"/>
    <s v="Diya Pillai"/>
    <x v="1"/>
    <x v="0"/>
    <s v="Chennai"/>
    <s v="Tamil Nadu"/>
    <s v="2025-08-08"/>
    <s v="36-50"/>
    <n v="500"/>
  </r>
  <r>
    <s v="ORD03269"/>
    <d v="2026-01-29T00:00:00"/>
    <s v="CUST0195"/>
    <x v="0"/>
    <x v="14"/>
    <n v="3"/>
    <n v="0"/>
    <n v="1350"/>
    <n v="330"/>
    <x v="1"/>
    <s v="Delivered"/>
    <n v="450"/>
    <n v="24.444444444444439"/>
    <s v="Profit"/>
    <s v="Nisha Kulkarni"/>
    <x v="1"/>
    <x v="0"/>
    <s v="Coimbatore"/>
    <s v="Tamil Nadu"/>
    <s v="2024-04-23"/>
    <s v="18-25"/>
    <n v="110"/>
  </r>
  <r>
    <s v="ORD03270"/>
    <d v="2025-09-06T00:00:00"/>
    <s v="CUST0112"/>
    <x v="0"/>
    <x v="14"/>
    <n v="3"/>
    <n v="0"/>
    <n v="1350"/>
    <n v="330"/>
    <x v="1"/>
    <s v="Delivered"/>
    <n v="450"/>
    <n v="24.444444444444439"/>
    <s v="Profit"/>
    <s v="Akash Khan"/>
    <x v="0"/>
    <x v="1"/>
    <s v="Pune"/>
    <s v="Maharashtra"/>
    <s v="2025-03-04"/>
    <s v="26-35"/>
    <n v="110"/>
  </r>
  <r>
    <s v="ORD03271"/>
    <d v="2025-07-05T00:00:00"/>
    <s v="CUST0410"/>
    <x v="2"/>
    <x v="5"/>
    <n v="3"/>
    <n v="0.15"/>
    <n v="28050"/>
    <n v="4585.43"/>
    <x v="2"/>
    <s v="Delivered"/>
    <n v="9350"/>
    <n v="16.347344028520499"/>
    <s v="Profit"/>
    <s v="Pooja Iyer"/>
    <x v="1"/>
    <x v="0"/>
    <s v="Bengaluru"/>
    <s v="Karnataka"/>
    <s v="2025-07-08"/>
    <s v="18-25"/>
    <n v="1528.4766666666669"/>
  </r>
  <r>
    <s v="ORD03272"/>
    <d v="2026-08-09T00:00:00"/>
    <s v="CUST0522"/>
    <x v="3"/>
    <x v="8"/>
    <n v="5"/>
    <n v="0.05"/>
    <n v="21375"/>
    <n v="6710.15"/>
    <x v="3"/>
    <s v="Delivered"/>
    <n v="4275"/>
    <n v="31.392514619883041"/>
    <s v="Profit"/>
    <s v="Karthik Joshi"/>
    <x v="2"/>
    <x v="0"/>
    <s v="Bengaluru"/>
    <s v="Karnataka"/>
    <s v="2023-06-28"/>
    <s v="36-50"/>
    <n v="1342.03"/>
  </r>
  <r>
    <s v="ORD03273"/>
    <d v="2025-12-11T00:00:00"/>
    <s v="CUST0073"/>
    <x v="1"/>
    <x v="13"/>
    <n v="2"/>
    <n v="0.2"/>
    <n v="6720"/>
    <n v="1008.88"/>
    <x v="2"/>
    <s v="Shipped"/>
    <n v="3360"/>
    <n v="15.013095238095239"/>
    <s v="Profit"/>
    <s v="Kavya Pillai"/>
    <x v="0"/>
    <x v="0"/>
    <s v="Hyderabad"/>
    <s v="Telangana"/>
    <s v="2023-04-01"/>
    <s v="26-35"/>
    <n v="504.44"/>
  </r>
  <r>
    <s v="ORD03274"/>
    <d v="2026-04-12T00:00:00"/>
    <s v="CUST0047"/>
    <x v="1"/>
    <x v="1"/>
    <n v="3"/>
    <n v="0.1"/>
    <n v="4860"/>
    <n v="1557.78"/>
    <x v="2"/>
    <s v="Delivered"/>
    <n v="1620"/>
    <n v="32.053086419753093"/>
    <s v="Profit"/>
    <s v="Rahul Das"/>
    <x v="2"/>
    <x v="0"/>
    <s v="Hyderabad"/>
    <s v="Telangana"/>
    <s v="2025-07-16"/>
    <s v="26-35"/>
    <n v="519.26"/>
  </r>
  <r>
    <s v="ORD03275"/>
    <d v="2026-06-05T00:00:00"/>
    <s v="CUST0569"/>
    <x v="0"/>
    <x v="0"/>
    <n v="5"/>
    <n v="0.05"/>
    <n v="66500"/>
    <n v="11226.38"/>
    <x v="2"/>
    <s v="Shipped"/>
    <n v="13300"/>
    <n v="16.881774436090229"/>
    <s v="Profit"/>
    <s v="Arjun Menon"/>
    <x v="2"/>
    <x v="1"/>
    <s v="Ahmedabad"/>
    <s v="Gujarat"/>
    <s v="2023-09-24"/>
    <s v="26-35"/>
    <n v="2245.2759999999998"/>
  </r>
  <r>
    <s v="ORD03276"/>
    <d v="2025-07-27T00:00:00"/>
    <s v="CUST0334"/>
    <x v="0"/>
    <x v="7"/>
    <n v="4"/>
    <n v="0.3"/>
    <n v="2520"/>
    <n v="327.68"/>
    <x v="1"/>
    <s v="Delivered"/>
    <n v="630"/>
    <n v="13.0031746031746"/>
    <s v="Profit"/>
    <s v="Rahul Joshi"/>
    <x v="1"/>
    <x v="0"/>
    <s v="Hyderabad"/>
    <s v="Telangana"/>
    <s v="2024-05-26"/>
    <s v="26-35"/>
    <n v="81.92"/>
  </r>
  <r>
    <s v="ORD03277"/>
    <d v="2025-09-26T00:00:00"/>
    <s v="CUST0219"/>
    <x v="2"/>
    <x v="5"/>
    <n v="4"/>
    <n v="0.1"/>
    <n v="39600"/>
    <n v="-6004.89"/>
    <x v="1"/>
    <s v="Cancelled"/>
    <n v="9900"/>
    <n v="-15.16386363636364"/>
    <s v="Loss"/>
    <s v="Rahul Menon"/>
    <x v="1"/>
    <x v="3"/>
    <s v="Patna"/>
    <s v="Bihar"/>
    <s v="2023-10-06"/>
    <s v="36-50"/>
    <n v="-1501.2225000000001"/>
  </r>
  <r>
    <s v="ORD03278"/>
    <d v="2026-07-26T00:00:00"/>
    <s v="CUST0393"/>
    <x v="0"/>
    <x v="7"/>
    <n v="5"/>
    <n v="0"/>
    <n v="4500"/>
    <n v="1400"/>
    <x v="1"/>
    <s v="Delivered"/>
    <n v="900"/>
    <n v="31.111111111111111"/>
    <s v="Profit"/>
    <s v="Vikram Patel"/>
    <x v="1"/>
    <x v="1"/>
    <s v="Mumbai"/>
    <s v="Maharashtra"/>
    <s v="2024-07-03"/>
    <s v="36-50"/>
    <n v="280"/>
  </r>
  <r>
    <s v="ORD03279"/>
    <d v="2026-05-11T00:00:00"/>
    <s v="CUST0249"/>
    <x v="2"/>
    <x v="5"/>
    <n v="2"/>
    <n v="0.05"/>
    <n v="20900"/>
    <n v="4301.8599999999997"/>
    <x v="2"/>
    <s v="Delivered"/>
    <n v="10450"/>
    <n v="20.583062200956942"/>
    <s v="Profit"/>
    <s v="Aditya Patel"/>
    <x v="0"/>
    <x v="3"/>
    <s v="Kolkata"/>
    <s v="West Bengal"/>
    <s v="2025-03-11"/>
    <s v="36-50"/>
    <n v="2150.9299999999998"/>
  </r>
  <r>
    <s v="ORD03280"/>
    <d v="2025-07-05T00:00:00"/>
    <s v="CUST0459"/>
    <x v="1"/>
    <x v="15"/>
    <n v="3"/>
    <n v="0"/>
    <n v="6600"/>
    <n v="2250"/>
    <x v="1"/>
    <s v="Shipped"/>
    <n v="2200"/>
    <n v="34.090909090909093"/>
    <s v="Profit"/>
    <s v="Nisha Das"/>
    <x v="0"/>
    <x v="2"/>
    <s v="Chandigarh"/>
    <s v="Chandigarh"/>
    <s v="2024-10-03"/>
    <s v="26-35"/>
    <n v="750"/>
  </r>
  <r>
    <s v="ORD03281"/>
    <d v="2025-11-10T00:00:00"/>
    <s v="CUST0170"/>
    <x v="1"/>
    <x v="13"/>
    <n v="6"/>
    <n v="0.05"/>
    <n v="23940"/>
    <n v="6324.85"/>
    <x v="2"/>
    <s v="Delivered"/>
    <n v="3990"/>
    <n v="26.419590643274859"/>
    <s v="Profit"/>
    <s v="Meera Iyer"/>
    <x v="2"/>
    <x v="0"/>
    <s v="Hyderabad"/>
    <s v="Telangana"/>
    <s v="2025-04-02"/>
    <s v="36-50"/>
    <n v="1054.1416666666671"/>
  </r>
  <r>
    <s v="ORD03282"/>
    <d v="2025-07-29T00:00:00"/>
    <s v="CUST0558"/>
    <x v="1"/>
    <x v="15"/>
    <n v="3"/>
    <n v="0.05"/>
    <n v="6270"/>
    <n v="2067.3000000000002"/>
    <x v="0"/>
    <s v="Delivered"/>
    <n v="2090"/>
    <n v="32.971291866028707"/>
    <s v="Profit"/>
    <s v="Harini Nair"/>
    <x v="0"/>
    <x v="3"/>
    <s v="Kolkata"/>
    <s v="West Bengal"/>
    <s v="2024-05-13"/>
    <s v="36-50"/>
    <n v="689.1"/>
  </r>
  <r>
    <s v="ORD03283"/>
    <d v="2025-07-27T00:00:00"/>
    <s v="CUST0521"/>
    <x v="3"/>
    <x v="8"/>
    <n v="3"/>
    <n v="0.15"/>
    <n v="11475"/>
    <n v="3320.09"/>
    <x v="0"/>
    <s v="Delivered"/>
    <n v="3825"/>
    <n v="28.933246187363839"/>
    <s v="Profit"/>
    <s v="Priya Singh"/>
    <x v="0"/>
    <x v="0"/>
    <s v="Bengaluru"/>
    <s v="Karnataka"/>
    <s v="2025-11-16"/>
    <s v="51+"/>
    <n v="1106.6966666666669"/>
  </r>
  <r>
    <s v="ORD03284"/>
    <d v="2026-05-30T00:00:00"/>
    <s v="CUST0556"/>
    <x v="3"/>
    <x v="11"/>
    <n v="1"/>
    <n v="0.1"/>
    <n v="2250"/>
    <n v="679.67"/>
    <x v="2"/>
    <s v="Shipped"/>
    <n v="2250"/>
    <n v="30.207555555555551"/>
    <s v="Profit"/>
    <s v="Karthik Chopra"/>
    <x v="0"/>
    <x v="0"/>
    <s v="Coimbatore"/>
    <s v="Tamil Nadu"/>
    <s v="2024-08-09"/>
    <s v="26-35"/>
    <n v="679.67"/>
  </r>
  <r>
    <s v="ORD03285"/>
    <d v="2025-09-13T00:00:00"/>
    <s v="CUST0312"/>
    <x v="3"/>
    <x v="4"/>
    <n v="3"/>
    <n v="0.15"/>
    <n v="45900"/>
    <n v="4658.5"/>
    <x v="2"/>
    <s v="Delivered"/>
    <n v="15300"/>
    <n v="10.149237472766879"/>
    <s v="Profit"/>
    <s v="Kavya Menon"/>
    <x v="1"/>
    <x v="1"/>
    <s v="Mumbai"/>
    <s v="Maharashtra"/>
    <s v="2023-05-26"/>
    <s v="26-35"/>
    <n v="1552.833333333333"/>
  </r>
  <r>
    <s v="ORD03286"/>
    <d v="2025-08-03T00:00:00"/>
    <s v="CUST0552"/>
    <x v="3"/>
    <x v="10"/>
    <n v="3"/>
    <n v="0.1"/>
    <n v="148500"/>
    <n v="17163.98"/>
    <x v="0"/>
    <s v="Delivered"/>
    <n v="49500"/>
    <n v="11.558235690235691"/>
    <s v="Profit"/>
    <s v="Rahul Pillai"/>
    <x v="0"/>
    <x v="1"/>
    <s v="Mumbai"/>
    <s v="Maharashtra"/>
    <s v="2024-11-20"/>
    <s v="26-35"/>
    <n v="5721.3266666666668"/>
  </r>
  <r>
    <s v="ORD03287"/>
    <d v="2025-07-20T00:00:00"/>
    <s v="CUST0212"/>
    <x v="1"/>
    <x v="15"/>
    <n v="15"/>
    <n v="0.2"/>
    <n v="26400"/>
    <n v="6436.11"/>
    <x v="3"/>
    <s v="Delivered"/>
    <n v="1760"/>
    <n v="24.379204545454549"/>
    <s v="Profit"/>
    <s v="Vikram Singh"/>
    <x v="0"/>
    <x v="1"/>
    <s v="Mumbai"/>
    <s v="Maharashtra"/>
    <s v="2025-06-26"/>
    <s v="26-35"/>
    <n v="429.07400000000001"/>
  </r>
  <r>
    <s v="ORD03288"/>
    <d v="2025-10-28T00:00:00"/>
    <s v="CUST0171"/>
    <x v="3"/>
    <x v="4"/>
    <n v="3"/>
    <n v="0.1"/>
    <n v="48600"/>
    <n v="7749.32"/>
    <x v="0"/>
    <s v="Delivered"/>
    <n v="16200"/>
    <n v="15.945102880658441"/>
    <s v="Profit"/>
    <s v="Nisha Reddy"/>
    <x v="0"/>
    <x v="2"/>
    <s v="Jaipur"/>
    <s v="Rajasthan"/>
    <s v="2025-06-10"/>
    <s v="36-50"/>
    <n v="2583.106666666667"/>
  </r>
  <r>
    <s v="ORD03289"/>
    <d v="2025-10-01T00:00:00"/>
    <s v="CUST0566"/>
    <x v="3"/>
    <x v="11"/>
    <n v="1"/>
    <n v="0.15"/>
    <n v="2125"/>
    <n v="505.36"/>
    <x v="1"/>
    <s v="Delivered"/>
    <n v="2125"/>
    <n v="23.78164705882353"/>
    <s v="Profit"/>
    <s v="Arjun Rao"/>
    <x v="0"/>
    <x v="3"/>
    <s v="Kolkata"/>
    <s v="West Bengal"/>
    <s v="2023-09-05"/>
    <s v="26-35"/>
    <n v="505.36"/>
  </r>
  <r>
    <s v="ORD03290"/>
    <d v="2026-06-21T00:00:00"/>
    <s v="CUST0349"/>
    <x v="0"/>
    <x v="14"/>
    <n v="1"/>
    <n v="0.3"/>
    <n v="315"/>
    <n v="7.51"/>
    <x v="3"/>
    <s v="Delivered"/>
    <n v="315"/>
    <n v="2.3841269841269841"/>
    <s v="Profit"/>
    <s v="Aarav Nair"/>
    <x v="1"/>
    <x v="0"/>
    <s v="Hyderabad"/>
    <s v="Telangana"/>
    <s v="2025-07-22"/>
    <s v="26-35"/>
    <n v="7.51"/>
  </r>
  <r>
    <s v="ORD03291"/>
    <d v="2026-01-29T00:00:00"/>
    <s v="CUST0450"/>
    <x v="3"/>
    <x v="4"/>
    <n v="1"/>
    <n v="0.1"/>
    <n v="16200"/>
    <n v="2294.09"/>
    <x v="1"/>
    <s v="Delivered"/>
    <n v="16200"/>
    <n v="14.161049382716049"/>
    <s v="Profit"/>
    <s v="Shreya Mishra"/>
    <x v="2"/>
    <x v="3"/>
    <s v="Guwahati"/>
    <s v="Assam"/>
    <s v="2026-01-04"/>
    <s v="36-50"/>
    <n v="2294.09"/>
  </r>
  <r>
    <s v="ORD03292"/>
    <d v="2026-07-21T00:00:00"/>
    <s v="CUST0178"/>
    <x v="0"/>
    <x v="7"/>
    <n v="1"/>
    <n v="0.1"/>
    <n v="810"/>
    <n v="225.36"/>
    <x v="3"/>
    <s v="Delivered"/>
    <n v="810"/>
    <n v="27.82222222222223"/>
    <s v="Profit"/>
    <s v="Ananya Pillai"/>
    <x v="0"/>
    <x v="1"/>
    <s v="Pune"/>
    <s v="Maharashtra"/>
    <s v="2025-02-10"/>
    <s v="26-35"/>
    <n v="225.36"/>
  </r>
  <r>
    <s v="ORD03293"/>
    <d v="2025-07-13T00:00:00"/>
    <s v="CUST0047"/>
    <x v="3"/>
    <x v="8"/>
    <n v="3"/>
    <n v="0"/>
    <n v="13500"/>
    <n v="4500"/>
    <x v="3"/>
    <s v="Delivered"/>
    <n v="4500"/>
    <n v="33.333333333333329"/>
    <s v="Profit"/>
    <s v="Rahul Das"/>
    <x v="2"/>
    <x v="0"/>
    <s v="Hyderabad"/>
    <s v="Telangana"/>
    <s v="2025-07-16"/>
    <s v="26-35"/>
    <n v="1500"/>
  </r>
  <r>
    <s v="ORD03294"/>
    <d v="2026-05-16T00:00:00"/>
    <s v="CUST0497"/>
    <x v="2"/>
    <x v="3"/>
    <n v="1"/>
    <n v="0.1"/>
    <n v="13500"/>
    <n v="2535.7199999999998"/>
    <x v="0"/>
    <s v="Delivered"/>
    <n v="13500"/>
    <n v="18.783111111111111"/>
    <s v="Profit"/>
    <s v="Karthik Singh"/>
    <x v="0"/>
    <x v="1"/>
    <s v="Ahmedabad"/>
    <s v="Gujarat"/>
    <s v="2023-10-15"/>
    <s v="36-50"/>
    <n v="2535.7199999999998"/>
  </r>
  <r>
    <s v="ORD03295"/>
    <d v="2026-06-06T00:00:00"/>
    <s v="CUST0333"/>
    <x v="1"/>
    <x v="1"/>
    <n v="2"/>
    <n v="0.15"/>
    <n v="3060"/>
    <n v="942.67"/>
    <x v="0"/>
    <s v="Delivered"/>
    <n v="1530"/>
    <n v="30.806209150326801"/>
    <s v="Profit"/>
    <s v="Aditya Gupta"/>
    <x v="0"/>
    <x v="0"/>
    <s v="Chennai"/>
    <s v="Tamil Nadu"/>
    <s v="2023-02-18"/>
    <s v="26-35"/>
    <n v="471.33499999999998"/>
  </r>
  <r>
    <s v="ORD03296"/>
    <d v="2025-08-28T00:00:00"/>
    <s v="CUST0549"/>
    <x v="0"/>
    <x v="6"/>
    <n v="1"/>
    <n v="0.1"/>
    <n v="315"/>
    <n v="93.01"/>
    <x v="2"/>
    <s v="Shipped"/>
    <n v="315"/>
    <n v="29.526984126984129"/>
    <s v="Profit"/>
    <s v="Lakshmi Das"/>
    <x v="0"/>
    <x v="1"/>
    <s v="Ahmedabad"/>
    <s v="Gujarat"/>
    <s v="2024-02-21"/>
    <s v="36-50"/>
    <n v="93.01"/>
  </r>
  <r>
    <s v="ORD03297"/>
    <d v="2025-11-26T00:00:00"/>
    <s v="CUST0244"/>
    <x v="3"/>
    <x v="11"/>
    <n v="2"/>
    <n v="0.3"/>
    <n v="3500"/>
    <n v="441.07"/>
    <x v="0"/>
    <s v="Shipped"/>
    <n v="1750"/>
    <n v="12.602"/>
    <s v="Profit"/>
    <s v="Ishaan Khan"/>
    <x v="0"/>
    <x v="0"/>
    <s v="Bengaluru"/>
    <s v="Karnataka"/>
    <s v="2024-01-08"/>
    <s v="36-50"/>
    <n v="220.535"/>
  </r>
  <r>
    <s v="ORD03298"/>
    <d v="2026-03-28T00:00:00"/>
    <s v="CUST0256"/>
    <x v="1"/>
    <x v="13"/>
    <n v="4"/>
    <n v="0"/>
    <n v="16800"/>
    <n v="4800"/>
    <x v="1"/>
    <s v="Delivered"/>
    <n v="4200"/>
    <n v="28.571428571428569"/>
    <s v="Profit"/>
    <s v="Karthik Singh"/>
    <x v="0"/>
    <x v="0"/>
    <s v="Chennai"/>
    <s v="Tamil Nadu"/>
    <s v="2024-11-27"/>
    <s v="26-35"/>
    <n v="1200"/>
  </r>
  <r>
    <s v="ORD03299"/>
    <d v="2025-10-09T00:00:00"/>
    <s v="CUST0386"/>
    <x v="3"/>
    <x v="11"/>
    <n v="1"/>
    <n v="0.05"/>
    <n v="2375"/>
    <n v="727.09"/>
    <x v="2"/>
    <s v="Delivered"/>
    <n v="2375"/>
    <n v="30.614315789473679"/>
    <s v="Profit"/>
    <s v="Pooja Kulkarni"/>
    <x v="0"/>
    <x v="0"/>
    <s v="Chennai"/>
    <s v="Tamil Nadu"/>
    <s v="2023-03-27"/>
    <s v="26-35"/>
    <n v="727.09"/>
  </r>
  <r>
    <s v="ORD03300"/>
    <d v="2025-10-17T00:00:00"/>
    <s v="CUST0334"/>
    <x v="1"/>
    <x v="1"/>
    <n v="2"/>
    <n v="0"/>
    <n v="3600"/>
    <n v="1300"/>
    <x v="3"/>
    <s v="Delivered"/>
    <n v="1800"/>
    <n v="36.111111111111107"/>
    <s v="Profit"/>
    <s v="Rahul Joshi"/>
    <x v="1"/>
    <x v="0"/>
    <s v="Hyderabad"/>
    <s v="Telangana"/>
    <s v="2024-05-26"/>
    <s v="26-35"/>
    <n v="650"/>
  </r>
  <r>
    <s v="ORD03301"/>
    <d v="2026-05-14T00:00:00"/>
    <s v="CUST0021"/>
    <x v="0"/>
    <x v="7"/>
    <n v="1"/>
    <n v="0"/>
    <n v="900"/>
    <n v="-34.270000000000003"/>
    <x v="2"/>
    <s v="Returned"/>
    <n v="900"/>
    <n v="-3.8077777777777779"/>
    <s v="Loss"/>
    <s v="Varun Nair"/>
    <x v="2"/>
    <x v="1"/>
    <s v="Ahmedabad"/>
    <s v="Gujarat"/>
    <s v="2025-11-12"/>
    <s v="36-50"/>
    <n v="-34.270000000000003"/>
  </r>
  <r>
    <s v="ORD03302"/>
    <d v="2026-02-04T00:00:00"/>
    <s v="CUST0347"/>
    <x v="2"/>
    <x v="3"/>
    <n v="4"/>
    <n v="0.1"/>
    <n v="54000"/>
    <n v="9822.69"/>
    <x v="3"/>
    <s v="Delivered"/>
    <n v="13500"/>
    <n v="18.19016666666667"/>
    <s v="Profit"/>
    <s v="Shreya Iyer"/>
    <x v="0"/>
    <x v="0"/>
    <s v="Bengaluru"/>
    <s v="Karnataka"/>
    <s v="2023-08-21"/>
    <s v="36-50"/>
    <n v="2455.6725000000001"/>
  </r>
  <r>
    <s v="ORD03303"/>
    <d v="2026-06-27T00:00:00"/>
    <s v="CUST0522"/>
    <x v="0"/>
    <x v="7"/>
    <n v="2"/>
    <n v="0.1"/>
    <n v="1620"/>
    <n v="432.51"/>
    <x v="1"/>
    <s v="Shipped"/>
    <n v="810"/>
    <n v="26.69814814814815"/>
    <s v="Profit"/>
    <s v="Karthik Joshi"/>
    <x v="2"/>
    <x v="0"/>
    <s v="Bengaluru"/>
    <s v="Karnataka"/>
    <s v="2023-06-28"/>
    <s v="36-50"/>
    <n v="216.255"/>
  </r>
  <r>
    <s v="ORD03304"/>
    <d v="2025-12-14T00:00:00"/>
    <s v="CUST0599"/>
    <x v="2"/>
    <x v="5"/>
    <n v="2"/>
    <n v="0.15"/>
    <n v="18700"/>
    <n v="3614.27"/>
    <x v="0"/>
    <s v="Shipped"/>
    <n v="9350"/>
    <n v="19.32764705882353"/>
    <s v="Profit"/>
    <s v="Rahul Das"/>
    <x v="1"/>
    <x v="0"/>
    <s v="Coimbatore"/>
    <s v="Tamil Nadu"/>
    <s v="2024-01-12"/>
    <s v="26-35"/>
    <n v="1807.135"/>
  </r>
  <r>
    <s v="ORD03305"/>
    <d v="2025-10-20T00:00:00"/>
    <s v="CUST0304"/>
    <x v="0"/>
    <x v="6"/>
    <n v="1"/>
    <n v="0.15"/>
    <n v="297.5"/>
    <n v="85.18"/>
    <x v="0"/>
    <s v="Delivered"/>
    <n v="297.5"/>
    <n v="28.631932773109249"/>
    <s v="Profit"/>
    <s v="Ishaan Khan"/>
    <x v="2"/>
    <x v="0"/>
    <s v="Bengaluru"/>
    <s v="Karnataka"/>
    <s v="2024-12-10"/>
    <s v="26-35"/>
    <n v="85.18"/>
  </r>
  <r>
    <s v="ORD03306"/>
    <d v="2025-09-18T00:00:00"/>
    <s v="CUST0100"/>
    <x v="0"/>
    <x v="7"/>
    <n v="3"/>
    <n v="0.1"/>
    <n v="2430"/>
    <n v="623.51"/>
    <x v="1"/>
    <s v="Delivered"/>
    <n v="810"/>
    <n v="25.658847736625511"/>
    <s v="Profit"/>
    <s v="Priya Singh"/>
    <x v="1"/>
    <x v="0"/>
    <s v="Chennai"/>
    <s v="Tamil Nadu"/>
    <s v="2023-03-14"/>
    <s v="26-35"/>
    <n v="207.8366666666667"/>
  </r>
  <r>
    <s v="ORD03307"/>
    <d v="2026-07-19T00:00:00"/>
    <s v="CUST0278"/>
    <x v="0"/>
    <x v="14"/>
    <n v="6"/>
    <n v="0.05"/>
    <n v="2565"/>
    <n v="552.52"/>
    <x v="3"/>
    <s v="Shipped"/>
    <n v="427.5"/>
    <n v="21.540740740740741"/>
    <s v="Profit"/>
    <s v="Sneha Mehta"/>
    <x v="1"/>
    <x v="3"/>
    <s v="Guwahati"/>
    <s v="Assam"/>
    <s v="2025-03-21"/>
    <s v="26-35"/>
    <n v="92.086666666666659"/>
  </r>
  <r>
    <s v="ORD03308"/>
    <d v="2026-01-17T00:00:00"/>
    <s v="CUST0370"/>
    <x v="3"/>
    <x v="4"/>
    <n v="2"/>
    <n v="0.15"/>
    <n v="30600"/>
    <n v="3607.37"/>
    <x v="0"/>
    <s v="Delivered"/>
    <n v="15300"/>
    <n v="11.7887908496732"/>
    <s v="Profit"/>
    <s v="Diya Kulkarni"/>
    <x v="1"/>
    <x v="2"/>
    <s v="Chandigarh"/>
    <s v="Chandigarh"/>
    <s v="2024-04-20"/>
    <s v="26-35"/>
    <n v="1803.6849999999999"/>
  </r>
  <r>
    <s v="ORD03309"/>
    <d v="2026-05-19T00:00:00"/>
    <s v="CUST0147"/>
    <x v="3"/>
    <x v="8"/>
    <n v="2"/>
    <n v="0"/>
    <n v="9000"/>
    <n v="-3807.74"/>
    <x v="3"/>
    <s v="Cancelled"/>
    <n v="4500"/>
    <n v="-42.30822222222222"/>
    <s v="Loss"/>
    <s v="Shreya Reddy"/>
    <x v="0"/>
    <x v="1"/>
    <s v="Ahmedabad"/>
    <s v="Gujarat"/>
    <s v="2025-04-02"/>
    <s v="51+"/>
    <n v="-1903.87"/>
  </r>
  <r>
    <s v="ORD03310"/>
    <d v="2026-05-29T00:00:00"/>
    <s v="CUST0499"/>
    <x v="2"/>
    <x v="5"/>
    <n v="1"/>
    <n v="0.05"/>
    <n v="10450"/>
    <n v="2201.02"/>
    <x v="1"/>
    <s v="Delivered"/>
    <n v="10450"/>
    <n v="21.06239234449761"/>
    <s v="Profit"/>
    <s v="Meera Singh"/>
    <x v="0"/>
    <x v="1"/>
    <s v="Pune"/>
    <s v="Maharashtra"/>
    <s v="2025-06-01"/>
    <s v="36-50"/>
    <n v="2201.02"/>
  </r>
  <r>
    <s v="ORD03311"/>
    <d v="2025-10-30T00:00:00"/>
    <s v="CUST0215"/>
    <x v="3"/>
    <x v="11"/>
    <n v="1"/>
    <n v="0.15"/>
    <n v="2125"/>
    <n v="620.86"/>
    <x v="1"/>
    <s v="Delivered"/>
    <n v="2125"/>
    <n v="29.216941176470591"/>
    <s v="Profit"/>
    <s v="Pooja Reddy"/>
    <x v="1"/>
    <x v="0"/>
    <s v="Bengaluru"/>
    <s v="Karnataka"/>
    <s v="2025-07-16"/>
    <s v="26-35"/>
    <n v="620.86"/>
  </r>
  <r>
    <s v="ORD03312"/>
    <d v="2026-04-25T00:00:00"/>
    <s v="CUST0135"/>
    <x v="3"/>
    <x v="10"/>
    <n v="2"/>
    <n v="0.1"/>
    <n v="99000"/>
    <n v="9422.9699999999993"/>
    <x v="2"/>
    <s v="Shipped"/>
    <n v="49500"/>
    <n v="9.5181515151515139"/>
    <s v="Profit"/>
    <s v="Sneha Patel"/>
    <x v="0"/>
    <x v="2"/>
    <s v="Delhi"/>
    <s v="Delhi"/>
    <s v="2024-07-08"/>
    <s v="36-50"/>
    <n v="4711.4849999999997"/>
  </r>
  <r>
    <s v="ORD03313"/>
    <d v="2026-01-25T00:00:00"/>
    <s v="CUST0048"/>
    <x v="3"/>
    <x v="8"/>
    <n v="4"/>
    <n v="0.1"/>
    <n v="16200"/>
    <n v="4503.74"/>
    <x v="3"/>
    <s v="Shipped"/>
    <n v="4050"/>
    <n v="27.80086419753086"/>
    <s v="Profit"/>
    <s v="Rohan Das"/>
    <x v="0"/>
    <x v="1"/>
    <s v="Ahmedabad"/>
    <s v="Gujarat"/>
    <s v="2025-04-11"/>
    <s v="26-35"/>
    <n v="1125.9349999999999"/>
  </r>
  <r>
    <s v="ORD03314"/>
    <d v="2025-10-17T00:00:00"/>
    <s v="CUST0387"/>
    <x v="3"/>
    <x v="11"/>
    <n v="2"/>
    <n v="0.15"/>
    <n v="4250"/>
    <n v="979.76"/>
    <x v="2"/>
    <s v="Delivered"/>
    <n v="2125"/>
    <n v="23.05317647058823"/>
    <s v="Profit"/>
    <s v="Varun Kulkarni"/>
    <x v="0"/>
    <x v="1"/>
    <s v="Pune"/>
    <s v="Maharashtra"/>
    <s v="2024-04-15"/>
    <s v="18-25"/>
    <n v="489.88"/>
  </r>
  <r>
    <s v="ORD03315"/>
    <d v="2025-08-26T00:00:00"/>
    <s v="CUST0468"/>
    <x v="0"/>
    <x v="0"/>
    <n v="3"/>
    <n v="0"/>
    <n v="42000"/>
    <n v="8400"/>
    <x v="1"/>
    <s v="Delivered"/>
    <n v="14000"/>
    <n v="20"/>
    <s v="Profit"/>
    <s v="Lakshmi Mehta"/>
    <x v="1"/>
    <x v="0"/>
    <s v="Chennai"/>
    <s v="Tamil Nadu"/>
    <s v="2023-03-02"/>
    <s v="26-35"/>
    <n v="2800"/>
  </r>
  <r>
    <s v="ORD03316"/>
    <d v="2026-06-02T00:00:00"/>
    <s v="CUST0349"/>
    <x v="2"/>
    <x v="3"/>
    <n v="3"/>
    <n v="0.2"/>
    <n v="36000"/>
    <n v="4526.05"/>
    <x v="0"/>
    <s v="Delivered"/>
    <n v="12000"/>
    <n v="12.57236111111111"/>
    <s v="Profit"/>
    <s v="Aarav Nair"/>
    <x v="1"/>
    <x v="0"/>
    <s v="Hyderabad"/>
    <s v="Telangana"/>
    <s v="2025-07-22"/>
    <s v="26-35"/>
    <n v="1508.6833333333329"/>
  </r>
  <r>
    <s v="ORD03317"/>
    <d v="2025-10-28T00:00:00"/>
    <s v="CUST0169"/>
    <x v="3"/>
    <x v="8"/>
    <n v="5"/>
    <n v="0.1"/>
    <n v="20250"/>
    <n v="5945.65"/>
    <x v="0"/>
    <s v="Delivered"/>
    <n v="4050"/>
    <n v="29.361234567901231"/>
    <s v="Profit"/>
    <s v="Sneha Bose"/>
    <x v="0"/>
    <x v="0"/>
    <s v="Hyderabad"/>
    <s v="Telangana"/>
    <s v="2024-09-10"/>
    <s v="26-35"/>
    <n v="1189.1300000000001"/>
  </r>
  <r>
    <s v="ORD03318"/>
    <d v="2026-03-04T00:00:00"/>
    <s v="CUST0411"/>
    <x v="0"/>
    <x v="0"/>
    <n v="4"/>
    <n v="0.1"/>
    <n v="50400"/>
    <n v="8033.65"/>
    <x v="3"/>
    <s v="Delivered"/>
    <n v="12600"/>
    <n v="15.939781746031739"/>
    <s v="Profit"/>
    <s v="Arjun Mehta"/>
    <x v="1"/>
    <x v="0"/>
    <s v="Bengaluru"/>
    <s v="Karnataka"/>
    <s v="2023-02-18"/>
    <s v="36-50"/>
    <n v="2008.4124999999999"/>
  </r>
  <r>
    <s v="ORD03319"/>
    <d v="2026-06-08T00:00:00"/>
    <s v="CUST0553"/>
    <x v="3"/>
    <x v="10"/>
    <n v="1"/>
    <n v="0.3"/>
    <n v="38500"/>
    <n v="1137.45"/>
    <x v="2"/>
    <s v="Shipped"/>
    <n v="38500"/>
    <n v="2.9544155844155839"/>
    <s v="Profit"/>
    <s v="Diya Mishra"/>
    <x v="2"/>
    <x v="0"/>
    <s v="Coimbatore"/>
    <s v="Tamil Nadu"/>
    <s v="2025-01-24"/>
    <s v="36-50"/>
    <n v="1137.45"/>
  </r>
  <r>
    <s v="ORD03320"/>
    <d v="2026-08-10T00:00:00"/>
    <s v="CUST0302"/>
    <x v="3"/>
    <x v="4"/>
    <n v="3"/>
    <n v="0.2"/>
    <n v="43200"/>
    <n v="-21759.64"/>
    <x v="1"/>
    <s v="Cancelled"/>
    <n v="14400"/>
    <n v="-50.369537037037027"/>
    <s v="Loss"/>
    <s v="Ananya Iyer"/>
    <x v="0"/>
    <x v="1"/>
    <s v="Pune"/>
    <s v="Maharashtra"/>
    <s v="2025-09-02"/>
    <s v="26-35"/>
    <n v="-7253.2133333333331"/>
  </r>
  <r>
    <s v="ORD03321"/>
    <d v="2025-11-04T00:00:00"/>
    <s v="CUST0431"/>
    <x v="1"/>
    <x v="13"/>
    <n v="3"/>
    <n v="0.1"/>
    <n v="11340"/>
    <n v="2917.31"/>
    <x v="0"/>
    <s v="Delivered"/>
    <n v="3780"/>
    <n v="25.72583774250441"/>
    <s v="Profit"/>
    <s v="Manoj Naidu"/>
    <x v="1"/>
    <x v="0"/>
    <s v="Bengaluru"/>
    <s v="Karnataka"/>
    <s v="2023-01-16"/>
    <s v="36-50"/>
    <n v="972.43666666666661"/>
  </r>
  <r>
    <s v="ORD03322"/>
    <d v="2025-09-17T00:00:00"/>
    <s v="CUST0186"/>
    <x v="2"/>
    <x v="2"/>
    <n v="2"/>
    <n v="0.1"/>
    <n v="23400"/>
    <n v="4208.83"/>
    <x v="1"/>
    <s v="Delivered"/>
    <n v="11700"/>
    <n v="17.986452991452989"/>
    <s v="Profit"/>
    <s v="Vikram Verma"/>
    <x v="1"/>
    <x v="0"/>
    <s v="Coimbatore"/>
    <s v="Tamil Nadu"/>
    <s v="2024-03-12"/>
    <s v="18-25"/>
    <n v="2104.415"/>
  </r>
  <r>
    <s v="ORD03323"/>
    <d v="2026-02-20T00:00:00"/>
    <s v="CUST0229"/>
    <x v="2"/>
    <x v="2"/>
    <n v="2"/>
    <n v="0.2"/>
    <n v="20800"/>
    <n v="3777.68"/>
    <x v="3"/>
    <s v="Delivered"/>
    <n v="10400"/>
    <n v="18.16192307692307"/>
    <s v="Profit"/>
    <s v="Harini Chopra"/>
    <x v="0"/>
    <x v="0"/>
    <s v="Bengaluru"/>
    <s v="Karnataka"/>
    <s v="2025-05-19"/>
    <s v="26-35"/>
    <n v="1888.84"/>
  </r>
  <r>
    <s v="ORD03324"/>
    <d v="2025-08-01T00:00:00"/>
    <s v="CUST0390"/>
    <x v="3"/>
    <x v="4"/>
    <n v="4"/>
    <n v="0.05"/>
    <n v="68400"/>
    <n v="11774.76"/>
    <x v="0"/>
    <s v="Delivered"/>
    <n v="17100"/>
    <n v="17.214561403508771"/>
    <s v="Profit"/>
    <s v="Aditya Bose"/>
    <x v="0"/>
    <x v="3"/>
    <s v="Bhubaneswar"/>
    <s v="Odisha"/>
    <s v="2024-04-07"/>
    <s v="26-35"/>
    <n v="2943.69"/>
  </r>
  <r>
    <s v="ORD03325"/>
    <d v="2026-02-05T00:00:00"/>
    <s v="CUST0471"/>
    <x v="3"/>
    <x v="10"/>
    <n v="1"/>
    <n v="0.05"/>
    <n v="52250"/>
    <n v="7257.93"/>
    <x v="0"/>
    <s v="Delivered"/>
    <n v="52250"/>
    <n v="13.890775119617221"/>
    <s v="Profit"/>
    <s v="Divya Kulkarni"/>
    <x v="1"/>
    <x v="2"/>
    <s v="Jaipur"/>
    <s v="Rajasthan"/>
    <s v="2025-04-16"/>
    <s v="26-35"/>
    <n v="7257.93"/>
  </r>
  <r>
    <s v="ORD03326"/>
    <d v="2025-08-11T00:00:00"/>
    <s v="CUST0598"/>
    <x v="3"/>
    <x v="10"/>
    <n v="5"/>
    <n v="0.2"/>
    <n v="220000"/>
    <n v="10699.64"/>
    <x v="1"/>
    <s v="Shipped"/>
    <n v="44000"/>
    <n v="4.8634727272727263"/>
    <s v="Profit"/>
    <s v="Arjun Das"/>
    <x v="0"/>
    <x v="0"/>
    <s v="Hyderabad"/>
    <s v="Telangana"/>
    <s v="2024-07-07"/>
    <s v="36-50"/>
    <n v="2139.9279999999999"/>
  </r>
  <r>
    <s v="ORD03327"/>
    <d v="2025-09-03T00:00:00"/>
    <s v="CUST0224"/>
    <x v="3"/>
    <x v="10"/>
    <n v="2"/>
    <n v="0.05"/>
    <n v="104500"/>
    <n v="15282.14"/>
    <x v="2"/>
    <s v="Delivered"/>
    <n v="52250"/>
    <n v="14.62405741626794"/>
    <s v="Profit"/>
    <s v="Varun Menon"/>
    <x v="1"/>
    <x v="1"/>
    <s v="Mumbai"/>
    <s v="Maharashtra"/>
    <s v="2023-02-06"/>
    <s v="18-25"/>
    <n v="7641.07"/>
  </r>
  <r>
    <s v="ORD03328"/>
    <d v="2026-06-20T00:00:00"/>
    <s v="CUST0003"/>
    <x v="2"/>
    <x v="9"/>
    <n v="1"/>
    <n v="0.2"/>
    <n v="7200"/>
    <n v="851.96"/>
    <x v="1"/>
    <s v="Delivered"/>
    <n v="7200"/>
    <n v="11.83277777777778"/>
    <s v="Profit"/>
    <s v="Sanjay Mehta"/>
    <x v="2"/>
    <x v="1"/>
    <s v="Ahmedabad"/>
    <s v="Gujarat"/>
    <s v="2025-05-11"/>
    <s v="26-35"/>
    <n v="851.96"/>
  </r>
  <r>
    <s v="ORD03329"/>
    <d v="2025-07-06T00:00:00"/>
    <s v="CUST0155"/>
    <x v="1"/>
    <x v="1"/>
    <n v="2"/>
    <n v="0.2"/>
    <n v="2880"/>
    <n v="955.71"/>
    <x v="2"/>
    <s v="Delivered"/>
    <n v="1440"/>
    <n v="33.184375000000003"/>
    <s v="Profit"/>
    <s v="Ishaan Sharma"/>
    <x v="0"/>
    <x v="0"/>
    <s v="Bengaluru"/>
    <s v="Karnataka"/>
    <s v="2023-07-08"/>
    <s v="26-35"/>
    <n v="477.85500000000002"/>
  </r>
  <r>
    <s v="ORD03330"/>
    <d v="2026-02-23T00:00:00"/>
    <s v="CUST0442"/>
    <x v="3"/>
    <x v="4"/>
    <n v="2"/>
    <n v="0.1"/>
    <n v="32400"/>
    <n v="4907.33"/>
    <x v="0"/>
    <s v="Delivered"/>
    <n v="16200"/>
    <n v="15.146080246913581"/>
    <s v="Profit"/>
    <s v="Akash Kulkarni"/>
    <x v="0"/>
    <x v="0"/>
    <s v="Bengaluru"/>
    <s v="Karnataka"/>
    <s v="2023-09-01"/>
    <s v="36-50"/>
    <n v="2453.665"/>
  </r>
  <r>
    <s v="ORD03331"/>
    <d v="2026-08-08T00:00:00"/>
    <s v="CUST0525"/>
    <x v="2"/>
    <x v="3"/>
    <n v="2"/>
    <n v="0.2"/>
    <n v="24000"/>
    <n v="3645.57"/>
    <x v="0"/>
    <s v="Delivered"/>
    <n v="12000"/>
    <n v="15.189875000000001"/>
    <s v="Profit"/>
    <s v="Varun Gupta"/>
    <x v="2"/>
    <x v="2"/>
    <s v="Delhi"/>
    <s v="Delhi"/>
    <s v="2023-05-14"/>
    <s v="36-50"/>
    <n v="1822.7850000000001"/>
  </r>
  <r>
    <s v="ORD03332"/>
    <d v="2025-12-26T00:00:00"/>
    <s v="CUST0466"/>
    <x v="3"/>
    <x v="11"/>
    <n v="1"/>
    <n v="0.1"/>
    <n v="2250"/>
    <n v="643.87"/>
    <x v="0"/>
    <s v="Delivered"/>
    <n v="2250"/>
    <n v="28.61644444444444"/>
    <s v="Profit"/>
    <s v="Manoj Gupta"/>
    <x v="0"/>
    <x v="3"/>
    <s v="Patna"/>
    <s v="Bihar"/>
    <s v="2024-05-02"/>
    <s v="26-35"/>
    <n v="643.87"/>
  </r>
  <r>
    <s v="ORD03333"/>
    <d v="2026-04-18T00:00:00"/>
    <s v="CUST0009"/>
    <x v="0"/>
    <x v="6"/>
    <n v="3"/>
    <n v="0.1"/>
    <n v="945"/>
    <n v="2.2000000000000002"/>
    <x v="3"/>
    <s v="Returned"/>
    <n v="315"/>
    <n v="0.23280423280423279"/>
    <s v="Profit"/>
    <s v="Sanjay Gupta"/>
    <x v="1"/>
    <x v="3"/>
    <s v="Guwahati"/>
    <s v="Assam"/>
    <s v="2023-09-12"/>
    <s v="51+"/>
    <n v="0.73333333333333339"/>
  </r>
  <r>
    <s v="ORD03334"/>
    <d v="2026-05-26T00:00:00"/>
    <s v="CUST0042"/>
    <x v="3"/>
    <x v="4"/>
    <n v="1"/>
    <n v="0"/>
    <n v="18000"/>
    <n v="3500"/>
    <x v="0"/>
    <s v="Delivered"/>
    <n v="18000"/>
    <n v="19.44444444444445"/>
    <s v="Profit"/>
    <s v="Vikram Khan"/>
    <x v="0"/>
    <x v="1"/>
    <s v="Pune"/>
    <s v="Maharashtra"/>
    <s v="2025-04-16"/>
    <s v="18-25"/>
    <n v="3500"/>
  </r>
  <r>
    <s v="ORD03335"/>
    <d v="2026-07-27T00:00:00"/>
    <s v="CUST0147"/>
    <x v="3"/>
    <x v="8"/>
    <n v="2"/>
    <n v="0.2"/>
    <n v="7200"/>
    <n v="-2115.1799999999998"/>
    <x v="0"/>
    <s v="Cancelled"/>
    <n v="3600"/>
    <n v="-29.377499999999991"/>
    <s v="Loss"/>
    <s v="Shreya Reddy"/>
    <x v="0"/>
    <x v="1"/>
    <s v="Ahmedabad"/>
    <s v="Gujarat"/>
    <s v="2025-04-02"/>
    <s v="51+"/>
    <n v="-1057.5899999999999"/>
  </r>
  <r>
    <s v="ORD03336"/>
    <d v="2026-07-31T00:00:00"/>
    <s v="CUST0415"/>
    <x v="3"/>
    <x v="4"/>
    <n v="1"/>
    <n v="0.1"/>
    <n v="16200"/>
    <n v="2644.68"/>
    <x v="0"/>
    <s v="Delivered"/>
    <n v="16200"/>
    <n v="16.32518518518518"/>
    <s v="Profit"/>
    <s v="Manoj Bose"/>
    <x v="1"/>
    <x v="0"/>
    <s v="Bengaluru"/>
    <s v="Karnataka"/>
    <s v="2024-07-04"/>
    <s v="36-50"/>
    <n v="2644.68"/>
  </r>
  <r>
    <s v="ORD03337"/>
    <d v="2026-02-12T00:00:00"/>
    <s v="CUST0132"/>
    <x v="3"/>
    <x v="4"/>
    <n v="1"/>
    <n v="0"/>
    <n v="18000"/>
    <n v="3500"/>
    <x v="1"/>
    <s v="Delivered"/>
    <n v="18000"/>
    <n v="19.44444444444445"/>
    <s v="Profit"/>
    <s v="Akash Rao"/>
    <x v="2"/>
    <x v="1"/>
    <s v="Pune"/>
    <s v="Maharashtra"/>
    <s v="2023-10-01"/>
    <s v="36-50"/>
    <n v="3500"/>
  </r>
  <r>
    <s v="ORD03338"/>
    <d v="2025-11-15T00:00:00"/>
    <s v="CUST0264"/>
    <x v="2"/>
    <x v="9"/>
    <n v="4"/>
    <n v="0.1"/>
    <n v="32400"/>
    <n v="6743.84"/>
    <x v="2"/>
    <s v="Delivered"/>
    <n v="8100"/>
    <n v="20.81432098765432"/>
    <s v="Profit"/>
    <s v="Sneha Kulkarni"/>
    <x v="1"/>
    <x v="0"/>
    <s v="Chennai"/>
    <s v="Tamil Nadu"/>
    <s v="2024-02-11"/>
    <s v="51+"/>
    <n v="1685.96"/>
  </r>
  <r>
    <s v="ORD03339"/>
    <d v="2025-08-10T00:00:00"/>
    <s v="CUST0374"/>
    <x v="0"/>
    <x v="0"/>
    <n v="3"/>
    <n v="0.15"/>
    <n v="35700"/>
    <n v="3304.26"/>
    <x v="2"/>
    <s v="Delivered"/>
    <n v="11900"/>
    <n v="9.2556302521008416"/>
    <s v="Profit"/>
    <s v="Ishaan Chopra"/>
    <x v="0"/>
    <x v="0"/>
    <s v="Bengaluru"/>
    <s v="Karnataka"/>
    <s v="2024-09-12"/>
    <s v="18-25"/>
    <n v="1101.42"/>
  </r>
  <r>
    <s v="ORD03340"/>
    <d v="2026-02-21T00:00:00"/>
    <s v="CUST0033"/>
    <x v="1"/>
    <x v="15"/>
    <n v="3"/>
    <n v="0.1"/>
    <n v="5940"/>
    <n v="1733.3"/>
    <x v="2"/>
    <s v="Delivered"/>
    <n v="1980"/>
    <n v="29.180134680134682"/>
    <s v="Profit"/>
    <s v="Ananya Das"/>
    <x v="0"/>
    <x v="2"/>
    <s v="Delhi"/>
    <s v="Delhi"/>
    <s v="2023-12-18"/>
    <s v="18-25"/>
    <n v="577.76666666666665"/>
  </r>
  <r>
    <s v="ORD03341"/>
    <d v="2025-07-13T00:00:00"/>
    <s v="CUST0319"/>
    <x v="3"/>
    <x v="10"/>
    <n v="6"/>
    <n v="0.1"/>
    <n v="297000"/>
    <n v="-79927.11"/>
    <x v="2"/>
    <s v="Cancelled"/>
    <n v="49500"/>
    <n v="-26.91148484848485"/>
    <s v="Loss"/>
    <s v="Vikram Sharma"/>
    <x v="0"/>
    <x v="0"/>
    <s v="Bengaluru"/>
    <s v="Karnataka"/>
    <s v="2024-01-16"/>
    <s v="26-35"/>
    <n v="-13321.184999999999"/>
  </r>
  <r>
    <s v="ORD03342"/>
    <d v="2026-02-05T00:00:00"/>
    <s v="CUST0103"/>
    <x v="3"/>
    <x v="8"/>
    <n v="3"/>
    <n v="0"/>
    <n v="13500"/>
    <n v="4500"/>
    <x v="3"/>
    <s v="Delivered"/>
    <n v="4500"/>
    <n v="33.333333333333329"/>
    <s v="Profit"/>
    <s v="Rohan Rao"/>
    <x v="0"/>
    <x v="0"/>
    <s v="Bengaluru"/>
    <s v="Karnataka"/>
    <s v="2023-11-09"/>
    <s v="36-50"/>
    <n v="1500"/>
  </r>
  <r>
    <s v="ORD03343"/>
    <d v="2026-01-16T00:00:00"/>
    <s v="CUST0353"/>
    <x v="2"/>
    <x v="5"/>
    <n v="1"/>
    <n v="0"/>
    <n v="11000"/>
    <n v="2600"/>
    <x v="2"/>
    <s v="Delivered"/>
    <n v="11000"/>
    <n v="23.63636363636364"/>
    <s v="Profit"/>
    <s v="Aditya Iyer"/>
    <x v="2"/>
    <x v="0"/>
    <s v="Hyderabad"/>
    <s v="Telangana"/>
    <s v="2024-08-21"/>
    <s v="36-50"/>
    <n v="2600"/>
  </r>
  <r>
    <s v="ORD03344"/>
    <d v="2026-06-20T00:00:00"/>
    <s v="CUST0542"/>
    <x v="3"/>
    <x v="10"/>
    <n v="1"/>
    <n v="0.15"/>
    <n v="46750"/>
    <n v="-21365.03"/>
    <x v="1"/>
    <s v="Returned"/>
    <n v="46750"/>
    <n v="-45.700598930481277"/>
    <s v="Loss"/>
    <s v="Vikram Rao"/>
    <x v="1"/>
    <x v="0"/>
    <s v="Bengaluru"/>
    <s v="Karnataka"/>
    <s v="2023-06-19"/>
    <s v="36-50"/>
    <n v="-21365.03"/>
  </r>
  <r>
    <s v="ORD03345"/>
    <d v="2025-10-12T00:00:00"/>
    <s v="CUST0244"/>
    <x v="1"/>
    <x v="13"/>
    <n v="3"/>
    <n v="0"/>
    <n v="12600"/>
    <n v="3600"/>
    <x v="1"/>
    <s v="Delivered"/>
    <n v="4200"/>
    <n v="28.571428571428569"/>
    <s v="Profit"/>
    <s v="Ishaan Khan"/>
    <x v="0"/>
    <x v="0"/>
    <s v="Bengaluru"/>
    <s v="Karnataka"/>
    <s v="2024-01-08"/>
    <s v="36-50"/>
    <n v="1200"/>
  </r>
  <r>
    <s v="ORD03346"/>
    <d v="2025-12-21T00:00:00"/>
    <s v="CUST0276"/>
    <x v="2"/>
    <x v="5"/>
    <n v="1"/>
    <n v="0.15"/>
    <n v="9350"/>
    <n v="-5088.1499999999996"/>
    <x v="2"/>
    <s v="Cancelled"/>
    <n v="9350"/>
    <n v="-54.418716577540103"/>
    <s v="Loss"/>
    <s v="Lakshmi Pillai"/>
    <x v="2"/>
    <x v="1"/>
    <s v="Mumbai"/>
    <s v="Maharashtra"/>
    <s v="2024-01-26"/>
    <s v="36-50"/>
    <n v="-5088.1499999999996"/>
  </r>
  <r>
    <s v="ORD03347"/>
    <d v="2026-02-04T00:00:00"/>
    <s v="CUST0073"/>
    <x v="0"/>
    <x v="6"/>
    <n v="4"/>
    <n v="0.15"/>
    <n v="1190"/>
    <n v="304.47000000000003"/>
    <x v="3"/>
    <s v="Delivered"/>
    <n v="297.5"/>
    <n v="25.585714285714289"/>
    <s v="Profit"/>
    <s v="Kavya Pillai"/>
    <x v="0"/>
    <x v="0"/>
    <s v="Hyderabad"/>
    <s v="Telangana"/>
    <s v="2023-04-01"/>
    <s v="26-35"/>
    <n v="76.117500000000007"/>
  </r>
  <r>
    <s v="ORD03348"/>
    <d v="2026-03-07T00:00:00"/>
    <s v="CUST0166"/>
    <x v="2"/>
    <x v="3"/>
    <n v="2"/>
    <n v="0"/>
    <n v="30000"/>
    <n v="7000"/>
    <x v="2"/>
    <s v="Shipped"/>
    <n v="15000"/>
    <n v="23.333333333333329"/>
    <s v="Profit"/>
    <s v="Arjun Gupta"/>
    <x v="2"/>
    <x v="0"/>
    <s v="Chennai"/>
    <s v="Tamil Nadu"/>
    <s v="2024-10-19"/>
    <s v="18-25"/>
    <n v="3500"/>
  </r>
  <r>
    <s v="ORD03349"/>
    <d v="2026-01-31T00:00:00"/>
    <s v="CUST0035"/>
    <x v="2"/>
    <x v="9"/>
    <n v="2"/>
    <n v="0.05"/>
    <n v="17100"/>
    <n v="3899.61"/>
    <x v="3"/>
    <s v="Delivered"/>
    <n v="8550"/>
    <n v="22.80473684210526"/>
    <s v="Profit"/>
    <s v="Karthik Verma"/>
    <x v="1"/>
    <x v="3"/>
    <s v="Guwahati"/>
    <s v="Assam"/>
    <s v="2025-01-09"/>
    <s v="51+"/>
    <n v="1949.8050000000001"/>
  </r>
  <r>
    <s v="ORD03350"/>
    <d v="2026-03-30T00:00:00"/>
    <s v="CUST0410"/>
    <x v="0"/>
    <x v="7"/>
    <n v="3"/>
    <n v="0.15"/>
    <n v="2295"/>
    <n v="622.5"/>
    <x v="2"/>
    <s v="Delivered"/>
    <n v="765"/>
    <n v="27.124183006535951"/>
    <s v="Profit"/>
    <s v="Pooja Iyer"/>
    <x v="1"/>
    <x v="0"/>
    <s v="Bengaluru"/>
    <s v="Karnataka"/>
    <s v="2025-07-08"/>
    <s v="18-25"/>
    <n v="207.5"/>
  </r>
  <r>
    <s v="ORD03351"/>
    <d v="2026-06-29T00:00:00"/>
    <s v="CUST0392"/>
    <x v="3"/>
    <x v="8"/>
    <n v="2"/>
    <n v="0"/>
    <n v="9000"/>
    <n v="3000"/>
    <x v="2"/>
    <s v="Shipped"/>
    <n v="4500"/>
    <n v="33.333333333333329"/>
    <s v="Profit"/>
    <s v="Pooja Patel"/>
    <x v="2"/>
    <x v="1"/>
    <s v="Ahmedabad"/>
    <s v="Gujarat"/>
    <s v="2024-11-07"/>
    <s v="36-50"/>
    <n v="1500"/>
  </r>
  <r>
    <s v="ORD03352"/>
    <d v="2026-01-21T00:00:00"/>
    <s v="CUST0384"/>
    <x v="1"/>
    <x v="15"/>
    <n v="10"/>
    <n v="0.1"/>
    <n v="19800"/>
    <n v="6103.36"/>
    <x v="2"/>
    <s v="Delivered"/>
    <n v="1980"/>
    <n v="30.825050505050509"/>
    <s v="Profit"/>
    <s v="Pooja Gupta"/>
    <x v="1"/>
    <x v="1"/>
    <s v="Pune"/>
    <s v="Maharashtra"/>
    <s v="2025-11-14"/>
    <s v="36-50"/>
    <n v="610.33600000000001"/>
  </r>
  <r>
    <s v="ORD03353"/>
    <d v="2025-12-09T00:00:00"/>
    <s v="CUST0349"/>
    <x v="3"/>
    <x v="8"/>
    <n v="3"/>
    <n v="0"/>
    <n v="13500"/>
    <n v="-856.26"/>
    <x v="2"/>
    <s v="Returned"/>
    <n v="4500"/>
    <n v="-6.3426666666666671"/>
    <s v="Loss"/>
    <s v="Aarav Nair"/>
    <x v="1"/>
    <x v="0"/>
    <s v="Hyderabad"/>
    <s v="Telangana"/>
    <s v="2025-07-22"/>
    <s v="26-35"/>
    <n v="-285.42"/>
  </r>
  <r>
    <s v="ORD03354"/>
    <d v="2026-06-27T00:00:00"/>
    <s v="CUST0334"/>
    <x v="2"/>
    <x v="2"/>
    <n v="1"/>
    <n v="0"/>
    <n v="13000"/>
    <n v="3200"/>
    <x v="2"/>
    <s v="Delivered"/>
    <n v="13000"/>
    <n v="24.61538461538462"/>
    <s v="Profit"/>
    <s v="Rahul Joshi"/>
    <x v="1"/>
    <x v="0"/>
    <s v="Hyderabad"/>
    <s v="Telangana"/>
    <s v="2024-05-26"/>
    <s v="26-35"/>
    <n v="3200"/>
  </r>
  <r>
    <s v="ORD03355"/>
    <d v="2026-02-09T00:00:00"/>
    <s v="CUST0362"/>
    <x v="2"/>
    <x v="9"/>
    <n v="15"/>
    <n v="0.1"/>
    <n v="121500"/>
    <n v="27148.1"/>
    <x v="2"/>
    <s v="Delivered"/>
    <n v="8100"/>
    <n v="22.344115226337451"/>
    <s v="Profit"/>
    <s v="Karthik Joshi"/>
    <x v="0"/>
    <x v="0"/>
    <s v="Coimbatore"/>
    <s v="Tamil Nadu"/>
    <s v="2025-09-08"/>
    <s v="26-35"/>
    <n v="1809.873333333333"/>
  </r>
  <r>
    <s v="ORD03356"/>
    <d v="2026-04-24T00:00:00"/>
    <s v="CUST0586"/>
    <x v="0"/>
    <x v="7"/>
    <n v="2"/>
    <n v="0.15"/>
    <n v="1530"/>
    <n v="332.58"/>
    <x v="1"/>
    <s v="Delivered"/>
    <n v="765"/>
    <n v="21.737254901960789"/>
    <s v="Profit"/>
    <s v="Sanjay Mehta"/>
    <x v="1"/>
    <x v="0"/>
    <s v="Chennai"/>
    <s v="Tamil Nadu"/>
    <s v="2023-09-11"/>
    <s v="26-35"/>
    <n v="166.29"/>
  </r>
  <r>
    <s v="ORD03357"/>
    <d v="2026-01-06T00:00:00"/>
    <s v="CUST0047"/>
    <x v="2"/>
    <x v="2"/>
    <n v="2"/>
    <n v="0"/>
    <n v="26000"/>
    <n v="6400"/>
    <x v="0"/>
    <s v="Delivered"/>
    <n v="13000"/>
    <n v="24.61538461538462"/>
    <s v="Profit"/>
    <s v="Rahul Das"/>
    <x v="2"/>
    <x v="0"/>
    <s v="Hyderabad"/>
    <s v="Telangana"/>
    <s v="2025-07-16"/>
    <s v="26-35"/>
    <n v="3200"/>
  </r>
  <r>
    <s v="ORD03358"/>
    <d v="2025-08-05T00:00:00"/>
    <s v="CUST0315"/>
    <x v="0"/>
    <x v="14"/>
    <n v="3"/>
    <n v="0.1"/>
    <n v="1215"/>
    <n v="220.76"/>
    <x v="0"/>
    <s v="Shipped"/>
    <n v="405"/>
    <n v="18.169547325102879"/>
    <s v="Profit"/>
    <s v="Harini Verma"/>
    <x v="0"/>
    <x v="0"/>
    <s v="Coimbatore"/>
    <s v="Tamil Nadu"/>
    <s v="2024-10-22"/>
    <s v="18-25"/>
    <n v="73.586666666666659"/>
  </r>
  <r>
    <s v="ORD03359"/>
    <d v="2025-10-15T00:00:00"/>
    <s v="CUST0077"/>
    <x v="3"/>
    <x v="8"/>
    <n v="3"/>
    <n v="0.05"/>
    <n v="12825"/>
    <n v="4149.68"/>
    <x v="3"/>
    <s v="Delivered"/>
    <n v="4275"/>
    <n v="32.356179337231971"/>
    <s v="Profit"/>
    <s v="Aarav Patel"/>
    <x v="2"/>
    <x v="3"/>
    <s v="Bhubaneswar"/>
    <s v="Odisha"/>
    <s v="2023-01-09"/>
    <s v="36-50"/>
    <n v="1383.2266666666669"/>
  </r>
  <r>
    <s v="ORD03360"/>
    <d v="2026-02-24T00:00:00"/>
    <s v="CUST0569"/>
    <x v="2"/>
    <x v="2"/>
    <n v="4"/>
    <n v="0.1"/>
    <n v="46800"/>
    <n v="-6681.07"/>
    <x v="0"/>
    <s v="Cancelled"/>
    <n v="11700"/>
    <n v="-14.2757905982906"/>
    <s v="Loss"/>
    <s v="Arjun Menon"/>
    <x v="2"/>
    <x v="1"/>
    <s v="Ahmedabad"/>
    <s v="Gujarat"/>
    <s v="2023-09-24"/>
    <s v="26-35"/>
    <n v="-1670.2674999999999"/>
  </r>
  <r>
    <s v="ORD03361"/>
    <d v="2026-02-08T00:00:00"/>
    <s v="CUST0508"/>
    <x v="1"/>
    <x v="1"/>
    <n v="6"/>
    <n v="0.05"/>
    <n v="10260"/>
    <n v="-3161.5"/>
    <x v="3"/>
    <s v="Cancelled"/>
    <n v="1710"/>
    <n v="-30.813840155945421"/>
    <s v="Loss"/>
    <s v="Karthik Naidu"/>
    <x v="0"/>
    <x v="3"/>
    <s v="Guwahati"/>
    <s v="Assam"/>
    <s v="2024-10-11"/>
    <s v="18-25"/>
    <n v="-526.91666666666663"/>
  </r>
  <r>
    <s v="ORD03362"/>
    <d v="2025-09-25T00:00:00"/>
    <s v="CUST0343"/>
    <x v="2"/>
    <x v="3"/>
    <n v="2"/>
    <n v="0.1"/>
    <n v="27000"/>
    <n v="5317.05"/>
    <x v="0"/>
    <s v="Shipped"/>
    <n v="13500"/>
    <n v="19.692777777777781"/>
    <s v="Profit"/>
    <s v="Meera Iyer"/>
    <x v="0"/>
    <x v="0"/>
    <s v="Bengaluru"/>
    <s v="Karnataka"/>
    <s v="2024-08-02"/>
    <s v="36-50"/>
    <n v="2658.5250000000001"/>
  </r>
  <r>
    <s v="ORD03363"/>
    <d v="2026-03-03T00:00:00"/>
    <s v="CUST0392"/>
    <x v="0"/>
    <x v="14"/>
    <n v="4"/>
    <n v="0"/>
    <n v="1800"/>
    <n v="-40.33"/>
    <x v="1"/>
    <s v="Returned"/>
    <n v="450"/>
    <n v="-2.240555555555555"/>
    <s v="Loss"/>
    <s v="Pooja Patel"/>
    <x v="2"/>
    <x v="1"/>
    <s v="Ahmedabad"/>
    <s v="Gujarat"/>
    <s v="2024-11-07"/>
    <s v="36-50"/>
    <n v="-10.0825"/>
  </r>
  <r>
    <s v="ORD03364"/>
    <d v="2025-08-11T00:00:00"/>
    <s v="CUST0370"/>
    <x v="0"/>
    <x v="7"/>
    <n v="2"/>
    <n v="0.05"/>
    <n v="1710"/>
    <n v="489.25"/>
    <x v="1"/>
    <s v="Delivered"/>
    <n v="855"/>
    <n v="28.611111111111111"/>
    <s v="Profit"/>
    <s v="Diya Kulkarni"/>
    <x v="1"/>
    <x v="2"/>
    <s v="Chandigarh"/>
    <s v="Chandigarh"/>
    <s v="2024-04-20"/>
    <s v="26-35"/>
    <n v="244.625"/>
  </r>
  <r>
    <s v="ORD03365"/>
    <d v="2025-12-18T00:00:00"/>
    <s v="CUST0243"/>
    <x v="1"/>
    <x v="13"/>
    <n v="4"/>
    <n v="0.05"/>
    <n v="15960"/>
    <n v="-8247.91"/>
    <x v="2"/>
    <s v="Cancelled"/>
    <n v="3990"/>
    <n v="-51.678634085213027"/>
    <s v="Loss"/>
    <s v="Manoj Das"/>
    <x v="1"/>
    <x v="3"/>
    <s v="Kolkata"/>
    <s v="West Bengal"/>
    <s v="2023-02-23"/>
    <s v="26-35"/>
    <n v="-2061.9775"/>
  </r>
  <r>
    <s v="ORD03366"/>
    <d v="2025-10-24T00:00:00"/>
    <s v="CUST0281"/>
    <x v="1"/>
    <x v="15"/>
    <n v="4"/>
    <n v="0"/>
    <n v="8800"/>
    <n v="3000"/>
    <x v="1"/>
    <s v="Delivered"/>
    <n v="2200"/>
    <n v="34.090909090909093"/>
    <s v="Profit"/>
    <s v="Divya Reddy"/>
    <x v="0"/>
    <x v="0"/>
    <s v="Coimbatore"/>
    <s v="Tamil Nadu"/>
    <s v="2025-04-27"/>
    <s v="36-50"/>
    <n v="750"/>
  </r>
  <r>
    <s v="ORD03367"/>
    <d v="2025-12-05T00:00:00"/>
    <s v="CUST0528"/>
    <x v="2"/>
    <x v="3"/>
    <n v="2"/>
    <n v="0.1"/>
    <n v="27000"/>
    <n v="4689.29"/>
    <x v="1"/>
    <s v="Delivered"/>
    <n v="13500"/>
    <n v="17.367740740740739"/>
    <s v="Profit"/>
    <s v="Karthik Menon"/>
    <x v="0"/>
    <x v="0"/>
    <s v="Chennai"/>
    <s v="Tamil Nadu"/>
    <s v="2024-07-24"/>
    <s v="36-50"/>
    <n v="2344.645"/>
  </r>
  <r>
    <s v="ORD03368"/>
    <d v="2025-12-22T00:00:00"/>
    <s v="CUST0122"/>
    <x v="2"/>
    <x v="5"/>
    <n v="2"/>
    <n v="0.3"/>
    <n v="15400"/>
    <n v="2070.16"/>
    <x v="2"/>
    <s v="Shipped"/>
    <n v="7700"/>
    <n v="13.4425974025974"/>
    <s v="Profit"/>
    <s v="Pooja Pillai"/>
    <x v="1"/>
    <x v="1"/>
    <s v="Pune"/>
    <s v="Maharashtra"/>
    <s v="2023-03-15"/>
    <s v="26-35"/>
    <n v="1035.08"/>
  </r>
  <r>
    <s v="ORD03369"/>
    <d v="2026-06-28T00:00:00"/>
    <s v="CUST0298"/>
    <x v="2"/>
    <x v="9"/>
    <n v="3"/>
    <n v="0.2"/>
    <n v="21600"/>
    <n v="4348.6499999999996"/>
    <x v="1"/>
    <s v="Delivered"/>
    <n v="7200"/>
    <n v="20.132638888888891"/>
    <s v="Profit"/>
    <s v="Diya Joshi"/>
    <x v="0"/>
    <x v="0"/>
    <s v="Chennai"/>
    <s v="Tamil Nadu"/>
    <s v="2025-01-10"/>
    <s v="18-25"/>
    <n v="1449.55"/>
  </r>
  <r>
    <s v="ORD03370"/>
    <d v="2026-04-19T00:00:00"/>
    <s v="CUST0132"/>
    <x v="2"/>
    <x v="9"/>
    <n v="3"/>
    <n v="0"/>
    <n v="27000"/>
    <n v="6900"/>
    <x v="3"/>
    <s v="Delivered"/>
    <n v="9000"/>
    <n v="25.55555555555555"/>
    <s v="Profit"/>
    <s v="Akash Rao"/>
    <x v="2"/>
    <x v="1"/>
    <s v="Pune"/>
    <s v="Maharashtra"/>
    <s v="2023-10-01"/>
    <s v="36-50"/>
    <n v="2300"/>
  </r>
  <r>
    <s v="ORD03371"/>
    <d v="2026-02-12T00:00:00"/>
    <s v="CUST0120"/>
    <x v="1"/>
    <x v="1"/>
    <n v="6"/>
    <n v="0.15"/>
    <n v="9180"/>
    <n v="2896.11"/>
    <x v="2"/>
    <s v="Delivered"/>
    <n v="1530"/>
    <n v="31.54803921568627"/>
    <s v="Profit"/>
    <s v="Sanjay Sharma"/>
    <x v="2"/>
    <x v="0"/>
    <s v="Bengaluru"/>
    <s v="Karnataka"/>
    <s v="2024-05-20"/>
    <s v="26-35"/>
    <n v="482.685"/>
  </r>
  <r>
    <s v="ORD03372"/>
    <d v="2025-10-25T00:00:00"/>
    <s v="CUST0206"/>
    <x v="0"/>
    <x v="6"/>
    <n v="2"/>
    <n v="0"/>
    <n v="700"/>
    <n v="240"/>
    <x v="1"/>
    <s v="Delivered"/>
    <n v="350"/>
    <n v="34.285714285714278"/>
    <s v="Profit"/>
    <s v="Arjun Bose"/>
    <x v="1"/>
    <x v="0"/>
    <s v="Coimbatore"/>
    <s v="Tamil Nadu"/>
    <s v="2025-04-20"/>
    <s v="36-50"/>
    <n v="120"/>
  </r>
  <r>
    <s v="ORD03373"/>
    <d v="2025-09-07T00:00:00"/>
    <s v="CUST0125"/>
    <x v="3"/>
    <x v="11"/>
    <n v="4"/>
    <n v="0"/>
    <n v="10000"/>
    <n v="3200"/>
    <x v="1"/>
    <s v="Shipped"/>
    <n v="2500"/>
    <n v="32"/>
    <s v="Profit"/>
    <s v="Diya Singh"/>
    <x v="2"/>
    <x v="3"/>
    <s v="Patna"/>
    <s v="Bihar"/>
    <s v="2023-08-16"/>
    <s v="36-50"/>
    <n v="800"/>
  </r>
  <r>
    <s v="ORD03374"/>
    <d v="2025-12-07T00:00:00"/>
    <s v="CUST0081"/>
    <x v="3"/>
    <x v="10"/>
    <n v="6"/>
    <n v="0"/>
    <n v="330000"/>
    <n v="-89540.67"/>
    <x v="1"/>
    <s v="Cancelled"/>
    <n v="55000"/>
    <n v="-27.13353636363636"/>
    <s v="Loss"/>
    <s v="Ananya Rao"/>
    <x v="2"/>
    <x v="0"/>
    <s v="Chennai"/>
    <s v="Tamil Nadu"/>
    <s v="2023-10-09"/>
    <s v="36-50"/>
    <n v="-14923.445"/>
  </r>
  <r>
    <s v="ORD03375"/>
    <d v="2025-10-23T00:00:00"/>
    <s v="CUST0437"/>
    <x v="0"/>
    <x v="14"/>
    <n v="3"/>
    <n v="0.05"/>
    <n v="1282.5"/>
    <n v="281.68"/>
    <x v="3"/>
    <s v="Delivered"/>
    <n v="427.5"/>
    <n v="21.963352826510722"/>
    <s v="Profit"/>
    <s v="Rahul Kulkarni"/>
    <x v="0"/>
    <x v="1"/>
    <s v="Surat"/>
    <s v="Gujarat"/>
    <s v="2023-12-14"/>
    <s v="18-25"/>
    <n v="93.893333333333331"/>
  </r>
  <r>
    <s v="ORD03376"/>
    <d v="2026-05-02T00:00:00"/>
    <s v="CUST0248"/>
    <x v="0"/>
    <x v="0"/>
    <n v="2"/>
    <n v="0.2"/>
    <n v="22400"/>
    <n v="1149.0899999999999"/>
    <x v="1"/>
    <s v="Delivered"/>
    <n v="11200"/>
    <n v="5.1298660714285713"/>
    <s v="Profit"/>
    <s v="Meera Das"/>
    <x v="1"/>
    <x v="2"/>
    <s v="Chandigarh"/>
    <s v="Chandigarh"/>
    <s v="2024-12-30"/>
    <s v="18-25"/>
    <n v="574.54499999999996"/>
  </r>
  <r>
    <s v="ORD03377"/>
    <d v="2025-07-02T00:00:00"/>
    <s v="CUST0398"/>
    <x v="3"/>
    <x v="4"/>
    <n v="5"/>
    <n v="0.1"/>
    <n v="81000"/>
    <n v="-34496.300000000003"/>
    <x v="1"/>
    <s v="Cancelled"/>
    <n v="16200"/>
    <n v="-42.588024691358029"/>
    <s v="Loss"/>
    <s v="Meera Gupta"/>
    <x v="1"/>
    <x v="3"/>
    <s v="Bhubaneswar"/>
    <s v="Odisha"/>
    <s v="2024-02-27"/>
    <s v="36-50"/>
    <n v="-6899.26"/>
  </r>
  <r>
    <s v="ORD03378"/>
    <d v="2026-02-12T00:00:00"/>
    <s v="CUST0047"/>
    <x v="2"/>
    <x v="3"/>
    <n v="1"/>
    <n v="0"/>
    <n v="15000"/>
    <n v="3500"/>
    <x v="1"/>
    <s v="Shipped"/>
    <n v="15000"/>
    <n v="23.333333333333329"/>
    <s v="Profit"/>
    <s v="Rahul Das"/>
    <x v="2"/>
    <x v="0"/>
    <s v="Hyderabad"/>
    <s v="Telangana"/>
    <s v="2025-07-16"/>
    <s v="26-35"/>
    <n v="3500"/>
  </r>
  <r>
    <s v="ORD03379"/>
    <d v="2025-12-29T00:00:00"/>
    <s v="CUST0510"/>
    <x v="3"/>
    <x v="11"/>
    <n v="3"/>
    <n v="0.1"/>
    <n v="6750"/>
    <n v="1980.73"/>
    <x v="2"/>
    <s v="Shipped"/>
    <n v="2250"/>
    <n v="29.34414814814815"/>
    <s v="Profit"/>
    <s v="Vikram Singh"/>
    <x v="1"/>
    <x v="0"/>
    <s v="Coimbatore"/>
    <s v="Tamil Nadu"/>
    <s v="2024-08-20"/>
    <s v="36-50"/>
    <n v="660.24333333333334"/>
  </r>
  <r>
    <s v="ORD03380"/>
    <d v="2025-09-13T00:00:00"/>
    <s v="CUST0026"/>
    <x v="0"/>
    <x v="7"/>
    <n v="1"/>
    <n v="0.05"/>
    <n v="855"/>
    <n v="242"/>
    <x v="1"/>
    <s v="Delivered"/>
    <n v="855"/>
    <n v="28.30409356725146"/>
    <s v="Profit"/>
    <s v="Arjun Mehta"/>
    <x v="2"/>
    <x v="0"/>
    <s v="Coimbatore"/>
    <s v="Tamil Nadu"/>
    <s v="2025-07-27"/>
    <s v="26-35"/>
    <n v="242"/>
  </r>
  <r>
    <s v="ORD03381"/>
    <d v="2025-08-04T00:00:00"/>
    <s v="CUST0352"/>
    <x v="0"/>
    <x v="0"/>
    <n v="6"/>
    <n v="0.1"/>
    <n v="75600"/>
    <n v="11835.02"/>
    <x v="2"/>
    <s v="Delivered"/>
    <n v="12600"/>
    <n v="15.654788359788361"/>
    <s v="Profit"/>
    <s v="Ishaan Verma"/>
    <x v="0"/>
    <x v="1"/>
    <s v="Ahmedabad"/>
    <s v="Gujarat"/>
    <s v="2024-05-01"/>
    <s v="51+"/>
    <n v="1972.5033333333331"/>
  </r>
  <r>
    <s v="ORD03382"/>
    <d v="2025-07-04T00:00:00"/>
    <s v="CUST0388"/>
    <x v="0"/>
    <x v="7"/>
    <n v="1"/>
    <n v="0.1"/>
    <n v="810"/>
    <n v="227.95"/>
    <x v="3"/>
    <s v="Delivered"/>
    <n v="810"/>
    <n v="28.141975308641971"/>
    <s v="Profit"/>
    <s v="Shreya Kulkarni"/>
    <x v="0"/>
    <x v="0"/>
    <s v="Bengaluru"/>
    <s v="Karnataka"/>
    <s v="2025-08-28"/>
    <s v="36-50"/>
    <n v="227.95"/>
  </r>
  <r>
    <s v="ORD03383"/>
    <d v="2025-11-25T00:00:00"/>
    <s v="CUST0573"/>
    <x v="3"/>
    <x v="8"/>
    <n v="5"/>
    <n v="0.3"/>
    <n v="15750"/>
    <n v="4389.18"/>
    <x v="3"/>
    <s v="Delivered"/>
    <n v="3150"/>
    <n v="27.86780952380953"/>
    <s v="Profit"/>
    <s v="Aditya Pillai"/>
    <x v="0"/>
    <x v="1"/>
    <s v="Surat"/>
    <s v="Gujarat"/>
    <s v="2024-03-11"/>
    <s v="18-25"/>
    <n v="877.83600000000001"/>
  </r>
  <r>
    <s v="ORD03384"/>
    <d v="2026-04-28T00:00:00"/>
    <s v="CUST0555"/>
    <x v="1"/>
    <x v="13"/>
    <n v="1"/>
    <n v="0.05"/>
    <n v="3990"/>
    <n v="1055.99"/>
    <x v="2"/>
    <s v="Delivered"/>
    <n v="3990"/>
    <n v="26.465914786967421"/>
    <s v="Profit"/>
    <s v="Aarav Mehta"/>
    <x v="0"/>
    <x v="0"/>
    <s v="Coimbatore"/>
    <s v="Tamil Nadu"/>
    <s v="2023-05-19"/>
    <s v="51+"/>
    <n v="1055.99"/>
  </r>
  <r>
    <s v="ORD03385"/>
    <d v="2026-08-14T00:00:00"/>
    <s v="CUST0021"/>
    <x v="2"/>
    <x v="2"/>
    <n v="3"/>
    <n v="0.1"/>
    <n v="35100"/>
    <n v="6423.68"/>
    <x v="1"/>
    <s v="Delivered"/>
    <n v="11700"/>
    <n v="18.301082621082621"/>
    <s v="Profit"/>
    <s v="Varun Nair"/>
    <x v="2"/>
    <x v="1"/>
    <s v="Ahmedabad"/>
    <s v="Gujarat"/>
    <s v="2025-11-12"/>
    <s v="36-50"/>
    <n v="2141.2266666666669"/>
  </r>
  <r>
    <s v="ORD03386"/>
    <d v="2026-04-09T00:00:00"/>
    <s v="CUST0315"/>
    <x v="3"/>
    <x v="11"/>
    <n v="2"/>
    <n v="0"/>
    <n v="5000"/>
    <n v="-1567.49"/>
    <x v="0"/>
    <s v="Returned"/>
    <n v="2500"/>
    <n v="-31.349799999999998"/>
    <s v="Loss"/>
    <s v="Harini Verma"/>
    <x v="0"/>
    <x v="0"/>
    <s v="Coimbatore"/>
    <s v="Tamil Nadu"/>
    <s v="2024-10-22"/>
    <s v="18-25"/>
    <n v="-783.745"/>
  </r>
  <r>
    <s v="ORD03387"/>
    <d v="2026-02-27T00:00:00"/>
    <s v="CUST0127"/>
    <x v="3"/>
    <x v="10"/>
    <n v="1"/>
    <n v="0"/>
    <n v="55000"/>
    <n v="9000"/>
    <x v="1"/>
    <s v="Delivered"/>
    <n v="55000"/>
    <n v="16.36363636363636"/>
    <s v="Profit"/>
    <s v="Ananya Patel"/>
    <x v="2"/>
    <x v="2"/>
    <s v="Chandigarh"/>
    <s v="Chandigarh"/>
    <s v="2023-08-13"/>
    <s v="26-35"/>
    <n v="9000"/>
  </r>
  <r>
    <s v="ORD03388"/>
    <d v="2025-08-16T00:00:00"/>
    <s v="CUST0404"/>
    <x v="1"/>
    <x v="15"/>
    <n v="2"/>
    <n v="0.15"/>
    <n v="3740"/>
    <n v="-1305.51"/>
    <x v="0"/>
    <s v="Returned"/>
    <n v="1870"/>
    <n v="-34.906684491978609"/>
    <s v="Loss"/>
    <s v="Pooja Kulkarni"/>
    <x v="0"/>
    <x v="1"/>
    <s v="Ahmedabad"/>
    <s v="Gujarat"/>
    <s v="2025-04-01"/>
    <s v="36-50"/>
    <n v="-652.755"/>
  </r>
  <r>
    <s v="ORD03389"/>
    <d v="2026-07-04T00:00:00"/>
    <s v="CUST0007"/>
    <x v="2"/>
    <x v="3"/>
    <n v="2"/>
    <n v="0.05"/>
    <n v="28500"/>
    <n v="5984.62"/>
    <x v="2"/>
    <s v="Delivered"/>
    <n v="14250"/>
    <n v="20.998666666666669"/>
    <s v="Profit"/>
    <s v="Harini Khan"/>
    <x v="0"/>
    <x v="0"/>
    <s v="Bengaluru"/>
    <s v="Karnataka"/>
    <s v="2025-07-02"/>
    <s v="36-50"/>
    <n v="2992.31"/>
  </r>
  <r>
    <s v="ORD03390"/>
    <d v="2025-09-17T00:00:00"/>
    <s v="CUST0098"/>
    <x v="1"/>
    <x v="1"/>
    <n v="4"/>
    <n v="0.2"/>
    <n v="5760"/>
    <n v="1725.97"/>
    <x v="1"/>
    <s v="Shipped"/>
    <n v="1440"/>
    <n v="29.964756944444439"/>
    <s v="Profit"/>
    <s v="Diya Reddy"/>
    <x v="2"/>
    <x v="2"/>
    <s v="Chandigarh"/>
    <s v="Chandigarh"/>
    <s v="2024-10-06"/>
    <s v="26-35"/>
    <n v="431.49250000000001"/>
  </r>
  <r>
    <s v="ORD03391"/>
    <d v="2025-09-17T00:00:00"/>
    <s v="CUST0456"/>
    <x v="2"/>
    <x v="2"/>
    <n v="3"/>
    <n v="0.05"/>
    <n v="37050"/>
    <n v="8194.67"/>
    <x v="3"/>
    <s v="Delivered"/>
    <n v="12350"/>
    <n v="22.117867746288798"/>
    <s v="Profit"/>
    <s v="Ananya Das"/>
    <x v="0"/>
    <x v="3"/>
    <s v="Patna"/>
    <s v="Bihar"/>
    <s v="2025-06-07"/>
    <s v="18-25"/>
    <n v="2731.5566666666668"/>
  </r>
  <r>
    <s v="ORD03392"/>
    <d v="2025-09-23T00:00:00"/>
    <s v="CUST0374"/>
    <x v="3"/>
    <x v="4"/>
    <n v="1"/>
    <n v="0.15"/>
    <n v="15300"/>
    <n v="2211.31"/>
    <x v="3"/>
    <s v="Shipped"/>
    <n v="15300"/>
    <n v="14.45300653594771"/>
    <s v="Profit"/>
    <s v="Ishaan Chopra"/>
    <x v="0"/>
    <x v="0"/>
    <s v="Bengaluru"/>
    <s v="Karnataka"/>
    <s v="2024-09-12"/>
    <s v="18-25"/>
    <n v="2211.31"/>
  </r>
  <r>
    <s v="ORD03393"/>
    <d v="2026-03-09T00:00:00"/>
    <s v="CUST0207"/>
    <x v="2"/>
    <x v="3"/>
    <n v="6"/>
    <n v="0"/>
    <n v="90000"/>
    <n v="21000"/>
    <x v="3"/>
    <s v="Delivered"/>
    <n v="15000"/>
    <n v="23.333333333333329"/>
    <s v="Profit"/>
    <s v="Divya Chopra"/>
    <x v="0"/>
    <x v="1"/>
    <s v="Pune"/>
    <s v="Maharashtra"/>
    <s v="2025-03-02"/>
    <s v="26-35"/>
    <n v="3500"/>
  </r>
  <r>
    <s v="ORD03394"/>
    <d v="2026-04-23T00:00:00"/>
    <s v="CUST0329"/>
    <x v="2"/>
    <x v="5"/>
    <n v="1"/>
    <n v="0.1"/>
    <n v="9900"/>
    <n v="1953.37"/>
    <x v="2"/>
    <s v="Delivered"/>
    <n v="9900"/>
    <n v="19.731010101010099"/>
    <s v="Profit"/>
    <s v="Shreya Pillai"/>
    <x v="0"/>
    <x v="3"/>
    <s v="Bhubaneswar"/>
    <s v="Odisha"/>
    <s v="2024-08-08"/>
    <s v="26-35"/>
    <n v="1953.37"/>
  </r>
  <r>
    <s v="ORD03395"/>
    <d v="2025-09-21T00:00:00"/>
    <s v="CUST0038"/>
    <x v="1"/>
    <x v="1"/>
    <n v="3"/>
    <n v="0"/>
    <n v="5400"/>
    <n v="1950"/>
    <x v="2"/>
    <s v="Delivered"/>
    <n v="1800"/>
    <n v="36.111111111111107"/>
    <s v="Profit"/>
    <s v="Harini Sharma"/>
    <x v="2"/>
    <x v="0"/>
    <s v="Coimbatore"/>
    <s v="Tamil Nadu"/>
    <s v="2024-06-22"/>
    <s v="36-50"/>
    <n v="650"/>
  </r>
  <r>
    <s v="ORD03396"/>
    <d v="2026-05-03T00:00:00"/>
    <s v="CUST0535"/>
    <x v="1"/>
    <x v="1"/>
    <n v="1"/>
    <n v="0.2"/>
    <n v="1440"/>
    <n v="344.46"/>
    <x v="2"/>
    <s v="Delivered"/>
    <n v="1440"/>
    <n v="23.920833333333331"/>
    <s v="Profit"/>
    <s v="Sanjay Reddy"/>
    <x v="0"/>
    <x v="0"/>
    <s v="Bengaluru"/>
    <s v="Karnataka"/>
    <s v="2024-03-17"/>
    <s v="18-25"/>
    <n v="344.46"/>
  </r>
  <r>
    <s v="ORD03397"/>
    <d v="2025-12-21T00:00:00"/>
    <s v="CUST0155"/>
    <x v="3"/>
    <x v="10"/>
    <n v="4"/>
    <n v="0.1"/>
    <n v="198000"/>
    <n v="24900.02"/>
    <x v="1"/>
    <s v="Shipped"/>
    <n v="49500"/>
    <n v="12.575767676767679"/>
    <s v="Profit"/>
    <s v="Ishaan Sharma"/>
    <x v="0"/>
    <x v="0"/>
    <s v="Bengaluru"/>
    <s v="Karnataka"/>
    <s v="2023-07-08"/>
    <s v="26-35"/>
    <n v="6225.0050000000001"/>
  </r>
  <r>
    <s v="ORD03398"/>
    <d v="2025-11-02T00:00:00"/>
    <s v="CUST0133"/>
    <x v="2"/>
    <x v="5"/>
    <n v="2"/>
    <n v="0"/>
    <n v="22000"/>
    <n v="5200"/>
    <x v="1"/>
    <s v="Delivered"/>
    <n v="11000"/>
    <n v="23.63636363636364"/>
    <s v="Profit"/>
    <s v="Varun Reddy"/>
    <x v="0"/>
    <x v="1"/>
    <s v="Pune"/>
    <s v="Maharashtra"/>
    <s v="2023-11-14"/>
    <s v="26-35"/>
    <n v="2600"/>
  </r>
  <r>
    <s v="ORD03399"/>
    <d v="2025-10-08T00:00:00"/>
    <s v="CUST0590"/>
    <x v="3"/>
    <x v="8"/>
    <n v="2"/>
    <n v="0"/>
    <n v="9000"/>
    <n v="3000"/>
    <x v="1"/>
    <s v="Delivered"/>
    <n v="4500"/>
    <n v="33.333333333333329"/>
    <s v="Profit"/>
    <s v="Aarav Bose"/>
    <x v="0"/>
    <x v="1"/>
    <s v="Pune"/>
    <s v="Maharashtra"/>
    <s v="2025-08-22"/>
    <s v="36-50"/>
    <n v="1500"/>
  </r>
  <r>
    <s v="ORD03400"/>
    <d v="2025-11-14T00:00:00"/>
    <s v="CUST0282"/>
    <x v="3"/>
    <x v="11"/>
    <n v="1"/>
    <n v="0.1"/>
    <n v="2250"/>
    <n v="686.78"/>
    <x v="1"/>
    <s v="Delivered"/>
    <n v="2250"/>
    <n v="30.52355555555555"/>
    <s v="Profit"/>
    <s v="Shreya Verma"/>
    <x v="0"/>
    <x v="3"/>
    <s v="Guwahati"/>
    <s v="Assam"/>
    <s v="2023-11-15"/>
    <s v="18-25"/>
    <n v="686.78"/>
  </r>
  <r>
    <s v="ORD03402"/>
    <d v="2026-06-19T00:00:00"/>
    <s v="CUST0123"/>
    <x v="3"/>
    <x v="4"/>
    <n v="6"/>
    <n v="0"/>
    <n v="108000"/>
    <n v="-41364.589999999997"/>
    <x v="3"/>
    <s v="Returned"/>
    <n v="18000"/>
    <n v="-38.300546296296297"/>
    <s v="Loss"/>
    <s v="Aarav Sharma"/>
    <x v="1"/>
    <x v="2"/>
    <s v="Delhi"/>
    <s v="Delhi"/>
    <s v="2023-01-19"/>
    <s v="26-35"/>
    <n v="-6894.0983333333324"/>
  </r>
  <r>
    <s v="ORD03403"/>
    <d v="2025-10-03T00:00:00"/>
    <s v="CUST0533"/>
    <x v="0"/>
    <x v="7"/>
    <n v="4"/>
    <n v="0.15"/>
    <n v="3060"/>
    <n v="813.91"/>
    <x v="0"/>
    <s v="Delivered"/>
    <n v="765"/>
    <n v="26.5983660130719"/>
    <s v="Profit"/>
    <s v="Sneha Pillai"/>
    <x v="0"/>
    <x v="1"/>
    <s v="Pune"/>
    <s v="Maharashtra"/>
    <s v="2023-06-15"/>
    <s v="18-25"/>
    <n v="203.47749999999999"/>
  </r>
  <r>
    <s v="ORD03404"/>
    <d v="2025-09-24T00:00:00"/>
    <s v="CUST0049"/>
    <x v="2"/>
    <x v="9"/>
    <n v="1"/>
    <n v="0.1"/>
    <n v="8100"/>
    <n v="1875.46"/>
    <x v="3"/>
    <s v="Delivered"/>
    <n v="8100"/>
    <n v="23.153827160493829"/>
    <s v="Profit"/>
    <s v="Lakshmi Kulkarni"/>
    <x v="0"/>
    <x v="1"/>
    <s v="Ahmedabad"/>
    <s v="Gujarat"/>
    <s v="2023-01-08"/>
    <s v="26-35"/>
    <n v="1875.46"/>
  </r>
  <r>
    <s v="ORD03405"/>
    <d v="2026-07-24T00:00:00"/>
    <s v="CUST0263"/>
    <x v="2"/>
    <x v="2"/>
    <n v="6"/>
    <n v="0.05"/>
    <n v="74100"/>
    <n v="16030.96"/>
    <x v="2"/>
    <s v="Delivered"/>
    <n v="12350"/>
    <n v="21.634224021592441"/>
    <s v="Profit"/>
    <s v="Priya Khan"/>
    <x v="0"/>
    <x v="3"/>
    <s v="Kolkata"/>
    <s v="West Bengal"/>
    <s v="2025-03-25"/>
    <s v="26-35"/>
    <n v="2671.8266666666659"/>
  </r>
  <r>
    <s v="ORD03406"/>
    <d v="2026-06-23T00:00:00"/>
    <s v="CUST0167"/>
    <x v="2"/>
    <x v="3"/>
    <n v="1"/>
    <n v="0"/>
    <n v="15000"/>
    <n v="3500"/>
    <x v="2"/>
    <s v="Delivered"/>
    <n v="15000"/>
    <n v="23.333333333333329"/>
    <s v="Profit"/>
    <s v="Aarav Mehta"/>
    <x v="0"/>
    <x v="0"/>
    <s v="Hyderabad"/>
    <s v="Telangana"/>
    <s v="2024-10-15"/>
    <s v="51+"/>
    <n v="3500"/>
  </r>
  <r>
    <s v="ORD03407"/>
    <d v="2026-08-09T00:00:00"/>
    <s v="CUST0465"/>
    <x v="1"/>
    <x v="1"/>
    <n v="3"/>
    <n v="0.1"/>
    <n v="4860"/>
    <n v="1550.05"/>
    <x v="0"/>
    <s v="Delivered"/>
    <n v="1620"/>
    <n v="31.894032921810702"/>
    <s v="Profit"/>
    <s v="Ananya Pillai"/>
    <x v="2"/>
    <x v="2"/>
    <s v="Delhi"/>
    <s v="Delhi"/>
    <s v="2023-04-30"/>
    <s v="26-35"/>
    <n v="516.68333333333328"/>
  </r>
  <r>
    <s v="ORD03408"/>
    <d v="2026-03-07T00:00:00"/>
    <s v="CUST0341"/>
    <x v="2"/>
    <x v="3"/>
    <n v="4"/>
    <n v="0"/>
    <n v="60000"/>
    <n v="14000"/>
    <x v="0"/>
    <s v="Delivered"/>
    <n v="15000"/>
    <n v="23.333333333333329"/>
    <s v="Profit"/>
    <s v="Arjun Mehta"/>
    <x v="1"/>
    <x v="0"/>
    <s v="Coimbatore"/>
    <s v="Tamil Nadu"/>
    <s v="2023-11-21"/>
    <s v="26-35"/>
    <n v="3500"/>
  </r>
  <r>
    <s v="ORD03409"/>
    <d v="2025-09-27T00:00:00"/>
    <s v="CUST0483"/>
    <x v="2"/>
    <x v="2"/>
    <n v="2"/>
    <n v="0.15"/>
    <n v="22100"/>
    <n v="3503.75"/>
    <x v="0"/>
    <s v="Delivered"/>
    <n v="11050"/>
    <n v="15.85407239819004"/>
    <s v="Profit"/>
    <s v="Harini Rao"/>
    <x v="2"/>
    <x v="0"/>
    <s v="Bengaluru"/>
    <s v="Karnataka"/>
    <s v="2025-12-26"/>
    <s v="18-25"/>
    <n v="1751.875"/>
  </r>
  <r>
    <s v="ORD03410"/>
    <d v="2026-07-14T00:00:00"/>
    <s v="CUST0057"/>
    <x v="3"/>
    <x v="10"/>
    <n v="3"/>
    <n v="0"/>
    <n v="165000"/>
    <n v="27000"/>
    <x v="2"/>
    <s v="Delivered"/>
    <n v="55000"/>
    <n v="16.36363636363636"/>
    <s v="Profit"/>
    <s v="Akash Singh"/>
    <x v="2"/>
    <x v="2"/>
    <s v="Chandigarh"/>
    <s v="Chandigarh"/>
    <s v="2024-12-21"/>
    <s v="26-35"/>
    <n v="9000"/>
  </r>
  <r>
    <s v="ORD03411"/>
    <d v="2025-11-17T00:00:00"/>
    <s v="CUST0383"/>
    <x v="3"/>
    <x v="11"/>
    <n v="3"/>
    <n v="0.1"/>
    <n v="6750"/>
    <n v="1777.58"/>
    <x v="2"/>
    <s v="Delivered"/>
    <n v="2250"/>
    <n v="26.334518518518522"/>
    <s v="Profit"/>
    <s v="Arjun Mehta"/>
    <x v="0"/>
    <x v="0"/>
    <s v="Chennai"/>
    <s v="Tamil Nadu"/>
    <s v="2024-05-07"/>
    <s v="51+"/>
    <n v="592.52666666666664"/>
  </r>
  <r>
    <s v="ORD03412"/>
    <d v="2026-06-13T00:00:00"/>
    <s v="CUST0140"/>
    <x v="1"/>
    <x v="1"/>
    <n v="3"/>
    <n v="0.05"/>
    <n v="5130"/>
    <n v="1764.06"/>
    <x v="1"/>
    <s v="Delivered"/>
    <n v="1710"/>
    <n v="34.387134502923978"/>
    <s v="Profit"/>
    <s v="Ananya Naidu"/>
    <x v="1"/>
    <x v="2"/>
    <s v="Chandigarh"/>
    <s v="Chandigarh"/>
    <s v="2024-04-14"/>
    <s v="26-35"/>
    <n v="588.02"/>
  </r>
  <r>
    <s v="ORD03413"/>
    <d v="2026-06-11T00:00:00"/>
    <s v="CUST0301"/>
    <x v="2"/>
    <x v="9"/>
    <n v="3"/>
    <n v="0"/>
    <n v="27000"/>
    <n v="6900"/>
    <x v="3"/>
    <s v="Delivered"/>
    <n v="9000"/>
    <n v="25.55555555555555"/>
    <s v="Profit"/>
    <s v="Pooja Bose"/>
    <x v="0"/>
    <x v="0"/>
    <s v="Bengaluru"/>
    <s v="Karnataka"/>
    <s v="2025-11-12"/>
    <s v="26-35"/>
    <n v="2300"/>
  </r>
  <r>
    <s v="ORD03414"/>
    <d v="2025-10-04T00:00:00"/>
    <s v="CUST0213"/>
    <x v="2"/>
    <x v="9"/>
    <n v="1"/>
    <n v="0.1"/>
    <n v="8100"/>
    <n v="1820.81"/>
    <x v="3"/>
    <s v="Delivered"/>
    <n v="8100"/>
    <n v="22.479135802469131"/>
    <s v="Profit"/>
    <s v="Shreya Bose"/>
    <x v="1"/>
    <x v="2"/>
    <s v="Lucknow"/>
    <s v="Uttar Pradesh"/>
    <s v="2025-03-13"/>
    <s v="26-35"/>
    <n v="1820.81"/>
  </r>
  <r>
    <s v="ORD03415"/>
    <d v="2026-05-10T00:00:00"/>
    <s v="CUST0100"/>
    <x v="0"/>
    <x v="0"/>
    <n v="4"/>
    <n v="0.2"/>
    <n v="44800"/>
    <n v="3146.61"/>
    <x v="3"/>
    <s v="Delivered"/>
    <n v="11200"/>
    <n v="7.0236830357142859"/>
    <s v="Profit"/>
    <s v="Priya Singh"/>
    <x v="1"/>
    <x v="0"/>
    <s v="Chennai"/>
    <s v="Tamil Nadu"/>
    <s v="2023-03-14"/>
    <s v="26-35"/>
    <n v="786.65250000000003"/>
  </r>
  <r>
    <s v="ORD03416"/>
    <d v="2026-06-10T00:00:00"/>
    <s v="CUST0567"/>
    <x v="0"/>
    <x v="7"/>
    <n v="3"/>
    <n v="0"/>
    <n v="2700"/>
    <n v="840"/>
    <x v="2"/>
    <s v="Shipped"/>
    <n v="900"/>
    <n v="31.111111111111111"/>
    <s v="Profit"/>
    <s v="Ananya Chopra"/>
    <x v="2"/>
    <x v="1"/>
    <s v="Pune"/>
    <s v="Maharashtra"/>
    <s v="2025-09-20"/>
    <s v="26-35"/>
    <n v="280"/>
  </r>
  <r>
    <s v="ORD03417"/>
    <d v="2025-09-25T00:00:00"/>
    <s v="CUST0465"/>
    <x v="0"/>
    <x v="6"/>
    <n v="1"/>
    <n v="0.15"/>
    <n v="297.5"/>
    <n v="91.59"/>
    <x v="0"/>
    <s v="Delivered"/>
    <n v="297.5"/>
    <n v="30.78655462184874"/>
    <s v="Profit"/>
    <s v="Ananya Pillai"/>
    <x v="2"/>
    <x v="2"/>
    <s v="Delhi"/>
    <s v="Delhi"/>
    <s v="2023-04-30"/>
    <s v="26-35"/>
    <n v="91.59"/>
  </r>
  <r>
    <s v="ORD03418"/>
    <d v="2026-06-18T00:00:00"/>
    <s v="CUST0347"/>
    <x v="1"/>
    <x v="1"/>
    <n v="1"/>
    <n v="0.1"/>
    <n v="1620"/>
    <n v="548.28"/>
    <x v="1"/>
    <s v="Delivered"/>
    <n v="1620"/>
    <n v="33.844444444444441"/>
    <s v="Profit"/>
    <s v="Shreya Iyer"/>
    <x v="0"/>
    <x v="0"/>
    <s v="Bengaluru"/>
    <s v="Karnataka"/>
    <s v="2023-08-21"/>
    <s v="36-50"/>
    <n v="548.28"/>
  </r>
  <r>
    <s v="ORD03419"/>
    <d v="2026-04-13T00:00:00"/>
    <s v="CUST0195"/>
    <x v="3"/>
    <x v="10"/>
    <n v="5"/>
    <n v="0.15"/>
    <n v="233750"/>
    <n v="11104.97"/>
    <x v="2"/>
    <s v="Delivered"/>
    <n v="46750"/>
    <n v="4.7507893048128338"/>
    <s v="Profit"/>
    <s v="Nisha Kulkarni"/>
    <x v="1"/>
    <x v="0"/>
    <s v="Coimbatore"/>
    <s v="Tamil Nadu"/>
    <s v="2024-04-23"/>
    <s v="18-25"/>
    <n v="2220.9940000000001"/>
  </r>
  <r>
    <s v="ORD03420"/>
    <d v="2026-06-29T00:00:00"/>
    <s v="CUST0209"/>
    <x v="2"/>
    <x v="9"/>
    <n v="3"/>
    <n v="0.1"/>
    <n v="24300"/>
    <n v="4980.75"/>
    <x v="3"/>
    <s v="Shipped"/>
    <n v="8100"/>
    <n v="20.496913580246911"/>
    <s v="Profit"/>
    <s v="Rahul Naidu"/>
    <x v="0"/>
    <x v="0"/>
    <s v="Hyderabad"/>
    <s v="Telangana"/>
    <s v="2023-02-09"/>
    <s v="36-50"/>
    <n v="1660.25"/>
  </r>
  <r>
    <s v="ORD03421"/>
    <d v="2026-08-14T00:00:00"/>
    <s v="CUST0400"/>
    <x v="3"/>
    <x v="4"/>
    <n v="4"/>
    <n v="0"/>
    <n v="72000"/>
    <n v="14000"/>
    <x v="0"/>
    <s v="Delivered"/>
    <n v="18000"/>
    <n v="19.44444444444445"/>
    <s v="Profit"/>
    <s v="Karthik Bose"/>
    <x v="0"/>
    <x v="0"/>
    <s v="Hyderabad"/>
    <s v="Telangana"/>
    <s v="2024-08-01"/>
    <s v="36-50"/>
    <n v="3500"/>
  </r>
  <r>
    <s v="ORD03422"/>
    <d v="2026-07-03T00:00:00"/>
    <s v="CUST0226"/>
    <x v="0"/>
    <x v="14"/>
    <n v="1"/>
    <n v="0.2"/>
    <n v="360"/>
    <n v="36.6"/>
    <x v="3"/>
    <s v="Delivered"/>
    <n v="360"/>
    <n v="10.16666666666667"/>
    <s v="Profit"/>
    <s v="Kavya Joshi"/>
    <x v="0"/>
    <x v="3"/>
    <s v="Guwahati"/>
    <s v="Assam"/>
    <s v="2025-04-27"/>
    <s v="26-35"/>
    <n v="36.6"/>
  </r>
  <r>
    <s v="ORD03423"/>
    <d v="2025-12-20T00:00:00"/>
    <s v="CUST0386"/>
    <x v="3"/>
    <x v="4"/>
    <n v="6"/>
    <n v="0.3"/>
    <n v="75600"/>
    <n v="-521.07000000000005"/>
    <x v="0"/>
    <s v="Shipped"/>
    <n v="12600"/>
    <n v="-0.68924603174603183"/>
    <s v="Loss"/>
    <s v="Pooja Kulkarni"/>
    <x v="0"/>
    <x v="0"/>
    <s v="Chennai"/>
    <s v="Tamil Nadu"/>
    <s v="2023-03-27"/>
    <s v="26-35"/>
    <n v="-86.845000000000013"/>
  </r>
  <r>
    <s v="ORD03424"/>
    <d v="2025-07-27T00:00:00"/>
    <s v="CUST0148"/>
    <x v="3"/>
    <x v="11"/>
    <n v="2"/>
    <n v="0.15"/>
    <n v="4250"/>
    <n v="-129.66999999999999"/>
    <x v="0"/>
    <s v="Returned"/>
    <n v="2125"/>
    <n v="-3.051058823529412"/>
    <s v="Loss"/>
    <s v="Sanjay Mishra"/>
    <x v="0"/>
    <x v="3"/>
    <s v="Bhubaneswar"/>
    <s v="Odisha"/>
    <s v="2023-09-04"/>
    <s v="51+"/>
    <n v="-64.834999999999994"/>
  </r>
  <r>
    <s v="ORD03425"/>
    <d v="2025-09-30T00:00:00"/>
    <s v="CUST0535"/>
    <x v="2"/>
    <x v="3"/>
    <n v="2"/>
    <n v="0.2"/>
    <n v="24000"/>
    <n v="3773.87"/>
    <x v="0"/>
    <s v="Delivered"/>
    <n v="12000"/>
    <n v="15.724458333333329"/>
    <s v="Profit"/>
    <s v="Sanjay Reddy"/>
    <x v="0"/>
    <x v="0"/>
    <s v="Bengaluru"/>
    <s v="Karnataka"/>
    <s v="2024-03-17"/>
    <s v="18-25"/>
    <n v="1886.9349999999999"/>
  </r>
  <r>
    <s v="ORD03426"/>
    <d v="2026-03-21T00:00:00"/>
    <s v="CUST0219"/>
    <x v="0"/>
    <x v="6"/>
    <n v="4"/>
    <n v="0.15"/>
    <n v="1190"/>
    <n v="353.6"/>
    <x v="2"/>
    <s v="Shipped"/>
    <n v="297.5"/>
    <n v="29.714285714285719"/>
    <s v="Profit"/>
    <s v="Rahul Menon"/>
    <x v="1"/>
    <x v="3"/>
    <s v="Patna"/>
    <s v="Bihar"/>
    <s v="2023-10-06"/>
    <s v="36-50"/>
    <n v="88.4"/>
  </r>
  <r>
    <s v="ORD03427"/>
    <d v="2025-08-21T00:00:00"/>
    <s v="CUST0551"/>
    <x v="2"/>
    <x v="3"/>
    <n v="1"/>
    <n v="0"/>
    <n v="15000"/>
    <n v="3500"/>
    <x v="2"/>
    <s v="Delivered"/>
    <n v="15000"/>
    <n v="23.333333333333329"/>
    <s v="Profit"/>
    <s v="Ishaan Gupta"/>
    <x v="0"/>
    <x v="3"/>
    <s v="Patna"/>
    <s v="Bihar"/>
    <s v="2025-08-09"/>
    <s v="26-35"/>
    <n v="3500"/>
  </r>
  <r>
    <s v="ORD03428"/>
    <d v="2026-07-04T00:00:00"/>
    <s v="CUST0031"/>
    <x v="2"/>
    <x v="9"/>
    <n v="2"/>
    <n v="0.1"/>
    <n v="16200"/>
    <n v="3747.26"/>
    <x v="3"/>
    <s v="Delivered"/>
    <n v="8100"/>
    <n v="23.131234567901231"/>
    <s v="Profit"/>
    <s v="Priya Mishra"/>
    <x v="2"/>
    <x v="0"/>
    <s v="Bengaluru"/>
    <s v="Karnataka"/>
    <s v="2023-05-09"/>
    <s v="51+"/>
    <n v="1873.63"/>
  </r>
  <r>
    <s v="ORD03429"/>
    <d v="2025-11-28T00:00:00"/>
    <s v="CUST0088"/>
    <x v="2"/>
    <x v="3"/>
    <n v="3"/>
    <n v="0.2"/>
    <n v="36000"/>
    <n v="4692.79"/>
    <x v="3"/>
    <s v="Delivered"/>
    <n v="12000"/>
    <n v="13.03552777777778"/>
    <s v="Profit"/>
    <s v="Sneha Verma"/>
    <x v="1"/>
    <x v="0"/>
    <s v="Chennai"/>
    <s v="Tamil Nadu"/>
    <s v="2023-06-12"/>
    <s v="26-35"/>
    <n v="1564.2633333333331"/>
  </r>
  <r>
    <s v="ORD03430"/>
    <d v="2025-11-06T00:00:00"/>
    <s v="CUST0518"/>
    <x v="3"/>
    <x v="4"/>
    <n v="6"/>
    <n v="0"/>
    <n v="108000"/>
    <n v="-9139.43"/>
    <x v="1"/>
    <s v="Returned"/>
    <n v="18000"/>
    <n v="-8.4624351851851856"/>
    <s v="Loss"/>
    <s v="Nisha Patel"/>
    <x v="2"/>
    <x v="2"/>
    <s v="Jaipur"/>
    <s v="Rajasthan"/>
    <s v="2025-04-19"/>
    <s v="36-50"/>
    <n v="-1523.238333333333"/>
  </r>
  <r>
    <s v="ORD03431"/>
    <d v="2025-10-20T00:00:00"/>
    <s v="CUST0293"/>
    <x v="2"/>
    <x v="2"/>
    <n v="3"/>
    <n v="0.1"/>
    <n v="35100"/>
    <n v="7406.89"/>
    <x v="2"/>
    <s v="Delivered"/>
    <n v="11700"/>
    <n v="21.102250712250719"/>
    <s v="Profit"/>
    <s v="Ishaan Singh"/>
    <x v="2"/>
    <x v="2"/>
    <s v="Delhi"/>
    <s v="Delhi"/>
    <s v="2023-03-09"/>
    <s v="26-35"/>
    <n v="2468.963333333334"/>
  </r>
  <r>
    <s v="ORD03432"/>
    <d v="2026-07-17T00:00:00"/>
    <s v="CUST0387"/>
    <x v="0"/>
    <x v="0"/>
    <n v="2"/>
    <n v="0.1"/>
    <n v="25200"/>
    <n v="-5408.27"/>
    <x v="3"/>
    <s v="Cancelled"/>
    <n v="12600"/>
    <n v="-21.461388888888891"/>
    <s v="Loss"/>
    <s v="Varun Kulkarni"/>
    <x v="0"/>
    <x v="1"/>
    <s v="Pune"/>
    <s v="Maharashtra"/>
    <s v="2024-04-15"/>
    <s v="18-25"/>
    <n v="-2704.1350000000002"/>
  </r>
  <r>
    <s v="ORD03433"/>
    <d v="2025-12-23T00:00:00"/>
    <s v="CUST0156"/>
    <x v="3"/>
    <x v="10"/>
    <n v="1"/>
    <n v="0"/>
    <n v="55000"/>
    <n v="9000"/>
    <x v="2"/>
    <s v="Delivered"/>
    <n v="55000"/>
    <n v="16.36363636363636"/>
    <s v="Profit"/>
    <s v="Meera Patel"/>
    <x v="2"/>
    <x v="0"/>
    <s v="Coimbatore"/>
    <s v="Tamil Nadu"/>
    <s v="2024-10-11"/>
    <s v="26-35"/>
    <n v="9000"/>
  </r>
  <r>
    <s v="ORD03434"/>
    <d v="2026-08-06T00:00:00"/>
    <s v="CUST0161"/>
    <x v="3"/>
    <x v="8"/>
    <n v="3"/>
    <n v="0"/>
    <n v="13500"/>
    <n v="4500"/>
    <x v="2"/>
    <s v="Delivered"/>
    <n v="4500"/>
    <n v="33.333333333333329"/>
    <s v="Profit"/>
    <s v="Rohan Reddy"/>
    <x v="2"/>
    <x v="0"/>
    <s v="Bengaluru"/>
    <s v="Karnataka"/>
    <s v="2025-07-10"/>
    <s v="51+"/>
    <n v="1500"/>
  </r>
  <r>
    <s v="ORD03435"/>
    <d v="2026-05-19T00:00:00"/>
    <s v="CUST0513"/>
    <x v="1"/>
    <x v="1"/>
    <n v="1"/>
    <n v="0"/>
    <n v="1800"/>
    <n v="650"/>
    <x v="3"/>
    <s v="Shipped"/>
    <n v="1800"/>
    <n v="36.111111111111107"/>
    <s v="Profit"/>
    <s v="Varun Das"/>
    <x v="1"/>
    <x v="2"/>
    <s v="Jaipur"/>
    <s v="Rajasthan"/>
    <s v="2025-05-03"/>
    <s v="18-25"/>
    <n v="650"/>
  </r>
  <r>
    <s v="ORD03436"/>
    <d v="2025-12-03T00:00:00"/>
    <s v="CUST0298"/>
    <x v="3"/>
    <x v="10"/>
    <n v="2"/>
    <n v="0.05"/>
    <n v="104500"/>
    <n v="14430.2"/>
    <x v="0"/>
    <s v="Delivered"/>
    <n v="52250"/>
    <n v="13.8088038277512"/>
    <s v="Profit"/>
    <s v="Diya Joshi"/>
    <x v="0"/>
    <x v="0"/>
    <s v="Chennai"/>
    <s v="Tamil Nadu"/>
    <s v="2025-01-10"/>
    <s v="18-25"/>
    <n v="7215.1"/>
  </r>
  <r>
    <s v="ORD03437"/>
    <d v="2025-11-14T00:00:00"/>
    <s v="CUST0520"/>
    <x v="2"/>
    <x v="2"/>
    <n v="3"/>
    <n v="0.2"/>
    <n v="31200"/>
    <n v="3701.97"/>
    <x v="1"/>
    <s v="Delivered"/>
    <n v="10400"/>
    <n v="11.86528846153846"/>
    <s v="Profit"/>
    <s v="Karthik Chopra"/>
    <x v="0"/>
    <x v="0"/>
    <s v="Chennai"/>
    <s v="Tamil Nadu"/>
    <s v="2023-12-09"/>
    <s v="26-35"/>
    <n v="1233.99"/>
  </r>
  <r>
    <s v="ORD03438"/>
    <d v="2025-10-19T00:00:00"/>
    <s v="CUST0149"/>
    <x v="3"/>
    <x v="4"/>
    <n v="2"/>
    <n v="0.05"/>
    <n v="34200"/>
    <n v="6150.25"/>
    <x v="3"/>
    <s v="Delivered"/>
    <n v="17100"/>
    <n v="17.98318713450292"/>
    <s v="Profit"/>
    <s v="Diya Pillai"/>
    <x v="1"/>
    <x v="3"/>
    <s v="Kolkata"/>
    <s v="West Bengal"/>
    <s v="2024-09-28"/>
    <s v="36-50"/>
    <n v="3075.125"/>
  </r>
  <r>
    <s v="ORD03439"/>
    <d v="2026-08-02T00:00:00"/>
    <s v="CUST0314"/>
    <x v="2"/>
    <x v="2"/>
    <n v="1"/>
    <n v="0"/>
    <n v="13000"/>
    <n v="3200"/>
    <x v="0"/>
    <s v="Delivered"/>
    <n v="13000"/>
    <n v="24.61538461538462"/>
    <s v="Profit"/>
    <s v="Aarav Mishra"/>
    <x v="0"/>
    <x v="0"/>
    <s v="Bengaluru"/>
    <s v="Karnataka"/>
    <s v="2025-10-30"/>
    <s v="26-35"/>
    <n v="3200"/>
  </r>
  <r>
    <s v="ORD03440"/>
    <d v="2025-11-17T00:00:00"/>
    <s v="CUST0324"/>
    <x v="3"/>
    <x v="8"/>
    <n v="3"/>
    <n v="0.1"/>
    <n v="12150"/>
    <n v="3531.81"/>
    <x v="0"/>
    <s v="Shipped"/>
    <n v="4050"/>
    <n v="29.068395061728399"/>
    <s v="Profit"/>
    <s v="Harini Sharma"/>
    <x v="2"/>
    <x v="2"/>
    <s v="Lucknow"/>
    <s v="Uttar Pradesh"/>
    <s v="2023-02-27"/>
    <s v="36-50"/>
    <n v="1177.27"/>
  </r>
  <r>
    <s v="ORD03441"/>
    <d v="2025-08-21T00:00:00"/>
    <s v="CUST0007"/>
    <x v="0"/>
    <x v="0"/>
    <n v="1"/>
    <n v="0.3"/>
    <n v="9800"/>
    <n v="-497.55"/>
    <x v="0"/>
    <s v="Delivered"/>
    <n v="9800"/>
    <n v="-5.077040816326531"/>
    <s v="Loss"/>
    <s v="Harini Khan"/>
    <x v="0"/>
    <x v="0"/>
    <s v="Bengaluru"/>
    <s v="Karnataka"/>
    <s v="2025-07-02"/>
    <s v="36-50"/>
    <n v="-497.55"/>
  </r>
  <r>
    <s v="ORD03442"/>
    <d v="2025-12-21T00:00:00"/>
    <s v="CUST0376"/>
    <x v="2"/>
    <x v="9"/>
    <n v="3"/>
    <n v="0.2"/>
    <n v="21600"/>
    <n v="3167.77"/>
    <x v="0"/>
    <s v="Shipped"/>
    <n v="7200"/>
    <n v="14.66560185185185"/>
    <s v="Profit"/>
    <s v="Ishaan Patel"/>
    <x v="0"/>
    <x v="3"/>
    <s v="Guwahati"/>
    <s v="Assam"/>
    <s v="2024-01-17"/>
    <s v="26-35"/>
    <n v="1055.9233333333329"/>
  </r>
  <r>
    <s v="ORD03443"/>
    <d v="2025-12-06T00:00:00"/>
    <s v="CUST0388"/>
    <x v="2"/>
    <x v="9"/>
    <n v="3"/>
    <n v="0.05"/>
    <n v="25650"/>
    <n v="5981.62"/>
    <x v="1"/>
    <s v="Shipped"/>
    <n v="8550"/>
    <n v="23.320155945419099"/>
    <s v="Profit"/>
    <s v="Shreya Kulkarni"/>
    <x v="0"/>
    <x v="0"/>
    <s v="Bengaluru"/>
    <s v="Karnataka"/>
    <s v="2025-08-28"/>
    <s v="36-50"/>
    <n v="1993.873333333333"/>
  </r>
  <r>
    <s v="ORD03444"/>
    <d v="2025-12-24T00:00:00"/>
    <s v="CUST0225"/>
    <x v="3"/>
    <x v="4"/>
    <n v="1"/>
    <n v="0"/>
    <n v="18000"/>
    <n v="3500"/>
    <x v="2"/>
    <s v="Shipped"/>
    <n v="18000"/>
    <n v="19.44444444444445"/>
    <s v="Profit"/>
    <s v="Meera Khan"/>
    <x v="2"/>
    <x v="0"/>
    <s v="Coimbatore"/>
    <s v="Tamil Nadu"/>
    <s v="2025-12-18"/>
    <s v="26-35"/>
    <n v="3500"/>
  </r>
  <r>
    <s v="ORD03445"/>
    <d v="2026-06-09T00:00:00"/>
    <s v="CUST0226"/>
    <x v="3"/>
    <x v="8"/>
    <n v="2"/>
    <n v="0"/>
    <n v="9000"/>
    <n v="3000"/>
    <x v="2"/>
    <s v="Delivered"/>
    <n v="4500"/>
    <n v="33.333333333333329"/>
    <s v="Profit"/>
    <s v="Kavya Joshi"/>
    <x v="0"/>
    <x v="3"/>
    <s v="Guwahati"/>
    <s v="Assam"/>
    <s v="2025-04-27"/>
    <s v="26-35"/>
    <n v="1500"/>
  </r>
  <r>
    <s v="ORD03446"/>
    <d v="2025-11-19T00:00:00"/>
    <s v="CUST0224"/>
    <x v="1"/>
    <x v="13"/>
    <n v="2"/>
    <n v="0.1"/>
    <n v="7560"/>
    <n v="1901.23"/>
    <x v="1"/>
    <s v="Shipped"/>
    <n v="3780"/>
    <n v="25.148544973544968"/>
    <s v="Profit"/>
    <s v="Varun Menon"/>
    <x v="1"/>
    <x v="1"/>
    <s v="Mumbai"/>
    <s v="Maharashtra"/>
    <s v="2023-02-06"/>
    <s v="18-25"/>
    <n v="950.61500000000001"/>
  </r>
  <r>
    <s v="ORD03447"/>
    <d v="2025-07-12T00:00:00"/>
    <s v="CUST0579"/>
    <x v="2"/>
    <x v="2"/>
    <n v="2"/>
    <n v="0.1"/>
    <n v="23400"/>
    <n v="4434.8900000000003"/>
    <x v="1"/>
    <s v="Delivered"/>
    <n v="11700"/>
    <n v="18.952521367521371"/>
    <s v="Profit"/>
    <s v="Manoj Reddy"/>
    <x v="1"/>
    <x v="2"/>
    <s v="Chandigarh"/>
    <s v="Chandigarh"/>
    <s v="2024-10-31"/>
    <s v="26-35"/>
    <n v="2217.4450000000002"/>
  </r>
  <r>
    <s v="ORD03448"/>
    <d v="2026-03-07T00:00:00"/>
    <s v="CUST0105"/>
    <x v="2"/>
    <x v="3"/>
    <n v="2"/>
    <n v="0.2"/>
    <n v="24000"/>
    <n v="-7864.8"/>
    <x v="0"/>
    <s v="Returned"/>
    <n v="12000"/>
    <n v="-32.770000000000003"/>
    <s v="Loss"/>
    <s v="Ishaan Pillai"/>
    <x v="1"/>
    <x v="1"/>
    <s v="Surat"/>
    <s v="Gujarat"/>
    <s v="2024-11-21"/>
    <s v="26-35"/>
    <n v="-3932.4"/>
  </r>
  <r>
    <s v="ORD03449"/>
    <d v="2025-12-07T00:00:00"/>
    <s v="CUST0589"/>
    <x v="1"/>
    <x v="12"/>
    <n v="3"/>
    <n v="0.05"/>
    <n v="3990"/>
    <n v="-1262.79"/>
    <x v="2"/>
    <s v="Cancelled"/>
    <n v="1330"/>
    <n v="-31.648872180451129"/>
    <s v="Loss"/>
    <s v="Sanjay Patel"/>
    <x v="2"/>
    <x v="2"/>
    <s v="Delhi"/>
    <s v="Delhi"/>
    <s v="2024-12-17"/>
    <s v="36-50"/>
    <n v="-420.93"/>
  </r>
  <r>
    <s v="ORD03450"/>
    <d v="2026-05-07T00:00:00"/>
    <s v="CUST0501"/>
    <x v="3"/>
    <x v="4"/>
    <n v="4"/>
    <n v="0"/>
    <n v="72000"/>
    <n v="14000"/>
    <x v="0"/>
    <s v="Delivered"/>
    <n v="18000"/>
    <n v="19.44444444444445"/>
    <s v="Profit"/>
    <s v="Rahul Pillai"/>
    <x v="1"/>
    <x v="0"/>
    <s v="Bengaluru"/>
    <s v="Karnataka"/>
    <s v="2024-03-13"/>
    <s v="36-50"/>
    <n v="3500"/>
  </r>
  <r>
    <s v="ORD03451"/>
    <d v="2026-04-23T00:00:00"/>
    <s v="CUST0308"/>
    <x v="2"/>
    <x v="2"/>
    <n v="2"/>
    <n v="0"/>
    <n v="26000"/>
    <n v="6400"/>
    <x v="1"/>
    <s v="Delivered"/>
    <n v="13000"/>
    <n v="24.61538461538462"/>
    <s v="Profit"/>
    <s v="Divya Naidu"/>
    <x v="2"/>
    <x v="0"/>
    <s v="Bengaluru"/>
    <s v="Karnataka"/>
    <s v="2025-12-11"/>
    <s v="51+"/>
    <n v="3200"/>
  </r>
  <r>
    <s v="ORD03452"/>
    <d v="2026-08-05T00:00:00"/>
    <s v="CUST0323"/>
    <x v="3"/>
    <x v="10"/>
    <n v="5"/>
    <n v="0.1"/>
    <n v="247500"/>
    <n v="31282.74"/>
    <x v="1"/>
    <s v="Delivered"/>
    <n v="49500"/>
    <n v="12.63949090909091"/>
    <s v="Profit"/>
    <s v="Manoj Menon"/>
    <x v="2"/>
    <x v="3"/>
    <s v="Patna"/>
    <s v="Bihar"/>
    <s v="2023-04-08"/>
    <s v="36-50"/>
    <n v="6256.5480000000007"/>
  </r>
  <r>
    <s v="ORD03453"/>
    <d v="2026-02-16T00:00:00"/>
    <s v="CUST0372"/>
    <x v="1"/>
    <x v="13"/>
    <n v="1"/>
    <n v="0.3"/>
    <n v="2940"/>
    <n v="-809.95"/>
    <x v="2"/>
    <s v="Cancelled"/>
    <n v="2940"/>
    <n v="-27.549319727891159"/>
    <s v="Loss"/>
    <s v="Akash Das"/>
    <x v="1"/>
    <x v="0"/>
    <s v="Bengaluru"/>
    <s v="Karnataka"/>
    <s v="2024-08-19"/>
    <s v="36-50"/>
    <n v="-809.95"/>
  </r>
  <r>
    <s v="ORD03454"/>
    <d v="2026-05-07T00:00:00"/>
    <s v="CUST0287"/>
    <x v="1"/>
    <x v="12"/>
    <n v="3"/>
    <n v="0.1"/>
    <n v="3780"/>
    <n v="1184.5899999999999"/>
    <x v="3"/>
    <s v="Delivered"/>
    <n v="1260"/>
    <n v="31.338359788359789"/>
    <s v="Profit"/>
    <s v="Akash Pillai"/>
    <x v="1"/>
    <x v="0"/>
    <s v="Chennai"/>
    <s v="Tamil Nadu"/>
    <s v="2023-07-20"/>
    <s v="18-25"/>
    <n v="394.86333333333329"/>
  </r>
  <r>
    <s v="ORD03455"/>
    <d v="2025-08-12T00:00:00"/>
    <s v="CUST0548"/>
    <x v="3"/>
    <x v="8"/>
    <n v="4"/>
    <n v="0.05"/>
    <n v="17100"/>
    <n v="5426.93"/>
    <x v="2"/>
    <s v="Delivered"/>
    <n v="4275"/>
    <n v="31.736432748538011"/>
    <s v="Profit"/>
    <s v="Diya Mishra"/>
    <x v="1"/>
    <x v="2"/>
    <s v="Chandigarh"/>
    <s v="Chandigarh"/>
    <s v="2023-12-31"/>
    <s v="36-50"/>
    <n v="1356.7325000000001"/>
  </r>
  <r>
    <s v="ORD03456"/>
    <d v="2025-11-16T00:00:00"/>
    <s v="CUST0225"/>
    <x v="2"/>
    <x v="3"/>
    <n v="4"/>
    <n v="0.05"/>
    <n v="57000"/>
    <n v="11566.01"/>
    <x v="3"/>
    <s v="Delivered"/>
    <n v="14250"/>
    <n v="20.291245614035091"/>
    <s v="Profit"/>
    <s v="Meera Khan"/>
    <x v="2"/>
    <x v="0"/>
    <s v="Coimbatore"/>
    <s v="Tamil Nadu"/>
    <s v="2025-12-18"/>
    <s v="26-35"/>
    <n v="2891.5025000000001"/>
  </r>
  <r>
    <s v="ORD03457"/>
    <d v="2026-01-03T00:00:00"/>
    <s v="CUST0413"/>
    <x v="1"/>
    <x v="1"/>
    <n v="5"/>
    <n v="0.1"/>
    <n v="8100"/>
    <n v="2726.23"/>
    <x v="0"/>
    <s v="Delivered"/>
    <n v="1620"/>
    <n v="33.657160493827163"/>
    <s v="Profit"/>
    <s v="Sanjay Bose"/>
    <x v="0"/>
    <x v="0"/>
    <s v="Chennai"/>
    <s v="Tamil Nadu"/>
    <s v="2023-05-01"/>
    <s v="26-35"/>
    <n v="545.24599999999998"/>
  </r>
  <r>
    <s v="ORD03458"/>
    <d v="2025-11-04T00:00:00"/>
    <s v="CUST0088"/>
    <x v="2"/>
    <x v="5"/>
    <n v="3"/>
    <n v="0"/>
    <n v="33000"/>
    <n v="7800"/>
    <x v="1"/>
    <s v="Delivered"/>
    <n v="11000"/>
    <n v="23.63636363636364"/>
    <s v="Profit"/>
    <s v="Sneha Verma"/>
    <x v="1"/>
    <x v="0"/>
    <s v="Chennai"/>
    <s v="Tamil Nadu"/>
    <s v="2023-06-12"/>
    <s v="26-35"/>
    <n v="2600"/>
  </r>
  <r>
    <s v="ORD03459"/>
    <d v="2026-07-16T00:00:00"/>
    <s v="CUST0508"/>
    <x v="0"/>
    <x v="0"/>
    <n v="5"/>
    <n v="0.1"/>
    <n v="63000"/>
    <n v="9886.58"/>
    <x v="3"/>
    <s v="Delivered"/>
    <n v="12600"/>
    <n v="15.692984126984131"/>
    <s v="Profit"/>
    <s v="Karthik Naidu"/>
    <x v="0"/>
    <x v="3"/>
    <s v="Guwahati"/>
    <s v="Assam"/>
    <s v="2024-10-11"/>
    <s v="18-25"/>
    <n v="1977.316"/>
  </r>
  <r>
    <s v="ORD03460"/>
    <d v="2025-08-21T00:00:00"/>
    <s v="CUST0415"/>
    <x v="1"/>
    <x v="13"/>
    <n v="2"/>
    <n v="0.1"/>
    <n v="7560"/>
    <n v="-2087.88"/>
    <x v="3"/>
    <s v="Returned"/>
    <n v="3780"/>
    <n v="-27.617460317460321"/>
    <s v="Loss"/>
    <s v="Manoj Bose"/>
    <x v="1"/>
    <x v="0"/>
    <s v="Bengaluru"/>
    <s v="Karnataka"/>
    <s v="2024-07-04"/>
    <s v="36-50"/>
    <n v="-1043.94"/>
  </r>
  <r>
    <s v="ORD03461"/>
    <d v="2026-07-11T00:00:00"/>
    <s v="CUST0515"/>
    <x v="2"/>
    <x v="3"/>
    <n v="1"/>
    <n v="0.1"/>
    <n v="13500"/>
    <n v="2720.55"/>
    <x v="3"/>
    <s v="Delivered"/>
    <n v="13500"/>
    <n v="20.152222222222221"/>
    <s v="Profit"/>
    <s v="Priya Rao"/>
    <x v="2"/>
    <x v="0"/>
    <s v="Chennai"/>
    <s v="Tamil Nadu"/>
    <s v="2025-06-05"/>
    <s v="18-25"/>
    <n v="2720.55"/>
  </r>
  <r>
    <s v="ORD03462"/>
    <d v="2025-10-24T00:00:00"/>
    <s v="CUST0018"/>
    <x v="1"/>
    <x v="1"/>
    <n v="2"/>
    <n v="0.1"/>
    <n v="3240"/>
    <n v="1121.43"/>
    <x v="3"/>
    <s v="Shipped"/>
    <n v="1620"/>
    <n v="34.612037037037041"/>
    <s v="Profit"/>
    <s v="Aditya Mehta"/>
    <x v="0"/>
    <x v="0"/>
    <s v="Hyderabad"/>
    <s v="Telangana"/>
    <s v="2025-01-15"/>
    <s v="51+"/>
    <n v="560.71500000000003"/>
  </r>
  <r>
    <s v="ORD03463"/>
    <d v="2026-04-05T00:00:00"/>
    <s v="CUST0474"/>
    <x v="2"/>
    <x v="5"/>
    <n v="1"/>
    <n v="0.1"/>
    <n v="9900"/>
    <n v="1736.45"/>
    <x v="3"/>
    <s v="Shipped"/>
    <n v="9900"/>
    <n v="17.53989898989899"/>
    <s v="Profit"/>
    <s v="Meera Chopra"/>
    <x v="2"/>
    <x v="0"/>
    <s v="Hyderabad"/>
    <s v="Telangana"/>
    <s v="2023-02-16"/>
    <s v="36-50"/>
    <n v="1736.45"/>
  </r>
  <r>
    <s v="ORD03464"/>
    <d v="2025-08-10T00:00:00"/>
    <s v="CUST0509"/>
    <x v="1"/>
    <x v="15"/>
    <n v="4"/>
    <n v="0.1"/>
    <n v="7920"/>
    <n v="-3159.12"/>
    <x v="3"/>
    <s v="Returned"/>
    <n v="1980"/>
    <n v="-39.88787878787879"/>
    <s v="Loss"/>
    <s v="Akash Das"/>
    <x v="2"/>
    <x v="3"/>
    <s v="Patna"/>
    <s v="Bihar"/>
    <s v="2024-11-26"/>
    <s v="36-50"/>
    <n v="-789.78"/>
  </r>
  <r>
    <s v="ORD03465"/>
    <d v="2025-07-21T00:00:00"/>
    <s v="CUST0278"/>
    <x v="3"/>
    <x v="4"/>
    <n v="2"/>
    <n v="0.05"/>
    <n v="34200"/>
    <n v="5912.58"/>
    <x v="0"/>
    <s v="Delivered"/>
    <n v="17100"/>
    <n v="17.288245614035091"/>
    <s v="Profit"/>
    <s v="Sneha Mehta"/>
    <x v="1"/>
    <x v="3"/>
    <s v="Guwahati"/>
    <s v="Assam"/>
    <s v="2025-03-21"/>
    <s v="26-35"/>
    <n v="2956.29"/>
  </r>
  <r>
    <s v="ORD03466"/>
    <d v="2025-09-23T00:00:00"/>
    <s v="CUST0340"/>
    <x v="0"/>
    <x v="6"/>
    <n v="1"/>
    <n v="0"/>
    <n v="350"/>
    <n v="120"/>
    <x v="2"/>
    <s v="Delivered"/>
    <n v="350"/>
    <n v="34.285714285714278"/>
    <s v="Profit"/>
    <s v="Lakshmi Pillai"/>
    <x v="1"/>
    <x v="0"/>
    <s v="Chennai"/>
    <s v="Tamil Nadu"/>
    <s v="2023-11-04"/>
    <s v="18-25"/>
    <n v="120"/>
  </r>
  <r>
    <s v="ORD03467"/>
    <d v="2025-08-17T00:00:00"/>
    <s v="CUST0435"/>
    <x v="1"/>
    <x v="13"/>
    <n v="5"/>
    <n v="0.05"/>
    <n v="19950"/>
    <n v="5140.41"/>
    <x v="1"/>
    <s v="Delivered"/>
    <n v="3990"/>
    <n v="25.766466165413529"/>
    <s v="Profit"/>
    <s v="Lakshmi Menon"/>
    <x v="0"/>
    <x v="0"/>
    <s v="Chennai"/>
    <s v="Tamil Nadu"/>
    <s v="2025-04-17"/>
    <s v="26-35"/>
    <n v="1028.0820000000001"/>
  </r>
  <r>
    <s v="ORD03468"/>
    <d v="2025-07-23T00:00:00"/>
    <s v="CUST0589"/>
    <x v="2"/>
    <x v="3"/>
    <n v="2"/>
    <n v="0.1"/>
    <n v="27000"/>
    <n v="4920.12"/>
    <x v="1"/>
    <s v="Delivered"/>
    <n v="13500"/>
    <n v="18.222666666666669"/>
    <s v="Profit"/>
    <s v="Sanjay Patel"/>
    <x v="2"/>
    <x v="2"/>
    <s v="Delhi"/>
    <s v="Delhi"/>
    <s v="2024-12-17"/>
    <s v="36-50"/>
    <n v="2460.06"/>
  </r>
  <r>
    <s v="ORD03469"/>
    <d v="2025-09-22T00:00:00"/>
    <s v="CUST0580"/>
    <x v="3"/>
    <x v="11"/>
    <n v="5"/>
    <n v="0.1"/>
    <n v="11250"/>
    <n v="3298.01"/>
    <x v="0"/>
    <s v="Delivered"/>
    <n v="2250"/>
    <n v="29.315644444444441"/>
    <s v="Profit"/>
    <s v="Sneha Iyer"/>
    <x v="2"/>
    <x v="1"/>
    <s v="Pune"/>
    <s v="Maharashtra"/>
    <s v="2023-10-12"/>
    <s v="36-50"/>
    <n v="659.60200000000009"/>
  </r>
  <r>
    <s v="ORD03470"/>
    <d v="2025-08-26T00:00:00"/>
    <s v="CUST0083"/>
    <x v="3"/>
    <x v="10"/>
    <n v="4"/>
    <n v="0.05"/>
    <n v="209000"/>
    <n v="26917.77"/>
    <x v="1"/>
    <s v="Delivered"/>
    <n v="52250"/>
    <n v="12.879315789473679"/>
    <s v="Profit"/>
    <s v="Nisha Singh"/>
    <x v="0"/>
    <x v="0"/>
    <s v="Bengaluru"/>
    <s v="Karnataka"/>
    <s v="2024-07-24"/>
    <s v="26-35"/>
    <n v="6729.4425000000001"/>
  </r>
  <r>
    <s v="ORD03471"/>
    <d v="2025-11-14T00:00:00"/>
    <s v="CUST0585"/>
    <x v="2"/>
    <x v="9"/>
    <n v="5"/>
    <n v="0.1"/>
    <n v="40500"/>
    <n v="8924.9500000000007"/>
    <x v="0"/>
    <s v="Delivered"/>
    <n v="8100"/>
    <n v="22.03691358024691"/>
    <s v="Profit"/>
    <s v="Diya Reddy"/>
    <x v="1"/>
    <x v="0"/>
    <s v="Bengaluru"/>
    <s v="Karnataka"/>
    <s v="2024-03-03"/>
    <s v="51+"/>
    <n v="1784.99"/>
  </r>
  <r>
    <s v="ORD03472"/>
    <d v="2025-10-18T00:00:00"/>
    <s v="CUST0510"/>
    <x v="0"/>
    <x v="7"/>
    <n v="3"/>
    <n v="0.1"/>
    <n v="2430"/>
    <n v="-327.62"/>
    <x v="2"/>
    <s v="Returned"/>
    <n v="810"/>
    <n v="-13.482304526748971"/>
    <s v="Loss"/>
    <s v="Vikram Singh"/>
    <x v="1"/>
    <x v="0"/>
    <s v="Coimbatore"/>
    <s v="Tamil Nadu"/>
    <s v="2024-08-20"/>
    <s v="36-50"/>
    <n v="-109.20666666666671"/>
  </r>
  <r>
    <s v="ORD03473"/>
    <d v="2025-08-26T00:00:00"/>
    <s v="CUST0421"/>
    <x v="3"/>
    <x v="4"/>
    <n v="4"/>
    <n v="0.1"/>
    <n v="64800"/>
    <n v="9373.7000000000007"/>
    <x v="2"/>
    <s v="Delivered"/>
    <n v="16200"/>
    <n v="14.465586419753089"/>
    <s v="Profit"/>
    <s v="Sneha Iyer"/>
    <x v="0"/>
    <x v="3"/>
    <s v="Guwahati"/>
    <s v="Assam"/>
    <s v="2024-05-14"/>
    <s v="51+"/>
    <n v="2343.4250000000002"/>
  </r>
  <r>
    <s v="ORD03474"/>
    <d v="2026-06-21T00:00:00"/>
    <s v="CUST0564"/>
    <x v="2"/>
    <x v="3"/>
    <n v="3"/>
    <n v="0"/>
    <n v="45000"/>
    <n v="10500"/>
    <x v="0"/>
    <s v="Delivered"/>
    <n v="15000"/>
    <n v="23.333333333333329"/>
    <s v="Profit"/>
    <s v="Aditya Joshi"/>
    <x v="2"/>
    <x v="3"/>
    <s v="Guwahati"/>
    <s v="Assam"/>
    <s v="2025-12-19"/>
    <s v="51+"/>
    <n v="3500"/>
  </r>
  <r>
    <s v="ORD03475"/>
    <d v="2026-03-16T00:00:00"/>
    <s v="CUST0468"/>
    <x v="3"/>
    <x v="11"/>
    <n v="2"/>
    <n v="0"/>
    <n v="5000"/>
    <n v="1600"/>
    <x v="0"/>
    <s v="Delivered"/>
    <n v="2500"/>
    <n v="32"/>
    <s v="Profit"/>
    <s v="Lakshmi Mehta"/>
    <x v="1"/>
    <x v="0"/>
    <s v="Chennai"/>
    <s v="Tamil Nadu"/>
    <s v="2023-03-02"/>
    <s v="26-35"/>
    <n v="800"/>
  </r>
  <r>
    <s v="ORD03476"/>
    <d v="2026-01-14T00:00:00"/>
    <s v="CUST0581"/>
    <x v="1"/>
    <x v="15"/>
    <n v="1"/>
    <n v="0"/>
    <n v="2200"/>
    <n v="-308.88"/>
    <x v="2"/>
    <s v="Returned"/>
    <n v="2200"/>
    <n v="-14.04"/>
    <s v="Loss"/>
    <s v="Aditya Naidu"/>
    <x v="0"/>
    <x v="0"/>
    <s v="Coimbatore"/>
    <s v="Tamil Nadu"/>
    <s v="2024-10-03"/>
    <s v="18-25"/>
    <n v="-308.88"/>
  </r>
  <r>
    <s v="ORD03477"/>
    <d v="2025-12-21T00:00:00"/>
    <s v="CUST0083"/>
    <x v="2"/>
    <x v="2"/>
    <n v="2"/>
    <n v="0"/>
    <n v="26000"/>
    <n v="6400"/>
    <x v="3"/>
    <s v="Shipped"/>
    <n v="13000"/>
    <n v="24.61538461538462"/>
    <s v="Profit"/>
    <s v="Nisha Singh"/>
    <x v="0"/>
    <x v="0"/>
    <s v="Bengaluru"/>
    <s v="Karnataka"/>
    <s v="2024-07-24"/>
    <s v="26-35"/>
    <n v="3200"/>
  </r>
  <r>
    <s v="ORD03478"/>
    <d v="2025-12-12T00:00:00"/>
    <s v="CUST0098"/>
    <x v="2"/>
    <x v="5"/>
    <n v="4"/>
    <n v="0.1"/>
    <n v="39600"/>
    <n v="7564.53"/>
    <x v="0"/>
    <s v="Delivered"/>
    <n v="9900"/>
    <n v="19.102348484848481"/>
    <s v="Profit"/>
    <s v="Diya Reddy"/>
    <x v="2"/>
    <x v="2"/>
    <s v="Chandigarh"/>
    <s v="Chandigarh"/>
    <s v="2024-10-06"/>
    <s v="26-35"/>
    <n v="1891.1324999999999"/>
  </r>
  <r>
    <s v="ORD03479"/>
    <d v="2026-04-19T00:00:00"/>
    <s v="CUST0401"/>
    <x v="2"/>
    <x v="5"/>
    <n v="2"/>
    <n v="0.1"/>
    <n v="19800"/>
    <n v="3924.22"/>
    <x v="3"/>
    <s v="Delivered"/>
    <n v="9900"/>
    <n v="19.819292929292931"/>
    <s v="Profit"/>
    <s v="Ananya Nair"/>
    <x v="0"/>
    <x v="0"/>
    <s v="Hyderabad"/>
    <s v="Telangana"/>
    <s v="2024-04-08"/>
    <s v="26-35"/>
    <n v="1962.11"/>
  </r>
  <r>
    <s v="ORD03480"/>
    <d v="2025-12-20T00:00:00"/>
    <s v="CUST0433"/>
    <x v="0"/>
    <x v="7"/>
    <n v="3"/>
    <n v="0.2"/>
    <n v="2160"/>
    <n v="-1266.1099999999999"/>
    <x v="1"/>
    <s v="Cancelled"/>
    <n v="720"/>
    <n v="-58.616203703703697"/>
    <s v="Loss"/>
    <s v="Aarav Menon"/>
    <x v="0"/>
    <x v="2"/>
    <s v="Jaipur"/>
    <s v="Rajasthan"/>
    <s v="2024-01-23"/>
    <s v="26-35"/>
    <n v="-422.03666666666658"/>
  </r>
  <r>
    <s v="ORD03481"/>
    <d v="2025-11-18T00:00:00"/>
    <s v="CUST0415"/>
    <x v="1"/>
    <x v="12"/>
    <n v="2"/>
    <n v="0.15"/>
    <n v="2380"/>
    <n v="784.78"/>
    <x v="3"/>
    <s v="Shipped"/>
    <n v="1190"/>
    <n v="32.973949579831931"/>
    <s v="Profit"/>
    <s v="Manoj Bose"/>
    <x v="1"/>
    <x v="0"/>
    <s v="Bengaluru"/>
    <s v="Karnataka"/>
    <s v="2024-07-04"/>
    <s v="36-50"/>
    <n v="392.39"/>
  </r>
  <r>
    <s v="ORD03482"/>
    <d v="2026-03-11T00:00:00"/>
    <s v="CUST0510"/>
    <x v="0"/>
    <x v="7"/>
    <n v="1"/>
    <n v="0.2"/>
    <n v="720"/>
    <n v="162.55000000000001"/>
    <x v="1"/>
    <s v="Delivered"/>
    <n v="720"/>
    <n v="22.576388888888889"/>
    <s v="Profit"/>
    <s v="Vikram Singh"/>
    <x v="1"/>
    <x v="0"/>
    <s v="Coimbatore"/>
    <s v="Tamil Nadu"/>
    <s v="2024-08-20"/>
    <s v="36-50"/>
    <n v="162.55000000000001"/>
  </r>
  <r>
    <s v="ORD03483"/>
    <d v="2025-07-04T00:00:00"/>
    <s v="CUST0027"/>
    <x v="3"/>
    <x v="10"/>
    <n v="4"/>
    <n v="0.05"/>
    <n v="209000"/>
    <n v="-22567.37"/>
    <x v="0"/>
    <s v="Cancelled"/>
    <n v="52250"/>
    <n v="-10.797784688995209"/>
    <s v="Loss"/>
    <s v="Sanjay Gupta"/>
    <x v="0"/>
    <x v="2"/>
    <s v="Delhi"/>
    <s v="Delhi"/>
    <s v="2024-08-19"/>
    <s v="36-50"/>
    <n v="-5641.8424999999997"/>
  </r>
  <r>
    <s v="ORD03484"/>
    <d v="2026-02-25T00:00:00"/>
    <s v="CUST0425"/>
    <x v="2"/>
    <x v="5"/>
    <n v="10"/>
    <n v="0"/>
    <n v="110000"/>
    <n v="26000"/>
    <x v="2"/>
    <s v="Shipped"/>
    <n v="11000"/>
    <n v="23.63636363636364"/>
    <s v="Profit"/>
    <s v="Lakshmi Mishra"/>
    <x v="0"/>
    <x v="3"/>
    <s v="Bhubaneswar"/>
    <s v="Odisha"/>
    <s v="2024-08-12"/>
    <s v="26-35"/>
    <n v="2600"/>
  </r>
  <r>
    <s v="ORD03485"/>
    <d v="2025-12-26T00:00:00"/>
    <s v="CUST0597"/>
    <x v="1"/>
    <x v="1"/>
    <n v="2"/>
    <n v="0.15"/>
    <n v="3060"/>
    <n v="939.39"/>
    <x v="3"/>
    <s v="Delivered"/>
    <n v="1530"/>
    <n v="30.699019607843141"/>
    <s v="Profit"/>
    <s v="Harini Menon"/>
    <x v="1"/>
    <x v="0"/>
    <s v="Hyderabad"/>
    <s v="Telangana"/>
    <s v="2025-05-09"/>
    <s v="51+"/>
    <n v="469.69499999999999"/>
  </r>
  <r>
    <s v="ORD03486"/>
    <d v="2026-01-12T00:00:00"/>
    <s v="CUST0316"/>
    <x v="3"/>
    <x v="8"/>
    <n v="1"/>
    <n v="0.2"/>
    <n v="3600"/>
    <n v="892.81"/>
    <x v="0"/>
    <s v="Delivered"/>
    <n v="3600"/>
    <n v="24.800277777777779"/>
    <s v="Profit"/>
    <s v="Sneha Iyer"/>
    <x v="2"/>
    <x v="3"/>
    <s v="Guwahati"/>
    <s v="Assam"/>
    <s v="2024-04-21"/>
    <s v="26-35"/>
    <n v="892.81"/>
  </r>
  <r>
    <s v="ORD03487"/>
    <d v="2026-01-09T00:00:00"/>
    <s v="CUST0273"/>
    <x v="1"/>
    <x v="12"/>
    <n v="2"/>
    <n v="0.1"/>
    <n v="2520"/>
    <n v="779.33"/>
    <x v="3"/>
    <s v="Delivered"/>
    <n v="1260"/>
    <n v="30.925793650793651"/>
    <s v="Profit"/>
    <s v="Akash Verma"/>
    <x v="1"/>
    <x v="0"/>
    <s v="Chennai"/>
    <s v="Tamil Nadu"/>
    <s v="2024-07-10"/>
    <s v="51+"/>
    <n v="389.66500000000002"/>
  </r>
  <r>
    <s v="ORD03488"/>
    <d v="2026-03-28T00:00:00"/>
    <s v="CUST0507"/>
    <x v="2"/>
    <x v="2"/>
    <n v="3"/>
    <n v="0.1"/>
    <n v="35100"/>
    <n v="7138.44"/>
    <x v="3"/>
    <s v="Delivered"/>
    <n v="11700"/>
    <n v="20.337435897435899"/>
    <s v="Profit"/>
    <s v="Aarav Naidu"/>
    <x v="0"/>
    <x v="2"/>
    <s v="Jaipur"/>
    <s v="Rajasthan"/>
    <s v="2023-05-03"/>
    <s v="36-50"/>
    <n v="2379.48"/>
  </r>
  <r>
    <s v="ORD03489"/>
    <d v="2026-01-04T00:00:00"/>
    <s v="CUST0287"/>
    <x v="0"/>
    <x v="14"/>
    <n v="1"/>
    <n v="0.15"/>
    <n v="382.5"/>
    <n v="53.62"/>
    <x v="2"/>
    <s v="Delivered"/>
    <n v="382.5"/>
    <n v="14.018300653594769"/>
    <s v="Profit"/>
    <s v="Akash Pillai"/>
    <x v="1"/>
    <x v="0"/>
    <s v="Chennai"/>
    <s v="Tamil Nadu"/>
    <s v="2023-07-20"/>
    <s v="18-25"/>
    <n v="53.62"/>
  </r>
  <r>
    <s v="ORD03490"/>
    <d v="2025-12-08T00:00:00"/>
    <s v="CUST0315"/>
    <x v="0"/>
    <x v="6"/>
    <n v="1"/>
    <n v="0.3"/>
    <n v="245"/>
    <n v="46.66"/>
    <x v="1"/>
    <s v="Delivered"/>
    <n v="245"/>
    <n v="19.044897959183668"/>
    <s v="Profit"/>
    <s v="Harini Verma"/>
    <x v="0"/>
    <x v="0"/>
    <s v="Coimbatore"/>
    <s v="Tamil Nadu"/>
    <s v="2024-10-22"/>
    <s v="18-25"/>
    <n v="46.66"/>
  </r>
  <r>
    <s v="ORD03491"/>
    <d v="2025-12-08T00:00:00"/>
    <s v="CUST0281"/>
    <x v="3"/>
    <x v="4"/>
    <n v="3"/>
    <n v="0.1"/>
    <n v="48600"/>
    <n v="6897.7"/>
    <x v="0"/>
    <s v="Delivered"/>
    <n v="16200"/>
    <n v="14.19279835390946"/>
    <s v="Profit"/>
    <s v="Divya Reddy"/>
    <x v="0"/>
    <x v="0"/>
    <s v="Coimbatore"/>
    <s v="Tamil Nadu"/>
    <s v="2025-04-27"/>
    <s v="36-50"/>
    <n v="2299.2333333333331"/>
  </r>
  <r>
    <s v="ORD03492"/>
    <d v="2025-08-19T00:00:00"/>
    <s v="CUST0121"/>
    <x v="2"/>
    <x v="3"/>
    <n v="1"/>
    <n v="0"/>
    <n v="15000"/>
    <n v="3500"/>
    <x v="1"/>
    <s v="Delivered"/>
    <n v="15000"/>
    <n v="23.333333333333329"/>
    <s v="Profit"/>
    <s v="Meera Menon"/>
    <x v="0"/>
    <x v="0"/>
    <s v="Bengaluru"/>
    <s v="Karnataka"/>
    <s v="2023-11-16"/>
    <s v="26-35"/>
    <n v="3500"/>
  </r>
  <r>
    <s v="ORD03493"/>
    <d v="2025-11-23T00:00:00"/>
    <s v="CUST0007"/>
    <x v="3"/>
    <x v="8"/>
    <n v="1"/>
    <n v="0"/>
    <n v="4500"/>
    <n v="1500"/>
    <x v="2"/>
    <s v="Delivered"/>
    <n v="4500"/>
    <n v="33.333333333333329"/>
    <s v="Profit"/>
    <s v="Harini Khan"/>
    <x v="0"/>
    <x v="0"/>
    <s v="Bengaluru"/>
    <s v="Karnataka"/>
    <s v="2025-07-02"/>
    <s v="36-50"/>
    <n v="1500"/>
  </r>
  <r>
    <s v="ORD03494"/>
    <d v="2025-09-13T00:00:00"/>
    <s v="CUST0340"/>
    <x v="0"/>
    <x v="7"/>
    <n v="1"/>
    <n v="0.1"/>
    <n v="810"/>
    <n v="-7.89"/>
    <x v="3"/>
    <s v="Returned"/>
    <n v="810"/>
    <n v="-0.97407407407407409"/>
    <s v="Loss"/>
    <s v="Lakshmi Pillai"/>
    <x v="1"/>
    <x v="0"/>
    <s v="Chennai"/>
    <s v="Tamil Nadu"/>
    <s v="2023-11-04"/>
    <s v="18-25"/>
    <n v="-7.89"/>
  </r>
  <r>
    <s v="ORD03495"/>
    <d v="2025-07-14T00:00:00"/>
    <s v="CUST0031"/>
    <x v="3"/>
    <x v="11"/>
    <n v="2"/>
    <n v="0"/>
    <n v="5000"/>
    <n v="1600"/>
    <x v="3"/>
    <s v="Delivered"/>
    <n v="2500"/>
    <n v="32"/>
    <s v="Profit"/>
    <s v="Priya Mishra"/>
    <x v="2"/>
    <x v="0"/>
    <s v="Bengaluru"/>
    <s v="Karnataka"/>
    <s v="2023-05-09"/>
    <s v="51+"/>
    <n v="800"/>
  </r>
  <r>
    <s v="ORD03496"/>
    <d v="2025-10-12T00:00:00"/>
    <s v="CUST0547"/>
    <x v="2"/>
    <x v="2"/>
    <n v="1"/>
    <n v="0.2"/>
    <n v="10400"/>
    <n v="1101.3699999999999"/>
    <x v="2"/>
    <s v="Delivered"/>
    <n v="10400"/>
    <n v="10.590096153846151"/>
    <s v="Profit"/>
    <s v="Priya Naidu"/>
    <x v="0"/>
    <x v="2"/>
    <s v="Lucknow"/>
    <s v="Uttar Pradesh"/>
    <s v="2024-03-14"/>
    <s v="51+"/>
    <n v="1101.3699999999999"/>
  </r>
  <r>
    <s v="ORD03497"/>
    <d v="2026-07-07T00:00:00"/>
    <s v="CUST0308"/>
    <x v="3"/>
    <x v="11"/>
    <n v="3"/>
    <n v="0.1"/>
    <n v="6750"/>
    <n v="-1970.92"/>
    <x v="2"/>
    <s v="Returned"/>
    <n v="2250"/>
    <n v="-29.198814814814821"/>
    <s v="Loss"/>
    <s v="Divya Naidu"/>
    <x v="2"/>
    <x v="0"/>
    <s v="Bengaluru"/>
    <s v="Karnataka"/>
    <s v="2025-12-11"/>
    <s v="51+"/>
    <n v="-656.97333333333336"/>
  </r>
  <r>
    <s v="ORD03498"/>
    <d v="2026-08-16T00:00:00"/>
    <s v="CUST0272"/>
    <x v="2"/>
    <x v="3"/>
    <n v="5"/>
    <n v="0.1"/>
    <n v="67500"/>
    <n v="12772.73"/>
    <x v="1"/>
    <s v="Delivered"/>
    <n v="13500"/>
    <n v="18.92256296296296"/>
    <s v="Profit"/>
    <s v="Ishaan Bose"/>
    <x v="1"/>
    <x v="3"/>
    <s v="Patna"/>
    <s v="Bihar"/>
    <s v="2025-01-04"/>
    <s v="51+"/>
    <n v="2554.5459999999998"/>
  </r>
  <r>
    <s v="ORD03499"/>
    <d v="2025-12-14T00:00:00"/>
    <s v="CUST0473"/>
    <x v="2"/>
    <x v="9"/>
    <n v="5"/>
    <n v="0.05"/>
    <n v="42750"/>
    <n v="9690.9699999999993"/>
    <x v="1"/>
    <s v="Delivered"/>
    <n v="8550"/>
    <n v="22.668935672514621"/>
    <s v="Profit"/>
    <s v="Ananya Rao"/>
    <x v="2"/>
    <x v="2"/>
    <s v="Chandigarh"/>
    <s v="Chandigarh"/>
    <s v="2025-12-18"/>
    <s v="51+"/>
    <n v="1938.194"/>
  </r>
  <r>
    <s v="ORD03500"/>
    <d v="2025-11-07T00:00:00"/>
    <s v="CUST0353"/>
    <x v="3"/>
    <x v="4"/>
    <n v="1"/>
    <n v="0.05"/>
    <n v="17100"/>
    <n v="2840.57"/>
    <x v="0"/>
    <s v="Delivered"/>
    <n v="17100"/>
    <n v="16.611520467836261"/>
    <s v="Profit"/>
    <s v="Aditya Iyer"/>
    <x v="2"/>
    <x v="0"/>
    <s v="Hyderabad"/>
    <s v="Telangana"/>
    <s v="2024-08-21"/>
    <s v="36-50"/>
    <n v="2840.57"/>
  </r>
  <r>
    <s v="ORD03501"/>
    <d v="2025-07-14T00:00:00"/>
    <s v="CUST0331"/>
    <x v="0"/>
    <x v="14"/>
    <n v="2"/>
    <n v="0.15"/>
    <n v="765"/>
    <n v="-336.99"/>
    <x v="3"/>
    <s v="Cancelled"/>
    <n v="382.5"/>
    <n v="-44.050980392156873"/>
    <s v="Loss"/>
    <s v="Kavya Kulkarni"/>
    <x v="0"/>
    <x v="2"/>
    <s v="Chandigarh"/>
    <s v="Chandigarh"/>
    <s v="2023-08-28"/>
    <s v="36-50"/>
    <n v="-168.495"/>
  </r>
  <r>
    <s v="ORD03502"/>
    <d v="2026-07-15T00:00:00"/>
    <s v="CUST0449"/>
    <x v="2"/>
    <x v="5"/>
    <n v="1"/>
    <n v="0.2"/>
    <n v="8800"/>
    <n v="1133.05"/>
    <x v="3"/>
    <s v="Delivered"/>
    <n v="8800"/>
    <n v="12.87556818181818"/>
    <s v="Profit"/>
    <s v="Ishaan Kulkarni"/>
    <x v="0"/>
    <x v="1"/>
    <s v="Pune"/>
    <s v="Maharashtra"/>
    <s v="2023-06-12"/>
    <s v="36-50"/>
    <n v="1133.05"/>
  </r>
  <r>
    <s v="ORD03503"/>
    <d v="2026-06-02T00:00:00"/>
    <s v="CUST0567"/>
    <x v="1"/>
    <x v="15"/>
    <n v="2"/>
    <n v="0.1"/>
    <n v="3960"/>
    <n v="1224.55"/>
    <x v="3"/>
    <s v="Delivered"/>
    <n v="1980"/>
    <n v="30.922979797979799"/>
    <s v="Profit"/>
    <s v="Ananya Chopra"/>
    <x v="2"/>
    <x v="1"/>
    <s v="Pune"/>
    <s v="Maharashtra"/>
    <s v="2025-09-20"/>
    <s v="26-35"/>
    <n v="612.27499999999998"/>
  </r>
  <r>
    <s v="ORD03504"/>
    <d v="2025-07-21T00:00:00"/>
    <s v="CUST0507"/>
    <x v="2"/>
    <x v="3"/>
    <n v="1"/>
    <n v="0.1"/>
    <n v="13500"/>
    <n v="-6748.31"/>
    <x v="3"/>
    <s v="Cancelled"/>
    <n v="13500"/>
    <n v="-49.987481481481481"/>
    <s v="Loss"/>
    <s v="Aarav Naidu"/>
    <x v="0"/>
    <x v="2"/>
    <s v="Jaipur"/>
    <s v="Rajasthan"/>
    <s v="2023-05-03"/>
    <s v="36-50"/>
    <n v="-6748.31"/>
  </r>
  <r>
    <s v="ORD03505"/>
    <d v="2026-07-12T00:00:00"/>
    <s v="CUST0442"/>
    <x v="3"/>
    <x v="4"/>
    <n v="3"/>
    <n v="0.15"/>
    <n v="45900"/>
    <n v="3631.46"/>
    <x v="0"/>
    <s v="Delivered"/>
    <n v="15300"/>
    <n v="7.9116775599128539"/>
    <s v="Profit"/>
    <s v="Akash Kulkarni"/>
    <x v="0"/>
    <x v="0"/>
    <s v="Bengaluru"/>
    <s v="Karnataka"/>
    <s v="2023-09-01"/>
    <s v="36-50"/>
    <n v="1210.4866666666669"/>
  </r>
  <r>
    <s v="ORD03506"/>
    <d v="2025-12-24T00:00:00"/>
    <s v="CUST0272"/>
    <x v="0"/>
    <x v="6"/>
    <n v="1"/>
    <n v="0.05"/>
    <n v="332.5"/>
    <n v="106.96"/>
    <x v="1"/>
    <s v="Delivered"/>
    <n v="332.5"/>
    <n v="32.168421052631579"/>
    <s v="Profit"/>
    <s v="Ishaan Bose"/>
    <x v="1"/>
    <x v="3"/>
    <s v="Patna"/>
    <s v="Bihar"/>
    <s v="2025-01-04"/>
    <s v="51+"/>
    <n v="106.96"/>
  </r>
  <r>
    <s v="ORD03507"/>
    <d v="2026-04-25T00:00:00"/>
    <s v="CUST0128"/>
    <x v="0"/>
    <x v="0"/>
    <n v="4"/>
    <n v="0.1"/>
    <n v="50400"/>
    <n v="8016.48"/>
    <x v="1"/>
    <s v="Delivered"/>
    <n v="12600"/>
    <n v="15.90571428571428"/>
    <s v="Profit"/>
    <s v="Sneha Mishra"/>
    <x v="2"/>
    <x v="0"/>
    <s v="Chennai"/>
    <s v="Tamil Nadu"/>
    <s v="2024-09-12"/>
    <s v="36-50"/>
    <n v="2004.12"/>
  </r>
  <r>
    <s v="ORD03508"/>
    <d v="2025-08-23T00:00:00"/>
    <s v="CUST0484"/>
    <x v="3"/>
    <x v="4"/>
    <n v="1"/>
    <n v="0.15"/>
    <n v="15300"/>
    <n v="1470.13"/>
    <x v="3"/>
    <s v="Delivered"/>
    <n v="15300"/>
    <n v="9.6086928104575176"/>
    <s v="Profit"/>
    <s v="Rahul Pillai"/>
    <x v="0"/>
    <x v="2"/>
    <s v="Delhi"/>
    <s v="Delhi"/>
    <s v="2025-05-08"/>
    <s v="36-50"/>
    <n v="1470.13"/>
  </r>
  <r>
    <s v="ORD03509"/>
    <d v="2025-10-04T00:00:00"/>
    <s v="CUST0114"/>
    <x v="3"/>
    <x v="10"/>
    <n v="3"/>
    <n v="0.05"/>
    <n v="156750"/>
    <n v="-67614.33"/>
    <x v="1"/>
    <s v="Returned"/>
    <n v="52250"/>
    <n v="-43.135138755980861"/>
    <s v="Loss"/>
    <s v="Aarav Reddy"/>
    <x v="1"/>
    <x v="0"/>
    <s v="Coimbatore"/>
    <s v="Tamil Nadu"/>
    <s v="2023-11-15"/>
    <s v="18-25"/>
    <n v="-22538.11"/>
  </r>
  <r>
    <s v="ORD03510"/>
    <d v="2026-03-10T00:00:00"/>
    <s v="CUST0555"/>
    <x v="2"/>
    <x v="3"/>
    <n v="5"/>
    <n v="0.2"/>
    <n v="60000"/>
    <n v="9165.89"/>
    <x v="0"/>
    <s v="Delivered"/>
    <n v="12000"/>
    <n v="15.27648333333333"/>
    <s v="Profit"/>
    <s v="Aarav Mehta"/>
    <x v="0"/>
    <x v="0"/>
    <s v="Coimbatore"/>
    <s v="Tamil Nadu"/>
    <s v="2023-05-19"/>
    <s v="51+"/>
    <n v="1833.1780000000001"/>
  </r>
  <r>
    <s v="ORD03511"/>
    <d v="2025-12-26T00:00:00"/>
    <s v="CUST0468"/>
    <x v="3"/>
    <x v="11"/>
    <n v="2"/>
    <n v="0.05"/>
    <n v="4750"/>
    <n v="1442.5"/>
    <x v="0"/>
    <s v="Delivered"/>
    <n v="2375"/>
    <n v="30.368421052631579"/>
    <s v="Profit"/>
    <s v="Lakshmi Mehta"/>
    <x v="1"/>
    <x v="0"/>
    <s v="Chennai"/>
    <s v="Tamil Nadu"/>
    <s v="2023-03-02"/>
    <s v="26-35"/>
    <n v="721.25"/>
  </r>
  <r>
    <s v="ORD03512"/>
    <d v="2026-07-14T00:00:00"/>
    <s v="CUST0279"/>
    <x v="2"/>
    <x v="3"/>
    <n v="4"/>
    <n v="0.15"/>
    <n v="51000"/>
    <n v="9506.43"/>
    <x v="3"/>
    <s v="Delivered"/>
    <n v="12750"/>
    <n v="18.640058823529412"/>
    <s v="Profit"/>
    <s v="Aditya Bose"/>
    <x v="0"/>
    <x v="2"/>
    <s v="Delhi"/>
    <s v="Delhi"/>
    <s v="2024-04-09"/>
    <s v="26-35"/>
    <n v="2376.6075000000001"/>
  </r>
  <r>
    <s v="ORD03513"/>
    <d v="2026-04-14T00:00:00"/>
    <s v="CUST0421"/>
    <x v="2"/>
    <x v="9"/>
    <n v="1"/>
    <n v="0"/>
    <n v="9000"/>
    <n v="2300"/>
    <x v="2"/>
    <s v="Delivered"/>
    <n v="9000"/>
    <n v="25.55555555555555"/>
    <s v="Profit"/>
    <s v="Sneha Iyer"/>
    <x v="0"/>
    <x v="3"/>
    <s v="Guwahati"/>
    <s v="Assam"/>
    <s v="2024-05-14"/>
    <s v="51+"/>
    <n v="2300"/>
  </r>
  <r>
    <s v="ORD03514"/>
    <d v="2026-05-21T00:00:00"/>
    <s v="CUST0519"/>
    <x v="0"/>
    <x v="14"/>
    <n v="1"/>
    <n v="0.1"/>
    <n v="405"/>
    <n v="73.59"/>
    <x v="1"/>
    <s v="Delivered"/>
    <n v="405"/>
    <n v="18.170370370370371"/>
    <s v="Profit"/>
    <s v="Rahul Bose"/>
    <x v="1"/>
    <x v="1"/>
    <s v="Pune"/>
    <s v="Maharashtra"/>
    <s v="2025-12-27"/>
    <s v="26-35"/>
    <n v="73.59"/>
  </r>
  <r>
    <s v="ORD03515"/>
    <d v="2025-10-16T00:00:00"/>
    <s v="CUST0482"/>
    <x v="3"/>
    <x v="11"/>
    <n v="3"/>
    <n v="0.05"/>
    <n v="7125"/>
    <n v="2174.9899999999998"/>
    <x v="3"/>
    <s v="Delivered"/>
    <n v="2375"/>
    <n v="30.526175438596489"/>
    <s v="Profit"/>
    <s v="Divya Reddy"/>
    <x v="0"/>
    <x v="0"/>
    <s v="Chennai"/>
    <s v="Tamil Nadu"/>
    <s v="2025-06-12"/>
    <s v="26-35"/>
    <n v="724.99666666666656"/>
  </r>
  <r>
    <s v="ORD03516"/>
    <d v="2025-11-10T00:00:00"/>
    <s v="CUST0073"/>
    <x v="3"/>
    <x v="4"/>
    <n v="2"/>
    <n v="0.1"/>
    <n v="32400"/>
    <n v="-16331.98"/>
    <x v="0"/>
    <s v="Returned"/>
    <n v="16200"/>
    <n v="-50.407345679012352"/>
    <s v="Loss"/>
    <s v="Kavya Pillai"/>
    <x v="0"/>
    <x v="0"/>
    <s v="Hyderabad"/>
    <s v="Telangana"/>
    <s v="2023-04-01"/>
    <s v="26-35"/>
    <n v="-8165.99"/>
  </r>
  <r>
    <s v="ORD03517"/>
    <d v="2025-07-15T00:00:00"/>
    <s v="CUST0099"/>
    <x v="2"/>
    <x v="9"/>
    <n v="3"/>
    <n v="0.1"/>
    <n v="24300"/>
    <n v="5607.19"/>
    <x v="0"/>
    <s v="Delivered"/>
    <n v="8100"/>
    <n v="23.074855967078189"/>
    <s v="Profit"/>
    <s v="Ananya Mehta"/>
    <x v="1"/>
    <x v="2"/>
    <s v="Chandigarh"/>
    <s v="Chandigarh"/>
    <s v="2025-06-15"/>
    <s v="36-50"/>
    <n v="1869.063333333333"/>
  </r>
  <r>
    <s v="ORD03518"/>
    <d v="2026-06-30T00:00:00"/>
    <s v="CUST0251"/>
    <x v="0"/>
    <x v="0"/>
    <n v="3"/>
    <n v="0.2"/>
    <n v="33600"/>
    <n v="2272.5100000000002"/>
    <x v="1"/>
    <s v="Delivered"/>
    <n v="11200"/>
    <n v="6.7634226190476197"/>
    <s v="Profit"/>
    <s v="Arjun Verma"/>
    <x v="2"/>
    <x v="0"/>
    <s v="Coimbatore"/>
    <s v="Tamil Nadu"/>
    <s v="2023-06-16"/>
    <s v="36-50"/>
    <n v="757.50333333333344"/>
  </r>
  <r>
    <s v="ORD03519"/>
    <d v="2026-06-23T00:00:00"/>
    <s v="CUST0250"/>
    <x v="3"/>
    <x v="8"/>
    <n v="3"/>
    <n v="0.1"/>
    <n v="12150"/>
    <n v="3600.57"/>
    <x v="2"/>
    <s v="Delivered"/>
    <n v="4050"/>
    <n v="29.63432098765432"/>
    <s v="Profit"/>
    <s v="Sanjay Das"/>
    <x v="1"/>
    <x v="1"/>
    <s v="Ahmedabad"/>
    <s v="Gujarat"/>
    <s v="2024-08-01"/>
    <s v="26-35"/>
    <n v="1200.19"/>
  </r>
  <r>
    <s v="ORD03520"/>
    <d v="2026-01-17T00:00:00"/>
    <s v="CUST0564"/>
    <x v="0"/>
    <x v="14"/>
    <n v="1"/>
    <n v="0.1"/>
    <n v="405"/>
    <n v="86.93"/>
    <x v="1"/>
    <s v="Shipped"/>
    <n v="405"/>
    <n v="21.464197530864201"/>
    <s v="Profit"/>
    <s v="Aditya Joshi"/>
    <x v="2"/>
    <x v="3"/>
    <s v="Guwahati"/>
    <s v="Assam"/>
    <s v="2025-12-19"/>
    <s v="51+"/>
    <n v="86.93"/>
  </r>
  <r>
    <s v="ORD03521"/>
    <d v="2026-06-17T00:00:00"/>
    <s v="CUST0331"/>
    <x v="3"/>
    <x v="8"/>
    <n v="1"/>
    <n v="0"/>
    <n v="4500"/>
    <n v="-1930.23"/>
    <x v="2"/>
    <s v="Cancelled"/>
    <n v="4500"/>
    <n v="-42.893999999999998"/>
    <s v="Loss"/>
    <s v="Kavya Kulkarni"/>
    <x v="0"/>
    <x v="2"/>
    <s v="Chandigarh"/>
    <s v="Chandigarh"/>
    <s v="2023-08-28"/>
    <s v="36-50"/>
    <n v="-1930.23"/>
  </r>
  <r>
    <s v="ORD03522"/>
    <d v="2025-08-19T00:00:00"/>
    <s v="CUST0335"/>
    <x v="1"/>
    <x v="12"/>
    <n v="5"/>
    <n v="0"/>
    <n v="7000"/>
    <n v="715.23"/>
    <x v="1"/>
    <s v="Returned"/>
    <n v="1400"/>
    <n v="10.21757142857143"/>
    <s v="Profit"/>
    <s v="Diya Pillai"/>
    <x v="0"/>
    <x v="0"/>
    <s v="Bengaluru"/>
    <s v="Karnataka"/>
    <s v="2025-05-24"/>
    <s v="36-50"/>
    <n v="143.04599999999999"/>
  </r>
  <r>
    <s v="ORD03523"/>
    <d v="2026-07-07T00:00:00"/>
    <s v="CUST0530"/>
    <x v="2"/>
    <x v="3"/>
    <n v="1"/>
    <n v="0.15"/>
    <n v="12750"/>
    <n v="1712.44"/>
    <x v="3"/>
    <s v="Delivered"/>
    <n v="12750"/>
    <n v="13.430901960784309"/>
    <s v="Profit"/>
    <s v="Harini Chopra"/>
    <x v="2"/>
    <x v="2"/>
    <s v="Delhi"/>
    <s v="Delhi"/>
    <s v="2023-03-04"/>
    <s v="51+"/>
    <n v="1712.44"/>
  </r>
  <r>
    <s v="ORD03524"/>
    <d v="2026-04-25T00:00:00"/>
    <s v="CUST0411"/>
    <x v="3"/>
    <x v="10"/>
    <n v="10"/>
    <n v="0"/>
    <n v="550000"/>
    <n v="90000"/>
    <x v="1"/>
    <s v="Delivered"/>
    <n v="55000"/>
    <n v="16.36363636363636"/>
    <s v="Profit"/>
    <s v="Arjun Mehta"/>
    <x v="1"/>
    <x v="0"/>
    <s v="Bengaluru"/>
    <s v="Karnataka"/>
    <s v="2023-02-18"/>
    <s v="36-50"/>
    <n v="9000"/>
  </r>
  <r>
    <s v="ORD03525"/>
    <d v="2026-07-02T00:00:00"/>
    <s v="CUST0022"/>
    <x v="0"/>
    <x v="0"/>
    <n v="4"/>
    <n v="0.1"/>
    <n v="50400"/>
    <n v="7973.28"/>
    <x v="2"/>
    <s v="Delivered"/>
    <n v="12600"/>
    <n v="15.82"/>
    <s v="Profit"/>
    <s v="Diya Kulkarni"/>
    <x v="0"/>
    <x v="3"/>
    <s v="Kolkata"/>
    <s v="West Bengal"/>
    <s v="2025-02-13"/>
    <s v="18-25"/>
    <n v="1993.32"/>
  </r>
  <r>
    <s v="ORD03526"/>
    <d v="2026-05-05T00:00:00"/>
    <s v="CUST0496"/>
    <x v="3"/>
    <x v="10"/>
    <n v="2"/>
    <n v="0.1"/>
    <n v="99000"/>
    <n v="10131.950000000001"/>
    <x v="0"/>
    <s v="Delivered"/>
    <n v="49500"/>
    <n v="10.234292929292931"/>
    <s v="Profit"/>
    <s v="Akash Pillai"/>
    <x v="0"/>
    <x v="3"/>
    <s v="Bhubaneswar"/>
    <s v="Odisha"/>
    <s v="2024-06-06"/>
    <s v="36-50"/>
    <n v="5065.9750000000004"/>
  </r>
  <r>
    <s v="ORD03527"/>
    <d v="2026-02-26T00:00:00"/>
    <s v="CUST0079"/>
    <x v="3"/>
    <x v="4"/>
    <n v="4"/>
    <n v="0.2"/>
    <n v="57600"/>
    <n v="4338.16"/>
    <x v="0"/>
    <s v="Delivered"/>
    <n v="14400"/>
    <n v="7.5315277777777769"/>
    <s v="Profit"/>
    <s v="Akash Mehta"/>
    <x v="0"/>
    <x v="0"/>
    <s v="Chennai"/>
    <s v="Tamil Nadu"/>
    <s v="2024-07-12"/>
    <s v="51+"/>
    <n v="1084.54"/>
  </r>
  <r>
    <s v="ORD03528"/>
    <d v="2026-01-31T00:00:00"/>
    <s v="CUST0289"/>
    <x v="3"/>
    <x v="11"/>
    <n v="5"/>
    <n v="0.1"/>
    <n v="11250"/>
    <n v="3243.21"/>
    <x v="1"/>
    <s v="Delivered"/>
    <n v="2250"/>
    <n v="28.828533333333329"/>
    <s v="Profit"/>
    <s v="Rahul Iyer"/>
    <x v="2"/>
    <x v="0"/>
    <s v="Coimbatore"/>
    <s v="Tamil Nadu"/>
    <s v="2023-01-07"/>
    <s v="18-25"/>
    <n v="648.64200000000005"/>
  </r>
  <r>
    <s v="ORD03529"/>
    <d v="2026-08-09T00:00:00"/>
    <s v="CUST0079"/>
    <x v="0"/>
    <x v="7"/>
    <n v="6"/>
    <n v="0"/>
    <n v="5400"/>
    <n v="1680"/>
    <x v="3"/>
    <s v="Delivered"/>
    <n v="900"/>
    <n v="31.111111111111111"/>
    <s v="Profit"/>
    <s v="Akash Mehta"/>
    <x v="0"/>
    <x v="0"/>
    <s v="Chennai"/>
    <s v="Tamil Nadu"/>
    <s v="2024-07-12"/>
    <s v="51+"/>
    <n v="280"/>
  </r>
  <r>
    <s v="ORD03530"/>
    <d v="2026-03-01T00:00:00"/>
    <s v="CUST0162"/>
    <x v="3"/>
    <x v="8"/>
    <n v="2"/>
    <n v="0.15"/>
    <n v="7650"/>
    <n v="2171.11"/>
    <x v="3"/>
    <s v="Delivered"/>
    <n v="3825"/>
    <n v="28.38052287581699"/>
    <s v="Profit"/>
    <s v="Lakshmi Bose"/>
    <x v="0"/>
    <x v="0"/>
    <s v="Bengaluru"/>
    <s v="Karnataka"/>
    <s v="2025-06-13"/>
    <s v="26-35"/>
    <n v="1085.5550000000001"/>
  </r>
  <r>
    <s v="ORD03531"/>
    <d v="2025-11-28T00:00:00"/>
    <s v="CUST0007"/>
    <x v="2"/>
    <x v="5"/>
    <n v="3"/>
    <n v="0.3"/>
    <n v="23100"/>
    <n v="1432.72"/>
    <x v="0"/>
    <s v="Shipped"/>
    <n v="7700"/>
    <n v="6.2022510822510828"/>
    <s v="Profit"/>
    <s v="Harini Khan"/>
    <x v="0"/>
    <x v="0"/>
    <s v="Bengaluru"/>
    <s v="Karnataka"/>
    <s v="2025-07-02"/>
    <s v="36-50"/>
    <n v="477.57333333333332"/>
  </r>
  <r>
    <s v="ORD03532"/>
    <d v="2025-07-23T00:00:00"/>
    <s v="CUST0178"/>
    <x v="3"/>
    <x v="11"/>
    <n v="5"/>
    <n v="0"/>
    <n v="12500"/>
    <n v="-2682.48"/>
    <x v="2"/>
    <s v="Cancelled"/>
    <n v="2500"/>
    <n v="-21.45984"/>
    <s v="Loss"/>
    <s v="Ananya Pillai"/>
    <x v="0"/>
    <x v="1"/>
    <s v="Pune"/>
    <s v="Maharashtra"/>
    <s v="2025-02-10"/>
    <s v="26-35"/>
    <n v="-536.49599999999998"/>
  </r>
  <r>
    <s v="ORD03533"/>
    <d v="2025-12-08T00:00:00"/>
    <s v="CUST0236"/>
    <x v="1"/>
    <x v="12"/>
    <n v="4"/>
    <n v="0"/>
    <n v="5600"/>
    <n v="2000"/>
    <x v="0"/>
    <s v="Delivered"/>
    <n v="1400"/>
    <n v="35.714285714285722"/>
    <s v="Profit"/>
    <s v="Akash Sharma"/>
    <x v="0"/>
    <x v="3"/>
    <s v="Guwahati"/>
    <s v="Assam"/>
    <s v="2024-04-07"/>
    <s v="36-50"/>
    <n v="500"/>
  </r>
  <r>
    <s v="ORD03534"/>
    <d v="2026-01-12T00:00:00"/>
    <s v="CUST0583"/>
    <x v="1"/>
    <x v="12"/>
    <n v="2"/>
    <n v="0.2"/>
    <n v="2240"/>
    <n v="46.85"/>
    <x v="1"/>
    <s v="Cancelled"/>
    <n v="1120"/>
    <n v="2.0915178571428572"/>
    <s v="Profit"/>
    <s v="Shreya Menon"/>
    <x v="2"/>
    <x v="1"/>
    <s v="Ahmedabad"/>
    <s v="Gujarat"/>
    <s v="2023-09-05"/>
    <s v="26-35"/>
    <n v="23.425000000000001"/>
  </r>
  <r>
    <s v="ORD03535"/>
    <d v="2025-08-15T00:00:00"/>
    <s v="CUST0063"/>
    <x v="1"/>
    <x v="13"/>
    <n v="6"/>
    <n v="0.05"/>
    <n v="23940"/>
    <n v="6373.14"/>
    <x v="3"/>
    <s v="Shipped"/>
    <n v="3990"/>
    <n v="26.62130325814536"/>
    <s v="Profit"/>
    <s v="Kavya Nair"/>
    <x v="0"/>
    <x v="2"/>
    <s v="Jaipur"/>
    <s v="Rajasthan"/>
    <s v="2024-06-25"/>
    <s v="51+"/>
    <n v="1062.19"/>
  </r>
  <r>
    <s v="ORD03536"/>
    <d v="2026-05-03T00:00:00"/>
    <s v="CUST0525"/>
    <x v="0"/>
    <x v="7"/>
    <n v="10"/>
    <n v="0.1"/>
    <n v="8100"/>
    <n v="2089.21"/>
    <x v="3"/>
    <s v="Delivered"/>
    <n v="810"/>
    <n v="25.792716049382719"/>
    <s v="Profit"/>
    <s v="Varun Gupta"/>
    <x v="2"/>
    <x v="2"/>
    <s v="Delhi"/>
    <s v="Delhi"/>
    <s v="2023-05-14"/>
    <s v="36-50"/>
    <n v="208.92099999999999"/>
  </r>
  <r>
    <s v="ORD03537"/>
    <d v="2025-10-24T00:00:00"/>
    <s v="CUST0202"/>
    <x v="3"/>
    <x v="4"/>
    <n v="1"/>
    <n v="0.15"/>
    <n v="15300"/>
    <n v="2181.94"/>
    <x v="1"/>
    <s v="Delivered"/>
    <n v="15300"/>
    <n v="14.26104575163399"/>
    <s v="Profit"/>
    <s v="Manoj Gupta"/>
    <x v="1"/>
    <x v="1"/>
    <s v="Pune"/>
    <s v="Maharashtra"/>
    <s v="2023-12-07"/>
    <s v="26-35"/>
    <n v="2181.94"/>
  </r>
  <r>
    <s v="ORD03538"/>
    <d v="2026-02-24T00:00:00"/>
    <s v="CUST0142"/>
    <x v="3"/>
    <x v="11"/>
    <n v="3"/>
    <n v="0.05"/>
    <n v="7125"/>
    <n v="2230.15"/>
    <x v="2"/>
    <s v="Delivered"/>
    <n v="2375"/>
    <n v="31.300350877192979"/>
    <s v="Profit"/>
    <s v="Pooja Bose"/>
    <x v="0"/>
    <x v="1"/>
    <s v="Surat"/>
    <s v="Gujarat"/>
    <s v="2025-05-21"/>
    <s v="51+"/>
    <n v="743.38333333333333"/>
  </r>
  <r>
    <s v="ORD03539"/>
    <d v="2026-01-15T00:00:00"/>
    <s v="CUST0074"/>
    <x v="2"/>
    <x v="9"/>
    <n v="2"/>
    <n v="0.15"/>
    <n v="15300"/>
    <n v="2481.37"/>
    <x v="0"/>
    <s v="Delivered"/>
    <n v="7650"/>
    <n v="16.218104575163402"/>
    <s v="Profit"/>
    <s v="Sanjay Rao"/>
    <x v="2"/>
    <x v="3"/>
    <s v="Kolkata"/>
    <s v="West Bengal"/>
    <s v="2025-12-13"/>
    <s v="26-35"/>
    <n v="1240.6849999999999"/>
  </r>
  <r>
    <s v="ORD03540"/>
    <d v="2025-07-28T00:00:00"/>
    <s v="CUST0454"/>
    <x v="3"/>
    <x v="8"/>
    <n v="2"/>
    <n v="0.05"/>
    <n v="8550"/>
    <n v="-1916.84"/>
    <x v="2"/>
    <s v="Returned"/>
    <n v="4275"/>
    <n v="-22.419181286549701"/>
    <s v="Loss"/>
    <s v="Kavya Pillai"/>
    <x v="2"/>
    <x v="2"/>
    <s v="Delhi"/>
    <s v="Delhi"/>
    <s v="2024-02-07"/>
    <s v="26-35"/>
    <n v="-958.42"/>
  </r>
  <r>
    <s v="ORD03541"/>
    <d v="2026-01-20T00:00:00"/>
    <s v="CUST0224"/>
    <x v="2"/>
    <x v="2"/>
    <n v="1"/>
    <n v="0.1"/>
    <n v="11700"/>
    <n v="2458.0500000000002"/>
    <x v="3"/>
    <s v="Shipped"/>
    <n v="11700"/>
    <n v="21.00897435897436"/>
    <s v="Profit"/>
    <s v="Varun Menon"/>
    <x v="1"/>
    <x v="1"/>
    <s v="Mumbai"/>
    <s v="Maharashtra"/>
    <s v="2023-02-06"/>
    <s v="18-25"/>
    <n v="2458.0500000000002"/>
  </r>
  <r>
    <s v="ORD03542"/>
    <d v="2026-02-26T00:00:00"/>
    <s v="CUST0112"/>
    <x v="0"/>
    <x v="0"/>
    <n v="1"/>
    <n v="0.05"/>
    <n v="13300"/>
    <n v="2239.5300000000002"/>
    <x v="3"/>
    <s v="Delivered"/>
    <n v="13300"/>
    <n v="16.838571428571431"/>
    <s v="Profit"/>
    <s v="Akash Khan"/>
    <x v="0"/>
    <x v="1"/>
    <s v="Pune"/>
    <s v="Maharashtra"/>
    <s v="2025-03-04"/>
    <s v="26-35"/>
    <n v="2239.5300000000002"/>
  </r>
  <r>
    <s v="ORD03543"/>
    <d v="2025-09-30T00:00:00"/>
    <s v="CUST0276"/>
    <x v="2"/>
    <x v="9"/>
    <n v="3"/>
    <n v="0.05"/>
    <n v="25650"/>
    <n v="6230.51"/>
    <x v="0"/>
    <s v="Delivered"/>
    <n v="8550"/>
    <n v="24.290487329434701"/>
    <s v="Profit"/>
    <s v="Lakshmi Pillai"/>
    <x v="2"/>
    <x v="1"/>
    <s v="Mumbai"/>
    <s v="Maharashtra"/>
    <s v="2024-01-26"/>
    <s v="36-50"/>
    <n v="2076.836666666667"/>
  </r>
  <r>
    <s v="ORD03544"/>
    <d v="2026-03-12T00:00:00"/>
    <s v="CUST0325"/>
    <x v="0"/>
    <x v="0"/>
    <n v="2"/>
    <n v="0.2"/>
    <n v="22400"/>
    <n v="-9294.57"/>
    <x v="1"/>
    <s v="Returned"/>
    <n v="11200"/>
    <n v="-41.493616071428569"/>
    <s v="Loss"/>
    <s v="Arjun Mishra"/>
    <x v="0"/>
    <x v="0"/>
    <s v="Chennai"/>
    <s v="Tamil Nadu"/>
    <s v="2023-05-08"/>
    <s v="51+"/>
    <n v="-4647.2849999999999"/>
  </r>
  <r>
    <s v="ORD03545"/>
    <d v="2025-09-25T00:00:00"/>
    <s v="CUST0064"/>
    <x v="1"/>
    <x v="13"/>
    <n v="1"/>
    <n v="0.2"/>
    <n v="3360"/>
    <n v="517.46"/>
    <x v="3"/>
    <s v="Delivered"/>
    <n v="3360"/>
    <n v="15.40059523809524"/>
    <s v="Profit"/>
    <s v="Diya Rao"/>
    <x v="1"/>
    <x v="0"/>
    <s v="Chennai"/>
    <s v="Tamil Nadu"/>
    <s v="2025-05-13"/>
    <s v="26-35"/>
    <n v="517.46"/>
  </r>
  <r>
    <s v="ORD03546"/>
    <d v="2025-08-04T00:00:00"/>
    <s v="CUST0180"/>
    <x v="0"/>
    <x v="6"/>
    <n v="2"/>
    <n v="0.2"/>
    <n v="560"/>
    <n v="127.08"/>
    <x v="0"/>
    <s v="Delivered"/>
    <n v="280"/>
    <n v="22.69285714285714"/>
    <s v="Profit"/>
    <s v="Meera Menon"/>
    <x v="0"/>
    <x v="1"/>
    <s v="Ahmedabad"/>
    <s v="Gujarat"/>
    <s v="2025-07-11"/>
    <s v="36-50"/>
    <n v="63.54"/>
  </r>
  <r>
    <s v="ORD03547"/>
    <d v="2026-06-12T00:00:00"/>
    <s v="CUST0358"/>
    <x v="3"/>
    <x v="4"/>
    <n v="1"/>
    <n v="0.1"/>
    <n v="16200"/>
    <n v="2157.06"/>
    <x v="1"/>
    <s v="Delivered"/>
    <n v="16200"/>
    <n v="13.315185185185189"/>
    <s v="Profit"/>
    <s v="Sanjay Das"/>
    <x v="0"/>
    <x v="0"/>
    <s v="Hyderabad"/>
    <s v="Telangana"/>
    <s v="2025-08-29"/>
    <s v="18-25"/>
    <n v="2157.06"/>
  </r>
  <r>
    <s v="ORD03548"/>
    <d v="2025-11-07T00:00:00"/>
    <s v="CUST0581"/>
    <x v="2"/>
    <x v="5"/>
    <n v="2"/>
    <n v="0.1"/>
    <n v="19800"/>
    <n v="-1203.23"/>
    <x v="0"/>
    <s v="Returned"/>
    <n v="9900"/>
    <n v="-6.0769191919191918"/>
    <s v="Loss"/>
    <s v="Aditya Naidu"/>
    <x v="0"/>
    <x v="0"/>
    <s v="Coimbatore"/>
    <s v="Tamil Nadu"/>
    <s v="2024-10-03"/>
    <s v="18-25"/>
    <n v="-601.61500000000001"/>
  </r>
  <r>
    <s v="ORD03549"/>
    <d v="2025-08-09T00:00:00"/>
    <s v="CUST0114"/>
    <x v="1"/>
    <x v="12"/>
    <n v="2"/>
    <n v="0.1"/>
    <n v="2520"/>
    <n v="798.4"/>
    <x v="3"/>
    <s v="Delivered"/>
    <n v="1260"/>
    <n v="31.68253968253968"/>
    <s v="Profit"/>
    <s v="Aarav Reddy"/>
    <x v="1"/>
    <x v="0"/>
    <s v="Coimbatore"/>
    <s v="Tamil Nadu"/>
    <s v="2023-11-15"/>
    <s v="18-25"/>
    <n v="399.2"/>
  </r>
  <r>
    <s v="ORD03550"/>
    <d v="2026-07-24T00:00:00"/>
    <s v="CUST0427"/>
    <x v="1"/>
    <x v="1"/>
    <n v="5"/>
    <n v="0.1"/>
    <n v="8100"/>
    <n v="2652.34"/>
    <x v="3"/>
    <s v="Delivered"/>
    <n v="1620"/>
    <n v="32.744938271604937"/>
    <s v="Profit"/>
    <s v="Nisha Mehta"/>
    <x v="1"/>
    <x v="0"/>
    <s v="Chennai"/>
    <s v="Tamil Nadu"/>
    <s v="2025-08-11"/>
    <s v="51+"/>
    <n v="530.46800000000007"/>
  </r>
  <r>
    <s v="ORD03551"/>
    <d v="2025-10-22T00:00:00"/>
    <s v="CUST0119"/>
    <x v="3"/>
    <x v="11"/>
    <n v="3"/>
    <n v="0.15"/>
    <n v="6375"/>
    <n v="1873.39"/>
    <x v="2"/>
    <s v="Delivered"/>
    <n v="2125"/>
    <n v="29.38650980392157"/>
    <s v="Profit"/>
    <s v="Divya Naidu"/>
    <x v="1"/>
    <x v="0"/>
    <s v="Coimbatore"/>
    <s v="Tamil Nadu"/>
    <s v="2023-05-25"/>
    <s v="36-50"/>
    <n v="624.46333333333337"/>
  </r>
  <r>
    <s v="ORD03552"/>
    <d v="2026-05-08T00:00:00"/>
    <s v="CUST0079"/>
    <x v="3"/>
    <x v="4"/>
    <n v="1"/>
    <n v="0.3"/>
    <n v="12600"/>
    <n v="106.42"/>
    <x v="3"/>
    <s v="Shipped"/>
    <n v="12600"/>
    <n v="0.84460317460317469"/>
    <s v="Profit"/>
    <s v="Akash Mehta"/>
    <x v="0"/>
    <x v="0"/>
    <s v="Chennai"/>
    <s v="Tamil Nadu"/>
    <s v="2024-07-12"/>
    <s v="51+"/>
    <n v="106.42"/>
  </r>
  <r>
    <s v="ORD03553"/>
    <d v="2026-06-21T00:00:00"/>
    <s v="CUST0391"/>
    <x v="1"/>
    <x v="15"/>
    <n v="1"/>
    <n v="0"/>
    <n v="2200"/>
    <n v="750"/>
    <x v="3"/>
    <s v="Delivered"/>
    <n v="2200"/>
    <n v="34.090909090909093"/>
    <s v="Profit"/>
    <s v="Divya Das"/>
    <x v="2"/>
    <x v="0"/>
    <s v="Bengaluru"/>
    <s v="Karnataka"/>
    <s v="2023-03-08"/>
    <s v="36-50"/>
    <n v="750"/>
  </r>
  <r>
    <s v="ORD03554"/>
    <d v="2025-12-18T00:00:00"/>
    <s v="CUST0480"/>
    <x v="3"/>
    <x v="4"/>
    <n v="3"/>
    <n v="0"/>
    <n v="54000"/>
    <n v="10500"/>
    <x v="0"/>
    <s v="Delivered"/>
    <n v="18000"/>
    <n v="19.44444444444445"/>
    <s v="Profit"/>
    <s v="Ananya Mehta"/>
    <x v="1"/>
    <x v="2"/>
    <s v="Chandigarh"/>
    <s v="Chandigarh"/>
    <s v="2023-12-24"/>
    <s v="36-50"/>
    <n v="3500"/>
  </r>
  <r>
    <s v="ORD03555"/>
    <d v="2026-08-26T00:00:00"/>
    <s v="CUST0343"/>
    <x v="2"/>
    <x v="3"/>
    <n v="3"/>
    <n v="0.15"/>
    <n v="38250"/>
    <n v="5119.87"/>
    <x v="2"/>
    <s v="Shipped"/>
    <n v="12750"/>
    <n v="13.385281045751629"/>
    <s v="Profit"/>
    <s v="Meera Iyer"/>
    <x v="0"/>
    <x v="0"/>
    <s v="Bengaluru"/>
    <s v="Karnataka"/>
    <s v="2024-08-02"/>
    <s v="36-50"/>
    <n v="1706.623333333333"/>
  </r>
  <r>
    <s v="ORD03556"/>
    <d v="2025-10-07T00:00:00"/>
    <s v="CUST0274"/>
    <x v="3"/>
    <x v="8"/>
    <n v="1"/>
    <n v="0.15"/>
    <n v="3825"/>
    <n v="1038.92"/>
    <x v="2"/>
    <s v="Delivered"/>
    <n v="3825"/>
    <n v="27.16130718954248"/>
    <s v="Profit"/>
    <s v="Meera Bose"/>
    <x v="1"/>
    <x v="0"/>
    <s v="Hyderabad"/>
    <s v="Telangana"/>
    <s v="2025-01-06"/>
    <s v="26-35"/>
    <n v="1038.92"/>
  </r>
  <r>
    <s v="ORD03557"/>
    <d v="2026-08-26T00:00:00"/>
    <s v="CUST0555"/>
    <x v="0"/>
    <x v="0"/>
    <n v="3"/>
    <n v="0.2"/>
    <n v="33600"/>
    <n v="3182.78"/>
    <x v="0"/>
    <s v="Delivered"/>
    <n v="11200"/>
    <n v="9.4725595238095242"/>
    <s v="Profit"/>
    <s v="Aarav Mehta"/>
    <x v="0"/>
    <x v="0"/>
    <s v="Coimbatore"/>
    <s v="Tamil Nadu"/>
    <s v="2023-05-19"/>
    <s v="51+"/>
    <n v="1060.926666666667"/>
  </r>
  <r>
    <s v="ORD03558"/>
    <d v="2025-09-27T00:00:00"/>
    <s v="CUST0586"/>
    <x v="3"/>
    <x v="11"/>
    <n v="4"/>
    <n v="0.15"/>
    <n v="8500"/>
    <n v="2112.83"/>
    <x v="0"/>
    <s v="Delivered"/>
    <n v="2125"/>
    <n v="24.856823529411759"/>
    <s v="Profit"/>
    <s v="Sanjay Mehta"/>
    <x v="1"/>
    <x v="0"/>
    <s v="Chennai"/>
    <s v="Tamil Nadu"/>
    <s v="2023-09-11"/>
    <s v="26-35"/>
    <n v="528.20749999999998"/>
  </r>
  <r>
    <s v="ORD03559"/>
    <d v="2025-08-25T00:00:00"/>
    <s v="CUST0112"/>
    <x v="3"/>
    <x v="4"/>
    <n v="6"/>
    <n v="0.15"/>
    <n v="91800"/>
    <n v="9090.2000000000007"/>
    <x v="3"/>
    <s v="Delivered"/>
    <n v="15300"/>
    <n v="9.9021786492374737"/>
    <s v="Profit"/>
    <s v="Akash Khan"/>
    <x v="0"/>
    <x v="1"/>
    <s v="Pune"/>
    <s v="Maharashtra"/>
    <s v="2025-03-04"/>
    <s v="26-35"/>
    <n v="1515.033333333334"/>
  </r>
  <r>
    <s v="ORD03560"/>
    <d v="2025-12-25T00:00:00"/>
    <s v="CUST0026"/>
    <x v="2"/>
    <x v="3"/>
    <n v="3"/>
    <n v="0.1"/>
    <n v="40500"/>
    <n v="8342.4"/>
    <x v="3"/>
    <s v="Delivered"/>
    <n v="13500"/>
    <n v="20.598518518518521"/>
    <s v="Profit"/>
    <s v="Arjun Mehta"/>
    <x v="2"/>
    <x v="0"/>
    <s v="Coimbatore"/>
    <s v="Tamil Nadu"/>
    <s v="2025-07-27"/>
    <s v="26-35"/>
    <n v="2780.8"/>
  </r>
  <r>
    <s v="ORD03561"/>
    <d v="2026-03-02T00:00:00"/>
    <s v="CUST0405"/>
    <x v="3"/>
    <x v="8"/>
    <n v="3"/>
    <n v="0.05"/>
    <n v="12825"/>
    <n v="3971.95"/>
    <x v="0"/>
    <s v="Delivered"/>
    <n v="4275"/>
    <n v="30.970370370370372"/>
    <s v="Profit"/>
    <s v="Varun Naidu"/>
    <x v="0"/>
    <x v="0"/>
    <s v="Chennai"/>
    <s v="Tamil Nadu"/>
    <s v="2024-05-06"/>
    <s v="26-35"/>
    <n v="1323.9833333333329"/>
  </r>
  <r>
    <s v="ORD03562"/>
    <d v="2026-02-26T00:00:00"/>
    <s v="CUST0047"/>
    <x v="1"/>
    <x v="15"/>
    <n v="1"/>
    <n v="0.2"/>
    <n v="1760"/>
    <n v="497.58"/>
    <x v="0"/>
    <s v="Delivered"/>
    <n v="1760"/>
    <n v="28.271590909090911"/>
    <s v="Profit"/>
    <s v="Rahul Das"/>
    <x v="2"/>
    <x v="0"/>
    <s v="Hyderabad"/>
    <s v="Telangana"/>
    <s v="2025-07-16"/>
    <s v="26-35"/>
    <n v="497.58"/>
  </r>
  <r>
    <s v="ORD03563"/>
    <d v="2026-05-21T00:00:00"/>
    <s v="CUST0048"/>
    <x v="3"/>
    <x v="8"/>
    <n v="5"/>
    <n v="0.2"/>
    <n v="18000"/>
    <n v="4116.71"/>
    <x v="3"/>
    <s v="Shipped"/>
    <n v="3600"/>
    <n v="22.87061111111111"/>
    <s v="Profit"/>
    <s v="Rohan Das"/>
    <x v="0"/>
    <x v="1"/>
    <s v="Ahmedabad"/>
    <s v="Gujarat"/>
    <s v="2025-04-11"/>
    <s v="26-35"/>
    <n v="823.34199999999998"/>
  </r>
  <r>
    <s v="ORD03564"/>
    <d v="2026-01-06T00:00:00"/>
    <s v="CUST0478"/>
    <x v="1"/>
    <x v="1"/>
    <n v="2"/>
    <n v="0.15"/>
    <n v="3060"/>
    <n v="856.43"/>
    <x v="2"/>
    <s v="Delivered"/>
    <n v="1530"/>
    <n v="27.987908496732022"/>
    <s v="Profit"/>
    <s v="Akash Iyer"/>
    <x v="0"/>
    <x v="1"/>
    <s v="Mumbai"/>
    <s v="Maharashtra"/>
    <s v="2023-10-15"/>
    <s v="51+"/>
    <n v="428.21499999999997"/>
  </r>
  <r>
    <s v="ORD03565"/>
    <d v="2026-04-14T00:00:00"/>
    <s v="CUST0122"/>
    <x v="0"/>
    <x v="6"/>
    <n v="5"/>
    <n v="0"/>
    <n v="1750"/>
    <n v="600"/>
    <x v="0"/>
    <s v="Delivered"/>
    <n v="350"/>
    <n v="34.285714285714278"/>
    <s v="Profit"/>
    <s v="Pooja Pillai"/>
    <x v="1"/>
    <x v="1"/>
    <s v="Pune"/>
    <s v="Maharashtra"/>
    <s v="2023-03-15"/>
    <s v="26-35"/>
    <n v="120"/>
  </r>
  <r>
    <s v="ORD03566"/>
    <d v="2026-01-22T00:00:00"/>
    <s v="CUST0089"/>
    <x v="3"/>
    <x v="10"/>
    <n v="3"/>
    <n v="0.05"/>
    <n v="156750"/>
    <n v="20961.55"/>
    <x v="1"/>
    <s v="Delivered"/>
    <n v="52250"/>
    <n v="13.372599681020731"/>
    <s v="Profit"/>
    <s v="Akash Gupta"/>
    <x v="2"/>
    <x v="2"/>
    <s v="Jaipur"/>
    <s v="Rajasthan"/>
    <s v="2025-10-05"/>
    <s v="26-35"/>
    <n v="6987.1833333333334"/>
  </r>
  <r>
    <s v="ORD03567"/>
    <d v="2026-07-13T00:00:00"/>
    <s v="CUST0299"/>
    <x v="2"/>
    <x v="2"/>
    <n v="2"/>
    <n v="0.1"/>
    <n v="23400"/>
    <n v="4609.22"/>
    <x v="3"/>
    <s v="Delivered"/>
    <n v="11700"/>
    <n v="19.697521367521372"/>
    <s v="Profit"/>
    <s v="Diya Das"/>
    <x v="0"/>
    <x v="1"/>
    <s v="Ahmedabad"/>
    <s v="Gujarat"/>
    <s v="2023-09-07"/>
    <s v="36-50"/>
    <n v="2304.61"/>
  </r>
  <r>
    <s v="ORD03568"/>
    <d v="2026-03-29T00:00:00"/>
    <s v="CUST0447"/>
    <x v="3"/>
    <x v="11"/>
    <n v="1"/>
    <n v="0.1"/>
    <n v="2250"/>
    <n v="-20.63"/>
    <x v="1"/>
    <s v="Returned"/>
    <n v="2250"/>
    <n v="-0.91688888888888875"/>
    <s v="Loss"/>
    <s v="Aarav Iyer"/>
    <x v="2"/>
    <x v="0"/>
    <s v="Hyderabad"/>
    <s v="Telangana"/>
    <s v="2024-09-12"/>
    <s v="36-50"/>
    <n v="-20.63"/>
  </r>
  <r>
    <s v="ORD03569"/>
    <d v="2026-06-17T00:00:00"/>
    <s v="CUST0543"/>
    <x v="1"/>
    <x v="15"/>
    <n v="4"/>
    <n v="0.15"/>
    <n v="7480"/>
    <n v="1949.86"/>
    <x v="3"/>
    <s v="Delivered"/>
    <n v="1870"/>
    <n v="26.067647058823528"/>
    <s v="Profit"/>
    <s v="Ananya Iyer"/>
    <x v="1"/>
    <x v="0"/>
    <s v="Chennai"/>
    <s v="Tamil Nadu"/>
    <s v="2025-10-16"/>
    <s v="26-35"/>
    <n v="487.46499999999997"/>
  </r>
  <r>
    <s v="ORD03570"/>
    <d v="2025-11-22T00:00:00"/>
    <s v="CUST0195"/>
    <x v="2"/>
    <x v="2"/>
    <n v="1"/>
    <n v="0.1"/>
    <n v="11700"/>
    <n v="-6672.36"/>
    <x v="1"/>
    <s v="Returned"/>
    <n v="11700"/>
    <n v="-57.028717948717947"/>
    <s v="Loss"/>
    <s v="Nisha Kulkarni"/>
    <x v="1"/>
    <x v="0"/>
    <s v="Coimbatore"/>
    <s v="Tamil Nadu"/>
    <s v="2024-04-23"/>
    <s v="18-25"/>
    <n v="-6672.36"/>
  </r>
  <r>
    <s v="ORD03571"/>
    <d v="2026-03-24T00:00:00"/>
    <s v="CUST0274"/>
    <x v="2"/>
    <x v="2"/>
    <n v="1"/>
    <n v="0.1"/>
    <n v="11700"/>
    <n v="2287.19"/>
    <x v="3"/>
    <s v="Shipped"/>
    <n v="11700"/>
    <n v="19.548632478632481"/>
    <s v="Profit"/>
    <s v="Meera Bose"/>
    <x v="1"/>
    <x v="0"/>
    <s v="Hyderabad"/>
    <s v="Telangana"/>
    <s v="2025-01-06"/>
    <s v="26-35"/>
    <n v="2287.19"/>
  </r>
  <r>
    <s v="ORD03572"/>
    <d v="2026-07-14T00:00:00"/>
    <s v="CUST0041"/>
    <x v="1"/>
    <x v="1"/>
    <n v="4"/>
    <n v="0.15"/>
    <n v="6120"/>
    <n v="2107.92"/>
    <x v="2"/>
    <s v="Delivered"/>
    <n v="1530"/>
    <n v="34.443137254901963"/>
    <s v="Profit"/>
    <s v="Priya Iyer"/>
    <x v="0"/>
    <x v="0"/>
    <s v="Hyderabad"/>
    <s v="Telangana"/>
    <s v="2023-09-13"/>
    <s v="26-35"/>
    <n v="526.98"/>
  </r>
  <r>
    <s v="ORD03573"/>
    <d v="2026-05-04T00:00:00"/>
    <s v="CUST0214"/>
    <x v="3"/>
    <x v="8"/>
    <n v="15"/>
    <n v="0.2"/>
    <n v="54000"/>
    <n v="15625.69"/>
    <x v="0"/>
    <s v="Shipped"/>
    <n v="3600"/>
    <n v="28.93646296296297"/>
    <s v="Profit"/>
    <s v="Ananya Rao"/>
    <x v="0"/>
    <x v="0"/>
    <s v="Hyderabad"/>
    <s v="Telangana"/>
    <s v="2023-07-14"/>
    <s v="51+"/>
    <n v="1041.712666666667"/>
  </r>
  <r>
    <s v="ORD03574"/>
    <d v="2026-05-10T00:00:00"/>
    <s v="CUST0475"/>
    <x v="1"/>
    <x v="13"/>
    <n v="5"/>
    <n v="0.1"/>
    <n v="18900"/>
    <n v="-10429.530000000001"/>
    <x v="0"/>
    <s v="Returned"/>
    <n v="3780"/>
    <n v="-55.182698412698407"/>
    <s v="Loss"/>
    <s v="Divya Verma"/>
    <x v="0"/>
    <x v="0"/>
    <s v="Bengaluru"/>
    <s v="Karnataka"/>
    <s v="2025-12-10"/>
    <s v="26-35"/>
    <n v="-2085.9059999999999"/>
  </r>
  <r>
    <s v="ORD03575"/>
    <d v="2026-08-16T00:00:00"/>
    <s v="CUST0223"/>
    <x v="2"/>
    <x v="9"/>
    <n v="5"/>
    <n v="0.1"/>
    <n v="40500"/>
    <n v="-8715.48"/>
    <x v="3"/>
    <s v="Cancelled"/>
    <n v="8100"/>
    <n v="-21.519703703703701"/>
    <s v="Loss"/>
    <s v="Akash Bose"/>
    <x v="0"/>
    <x v="0"/>
    <s v="Chennai"/>
    <s v="Tamil Nadu"/>
    <s v="2023-12-31"/>
    <s v="18-25"/>
    <n v="-1743.096"/>
  </r>
  <r>
    <s v="ORD03576"/>
    <d v="2026-03-11T00:00:00"/>
    <s v="CUST0388"/>
    <x v="2"/>
    <x v="2"/>
    <n v="2"/>
    <n v="0.2"/>
    <n v="20800"/>
    <n v="2605.4299999999998"/>
    <x v="2"/>
    <s v="Delivered"/>
    <n v="10400"/>
    <n v="12.526105769230769"/>
    <s v="Profit"/>
    <s v="Shreya Kulkarni"/>
    <x v="0"/>
    <x v="0"/>
    <s v="Bengaluru"/>
    <s v="Karnataka"/>
    <s v="2025-08-28"/>
    <s v="36-50"/>
    <n v="1302.7149999999999"/>
  </r>
  <r>
    <s v="ORD03577"/>
    <d v="2026-01-21T00:00:00"/>
    <s v="CUST0454"/>
    <x v="0"/>
    <x v="7"/>
    <n v="2"/>
    <n v="0"/>
    <n v="1800"/>
    <n v="560"/>
    <x v="0"/>
    <s v="Shipped"/>
    <n v="900"/>
    <n v="31.111111111111111"/>
    <s v="Profit"/>
    <s v="Kavya Pillai"/>
    <x v="2"/>
    <x v="2"/>
    <s v="Delhi"/>
    <s v="Delhi"/>
    <s v="2024-02-07"/>
    <s v="26-35"/>
    <n v="280"/>
  </r>
  <r>
    <s v="ORD03578"/>
    <d v="2025-11-25T00:00:00"/>
    <s v="CUST0216"/>
    <x v="3"/>
    <x v="11"/>
    <n v="1"/>
    <n v="0.15"/>
    <n v="2125"/>
    <n v="618.89"/>
    <x v="3"/>
    <s v="Delivered"/>
    <n v="2125"/>
    <n v="29.12423529411765"/>
    <s v="Profit"/>
    <s v="Karthik Mishra"/>
    <x v="0"/>
    <x v="0"/>
    <s v="Hyderabad"/>
    <s v="Telangana"/>
    <s v="2024-06-25"/>
    <s v="26-35"/>
    <n v="618.89"/>
  </r>
  <r>
    <s v="ORD03579"/>
    <d v="2025-10-10T00:00:00"/>
    <s v="CUST0329"/>
    <x v="3"/>
    <x v="11"/>
    <n v="2"/>
    <n v="0.15"/>
    <n v="4250"/>
    <n v="1235.46"/>
    <x v="1"/>
    <s v="Delivered"/>
    <n v="2125"/>
    <n v="29.069647058823531"/>
    <s v="Profit"/>
    <s v="Shreya Pillai"/>
    <x v="0"/>
    <x v="3"/>
    <s v="Bhubaneswar"/>
    <s v="Odisha"/>
    <s v="2024-08-08"/>
    <s v="26-35"/>
    <n v="617.73"/>
  </r>
  <r>
    <s v="ORD03580"/>
    <d v="2025-11-03T00:00:00"/>
    <s v="CUST0378"/>
    <x v="2"/>
    <x v="5"/>
    <n v="2"/>
    <n v="0.05"/>
    <n v="20900"/>
    <n v="4283.1000000000004"/>
    <x v="1"/>
    <s v="Delivered"/>
    <n v="10450"/>
    <n v="20.4933014354067"/>
    <s v="Profit"/>
    <s v="Aarav Joshi"/>
    <x v="2"/>
    <x v="0"/>
    <s v="Bengaluru"/>
    <s v="Karnataka"/>
    <s v="2025-12-14"/>
    <s v="26-35"/>
    <n v="2141.5500000000002"/>
  </r>
  <r>
    <s v="ORD03581"/>
    <d v="2025-08-10T00:00:00"/>
    <s v="CUST0412"/>
    <x v="3"/>
    <x v="10"/>
    <n v="1"/>
    <n v="0.2"/>
    <n v="44000"/>
    <n v="-14778.21"/>
    <x v="0"/>
    <s v="Cancelled"/>
    <n v="44000"/>
    <n v="-33.58684090909091"/>
    <s v="Loss"/>
    <s v="Akash Khan"/>
    <x v="0"/>
    <x v="0"/>
    <s v="Chennai"/>
    <s v="Tamil Nadu"/>
    <s v="2025-03-27"/>
    <s v="26-35"/>
    <n v="-14778.21"/>
  </r>
  <r>
    <s v="ORD03582"/>
    <d v="2026-06-12T00:00:00"/>
    <s v="CUST0325"/>
    <x v="1"/>
    <x v="1"/>
    <n v="4"/>
    <n v="0.1"/>
    <n v="6480"/>
    <n v="2206.59"/>
    <x v="2"/>
    <s v="Delivered"/>
    <n v="1620"/>
    <n v="34.052314814814807"/>
    <s v="Profit"/>
    <s v="Arjun Mishra"/>
    <x v="0"/>
    <x v="0"/>
    <s v="Chennai"/>
    <s v="Tamil Nadu"/>
    <s v="2023-05-08"/>
    <s v="51+"/>
    <n v="551.64750000000004"/>
  </r>
  <r>
    <s v="ORD03583"/>
    <d v="2026-04-11T00:00:00"/>
    <s v="CUST0133"/>
    <x v="1"/>
    <x v="15"/>
    <n v="5"/>
    <n v="0.2"/>
    <n v="8800"/>
    <n v="2737.48"/>
    <x v="1"/>
    <s v="Delivered"/>
    <n v="1760"/>
    <n v="31.107727272727271"/>
    <s v="Profit"/>
    <s v="Varun Reddy"/>
    <x v="0"/>
    <x v="1"/>
    <s v="Pune"/>
    <s v="Maharashtra"/>
    <s v="2023-11-14"/>
    <s v="26-35"/>
    <n v="547.49599999999998"/>
  </r>
  <r>
    <s v="ORD03584"/>
    <d v="2026-04-01T00:00:00"/>
    <s v="CUST0581"/>
    <x v="2"/>
    <x v="9"/>
    <n v="2"/>
    <n v="0"/>
    <n v="18000"/>
    <n v="4600"/>
    <x v="3"/>
    <s v="Delivered"/>
    <n v="9000"/>
    <n v="25.55555555555555"/>
    <s v="Profit"/>
    <s v="Aditya Naidu"/>
    <x v="0"/>
    <x v="0"/>
    <s v="Coimbatore"/>
    <s v="Tamil Nadu"/>
    <s v="2024-10-03"/>
    <s v="18-25"/>
    <n v="2300"/>
  </r>
  <r>
    <s v="ORD03585"/>
    <d v="2025-11-08T00:00:00"/>
    <s v="CUST0024"/>
    <x v="2"/>
    <x v="3"/>
    <n v="3"/>
    <n v="0.05"/>
    <n v="42750"/>
    <n v="9386.4"/>
    <x v="0"/>
    <s v="Delivered"/>
    <n v="14250"/>
    <n v="21.956491228070171"/>
    <s v="Profit"/>
    <s v="Lakshmi Pillai"/>
    <x v="1"/>
    <x v="0"/>
    <s v="Coimbatore"/>
    <s v="Tamil Nadu"/>
    <s v="2024-11-26"/>
    <s v="26-35"/>
    <n v="3128.8"/>
  </r>
  <r>
    <s v="ORD03586"/>
    <d v="2025-11-15T00:00:00"/>
    <s v="CUST0236"/>
    <x v="2"/>
    <x v="5"/>
    <n v="1"/>
    <n v="0.2"/>
    <n v="8800"/>
    <n v="956.16"/>
    <x v="2"/>
    <s v="Delivered"/>
    <n v="8800"/>
    <n v="10.865454545454551"/>
    <s v="Profit"/>
    <s v="Akash Sharma"/>
    <x v="0"/>
    <x v="3"/>
    <s v="Guwahati"/>
    <s v="Assam"/>
    <s v="2024-04-07"/>
    <s v="36-50"/>
    <n v="956.16"/>
  </r>
  <r>
    <s v="ORD03587"/>
    <d v="2026-02-03T00:00:00"/>
    <s v="CUST0062"/>
    <x v="0"/>
    <x v="14"/>
    <n v="2"/>
    <n v="0.1"/>
    <n v="810"/>
    <n v="165.86"/>
    <x v="1"/>
    <s v="Delivered"/>
    <n v="405"/>
    <n v="20.476543209876539"/>
    <s v="Profit"/>
    <s v="Harini Pillai"/>
    <x v="1"/>
    <x v="2"/>
    <s v="Jaipur"/>
    <s v="Rajasthan"/>
    <s v="2023-04-01"/>
    <s v="36-50"/>
    <n v="82.93"/>
  </r>
  <r>
    <s v="ORD03588"/>
    <d v="2025-12-31T00:00:00"/>
    <s v="CUST0549"/>
    <x v="0"/>
    <x v="7"/>
    <n v="1"/>
    <n v="0.15"/>
    <n v="765"/>
    <n v="167.97"/>
    <x v="1"/>
    <s v="Delivered"/>
    <n v="765"/>
    <n v="21.956862745098039"/>
    <s v="Profit"/>
    <s v="Lakshmi Das"/>
    <x v="0"/>
    <x v="1"/>
    <s v="Ahmedabad"/>
    <s v="Gujarat"/>
    <s v="2024-02-21"/>
    <s v="36-50"/>
    <n v="167.97"/>
  </r>
  <r>
    <s v="ORD03589"/>
    <d v="2025-12-24T00:00:00"/>
    <s v="CUST0404"/>
    <x v="0"/>
    <x v="7"/>
    <n v="1"/>
    <n v="0.05"/>
    <n v="855"/>
    <n v="257.77"/>
    <x v="1"/>
    <s v="Delivered"/>
    <n v="855"/>
    <n v="30.148538011695901"/>
    <s v="Profit"/>
    <s v="Pooja Kulkarni"/>
    <x v="0"/>
    <x v="1"/>
    <s v="Ahmedabad"/>
    <s v="Gujarat"/>
    <s v="2025-04-01"/>
    <s v="36-50"/>
    <n v="257.77"/>
  </r>
  <r>
    <s v="ORD03590"/>
    <d v="2026-02-01T00:00:00"/>
    <s v="CUST0475"/>
    <x v="3"/>
    <x v="4"/>
    <n v="1"/>
    <n v="0.05"/>
    <n v="17100"/>
    <n v="3011.38"/>
    <x v="0"/>
    <s v="Delivered"/>
    <n v="17100"/>
    <n v="17.61040935672515"/>
    <s v="Profit"/>
    <s v="Divya Verma"/>
    <x v="0"/>
    <x v="0"/>
    <s v="Bengaluru"/>
    <s v="Karnataka"/>
    <s v="2025-12-10"/>
    <s v="26-35"/>
    <n v="3011.38"/>
  </r>
  <r>
    <s v="ORD03591"/>
    <d v="2026-06-04T00:00:00"/>
    <s v="CUST0238"/>
    <x v="2"/>
    <x v="3"/>
    <n v="3"/>
    <n v="0.05"/>
    <n v="42750"/>
    <n v="9060.84"/>
    <x v="2"/>
    <s v="Delivered"/>
    <n v="14250"/>
    <n v="21.194947368421051"/>
    <s v="Profit"/>
    <s v="Vikram Sharma"/>
    <x v="2"/>
    <x v="0"/>
    <s v="Bengaluru"/>
    <s v="Karnataka"/>
    <s v="2025-03-30"/>
    <s v="26-35"/>
    <n v="3020.28"/>
  </r>
  <r>
    <s v="ORD03592"/>
    <d v="2025-07-31T00:00:00"/>
    <s v="CUST0155"/>
    <x v="2"/>
    <x v="3"/>
    <n v="1"/>
    <n v="0.1"/>
    <n v="13500"/>
    <n v="2597.52"/>
    <x v="3"/>
    <s v="Delivered"/>
    <n v="13500"/>
    <n v="19.24088888888889"/>
    <s v="Profit"/>
    <s v="Ishaan Sharma"/>
    <x v="0"/>
    <x v="0"/>
    <s v="Bengaluru"/>
    <s v="Karnataka"/>
    <s v="2023-07-08"/>
    <s v="26-35"/>
    <n v="2597.52"/>
  </r>
  <r>
    <s v="ORD03593"/>
    <d v="2026-08-11T00:00:00"/>
    <s v="CUST0015"/>
    <x v="0"/>
    <x v="7"/>
    <n v="1"/>
    <n v="0.05"/>
    <n v="855"/>
    <n v="243.5"/>
    <x v="0"/>
    <s v="Delivered"/>
    <n v="855"/>
    <n v="28.479532163742689"/>
    <s v="Profit"/>
    <s v="Diya Pillai"/>
    <x v="1"/>
    <x v="0"/>
    <s v="Coimbatore"/>
    <s v="Tamil Nadu"/>
    <s v="2024-09-16"/>
    <s v="51+"/>
    <n v="243.5"/>
  </r>
  <r>
    <s v="ORD03594"/>
    <d v="2025-07-24T00:00:00"/>
    <s v="CUST0248"/>
    <x v="0"/>
    <x v="0"/>
    <n v="1"/>
    <n v="0"/>
    <n v="14000"/>
    <n v="2800"/>
    <x v="2"/>
    <s v="Shipped"/>
    <n v="14000"/>
    <n v="20"/>
    <s v="Profit"/>
    <s v="Meera Das"/>
    <x v="1"/>
    <x v="2"/>
    <s v="Chandigarh"/>
    <s v="Chandigarh"/>
    <s v="2024-12-30"/>
    <s v="18-25"/>
    <n v="2800"/>
  </r>
  <r>
    <s v="ORD03595"/>
    <d v="2025-11-08T00:00:00"/>
    <s v="CUST0108"/>
    <x v="3"/>
    <x v="4"/>
    <n v="1"/>
    <n v="0.05"/>
    <n v="17100"/>
    <n v="2898.09"/>
    <x v="2"/>
    <s v="Delivered"/>
    <n v="17100"/>
    <n v="16.947894736842109"/>
    <s v="Profit"/>
    <s v="Ananya Sharma"/>
    <x v="1"/>
    <x v="2"/>
    <s v="Chandigarh"/>
    <s v="Chandigarh"/>
    <s v="2025-12-04"/>
    <s v="26-35"/>
    <n v="2898.09"/>
  </r>
  <r>
    <s v="ORD03596"/>
    <d v="2025-08-24T00:00:00"/>
    <s v="CUST0409"/>
    <x v="1"/>
    <x v="12"/>
    <n v="1"/>
    <n v="0"/>
    <n v="1400"/>
    <n v="500"/>
    <x v="3"/>
    <s v="Delivered"/>
    <n v="1400"/>
    <n v="35.714285714285722"/>
    <s v="Profit"/>
    <s v="Arjun Khan"/>
    <x v="2"/>
    <x v="2"/>
    <s v="Chandigarh"/>
    <s v="Chandigarh"/>
    <s v="2025-06-20"/>
    <s v="18-25"/>
    <n v="500"/>
  </r>
  <r>
    <s v="ORD03597"/>
    <d v="2026-02-04T00:00:00"/>
    <s v="CUST0549"/>
    <x v="2"/>
    <x v="9"/>
    <n v="2"/>
    <n v="0.1"/>
    <n v="16200"/>
    <n v="3462.44"/>
    <x v="1"/>
    <s v="Shipped"/>
    <n v="8100"/>
    <n v="21.37308641975309"/>
    <s v="Profit"/>
    <s v="Lakshmi Das"/>
    <x v="0"/>
    <x v="1"/>
    <s v="Ahmedabad"/>
    <s v="Gujarat"/>
    <s v="2024-02-21"/>
    <s v="36-50"/>
    <n v="1731.22"/>
  </r>
  <r>
    <s v="ORD03598"/>
    <d v="2026-08-29T00:00:00"/>
    <s v="CUST0223"/>
    <x v="0"/>
    <x v="6"/>
    <n v="1"/>
    <n v="0.15"/>
    <n v="297.5"/>
    <n v="-154.53"/>
    <x v="2"/>
    <s v="Cancelled"/>
    <n v="297.5"/>
    <n v="-51.942857142857143"/>
    <s v="Loss"/>
    <s v="Akash Bose"/>
    <x v="0"/>
    <x v="0"/>
    <s v="Chennai"/>
    <s v="Tamil Nadu"/>
    <s v="2023-12-31"/>
    <s v="18-25"/>
    <n v="-154.53"/>
  </r>
  <r>
    <s v="ORD03599"/>
    <d v="2026-01-10T00:00:00"/>
    <s v="CUST0436"/>
    <x v="3"/>
    <x v="8"/>
    <n v="4"/>
    <n v="0.15"/>
    <n v="15300"/>
    <n v="4114.83"/>
    <x v="3"/>
    <s v="Delivered"/>
    <n v="3825"/>
    <n v="26.894313725490189"/>
    <s v="Profit"/>
    <s v="Divya Patel"/>
    <x v="0"/>
    <x v="1"/>
    <s v="Surat"/>
    <s v="Gujarat"/>
    <s v="2025-10-12"/>
    <s v="26-35"/>
    <n v="1028.7075"/>
  </r>
  <r>
    <s v="ORD03600"/>
    <d v="2026-01-02T00:00:00"/>
    <s v="CUST0073"/>
    <x v="3"/>
    <x v="4"/>
    <n v="1"/>
    <n v="0.15"/>
    <n v="15300"/>
    <n v="-8586.65"/>
    <x v="1"/>
    <s v="Returned"/>
    <n v="15300"/>
    <n v="-56.121895424836602"/>
    <s v="Loss"/>
    <s v="Kavya Pillai"/>
    <x v="0"/>
    <x v="0"/>
    <s v="Hyderabad"/>
    <s v="Telangana"/>
    <s v="2023-04-01"/>
    <s v="26-35"/>
    <n v="-8586.65"/>
  </r>
  <r>
    <s v="ORD03601"/>
    <d v="2026-06-13T00:00:00"/>
    <s v="CUST0170"/>
    <x v="3"/>
    <x v="11"/>
    <n v="150"/>
    <n v="0"/>
    <n v="6187500"/>
    <n v="-309375"/>
    <x v="1"/>
    <s v="Delivered"/>
    <n v="41250"/>
    <n v="-5"/>
    <s v="Loss"/>
    <s v="Meera Iyer"/>
    <x v="2"/>
    <x v="0"/>
    <s v="Hyderabad"/>
    <s v="Telangana"/>
    <s v="2025-04-02"/>
    <s v="36-50"/>
    <n v="-2062.5"/>
  </r>
  <r>
    <s v="ORD03602"/>
    <d v="2026-08-13T00:00:00"/>
    <s v="CUST0181"/>
    <x v="0"/>
    <x v="7"/>
    <n v="1"/>
    <n v="0.1"/>
    <n v="810"/>
    <n v="237.89"/>
    <x v="1"/>
    <s v="Shipped"/>
    <n v="810"/>
    <n v="29.369135802469131"/>
    <s v="Profit"/>
    <s v="Rohan Iyer"/>
    <x v="1"/>
    <x v="1"/>
    <s v="Surat"/>
    <s v="Gujarat"/>
    <s v="2023-03-20"/>
    <s v="36-50"/>
    <n v="237.89"/>
  </r>
  <r>
    <s v="ORD03603"/>
    <d v="2026-08-28T00:00:00"/>
    <s v="CUST0300"/>
    <x v="2"/>
    <x v="2"/>
    <n v="2"/>
    <n v="0.15"/>
    <n v="22100"/>
    <n v="-2388.04"/>
    <x v="2"/>
    <s v="Returned"/>
    <n v="11050"/>
    <n v="-10.80561085972851"/>
    <s v="Loss"/>
    <s v="Ananya Patel"/>
    <x v="0"/>
    <x v="2"/>
    <s v="Chandigarh"/>
    <s v="Chandigarh"/>
    <s v="2025-08-18"/>
    <s v="18-25"/>
    <n v="-1194.02"/>
  </r>
  <r>
    <s v="ORD03604"/>
    <d v="2026-04-30T00:00:00"/>
    <s v="CUST0427"/>
    <x v="0"/>
    <x v="14"/>
    <n v="4"/>
    <n v="0.05"/>
    <n v="1710"/>
    <n v="363.79"/>
    <x v="0"/>
    <s v="Delivered"/>
    <n v="427.5"/>
    <n v="21.274269005847959"/>
    <s v="Profit"/>
    <s v="Nisha Mehta"/>
    <x v="1"/>
    <x v="0"/>
    <s v="Chennai"/>
    <s v="Tamil Nadu"/>
    <s v="2025-08-11"/>
    <s v="51+"/>
    <n v="90.947500000000005"/>
  </r>
  <r>
    <s v="ORD03605"/>
    <d v="2025-11-30T00:00:00"/>
    <s v="CUST0298"/>
    <x v="1"/>
    <x v="15"/>
    <n v="1"/>
    <n v="0.15"/>
    <n v="1870"/>
    <n v="-477.49"/>
    <x v="3"/>
    <s v="Returned"/>
    <n v="1870"/>
    <n v="-25.534224598930479"/>
    <s v="Loss"/>
    <s v="Diya Joshi"/>
    <x v="0"/>
    <x v="0"/>
    <s v="Chennai"/>
    <s v="Tamil Nadu"/>
    <s v="2025-01-10"/>
    <s v="18-25"/>
    <n v="-477.49"/>
  </r>
  <r>
    <s v="ORD03606"/>
    <d v="2025-09-23T00:00:00"/>
    <s v="CUST0061"/>
    <x v="2"/>
    <x v="3"/>
    <n v="2"/>
    <n v="0.05"/>
    <n v="28500"/>
    <n v="6321.68"/>
    <x v="2"/>
    <s v="Delivered"/>
    <n v="14250"/>
    <n v="22.181333333333331"/>
    <s v="Profit"/>
    <s v="Meera Kulkarni"/>
    <x v="0"/>
    <x v="0"/>
    <s v="Bengaluru"/>
    <s v="Karnataka"/>
    <s v="2024-11-07"/>
    <s v="18-25"/>
    <n v="3160.84"/>
  </r>
  <r>
    <s v="ORD03607"/>
    <d v="2026-06-29T00:00:00"/>
    <s v="CUST0025"/>
    <x v="0"/>
    <x v="7"/>
    <n v="5"/>
    <n v="0.1"/>
    <n v="4050"/>
    <n v="1036.0899999999999"/>
    <x v="0"/>
    <s v="Delivered"/>
    <n v="810"/>
    <n v="25.582469135802469"/>
    <s v="Profit"/>
    <s v="Aditya Rao"/>
    <x v="0"/>
    <x v="2"/>
    <s v="Chandigarh"/>
    <s v="Chandigarh"/>
    <s v="2025-12-16"/>
    <s v="26-35"/>
    <n v="207.21799999999999"/>
  </r>
  <r>
    <s v="ORD03608"/>
    <d v="2025-12-15T00:00:00"/>
    <s v="CUST0379"/>
    <x v="0"/>
    <x v="6"/>
    <n v="2"/>
    <n v="0.15"/>
    <n v="595"/>
    <n v="181.08"/>
    <x v="2"/>
    <s v="Delivered"/>
    <n v="297.5"/>
    <n v="30.43361344537815"/>
    <s v="Profit"/>
    <s v="Sneha Pillai"/>
    <x v="0"/>
    <x v="1"/>
    <s v="Surat"/>
    <s v="Gujarat"/>
    <s v="2024-06-25"/>
    <s v="18-25"/>
    <n v="90.54"/>
  </r>
  <r>
    <s v="ORD03609"/>
    <d v="2025-11-05T00:00:00"/>
    <s v="CUST0499"/>
    <x v="2"/>
    <x v="3"/>
    <n v="5"/>
    <n v="0.2"/>
    <n v="60000"/>
    <n v="6953.85"/>
    <x v="1"/>
    <s v="Delivered"/>
    <n v="12000"/>
    <n v="11.58975"/>
    <s v="Profit"/>
    <s v="Meera Singh"/>
    <x v="0"/>
    <x v="1"/>
    <s v="Pune"/>
    <s v="Maharashtra"/>
    <s v="2025-06-01"/>
    <s v="36-50"/>
    <n v="1390.77"/>
  </r>
  <r>
    <s v="ORD03610"/>
    <d v="2026-07-18T00:00:00"/>
    <s v="CUST0198"/>
    <x v="3"/>
    <x v="4"/>
    <n v="2"/>
    <n v="0"/>
    <n v="36000"/>
    <n v="-7830.63"/>
    <x v="3"/>
    <s v="Cancelled"/>
    <n v="18000"/>
    <n v="-21.751750000000001"/>
    <s v="Loss"/>
    <s v="Varun Joshi"/>
    <x v="1"/>
    <x v="3"/>
    <s v="Bhubaneswar"/>
    <s v="Odisha"/>
    <s v="2024-08-06"/>
    <s v="36-50"/>
    <n v="-3915.3150000000001"/>
  </r>
  <r>
    <s v="ORD03611"/>
    <d v="2025-09-30T00:00:00"/>
    <s v="CUST0520"/>
    <x v="1"/>
    <x v="15"/>
    <n v="3"/>
    <n v="0"/>
    <n v="6600"/>
    <n v="2250"/>
    <x v="2"/>
    <s v="Shipped"/>
    <n v="2200"/>
    <n v="34.090909090909093"/>
    <s v="Profit"/>
    <s v="Karthik Chopra"/>
    <x v="0"/>
    <x v="0"/>
    <s v="Chennai"/>
    <s v="Tamil Nadu"/>
    <s v="2023-12-09"/>
    <s v="26-35"/>
    <n v="750"/>
  </r>
  <r>
    <s v="ORD03612"/>
    <d v="2026-05-29T00:00:00"/>
    <s v="CUST0402"/>
    <x v="3"/>
    <x v="8"/>
    <n v="2"/>
    <n v="0"/>
    <n v="9000"/>
    <n v="3000"/>
    <x v="2"/>
    <s v="Shipped"/>
    <n v="4500"/>
    <n v="33.333333333333329"/>
    <s v="Profit"/>
    <s v="Diya Pillai"/>
    <x v="1"/>
    <x v="0"/>
    <s v="Chennai"/>
    <s v="Tamil Nadu"/>
    <s v="2025-08-08"/>
    <s v="36-50"/>
    <n v="1500"/>
  </r>
  <r>
    <s v="ORD03613"/>
    <d v="2026-06-22T00:00:00"/>
    <s v="CUST0553"/>
    <x v="1"/>
    <x v="15"/>
    <n v="1"/>
    <n v="0"/>
    <n v="2200"/>
    <n v="750"/>
    <x v="3"/>
    <s v="Delivered"/>
    <n v="2200"/>
    <n v="34.090909090909093"/>
    <s v="Profit"/>
    <s v="Diya Mishra"/>
    <x v="2"/>
    <x v="0"/>
    <s v="Coimbatore"/>
    <s v="Tamil Nadu"/>
    <s v="2025-01-24"/>
    <s v="36-50"/>
    <n v="750"/>
  </r>
  <r>
    <s v="ORD03614"/>
    <d v="2026-04-19T00:00:00"/>
    <s v="CUST0253"/>
    <x v="3"/>
    <x v="8"/>
    <n v="10"/>
    <n v="0"/>
    <n v="45000"/>
    <n v="15000"/>
    <x v="3"/>
    <s v="Delivered"/>
    <n v="4500"/>
    <n v="33.333333333333329"/>
    <s v="Profit"/>
    <s v="Manoj Joshi"/>
    <x v="1"/>
    <x v="1"/>
    <s v="Ahmedabad"/>
    <s v="Gujarat"/>
    <s v="2025-01-11"/>
    <s v="36-50"/>
    <n v="1500"/>
  </r>
  <r>
    <s v="ORD03615"/>
    <d v="2026-07-07T00:00:00"/>
    <s v="CUST0245"/>
    <x v="2"/>
    <x v="3"/>
    <n v="3"/>
    <n v="0.1"/>
    <n v="40500"/>
    <n v="8141.46"/>
    <x v="1"/>
    <s v="Delivered"/>
    <n v="13500"/>
    <n v="20.10237037037037"/>
    <s v="Profit"/>
    <s v="Shreya Sharma"/>
    <x v="0"/>
    <x v="2"/>
    <s v="Lucknow"/>
    <s v="Uttar Pradesh"/>
    <s v="2024-04-20"/>
    <s v="51+"/>
    <n v="2713.82"/>
  </r>
  <r>
    <s v="ORD03616"/>
    <d v="2025-12-09T00:00:00"/>
    <s v="CUST0550"/>
    <x v="3"/>
    <x v="8"/>
    <n v="1"/>
    <n v="0.1"/>
    <n v="4050"/>
    <n v="1143.5999999999999"/>
    <x v="0"/>
    <s v="Delivered"/>
    <n v="4050"/>
    <n v="28.23703703703703"/>
    <s v="Profit"/>
    <s v="Sneha Pillai"/>
    <x v="0"/>
    <x v="1"/>
    <s v="Mumbai"/>
    <s v="Maharashtra"/>
    <s v="2025-02-28"/>
    <s v="36-50"/>
    <n v="1143.5999999999999"/>
  </r>
  <r>
    <s v="ORD03617"/>
    <d v="2026-07-03T00:00:00"/>
    <s v="CUST0544"/>
    <x v="3"/>
    <x v="10"/>
    <n v="1"/>
    <n v="0.1"/>
    <n v="49500"/>
    <n v="4919.1400000000003"/>
    <x v="2"/>
    <s v="Delivered"/>
    <n v="49500"/>
    <n v="9.9376565656565656"/>
    <s v="Profit"/>
    <s v="Rohan Menon"/>
    <x v="1"/>
    <x v="0"/>
    <s v="Hyderabad"/>
    <s v="Telangana"/>
    <s v="2024-05-08"/>
    <s v="26-35"/>
    <n v="4919.1400000000003"/>
  </r>
  <r>
    <s v="ORD03618"/>
    <d v="2026-05-15T00:00:00"/>
    <s v="CUST0152"/>
    <x v="3"/>
    <x v="8"/>
    <n v="1"/>
    <n v="0"/>
    <n v="4500"/>
    <n v="1500"/>
    <x v="0"/>
    <s v="Delivered"/>
    <n v="4500"/>
    <n v="33.333333333333329"/>
    <s v="Profit"/>
    <s v="Harini Rao"/>
    <x v="0"/>
    <x v="0"/>
    <s v="Coimbatore"/>
    <s v="Tamil Nadu"/>
    <s v="2025-12-02"/>
    <s v="51+"/>
    <n v="1500"/>
  </r>
  <r>
    <s v="ORD03619"/>
    <d v="2026-08-01T00:00:00"/>
    <s v="CUST0119"/>
    <x v="0"/>
    <x v="7"/>
    <n v="4"/>
    <n v="0.15"/>
    <n v="3060"/>
    <n v="726.45"/>
    <x v="1"/>
    <s v="Delivered"/>
    <n v="765"/>
    <n v="23.740196078431371"/>
    <s v="Profit"/>
    <s v="Divya Naidu"/>
    <x v="1"/>
    <x v="0"/>
    <s v="Coimbatore"/>
    <s v="Tamil Nadu"/>
    <s v="2023-05-25"/>
    <s v="36-50"/>
    <n v="181.61250000000001"/>
  </r>
  <r>
    <s v="ORD03620"/>
    <d v="2026-06-28T00:00:00"/>
    <s v="CUST0016"/>
    <x v="3"/>
    <x v="11"/>
    <n v="2"/>
    <n v="0"/>
    <n v="5000"/>
    <n v="1600"/>
    <x v="2"/>
    <s v="Delivered"/>
    <n v="2500"/>
    <n v="32"/>
    <s v="Profit"/>
    <s v="Ananya Menon"/>
    <x v="0"/>
    <x v="2"/>
    <s v="Jaipur"/>
    <s v="Rajasthan"/>
    <s v="2023-11-11"/>
    <s v="18-25"/>
    <n v="800"/>
  </r>
  <r>
    <s v="ORD03621"/>
    <d v="2026-07-28T00:00:00"/>
    <s v="CUST0440"/>
    <x v="1"/>
    <x v="15"/>
    <n v="2"/>
    <n v="0.05"/>
    <n v="4180"/>
    <n v="1332.32"/>
    <x v="1"/>
    <s v="Delivered"/>
    <n v="2090"/>
    <n v="31.87368421052631"/>
    <s v="Profit"/>
    <s v="Harini Sharma"/>
    <x v="1"/>
    <x v="0"/>
    <s v="Hyderabad"/>
    <s v="Telangana"/>
    <s v="2024-06-03"/>
    <s v="18-25"/>
    <n v="666.16"/>
  </r>
  <r>
    <s v="ORD03622"/>
    <d v="2025-07-11T00:00:00"/>
    <s v="CUST0038"/>
    <x v="0"/>
    <x v="7"/>
    <n v="1"/>
    <n v="0"/>
    <n v="900"/>
    <n v="280"/>
    <x v="3"/>
    <s v="Delivered"/>
    <n v="900"/>
    <n v="31.111111111111111"/>
    <s v="Profit"/>
    <s v="Harini Sharma"/>
    <x v="2"/>
    <x v="0"/>
    <s v="Coimbatore"/>
    <s v="Tamil Nadu"/>
    <s v="2024-06-22"/>
    <s v="36-50"/>
    <n v="280"/>
  </r>
  <r>
    <s v="ORD03623"/>
    <d v="2026-02-16T00:00:00"/>
    <s v="CUST0015"/>
    <x v="0"/>
    <x v="7"/>
    <n v="2"/>
    <n v="0.05"/>
    <n v="1710"/>
    <n v="516.13"/>
    <x v="2"/>
    <s v="Delivered"/>
    <n v="855"/>
    <n v="30.183040935672519"/>
    <s v="Profit"/>
    <s v="Diya Pillai"/>
    <x v="1"/>
    <x v="0"/>
    <s v="Coimbatore"/>
    <s v="Tamil Nadu"/>
    <s v="2024-09-16"/>
    <s v="51+"/>
    <n v="258.065"/>
  </r>
  <r>
    <s v="ORD03624"/>
    <d v="2025-12-10T00:00:00"/>
    <s v="CUST0278"/>
    <x v="0"/>
    <x v="7"/>
    <n v="1"/>
    <n v="0.1"/>
    <n v="810"/>
    <n v="233.18"/>
    <x v="2"/>
    <s v="Delivered"/>
    <n v="810"/>
    <n v="28.787654320987659"/>
    <s v="Profit"/>
    <s v="Sneha Mehta"/>
    <x v="1"/>
    <x v="3"/>
    <s v="Guwahati"/>
    <s v="Assam"/>
    <s v="2025-03-21"/>
    <s v="26-35"/>
    <n v="233.18"/>
  </r>
  <r>
    <s v="ORD03625"/>
    <d v="2025-07-05T00:00:00"/>
    <s v="CUST0034"/>
    <x v="2"/>
    <x v="2"/>
    <n v="2"/>
    <n v="0"/>
    <n v="26000"/>
    <n v="6400"/>
    <x v="2"/>
    <s v="Delivered"/>
    <n v="13000"/>
    <n v="24.61538461538462"/>
    <s v="Profit"/>
    <s v="Meera Bose"/>
    <x v="0"/>
    <x v="1"/>
    <s v="Ahmedabad"/>
    <s v="Gujarat"/>
    <s v="2023-01-29"/>
    <s v="18-25"/>
    <n v="3200"/>
  </r>
  <r>
    <s v="ORD03626"/>
    <d v="2026-06-30T00:00:00"/>
    <s v="CUST0560"/>
    <x v="0"/>
    <x v="6"/>
    <n v="1"/>
    <n v="0.1"/>
    <n v="315"/>
    <n v="91.9"/>
    <x v="1"/>
    <s v="Delivered"/>
    <n v="315"/>
    <n v="29.17460317460317"/>
    <s v="Profit"/>
    <s v="Rohan Rao"/>
    <x v="0"/>
    <x v="0"/>
    <s v="Bengaluru"/>
    <s v="Karnataka"/>
    <s v="2023-05-29"/>
    <s v="18-25"/>
    <n v="91.9"/>
  </r>
  <r>
    <s v="ORD03627"/>
    <d v="2026-02-26T00:00:00"/>
    <s v="CUST0167"/>
    <x v="3"/>
    <x v="11"/>
    <n v="2"/>
    <n v="0.1"/>
    <n v="4500"/>
    <n v="1299.6500000000001"/>
    <x v="2"/>
    <s v="Delivered"/>
    <n v="2250"/>
    <n v="28.88111111111111"/>
    <s v="Profit"/>
    <s v="Aarav Mehta"/>
    <x v="0"/>
    <x v="0"/>
    <s v="Hyderabad"/>
    <s v="Telangana"/>
    <s v="2024-10-15"/>
    <s v="51+"/>
    <n v="649.82500000000005"/>
  </r>
  <r>
    <s v="ORD03628"/>
    <d v="2025-07-02T00:00:00"/>
    <s v="CUST0322"/>
    <x v="3"/>
    <x v="8"/>
    <n v="6"/>
    <n v="0"/>
    <n v="27000"/>
    <n v="9000"/>
    <x v="2"/>
    <s v="Delivered"/>
    <n v="4500"/>
    <n v="33.333333333333329"/>
    <s v="Profit"/>
    <s v="Ananya Joshi"/>
    <x v="0"/>
    <x v="2"/>
    <s v="Delhi"/>
    <s v="Delhi"/>
    <s v="2025-01-13"/>
    <s v="26-35"/>
    <n v="1500"/>
  </r>
  <r>
    <s v="ORD03629"/>
    <d v="2025-12-19T00:00:00"/>
    <s v="CUST0573"/>
    <x v="0"/>
    <x v="7"/>
    <n v="1"/>
    <n v="0.1"/>
    <n v="810"/>
    <n v="230.49"/>
    <x v="2"/>
    <s v="Delivered"/>
    <n v="810"/>
    <n v="28.455555555555559"/>
    <s v="Profit"/>
    <s v="Aditya Pillai"/>
    <x v="0"/>
    <x v="1"/>
    <s v="Surat"/>
    <s v="Gujarat"/>
    <s v="2024-03-11"/>
    <s v="18-25"/>
    <n v="230.49"/>
  </r>
  <r>
    <s v="ORD03630"/>
    <d v="2026-07-23T00:00:00"/>
    <s v="CUST0505"/>
    <x v="1"/>
    <x v="13"/>
    <n v="3"/>
    <n v="0"/>
    <n v="12600"/>
    <n v="3600"/>
    <x v="2"/>
    <s v="Delivered"/>
    <n v="4200"/>
    <n v="28.571428571428569"/>
    <s v="Profit"/>
    <s v="Aarav Pillai"/>
    <x v="0"/>
    <x v="2"/>
    <s v="Lucknow"/>
    <s v="Uttar Pradesh"/>
    <s v="2025-05-09"/>
    <s v="51+"/>
    <n v="1200"/>
  </r>
  <r>
    <s v="ORD03631"/>
    <d v="2026-01-01T00:00:00"/>
    <s v="CUST0161"/>
    <x v="2"/>
    <x v="5"/>
    <n v="1"/>
    <n v="0"/>
    <n v="11000"/>
    <n v="2600"/>
    <x v="1"/>
    <s v="Shipped"/>
    <n v="11000"/>
    <n v="23.63636363636364"/>
    <s v="Profit"/>
    <s v="Rohan Reddy"/>
    <x v="2"/>
    <x v="0"/>
    <s v="Bengaluru"/>
    <s v="Karnataka"/>
    <s v="2025-07-10"/>
    <s v="51+"/>
    <n v="2600"/>
  </r>
  <r>
    <s v="ORD03632"/>
    <d v="2025-10-17T00:00:00"/>
    <s v="CUST0220"/>
    <x v="3"/>
    <x v="11"/>
    <n v="1"/>
    <n v="0.15"/>
    <n v="2125"/>
    <n v="563.22"/>
    <x v="1"/>
    <s v="Delivered"/>
    <n v="2125"/>
    <n v="26.5044705882353"/>
    <s v="Profit"/>
    <s v="Pooja Kulkarni"/>
    <x v="0"/>
    <x v="1"/>
    <s v="Surat"/>
    <s v="Gujarat"/>
    <s v="2024-05-02"/>
    <s v="18-25"/>
    <n v="563.22"/>
  </r>
  <r>
    <s v="ORD03633"/>
    <d v="2026-06-13T00:00:00"/>
    <s v="CUST0516"/>
    <x v="2"/>
    <x v="2"/>
    <n v="1"/>
    <n v="0.05"/>
    <n v="12350"/>
    <n v="2830.87"/>
    <x v="1"/>
    <s v="Delivered"/>
    <n v="12350"/>
    <n v="22.92202429149798"/>
    <s v="Profit"/>
    <s v="Rahul Mishra"/>
    <x v="1"/>
    <x v="0"/>
    <s v="Hyderabad"/>
    <s v="Telangana"/>
    <s v="2024-01-31"/>
    <s v="26-35"/>
    <n v="2830.87"/>
  </r>
  <r>
    <s v="ORD03634"/>
    <d v="2026-06-20T00:00:00"/>
    <s v="CUST0066"/>
    <x v="3"/>
    <x v="8"/>
    <n v="1"/>
    <n v="0.1"/>
    <n v="4050"/>
    <n v="1128.94"/>
    <x v="0"/>
    <s v="Delivered"/>
    <n v="4050"/>
    <n v="27.87506172839506"/>
    <s v="Profit"/>
    <s v="Aarav Gupta"/>
    <x v="0"/>
    <x v="2"/>
    <s v="Jaipur"/>
    <s v="Rajasthan"/>
    <s v="2024-06-18"/>
    <s v="51+"/>
    <n v="1128.94"/>
  </r>
  <r>
    <s v="ORD03635"/>
    <d v="2026-01-19T00:00:00"/>
    <s v="CUST0359"/>
    <x v="3"/>
    <x v="10"/>
    <n v="4"/>
    <n v="0.15"/>
    <n v="187000"/>
    <n v="-37556.92"/>
    <x v="3"/>
    <s v="Cancelled"/>
    <n v="46750"/>
    <n v="-20.083914438502671"/>
    <s v="Loss"/>
    <s v="Ananya Mishra"/>
    <x v="0"/>
    <x v="0"/>
    <s v="Bengaluru"/>
    <s v="Karnataka"/>
    <s v="2024-05-22"/>
    <s v="26-35"/>
    <n v="-9389.23"/>
  </r>
  <r>
    <s v="ORD03636"/>
    <d v="2026-03-05T00:00:00"/>
    <s v="CUST0121"/>
    <x v="1"/>
    <x v="1"/>
    <n v="1"/>
    <n v="0.1"/>
    <n v="1620"/>
    <n v="532.66999999999996"/>
    <x v="0"/>
    <s v="Delivered"/>
    <n v="1620"/>
    <n v="32.880864197530862"/>
    <s v="Profit"/>
    <s v="Meera Menon"/>
    <x v="0"/>
    <x v="0"/>
    <s v="Bengaluru"/>
    <s v="Karnataka"/>
    <s v="2023-11-16"/>
    <s v="26-35"/>
    <n v="532.66999999999996"/>
  </r>
  <r>
    <s v="ORD03637"/>
    <d v="2025-09-14T00:00:00"/>
    <s v="CUST0538"/>
    <x v="3"/>
    <x v="8"/>
    <n v="6"/>
    <n v="0.1"/>
    <n v="24300"/>
    <n v="-11796.48"/>
    <x v="3"/>
    <s v="Cancelled"/>
    <n v="4050"/>
    <n v="-48.545185185185183"/>
    <s v="Loss"/>
    <s v="Sanjay Chopra"/>
    <x v="1"/>
    <x v="0"/>
    <s v="Coimbatore"/>
    <s v="Tamil Nadu"/>
    <s v="2024-01-09"/>
    <s v="36-50"/>
    <n v="-1966.08"/>
  </r>
  <r>
    <s v="ORD03638"/>
    <d v="2025-11-16T00:00:00"/>
    <s v="CUST0156"/>
    <x v="2"/>
    <x v="2"/>
    <n v="2"/>
    <n v="0.1"/>
    <n v="23400"/>
    <n v="5010.6899999999996"/>
    <x v="2"/>
    <s v="Delivered"/>
    <n v="11700"/>
    <n v="21.413205128205131"/>
    <s v="Profit"/>
    <s v="Meera Patel"/>
    <x v="2"/>
    <x v="0"/>
    <s v="Coimbatore"/>
    <s v="Tamil Nadu"/>
    <s v="2024-10-11"/>
    <s v="26-35"/>
    <n v="2505.3449999999998"/>
  </r>
  <r>
    <s v="ORD03639"/>
    <d v="2026-08-10T00:00:00"/>
    <s v="CUST0466"/>
    <x v="0"/>
    <x v="6"/>
    <n v="2"/>
    <n v="0.05"/>
    <n v="665"/>
    <n v="220.92"/>
    <x v="3"/>
    <s v="Delivered"/>
    <n v="332.5"/>
    <n v="33.221052631578942"/>
    <s v="Profit"/>
    <s v="Manoj Gupta"/>
    <x v="0"/>
    <x v="3"/>
    <s v="Patna"/>
    <s v="Bihar"/>
    <s v="2024-05-02"/>
    <s v="26-35"/>
    <n v="110.46"/>
  </r>
  <r>
    <s v="ORD03640"/>
    <d v="2026-05-21T00:00:00"/>
    <s v="CUST0547"/>
    <x v="3"/>
    <x v="4"/>
    <n v="1"/>
    <n v="0.1"/>
    <n v="16200"/>
    <n v="-2935.27"/>
    <x v="2"/>
    <s v="Returned"/>
    <n v="16200"/>
    <n v="-18.11895061728395"/>
    <s v="Loss"/>
    <s v="Priya Naidu"/>
    <x v="0"/>
    <x v="2"/>
    <s v="Lucknow"/>
    <s v="Uttar Pradesh"/>
    <s v="2024-03-14"/>
    <s v="51+"/>
    <n v="-2935.27"/>
  </r>
  <r>
    <s v="ORD03641"/>
    <d v="2025-07-09T00:00:00"/>
    <s v="CUST0314"/>
    <x v="0"/>
    <x v="0"/>
    <n v="6"/>
    <n v="0"/>
    <n v="84000"/>
    <n v="16800"/>
    <x v="2"/>
    <s v="Delivered"/>
    <n v="14000"/>
    <n v="20"/>
    <s v="Profit"/>
    <s v="Aarav Mishra"/>
    <x v="0"/>
    <x v="0"/>
    <s v="Bengaluru"/>
    <s v="Karnataka"/>
    <s v="2025-10-30"/>
    <s v="26-35"/>
    <n v="2800"/>
  </r>
  <r>
    <s v="ORD03642"/>
    <d v="2026-04-06T00:00:00"/>
    <s v="CUST0059"/>
    <x v="0"/>
    <x v="6"/>
    <n v="3"/>
    <n v="0.05"/>
    <n v="997.5"/>
    <n v="323.76"/>
    <x v="3"/>
    <s v="Delivered"/>
    <n v="332.5"/>
    <n v="32.457142857142863"/>
    <s v="Profit"/>
    <s v="Rahul Verma"/>
    <x v="1"/>
    <x v="3"/>
    <s v="Guwahati"/>
    <s v="Assam"/>
    <s v="2023-02-16"/>
    <s v="36-50"/>
    <n v="107.92"/>
  </r>
  <r>
    <s v="ORD03643"/>
    <d v="2025-10-19T00:00:00"/>
    <s v="CUST0560"/>
    <x v="0"/>
    <x v="6"/>
    <n v="5"/>
    <n v="0"/>
    <n v="1750"/>
    <n v="600"/>
    <x v="0"/>
    <s v="Delivered"/>
    <n v="350"/>
    <n v="34.285714285714278"/>
    <s v="Profit"/>
    <s v="Rohan Rao"/>
    <x v="0"/>
    <x v="0"/>
    <s v="Bengaluru"/>
    <s v="Karnataka"/>
    <s v="2023-05-29"/>
    <s v="18-25"/>
    <n v="120"/>
  </r>
  <r>
    <s v="ORD03644"/>
    <d v="2025-09-25T00:00:00"/>
    <s v="CUST0027"/>
    <x v="1"/>
    <x v="12"/>
    <n v="2"/>
    <n v="0.2"/>
    <n v="2240"/>
    <n v="623.29999999999995"/>
    <x v="3"/>
    <s v="Delivered"/>
    <n v="1120"/>
    <n v="27.825892857142851"/>
    <s v="Profit"/>
    <s v="Sanjay Gupta"/>
    <x v="0"/>
    <x v="2"/>
    <s v="Delhi"/>
    <s v="Delhi"/>
    <s v="2024-08-19"/>
    <s v="36-50"/>
    <n v="311.64999999999998"/>
  </r>
  <r>
    <s v="ORD03645"/>
    <d v="2025-08-07T00:00:00"/>
    <s v="CUST0042"/>
    <x v="1"/>
    <x v="12"/>
    <n v="1"/>
    <n v="0"/>
    <n v="1400"/>
    <n v="500"/>
    <x v="1"/>
    <s v="Delivered"/>
    <n v="1400"/>
    <n v="35.714285714285722"/>
    <s v="Profit"/>
    <s v="Vikram Khan"/>
    <x v="0"/>
    <x v="1"/>
    <s v="Pune"/>
    <s v="Maharashtra"/>
    <s v="2025-04-16"/>
    <s v="18-25"/>
    <n v="500"/>
  </r>
  <r>
    <s v="ORD03646"/>
    <d v="2026-08-28T00:00:00"/>
    <s v="CUST0549"/>
    <x v="3"/>
    <x v="11"/>
    <n v="4"/>
    <n v="0"/>
    <n v="10000"/>
    <n v="3200"/>
    <x v="0"/>
    <s v="Delivered"/>
    <n v="2500"/>
    <n v="32"/>
    <s v="Profit"/>
    <s v="Lakshmi Das"/>
    <x v="0"/>
    <x v="1"/>
    <s v="Ahmedabad"/>
    <s v="Gujarat"/>
    <s v="2024-02-21"/>
    <s v="36-50"/>
    <n v="800"/>
  </r>
  <r>
    <s v="ORD03647"/>
    <d v="2025-09-28T00:00:00"/>
    <s v="CUST0123"/>
    <x v="0"/>
    <x v="7"/>
    <n v="4"/>
    <n v="0"/>
    <n v="3600"/>
    <n v="-577.58000000000004"/>
    <x v="3"/>
    <s v="Returned"/>
    <n v="900"/>
    <n v="-16.04388888888889"/>
    <s v="Loss"/>
    <s v="Aarav Sharma"/>
    <x v="1"/>
    <x v="2"/>
    <s v="Delhi"/>
    <s v="Delhi"/>
    <s v="2023-01-19"/>
    <s v="26-35"/>
    <n v="-144.39500000000001"/>
  </r>
  <r>
    <s v="ORD03648"/>
    <d v="2026-08-19T00:00:00"/>
    <s v="CUST0334"/>
    <x v="0"/>
    <x v="7"/>
    <n v="2"/>
    <n v="0"/>
    <n v="1800"/>
    <n v="560"/>
    <x v="3"/>
    <s v="Delivered"/>
    <n v="900"/>
    <n v="31.111111111111111"/>
    <s v="Profit"/>
    <s v="Rahul Joshi"/>
    <x v="1"/>
    <x v="0"/>
    <s v="Hyderabad"/>
    <s v="Telangana"/>
    <s v="2024-05-26"/>
    <s v="26-35"/>
    <n v="280"/>
  </r>
  <r>
    <s v="ORD03649"/>
    <d v="2025-10-31T00:00:00"/>
    <s v="CUST0337"/>
    <x v="2"/>
    <x v="5"/>
    <n v="2"/>
    <n v="0"/>
    <n v="22000"/>
    <n v="5200"/>
    <x v="2"/>
    <s v="Delivered"/>
    <n v="11000"/>
    <n v="23.63636363636364"/>
    <s v="Profit"/>
    <s v="Varun Das"/>
    <x v="1"/>
    <x v="3"/>
    <s v="Kolkata"/>
    <s v="West Bengal"/>
    <s v="2023-06-16"/>
    <s v="51+"/>
    <n v="2600"/>
  </r>
  <r>
    <s v="ORD03650"/>
    <d v="2026-02-26T00:00:00"/>
    <s v="CUST0460"/>
    <x v="3"/>
    <x v="11"/>
    <n v="6"/>
    <n v="0.2"/>
    <n v="12000"/>
    <n v="3127.03"/>
    <x v="0"/>
    <s v="Delivered"/>
    <n v="2000"/>
    <n v="26.058583333333331"/>
    <s v="Profit"/>
    <s v="Rohan Nair"/>
    <x v="0"/>
    <x v="0"/>
    <s v="Chennai"/>
    <s v="Tamil Nadu"/>
    <s v="2023-12-17"/>
    <s v="18-25"/>
    <n v="521.17166666666674"/>
  </r>
  <r>
    <s v="ORD03651"/>
    <d v="2026-08-10T00:00:00"/>
    <s v="CUST0434"/>
    <x v="0"/>
    <x v="6"/>
    <n v="1"/>
    <n v="0.1"/>
    <n v="315"/>
    <n v="91.03"/>
    <x v="2"/>
    <s v="Delivered"/>
    <n v="315"/>
    <n v="28.898412698412699"/>
    <s v="Profit"/>
    <s v="Meera Nair"/>
    <x v="0"/>
    <x v="2"/>
    <s v="Delhi"/>
    <s v="Delhi"/>
    <s v="2023-06-30"/>
    <s v="51+"/>
    <n v="91.03"/>
  </r>
  <r>
    <s v="ORD03652"/>
    <d v="2026-02-13T00:00:00"/>
    <s v="CUST0097"/>
    <x v="3"/>
    <x v="4"/>
    <n v="5"/>
    <n v="0.1"/>
    <n v="81000"/>
    <n v="-29180.75"/>
    <x v="0"/>
    <s v="Returned"/>
    <n v="16200"/>
    <n v="-36.025617283950623"/>
    <s v="Loss"/>
    <s v="Manoj Patel"/>
    <x v="2"/>
    <x v="1"/>
    <s v="Pune"/>
    <s v="Maharashtra"/>
    <s v="2023-09-25"/>
    <s v="26-35"/>
    <n v="-5836.15"/>
  </r>
  <r>
    <s v="ORD03653"/>
    <d v="2026-07-09T00:00:00"/>
    <s v="CUST0367"/>
    <x v="3"/>
    <x v="8"/>
    <n v="2"/>
    <n v="0.1"/>
    <n v="8100"/>
    <n v="2559.71"/>
    <x v="2"/>
    <s v="Delivered"/>
    <n v="4050"/>
    <n v="31.601358024691361"/>
    <s v="Profit"/>
    <s v="Harini Kulkarni"/>
    <x v="0"/>
    <x v="3"/>
    <s v="Bhubaneswar"/>
    <s v="Odisha"/>
    <s v="2025-10-09"/>
    <s v="18-25"/>
    <n v="1279.855"/>
  </r>
  <r>
    <s v="ORD03654"/>
    <d v="2026-03-22T00:00:00"/>
    <s v="CUST0559"/>
    <x v="0"/>
    <x v="14"/>
    <n v="4"/>
    <n v="0.1"/>
    <n v="1620"/>
    <n v="339.67"/>
    <x v="0"/>
    <s v="Delivered"/>
    <n v="405"/>
    <n v="20.96728395061729"/>
    <s v="Profit"/>
    <s v="Karthik Pillai"/>
    <x v="2"/>
    <x v="1"/>
    <s v="Ahmedabad"/>
    <s v="Gujarat"/>
    <s v="2024-02-26"/>
    <s v="51+"/>
    <n v="84.917500000000004"/>
  </r>
  <r>
    <s v="ORD03655"/>
    <d v="2025-08-20T00:00:00"/>
    <s v="CUST0263"/>
    <x v="2"/>
    <x v="3"/>
    <n v="1"/>
    <n v="0.1"/>
    <n v="13500"/>
    <n v="2643.92"/>
    <x v="3"/>
    <s v="Delivered"/>
    <n v="13500"/>
    <n v="19.584592592592589"/>
    <s v="Profit"/>
    <s v="Priya Khan"/>
    <x v="0"/>
    <x v="3"/>
    <s v="Kolkata"/>
    <s v="West Bengal"/>
    <s v="2025-03-25"/>
    <s v="26-35"/>
    <n v="2643.92"/>
  </r>
  <r>
    <s v="ORD03656"/>
    <d v="2026-03-22T00:00:00"/>
    <s v="CUST0226"/>
    <x v="1"/>
    <x v="1"/>
    <n v="2"/>
    <n v="0.05"/>
    <n v="3420"/>
    <n v="1153.03"/>
    <x v="3"/>
    <s v="Delivered"/>
    <n v="1710"/>
    <n v="33.714327485380117"/>
    <s v="Profit"/>
    <s v="Kavya Joshi"/>
    <x v="0"/>
    <x v="3"/>
    <s v="Guwahati"/>
    <s v="Assam"/>
    <s v="2025-04-27"/>
    <s v="26-35"/>
    <n v="576.51499999999999"/>
  </r>
  <r>
    <s v="ORD03657"/>
    <d v="2025-08-23T00:00:00"/>
    <s v="CUST0420"/>
    <x v="2"/>
    <x v="2"/>
    <n v="5"/>
    <n v="0.05"/>
    <n v="61750"/>
    <n v="14286.39"/>
    <x v="1"/>
    <s v="Delivered"/>
    <n v="12350"/>
    <n v="23.135854251012141"/>
    <s v="Profit"/>
    <s v="Ishaan Gupta"/>
    <x v="0"/>
    <x v="2"/>
    <s v="Delhi"/>
    <s v="Delhi"/>
    <s v="2024-04-07"/>
    <s v="36-50"/>
    <n v="2857.2779999999998"/>
  </r>
  <r>
    <s v="ORD03658"/>
    <d v="2025-11-03T00:00:00"/>
    <s v="CUST0014"/>
    <x v="3"/>
    <x v="10"/>
    <n v="2"/>
    <n v="0.1"/>
    <n v="99000"/>
    <n v="11656.85"/>
    <x v="3"/>
    <s v="Delivered"/>
    <n v="49500"/>
    <n v="11.77459595959596"/>
    <s v="Profit"/>
    <s v="Lakshmi Verma"/>
    <x v="2"/>
    <x v="0"/>
    <s v="Chennai"/>
    <s v="Tamil Nadu"/>
    <s v="2024-11-24"/>
    <s v="36-50"/>
    <n v="5828.4250000000002"/>
  </r>
  <r>
    <s v="ORD03659"/>
    <d v="2026-05-28T00:00:00"/>
    <s v="CUST0402"/>
    <x v="2"/>
    <x v="5"/>
    <n v="2"/>
    <n v="0.2"/>
    <n v="17600"/>
    <n v="2832.14"/>
    <x v="2"/>
    <s v="Delivered"/>
    <n v="8800"/>
    <n v="16.09170454545454"/>
    <s v="Profit"/>
    <s v="Diya Pillai"/>
    <x v="1"/>
    <x v="0"/>
    <s v="Chennai"/>
    <s v="Tamil Nadu"/>
    <s v="2025-08-08"/>
    <s v="36-50"/>
    <n v="1416.07"/>
  </r>
  <r>
    <s v="ORD03660"/>
    <d v="2025-08-05T00:00:00"/>
    <s v="CUST0067"/>
    <x v="1"/>
    <x v="12"/>
    <n v="1"/>
    <n v="0.15"/>
    <n v="1190"/>
    <n v="-41.5"/>
    <x v="1"/>
    <s v="Returned"/>
    <n v="1190"/>
    <n v="-3.4873949579831929"/>
    <s v="Loss"/>
    <s v="Varun Joshi"/>
    <x v="0"/>
    <x v="0"/>
    <s v="Chennai"/>
    <s v="Tamil Nadu"/>
    <s v="2024-10-29"/>
    <s v="26-35"/>
    <n v="-41.5"/>
  </r>
  <r>
    <s v="ORD03661"/>
    <d v="2026-05-22T00:00:00"/>
    <s v="CUST0426"/>
    <x v="2"/>
    <x v="3"/>
    <n v="3"/>
    <n v="0.2"/>
    <n v="36000"/>
    <n v="3675.35"/>
    <x v="2"/>
    <s v="Delivered"/>
    <n v="12000"/>
    <n v="10.209305555555551"/>
    <s v="Profit"/>
    <s v="Sneha Rao"/>
    <x v="1"/>
    <x v="2"/>
    <s v="Lucknow"/>
    <s v="Uttar Pradesh"/>
    <s v="2025-02-23"/>
    <s v="36-50"/>
    <n v="1225.116666666667"/>
  </r>
  <r>
    <s v="ORD03662"/>
    <d v="2026-03-23T00:00:00"/>
    <s v="CUST0072"/>
    <x v="3"/>
    <x v="10"/>
    <n v="2"/>
    <n v="0"/>
    <n v="110000"/>
    <n v="18000"/>
    <x v="3"/>
    <s v="Delivered"/>
    <n v="55000"/>
    <n v="16.36363636363636"/>
    <s v="Profit"/>
    <s v="Shreya Nair"/>
    <x v="0"/>
    <x v="1"/>
    <s v="Surat"/>
    <s v="Gujarat"/>
    <s v="2025-09-16"/>
    <s v="26-35"/>
    <n v="9000"/>
  </r>
  <r>
    <s v="ORD03663"/>
    <d v="2026-01-15T00:00:00"/>
    <s v="CUST0511"/>
    <x v="0"/>
    <x v="6"/>
    <n v="3"/>
    <n v="0.15"/>
    <n v="892.5"/>
    <n v="30.91"/>
    <x v="2"/>
    <s v="Returned"/>
    <n v="297.5"/>
    <n v="3.4633053221288508"/>
    <s v="Profit"/>
    <s v="Sneha Naidu"/>
    <x v="1"/>
    <x v="2"/>
    <s v="Delhi"/>
    <s v="Delhi"/>
    <s v="2023-05-20"/>
    <s v="18-25"/>
    <n v="10.303333333333329"/>
  </r>
  <r>
    <s v="ORD03664"/>
    <d v="2026-05-05T00:00:00"/>
    <s v="CUST0277"/>
    <x v="3"/>
    <x v="8"/>
    <n v="2"/>
    <n v="0.05"/>
    <n v="8550"/>
    <n v="2660.28"/>
    <x v="2"/>
    <s v="Delivered"/>
    <n v="4275"/>
    <n v="31.11438596491228"/>
    <s v="Profit"/>
    <s v="Pooja Sharma"/>
    <x v="1"/>
    <x v="3"/>
    <s v="Patna"/>
    <s v="Bihar"/>
    <s v="2025-02-27"/>
    <s v="18-25"/>
    <n v="1330.14"/>
  </r>
  <r>
    <s v="ORD03665"/>
    <d v="2025-07-19T00:00:00"/>
    <s v="CUST0441"/>
    <x v="1"/>
    <x v="15"/>
    <n v="3"/>
    <n v="0"/>
    <n v="6600"/>
    <n v="2250"/>
    <x v="1"/>
    <s v="Delivered"/>
    <n v="2200"/>
    <n v="34.090909090909093"/>
    <s v="Profit"/>
    <s v="Arjun Joshi"/>
    <x v="0"/>
    <x v="0"/>
    <s v="Bengaluru"/>
    <s v="Karnataka"/>
    <s v="2024-05-10"/>
    <s v="18-25"/>
    <n v="750"/>
  </r>
  <r>
    <s v="ORD03666"/>
    <d v="2025-11-24T00:00:00"/>
    <s v="CUST0277"/>
    <x v="2"/>
    <x v="2"/>
    <n v="2"/>
    <n v="0.15"/>
    <n v="22100"/>
    <n v="4354.28"/>
    <x v="2"/>
    <s v="Delivered"/>
    <n v="11050"/>
    <n v="19.70262443438914"/>
    <s v="Profit"/>
    <s v="Pooja Sharma"/>
    <x v="1"/>
    <x v="3"/>
    <s v="Patna"/>
    <s v="Bihar"/>
    <s v="2025-02-27"/>
    <s v="18-25"/>
    <n v="2177.14"/>
  </r>
  <r>
    <s v="ORD03667"/>
    <d v="2026-01-13T00:00:00"/>
    <s v="CUST0599"/>
    <x v="2"/>
    <x v="5"/>
    <n v="5"/>
    <n v="0.15"/>
    <n v="46750"/>
    <n v="6731.38"/>
    <x v="1"/>
    <s v="Delivered"/>
    <n v="9350"/>
    <n v="14.39867379679144"/>
    <s v="Profit"/>
    <s v="Rahul Das"/>
    <x v="1"/>
    <x v="0"/>
    <s v="Coimbatore"/>
    <s v="Tamil Nadu"/>
    <s v="2024-01-12"/>
    <s v="26-35"/>
    <n v="1346.2760000000001"/>
  </r>
  <r>
    <s v="ORD03668"/>
    <d v="2026-04-20T00:00:00"/>
    <s v="CUST0195"/>
    <x v="1"/>
    <x v="15"/>
    <n v="3"/>
    <n v="0.05"/>
    <n v="6270"/>
    <n v="2093.46"/>
    <x v="2"/>
    <s v="Delivered"/>
    <n v="2090"/>
    <n v="33.388516746411483"/>
    <s v="Profit"/>
    <s v="Nisha Kulkarni"/>
    <x v="1"/>
    <x v="0"/>
    <s v="Coimbatore"/>
    <s v="Tamil Nadu"/>
    <s v="2024-04-23"/>
    <s v="18-25"/>
    <n v="697.82"/>
  </r>
  <r>
    <s v="ORD03669"/>
    <d v="2025-08-26T00:00:00"/>
    <s v="CUST0441"/>
    <x v="2"/>
    <x v="3"/>
    <n v="1"/>
    <n v="0.15"/>
    <n v="12750"/>
    <n v="1595.01"/>
    <x v="3"/>
    <s v="Delivered"/>
    <n v="12750"/>
    <n v="12.50988235294118"/>
    <s v="Profit"/>
    <s v="Arjun Joshi"/>
    <x v="0"/>
    <x v="0"/>
    <s v="Bengaluru"/>
    <s v="Karnataka"/>
    <s v="2024-05-10"/>
    <s v="18-25"/>
    <n v="1595.01"/>
  </r>
  <r>
    <s v="ORD03670"/>
    <d v="2026-04-11T00:00:00"/>
    <s v="CUST0356"/>
    <x v="0"/>
    <x v="0"/>
    <n v="6"/>
    <n v="0"/>
    <n v="84000"/>
    <n v="16800"/>
    <x v="1"/>
    <s v="Delivered"/>
    <n v="14000"/>
    <n v="20"/>
    <s v="Profit"/>
    <s v="Manoj Gupta"/>
    <x v="0"/>
    <x v="2"/>
    <s v="Chandigarh"/>
    <s v="Chandigarh"/>
    <s v="2023-08-04"/>
    <s v="26-35"/>
    <n v="2800"/>
  </r>
  <r>
    <s v="ORD03671"/>
    <d v="2025-07-15T00:00:00"/>
    <s v="CUST0223"/>
    <x v="2"/>
    <x v="3"/>
    <n v="4"/>
    <n v="0.05"/>
    <n v="57000"/>
    <n v="11830.39"/>
    <x v="3"/>
    <s v="Delivered"/>
    <n v="14250"/>
    <n v="20.75507017543859"/>
    <s v="Profit"/>
    <s v="Akash Bose"/>
    <x v="0"/>
    <x v="0"/>
    <s v="Chennai"/>
    <s v="Tamil Nadu"/>
    <s v="2023-12-31"/>
    <s v="18-25"/>
    <n v="2957.5974999999999"/>
  </r>
  <r>
    <s v="ORD03672"/>
    <d v="2026-06-02T00:00:00"/>
    <s v="CUST0074"/>
    <x v="2"/>
    <x v="2"/>
    <n v="5"/>
    <n v="0.05"/>
    <n v="61750"/>
    <n v="-3988.82"/>
    <x v="0"/>
    <s v="Returned"/>
    <n v="12350"/>
    <n v="-6.4596275303643731"/>
    <s v="Loss"/>
    <s v="Sanjay Rao"/>
    <x v="2"/>
    <x v="3"/>
    <s v="Kolkata"/>
    <s v="West Bengal"/>
    <s v="2025-12-13"/>
    <s v="26-35"/>
    <n v="-797.76400000000001"/>
  </r>
  <r>
    <s v="ORD03673"/>
    <d v="2026-05-26T00:00:00"/>
    <s v="CUST0545"/>
    <x v="0"/>
    <x v="6"/>
    <n v="2"/>
    <n v="0.05"/>
    <n v="665"/>
    <n v="210.52"/>
    <x v="1"/>
    <s v="Shipped"/>
    <n v="332.5"/>
    <n v="31.657142857142851"/>
    <s v="Profit"/>
    <s v="Manoj Mehta"/>
    <x v="2"/>
    <x v="0"/>
    <s v="Chennai"/>
    <s v="Tamil Nadu"/>
    <s v="2025-12-28"/>
    <s v="26-35"/>
    <n v="105.26"/>
  </r>
  <r>
    <s v="ORD03674"/>
    <d v="2025-08-02T00:00:00"/>
    <s v="CUST0162"/>
    <x v="2"/>
    <x v="3"/>
    <n v="2"/>
    <n v="0.1"/>
    <n v="27000"/>
    <n v="-2894.72"/>
    <x v="2"/>
    <s v="Returned"/>
    <n v="13500"/>
    <n v="-10.721185185185179"/>
    <s v="Loss"/>
    <s v="Lakshmi Bose"/>
    <x v="0"/>
    <x v="0"/>
    <s v="Bengaluru"/>
    <s v="Karnataka"/>
    <s v="2025-06-13"/>
    <s v="26-35"/>
    <n v="-1447.36"/>
  </r>
  <r>
    <s v="ORD03675"/>
    <d v="2025-07-29T00:00:00"/>
    <s v="CUST0488"/>
    <x v="0"/>
    <x v="0"/>
    <n v="1"/>
    <n v="0.1"/>
    <n v="12600"/>
    <n v="1759.03"/>
    <x v="0"/>
    <s v="Delivered"/>
    <n v="12600"/>
    <n v="13.96055555555556"/>
    <s v="Profit"/>
    <s v="Rohan Chopra"/>
    <x v="2"/>
    <x v="1"/>
    <s v="Surat"/>
    <s v="Gujarat"/>
    <s v="2025-09-23"/>
    <s v="26-35"/>
    <n v="1759.03"/>
  </r>
  <r>
    <s v="ORD03676"/>
    <d v="2026-08-26T00:00:00"/>
    <s v="CUST0356"/>
    <x v="1"/>
    <x v="1"/>
    <n v="4"/>
    <n v="0.15"/>
    <n v="6120"/>
    <n v="1838.89"/>
    <x v="3"/>
    <s v="Delivered"/>
    <n v="1530"/>
    <n v="30.047222222222221"/>
    <s v="Profit"/>
    <s v="Manoj Gupta"/>
    <x v="0"/>
    <x v="2"/>
    <s v="Chandigarh"/>
    <s v="Chandigarh"/>
    <s v="2023-08-04"/>
    <s v="26-35"/>
    <n v="459.72250000000003"/>
  </r>
  <r>
    <s v="ORD03677"/>
    <d v="2026-05-18T00:00:00"/>
    <s v="CUST0075"/>
    <x v="0"/>
    <x v="0"/>
    <n v="1"/>
    <n v="0.3"/>
    <n v="9800"/>
    <n v="-3180.23"/>
    <x v="3"/>
    <s v="Cancelled"/>
    <n v="9800"/>
    <n v="-32.451326530612249"/>
    <s v="Loss"/>
    <s v="Karthik Sharma"/>
    <x v="0"/>
    <x v="0"/>
    <s v="Bengaluru"/>
    <s v="Karnataka"/>
    <s v="2025-09-08"/>
    <s v="36-50"/>
    <n v="-3180.23"/>
  </r>
  <r>
    <s v="ORD03678"/>
    <d v="2026-08-12T00:00:00"/>
    <s v="CUST0442"/>
    <x v="1"/>
    <x v="15"/>
    <n v="1"/>
    <n v="0.15"/>
    <n v="1870"/>
    <n v="517.41"/>
    <x v="1"/>
    <s v="Delivered"/>
    <n v="1870"/>
    <n v="27.66898395721925"/>
    <s v="Profit"/>
    <s v="Akash Kulkarni"/>
    <x v="0"/>
    <x v="0"/>
    <s v="Bengaluru"/>
    <s v="Karnataka"/>
    <s v="2023-09-01"/>
    <s v="36-50"/>
    <n v="517.41"/>
  </r>
  <r>
    <s v="ORD03679"/>
    <d v="2026-01-06T00:00:00"/>
    <s v="CUST0293"/>
    <x v="3"/>
    <x v="11"/>
    <n v="1"/>
    <n v="0.1"/>
    <n v="2250"/>
    <n v="656.79"/>
    <x v="3"/>
    <s v="Delivered"/>
    <n v="2250"/>
    <n v="29.190666666666669"/>
    <s v="Profit"/>
    <s v="Ishaan Singh"/>
    <x v="2"/>
    <x v="2"/>
    <s v="Delhi"/>
    <s v="Delhi"/>
    <s v="2023-03-09"/>
    <s v="26-35"/>
    <n v="656.79"/>
  </r>
  <r>
    <s v="ORD03680"/>
    <d v="2025-10-31T00:00:00"/>
    <s v="CUST0474"/>
    <x v="3"/>
    <x v="8"/>
    <n v="1"/>
    <n v="0.1"/>
    <n v="4050"/>
    <n v="1130.8499999999999"/>
    <x v="1"/>
    <s v="Delivered"/>
    <n v="4050"/>
    <n v="27.922222222222221"/>
    <s v="Profit"/>
    <s v="Meera Chopra"/>
    <x v="2"/>
    <x v="0"/>
    <s v="Hyderabad"/>
    <s v="Telangana"/>
    <s v="2023-02-16"/>
    <s v="36-50"/>
    <n v="1130.8499999999999"/>
  </r>
  <r>
    <s v="ORD03681"/>
    <d v="2026-04-21T00:00:00"/>
    <s v="CUST0214"/>
    <x v="2"/>
    <x v="9"/>
    <n v="2"/>
    <n v="0.2"/>
    <n v="14400"/>
    <n v="1849.74"/>
    <x v="1"/>
    <s v="Delivered"/>
    <n v="7200"/>
    <n v="12.84541666666667"/>
    <s v="Profit"/>
    <s v="Ananya Rao"/>
    <x v="0"/>
    <x v="0"/>
    <s v="Hyderabad"/>
    <s v="Telangana"/>
    <s v="2023-07-14"/>
    <s v="51+"/>
    <n v="924.87"/>
  </r>
  <r>
    <s v="ORD03682"/>
    <d v="2025-07-29T00:00:00"/>
    <s v="CUST0347"/>
    <x v="0"/>
    <x v="7"/>
    <n v="6"/>
    <n v="0.1"/>
    <n v="4860"/>
    <n v="1227"/>
    <x v="1"/>
    <s v="Delivered"/>
    <n v="810"/>
    <n v="25.246913580246911"/>
    <s v="Profit"/>
    <s v="Shreya Iyer"/>
    <x v="0"/>
    <x v="0"/>
    <s v="Bengaluru"/>
    <s v="Karnataka"/>
    <s v="2023-08-21"/>
    <s v="36-50"/>
    <n v="204.5"/>
  </r>
  <r>
    <s v="ORD03683"/>
    <d v="2025-12-08T00:00:00"/>
    <s v="CUST0285"/>
    <x v="2"/>
    <x v="3"/>
    <n v="2"/>
    <n v="0.1"/>
    <n v="27000"/>
    <n v="4692.3"/>
    <x v="2"/>
    <s v="Delivered"/>
    <n v="13500"/>
    <n v="17.378888888888891"/>
    <s v="Profit"/>
    <s v="Ishaan Reddy"/>
    <x v="1"/>
    <x v="3"/>
    <s v="Kolkata"/>
    <s v="West Bengal"/>
    <s v="2024-07-01"/>
    <s v="26-35"/>
    <n v="2346.15"/>
  </r>
  <r>
    <s v="ORD03684"/>
    <d v="2026-05-03T00:00:00"/>
    <s v="CUST0287"/>
    <x v="1"/>
    <x v="15"/>
    <n v="3"/>
    <n v="0.15"/>
    <n v="5610"/>
    <n v="1646.61"/>
    <x v="1"/>
    <s v="Delivered"/>
    <n v="1870"/>
    <n v="29.351336898395719"/>
    <s v="Profit"/>
    <s v="Akash Pillai"/>
    <x v="1"/>
    <x v="0"/>
    <s v="Chennai"/>
    <s v="Tamil Nadu"/>
    <s v="2023-07-20"/>
    <s v="18-25"/>
    <n v="548.87"/>
  </r>
  <r>
    <s v="ORD03685"/>
    <d v="2025-09-04T00:00:00"/>
    <s v="CUST0505"/>
    <x v="0"/>
    <x v="14"/>
    <n v="1"/>
    <n v="0.15"/>
    <n v="382.5"/>
    <n v="72.349999999999994"/>
    <x v="1"/>
    <s v="Delivered"/>
    <n v="382.5"/>
    <n v="18.915032679738559"/>
    <s v="Profit"/>
    <s v="Aarav Pillai"/>
    <x v="0"/>
    <x v="2"/>
    <s v="Lucknow"/>
    <s v="Uttar Pradesh"/>
    <s v="2025-05-09"/>
    <s v="51+"/>
    <n v="72.349999999999994"/>
  </r>
  <r>
    <s v="ORD03686"/>
    <d v="2026-01-02T00:00:00"/>
    <s v="CUST0421"/>
    <x v="2"/>
    <x v="9"/>
    <n v="4"/>
    <n v="0.15"/>
    <n v="30600"/>
    <n v="5510.83"/>
    <x v="2"/>
    <s v="Shipped"/>
    <n v="7650"/>
    <n v="18.009248366013072"/>
    <s v="Profit"/>
    <s v="Sneha Iyer"/>
    <x v="0"/>
    <x v="3"/>
    <s v="Guwahati"/>
    <s v="Assam"/>
    <s v="2024-05-14"/>
    <s v="51+"/>
    <n v="1377.7075"/>
  </r>
  <r>
    <s v="ORD03687"/>
    <d v="2025-12-10T00:00:00"/>
    <s v="CUST0056"/>
    <x v="2"/>
    <x v="9"/>
    <n v="1"/>
    <n v="0.1"/>
    <n v="8100"/>
    <n v="1745.58"/>
    <x v="2"/>
    <s v="Delivered"/>
    <n v="8100"/>
    <n v="21.55037037037037"/>
    <s v="Profit"/>
    <s v="Vikram Pillai"/>
    <x v="0"/>
    <x v="3"/>
    <s v="Patna"/>
    <s v="Bihar"/>
    <s v="2024-11-12"/>
    <s v="18-25"/>
    <n v="1745.58"/>
  </r>
  <r>
    <s v="ORD03688"/>
    <d v="2026-08-13T00:00:00"/>
    <s v="CUST0502"/>
    <x v="1"/>
    <x v="15"/>
    <n v="2"/>
    <n v="0.05"/>
    <n v="4180"/>
    <n v="1313.98"/>
    <x v="3"/>
    <s v="Delivered"/>
    <n v="2090"/>
    <n v="31.434928229665068"/>
    <s v="Profit"/>
    <s v="Kavya Nair"/>
    <x v="2"/>
    <x v="1"/>
    <s v="Pune"/>
    <s v="Maharashtra"/>
    <s v="2024-02-11"/>
    <s v="51+"/>
    <n v="656.99"/>
  </r>
  <r>
    <s v="ORD03689"/>
    <d v="2025-08-27T00:00:00"/>
    <s v="CUST0291"/>
    <x v="3"/>
    <x v="11"/>
    <n v="1"/>
    <n v="0"/>
    <n v="2500"/>
    <n v="800"/>
    <x v="1"/>
    <s v="Delivered"/>
    <n v="2500"/>
    <n v="32"/>
    <s v="Profit"/>
    <s v="Divya Chopra"/>
    <x v="1"/>
    <x v="0"/>
    <s v="Bengaluru"/>
    <s v="Karnataka"/>
    <s v="2023-10-19"/>
    <s v="18-25"/>
    <n v="800"/>
  </r>
  <r>
    <s v="ORD03690"/>
    <d v="2026-08-23T00:00:00"/>
    <s v="CUST0064"/>
    <x v="3"/>
    <x v="11"/>
    <n v="1"/>
    <n v="0"/>
    <n v="2500"/>
    <n v="800"/>
    <x v="2"/>
    <s v="Delivered"/>
    <n v="2500"/>
    <n v="32"/>
    <s v="Profit"/>
    <s v="Diya Rao"/>
    <x v="1"/>
    <x v="0"/>
    <s v="Chennai"/>
    <s v="Tamil Nadu"/>
    <s v="2025-05-13"/>
    <s v="26-35"/>
    <n v="800"/>
  </r>
  <r>
    <s v="ORD03691"/>
    <d v="2025-10-02T00:00:00"/>
    <s v="CUST0104"/>
    <x v="1"/>
    <x v="15"/>
    <n v="3"/>
    <n v="0"/>
    <n v="6600"/>
    <n v="2250"/>
    <x v="1"/>
    <s v="Delivered"/>
    <n v="2200"/>
    <n v="34.090909090909093"/>
    <s v="Profit"/>
    <s v="Karthik Gupta"/>
    <x v="0"/>
    <x v="2"/>
    <s v="Delhi"/>
    <s v="Delhi"/>
    <s v="2024-07-15"/>
    <s v="36-50"/>
    <n v="750"/>
  </r>
  <r>
    <s v="ORD03692"/>
    <d v="2026-02-10T00:00:00"/>
    <s v="CUST0122"/>
    <x v="0"/>
    <x v="6"/>
    <n v="1"/>
    <n v="0"/>
    <n v="350"/>
    <n v="120"/>
    <x v="0"/>
    <s v="Shipped"/>
    <n v="350"/>
    <n v="34.285714285714278"/>
    <s v="Profit"/>
    <s v="Pooja Pillai"/>
    <x v="1"/>
    <x v="1"/>
    <s v="Pune"/>
    <s v="Maharashtra"/>
    <s v="2023-03-15"/>
    <s v="26-35"/>
    <n v="120"/>
  </r>
  <r>
    <s v="ORD03693"/>
    <d v="2026-04-13T00:00:00"/>
    <s v="CUST0206"/>
    <x v="3"/>
    <x v="11"/>
    <n v="3"/>
    <n v="0.15"/>
    <n v="6375"/>
    <n v="1887.64"/>
    <x v="3"/>
    <s v="Shipped"/>
    <n v="2125"/>
    <n v="29.610039215686271"/>
    <s v="Profit"/>
    <s v="Arjun Bose"/>
    <x v="1"/>
    <x v="0"/>
    <s v="Coimbatore"/>
    <s v="Tamil Nadu"/>
    <s v="2025-04-20"/>
    <s v="36-50"/>
    <n v="629.21333333333337"/>
  </r>
  <r>
    <s v="ORD03694"/>
    <d v="2025-07-17T00:00:00"/>
    <s v="CUST0388"/>
    <x v="2"/>
    <x v="2"/>
    <n v="6"/>
    <n v="0"/>
    <n v="78000"/>
    <n v="19200"/>
    <x v="0"/>
    <s v="Delivered"/>
    <n v="13000"/>
    <n v="24.61538461538462"/>
    <s v="Profit"/>
    <s v="Shreya Kulkarni"/>
    <x v="0"/>
    <x v="0"/>
    <s v="Bengaluru"/>
    <s v="Karnataka"/>
    <s v="2025-08-28"/>
    <s v="36-50"/>
    <n v="3200"/>
  </r>
  <r>
    <s v="ORD03695"/>
    <d v="2025-07-17T00:00:00"/>
    <s v="CUST0360"/>
    <x v="2"/>
    <x v="5"/>
    <n v="1"/>
    <n v="0"/>
    <n v="11000"/>
    <n v="2600"/>
    <x v="1"/>
    <s v="Delivered"/>
    <n v="11000"/>
    <n v="23.63636363636364"/>
    <s v="Profit"/>
    <s v="Sneha Reddy"/>
    <x v="2"/>
    <x v="2"/>
    <s v="Lucknow"/>
    <s v="Uttar Pradesh"/>
    <s v="2024-02-17"/>
    <s v="18-25"/>
    <n v="2600"/>
  </r>
  <r>
    <s v="ORD03696"/>
    <d v="2025-09-29T00:00:00"/>
    <s v="CUST0061"/>
    <x v="0"/>
    <x v="0"/>
    <n v="2"/>
    <n v="0"/>
    <n v="28000"/>
    <n v="5600"/>
    <x v="3"/>
    <s v="Delivered"/>
    <n v="14000"/>
    <n v="20"/>
    <s v="Profit"/>
    <s v="Meera Kulkarni"/>
    <x v="0"/>
    <x v="0"/>
    <s v="Bengaluru"/>
    <s v="Karnataka"/>
    <s v="2024-11-07"/>
    <s v="18-25"/>
    <n v="2800"/>
  </r>
  <r>
    <s v="ORD03697"/>
    <d v="2026-07-03T00:00:00"/>
    <s v="CUST0378"/>
    <x v="0"/>
    <x v="0"/>
    <n v="2"/>
    <n v="0.05"/>
    <n v="26600"/>
    <n v="-12496.77"/>
    <x v="0"/>
    <s v="Returned"/>
    <n v="13300"/>
    <n v="-46.980338345864673"/>
    <s v="Loss"/>
    <s v="Aarav Joshi"/>
    <x v="2"/>
    <x v="0"/>
    <s v="Bengaluru"/>
    <s v="Karnataka"/>
    <s v="2025-12-14"/>
    <s v="26-35"/>
    <n v="-6248.3850000000002"/>
  </r>
  <r>
    <s v="ORD03698"/>
    <d v="2026-02-10T00:00:00"/>
    <s v="CUST0415"/>
    <x v="0"/>
    <x v="6"/>
    <n v="2"/>
    <n v="0.15"/>
    <n v="595"/>
    <n v="157.59"/>
    <x v="1"/>
    <s v="Delivered"/>
    <n v="297.5"/>
    <n v="26.48571428571428"/>
    <s v="Profit"/>
    <s v="Manoj Bose"/>
    <x v="1"/>
    <x v="0"/>
    <s v="Bengaluru"/>
    <s v="Karnataka"/>
    <s v="2024-07-04"/>
    <s v="36-50"/>
    <n v="78.795000000000002"/>
  </r>
  <r>
    <s v="ORD03699"/>
    <d v="2026-05-03T00:00:00"/>
    <s v="CUST0152"/>
    <x v="2"/>
    <x v="2"/>
    <n v="2"/>
    <n v="0.05"/>
    <n v="24700"/>
    <n v="5506.11"/>
    <x v="0"/>
    <s v="Shipped"/>
    <n v="12350"/>
    <n v="22.291943319838051"/>
    <s v="Profit"/>
    <s v="Harini Rao"/>
    <x v="0"/>
    <x v="0"/>
    <s v="Coimbatore"/>
    <s v="Tamil Nadu"/>
    <s v="2025-12-02"/>
    <s v="51+"/>
    <n v="2753.0549999999998"/>
  </r>
  <r>
    <s v="ORD03700"/>
    <d v="2026-03-07T00:00:00"/>
    <s v="CUST0063"/>
    <x v="2"/>
    <x v="9"/>
    <n v="1"/>
    <n v="0.05"/>
    <n v="8550"/>
    <n v="2082.9299999999998"/>
    <x v="2"/>
    <s v="Delivered"/>
    <n v="8550"/>
    <n v="24.361754385964911"/>
    <s v="Profit"/>
    <s v="Kavya Nair"/>
    <x v="0"/>
    <x v="2"/>
    <s v="Jaipur"/>
    <s v="Rajasthan"/>
    <s v="2024-06-25"/>
    <s v="51+"/>
    <n v="2082.9299999999998"/>
  </r>
  <r>
    <s v="ORD03701"/>
    <d v="2026-06-04T00:00:00"/>
    <s v="CUST0075"/>
    <x v="1"/>
    <x v="1"/>
    <n v="80"/>
    <n v="0.1"/>
    <n v="936000"/>
    <n v="-74880"/>
    <x v="2"/>
    <s v="Returned"/>
    <n v="11700"/>
    <n v="-8"/>
    <s v="Loss"/>
    <s v="Karthik Sharma"/>
    <x v="0"/>
    <x v="0"/>
    <s v="Bengaluru"/>
    <s v="Karnataka"/>
    <s v="2025-09-08"/>
    <s v="36-50"/>
    <n v="-936"/>
  </r>
  <r>
    <s v="ORD03702"/>
    <d v="2026-08-20T00:00:00"/>
    <s v="CUST0374"/>
    <x v="2"/>
    <x v="5"/>
    <n v="2"/>
    <n v="0.1"/>
    <n v="19800"/>
    <n v="3812.09"/>
    <x v="2"/>
    <s v="Delivered"/>
    <n v="9900"/>
    <n v="19.252979797979801"/>
    <s v="Profit"/>
    <s v="Ishaan Chopra"/>
    <x v="0"/>
    <x v="0"/>
    <s v="Bengaluru"/>
    <s v="Karnataka"/>
    <s v="2024-09-12"/>
    <s v="18-25"/>
    <n v="1906.0450000000001"/>
  </r>
  <r>
    <s v="ORD03703"/>
    <d v="2025-09-08T00:00:00"/>
    <s v="CUST0079"/>
    <x v="2"/>
    <x v="5"/>
    <n v="1"/>
    <n v="0.1"/>
    <n v="9900"/>
    <n v="2085.06"/>
    <x v="3"/>
    <s v="Shipped"/>
    <n v="9900"/>
    <n v="21.061212121212119"/>
    <s v="Profit"/>
    <s v="Akash Mehta"/>
    <x v="0"/>
    <x v="0"/>
    <s v="Chennai"/>
    <s v="Tamil Nadu"/>
    <s v="2024-07-12"/>
    <s v="51+"/>
    <n v="2085.06"/>
  </r>
  <r>
    <s v="ORD03704"/>
    <d v="2026-08-30T00:00:00"/>
    <s v="CUST0519"/>
    <x v="0"/>
    <x v="14"/>
    <n v="2"/>
    <n v="0.1"/>
    <n v="810"/>
    <n v="157.74"/>
    <x v="1"/>
    <s v="Shipped"/>
    <n v="405"/>
    <n v="19.474074074074071"/>
    <s v="Profit"/>
    <s v="Rahul Bose"/>
    <x v="1"/>
    <x v="1"/>
    <s v="Pune"/>
    <s v="Maharashtra"/>
    <s v="2025-12-27"/>
    <s v="26-35"/>
    <n v="78.87"/>
  </r>
  <r>
    <s v="ORD03705"/>
    <d v="2025-07-23T00:00:00"/>
    <s v="CUST0489"/>
    <x v="1"/>
    <x v="15"/>
    <n v="10"/>
    <n v="0.2"/>
    <n v="17600"/>
    <n v="4304.9399999999996"/>
    <x v="3"/>
    <s v="Delivered"/>
    <n v="1760"/>
    <n v="24.459886363636361"/>
    <s v="Profit"/>
    <s v="Kavya Das"/>
    <x v="0"/>
    <x v="0"/>
    <s v="Coimbatore"/>
    <s v="Tamil Nadu"/>
    <s v="2024-03-29"/>
    <s v="26-35"/>
    <n v="430.49400000000003"/>
  </r>
  <r>
    <s v="ORD03706"/>
    <d v="2026-07-25T00:00:00"/>
    <s v="CUST0594"/>
    <x v="2"/>
    <x v="5"/>
    <n v="1"/>
    <n v="0.1"/>
    <n v="9900"/>
    <n v="-3689.79"/>
    <x v="1"/>
    <s v="Returned"/>
    <n v="9900"/>
    <n v="-37.270606060606063"/>
    <s v="Loss"/>
    <s v="Ishaan Bose"/>
    <x v="1"/>
    <x v="0"/>
    <s v="Coimbatore"/>
    <s v="Tamil Nadu"/>
    <s v="2024-06-29"/>
    <s v="51+"/>
    <n v="-3689.79"/>
  </r>
  <r>
    <s v="ORD03707"/>
    <d v="2025-09-26T00:00:00"/>
    <s v="CUST0585"/>
    <x v="0"/>
    <x v="7"/>
    <n v="2"/>
    <n v="0.2"/>
    <n v="1440"/>
    <n v="383.12"/>
    <x v="2"/>
    <s v="Delivered"/>
    <n v="720"/>
    <n v="26.605555555555551"/>
    <s v="Profit"/>
    <s v="Diya Reddy"/>
    <x v="1"/>
    <x v="0"/>
    <s v="Bengaluru"/>
    <s v="Karnataka"/>
    <s v="2024-03-03"/>
    <s v="51+"/>
    <n v="191.56"/>
  </r>
  <r>
    <s v="ORD03708"/>
    <d v="2026-01-06T00:00:00"/>
    <s v="CUST0456"/>
    <x v="0"/>
    <x v="6"/>
    <n v="2"/>
    <n v="0.2"/>
    <n v="560"/>
    <n v="131.55000000000001"/>
    <x v="1"/>
    <s v="Delivered"/>
    <n v="280"/>
    <n v="23.491071428571431"/>
    <s v="Profit"/>
    <s v="Ananya Das"/>
    <x v="0"/>
    <x v="3"/>
    <s v="Patna"/>
    <s v="Bihar"/>
    <s v="2025-06-07"/>
    <s v="18-25"/>
    <n v="65.775000000000006"/>
  </r>
  <r>
    <s v="ORD03709"/>
    <d v="2025-07-15T00:00:00"/>
    <s v="CUST0066"/>
    <x v="2"/>
    <x v="9"/>
    <n v="1"/>
    <n v="0.15"/>
    <n v="7650"/>
    <n v="1311.95"/>
    <x v="1"/>
    <s v="Delivered"/>
    <n v="7650"/>
    <n v="17.14967320261438"/>
    <s v="Profit"/>
    <s v="Aarav Gupta"/>
    <x v="0"/>
    <x v="2"/>
    <s v="Jaipur"/>
    <s v="Rajasthan"/>
    <s v="2024-06-18"/>
    <s v="51+"/>
    <n v="1311.95"/>
  </r>
  <r>
    <s v="ORD03710"/>
    <d v="2026-06-08T00:00:00"/>
    <s v="CUST0038"/>
    <x v="0"/>
    <x v="7"/>
    <n v="1"/>
    <n v="0"/>
    <n v="900"/>
    <n v="280"/>
    <x v="1"/>
    <s v="Delivered"/>
    <n v="900"/>
    <n v="31.111111111111111"/>
    <s v="Profit"/>
    <s v="Harini Sharma"/>
    <x v="2"/>
    <x v="0"/>
    <s v="Coimbatore"/>
    <s v="Tamil Nadu"/>
    <s v="2024-06-22"/>
    <s v="36-50"/>
    <n v="280"/>
  </r>
  <r>
    <s v="ORD03711"/>
    <d v="2025-07-21T00:00:00"/>
    <s v="CUST0184"/>
    <x v="0"/>
    <x v="7"/>
    <n v="5"/>
    <n v="0"/>
    <n v="4500"/>
    <n v="1400"/>
    <x v="1"/>
    <s v="Delivered"/>
    <n v="900"/>
    <n v="31.111111111111111"/>
    <s v="Profit"/>
    <s v="Rahul Iyer"/>
    <x v="2"/>
    <x v="2"/>
    <s v="Jaipur"/>
    <s v="Rajasthan"/>
    <s v="2024-10-21"/>
    <s v="18-25"/>
    <n v="280"/>
  </r>
  <r>
    <s v="ORD03712"/>
    <d v="2025-11-07T00:00:00"/>
    <s v="CUST0374"/>
    <x v="3"/>
    <x v="8"/>
    <n v="2"/>
    <n v="0.15"/>
    <n v="7650"/>
    <n v="1860.53"/>
    <x v="3"/>
    <s v="Delivered"/>
    <n v="3825"/>
    <n v="24.32065359477124"/>
    <s v="Profit"/>
    <s v="Ishaan Chopra"/>
    <x v="0"/>
    <x v="0"/>
    <s v="Bengaluru"/>
    <s v="Karnataka"/>
    <s v="2024-09-12"/>
    <s v="18-25"/>
    <n v="930.26499999999999"/>
  </r>
  <r>
    <s v="ORD03713"/>
    <d v="2026-02-14T00:00:00"/>
    <s v="CUST0018"/>
    <x v="3"/>
    <x v="11"/>
    <n v="4"/>
    <n v="0"/>
    <n v="10000"/>
    <n v="3200"/>
    <x v="2"/>
    <s v="Delivered"/>
    <n v="2500"/>
    <n v="32"/>
    <s v="Profit"/>
    <s v="Aditya Mehta"/>
    <x v="0"/>
    <x v="0"/>
    <s v="Hyderabad"/>
    <s v="Telangana"/>
    <s v="2025-01-15"/>
    <s v="51+"/>
    <n v="800"/>
  </r>
  <r>
    <s v="ORD03714"/>
    <d v="2025-10-17T00:00:00"/>
    <s v="CUST0390"/>
    <x v="1"/>
    <x v="12"/>
    <n v="3"/>
    <n v="0.1"/>
    <n v="3780"/>
    <n v="1186.8800000000001"/>
    <x v="2"/>
    <s v="Shipped"/>
    <n v="1260"/>
    <n v="31.398941798941809"/>
    <s v="Profit"/>
    <s v="Aditya Bose"/>
    <x v="0"/>
    <x v="3"/>
    <s v="Bhubaneswar"/>
    <s v="Odisha"/>
    <s v="2024-04-07"/>
    <s v="26-35"/>
    <n v="395.62666666666672"/>
  </r>
  <r>
    <s v="ORD03715"/>
    <d v="2026-07-17T00:00:00"/>
    <s v="CUST0076"/>
    <x v="3"/>
    <x v="8"/>
    <n v="3"/>
    <n v="0.2"/>
    <n v="10800"/>
    <n v="2626.3"/>
    <x v="3"/>
    <s v="Delivered"/>
    <n v="3600"/>
    <n v="24.31759259259259"/>
    <s v="Profit"/>
    <s v="Arjun Sharma"/>
    <x v="2"/>
    <x v="3"/>
    <s v="Guwahati"/>
    <s v="Assam"/>
    <s v="2023-12-08"/>
    <s v="51+"/>
    <n v="875.43333333333339"/>
  </r>
  <r>
    <s v="ORD03716"/>
    <d v="2025-11-28T00:00:00"/>
    <s v="CUST0314"/>
    <x v="1"/>
    <x v="15"/>
    <n v="3"/>
    <n v="0.1"/>
    <n v="5940"/>
    <n v="1942.34"/>
    <x v="3"/>
    <s v="Delivered"/>
    <n v="1980"/>
    <n v="32.699326599326596"/>
    <s v="Profit"/>
    <s v="Aarav Mishra"/>
    <x v="0"/>
    <x v="0"/>
    <s v="Bengaluru"/>
    <s v="Karnataka"/>
    <s v="2025-10-30"/>
    <s v="26-35"/>
    <n v="647.4466666666666"/>
  </r>
  <r>
    <s v="ORD03717"/>
    <d v="2026-07-11T00:00:00"/>
    <s v="CUST0264"/>
    <x v="2"/>
    <x v="5"/>
    <n v="5"/>
    <n v="0"/>
    <n v="55000"/>
    <n v="13000"/>
    <x v="2"/>
    <s v="Delivered"/>
    <n v="11000"/>
    <n v="23.63636363636364"/>
    <s v="Profit"/>
    <s v="Sneha Kulkarni"/>
    <x v="1"/>
    <x v="0"/>
    <s v="Chennai"/>
    <s v="Tamil Nadu"/>
    <s v="2024-02-11"/>
    <s v="51+"/>
    <n v="2600"/>
  </r>
  <r>
    <s v="ORD03718"/>
    <d v="2026-03-09T00:00:00"/>
    <s v="CUST0588"/>
    <x v="2"/>
    <x v="2"/>
    <n v="4"/>
    <n v="0.1"/>
    <n v="46800"/>
    <n v="8852.89"/>
    <x v="3"/>
    <s v="Delivered"/>
    <n v="11700"/>
    <n v="18.916431623931619"/>
    <s v="Profit"/>
    <s v="Ananya Mishra"/>
    <x v="0"/>
    <x v="3"/>
    <s v="Kolkata"/>
    <s v="West Bengal"/>
    <s v="2025-02-04"/>
    <s v="26-35"/>
    <n v="2213.2224999999999"/>
  </r>
  <r>
    <s v="ORD03719"/>
    <d v="2026-05-16T00:00:00"/>
    <s v="CUST0570"/>
    <x v="0"/>
    <x v="14"/>
    <n v="2"/>
    <n v="0.15"/>
    <n v="765"/>
    <n v="146.69"/>
    <x v="3"/>
    <s v="Delivered"/>
    <n v="382.5"/>
    <n v="19.17516339869281"/>
    <s v="Profit"/>
    <s v="Divya Sharma"/>
    <x v="2"/>
    <x v="2"/>
    <s v="Delhi"/>
    <s v="Delhi"/>
    <s v="2024-10-31"/>
    <s v="18-25"/>
    <n v="73.344999999999999"/>
  </r>
  <r>
    <s v="ORD03720"/>
    <d v="2026-08-21T00:00:00"/>
    <s v="CUST0467"/>
    <x v="1"/>
    <x v="1"/>
    <n v="2"/>
    <n v="0.3"/>
    <n v="2520"/>
    <n v="403.8"/>
    <x v="0"/>
    <s v="Delivered"/>
    <n v="1260"/>
    <n v="16.023809523809518"/>
    <s v="Profit"/>
    <s v="Arjun Gupta"/>
    <x v="2"/>
    <x v="3"/>
    <s v="Patna"/>
    <s v="Bihar"/>
    <s v="2025-10-24"/>
    <s v="36-50"/>
    <n v="201.9"/>
  </r>
  <r>
    <s v="ORD03721"/>
    <d v="2025-12-05T00:00:00"/>
    <s v="CUST0204"/>
    <x v="3"/>
    <x v="8"/>
    <n v="2"/>
    <n v="0"/>
    <n v="9000"/>
    <n v="-3257.04"/>
    <x v="2"/>
    <s v="Cancelled"/>
    <n v="4500"/>
    <n v="-36.189333333333337"/>
    <s v="Loss"/>
    <s v="Karthik Mehta"/>
    <x v="0"/>
    <x v="1"/>
    <s v="Surat"/>
    <s v="Gujarat"/>
    <s v="2025-07-25"/>
    <s v="26-35"/>
    <n v="-1628.52"/>
  </r>
  <r>
    <s v="ORD03722"/>
    <d v="2025-08-26T00:00:00"/>
    <s v="CUST0334"/>
    <x v="0"/>
    <x v="14"/>
    <n v="1"/>
    <n v="0.3"/>
    <n v="315"/>
    <n v="38.58"/>
    <x v="1"/>
    <s v="Delivered"/>
    <n v="315"/>
    <n v="12.24761904761905"/>
    <s v="Profit"/>
    <s v="Rahul Joshi"/>
    <x v="1"/>
    <x v="0"/>
    <s v="Hyderabad"/>
    <s v="Telangana"/>
    <s v="2024-05-26"/>
    <s v="26-35"/>
    <n v="38.58"/>
  </r>
  <r>
    <s v="ORD03723"/>
    <d v="2025-12-21T00:00:00"/>
    <s v="CUST0443"/>
    <x v="3"/>
    <x v="4"/>
    <n v="4"/>
    <n v="0.05"/>
    <n v="68400"/>
    <n v="12227.41"/>
    <x v="3"/>
    <s v="Delivered"/>
    <n v="17100"/>
    <n v="17.876330409356729"/>
    <s v="Profit"/>
    <s v="Akash Sharma"/>
    <x v="1"/>
    <x v="0"/>
    <s v="Coimbatore"/>
    <s v="Tamil Nadu"/>
    <s v="2023-10-10"/>
    <s v="51+"/>
    <n v="3056.8525"/>
  </r>
  <r>
    <s v="ORD03724"/>
    <d v="2026-01-02T00:00:00"/>
    <s v="CUST0394"/>
    <x v="2"/>
    <x v="2"/>
    <n v="2"/>
    <n v="0"/>
    <n v="26000"/>
    <n v="6400"/>
    <x v="1"/>
    <s v="Delivered"/>
    <n v="13000"/>
    <n v="24.61538461538462"/>
    <s v="Profit"/>
    <s v="Shreya Nair"/>
    <x v="1"/>
    <x v="2"/>
    <s v="Jaipur"/>
    <s v="Rajasthan"/>
    <s v="2024-07-08"/>
    <s v="26-35"/>
    <n v="3200"/>
  </r>
  <r>
    <s v="ORD03725"/>
    <d v="2025-11-18T00:00:00"/>
    <s v="CUST0454"/>
    <x v="3"/>
    <x v="8"/>
    <n v="3"/>
    <n v="0.1"/>
    <n v="12150"/>
    <n v="3554.84"/>
    <x v="1"/>
    <s v="Delivered"/>
    <n v="4050"/>
    <n v="29.257942386831271"/>
    <s v="Profit"/>
    <s v="Kavya Pillai"/>
    <x v="2"/>
    <x v="2"/>
    <s v="Delhi"/>
    <s v="Delhi"/>
    <s v="2024-02-07"/>
    <s v="26-35"/>
    <n v="1184.9466666666669"/>
  </r>
  <r>
    <s v="ORD03726"/>
    <d v="2026-08-20T00:00:00"/>
    <s v="CUST0164"/>
    <x v="0"/>
    <x v="0"/>
    <n v="2"/>
    <n v="0.2"/>
    <n v="22400"/>
    <n v="-4918.33"/>
    <x v="1"/>
    <s v="Returned"/>
    <n v="11200"/>
    <n v="-21.956830357142859"/>
    <s v="Loss"/>
    <s v="Priya Sharma"/>
    <x v="0"/>
    <x v="3"/>
    <s v="Kolkata"/>
    <s v="West Bengal"/>
    <s v="2023-08-28"/>
    <s v="36-50"/>
    <n v="-2459.165"/>
  </r>
  <r>
    <s v="ORD03727"/>
    <d v="2026-05-25T00:00:00"/>
    <s v="CUST0574"/>
    <x v="0"/>
    <x v="0"/>
    <n v="3"/>
    <n v="0"/>
    <n v="42000"/>
    <n v="-7481.53"/>
    <x v="3"/>
    <s v="Returned"/>
    <n v="14000"/>
    <n v="-17.813166666666671"/>
    <s v="Loss"/>
    <s v="Akash Kulkarni"/>
    <x v="1"/>
    <x v="1"/>
    <s v="Pune"/>
    <s v="Maharashtra"/>
    <s v="2025-11-01"/>
    <s v="51+"/>
    <n v="-2493.8433333333328"/>
  </r>
  <r>
    <s v="ORD03728"/>
    <d v="2025-09-24T00:00:00"/>
    <s v="CUST0416"/>
    <x v="2"/>
    <x v="9"/>
    <n v="2"/>
    <n v="0"/>
    <n v="18000"/>
    <n v="4600"/>
    <x v="1"/>
    <s v="Delivered"/>
    <n v="9000"/>
    <n v="25.55555555555555"/>
    <s v="Profit"/>
    <s v="Karthik Reddy"/>
    <x v="0"/>
    <x v="1"/>
    <s v="Mumbai"/>
    <s v="Maharashtra"/>
    <s v="2025-09-16"/>
    <s v="18-25"/>
    <n v="2300"/>
  </r>
  <r>
    <s v="ORD03729"/>
    <d v="2025-08-21T00:00:00"/>
    <s v="CUST0081"/>
    <x v="0"/>
    <x v="0"/>
    <n v="3"/>
    <n v="0.05"/>
    <n v="39900"/>
    <n v="7134.95"/>
    <x v="3"/>
    <s v="Shipped"/>
    <n v="13300"/>
    <n v="17.88208020050125"/>
    <s v="Profit"/>
    <s v="Ananya Rao"/>
    <x v="2"/>
    <x v="0"/>
    <s v="Chennai"/>
    <s v="Tamil Nadu"/>
    <s v="2023-10-09"/>
    <s v="36-50"/>
    <n v="2378.3166666666671"/>
  </r>
  <r>
    <s v="ORD03730"/>
    <d v="2026-07-13T00:00:00"/>
    <s v="CUST0224"/>
    <x v="1"/>
    <x v="13"/>
    <n v="2"/>
    <n v="0.1"/>
    <n v="7560"/>
    <n v="2007.53"/>
    <x v="0"/>
    <s v="Delivered"/>
    <n v="3780"/>
    <n v="26.55462962962963"/>
    <s v="Profit"/>
    <s v="Varun Menon"/>
    <x v="1"/>
    <x v="1"/>
    <s v="Mumbai"/>
    <s v="Maharashtra"/>
    <s v="2023-02-06"/>
    <s v="18-25"/>
    <n v="1003.765"/>
  </r>
  <r>
    <s v="ORD03731"/>
    <d v="2026-03-22T00:00:00"/>
    <s v="CUST0102"/>
    <x v="3"/>
    <x v="4"/>
    <n v="1"/>
    <n v="0.3"/>
    <n v="12600"/>
    <n v="-244.81"/>
    <x v="1"/>
    <s v="Delivered"/>
    <n v="12600"/>
    <n v="-1.942936507936508"/>
    <s v="Loss"/>
    <s v="Akash Bose"/>
    <x v="0"/>
    <x v="2"/>
    <s v="Jaipur"/>
    <s v="Rajasthan"/>
    <s v="2023-03-30"/>
    <s v="36-50"/>
    <n v="-244.81"/>
  </r>
  <r>
    <s v="ORD03732"/>
    <d v="2025-08-30T00:00:00"/>
    <s v="CUST0584"/>
    <x v="2"/>
    <x v="2"/>
    <n v="1"/>
    <n v="0.2"/>
    <n v="10400"/>
    <n v="1504.9"/>
    <x v="1"/>
    <s v="Delivered"/>
    <n v="10400"/>
    <n v="14.47019230769231"/>
    <s v="Profit"/>
    <s v="Arjun Das"/>
    <x v="0"/>
    <x v="1"/>
    <s v="Ahmedabad"/>
    <s v="Gujarat"/>
    <s v="2025-11-24"/>
    <s v="18-25"/>
    <n v="1504.9"/>
  </r>
  <r>
    <s v="ORD03733"/>
    <d v="2026-04-22T00:00:00"/>
    <s v="CUST0482"/>
    <x v="3"/>
    <x v="10"/>
    <n v="1"/>
    <n v="0.1"/>
    <n v="49500"/>
    <n v="4690.92"/>
    <x v="0"/>
    <s v="Delivered"/>
    <n v="49500"/>
    <n v="9.4766060606060609"/>
    <s v="Profit"/>
    <s v="Divya Reddy"/>
    <x v="0"/>
    <x v="0"/>
    <s v="Chennai"/>
    <s v="Tamil Nadu"/>
    <s v="2025-06-12"/>
    <s v="26-35"/>
    <n v="4690.92"/>
  </r>
  <r>
    <s v="ORD03734"/>
    <d v="2026-01-03T00:00:00"/>
    <s v="CUST0407"/>
    <x v="0"/>
    <x v="7"/>
    <n v="1"/>
    <n v="0"/>
    <n v="900"/>
    <n v="-412.76"/>
    <x v="0"/>
    <s v="Cancelled"/>
    <n v="900"/>
    <n v="-45.862222222222222"/>
    <s v="Loss"/>
    <s v="Sneha Verma"/>
    <x v="2"/>
    <x v="2"/>
    <s v="Lucknow"/>
    <s v="Uttar Pradesh"/>
    <s v="2024-09-16"/>
    <s v="36-50"/>
    <n v="-412.76"/>
  </r>
  <r>
    <s v="ORD03735"/>
    <d v="2026-08-30T00:00:00"/>
    <s v="CUST0474"/>
    <x v="2"/>
    <x v="5"/>
    <n v="3"/>
    <n v="0"/>
    <n v="33000"/>
    <n v="7800"/>
    <x v="3"/>
    <s v="Delivered"/>
    <n v="11000"/>
    <n v="23.63636363636364"/>
    <s v="Profit"/>
    <s v="Meera Chopra"/>
    <x v="2"/>
    <x v="0"/>
    <s v="Hyderabad"/>
    <s v="Telangana"/>
    <s v="2023-02-16"/>
    <s v="36-50"/>
    <n v="2600"/>
  </r>
  <r>
    <s v="ORD03736"/>
    <d v="2025-12-30T00:00:00"/>
    <s v="CUST0043"/>
    <x v="3"/>
    <x v="8"/>
    <n v="3"/>
    <n v="0"/>
    <n v="13500"/>
    <n v="-2390.38"/>
    <x v="0"/>
    <s v="Returned"/>
    <n v="4500"/>
    <n v="-17.706518518518521"/>
    <s v="Loss"/>
    <s v="Meera Mehta"/>
    <x v="1"/>
    <x v="1"/>
    <s v="Mumbai"/>
    <s v="Maharashtra"/>
    <s v="2024-04-22"/>
    <s v="51+"/>
    <n v="-796.79333333333341"/>
  </r>
  <r>
    <s v="ORD03737"/>
    <d v="2025-11-14T00:00:00"/>
    <s v="CUST0324"/>
    <x v="0"/>
    <x v="14"/>
    <n v="3"/>
    <n v="0.1"/>
    <n v="1215"/>
    <n v="222.56"/>
    <x v="1"/>
    <s v="Delivered"/>
    <n v="405"/>
    <n v="18.317695473251032"/>
    <s v="Profit"/>
    <s v="Harini Sharma"/>
    <x v="2"/>
    <x v="2"/>
    <s v="Lucknow"/>
    <s v="Uttar Pradesh"/>
    <s v="2023-02-27"/>
    <s v="36-50"/>
    <n v="74.186666666666667"/>
  </r>
  <r>
    <s v="ORD03738"/>
    <d v="2025-12-23T00:00:00"/>
    <s v="CUST0087"/>
    <x v="3"/>
    <x v="4"/>
    <n v="3"/>
    <n v="0"/>
    <n v="54000"/>
    <n v="10500"/>
    <x v="1"/>
    <s v="Delivered"/>
    <n v="18000"/>
    <n v="19.44444444444445"/>
    <s v="Profit"/>
    <s v="Ishaan Khan"/>
    <x v="0"/>
    <x v="2"/>
    <s v="Lucknow"/>
    <s v="Uttar Pradesh"/>
    <s v="2023-07-11"/>
    <s v="51+"/>
    <n v="3500"/>
  </r>
  <r>
    <s v="ORD03739"/>
    <d v="2025-08-05T00:00:00"/>
    <s v="CUST0150"/>
    <x v="0"/>
    <x v="6"/>
    <n v="2"/>
    <n v="0.15"/>
    <n v="595"/>
    <n v="178.7"/>
    <x v="1"/>
    <s v="Delivered"/>
    <n v="297.5"/>
    <n v="30.033613445378151"/>
    <s v="Profit"/>
    <s v="Varun Nair"/>
    <x v="2"/>
    <x v="2"/>
    <s v="Lucknow"/>
    <s v="Uttar Pradesh"/>
    <s v="2024-10-24"/>
    <s v="36-50"/>
    <n v="89.35"/>
  </r>
  <r>
    <s v="ORD03740"/>
    <d v="2025-09-11T00:00:00"/>
    <s v="CUST0549"/>
    <x v="0"/>
    <x v="6"/>
    <n v="1"/>
    <n v="0.15"/>
    <n v="297.5"/>
    <n v="-58.84"/>
    <x v="1"/>
    <s v="Returned"/>
    <n v="297.5"/>
    <n v="-19.778151260504199"/>
    <s v="Loss"/>
    <s v="Lakshmi Das"/>
    <x v="0"/>
    <x v="1"/>
    <s v="Ahmedabad"/>
    <s v="Gujarat"/>
    <s v="2024-02-21"/>
    <s v="36-50"/>
    <n v="-58.84"/>
  </r>
  <r>
    <s v="ORD03741"/>
    <d v="2025-10-07T00:00:00"/>
    <s v="CUST0542"/>
    <x v="0"/>
    <x v="7"/>
    <n v="3"/>
    <n v="0.05"/>
    <n v="2565"/>
    <n v="732.27"/>
    <x v="1"/>
    <s v="Delivered"/>
    <n v="855"/>
    <n v="28.548538011695911"/>
    <s v="Profit"/>
    <s v="Vikram Rao"/>
    <x v="1"/>
    <x v="0"/>
    <s v="Bengaluru"/>
    <s v="Karnataka"/>
    <s v="2023-06-19"/>
    <s v="36-50"/>
    <n v="244.09"/>
  </r>
  <r>
    <s v="ORD03742"/>
    <d v="2025-11-07T00:00:00"/>
    <s v="CUST0301"/>
    <x v="3"/>
    <x v="8"/>
    <n v="1"/>
    <n v="0"/>
    <n v="4500"/>
    <n v="1500"/>
    <x v="0"/>
    <s v="Delivered"/>
    <n v="4500"/>
    <n v="33.333333333333329"/>
    <s v="Profit"/>
    <s v="Pooja Bose"/>
    <x v="0"/>
    <x v="0"/>
    <s v="Bengaluru"/>
    <s v="Karnataka"/>
    <s v="2025-11-12"/>
    <s v="26-35"/>
    <n v="1500"/>
  </r>
  <r>
    <s v="ORD03743"/>
    <d v="2026-06-22T00:00:00"/>
    <s v="CUST0530"/>
    <x v="0"/>
    <x v="6"/>
    <n v="5"/>
    <n v="0.1"/>
    <n v="1575"/>
    <n v="453.55"/>
    <x v="3"/>
    <s v="Delivered"/>
    <n v="315"/>
    <n v="28.796825396825401"/>
    <s v="Profit"/>
    <s v="Harini Chopra"/>
    <x v="2"/>
    <x v="2"/>
    <s v="Delhi"/>
    <s v="Delhi"/>
    <s v="2023-03-04"/>
    <s v="51+"/>
    <n v="90.710000000000008"/>
  </r>
  <r>
    <s v="ORD03744"/>
    <d v="2026-02-02T00:00:00"/>
    <s v="CUST0354"/>
    <x v="0"/>
    <x v="14"/>
    <n v="2"/>
    <n v="0"/>
    <n v="900"/>
    <n v="220"/>
    <x v="0"/>
    <s v="Delivered"/>
    <n v="450"/>
    <n v="24.444444444444439"/>
    <s v="Profit"/>
    <s v="Manoj Singh"/>
    <x v="2"/>
    <x v="1"/>
    <s v="Mumbai"/>
    <s v="Maharashtra"/>
    <s v="2025-09-10"/>
    <s v="26-35"/>
    <n v="110"/>
  </r>
  <r>
    <s v="ORD03745"/>
    <d v="2025-07-20T00:00:00"/>
    <s v="CUST0188"/>
    <x v="0"/>
    <x v="6"/>
    <n v="4"/>
    <n v="0.15"/>
    <n v="1190"/>
    <n v="375.9"/>
    <x v="3"/>
    <s v="Delivered"/>
    <n v="297.5"/>
    <n v="31.588235294117641"/>
    <s v="Profit"/>
    <s v="Ishaan Pillai"/>
    <x v="0"/>
    <x v="2"/>
    <s v="Delhi"/>
    <s v="Delhi"/>
    <s v="2025-06-05"/>
    <s v="36-50"/>
    <n v="93.974999999999994"/>
  </r>
  <r>
    <s v="ORD03746"/>
    <d v="2026-03-15T00:00:00"/>
    <s v="CUST0234"/>
    <x v="3"/>
    <x v="10"/>
    <n v="2"/>
    <n v="0.1"/>
    <n v="99000"/>
    <n v="-19186.86"/>
    <x v="3"/>
    <s v="Returned"/>
    <n v="49500"/>
    <n v="-19.38066666666667"/>
    <s v="Loss"/>
    <s v="Ishaan Sharma"/>
    <x v="0"/>
    <x v="4"/>
    <s v="Jaipur"/>
    <s v="Rajasthan"/>
    <s v="2024-04-02"/>
    <s v="26-35"/>
    <n v="-9593.43"/>
  </r>
  <r>
    <s v="ORD03747"/>
    <d v="2025-09-11T00:00:00"/>
    <s v="CUST0232"/>
    <x v="1"/>
    <x v="12"/>
    <n v="1"/>
    <n v="0"/>
    <n v="1400"/>
    <n v="500"/>
    <x v="3"/>
    <s v="Delivered"/>
    <n v="1400"/>
    <n v="35.714285714285722"/>
    <s v="Profit"/>
    <s v="Priya Menon"/>
    <x v="0"/>
    <x v="1"/>
    <s v="Pune"/>
    <s v="Maharashtra"/>
    <s v="2024-06-24"/>
    <s v="18-25"/>
    <n v="500"/>
  </r>
  <r>
    <s v="ORD03748"/>
    <d v="2025-12-30T00:00:00"/>
    <s v="CUST0334"/>
    <x v="3"/>
    <x v="11"/>
    <n v="5"/>
    <n v="0.1"/>
    <n v="11250"/>
    <n v="3063.14"/>
    <x v="0"/>
    <s v="Delivered"/>
    <n v="2250"/>
    <n v="27.227911111111109"/>
    <s v="Profit"/>
    <s v="Rahul Joshi"/>
    <x v="1"/>
    <x v="0"/>
    <s v="Hyderabad"/>
    <s v="Telangana"/>
    <s v="2024-05-26"/>
    <s v="26-35"/>
    <n v="612.62799999999993"/>
  </r>
  <r>
    <s v="ORD03749"/>
    <d v="2025-10-23T00:00:00"/>
    <s v="CUST0380"/>
    <x v="0"/>
    <x v="7"/>
    <n v="2"/>
    <n v="0.15"/>
    <n v="1530"/>
    <n v="347.64"/>
    <x v="0"/>
    <s v="Delivered"/>
    <n v="765"/>
    <n v="22.721568627450981"/>
    <s v="Profit"/>
    <s v="Arjun Sharma"/>
    <x v="2"/>
    <x v="1"/>
    <s v="Surat"/>
    <s v="Gujarat"/>
    <s v="2024-07-24"/>
    <s v="36-50"/>
    <n v="173.82"/>
  </r>
  <r>
    <s v="ORD03750"/>
    <d v="2025-09-19T00:00:00"/>
    <s v="CUST0154"/>
    <x v="2"/>
    <x v="9"/>
    <n v="3"/>
    <n v="0.1"/>
    <n v="24300"/>
    <n v="5090.63"/>
    <x v="2"/>
    <s v="Delivered"/>
    <n v="8100"/>
    <n v="20.949094650205758"/>
    <s v="Profit"/>
    <s v="Arjun Sharma"/>
    <x v="2"/>
    <x v="2"/>
    <s v="Jaipur"/>
    <s v="Rajasthan"/>
    <s v="2025-06-30"/>
    <s v="26-35"/>
    <n v="1696.876666666667"/>
  </r>
  <r>
    <s v="ORD03751"/>
    <d v="2025-08-08T00:00:00"/>
    <s v="CUST0034"/>
    <x v="3"/>
    <x v="4"/>
    <n v="2"/>
    <n v="0.05"/>
    <n v="34200"/>
    <n v="6059.55"/>
    <x v="3"/>
    <s v="Delivered"/>
    <n v="17100"/>
    <n v="17.717982456140351"/>
    <s v="Profit"/>
    <s v="Meera Bose"/>
    <x v="0"/>
    <x v="1"/>
    <s v="Ahmedabad"/>
    <s v="Gujarat"/>
    <s v="2023-01-29"/>
    <s v="18-25"/>
    <n v="3029.7750000000001"/>
  </r>
  <r>
    <s v="ORD03752"/>
    <d v="2026-03-02T00:00:00"/>
    <s v="CUST0190"/>
    <x v="3"/>
    <x v="4"/>
    <n v="3"/>
    <n v="0.1"/>
    <n v="48600"/>
    <n v="6270.94"/>
    <x v="0"/>
    <s v="Delivered"/>
    <n v="16200"/>
    <n v="12.90316872427983"/>
    <s v="Profit"/>
    <s v="Rohan Naidu"/>
    <x v="0"/>
    <x v="0"/>
    <s v="Coimbatore"/>
    <s v="Tamil Nadu"/>
    <s v="2023-02-24"/>
    <s v="26-35"/>
    <n v="2090.313333333333"/>
  </r>
  <r>
    <s v="ORD03753"/>
    <d v="2025-07-03T00:00:00"/>
    <s v="CUST0274"/>
    <x v="0"/>
    <x v="14"/>
    <n v="1"/>
    <n v="0.05"/>
    <n v="427.5"/>
    <n v="93.8"/>
    <x v="2"/>
    <s v="Delivered"/>
    <n v="427.5"/>
    <n v="21.941520467836259"/>
    <s v="Profit"/>
    <s v="Meera Bose"/>
    <x v="1"/>
    <x v="0"/>
    <s v="Hyderabad"/>
    <s v="Telangana"/>
    <s v="2025-01-06"/>
    <s v="26-35"/>
    <n v="93.8"/>
  </r>
  <r>
    <s v="ORD03754"/>
    <d v="2026-07-17T00:00:00"/>
    <s v="CUST0141"/>
    <x v="0"/>
    <x v="6"/>
    <n v="1"/>
    <n v="0.3"/>
    <n v="245"/>
    <n v="54.08"/>
    <x v="2"/>
    <s v="Delivered"/>
    <n v="245"/>
    <n v="22.0734693877551"/>
    <s v="Profit"/>
    <s v="Kavya Reddy"/>
    <x v="2"/>
    <x v="0"/>
    <s v="Bengaluru"/>
    <s v="Karnataka"/>
    <s v="2023-09-02"/>
    <s v="26-35"/>
    <n v="54.08"/>
  </r>
  <r>
    <s v="ORD03755"/>
    <d v="2026-03-21T00:00:00"/>
    <s v="CUST0067"/>
    <x v="3"/>
    <x v="11"/>
    <n v="3"/>
    <n v="0.05"/>
    <n v="7125"/>
    <n v="2091.4299999999998"/>
    <x v="2"/>
    <s v="Delivered"/>
    <n v="2375"/>
    <n v="29.35340350877193"/>
    <s v="Profit"/>
    <s v="Varun Joshi"/>
    <x v="0"/>
    <x v="0"/>
    <s v="Chennai"/>
    <s v="Tamil Nadu"/>
    <s v="2024-10-29"/>
    <s v="26-35"/>
    <n v="697.14333333333332"/>
  </r>
  <r>
    <s v="ORD03756"/>
    <d v="2025-11-04T00:00:00"/>
    <s v="CUST0117"/>
    <x v="0"/>
    <x v="14"/>
    <n v="4"/>
    <n v="0.1"/>
    <n v="1620"/>
    <n v="320.04000000000002"/>
    <x v="1"/>
    <s v="Delivered"/>
    <n v="405"/>
    <n v="19.75555555555556"/>
    <s v="Profit"/>
    <s v="Aarav Patel"/>
    <x v="0"/>
    <x v="2"/>
    <s v="Lucknow"/>
    <s v="Uttar Pradesh"/>
    <s v="2025-09-18"/>
    <s v="26-35"/>
    <n v="80.010000000000005"/>
  </r>
  <r>
    <s v="ORD03757"/>
    <d v="2025-08-13T00:00:00"/>
    <s v="CUST0413"/>
    <x v="2"/>
    <x v="5"/>
    <n v="1"/>
    <n v="0.1"/>
    <n v="9900"/>
    <n v="1815.72"/>
    <x v="0"/>
    <s v="Delivered"/>
    <n v="9900"/>
    <n v="18.34060606060606"/>
    <s v="Profit"/>
    <s v="Sanjay Bose"/>
    <x v="0"/>
    <x v="0"/>
    <s v="Chennai"/>
    <s v="Tamil Nadu"/>
    <s v="2023-05-01"/>
    <s v="26-35"/>
    <n v="1815.72"/>
  </r>
  <r>
    <s v="ORD03758"/>
    <d v="2026-03-22T00:00:00"/>
    <s v="CUST0119"/>
    <x v="3"/>
    <x v="4"/>
    <n v="1"/>
    <n v="0.2"/>
    <n v="14400"/>
    <n v="874.27"/>
    <x v="3"/>
    <s v="Delivered"/>
    <n v="14400"/>
    <n v="6.0713194444444447"/>
    <s v="Profit"/>
    <s v="Divya Naidu"/>
    <x v="1"/>
    <x v="0"/>
    <s v="Coimbatore"/>
    <s v="Tamil Nadu"/>
    <s v="2023-05-25"/>
    <s v="36-50"/>
    <n v="874.27"/>
  </r>
  <r>
    <s v="ORD03759"/>
    <d v="2026-06-14T00:00:00"/>
    <s v="CUST0208"/>
    <x v="0"/>
    <x v="0"/>
    <n v="3"/>
    <n v="0"/>
    <n v="42000"/>
    <n v="-15301.79"/>
    <x v="3"/>
    <s v="Cancelled"/>
    <n v="14000"/>
    <n v="-36.432833333333328"/>
    <s v="Loss"/>
    <s v="Sneha Pillai"/>
    <x v="0"/>
    <x v="0"/>
    <s v="Hyderabad"/>
    <s v="Telangana"/>
    <s v="2025-02-01"/>
    <s v="26-35"/>
    <n v="-5100.5966666666673"/>
  </r>
  <r>
    <s v="ORD03760"/>
    <d v="2026-07-05T00:00:00"/>
    <s v="CUST0389"/>
    <x v="1"/>
    <x v="15"/>
    <n v="1"/>
    <n v="0.2"/>
    <n v="1760"/>
    <n v="473.61"/>
    <x v="0"/>
    <s v="Delivered"/>
    <n v="1760"/>
    <n v="26.909659090909091"/>
    <s v="Profit"/>
    <s v="Manoj Pillai"/>
    <x v="1"/>
    <x v="3"/>
    <s v="Patna"/>
    <s v="Bihar"/>
    <s v="2023-07-09"/>
    <s v="36-50"/>
    <n v="473.61"/>
  </r>
  <r>
    <s v="ORD03761"/>
    <d v="2026-05-03T00:00:00"/>
    <s v="CUST0585"/>
    <x v="3"/>
    <x v="8"/>
    <n v="2"/>
    <n v="0"/>
    <n v="9000"/>
    <n v="3000"/>
    <x v="1"/>
    <s v="Delivered"/>
    <n v="4500"/>
    <n v="33.333333333333329"/>
    <s v="Profit"/>
    <s v="Diya Reddy"/>
    <x v="1"/>
    <x v="0"/>
    <s v="Bengaluru"/>
    <s v="Karnataka"/>
    <s v="2024-03-03"/>
    <s v="51+"/>
    <n v="1500"/>
  </r>
  <r>
    <s v="ORD03762"/>
    <d v="2026-01-02T00:00:00"/>
    <s v="CUST0139"/>
    <x v="3"/>
    <x v="4"/>
    <n v="3"/>
    <n v="0.15"/>
    <n v="45900"/>
    <n v="6285.01"/>
    <x v="2"/>
    <s v="Delivered"/>
    <n v="15300"/>
    <n v="13.692832244008709"/>
    <s v="Profit"/>
    <s v="Lakshmi Das"/>
    <x v="1"/>
    <x v="1"/>
    <s v="Surat"/>
    <s v="Gujarat"/>
    <s v="2023-05-25"/>
    <s v="36-50"/>
    <n v="2095.003333333334"/>
  </r>
  <r>
    <s v="ORD03763"/>
    <d v="2025-09-04T00:00:00"/>
    <s v="CUST0378"/>
    <x v="0"/>
    <x v="7"/>
    <n v="2"/>
    <n v="0.1"/>
    <n v="1620"/>
    <n v="416.77"/>
    <x v="2"/>
    <s v="Delivered"/>
    <n v="810"/>
    <n v="25.726543209876539"/>
    <s v="Profit"/>
    <s v="Aarav Joshi"/>
    <x v="2"/>
    <x v="0"/>
    <s v="Bengaluru"/>
    <s v="Karnataka"/>
    <s v="2025-12-14"/>
    <s v="26-35"/>
    <n v="208.38499999999999"/>
  </r>
  <r>
    <s v="ORD03764"/>
    <d v="2025-11-16T00:00:00"/>
    <s v="CUST0114"/>
    <x v="3"/>
    <x v="11"/>
    <n v="1"/>
    <n v="0.1"/>
    <n v="2250"/>
    <n v="651.64"/>
    <x v="0"/>
    <s v="Delivered"/>
    <n v="2250"/>
    <n v="28.96177777777778"/>
    <s v="Profit"/>
    <s v="Aarav Reddy"/>
    <x v="1"/>
    <x v="0"/>
    <s v="Coimbatore"/>
    <s v="Tamil Nadu"/>
    <s v="2023-11-15"/>
    <s v="18-25"/>
    <n v="651.64"/>
  </r>
  <r>
    <s v="ORD03765"/>
    <d v="2025-10-31T00:00:00"/>
    <s v="CUST0561"/>
    <x v="2"/>
    <x v="9"/>
    <n v="1"/>
    <n v="0.15"/>
    <n v="7650"/>
    <n v="1153.6099999999999"/>
    <x v="0"/>
    <s v="Delivered"/>
    <n v="7650"/>
    <n v="15.079869281045751"/>
    <s v="Profit"/>
    <s v="Harini Joshi"/>
    <x v="1"/>
    <x v="0"/>
    <s v="Coimbatore"/>
    <s v="Tamil Nadu"/>
    <s v="2023-09-10"/>
    <s v="26-35"/>
    <n v="1153.6099999999999"/>
  </r>
  <r>
    <s v="ORD03766"/>
    <d v="2026-08-26T00:00:00"/>
    <s v="CUST0172"/>
    <x v="2"/>
    <x v="5"/>
    <n v="2"/>
    <n v="0"/>
    <n v="22000"/>
    <n v="5200"/>
    <x v="3"/>
    <s v="Delivered"/>
    <n v="11000"/>
    <n v="23.63636363636364"/>
    <s v="Profit"/>
    <s v="Shreya Nair"/>
    <x v="0"/>
    <x v="1"/>
    <s v="Mumbai"/>
    <s v="Maharashtra"/>
    <s v="2025-02-26"/>
    <s v="36-50"/>
    <n v="2600"/>
  </r>
  <r>
    <s v="ORD03767"/>
    <d v="2026-01-05T00:00:00"/>
    <s v="CUST0332"/>
    <x v="3"/>
    <x v="10"/>
    <n v="1"/>
    <n v="0.1"/>
    <n v="49500"/>
    <n v="-22483.68"/>
    <x v="1"/>
    <s v="Cancelled"/>
    <n v="49500"/>
    <n v="-45.421575757575759"/>
    <s v="Loss"/>
    <s v="Vikram Rao"/>
    <x v="1"/>
    <x v="0"/>
    <s v="Coimbatore"/>
    <s v="Tamil Nadu"/>
    <s v="2023-07-04"/>
    <s v="26-35"/>
    <n v="-22483.68"/>
  </r>
  <r>
    <s v="ORD03768"/>
    <d v="2025-07-25T00:00:00"/>
    <s v="CUST0358"/>
    <x v="3"/>
    <x v="8"/>
    <n v="1"/>
    <n v="0.05"/>
    <n v="4275"/>
    <n v="1360.21"/>
    <x v="0"/>
    <s v="Shipped"/>
    <n v="4275"/>
    <n v="31.817777777777781"/>
    <s v="Profit"/>
    <s v="Sanjay Das"/>
    <x v="0"/>
    <x v="0"/>
    <s v="Hyderabad"/>
    <s v="Telangana"/>
    <s v="2025-08-29"/>
    <s v="18-25"/>
    <n v="1360.21"/>
  </r>
  <r>
    <s v="ORD03769"/>
    <d v="2026-07-24T00:00:00"/>
    <s v="CUST0421"/>
    <x v="0"/>
    <x v="0"/>
    <n v="3"/>
    <n v="0.2"/>
    <n v="33600"/>
    <n v="3017.3"/>
    <x v="0"/>
    <s v="Delivered"/>
    <n v="11200"/>
    <n v="8.9800595238095244"/>
    <s v="Profit"/>
    <s v="Sneha Iyer"/>
    <x v="0"/>
    <x v="3"/>
    <s v="Guwahati"/>
    <s v="Assam"/>
    <s v="2024-05-14"/>
    <s v="51+"/>
    <n v="1005.766666666667"/>
  </r>
  <r>
    <s v="ORD03770"/>
    <d v="2025-10-09T00:00:00"/>
    <s v="CUST0268"/>
    <x v="0"/>
    <x v="14"/>
    <n v="1"/>
    <n v="0.15"/>
    <n v="382.5"/>
    <n v="61.89"/>
    <x v="3"/>
    <s v="Delivered"/>
    <n v="382.5"/>
    <n v="16.180392156862741"/>
    <s v="Profit"/>
    <s v="Rahul Singh"/>
    <x v="2"/>
    <x v="3"/>
    <s v="Bhubaneswar"/>
    <s v="Odisha"/>
    <s v="2025-01-05"/>
    <s v="26-35"/>
    <n v="61.89"/>
  </r>
  <r>
    <s v="ORD03771"/>
    <d v="2025-08-04T00:00:00"/>
    <s v="CUST0228"/>
    <x v="2"/>
    <x v="3"/>
    <n v="2"/>
    <n v="0.05"/>
    <n v="28500"/>
    <n v="5868.99"/>
    <x v="1"/>
    <s v="Delivered"/>
    <n v="14250"/>
    <n v="20.592947368421051"/>
    <s v="Profit"/>
    <s v="Rohan Reddy"/>
    <x v="2"/>
    <x v="0"/>
    <s v="Coimbatore"/>
    <s v="Tamil Nadu"/>
    <s v="2025-11-28"/>
    <s v="36-50"/>
    <n v="2934.4949999999999"/>
  </r>
  <r>
    <s v="ORD03772"/>
    <d v="2025-12-25T00:00:00"/>
    <s v="CUST0407"/>
    <x v="0"/>
    <x v="0"/>
    <n v="10"/>
    <n v="0.1"/>
    <n v="126000"/>
    <n v="18150.560000000001"/>
    <x v="3"/>
    <s v="Delivered"/>
    <n v="12600"/>
    <n v="14.405206349206351"/>
    <s v="Profit"/>
    <s v="Sneha Verma"/>
    <x v="2"/>
    <x v="2"/>
    <s v="Lucknow"/>
    <s v="Uttar Pradesh"/>
    <s v="2024-09-16"/>
    <s v="36-50"/>
    <n v="1815.056"/>
  </r>
  <r>
    <s v="ORD03773"/>
    <d v="2025-11-21T00:00:00"/>
    <s v="CUST0442"/>
    <x v="1"/>
    <x v="15"/>
    <n v="1"/>
    <n v="0.1"/>
    <n v="1980"/>
    <n v="598.84"/>
    <x v="1"/>
    <s v="Delivered"/>
    <n v="1980"/>
    <n v="30.244444444444451"/>
    <s v="Profit"/>
    <s v="Akash Kulkarni"/>
    <x v="0"/>
    <x v="0"/>
    <s v="Bengaluru"/>
    <s v="Karnataka"/>
    <s v="2023-09-01"/>
    <s v="36-50"/>
    <n v="598.84"/>
  </r>
  <r>
    <s v="ORD03774"/>
    <d v="2026-06-22T00:00:00"/>
    <s v="CUST0587"/>
    <x v="1"/>
    <x v="1"/>
    <n v="1"/>
    <n v="0"/>
    <n v="1800"/>
    <n v="650"/>
    <x v="1"/>
    <s v="Delivered"/>
    <n v="1800"/>
    <n v="36.111111111111107"/>
    <s v="Profit"/>
    <s v="Ishaan Kulkarni"/>
    <x v="2"/>
    <x v="3"/>
    <s v="Guwahati"/>
    <s v="Assam"/>
    <s v="2025-01-05"/>
    <s v="26-35"/>
    <n v="650"/>
  </r>
  <r>
    <s v="ORD03775"/>
    <d v="2026-07-12T00:00:00"/>
    <s v="CUST0594"/>
    <x v="1"/>
    <x v="12"/>
    <n v="2"/>
    <n v="0.05"/>
    <n v="2660"/>
    <n v="918.68"/>
    <x v="0"/>
    <s v="Delivered"/>
    <n v="1330"/>
    <n v="34.536842105263148"/>
    <s v="Profit"/>
    <s v="Ishaan Bose"/>
    <x v="1"/>
    <x v="0"/>
    <s v="Coimbatore"/>
    <s v="Tamil Nadu"/>
    <s v="2024-06-29"/>
    <s v="51+"/>
    <n v="459.34"/>
  </r>
  <r>
    <s v="ORD03776"/>
    <d v="2025-12-27T00:00:00"/>
    <s v="CUST0528"/>
    <x v="1"/>
    <x v="1"/>
    <n v="3"/>
    <n v="0"/>
    <n v="5400"/>
    <n v="1950"/>
    <x v="2"/>
    <s v="Delivered"/>
    <n v="1800"/>
    <n v="36.111111111111107"/>
    <s v="Profit"/>
    <s v="Karthik Menon"/>
    <x v="0"/>
    <x v="0"/>
    <s v="Chennai"/>
    <s v="Tamil Nadu"/>
    <s v="2024-07-24"/>
    <s v="36-50"/>
    <n v="650"/>
  </r>
  <r>
    <s v="ORD03777"/>
    <d v="2025-11-18T00:00:00"/>
    <s v="CUST0351"/>
    <x v="3"/>
    <x v="11"/>
    <n v="3"/>
    <n v="0.3"/>
    <n v="5250"/>
    <n v="1026.19"/>
    <x v="2"/>
    <s v="Delivered"/>
    <n v="1750"/>
    <n v="19.546476190476191"/>
    <s v="Profit"/>
    <s v="Aarav Naidu"/>
    <x v="0"/>
    <x v="0"/>
    <s v="Hyderabad"/>
    <s v="Telangana"/>
    <s v="2024-09-17"/>
    <s v="26-35"/>
    <n v="342.06333333333328"/>
  </r>
  <r>
    <s v="ORD03778"/>
    <d v="2025-07-28T00:00:00"/>
    <s v="CUST0489"/>
    <x v="2"/>
    <x v="3"/>
    <n v="3"/>
    <n v="0.05"/>
    <n v="42750"/>
    <n v="8754.08"/>
    <x v="1"/>
    <s v="Delivered"/>
    <n v="14250"/>
    <n v="20.477380116959061"/>
    <s v="Profit"/>
    <s v="Kavya Das"/>
    <x v="0"/>
    <x v="0"/>
    <s v="Coimbatore"/>
    <s v="Tamil Nadu"/>
    <s v="2024-03-29"/>
    <s v="26-35"/>
    <n v="2918.0266666666671"/>
  </r>
  <r>
    <s v="ORD03779"/>
    <d v="2025-11-20T00:00:00"/>
    <s v="CUST0124"/>
    <x v="1"/>
    <x v="13"/>
    <n v="2"/>
    <n v="0.15"/>
    <n v="7140"/>
    <n v="1830.18"/>
    <x v="2"/>
    <s v="Delivered"/>
    <n v="3570"/>
    <n v="25.632773109243701"/>
    <s v="Profit"/>
    <s v="Vikram Das"/>
    <x v="0"/>
    <x v="1"/>
    <s v="Pune"/>
    <s v="Maharashtra"/>
    <s v="2024-07-21"/>
    <s v="51+"/>
    <n v="915.09"/>
  </r>
  <r>
    <s v="ORD03780"/>
    <d v="2025-10-01T00:00:00"/>
    <s v="CUST0597"/>
    <x v="2"/>
    <x v="2"/>
    <n v="3"/>
    <n v="0.1"/>
    <n v="35100"/>
    <n v="7441.52"/>
    <x v="2"/>
    <s v="Delivered"/>
    <n v="11700"/>
    <n v="21.20091168091168"/>
    <s v="Profit"/>
    <s v="Harini Menon"/>
    <x v="1"/>
    <x v="0"/>
    <s v="Hyderabad"/>
    <s v="Telangana"/>
    <s v="2025-05-09"/>
    <s v="51+"/>
    <n v="2480.5066666666671"/>
  </r>
  <r>
    <s v="ORD03781"/>
    <d v="2025-10-09T00:00:00"/>
    <s v="CUST0092"/>
    <x v="0"/>
    <x v="7"/>
    <n v="3"/>
    <n v="0.1"/>
    <n v="2430"/>
    <n v="653.21"/>
    <x v="3"/>
    <s v="Delivered"/>
    <n v="810"/>
    <n v="26.881069958847739"/>
    <s v="Profit"/>
    <s v="Harini Khan"/>
    <x v="0"/>
    <x v="2"/>
    <s v="Jaipur"/>
    <s v="Rajasthan"/>
    <s v="2025-12-12"/>
    <s v="36-50"/>
    <n v="217.73666666666671"/>
  </r>
  <r>
    <s v="ORD03782"/>
    <d v="2026-08-21T00:00:00"/>
    <s v="CUST0561"/>
    <x v="1"/>
    <x v="13"/>
    <n v="3"/>
    <n v="0.15"/>
    <n v="10710"/>
    <n v="-4380.67"/>
    <x v="1"/>
    <s v="Returned"/>
    <n v="3570"/>
    <n v="-40.902614379084973"/>
    <s v="Loss"/>
    <s v="Harini Joshi"/>
    <x v="1"/>
    <x v="0"/>
    <s v="Coimbatore"/>
    <s v="Tamil Nadu"/>
    <s v="2023-09-10"/>
    <s v="26-35"/>
    <n v="-1460.2233333333329"/>
  </r>
  <r>
    <s v="ORD03783"/>
    <d v="2026-04-01T00:00:00"/>
    <s v="CUST0599"/>
    <x v="2"/>
    <x v="9"/>
    <n v="1"/>
    <n v="0.05"/>
    <n v="8550"/>
    <n v="1992"/>
    <x v="1"/>
    <s v="Delivered"/>
    <n v="8550"/>
    <n v="23.298245614035089"/>
    <s v="Profit"/>
    <s v="Rahul Das"/>
    <x v="1"/>
    <x v="0"/>
    <s v="Coimbatore"/>
    <s v="Tamil Nadu"/>
    <s v="2024-01-12"/>
    <s v="26-35"/>
    <n v="1992"/>
  </r>
  <r>
    <s v="ORD03784"/>
    <d v="2025-07-09T00:00:00"/>
    <s v="CUST0147"/>
    <x v="1"/>
    <x v="13"/>
    <n v="4"/>
    <n v="0"/>
    <n v="16800"/>
    <n v="4800"/>
    <x v="3"/>
    <s v="Delivered"/>
    <n v="4200"/>
    <n v="28.571428571428569"/>
    <s v="Profit"/>
    <s v="Shreya Reddy"/>
    <x v="0"/>
    <x v="1"/>
    <s v="Ahmedabad"/>
    <s v="Gujarat"/>
    <s v="2025-04-02"/>
    <s v="51+"/>
    <n v="1200"/>
  </r>
  <r>
    <s v="ORD03785"/>
    <d v="2026-02-24T00:00:00"/>
    <s v="CUST0581"/>
    <x v="2"/>
    <x v="5"/>
    <n v="3"/>
    <n v="0.1"/>
    <n v="29700"/>
    <n v="6047.82"/>
    <x v="3"/>
    <s v="Delivered"/>
    <n v="9900"/>
    <n v="20.3630303030303"/>
    <s v="Profit"/>
    <s v="Aditya Naidu"/>
    <x v="0"/>
    <x v="0"/>
    <s v="Coimbatore"/>
    <s v="Tamil Nadu"/>
    <s v="2024-10-03"/>
    <s v="18-25"/>
    <n v="2015.94"/>
  </r>
  <r>
    <s v="ORD03786"/>
    <d v="2025-12-08T00:00:00"/>
    <s v="CUST0491"/>
    <x v="3"/>
    <x v="8"/>
    <n v="2"/>
    <n v="0.05"/>
    <n v="8550"/>
    <n v="2658.54"/>
    <x v="0"/>
    <s v="Shipped"/>
    <n v="4275"/>
    <n v="31.094035087719291"/>
    <s v="Profit"/>
    <s v="Ishaan Chopra"/>
    <x v="1"/>
    <x v="2"/>
    <s v="Chandigarh"/>
    <s v="Chandigarh"/>
    <s v="2024-04-16"/>
    <s v="18-25"/>
    <n v="1329.27"/>
  </r>
  <r>
    <s v="ORD03787"/>
    <d v="2026-03-05T00:00:00"/>
    <s v="CUST0583"/>
    <x v="3"/>
    <x v="8"/>
    <n v="1"/>
    <n v="0.1"/>
    <n v="4050"/>
    <n v="1193.22"/>
    <x v="2"/>
    <s v="Delivered"/>
    <n v="4050"/>
    <n v="29.46222222222222"/>
    <s v="Profit"/>
    <s v="Shreya Menon"/>
    <x v="2"/>
    <x v="1"/>
    <s v="Ahmedabad"/>
    <s v="Gujarat"/>
    <s v="2023-09-05"/>
    <s v="26-35"/>
    <n v="1193.22"/>
  </r>
  <r>
    <s v="ORD03788"/>
    <d v="2025-07-02T00:00:00"/>
    <s v="CUST0114"/>
    <x v="2"/>
    <x v="3"/>
    <n v="2"/>
    <n v="0.15"/>
    <n v="25500"/>
    <n v="4404.12"/>
    <x v="2"/>
    <s v="Delivered"/>
    <n v="12750"/>
    <n v="17.271058823529408"/>
    <s v="Profit"/>
    <s v="Aarav Reddy"/>
    <x v="1"/>
    <x v="0"/>
    <s v="Coimbatore"/>
    <s v="Tamil Nadu"/>
    <s v="2023-11-15"/>
    <s v="18-25"/>
    <n v="2202.06"/>
  </r>
  <r>
    <s v="ORD03789"/>
    <d v="2026-08-23T00:00:00"/>
    <s v="CUST0432"/>
    <x v="3"/>
    <x v="8"/>
    <n v="3"/>
    <n v="0.2"/>
    <n v="10800"/>
    <n v="2667.74"/>
    <x v="2"/>
    <s v="Delivered"/>
    <n v="3600"/>
    <n v="24.701296296296292"/>
    <s v="Profit"/>
    <s v="Pooja Singh"/>
    <x v="1"/>
    <x v="0"/>
    <s v="Coimbatore"/>
    <s v="Tamil Nadu"/>
    <s v="2023-02-17"/>
    <s v="18-25"/>
    <n v="889.24666666666656"/>
  </r>
  <r>
    <s v="ORD03790"/>
    <d v="2026-02-11T00:00:00"/>
    <s v="CUST0409"/>
    <x v="2"/>
    <x v="3"/>
    <n v="5"/>
    <n v="0.15"/>
    <n v="63750"/>
    <n v="9726.99"/>
    <x v="0"/>
    <s v="Delivered"/>
    <n v="12750"/>
    <n v="15.258023529411769"/>
    <s v="Profit"/>
    <s v="Arjun Khan"/>
    <x v="2"/>
    <x v="2"/>
    <s v="Chandigarh"/>
    <s v="Chandigarh"/>
    <s v="2025-06-20"/>
    <s v="18-25"/>
    <n v="1945.3979999999999"/>
  </r>
  <r>
    <s v="ORD03791"/>
    <d v="2025-07-12T00:00:00"/>
    <s v="CUST0060"/>
    <x v="0"/>
    <x v="6"/>
    <n v="2"/>
    <n v="0.1"/>
    <n v="630"/>
    <n v="192.26"/>
    <x v="1"/>
    <s v="Delivered"/>
    <n v="315"/>
    <n v="30.517460317460319"/>
    <s v="Profit"/>
    <s v="Akash Mehta"/>
    <x v="0"/>
    <x v="3"/>
    <s v="Patna"/>
    <s v="Bihar"/>
    <s v="2025-01-15"/>
    <s v="36-50"/>
    <n v="96.13"/>
  </r>
  <r>
    <s v="ORD03792"/>
    <d v="2025-10-15T00:00:00"/>
    <s v="CUST0192"/>
    <x v="0"/>
    <x v="14"/>
    <n v="1"/>
    <n v="0.1"/>
    <n v="405"/>
    <n v="75.81"/>
    <x v="3"/>
    <s v="Shipped"/>
    <n v="405"/>
    <n v="18.718518518518518"/>
    <s v="Profit"/>
    <s v="Kavya Verma"/>
    <x v="2"/>
    <x v="3"/>
    <s v="Bhubaneswar"/>
    <s v="Odisha"/>
    <s v="2023-06-15"/>
    <s v="36-50"/>
    <n v="75.81"/>
  </r>
  <r>
    <s v="ORD03793"/>
    <d v="2026-05-16T00:00:00"/>
    <s v="CUST0223"/>
    <x v="3"/>
    <x v="8"/>
    <n v="1"/>
    <n v="0.2"/>
    <n v="3600"/>
    <n v="743.45"/>
    <x v="1"/>
    <s v="Delivered"/>
    <n v="3600"/>
    <n v="20.651388888888889"/>
    <s v="Profit"/>
    <s v="Akash Bose"/>
    <x v="0"/>
    <x v="0"/>
    <s v="Chennai"/>
    <s v="Tamil Nadu"/>
    <s v="2023-12-31"/>
    <s v="18-25"/>
    <n v="743.45"/>
  </r>
  <r>
    <s v="ORD03794"/>
    <d v="2026-01-11T00:00:00"/>
    <s v="CUST0495"/>
    <x v="0"/>
    <x v="7"/>
    <n v="2"/>
    <n v="0.2"/>
    <n v="1440"/>
    <n v="274.38"/>
    <x v="0"/>
    <s v="Delivered"/>
    <n v="720"/>
    <n v="19.054166666666671"/>
    <s v="Profit"/>
    <s v="Harini Gupta"/>
    <x v="1"/>
    <x v="2"/>
    <s v="Chandigarh"/>
    <s v="Chandigarh"/>
    <s v="2025-10-03"/>
    <s v="26-35"/>
    <n v="137.19"/>
  </r>
  <r>
    <s v="ORD03795"/>
    <d v="2026-08-03T00:00:00"/>
    <s v="CUST0191"/>
    <x v="2"/>
    <x v="9"/>
    <n v="1"/>
    <n v="0.3"/>
    <n v="6300"/>
    <n v="444.88"/>
    <x v="1"/>
    <s v="Delivered"/>
    <n v="6300"/>
    <n v="7.0615873015873021"/>
    <s v="Profit"/>
    <s v="Nisha Verma"/>
    <x v="0"/>
    <x v="2"/>
    <s v="Delhi"/>
    <s v="Delhi"/>
    <s v="2023-10-05"/>
    <s v="18-25"/>
    <n v="444.88"/>
  </r>
  <r>
    <s v="ORD03796"/>
    <d v="2026-04-25T00:00:00"/>
    <s v="CUST0495"/>
    <x v="0"/>
    <x v="6"/>
    <n v="3"/>
    <n v="0"/>
    <n v="1050"/>
    <n v="-45.96"/>
    <x v="3"/>
    <s v="Returned"/>
    <n v="350"/>
    <n v="-4.3771428571428572"/>
    <s v="Loss"/>
    <s v="Harini Gupta"/>
    <x v="1"/>
    <x v="2"/>
    <s v="Chandigarh"/>
    <s v="Chandigarh"/>
    <s v="2025-10-03"/>
    <s v="26-35"/>
    <n v="-15.32"/>
  </r>
  <r>
    <s v="ORD03797"/>
    <d v="2025-11-08T00:00:00"/>
    <s v="CUST0176"/>
    <x v="3"/>
    <x v="8"/>
    <n v="1"/>
    <n v="0.05"/>
    <n v="4275"/>
    <n v="1327.88"/>
    <x v="3"/>
    <s v="Delivered"/>
    <n v="4275"/>
    <n v="31.06152046783626"/>
    <s v="Profit"/>
    <s v="Diya Patel"/>
    <x v="0"/>
    <x v="2"/>
    <s v="Jaipur"/>
    <s v="Rajasthan"/>
    <s v="2023-08-21"/>
    <s v="26-35"/>
    <n v="1327.88"/>
  </r>
  <r>
    <s v="ORD03798"/>
    <d v="2026-01-10T00:00:00"/>
    <s v="CUST0014"/>
    <x v="3"/>
    <x v="10"/>
    <n v="2"/>
    <n v="0.1"/>
    <n v="99000"/>
    <n v="-44487.19"/>
    <x v="2"/>
    <s v="Returned"/>
    <n v="49500"/>
    <n v="-44.936555555555557"/>
    <s v="Loss"/>
    <s v="Lakshmi Verma"/>
    <x v="2"/>
    <x v="0"/>
    <s v="Chennai"/>
    <s v="Tamil Nadu"/>
    <s v="2024-11-24"/>
    <s v="36-50"/>
    <n v="-22243.595000000001"/>
  </r>
  <r>
    <s v="ORD03799"/>
    <d v="2025-07-05T00:00:00"/>
    <s v="CUST0057"/>
    <x v="0"/>
    <x v="14"/>
    <n v="1"/>
    <n v="0.2"/>
    <n v="360"/>
    <n v="52.04"/>
    <x v="1"/>
    <s v="Delivered"/>
    <n v="360"/>
    <n v="14.455555555555559"/>
    <s v="Profit"/>
    <s v="Akash Singh"/>
    <x v="2"/>
    <x v="2"/>
    <s v="Chandigarh"/>
    <s v="Chandigarh"/>
    <s v="2024-12-21"/>
    <s v="26-35"/>
    <n v="52.04"/>
  </r>
  <r>
    <s v="ORD03800"/>
    <d v="2026-03-03T00:00:00"/>
    <s v="CUST0240"/>
    <x v="0"/>
    <x v="6"/>
    <n v="1"/>
    <n v="0"/>
    <n v="350"/>
    <n v="120"/>
    <x v="1"/>
    <s v="Delivered"/>
    <n v="350"/>
    <n v="34.285714285714278"/>
    <s v="Profit"/>
    <s v="Kavya Joshi"/>
    <x v="0"/>
    <x v="1"/>
    <s v="Mumbai"/>
    <s v="Maharashtra"/>
    <s v="2024-05-21"/>
    <s v="51+"/>
    <n v="120"/>
  </r>
  <r>
    <s v="ORD03801"/>
    <d v="2026-08-10T00:00:00"/>
    <s v="CUST0197"/>
    <x v="0"/>
    <x v="7"/>
    <n v="4"/>
    <n v="0.1"/>
    <n v="3240"/>
    <n v="954.34"/>
    <x v="3"/>
    <s v="Delivered"/>
    <n v="810"/>
    <n v="29.454938271604941"/>
    <s v="Profit"/>
    <s v="Varun Sharma"/>
    <x v="1"/>
    <x v="2"/>
    <s v="Chandigarh"/>
    <s v="Chandigarh"/>
    <s v="2025-06-08"/>
    <s v="26-35"/>
    <n v="238.58500000000001"/>
  </r>
  <r>
    <s v="ORD03802"/>
    <d v="2025-08-09T00:00:00"/>
    <s v="CUST0374"/>
    <x v="1"/>
    <x v="13"/>
    <n v="1"/>
    <n v="0.2"/>
    <n v="3360"/>
    <n v="755.61"/>
    <x v="1"/>
    <s v="Delivered"/>
    <n v="3360"/>
    <n v="22.488392857142859"/>
    <s v="Profit"/>
    <s v="Ishaan Chopra"/>
    <x v="0"/>
    <x v="0"/>
    <s v="Bengaluru"/>
    <s v="Karnataka"/>
    <s v="2024-09-12"/>
    <s v="18-25"/>
    <n v="755.61"/>
  </r>
  <r>
    <s v="ORD03803"/>
    <d v="2026-08-19T00:00:00"/>
    <s v="CUST0100"/>
    <x v="0"/>
    <x v="14"/>
    <n v="2"/>
    <n v="0.3"/>
    <n v="630"/>
    <n v="77.010000000000005"/>
    <x v="0"/>
    <s v="Delivered"/>
    <n v="315"/>
    <n v="12.223809523809519"/>
    <s v="Profit"/>
    <s v="Priya Singh"/>
    <x v="1"/>
    <x v="0"/>
    <s v="Chennai"/>
    <s v="Tamil Nadu"/>
    <s v="2023-03-14"/>
    <s v="26-35"/>
    <n v="38.505000000000003"/>
  </r>
  <r>
    <s v="ORD03804"/>
    <d v="2026-07-01T00:00:00"/>
    <s v="CUST0575"/>
    <x v="3"/>
    <x v="11"/>
    <n v="2"/>
    <n v="0.05"/>
    <n v="4750"/>
    <n v="1388.98"/>
    <x v="3"/>
    <s v="Delivered"/>
    <n v="2375"/>
    <n v="29.241684210526319"/>
    <s v="Profit"/>
    <s v="Akash Das"/>
    <x v="2"/>
    <x v="1"/>
    <s v="Mumbai"/>
    <s v="Maharashtra"/>
    <s v="2024-06-13"/>
    <s v="36-50"/>
    <n v="694.49"/>
  </r>
  <r>
    <s v="ORD03805"/>
    <d v="2026-02-25T00:00:00"/>
    <s v="CUST0374"/>
    <x v="0"/>
    <x v="7"/>
    <n v="2"/>
    <n v="0"/>
    <n v="1800"/>
    <n v="560"/>
    <x v="2"/>
    <s v="Shipped"/>
    <n v="900"/>
    <n v="31.111111111111111"/>
    <s v="Profit"/>
    <s v="Ishaan Chopra"/>
    <x v="0"/>
    <x v="0"/>
    <s v="Bengaluru"/>
    <s v="Karnataka"/>
    <s v="2024-09-12"/>
    <s v="18-25"/>
    <n v="280"/>
  </r>
  <r>
    <s v="ORD03806"/>
    <d v="2026-03-05T00:00:00"/>
    <s v="CUST0503"/>
    <x v="1"/>
    <x v="13"/>
    <n v="2"/>
    <n v="0.1"/>
    <n v="7560"/>
    <n v="1730.09"/>
    <x v="0"/>
    <s v="Shipped"/>
    <n v="3780"/>
    <n v="22.884788359788359"/>
    <s v="Profit"/>
    <s v="Manoj Nair"/>
    <x v="2"/>
    <x v="0"/>
    <s v="Hyderabad"/>
    <s v="Telangana"/>
    <s v="2025-08-16"/>
    <s v="51+"/>
    <n v="865.04499999999996"/>
  </r>
  <r>
    <s v="ORD03807"/>
    <d v="2026-06-12T00:00:00"/>
    <s v="CUST0461"/>
    <x v="2"/>
    <x v="5"/>
    <n v="10"/>
    <n v="0.1"/>
    <n v="99000"/>
    <n v="18188.54"/>
    <x v="2"/>
    <s v="Delivered"/>
    <n v="9900"/>
    <n v="18.372262626262629"/>
    <s v="Profit"/>
    <s v="Shreya Sharma"/>
    <x v="0"/>
    <x v="1"/>
    <s v="Mumbai"/>
    <s v="Maharashtra"/>
    <s v="2024-05-10"/>
    <s v="26-35"/>
    <n v="1818.854"/>
  </r>
  <r>
    <s v="ORD03808"/>
    <d v="2025-12-13T00:00:00"/>
    <s v="CUST0098"/>
    <x v="3"/>
    <x v="10"/>
    <n v="2"/>
    <n v="0"/>
    <n v="110000"/>
    <n v="18000"/>
    <x v="0"/>
    <s v="Delivered"/>
    <n v="55000"/>
    <n v="16.36363636363636"/>
    <s v="Profit"/>
    <s v="Diya Reddy"/>
    <x v="2"/>
    <x v="2"/>
    <s v="Chandigarh"/>
    <s v="Chandigarh"/>
    <s v="2024-10-06"/>
    <s v="26-35"/>
    <n v="9000"/>
  </r>
  <r>
    <s v="ORD03809"/>
    <d v="2026-02-15T00:00:00"/>
    <s v="CUST0211"/>
    <x v="3"/>
    <x v="4"/>
    <n v="5"/>
    <n v="0.1"/>
    <n v="81000"/>
    <n v="12309.71"/>
    <x v="3"/>
    <s v="Delivered"/>
    <n v="16200"/>
    <n v="15.19717283950617"/>
    <s v="Profit"/>
    <s v="Akash Kulkarni"/>
    <x v="0"/>
    <x v="1"/>
    <s v="Surat"/>
    <s v="Gujarat"/>
    <s v="2024-06-07"/>
    <s v="36-50"/>
    <n v="2461.942"/>
  </r>
  <r>
    <s v="ORD03810"/>
    <d v="2025-10-30T00:00:00"/>
    <s v="CUST0388"/>
    <x v="0"/>
    <x v="14"/>
    <n v="10"/>
    <n v="0.1"/>
    <n v="4050"/>
    <n v="777.77"/>
    <x v="3"/>
    <s v="Delivered"/>
    <n v="405"/>
    <n v="19.204197530864199"/>
    <s v="Profit"/>
    <s v="Shreya Kulkarni"/>
    <x v="0"/>
    <x v="0"/>
    <s v="Bengaluru"/>
    <s v="Karnataka"/>
    <s v="2025-08-28"/>
    <s v="36-50"/>
    <n v="77.777000000000001"/>
  </r>
  <r>
    <s v="ORD03811"/>
    <d v="2025-07-05T00:00:00"/>
    <s v="CUST0586"/>
    <x v="0"/>
    <x v="14"/>
    <n v="1"/>
    <n v="0.1"/>
    <n v="405"/>
    <n v="86.51"/>
    <x v="1"/>
    <s v="Delivered"/>
    <n v="405"/>
    <n v="21.3604938271605"/>
    <s v="Profit"/>
    <s v="Sanjay Mehta"/>
    <x v="1"/>
    <x v="0"/>
    <s v="Chennai"/>
    <s v="Tamil Nadu"/>
    <s v="2023-09-11"/>
    <s v="26-35"/>
    <n v="86.51"/>
  </r>
  <r>
    <s v="ORD03812"/>
    <d v="2026-08-13T00:00:00"/>
    <s v="CUST0374"/>
    <x v="3"/>
    <x v="8"/>
    <n v="3"/>
    <n v="0.05"/>
    <n v="12825"/>
    <n v="3945.43"/>
    <x v="3"/>
    <s v="Delivered"/>
    <n v="4275"/>
    <n v="30.76358674463938"/>
    <s v="Profit"/>
    <s v="Ishaan Chopra"/>
    <x v="0"/>
    <x v="0"/>
    <s v="Bengaluru"/>
    <s v="Karnataka"/>
    <s v="2024-09-12"/>
    <s v="18-25"/>
    <n v="1315.143333333333"/>
  </r>
  <r>
    <s v="ORD03813"/>
    <d v="2026-02-24T00:00:00"/>
    <s v="CUST0527"/>
    <x v="1"/>
    <x v="1"/>
    <n v="4"/>
    <n v="0.1"/>
    <n v="6480"/>
    <n v="2137.4699999999998"/>
    <x v="2"/>
    <s v="Delivered"/>
    <n v="1620"/>
    <n v="32.985648148148137"/>
    <s v="Profit"/>
    <s v="Aarav Patel"/>
    <x v="0"/>
    <x v="0"/>
    <s v="Hyderabad"/>
    <s v="Telangana"/>
    <s v="2024-04-04"/>
    <s v="26-35"/>
    <n v="534.36749999999995"/>
  </r>
  <r>
    <s v="ORD03814"/>
    <d v="2026-06-08T00:00:00"/>
    <s v="CUST0022"/>
    <x v="0"/>
    <x v="7"/>
    <n v="3"/>
    <n v="0.1"/>
    <n v="2430"/>
    <n v="641.54"/>
    <x v="0"/>
    <s v="Delivered"/>
    <n v="810"/>
    <n v="26.40082304526749"/>
    <s v="Profit"/>
    <s v="Diya Kulkarni"/>
    <x v="0"/>
    <x v="3"/>
    <s v="Kolkata"/>
    <s v="West Bengal"/>
    <s v="2025-02-13"/>
    <s v="18-25"/>
    <n v="213.84666666666669"/>
  </r>
  <r>
    <s v="ORD03815"/>
    <d v="2026-08-30T00:00:00"/>
    <s v="CUST0292"/>
    <x v="0"/>
    <x v="7"/>
    <n v="6"/>
    <n v="0"/>
    <n v="5400"/>
    <n v="1680"/>
    <x v="0"/>
    <s v="Delivered"/>
    <n v="900"/>
    <n v="31.111111111111111"/>
    <s v="Profit"/>
    <s v="Sanjay Khan"/>
    <x v="0"/>
    <x v="0"/>
    <s v="Bengaluru"/>
    <s v="Karnataka"/>
    <s v="2023-07-05"/>
    <s v="26-35"/>
    <n v="280"/>
  </r>
  <r>
    <s v="ORD03816"/>
    <d v="2026-08-18T00:00:00"/>
    <s v="CUST0441"/>
    <x v="3"/>
    <x v="11"/>
    <n v="1"/>
    <n v="0.3"/>
    <n v="1750"/>
    <n v="323.26"/>
    <x v="0"/>
    <s v="Delivered"/>
    <n v="1750"/>
    <n v="18.472000000000001"/>
    <s v="Profit"/>
    <s v="Arjun Joshi"/>
    <x v="0"/>
    <x v="0"/>
    <s v="Bengaluru"/>
    <s v="Karnataka"/>
    <s v="2024-05-10"/>
    <s v="18-25"/>
    <n v="323.26"/>
  </r>
  <r>
    <s v="ORD03817"/>
    <d v="2025-07-22T00:00:00"/>
    <s v="CUST0268"/>
    <x v="2"/>
    <x v="2"/>
    <n v="3"/>
    <n v="0.1"/>
    <n v="35100"/>
    <n v="7464.64"/>
    <x v="3"/>
    <s v="Delivered"/>
    <n v="11700"/>
    <n v="21.26678062678063"/>
    <s v="Profit"/>
    <s v="Rahul Singh"/>
    <x v="2"/>
    <x v="3"/>
    <s v="Bhubaneswar"/>
    <s v="Odisha"/>
    <s v="2025-01-05"/>
    <s v="26-35"/>
    <n v="2488.213333333334"/>
  </r>
  <r>
    <s v="ORD03818"/>
    <d v="2026-02-15T00:00:00"/>
    <s v="CUST0317"/>
    <x v="2"/>
    <x v="9"/>
    <n v="3"/>
    <n v="0"/>
    <n v="27000"/>
    <n v="6900"/>
    <x v="2"/>
    <s v="Delivered"/>
    <n v="9000"/>
    <n v="25.55555555555555"/>
    <s v="Profit"/>
    <s v="Shreya Sharma"/>
    <x v="2"/>
    <x v="2"/>
    <s v="Chandigarh"/>
    <s v="Chandigarh"/>
    <s v="2025-05-20"/>
    <s v="26-35"/>
    <n v="2300"/>
  </r>
  <r>
    <s v="ORD03819"/>
    <d v="2026-01-02T00:00:00"/>
    <s v="CUST0343"/>
    <x v="1"/>
    <x v="12"/>
    <n v="1"/>
    <n v="0"/>
    <n v="1400"/>
    <n v="500"/>
    <x v="1"/>
    <s v="Delivered"/>
    <n v="1400"/>
    <n v="35.714285714285722"/>
    <s v="Profit"/>
    <s v="Meera Iyer"/>
    <x v="0"/>
    <x v="0"/>
    <s v="Bengaluru"/>
    <s v="Karnataka"/>
    <s v="2024-08-02"/>
    <s v="36-50"/>
    <n v="500"/>
  </r>
  <r>
    <s v="ORD03820"/>
    <d v="2026-02-08T00:00:00"/>
    <s v="CUST0405"/>
    <x v="1"/>
    <x v="12"/>
    <n v="1"/>
    <n v="0.15"/>
    <n v="1190"/>
    <n v="375.16"/>
    <x v="3"/>
    <s v="Delivered"/>
    <n v="1190"/>
    <n v="31.526050420168069"/>
    <s v="Profit"/>
    <s v="Varun Naidu"/>
    <x v="0"/>
    <x v="0"/>
    <s v="Chennai"/>
    <s v="Tamil Nadu"/>
    <s v="2024-05-06"/>
    <s v="26-35"/>
    <n v="375.16"/>
  </r>
  <r>
    <s v="ORD03821"/>
    <d v="2025-08-18T00:00:00"/>
    <s v="CUST0578"/>
    <x v="3"/>
    <x v="8"/>
    <n v="1"/>
    <n v="0.05"/>
    <n v="4275"/>
    <n v="1339.21"/>
    <x v="1"/>
    <s v="Delivered"/>
    <n v="4275"/>
    <n v="31.326549707602339"/>
    <s v="Profit"/>
    <s v="Sneha Rao"/>
    <x v="0"/>
    <x v="1"/>
    <s v="Pune"/>
    <s v="Maharashtra"/>
    <s v="2023-03-03"/>
    <s v="26-35"/>
    <n v="1339.21"/>
  </r>
  <r>
    <s v="ORD03822"/>
    <d v="2026-04-15T00:00:00"/>
    <s v="CUST0374"/>
    <x v="3"/>
    <x v="11"/>
    <n v="5"/>
    <n v="0.1"/>
    <n v="11250"/>
    <n v="3421.63"/>
    <x v="0"/>
    <s v="Delivered"/>
    <n v="2250"/>
    <n v="30.41448888888889"/>
    <s v="Profit"/>
    <s v="Ishaan Chopra"/>
    <x v="0"/>
    <x v="0"/>
    <s v="Bengaluru"/>
    <s v="Karnataka"/>
    <s v="2024-09-12"/>
    <s v="18-25"/>
    <n v="684.32600000000002"/>
  </r>
  <r>
    <s v="ORD03823"/>
    <d v="2026-04-16T00:00:00"/>
    <s v="CUST0206"/>
    <x v="1"/>
    <x v="15"/>
    <n v="10"/>
    <n v="0"/>
    <n v="22000"/>
    <n v="7500"/>
    <x v="2"/>
    <s v="Delivered"/>
    <n v="2200"/>
    <n v="34.090909090909093"/>
    <s v="Profit"/>
    <s v="Arjun Bose"/>
    <x v="1"/>
    <x v="0"/>
    <s v="Coimbatore"/>
    <s v="Tamil Nadu"/>
    <s v="2025-04-20"/>
    <s v="36-50"/>
    <n v="750"/>
  </r>
  <r>
    <s v="ORD03824"/>
    <d v="2026-07-12T00:00:00"/>
    <s v="CUST0545"/>
    <x v="3"/>
    <x v="4"/>
    <n v="1"/>
    <n v="0.05"/>
    <n v="17100"/>
    <n v="2795.96"/>
    <x v="0"/>
    <s v="Delivered"/>
    <n v="17100"/>
    <n v="16.350643274853802"/>
    <s v="Profit"/>
    <s v="Manoj Mehta"/>
    <x v="2"/>
    <x v="0"/>
    <s v="Chennai"/>
    <s v="Tamil Nadu"/>
    <s v="2025-12-28"/>
    <s v="26-35"/>
    <n v="2795.96"/>
  </r>
  <r>
    <s v="ORD03825"/>
    <d v="2026-08-09T00:00:00"/>
    <s v="CUST0201"/>
    <x v="3"/>
    <x v="4"/>
    <n v="2"/>
    <n v="0.1"/>
    <n v="32400"/>
    <n v="4539.16"/>
    <x v="3"/>
    <s v="Delivered"/>
    <n v="16200"/>
    <n v="14.009753086419749"/>
    <s v="Profit"/>
    <s v="Pooja Joshi"/>
    <x v="1"/>
    <x v="3"/>
    <s v="Kolkata"/>
    <s v="West Bengal"/>
    <s v="2024-09-28"/>
    <s v="18-25"/>
    <n v="2269.58"/>
  </r>
  <r>
    <s v="ORD03826"/>
    <d v="2026-08-22T00:00:00"/>
    <s v="CUST0594"/>
    <x v="1"/>
    <x v="12"/>
    <n v="3"/>
    <n v="0.1"/>
    <n v="3780"/>
    <n v="1250.1500000000001"/>
    <x v="1"/>
    <s v="Delivered"/>
    <n v="1260"/>
    <n v="33.072751322751323"/>
    <s v="Profit"/>
    <s v="Ishaan Bose"/>
    <x v="1"/>
    <x v="0"/>
    <s v="Coimbatore"/>
    <s v="Tamil Nadu"/>
    <s v="2024-06-29"/>
    <s v="51+"/>
    <n v="416.7166666666667"/>
  </r>
  <r>
    <s v="ORD03827"/>
    <d v="2025-12-26T00:00:00"/>
    <s v="CUST0383"/>
    <x v="2"/>
    <x v="2"/>
    <n v="6"/>
    <n v="0"/>
    <n v="78000"/>
    <n v="-29414.69"/>
    <x v="1"/>
    <s v="Returned"/>
    <n v="13000"/>
    <n v="-37.711141025641027"/>
    <s v="Loss"/>
    <s v="Arjun Mehta"/>
    <x v="0"/>
    <x v="0"/>
    <s v="Chennai"/>
    <s v="Tamil Nadu"/>
    <s v="2024-05-07"/>
    <s v="51+"/>
    <n v="-4902.4483333333328"/>
  </r>
  <r>
    <s v="ORD03828"/>
    <d v="2026-05-23T00:00:00"/>
    <s v="CUST0432"/>
    <x v="3"/>
    <x v="10"/>
    <n v="2"/>
    <n v="0"/>
    <n v="110000"/>
    <n v="18000"/>
    <x v="2"/>
    <s v="Delivered"/>
    <n v="55000"/>
    <n v="16.36363636363636"/>
    <s v="Profit"/>
    <s v="Pooja Singh"/>
    <x v="1"/>
    <x v="0"/>
    <s v="Coimbatore"/>
    <s v="Tamil Nadu"/>
    <s v="2023-02-17"/>
    <s v="18-25"/>
    <n v="9000"/>
  </r>
  <r>
    <s v="ORD03829"/>
    <d v="2026-02-14T00:00:00"/>
    <s v="CUST0449"/>
    <x v="3"/>
    <x v="11"/>
    <n v="4"/>
    <n v="0.1"/>
    <n v="9000"/>
    <n v="2488.37"/>
    <x v="0"/>
    <s v="Delivered"/>
    <n v="2250"/>
    <n v="27.64855555555555"/>
    <s v="Profit"/>
    <s v="Ishaan Kulkarni"/>
    <x v="0"/>
    <x v="1"/>
    <s v="Pune"/>
    <s v="Maharashtra"/>
    <s v="2023-06-12"/>
    <s v="36-50"/>
    <n v="622.09249999999997"/>
  </r>
  <r>
    <s v="ORD03830"/>
    <d v="2026-06-09T00:00:00"/>
    <s v="CUST0015"/>
    <x v="0"/>
    <x v="14"/>
    <n v="1"/>
    <n v="0.2"/>
    <n v="360"/>
    <n v="36.479999999999997"/>
    <x v="2"/>
    <s v="Delivered"/>
    <n v="360"/>
    <n v="10.133333333333329"/>
    <s v="Profit"/>
    <s v="Diya Pillai"/>
    <x v="1"/>
    <x v="0"/>
    <s v="Coimbatore"/>
    <s v="Tamil Nadu"/>
    <s v="2024-09-16"/>
    <s v="51+"/>
    <n v="36.479999999999997"/>
  </r>
  <r>
    <s v="ORD03831"/>
    <d v="2025-12-03T00:00:00"/>
    <s v="CUST0223"/>
    <x v="3"/>
    <x v="10"/>
    <n v="3"/>
    <n v="0.1"/>
    <n v="148500"/>
    <n v="14121.78"/>
    <x v="0"/>
    <s v="Shipped"/>
    <n v="49500"/>
    <n v="9.5096161616161616"/>
    <s v="Profit"/>
    <s v="Akash Bose"/>
    <x v="0"/>
    <x v="0"/>
    <s v="Chennai"/>
    <s v="Tamil Nadu"/>
    <s v="2023-12-31"/>
    <s v="18-25"/>
    <n v="4707.26"/>
  </r>
  <r>
    <s v="ORD03832"/>
    <d v="2025-08-09T00:00:00"/>
    <s v="CUST0160"/>
    <x v="3"/>
    <x v="10"/>
    <n v="2"/>
    <n v="0"/>
    <n v="110000"/>
    <n v="18000"/>
    <x v="3"/>
    <s v="Delivered"/>
    <n v="55000"/>
    <n v="16.36363636363636"/>
    <s v="Profit"/>
    <s v="Divya Sharma"/>
    <x v="2"/>
    <x v="0"/>
    <s v="Bengaluru"/>
    <s v="Karnataka"/>
    <s v="2024-09-25"/>
    <s v="18-25"/>
    <n v="9000"/>
  </r>
  <r>
    <s v="ORD03833"/>
    <d v="2026-06-15T00:00:00"/>
    <s v="CUST0299"/>
    <x v="0"/>
    <x v="14"/>
    <n v="2"/>
    <n v="0.1"/>
    <n v="810"/>
    <n v="179.45"/>
    <x v="2"/>
    <s v="Delivered"/>
    <n v="405"/>
    <n v="22.154320987654319"/>
    <s v="Profit"/>
    <s v="Diya Das"/>
    <x v="0"/>
    <x v="1"/>
    <s v="Ahmedabad"/>
    <s v="Gujarat"/>
    <s v="2023-09-07"/>
    <s v="36-50"/>
    <n v="89.724999999999994"/>
  </r>
  <r>
    <s v="ORD03834"/>
    <d v="2026-05-01T00:00:00"/>
    <s v="CUST0385"/>
    <x v="3"/>
    <x v="8"/>
    <n v="3"/>
    <n v="0.2"/>
    <n v="10800"/>
    <n v="2599.3200000000002"/>
    <x v="3"/>
    <s v="Delivered"/>
    <n v="3600"/>
    <n v="24.067777777777781"/>
    <s v="Profit"/>
    <s v="Karthik Singh"/>
    <x v="0"/>
    <x v="0"/>
    <s v="Coimbatore"/>
    <s v="Tamil Nadu"/>
    <s v="2023-06-06"/>
    <s v="26-35"/>
    <n v="866.44"/>
  </r>
  <r>
    <s v="ORD03835"/>
    <d v="2026-02-12T00:00:00"/>
    <s v="CUST0577"/>
    <x v="3"/>
    <x v="10"/>
    <n v="2"/>
    <n v="0.1"/>
    <n v="99000"/>
    <n v="12528.76"/>
    <x v="0"/>
    <s v="Delivered"/>
    <n v="49500"/>
    <n v="12.655313131313131"/>
    <s v="Profit"/>
    <s v="Lakshmi Joshi"/>
    <x v="1"/>
    <x v="1"/>
    <s v="Ahmedabad"/>
    <s v="Gujarat"/>
    <s v="2024-09-03"/>
    <s v="26-35"/>
    <n v="6264.38"/>
  </r>
  <r>
    <s v="ORD03836"/>
    <d v="2026-05-06T00:00:00"/>
    <s v="CUST0126"/>
    <x v="0"/>
    <x v="7"/>
    <n v="1"/>
    <n v="0"/>
    <n v="900"/>
    <n v="280"/>
    <x v="0"/>
    <s v="Delivered"/>
    <n v="900"/>
    <n v="31.111111111111111"/>
    <s v="Profit"/>
    <s v="Manoj Mehta"/>
    <x v="1"/>
    <x v="0"/>
    <s v="Bengaluru"/>
    <s v="Karnataka"/>
    <s v="2025-10-04"/>
    <s v="36-50"/>
    <n v="280"/>
  </r>
  <r>
    <s v="ORD03837"/>
    <d v="2025-07-22T00:00:00"/>
    <s v="CUST0103"/>
    <x v="3"/>
    <x v="4"/>
    <n v="1"/>
    <n v="0"/>
    <n v="18000"/>
    <n v="3500"/>
    <x v="0"/>
    <s v="Delivered"/>
    <n v="18000"/>
    <n v="19.44444444444445"/>
    <s v="Profit"/>
    <s v="Rohan Rao"/>
    <x v="0"/>
    <x v="0"/>
    <s v="Bengaluru"/>
    <s v="Karnataka"/>
    <s v="2023-11-09"/>
    <s v="36-50"/>
    <n v="3500"/>
  </r>
  <r>
    <s v="ORD03838"/>
    <d v="2026-06-13T00:00:00"/>
    <s v="CUST0252"/>
    <x v="1"/>
    <x v="15"/>
    <n v="1"/>
    <n v="0.15"/>
    <n v="1870"/>
    <n v="529.38"/>
    <x v="0"/>
    <s v="Delivered"/>
    <n v="1870"/>
    <n v="28.309090909090909"/>
    <s v="Profit"/>
    <s v="Ishaan Pillai"/>
    <x v="0"/>
    <x v="0"/>
    <s v="Coimbatore"/>
    <s v="Tamil Nadu"/>
    <s v="2024-06-19"/>
    <s v="36-50"/>
    <n v="529.38"/>
  </r>
  <r>
    <s v="ORD03839"/>
    <d v="2025-11-30T00:00:00"/>
    <s v="CUST0133"/>
    <x v="3"/>
    <x v="11"/>
    <n v="6"/>
    <n v="0"/>
    <n v="15000"/>
    <n v="4800"/>
    <x v="3"/>
    <s v="Delivered"/>
    <n v="2500"/>
    <n v="32"/>
    <s v="Profit"/>
    <s v="Varun Reddy"/>
    <x v="0"/>
    <x v="1"/>
    <s v="Pune"/>
    <s v="Maharashtra"/>
    <s v="2023-11-14"/>
    <s v="26-35"/>
    <n v="800"/>
  </r>
  <r>
    <s v="ORD03840"/>
    <d v="2026-06-26T00:00:00"/>
    <s v="CUST0270"/>
    <x v="3"/>
    <x v="11"/>
    <n v="4"/>
    <n v="0.1"/>
    <n v="9000"/>
    <n v="2399.85"/>
    <x v="2"/>
    <s v="Delivered"/>
    <n v="2250"/>
    <n v="26.664999999999999"/>
    <s v="Profit"/>
    <s v="Sanjay Bose"/>
    <x v="1"/>
    <x v="1"/>
    <s v="Pune"/>
    <s v="Maharashtra"/>
    <s v="2024-03-11"/>
    <s v="18-25"/>
    <n v="599.96249999999998"/>
  </r>
  <r>
    <s v="ORD03841"/>
    <d v="2026-05-20T00:00:00"/>
    <s v="CUST0161"/>
    <x v="2"/>
    <x v="5"/>
    <n v="2"/>
    <n v="0.1"/>
    <n v="19800"/>
    <n v="3603.15"/>
    <x v="0"/>
    <s v="Delivered"/>
    <n v="9900"/>
    <n v="18.197727272727271"/>
    <s v="Profit"/>
    <s v="Rohan Reddy"/>
    <x v="2"/>
    <x v="0"/>
    <s v="Bengaluru"/>
    <s v="Karnataka"/>
    <s v="2025-07-10"/>
    <s v="51+"/>
    <n v="1801.575"/>
  </r>
  <r>
    <s v="ORD03842"/>
    <d v="2025-10-05T00:00:00"/>
    <s v="CUST0025"/>
    <x v="0"/>
    <x v="7"/>
    <n v="2"/>
    <n v="0.15"/>
    <n v="1530"/>
    <n v="371.04"/>
    <x v="2"/>
    <s v="Delivered"/>
    <n v="765"/>
    <n v="24.250980392156869"/>
    <s v="Profit"/>
    <s v="Aditya Rao"/>
    <x v="0"/>
    <x v="2"/>
    <s v="Chandigarh"/>
    <s v="Chandigarh"/>
    <s v="2025-12-16"/>
    <s v="26-35"/>
    <n v="185.52"/>
  </r>
  <r>
    <s v="ORD03843"/>
    <d v="2026-05-18T00:00:00"/>
    <s v="CUST0461"/>
    <x v="3"/>
    <x v="10"/>
    <n v="4"/>
    <n v="0"/>
    <n v="220000"/>
    <n v="36000"/>
    <x v="1"/>
    <s v="Shipped"/>
    <n v="55000"/>
    <n v="16.36363636363636"/>
    <s v="Profit"/>
    <s v="Shreya Sharma"/>
    <x v="0"/>
    <x v="1"/>
    <s v="Mumbai"/>
    <s v="Maharashtra"/>
    <s v="2024-05-10"/>
    <s v="26-35"/>
    <n v="9000"/>
  </r>
  <r>
    <s v="ORD03844"/>
    <d v="2025-09-19T00:00:00"/>
    <s v="CUST0101"/>
    <x v="2"/>
    <x v="3"/>
    <n v="5"/>
    <n v="0"/>
    <n v="75000"/>
    <n v="17500"/>
    <x v="1"/>
    <s v="Delivered"/>
    <n v="15000"/>
    <n v="23.333333333333329"/>
    <s v="Profit"/>
    <s v="Ishaan Verma"/>
    <x v="0"/>
    <x v="3"/>
    <s v="Guwahati"/>
    <s v="Assam"/>
    <s v="2023-01-28"/>
    <s v="26-35"/>
    <n v="3500"/>
  </r>
  <r>
    <s v="ORD03845"/>
    <d v="2025-12-13T00:00:00"/>
    <s v="CUST0415"/>
    <x v="0"/>
    <x v="6"/>
    <n v="4"/>
    <n v="0.1"/>
    <n v="1260"/>
    <n v="366.44"/>
    <x v="3"/>
    <s v="Delivered"/>
    <n v="315"/>
    <n v="29.082539682539679"/>
    <s v="Profit"/>
    <s v="Manoj Bose"/>
    <x v="1"/>
    <x v="0"/>
    <s v="Bengaluru"/>
    <s v="Karnataka"/>
    <s v="2024-07-04"/>
    <s v="36-50"/>
    <n v="91.61"/>
  </r>
  <r>
    <s v="ORD03846"/>
    <d v="2026-07-13T00:00:00"/>
    <s v="CUST0440"/>
    <x v="0"/>
    <x v="7"/>
    <n v="5"/>
    <n v="0.1"/>
    <n v="4050"/>
    <n v="1063.32"/>
    <x v="1"/>
    <s v="Delivered"/>
    <n v="810"/>
    <n v="26.254814814814811"/>
    <s v="Profit"/>
    <s v="Harini Sharma"/>
    <x v="1"/>
    <x v="0"/>
    <s v="Hyderabad"/>
    <s v="Telangana"/>
    <s v="2024-06-03"/>
    <s v="18-25"/>
    <n v="212.66399999999999"/>
  </r>
  <r>
    <s v="ORD03847"/>
    <d v="2026-04-02T00:00:00"/>
    <s v="CUST0537"/>
    <x v="2"/>
    <x v="5"/>
    <n v="3"/>
    <n v="0.1"/>
    <n v="29700"/>
    <n v="5683.47"/>
    <x v="1"/>
    <s v="Delivered"/>
    <n v="9900"/>
    <n v="19.136262626262631"/>
    <s v="Profit"/>
    <s v="Vikram Pillai"/>
    <x v="0"/>
    <x v="0"/>
    <s v="Bengaluru"/>
    <s v="Karnataka"/>
    <s v="2023-11-18"/>
    <s v="26-35"/>
    <n v="1894.49"/>
  </r>
  <r>
    <s v="ORD03848"/>
    <d v="2026-01-31T00:00:00"/>
    <s v="CUST0587"/>
    <x v="1"/>
    <x v="12"/>
    <n v="2"/>
    <n v="0.1"/>
    <n v="2520"/>
    <n v="820.28"/>
    <x v="1"/>
    <s v="Delivered"/>
    <n v="1260"/>
    <n v="32.550793650793651"/>
    <s v="Profit"/>
    <s v="Ishaan Kulkarni"/>
    <x v="2"/>
    <x v="3"/>
    <s v="Guwahati"/>
    <s v="Assam"/>
    <s v="2025-01-05"/>
    <s v="26-35"/>
    <n v="410.14"/>
  </r>
  <r>
    <s v="ORD03849"/>
    <d v="2025-11-29T00:00:00"/>
    <s v="CUST0132"/>
    <x v="2"/>
    <x v="3"/>
    <n v="1"/>
    <n v="0"/>
    <n v="15000"/>
    <n v="3500"/>
    <x v="1"/>
    <s v="Delivered"/>
    <n v="15000"/>
    <n v="23.333333333333329"/>
    <s v="Profit"/>
    <s v="Akash Rao"/>
    <x v="2"/>
    <x v="1"/>
    <s v="Pune"/>
    <s v="Maharashtra"/>
    <s v="2023-10-01"/>
    <s v="36-50"/>
    <n v="3500"/>
  </r>
  <r>
    <s v="ORD03850"/>
    <d v="2025-09-22T00:00:00"/>
    <s v="CUST0358"/>
    <x v="3"/>
    <x v="10"/>
    <n v="6"/>
    <n v="0.1"/>
    <n v="297000"/>
    <n v="26317.73"/>
    <x v="3"/>
    <s v="Delivered"/>
    <n v="49500"/>
    <n v="8.8611885521885529"/>
    <s v="Profit"/>
    <s v="Sanjay Das"/>
    <x v="0"/>
    <x v="0"/>
    <s v="Hyderabad"/>
    <s v="Telangana"/>
    <s v="2025-08-29"/>
    <s v="18-25"/>
    <n v="4386.288333333333"/>
  </r>
  <r>
    <s v="ORD03851"/>
    <d v="2025-12-31T00:00:00"/>
    <s v="CUST0380"/>
    <x v="2"/>
    <x v="5"/>
    <n v="3"/>
    <n v="0.1"/>
    <n v="29700"/>
    <n v="6168.79"/>
    <x v="2"/>
    <s v="Shipped"/>
    <n v="9900"/>
    <n v="20.770336700336699"/>
    <s v="Profit"/>
    <s v="Arjun Sharma"/>
    <x v="2"/>
    <x v="1"/>
    <s v="Surat"/>
    <s v="Gujarat"/>
    <s v="2024-07-24"/>
    <s v="36-50"/>
    <n v="2056.2633333333329"/>
  </r>
  <r>
    <s v="ORD03852"/>
    <d v="2026-01-18T00:00:00"/>
    <s v="CUST0157"/>
    <x v="0"/>
    <x v="7"/>
    <n v="1"/>
    <n v="0"/>
    <n v="900"/>
    <n v="280"/>
    <x v="0"/>
    <s v="Delivered"/>
    <n v="900"/>
    <n v="31.111111111111111"/>
    <s v="Profit"/>
    <s v="Diya Rao"/>
    <x v="1"/>
    <x v="0"/>
    <s v="Bengaluru"/>
    <s v="Karnataka"/>
    <s v="2024-02-13"/>
    <s v="51+"/>
    <n v="280"/>
  </r>
  <r>
    <s v="ORD03853"/>
    <d v="2026-03-28T00:00:00"/>
    <s v="CUST0405"/>
    <x v="2"/>
    <x v="3"/>
    <n v="2"/>
    <n v="0.05"/>
    <n v="28500"/>
    <n v="5964.81"/>
    <x v="1"/>
    <s v="Delivered"/>
    <n v="14250"/>
    <n v="20.929157894736839"/>
    <s v="Profit"/>
    <s v="Varun Naidu"/>
    <x v="0"/>
    <x v="0"/>
    <s v="Chennai"/>
    <s v="Tamil Nadu"/>
    <s v="2024-05-06"/>
    <s v="26-35"/>
    <n v="2982.4050000000002"/>
  </r>
  <r>
    <s v="ORD03854"/>
    <d v="2025-10-01T00:00:00"/>
    <s v="CUST0553"/>
    <x v="1"/>
    <x v="15"/>
    <n v="2"/>
    <n v="0.1"/>
    <n v="3960"/>
    <n v="1245.5"/>
    <x v="1"/>
    <s v="Delivered"/>
    <n v="1980"/>
    <n v="31.452020202020201"/>
    <s v="Profit"/>
    <s v="Diya Mishra"/>
    <x v="2"/>
    <x v="0"/>
    <s v="Coimbatore"/>
    <s v="Tamil Nadu"/>
    <s v="2025-01-24"/>
    <s v="36-50"/>
    <n v="622.75"/>
  </r>
  <r>
    <s v="ORD03855"/>
    <d v="2026-04-21T00:00:00"/>
    <s v="CUST0169"/>
    <x v="2"/>
    <x v="2"/>
    <n v="3"/>
    <n v="0.1"/>
    <n v="35100"/>
    <n v="7038.16"/>
    <x v="3"/>
    <s v="Delivered"/>
    <n v="11700"/>
    <n v="20.05173789173789"/>
    <s v="Profit"/>
    <s v="Sneha Bose"/>
    <x v="0"/>
    <x v="0"/>
    <s v="Hyderabad"/>
    <s v="Telangana"/>
    <s v="2024-09-10"/>
    <s v="26-35"/>
    <n v="2346.0533333333328"/>
  </r>
  <r>
    <s v="ORD03856"/>
    <d v="2025-10-01T00:00:00"/>
    <s v="CUST0185"/>
    <x v="3"/>
    <x v="11"/>
    <n v="2"/>
    <n v="0.1"/>
    <n v="4500"/>
    <n v="-198.85"/>
    <x v="3"/>
    <s v="Cancelled"/>
    <n v="2250"/>
    <n v="-4.4188888888888886"/>
    <s v="Loss"/>
    <s v="Karthik Mehta"/>
    <x v="2"/>
    <x v="2"/>
    <s v="Chandigarh"/>
    <s v="Chandigarh"/>
    <s v="2025-01-12"/>
    <s v="36-50"/>
    <n v="-99.424999999999997"/>
  </r>
  <r>
    <s v="ORD03857"/>
    <d v="2025-10-26T00:00:00"/>
    <s v="CUST0282"/>
    <x v="1"/>
    <x v="12"/>
    <n v="2"/>
    <n v="0.2"/>
    <n v="2240"/>
    <n v="740.73"/>
    <x v="0"/>
    <s v="Delivered"/>
    <n v="1120"/>
    <n v="33.068303571428572"/>
    <s v="Profit"/>
    <s v="Shreya Verma"/>
    <x v="0"/>
    <x v="3"/>
    <s v="Guwahati"/>
    <s v="Assam"/>
    <s v="2023-11-15"/>
    <s v="18-25"/>
    <n v="370.36500000000001"/>
  </r>
  <r>
    <s v="ORD03858"/>
    <d v="2026-03-30T00:00:00"/>
    <s v="CUST0260"/>
    <x v="2"/>
    <x v="3"/>
    <n v="3"/>
    <n v="0.1"/>
    <n v="40500"/>
    <n v="8087.81"/>
    <x v="1"/>
    <s v="Delivered"/>
    <n v="13500"/>
    <n v="19.969901234567899"/>
    <s v="Profit"/>
    <s v="Harini Khan"/>
    <x v="0"/>
    <x v="3"/>
    <s v="Bhubaneswar"/>
    <s v="Odisha"/>
    <s v="2023-01-28"/>
    <s v="26-35"/>
    <n v="2695.936666666667"/>
  </r>
  <r>
    <s v="ORD03859"/>
    <d v="2026-07-14T00:00:00"/>
    <s v="CUST0362"/>
    <x v="1"/>
    <x v="13"/>
    <n v="3"/>
    <n v="0.15"/>
    <n v="10710"/>
    <n v="2028.57"/>
    <x v="3"/>
    <s v="Delivered"/>
    <n v="3570"/>
    <n v="18.940896358543419"/>
    <s v="Profit"/>
    <s v="Karthik Joshi"/>
    <x v="0"/>
    <x v="0"/>
    <s v="Coimbatore"/>
    <s v="Tamil Nadu"/>
    <s v="2025-09-08"/>
    <s v="26-35"/>
    <n v="676.18999999999994"/>
  </r>
  <r>
    <s v="ORD03860"/>
    <d v="2025-12-12T00:00:00"/>
    <s v="CUST0472"/>
    <x v="2"/>
    <x v="5"/>
    <n v="1"/>
    <n v="0.2"/>
    <n v="8800"/>
    <n v="1148.07"/>
    <x v="3"/>
    <s v="Delivered"/>
    <n v="8800"/>
    <n v="13.046250000000001"/>
    <s v="Profit"/>
    <s v="Kavya Gupta"/>
    <x v="1"/>
    <x v="3"/>
    <s v="Bhubaneswar"/>
    <s v="Odisha"/>
    <s v="2025-07-26"/>
    <s v="26-35"/>
    <n v="1148.07"/>
  </r>
  <r>
    <s v="ORD03861"/>
    <d v="2025-10-14T00:00:00"/>
    <s v="CUST0035"/>
    <x v="3"/>
    <x v="4"/>
    <n v="2"/>
    <n v="0"/>
    <n v="36000"/>
    <n v="-6633.16"/>
    <x v="0"/>
    <s v="Cancelled"/>
    <n v="18000"/>
    <n v="-18.425444444444441"/>
    <s v="Loss"/>
    <s v="Karthik Verma"/>
    <x v="1"/>
    <x v="3"/>
    <s v="Guwahati"/>
    <s v="Assam"/>
    <s v="2025-01-09"/>
    <s v="51+"/>
    <n v="-3316.58"/>
  </r>
  <r>
    <s v="ORD03862"/>
    <d v="2026-01-03T00:00:00"/>
    <s v="CUST0599"/>
    <x v="3"/>
    <x v="11"/>
    <n v="5"/>
    <n v="0.1"/>
    <n v="11250"/>
    <n v="2940.9"/>
    <x v="1"/>
    <s v="Delivered"/>
    <n v="2250"/>
    <n v="26.141333333333328"/>
    <s v="Profit"/>
    <s v="Rahul Das"/>
    <x v="1"/>
    <x v="0"/>
    <s v="Coimbatore"/>
    <s v="Tamil Nadu"/>
    <s v="2024-01-12"/>
    <s v="26-35"/>
    <n v="588.18000000000006"/>
  </r>
  <r>
    <s v="ORD03863"/>
    <d v="2026-03-20T00:00:00"/>
    <s v="CUST0457"/>
    <x v="1"/>
    <x v="13"/>
    <n v="3"/>
    <n v="0.05"/>
    <n v="11970"/>
    <n v="3313.27"/>
    <x v="3"/>
    <s v="Delivered"/>
    <n v="3990"/>
    <n v="27.679782790309101"/>
    <s v="Profit"/>
    <s v="Karthik Bose"/>
    <x v="2"/>
    <x v="0"/>
    <s v="Hyderabad"/>
    <s v="Telangana"/>
    <s v="2025-04-05"/>
    <s v="51+"/>
    <n v="1104.4233333333329"/>
  </r>
  <r>
    <s v="ORD03864"/>
    <d v="2025-12-23T00:00:00"/>
    <s v="CUST0277"/>
    <x v="1"/>
    <x v="12"/>
    <n v="2"/>
    <n v="0.2"/>
    <n v="2240"/>
    <n v="-185.29"/>
    <x v="1"/>
    <s v="Returned"/>
    <n v="1120"/>
    <n v="-8.2718749999999996"/>
    <s v="Loss"/>
    <s v="Pooja Sharma"/>
    <x v="1"/>
    <x v="3"/>
    <s v="Patna"/>
    <s v="Bihar"/>
    <s v="2025-02-27"/>
    <s v="18-25"/>
    <n v="-92.644999999999996"/>
  </r>
  <r>
    <s v="ORD03865"/>
    <d v="2025-12-16T00:00:00"/>
    <s v="CUST0003"/>
    <x v="1"/>
    <x v="12"/>
    <n v="3"/>
    <n v="0"/>
    <n v="4200"/>
    <n v="1500"/>
    <x v="1"/>
    <s v="Delivered"/>
    <n v="1400"/>
    <n v="35.714285714285722"/>
    <s v="Profit"/>
    <s v="Sanjay Mehta"/>
    <x v="2"/>
    <x v="1"/>
    <s v="Ahmedabad"/>
    <s v="Gujarat"/>
    <s v="2025-05-11"/>
    <s v="26-35"/>
    <n v="500"/>
  </r>
  <r>
    <s v="ORD03866"/>
    <d v="2026-08-25T00:00:00"/>
    <s v="CUST0038"/>
    <x v="0"/>
    <x v="7"/>
    <n v="3"/>
    <n v="0.1"/>
    <n v="2430"/>
    <n v="712.62"/>
    <x v="1"/>
    <s v="Shipped"/>
    <n v="810"/>
    <n v="29.32592592592593"/>
    <s v="Profit"/>
    <s v="Harini Sharma"/>
    <x v="2"/>
    <x v="0"/>
    <s v="Coimbatore"/>
    <s v="Tamil Nadu"/>
    <s v="2024-06-22"/>
    <s v="36-50"/>
    <n v="237.54"/>
  </r>
  <r>
    <s v="ORD03867"/>
    <d v="2026-04-17T00:00:00"/>
    <s v="CUST0261"/>
    <x v="1"/>
    <x v="1"/>
    <n v="3"/>
    <n v="0.1"/>
    <n v="4860"/>
    <n v="1598.77"/>
    <x v="1"/>
    <s v="Delivered"/>
    <n v="1620"/>
    <n v="32.896502057613169"/>
    <s v="Profit"/>
    <s v="Lakshmi Joshi"/>
    <x v="1"/>
    <x v="1"/>
    <s v="Pune"/>
    <s v="Maharashtra"/>
    <s v="2024-05-26"/>
    <s v="36-50"/>
    <n v="532.92333333333329"/>
  </r>
  <r>
    <s v="ORD03868"/>
    <d v="2026-02-27T00:00:00"/>
    <s v="CUST0457"/>
    <x v="2"/>
    <x v="3"/>
    <n v="1"/>
    <n v="0.15"/>
    <n v="12750"/>
    <n v="-3805.25"/>
    <x v="1"/>
    <s v="Returned"/>
    <n v="12750"/>
    <n v="-29.845098039215689"/>
    <s v="Loss"/>
    <s v="Karthik Bose"/>
    <x v="2"/>
    <x v="0"/>
    <s v="Hyderabad"/>
    <s v="Telangana"/>
    <s v="2025-04-05"/>
    <s v="51+"/>
    <n v="-3805.25"/>
  </r>
  <r>
    <s v="ORD03869"/>
    <d v="2025-07-04T00:00:00"/>
    <s v="CUST0163"/>
    <x v="1"/>
    <x v="13"/>
    <n v="3"/>
    <n v="0.1"/>
    <n v="11340"/>
    <n v="2555.12"/>
    <x v="0"/>
    <s v="Delivered"/>
    <n v="3780"/>
    <n v="22.53192239858906"/>
    <s v="Profit"/>
    <s v="Rohan Iyer"/>
    <x v="2"/>
    <x v="2"/>
    <s v="Jaipur"/>
    <s v="Rajasthan"/>
    <s v="2024-05-11"/>
    <s v="18-25"/>
    <n v="851.70666666666659"/>
  </r>
  <r>
    <s v="ORD03870"/>
    <d v="2025-07-05T00:00:00"/>
    <s v="CUST0069"/>
    <x v="3"/>
    <x v="4"/>
    <n v="1"/>
    <n v="0.05"/>
    <n v="17100"/>
    <n v="2768.05"/>
    <x v="2"/>
    <s v="Shipped"/>
    <n v="17100"/>
    <n v="16.1874269005848"/>
    <s v="Profit"/>
    <s v="Rahul Sharma"/>
    <x v="1"/>
    <x v="3"/>
    <s v="Guwahati"/>
    <s v="Assam"/>
    <s v="2023-07-22"/>
    <s v="36-50"/>
    <n v="2768.05"/>
  </r>
  <r>
    <s v="ORD03871"/>
    <d v="2025-07-22T00:00:00"/>
    <s v="CUST0235"/>
    <x v="2"/>
    <x v="9"/>
    <n v="3"/>
    <n v="0.2"/>
    <n v="21600"/>
    <n v="-5372.32"/>
    <x v="3"/>
    <s v="Returned"/>
    <n v="7200"/>
    <n v="-24.871851851851851"/>
    <s v="Loss"/>
    <s v="Harini Gupta"/>
    <x v="0"/>
    <x v="1"/>
    <s v="Pune"/>
    <s v="Maharashtra"/>
    <s v="2024-04-09"/>
    <s v="26-35"/>
    <n v="-1790.7733333333331"/>
  </r>
  <r>
    <s v="ORD03872"/>
    <d v="2025-08-18T00:00:00"/>
    <s v="CUST0393"/>
    <x v="2"/>
    <x v="5"/>
    <n v="2"/>
    <n v="0"/>
    <n v="22000"/>
    <n v="5200"/>
    <x v="1"/>
    <s v="Shipped"/>
    <n v="11000"/>
    <n v="23.63636363636364"/>
    <s v="Profit"/>
    <s v="Vikram Patel"/>
    <x v="1"/>
    <x v="1"/>
    <s v="Mumbai"/>
    <s v="Maharashtra"/>
    <s v="2024-07-03"/>
    <s v="36-50"/>
    <n v="2600"/>
  </r>
  <r>
    <s v="ORD03873"/>
    <d v="2026-01-04T00:00:00"/>
    <s v="CUST0291"/>
    <x v="0"/>
    <x v="14"/>
    <n v="1"/>
    <n v="0.05"/>
    <n v="427.5"/>
    <n v="98.85"/>
    <x v="2"/>
    <s v="Delivered"/>
    <n v="427.5"/>
    <n v="23.12280701754386"/>
    <s v="Profit"/>
    <s v="Divya Chopra"/>
    <x v="1"/>
    <x v="0"/>
    <s v="Bengaluru"/>
    <s v="Karnataka"/>
    <s v="2023-10-19"/>
    <s v="18-25"/>
    <n v="98.85"/>
  </r>
  <r>
    <s v="ORD03874"/>
    <d v="2025-09-21T00:00:00"/>
    <s v="CUST0597"/>
    <x v="0"/>
    <x v="7"/>
    <n v="3"/>
    <n v="0"/>
    <n v="2700"/>
    <n v="840"/>
    <x v="3"/>
    <s v="Delivered"/>
    <n v="900"/>
    <n v="31.111111111111111"/>
    <s v="Profit"/>
    <s v="Harini Menon"/>
    <x v="1"/>
    <x v="0"/>
    <s v="Hyderabad"/>
    <s v="Telangana"/>
    <s v="2025-05-09"/>
    <s v="51+"/>
    <n v="280"/>
  </r>
  <r>
    <s v="ORD03875"/>
    <d v="2025-08-28T00:00:00"/>
    <s v="CUST0143"/>
    <x v="0"/>
    <x v="7"/>
    <n v="2"/>
    <n v="0.15"/>
    <n v="1530"/>
    <n v="342.08"/>
    <x v="0"/>
    <s v="Delivered"/>
    <n v="765"/>
    <n v="22.358169934640522"/>
    <s v="Profit"/>
    <s v="Ananya Naidu"/>
    <x v="2"/>
    <x v="0"/>
    <s v="Bengaluru"/>
    <s v="Karnataka"/>
    <s v="2023-04-11"/>
    <s v="36-50"/>
    <n v="171.04"/>
  </r>
  <r>
    <s v="ORD03876"/>
    <d v="2026-04-05T00:00:00"/>
    <s v="CUST0099"/>
    <x v="2"/>
    <x v="3"/>
    <n v="3"/>
    <n v="0.05"/>
    <n v="42750"/>
    <n v="-10317.870000000001"/>
    <x v="2"/>
    <s v="Cancelled"/>
    <n v="14250"/>
    <n v="-24.135368421052629"/>
    <s v="Loss"/>
    <s v="Ananya Mehta"/>
    <x v="1"/>
    <x v="2"/>
    <s v="Chandigarh"/>
    <s v="Chandigarh"/>
    <s v="2025-06-15"/>
    <s v="36-50"/>
    <n v="-3439.29"/>
  </r>
  <r>
    <s v="ORD03877"/>
    <d v="2026-03-24T00:00:00"/>
    <s v="CUST0598"/>
    <x v="0"/>
    <x v="14"/>
    <n v="2"/>
    <n v="0.2"/>
    <n v="720"/>
    <n v="100.25"/>
    <x v="2"/>
    <s v="Delivered"/>
    <n v="360"/>
    <n v="13.923611111111111"/>
    <s v="Profit"/>
    <s v="Arjun Das"/>
    <x v="0"/>
    <x v="0"/>
    <s v="Hyderabad"/>
    <s v="Telangana"/>
    <s v="2024-07-07"/>
    <s v="36-50"/>
    <n v="50.125"/>
  </r>
  <r>
    <s v="ORD03878"/>
    <d v="2026-05-03T00:00:00"/>
    <s v="CUST0320"/>
    <x v="0"/>
    <x v="6"/>
    <n v="1"/>
    <n v="0"/>
    <n v="350"/>
    <n v="120"/>
    <x v="1"/>
    <s v="Shipped"/>
    <n v="350"/>
    <n v="34.285714285714278"/>
    <s v="Profit"/>
    <s v="Kavya Das"/>
    <x v="0"/>
    <x v="2"/>
    <s v="Lucknow"/>
    <s v="Uttar Pradesh"/>
    <s v="2023-07-09"/>
    <s v="51+"/>
    <n v="120"/>
  </r>
  <r>
    <s v="ORD03879"/>
    <d v="2026-01-18T00:00:00"/>
    <s v="CUST0176"/>
    <x v="2"/>
    <x v="2"/>
    <n v="3"/>
    <n v="0"/>
    <n v="39000"/>
    <n v="9600"/>
    <x v="3"/>
    <s v="Delivered"/>
    <n v="13000"/>
    <n v="24.61538461538462"/>
    <s v="Profit"/>
    <s v="Diya Patel"/>
    <x v="0"/>
    <x v="2"/>
    <s v="Jaipur"/>
    <s v="Rajasthan"/>
    <s v="2023-08-21"/>
    <s v="26-35"/>
    <n v="3200"/>
  </r>
  <r>
    <s v="ORD03880"/>
    <d v="2026-07-12T00:00:00"/>
    <s v="CUST0582"/>
    <x v="2"/>
    <x v="2"/>
    <n v="2"/>
    <n v="0.15"/>
    <n v="22100"/>
    <n v="3476.83"/>
    <x v="1"/>
    <s v="Delivered"/>
    <n v="11050"/>
    <n v="15.732262443438909"/>
    <s v="Profit"/>
    <s v="Harini Verma"/>
    <x v="0"/>
    <x v="1"/>
    <s v="Surat"/>
    <s v="Gujarat"/>
    <s v="2024-11-22"/>
    <s v="26-35"/>
    <n v="1738.415"/>
  </r>
  <r>
    <s v="ORD03881"/>
    <d v="2025-12-10T00:00:00"/>
    <s v="CUST0191"/>
    <x v="0"/>
    <x v="7"/>
    <n v="5"/>
    <n v="0"/>
    <n v="4500"/>
    <n v="1400"/>
    <x v="2"/>
    <s v="Delivered"/>
    <n v="900"/>
    <n v="31.111111111111111"/>
    <s v="Profit"/>
    <s v="Nisha Verma"/>
    <x v="0"/>
    <x v="2"/>
    <s v="Delhi"/>
    <s v="Delhi"/>
    <s v="2023-10-05"/>
    <s v="18-25"/>
    <n v="280"/>
  </r>
  <r>
    <s v="ORD03882"/>
    <d v="2026-02-27T00:00:00"/>
    <s v="CUST0565"/>
    <x v="3"/>
    <x v="10"/>
    <n v="6"/>
    <n v="0.1"/>
    <n v="297000"/>
    <n v="36237.9"/>
    <x v="0"/>
    <s v="Shipped"/>
    <n v="49500"/>
    <n v="12.20131313131313"/>
    <s v="Profit"/>
    <s v="Rahul Bose"/>
    <x v="0"/>
    <x v="0"/>
    <s v="Coimbatore"/>
    <s v="Tamil Nadu"/>
    <s v="2024-03-26"/>
    <s v="51+"/>
    <n v="6039.6500000000005"/>
  </r>
  <r>
    <s v="ORD03883"/>
    <d v="2025-12-11T00:00:00"/>
    <s v="CUST0124"/>
    <x v="0"/>
    <x v="14"/>
    <n v="6"/>
    <n v="0.15"/>
    <n v="2295"/>
    <n v="349.83"/>
    <x v="1"/>
    <s v="Delivered"/>
    <n v="382.5"/>
    <n v="15.24313725490196"/>
    <s v="Profit"/>
    <s v="Vikram Das"/>
    <x v="0"/>
    <x v="1"/>
    <s v="Pune"/>
    <s v="Maharashtra"/>
    <s v="2024-07-21"/>
    <s v="51+"/>
    <n v="58.305"/>
  </r>
  <r>
    <s v="ORD03884"/>
    <d v="2025-12-26T00:00:00"/>
    <s v="CUST0343"/>
    <x v="1"/>
    <x v="13"/>
    <n v="1"/>
    <n v="0.1"/>
    <n v="3780"/>
    <n v="-612.33000000000004"/>
    <x v="2"/>
    <s v="Cancelled"/>
    <n v="3780"/>
    <n v="-16.199206349206349"/>
    <s v="Loss"/>
    <s v="Meera Iyer"/>
    <x v="0"/>
    <x v="0"/>
    <s v="Bengaluru"/>
    <s v="Karnataka"/>
    <s v="2024-08-02"/>
    <s v="36-50"/>
    <n v="-612.33000000000004"/>
  </r>
  <r>
    <s v="ORD03885"/>
    <d v="2026-07-15T00:00:00"/>
    <s v="CUST0097"/>
    <x v="3"/>
    <x v="8"/>
    <n v="1"/>
    <n v="0"/>
    <n v="4500"/>
    <n v="1500"/>
    <x v="2"/>
    <s v="Delivered"/>
    <n v="4500"/>
    <n v="33.333333333333329"/>
    <s v="Profit"/>
    <s v="Manoj Patel"/>
    <x v="2"/>
    <x v="1"/>
    <s v="Pune"/>
    <s v="Maharashtra"/>
    <s v="2023-09-25"/>
    <s v="26-35"/>
    <n v="1500"/>
  </r>
  <r>
    <s v="ORD03886"/>
    <d v="2026-03-13T00:00:00"/>
    <s v="CUST0175"/>
    <x v="0"/>
    <x v="7"/>
    <n v="3"/>
    <n v="0.15"/>
    <n v="2295"/>
    <n v="553.61"/>
    <x v="0"/>
    <s v="Delivered"/>
    <n v="765"/>
    <n v="24.122440087145971"/>
    <s v="Profit"/>
    <s v="Akash Mehta"/>
    <x v="0"/>
    <x v="1"/>
    <s v="Ahmedabad"/>
    <s v="Gujarat"/>
    <s v="2023-12-29"/>
    <s v="36-50"/>
    <n v="184.53666666666669"/>
  </r>
  <r>
    <s v="ORD03887"/>
    <d v="2025-07-20T00:00:00"/>
    <s v="CUST0359"/>
    <x v="0"/>
    <x v="14"/>
    <n v="3"/>
    <n v="0.15"/>
    <n v="1147.5"/>
    <n v="170.05"/>
    <x v="1"/>
    <s v="Delivered"/>
    <n v="382.5"/>
    <n v="14.81917211328976"/>
    <s v="Profit"/>
    <s v="Ananya Mishra"/>
    <x v="0"/>
    <x v="0"/>
    <s v="Bengaluru"/>
    <s v="Karnataka"/>
    <s v="2024-05-22"/>
    <s v="26-35"/>
    <n v="56.683333333333337"/>
  </r>
  <r>
    <s v="ORD03888"/>
    <d v="2026-08-06T00:00:00"/>
    <s v="CUST0349"/>
    <x v="3"/>
    <x v="10"/>
    <n v="2"/>
    <n v="0"/>
    <n v="110000"/>
    <n v="18000"/>
    <x v="3"/>
    <s v="Delivered"/>
    <n v="55000"/>
    <n v="16.36363636363636"/>
    <s v="Profit"/>
    <s v="Aarav Nair"/>
    <x v="1"/>
    <x v="0"/>
    <s v="Hyderabad"/>
    <s v="Telangana"/>
    <s v="2025-07-22"/>
    <s v="26-35"/>
    <n v="9000"/>
  </r>
  <r>
    <s v="ORD03889"/>
    <d v="2025-10-09T00:00:00"/>
    <s v="CUST0293"/>
    <x v="0"/>
    <x v="7"/>
    <n v="10"/>
    <n v="0"/>
    <n v="9000"/>
    <n v="2800"/>
    <x v="2"/>
    <s v="Delivered"/>
    <n v="900"/>
    <n v="31.111111111111111"/>
    <s v="Profit"/>
    <s v="Ishaan Singh"/>
    <x v="2"/>
    <x v="2"/>
    <s v="Delhi"/>
    <s v="Delhi"/>
    <s v="2023-03-09"/>
    <s v="26-35"/>
    <n v="280"/>
  </r>
  <r>
    <s v="ORD03890"/>
    <d v="2025-07-11T00:00:00"/>
    <s v="CUST0295"/>
    <x v="3"/>
    <x v="8"/>
    <n v="2"/>
    <n v="0.2"/>
    <n v="7200"/>
    <n v="1727.95"/>
    <x v="1"/>
    <s v="Delivered"/>
    <n v="3600"/>
    <n v="23.999305555555559"/>
    <s v="Profit"/>
    <s v="Pooja Chopra"/>
    <x v="1"/>
    <x v="2"/>
    <s v="Chandigarh"/>
    <s v="Chandigarh"/>
    <s v="2023-09-02"/>
    <s v="18-25"/>
    <n v="863.97500000000002"/>
  </r>
  <r>
    <s v="ORD03891"/>
    <d v="2025-09-09T00:00:00"/>
    <s v="CUST0027"/>
    <x v="2"/>
    <x v="3"/>
    <n v="4"/>
    <n v="0.05"/>
    <n v="57000"/>
    <n v="12041.56"/>
    <x v="2"/>
    <s v="Delivered"/>
    <n v="14250"/>
    <n v="21.12554385964912"/>
    <s v="Profit"/>
    <s v="Sanjay Gupta"/>
    <x v="0"/>
    <x v="2"/>
    <s v="Delhi"/>
    <s v="Delhi"/>
    <s v="2024-08-19"/>
    <s v="36-50"/>
    <n v="3010.39"/>
  </r>
  <r>
    <s v="ORD03892"/>
    <d v="2025-08-28T00:00:00"/>
    <s v="CUST0470"/>
    <x v="2"/>
    <x v="9"/>
    <n v="3"/>
    <n v="0.15"/>
    <n v="22950"/>
    <n v="4044.26"/>
    <x v="0"/>
    <s v="Delivered"/>
    <n v="7650"/>
    <n v="17.62204793028322"/>
    <s v="Profit"/>
    <s v="Akash Kulkarni"/>
    <x v="0"/>
    <x v="1"/>
    <s v="Surat"/>
    <s v="Gujarat"/>
    <s v="2025-07-01"/>
    <s v="51+"/>
    <n v="1348.086666666667"/>
  </r>
  <r>
    <s v="ORD03893"/>
    <d v="2025-11-28T00:00:00"/>
    <s v="CUST0208"/>
    <x v="2"/>
    <x v="5"/>
    <n v="1"/>
    <n v="0.05"/>
    <n v="10450"/>
    <n v="2294.16"/>
    <x v="0"/>
    <s v="Delivered"/>
    <n v="10450"/>
    <n v="21.953684210526319"/>
    <s v="Profit"/>
    <s v="Sneha Pillai"/>
    <x v="0"/>
    <x v="0"/>
    <s v="Hyderabad"/>
    <s v="Telangana"/>
    <s v="2025-02-01"/>
    <s v="26-35"/>
    <n v="2294.16"/>
  </r>
  <r>
    <s v="ORD03894"/>
    <d v="2026-06-17T00:00:00"/>
    <s v="CUST0281"/>
    <x v="3"/>
    <x v="4"/>
    <n v="4"/>
    <n v="0.15"/>
    <n v="61200"/>
    <n v="-25934.91"/>
    <x v="0"/>
    <s v="Returned"/>
    <n v="15300"/>
    <n v="-42.377303921568632"/>
    <s v="Loss"/>
    <s v="Divya Reddy"/>
    <x v="0"/>
    <x v="0"/>
    <s v="Coimbatore"/>
    <s v="Tamil Nadu"/>
    <s v="2025-04-27"/>
    <s v="36-50"/>
    <n v="-6483.7275"/>
  </r>
  <r>
    <s v="ORD03895"/>
    <d v="2025-08-12T00:00:00"/>
    <s v="CUST0115"/>
    <x v="0"/>
    <x v="14"/>
    <n v="5"/>
    <n v="0"/>
    <n v="2250"/>
    <n v="550"/>
    <x v="3"/>
    <s v="Delivered"/>
    <n v="450"/>
    <n v="24.444444444444439"/>
    <s v="Profit"/>
    <s v="Nisha Iyer"/>
    <x v="1"/>
    <x v="2"/>
    <s v="Chandigarh"/>
    <s v="Chandigarh"/>
    <s v="2025-03-06"/>
    <s v="36-50"/>
    <n v="110"/>
  </r>
  <r>
    <s v="ORD03896"/>
    <d v="2025-10-13T00:00:00"/>
    <s v="CUST0454"/>
    <x v="2"/>
    <x v="9"/>
    <n v="3"/>
    <n v="0"/>
    <n v="27000"/>
    <n v="6900"/>
    <x v="2"/>
    <s v="Delivered"/>
    <n v="9000"/>
    <n v="25.55555555555555"/>
    <s v="Profit"/>
    <s v="Kavya Pillai"/>
    <x v="2"/>
    <x v="2"/>
    <s v="Delhi"/>
    <s v="Delhi"/>
    <s v="2024-02-07"/>
    <s v="26-35"/>
    <n v="2300"/>
  </r>
  <r>
    <s v="ORD03897"/>
    <d v="2026-04-24T00:00:00"/>
    <s v="CUST0383"/>
    <x v="0"/>
    <x v="0"/>
    <n v="1"/>
    <n v="0.05"/>
    <n v="13300"/>
    <n v="2414.11"/>
    <x v="3"/>
    <s v="Delivered"/>
    <n v="13300"/>
    <n v="18.151203007518799"/>
    <s v="Profit"/>
    <s v="Arjun Mehta"/>
    <x v="0"/>
    <x v="0"/>
    <s v="Chennai"/>
    <s v="Tamil Nadu"/>
    <s v="2024-05-07"/>
    <s v="51+"/>
    <n v="2414.11"/>
  </r>
  <r>
    <s v="ORD03898"/>
    <d v="2026-02-09T00:00:00"/>
    <s v="CUST0478"/>
    <x v="2"/>
    <x v="2"/>
    <n v="2"/>
    <n v="0.1"/>
    <n v="23400"/>
    <n v="4892.8100000000004"/>
    <x v="0"/>
    <s v="Delivered"/>
    <n v="11700"/>
    <n v="20.90944444444445"/>
    <s v="Profit"/>
    <s v="Akash Iyer"/>
    <x v="0"/>
    <x v="1"/>
    <s v="Mumbai"/>
    <s v="Maharashtra"/>
    <s v="2023-10-15"/>
    <s v="51+"/>
    <n v="2446.4050000000002"/>
  </r>
  <r>
    <s v="ORD03899"/>
    <d v="2025-09-25T00:00:00"/>
    <s v="CUST0369"/>
    <x v="0"/>
    <x v="14"/>
    <n v="3"/>
    <n v="0.15"/>
    <n v="1147.5"/>
    <n v="176.49"/>
    <x v="3"/>
    <s v="Delivered"/>
    <n v="382.5"/>
    <n v="15.380392156862751"/>
    <s v="Profit"/>
    <s v="Lakshmi Gupta"/>
    <x v="0"/>
    <x v="3"/>
    <s v="Bhubaneswar"/>
    <s v="Odisha"/>
    <s v="2023-10-13"/>
    <s v="36-50"/>
    <n v="58.830000000000013"/>
  </r>
  <r>
    <s v="ORD03900"/>
    <d v="2025-07-10T00:00:00"/>
    <s v="CUST0096"/>
    <x v="2"/>
    <x v="5"/>
    <n v="6"/>
    <n v="0.3"/>
    <n v="46200"/>
    <n v="-14409.57"/>
    <x v="2"/>
    <s v="Cancelled"/>
    <n v="7700"/>
    <n v="-31.189545454545449"/>
    <s v="Loss"/>
    <s v="Harini Bose"/>
    <x v="1"/>
    <x v="1"/>
    <s v="Pune"/>
    <s v="Maharashtra"/>
    <s v="2025-01-14"/>
    <s v="51+"/>
    <n v="-2401.5949999999998"/>
  </r>
  <r>
    <s v="ORD03901"/>
    <d v="2026-04-17T00:00:00"/>
    <s v="CUST0304"/>
    <x v="1"/>
    <x v="12"/>
    <n v="5"/>
    <n v="0.05"/>
    <n v="6650"/>
    <n v="2301.48"/>
    <x v="3"/>
    <s v="Delivered"/>
    <n v="1330"/>
    <n v="34.608721804511283"/>
    <s v="Profit"/>
    <s v="Ishaan Khan"/>
    <x v="2"/>
    <x v="0"/>
    <s v="Bengaluru"/>
    <s v="Karnataka"/>
    <s v="2024-12-10"/>
    <s v="26-35"/>
    <n v="460.29599999999999"/>
  </r>
  <r>
    <s v="ORD03902"/>
    <d v="2026-07-18T00:00:00"/>
    <s v="CUST0145"/>
    <x v="2"/>
    <x v="5"/>
    <n v="2"/>
    <n v="0"/>
    <n v="22000"/>
    <n v="5200"/>
    <x v="0"/>
    <s v="Delivered"/>
    <n v="11000"/>
    <n v="23.63636363636364"/>
    <s v="Profit"/>
    <s v="Arjun Das"/>
    <x v="0"/>
    <x v="1"/>
    <s v="Ahmedabad"/>
    <s v="Gujarat"/>
    <s v="2023-06-06"/>
    <s v="51+"/>
    <n v="2600"/>
  </r>
  <r>
    <s v="ORD03903"/>
    <d v="2025-10-14T00:00:00"/>
    <s v="CUST0291"/>
    <x v="2"/>
    <x v="5"/>
    <n v="6"/>
    <n v="0.15"/>
    <n v="56100"/>
    <n v="7272.7"/>
    <x v="0"/>
    <s v="Delivered"/>
    <n v="9350"/>
    <n v="12.963814616755791"/>
    <s v="Profit"/>
    <s v="Divya Chopra"/>
    <x v="1"/>
    <x v="0"/>
    <s v="Bengaluru"/>
    <s v="Karnataka"/>
    <s v="2023-10-19"/>
    <s v="18-25"/>
    <n v="1212.116666666667"/>
  </r>
  <r>
    <s v="ORD03904"/>
    <d v="2025-12-21T00:00:00"/>
    <s v="CUST0337"/>
    <x v="3"/>
    <x v="10"/>
    <n v="2"/>
    <n v="0.05"/>
    <n v="104500"/>
    <n v="13483.93"/>
    <x v="3"/>
    <s v="Delivered"/>
    <n v="52250"/>
    <n v="12.903282296650721"/>
    <s v="Profit"/>
    <s v="Varun Das"/>
    <x v="1"/>
    <x v="3"/>
    <s v="Kolkata"/>
    <s v="West Bengal"/>
    <s v="2023-06-16"/>
    <s v="51+"/>
    <n v="6741.9650000000001"/>
  </r>
  <r>
    <s v="ORD03905"/>
    <d v="2025-09-25T00:00:00"/>
    <s v="CUST0260"/>
    <x v="1"/>
    <x v="1"/>
    <n v="4"/>
    <n v="0"/>
    <n v="7200"/>
    <n v="2600"/>
    <x v="2"/>
    <s v="Delivered"/>
    <n v="1800"/>
    <n v="36.111111111111107"/>
    <s v="Profit"/>
    <s v="Harini Khan"/>
    <x v="0"/>
    <x v="3"/>
    <s v="Bhubaneswar"/>
    <s v="Odisha"/>
    <s v="2023-01-28"/>
    <s v="26-35"/>
    <n v="650"/>
  </r>
  <r>
    <s v="ORD03906"/>
    <d v="2025-07-22T00:00:00"/>
    <s v="CUST0526"/>
    <x v="3"/>
    <x v="4"/>
    <n v="1"/>
    <n v="0.1"/>
    <n v="16200"/>
    <n v="2052.0500000000002"/>
    <x v="0"/>
    <s v="Delivered"/>
    <n v="16200"/>
    <n v="12.66697530864197"/>
    <s v="Profit"/>
    <s v="Meera Mehta"/>
    <x v="0"/>
    <x v="1"/>
    <s v="Pune"/>
    <s v="Maharashtra"/>
    <s v="2023-10-08"/>
    <s v="18-25"/>
    <n v="2052.0500000000002"/>
  </r>
  <r>
    <s v="ORD03907"/>
    <d v="2025-10-24T00:00:00"/>
    <s v="CUST0447"/>
    <x v="0"/>
    <x v="14"/>
    <n v="15"/>
    <n v="0.2"/>
    <n v="5400"/>
    <n v="946.19"/>
    <x v="2"/>
    <s v="Delivered"/>
    <n v="360"/>
    <n v="17.522037037037041"/>
    <s v="Profit"/>
    <s v="Aarav Iyer"/>
    <x v="2"/>
    <x v="0"/>
    <s v="Hyderabad"/>
    <s v="Telangana"/>
    <s v="2024-09-12"/>
    <s v="36-50"/>
    <n v="63.079333333333338"/>
  </r>
  <r>
    <s v="ORD03908"/>
    <d v="2026-08-21T00:00:00"/>
    <s v="CUST0537"/>
    <x v="2"/>
    <x v="2"/>
    <n v="3"/>
    <n v="0"/>
    <n v="39000"/>
    <n v="9600"/>
    <x v="2"/>
    <s v="Delivered"/>
    <n v="13000"/>
    <n v="24.61538461538462"/>
    <s v="Profit"/>
    <s v="Vikram Pillai"/>
    <x v="0"/>
    <x v="0"/>
    <s v="Bengaluru"/>
    <s v="Karnataka"/>
    <s v="2023-11-18"/>
    <s v="26-35"/>
    <n v="3200"/>
  </r>
  <r>
    <s v="ORD03909"/>
    <d v="2025-11-13T00:00:00"/>
    <s v="CUST0167"/>
    <x v="3"/>
    <x v="11"/>
    <n v="4"/>
    <n v="0.1"/>
    <n v="9000"/>
    <n v="2577.25"/>
    <x v="0"/>
    <s v="Delivered"/>
    <n v="2250"/>
    <n v="28.636111111111109"/>
    <s v="Profit"/>
    <s v="Aarav Mehta"/>
    <x v="0"/>
    <x v="0"/>
    <s v="Hyderabad"/>
    <s v="Telangana"/>
    <s v="2024-10-15"/>
    <s v="51+"/>
    <n v="644.3125"/>
  </r>
  <r>
    <s v="ORD03910"/>
    <d v="2025-11-08T00:00:00"/>
    <s v="CUST0173"/>
    <x v="2"/>
    <x v="9"/>
    <n v="4"/>
    <n v="0.1"/>
    <n v="32400"/>
    <n v="7494.03"/>
    <x v="3"/>
    <s v="Delivered"/>
    <n v="8100"/>
    <n v="23.12972222222222"/>
    <s v="Profit"/>
    <s v="Rohan Rao"/>
    <x v="1"/>
    <x v="0"/>
    <s v="Bengaluru"/>
    <s v="Karnataka"/>
    <s v="2024-03-17"/>
    <s v="18-25"/>
    <n v="1873.5074999999999"/>
  </r>
  <r>
    <s v="ORD03911"/>
    <d v="2025-10-04T00:00:00"/>
    <s v="CUST0567"/>
    <x v="3"/>
    <x v="10"/>
    <n v="4"/>
    <n v="0"/>
    <n v="220000"/>
    <n v="36000"/>
    <x v="2"/>
    <s v="Delivered"/>
    <n v="55000"/>
    <n v="16.36363636363636"/>
    <s v="Profit"/>
    <s v="Ananya Chopra"/>
    <x v="2"/>
    <x v="1"/>
    <s v="Pune"/>
    <s v="Maharashtra"/>
    <s v="2025-09-20"/>
    <s v="26-35"/>
    <n v="9000"/>
  </r>
  <r>
    <s v="ORD03912"/>
    <d v="2026-01-30T00:00:00"/>
    <s v="CUST0408"/>
    <x v="3"/>
    <x v="4"/>
    <n v="2"/>
    <n v="0.1"/>
    <n v="32400"/>
    <n v="3998.05"/>
    <x v="2"/>
    <s v="Delivered"/>
    <n v="16200"/>
    <n v="12.339660493827161"/>
    <s v="Profit"/>
    <s v="Akash Joshi"/>
    <x v="1"/>
    <x v="1"/>
    <s v="Ahmedabad"/>
    <s v="Gujarat"/>
    <s v="2025-10-05"/>
    <s v="26-35"/>
    <n v="1999.0250000000001"/>
  </r>
  <r>
    <s v="ORD03913"/>
    <d v="2026-05-30T00:00:00"/>
    <s v="CUST0583"/>
    <x v="2"/>
    <x v="9"/>
    <n v="3"/>
    <n v="0.15"/>
    <n v="22950"/>
    <n v="3661.39"/>
    <x v="1"/>
    <s v="Shipped"/>
    <n v="7650"/>
    <n v="15.953769063180831"/>
    <s v="Profit"/>
    <s v="Shreya Menon"/>
    <x v="2"/>
    <x v="1"/>
    <s v="Ahmedabad"/>
    <s v="Gujarat"/>
    <s v="2023-09-05"/>
    <s v="26-35"/>
    <n v="1220.4633333333329"/>
  </r>
  <r>
    <s v="ORD03914"/>
    <d v="2025-10-22T00:00:00"/>
    <s v="CUST0531"/>
    <x v="2"/>
    <x v="5"/>
    <n v="3"/>
    <n v="0.1"/>
    <n v="29700"/>
    <n v="5982.82"/>
    <x v="1"/>
    <s v="Delivered"/>
    <n v="9900"/>
    <n v="20.144175084175089"/>
    <s v="Profit"/>
    <s v="Kavya Mishra"/>
    <x v="2"/>
    <x v="0"/>
    <s v="Coimbatore"/>
    <s v="Tamil Nadu"/>
    <s v="2023-10-06"/>
    <s v="26-35"/>
    <n v="1994.2733333333331"/>
  </r>
  <r>
    <s v="ORD03915"/>
    <d v="2025-07-09T00:00:00"/>
    <s v="CUST0370"/>
    <x v="3"/>
    <x v="4"/>
    <n v="3"/>
    <n v="0"/>
    <n v="54000"/>
    <n v="10500"/>
    <x v="3"/>
    <s v="Delivered"/>
    <n v="18000"/>
    <n v="19.44444444444445"/>
    <s v="Profit"/>
    <s v="Diya Kulkarni"/>
    <x v="1"/>
    <x v="2"/>
    <s v="Chandigarh"/>
    <s v="Chandigarh"/>
    <s v="2024-04-20"/>
    <s v="26-35"/>
    <n v="3500"/>
  </r>
  <r>
    <s v="ORD03916"/>
    <d v="2025-12-27T00:00:00"/>
    <s v="CUST0482"/>
    <x v="2"/>
    <x v="9"/>
    <n v="1"/>
    <n v="0.05"/>
    <n v="8550"/>
    <n v="2092.0300000000002"/>
    <x v="3"/>
    <s v="Delivered"/>
    <n v="8550"/>
    <n v="24.46818713450293"/>
    <s v="Profit"/>
    <s v="Divya Reddy"/>
    <x v="0"/>
    <x v="0"/>
    <s v="Chennai"/>
    <s v="Tamil Nadu"/>
    <s v="2025-06-12"/>
    <s v="26-35"/>
    <n v="2092.0300000000002"/>
  </r>
  <r>
    <s v="ORD03917"/>
    <d v="2025-10-28T00:00:00"/>
    <s v="CUST0516"/>
    <x v="3"/>
    <x v="10"/>
    <n v="3"/>
    <n v="0"/>
    <n v="165000"/>
    <n v="27000"/>
    <x v="0"/>
    <s v="Delivered"/>
    <n v="55000"/>
    <n v="16.36363636363636"/>
    <s v="Profit"/>
    <s v="Rahul Mishra"/>
    <x v="1"/>
    <x v="0"/>
    <s v="Hyderabad"/>
    <s v="Telangana"/>
    <s v="2024-01-31"/>
    <s v="26-35"/>
    <n v="9000"/>
  </r>
  <r>
    <s v="ORD03918"/>
    <d v="2026-06-15T00:00:00"/>
    <s v="CUST0083"/>
    <x v="1"/>
    <x v="12"/>
    <n v="3"/>
    <n v="0.15"/>
    <n v="3570"/>
    <n v="1124.54"/>
    <x v="1"/>
    <s v="Delivered"/>
    <n v="1190"/>
    <n v="31.49971988795518"/>
    <s v="Profit"/>
    <s v="Nisha Singh"/>
    <x v="0"/>
    <x v="0"/>
    <s v="Bengaluru"/>
    <s v="Karnataka"/>
    <s v="2024-07-24"/>
    <s v="26-35"/>
    <n v="374.84666666666658"/>
  </r>
  <r>
    <s v="ORD03919"/>
    <d v="2025-11-28T00:00:00"/>
    <s v="CUST0440"/>
    <x v="0"/>
    <x v="0"/>
    <n v="1"/>
    <n v="0.15"/>
    <n v="11900"/>
    <n v="1191.1600000000001"/>
    <x v="2"/>
    <s v="Delivered"/>
    <n v="11900"/>
    <n v="10.00974789915966"/>
    <s v="Profit"/>
    <s v="Harini Sharma"/>
    <x v="1"/>
    <x v="0"/>
    <s v="Hyderabad"/>
    <s v="Telangana"/>
    <s v="2024-06-03"/>
    <s v="18-25"/>
    <n v="1191.1600000000001"/>
  </r>
  <r>
    <s v="ORD03920"/>
    <d v="2026-04-30T00:00:00"/>
    <s v="CUST0183"/>
    <x v="1"/>
    <x v="13"/>
    <n v="3"/>
    <n v="0.15"/>
    <n v="10710"/>
    <n v="2420.7800000000002"/>
    <x v="1"/>
    <s v="Delivered"/>
    <n v="3570"/>
    <n v="22.602987861811389"/>
    <s v="Profit"/>
    <s v="Meera Kulkarni"/>
    <x v="0"/>
    <x v="0"/>
    <s v="Coimbatore"/>
    <s v="Tamil Nadu"/>
    <s v="2024-09-21"/>
    <s v="26-35"/>
    <n v="806.92666666666673"/>
  </r>
  <r>
    <s v="ORD03921"/>
    <d v="2025-07-26T00:00:00"/>
    <s v="CUST0195"/>
    <x v="0"/>
    <x v="0"/>
    <n v="3"/>
    <n v="0.05"/>
    <n v="39900"/>
    <n v="6987.81"/>
    <x v="1"/>
    <s v="Delivered"/>
    <n v="13300"/>
    <n v="17.513308270676688"/>
    <s v="Profit"/>
    <s v="Nisha Kulkarni"/>
    <x v="1"/>
    <x v="0"/>
    <s v="Coimbatore"/>
    <s v="Tamil Nadu"/>
    <s v="2024-04-23"/>
    <s v="18-25"/>
    <n v="2329.27"/>
  </r>
  <r>
    <s v="ORD03922"/>
    <d v="2025-10-04T00:00:00"/>
    <s v="CUST0419"/>
    <x v="3"/>
    <x v="10"/>
    <n v="1"/>
    <n v="0.1"/>
    <n v="49500"/>
    <n v="4827.7"/>
    <x v="0"/>
    <s v="Delivered"/>
    <n v="49500"/>
    <n v="9.7529292929292932"/>
    <s v="Profit"/>
    <s v="Ishaan Singh"/>
    <x v="0"/>
    <x v="2"/>
    <s v="Chandigarh"/>
    <s v="Chandigarh"/>
    <s v="2024-05-23"/>
    <s v="18-25"/>
    <n v="4827.7"/>
  </r>
  <r>
    <s v="ORD03923"/>
    <d v="2026-06-15T00:00:00"/>
    <s v="CUST0157"/>
    <x v="3"/>
    <x v="8"/>
    <n v="4"/>
    <n v="0.15"/>
    <n v="15300"/>
    <n v="4490.99"/>
    <x v="0"/>
    <s v="Delivered"/>
    <n v="3825"/>
    <n v="29.35287581699346"/>
    <s v="Profit"/>
    <s v="Diya Rao"/>
    <x v="1"/>
    <x v="0"/>
    <s v="Bengaluru"/>
    <s v="Karnataka"/>
    <s v="2024-02-13"/>
    <s v="51+"/>
    <n v="1122.7474999999999"/>
  </r>
  <r>
    <s v="ORD03924"/>
    <d v="2025-11-26T00:00:00"/>
    <s v="CUST0554"/>
    <x v="1"/>
    <x v="13"/>
    <n v="5"/>
    <n v="0.1"/>
    <n v="18900"/>
    <n v="4451.88"/>
    <x v="0"/>
    <s v="Delivered"/>
    <n v="3780"/>
    <n v="23.554920634920631"/>
    <s v="Profit"/>
    <s v="Aarav Gupta"/>
    <x v="0"/>
    <x v="1"/>
    <s v="Surat"/>
    <s v="Gujarat"/>
    <s v="2024-05-24"/>
    <s v="26-35"/>
    <n v="890.37599999999998"/>
  </r>
  <r>
    <s v="ORD03925"/>
    <d v="2025-08-05T00:00:00"/>
    <s v="CUST0205"/>
    <x v="3"/>
    <x v="8"/>
    <n v="2"/>
    <n v="0.1"/>
    <n v="8100"/>
    <n v="-1310.67"/>
    <x v="0"/>
    <s v="Cancelled"/>
    <n v="4050"/>
    <n v="-16.181111111111111"/>
    <s v="Loss"/>
    <s v="Diya Mishra"/>
    <x v="1"/>
    <x v="3"/>
    <s v="Kolkata"/>
    <s v="West Bengal"/>
    <s v="2025-10-19"/>
    <s v="18-25"/>
    <n v="-655.33500000000004"/>
  </r>
  <r>
    <s v="ORD03926"/>
    <d v="2026-02-12T00:00:00"/>
    <s v="CUST0008"/>
    <x v="1"/>
    <x v="15"/>
    <n v="2"/>
    <n v="0.1"/>
    <n v="3960"/>
    <n v="-710.37"/>
    <x v="3"/>
    <s v="Returned"/>
    <n v="1980"/>
    <n v="-17.93863636363637"/>
    <s v="Loss"/>
    <s v="Vikram Menon"/>
    <x v="2"/>
    <x v="2"/>
    <s v="Jaipur"/>
    <s v="Rajasthan"/>
    <s v="2023-06-25"/>
    <s v="36-50"/>
    <n v="-355.185"/>
  </r>
  <r>
    <s v="ORD03927"/>
    <d v="2026-06-28T00:00:00"/>
    <s v="CUST0586"/>
    <x v="3"/>
    <x v="10"/>
    <n v="4"/>
    <n v="0.2"/>
    <n v="176000"/>
    <n v="14513.21"/>
    <x v="3"/>
    <s v="Delivered"/>
    <n v="44000"/>
    <n v="8.2461420454545458"/>
    <s v="Profit"/>
    <s v="Sanjay Mehta"/>
    <x v="1"/>
    <x v="0"/>
    <s v="Chennai"/>
    <s v="Tamil Nadu"/>
    <s v="2023-09-11"/>
    <s v="26-35"/>
    <n v="3628.3024999999998"/>
  </r>
  <r>
    <s v="ORD03928"/>
    <d v="2026-07-09T00:00:00"/>
    <s v="CUST0141"/>
    <x v="0"/>
    <x v="7"/>
    <n v="2"/>
    <n v="0.15"/>
    <n v="1530"/>
    <n v="332.07"/>
    <x v="2"/>
    <s v="Delivered"/>
    <n v="765"/>
    <n v="21.70392156862745"/>
    <s v="Profit"/>
    <s v="Kavya Reddy"/>
    <x v="2"/>
    <x v="0"/>
    <s v="Bengaluru"/>
    <s v="Karnataka"/>
    <s v="2023-09-02"/>
    <s v="26-35"/>
    <n v="166.035"/>
  </r>
  <r>
    <s v="ORD03929"/>
    <d v="2026-06-16T00:00:00"/>
    <s v="CUST0271"/>
    <x v="1"/>
    <x v="15"/>
    <n v="4"/>
    <n v="0"/>
    <n v="8800"/>
    <n v="-1750.57"/>
    <x v="1"/>
    <s v="Returned"/>
    <n v="2200"/>
    <n v="-19.892840909090911"/>
    <s v="Loss"/>
    <s v="Rohan Mehta"/>
    <x v="1"/>
    <x v="2"/>
    <s v="Delhi"/>
    <s v="Delhi"/>
    <s v="2025-01-13"/>
    <s v="51+"/>
    <n v="-437.64249999999998"/>
  </r>
  <r>
    <s v="ORD03930"/>
    <d v="2026-03-24T00:00:00"/>
    <s v="CUST0431"/>
    <x v="2"/>
    <x v="2"/>
    <n v="3"/>
    <n v="0.2"/>
    <n v="31200"/>
    <n v="5549.76"/>
    <x v="0"/>
    <s v="Delivered"/>
    <n v="10400"/>
    <n v="17.787692307692311"/>
    <s v="Profit"/>
    <s v="Manoj Naidu"/>
    <x v="1"/>
    <x v="0"/>
    <s v="Bengaluru"/>
    <s v="Karnataka"/>
    <s v="2023-01-16"/>
    <s v="36-50"/>
    <n v="1849.92"/>
  </r>
  <r>
    <s v="ORD03931"/>
    <d v="2026-04-15T00:00:00"/>
    <s v="CUST0037"/>
    <x v="3"/>
    <x v="8"/>
    <n v="3"/>
    <n v="0"/>
    <n v="13500"/>
    <n v="4500"/>
    <x v="0"/>
    <s v="Delivered"/>
    <n v="4500"/>
    <n v="33.333333333333329"/>
    <s v="Profit"/>
    <s v="Aarav Iyer"/>
    <x v="0"/>
    <x v="1"/>
    <s v="Pune"/>
    <s v="Maharashtra"/>
    <s v="2024-02-21"/>
    <s v="26-35"/>
    <n v="1500"/>
  </r>
  <r>
    <s v="ORD03932"/>
    <d v="2025-08-25T00:00:00"/>
    <s v="CUST0112"/>
    <x v="0"/>
    <x v="0"/>
    <n v="2"/>
    <n v="0.05"/>
    <n v="26600"/>
    <n v="4666.1400000000003"/>
    <x v="2"/>
    <s v="Delivered"/>
    <n v="13300"/>
    <n v="17.541879699248121"/>
    <s v="Profit"/>
    <s v="Akash Khan"/>
    <x v="0"/>
    <x v="1"/>
    <s v="Pune"/>
    <s v="Maharashtra"/>
    <s v="2025-03-04"/>
    <s v="26-35"/>
    <n v="2333.0700000000002"/>
  </r>
  <r>
    <s v="ORD03933"/>
    <d v="2026-02-22T00:00:00"/>
    <s v="CUST0306"/>
    <x v="0"/>
    <x v="7"/>
    <n v="1"/>
    <n v="0"/>
    <n v="900"/>
    <n v="280"/>
    <x v="0"/>
    <s v="Delivered"/>
    <n v="900"/>
    <n v="31.111111111111111"/>
    <s v="Profit"/>
    <s v="Aditya Das"/>
    <x v="0"/>
    <x v="2"/>
    <s v="Lucknow"/>
    <s v="Uttar Pradesh"/>
    <s v="2023-04-26"/>
    <s v="18-25"/>
    <n v="280"/>
  </r>
  <r>
    <s v="ORD03934"/>
    <d v="2025-10-13T00:00:00"/>
    <s v="CUST0075"/>
    <x v="3"/>
    <x v="8"/>
    <n v="1"/>
    <n v="0"/>
    <n v="4500"/>
    <n v="1500"/>
    <x v="3"/>
    <s v="Delivered"/>
    <n v="4500"/>
    <n v="33.333333333333329"/>
    <s v="Profit"/>
    <s v="Karthik Sharma"/>
    <x v="0"/>
    <x v="0"/>
    <s v="Bengaluru"/>
    <s v="Karnataka"/>
    <s v="2025-09-08"/>
    <s v="36-50"/>
    <n v="1500"/>
  </r>
  <r>
    <s v="ORD03935"/>
    <d v="2026-04-20T00:00:00"/>
    <s v="CUST0263"/>
    <x v="2"/>
    <x v="2"/>
    <n v="1"/>
    <n v="0.1"/>
    <n v="11700"/>
    <n v="-6700.54"/>
    <x v="1"/>
    <s v="Cancelled"/>
    <n v="11700"/>
    <n v="-57.269572649572652"/>
    <s v="Loss"/>
    <s v="Priya Khan"/>
    <x v="0"/>
    <x v="3"/>
    <s v="Kolkata"/>
    <s v="West Bengal"/>
    <s v="2025-03-25"/>
    <s v="26-35"/>
    <n v="-6700.54"/>
  </r>
  <r>
    <s v="ORD03936"/>
    <d v="2025-07-18T00:00:00"/>
    <s v="CUST0560"/>
    <x v="3"/>
    <x v="8"/>
    <n v="10"/>
    <n v="0"/>
    <n v="45000"/>
    <n v="15000"/>
    <x v="1"/>
    <s v="Delivered"/>
    <n v="4500"/>
    <n v="33.333333333333329"/>
    <s v="Profit"/>
    <s v="Rohan Rao"/>
    <x v="0"/>
    <x v="0"/>
    <s v="Bengaluru"/>
    <s v="Karnataka"/>
    <s v="2023-05-29"/>
    <s v="18-25"/>
    <n v="1500"/>
  </r>
  <r>
    <s v="ORD03937"/>
    <d v="2026-02-05T00:00:00"/>
    <s v="CUST0340"/>
    <x v="0"/>
    <x v="7"/>
    <n v="3"/>
    <n v="0.1"/>
    <n v="2430"/>
    <n v="641.41"/>
    <x v="2"/>
    <s v="Delivered"/>
    <n v="810"/>
    <n v="26.395473251028811"/>
    <s v="Profit"/>
    <s v="Lakshmi Pillai"/>
    <x v="1"/>
    <x v="0"/>
    <s v="Chennai"/>
    <s v="Tamil Nadu"/>
    <s v="2023-11-04"/>
    <s v="18-25"/>
    <n v="213.80333333333331"/>
  </r>
  <r>
    <s v="ORD03938"/>
    <d v="2025-07-08T00:00:00"/>
    <s v="CUST0588"/>
    <x v="0"/>
    <x v="6"/>
    <n v="1"/>
    <n v="0.05"/>
    <n v="332.5"/>
    <n v="110.13"/>
    <x v="2"/>
    <s v="Delivered"/>
    <n v="332.5"/>
    <n v="33.121804511278199"/>
    <s v="Profit"/>
    <s v="Ananya Mishra"/>
    <x v="0"/>
    <x v="3"/>
    <s v="Kolkata"/>
    <s v="West Bengal"/>
    <s v="2025-02-04"/>
    <s v="26-35"/>
    <n v="110.13"/>
  </r>
  <r>
    <s v="ORD03939"/>
    <d v="2026-07-11T00:00:00"/>
    <s v="CUST0501"/>
    <x v="0"/>
    <x v="0"/>
    <n v="1"/>
    <n v="0.15"/>
    <n v="11900"/>
    <n v="-5103.25"/>
    <x v="1"/>
    <s v="Cancelled"/>
    <n v="11900"/>
    <n v="-42.884453781512597"/>
    <s v="Loss"/>
    <s v="Rahul Pillai"/>
    <x v="1"/>
    <x v="0"/>
    <s v="Bengaluru"/>
    <s v="Karnataka"/>
    <s v="2024-03-13"/>
    <s v="36-50"/>
    <n v="-5103.25"/>
  </r>
  <r>
    <s v="ORD03940"/>
    <d v="2025-10-06T00:00:00"/>
    <s v="CUST0470"/>
    <x v="1"/>
    <x v="15"/>
    <n v="5"/>
    <n v="0.05"/>
    <n v="10450"/>
    <n v="3316.99"/>
    <x v="2"/>
    <s v="Delivered"/>
    <n v="2090"/>
    <n v="31.741531100478461"/>
    <s v="Profit"/>
    <s v="Akash Kulkarni"/>
    <x v="0"/>
    <x v="1"/>
    <s v="Surat"/>
    <s v="Gujarat"/>
    <s v="2025-07-01"/>
    <s v="51+"/>
    <n v="663.39799999999991"/>
  </r>
  <r>
    <s v="ORD03941"/>
    <d v="2026-08-28T00:00:00"/>
    <s v="CUST0441"/>
    <x v="2"/>
    <x v="3"/>
    <n v="1"/>
    <n v="0.1"/>
    <n v="13500"/>
    <n v="-4516.8900000000003"/>
    <x v="1"/>
    <s v="Cancelled"/>
    <n v="13500"/>
    <n v="-33.458444444444453"/>
    <s v="Loss"/>
    <s v="Arjun Joshi"/>
    <x v="0"/>
    <x v="0"/>
    <s v="Bengaluru"/>
    <s v="Karnataka"/>
    <s v="2024-05-10"/>
    <s v="18-25"/>
    <n v="-4516.8900000000003"/>
  </r>
  <r>
    <s v="ORD03942"/>
    <d v="2025-08-06T00:00:00"/>
    <s v="CUST0081"/>
    <x v="3"/>
    <x v="4"/>
    <n v="2"/>
    <n v="0.1"/>
    <n v="32400"/>
    <n v="4068.29"/>
    <x v="3"/>
    <s v="Delivered"/>
    <n v="16200"/>
    <n v="12.55645061728395"/>
    <s v="Profit"/>
    <s v="Ananya Rao"/>
    <x v="2"/>
    <x v="0"/>
    <s v="Chennai"/>
    <s v="Tamil Nadu"/>
    <s v="2023-10-09"/>
    <s v="36-50"/>
    <n v="2034.145"/>
  </r>
  <r>
    <s v="ORD03943"/>
    <d v="2025-07-01T00:00:00"/>
    <s v="CUST0068"/>
    <x v="3"/>
    <x v="10"/>
    <n v="2"/>
    <n v="0.1"/>
    <n v="99000"/>
    <n v="13012.19"/>
    <x v="3"/>
    <s v="Delivered"/>
    <n v="49500"/>
    <n v="13.14362626262626"/>
    <s v="Profit"/>
    <s v="Harini Pillai"/>
    <x v="1"/>
    <x v="3"/>
    <s v="Guwahati"/>
    <s v="Assam"/>
    <s v="2024-04-08"/>
    <s v="36-50"/>
    <n v="6506.0950000000003"/>
  </r>
  <r>
    <s v="ORD03944"/>
    <d v="2026-01-03T00:00:00"/>
    <s v="CUST0428"/>
    <x v="3"/>
    <x v="10"/>
    <n v="1"/>
    <n v="0.1"/>
    <n v="49500"/>
    <n v="6369.09"/>
    <x v="2"/>
    <s v="Delivered"/>
    <n v="49500"/>
    <n v="12.866848484848481"/>
    <s v="Profit"/>
    <s v="Akash Iyer"/>
    <x v="2"/>
    <x v="2"/>
    <s v="Chandigarh"/>
    <s v="Chandigarh"/>
    <s v="2024-08-10"/>
    <s v="26-35"/>
    <n v="6369.09"/>
  </r>
  <r>
    <s v="ORD03945"/>
    <d v="2026-03-31T00:00:00"/>
    <s v="CUST0442"/>
    <x v="1"/>
    <x v="13"/>
    <n v="3"/>
    <n v="0.1"/>
    <n v="11340"/>
    <n v="2930.85"/>
    <x v="2"/>
    <s v="Delivered"/>
    <n v="3780"/>
    <n v="25.845238095238091"/>
    <s v="Profit"/>
    <s v="Akash Kulkarni"/>
    <x v="0"/>
    <x v="0"/>
    <s v="Bengaluru"/>
    <s v="Karnataka"/>
    <s v="2023-09-01"/>
    <s v="36-50"/>
    <n v="976.94999999999993"/>
  </r>
  <r>
    <s v="ORD03946"/>
    <d v="2025-07-22T00:00:00"/>
    <s v="CUST0420"/>
    <x v="3"/>
    <x v="4"/>
    <n v="3"/>
    <n v="0.15"/>
    <n v="45900"/>
    <n v="6538.12"/>
    <x v="0"/>
    <s v="Shipped"/>
    <n v="15300"/>
    <n v="14.24427015250545"/>
    <s v="Profit"/>
    <s v="Ishaan Gupta"/>
    <x v="0"/>
    <x v="2"/>
    <s v="Delhi"/>
    <s v="Delhi"/>
    <s v="2024-04-07"/>
    <s v="36-50"/>
    <n v="2179.373333333333"/>
  </r>
  <r>
    <s v="ORD03947"/>
    <d v="2026-01-19T00:00:00"/>
    <s v="CUST0554"/>
    <x v="1"/>
    <x v="12"/>
    <n v="2"/>
    <n v="0.1"/>
    <n v="2520"/>
    <n v="767.21"/>
    <x v="3"/>
    <s v="Delivered"/>
    <n v="1260"/>
    <n v="30.44484126984127"/>
    <s v="Profit"/>
    <s v="Aarav Gupta"/>
    <x v="0"/>
    <x v="1"/>
    <s v="Surat"/>
    <s v="Gujarat"/>
    <s v="2024-05-24"/>
    <s v="26-35"/>
    <n v="383.60500000000002"/>
  </r>
  <r>
    <s v="ORD03948"/>
    <d v="2026-02-13T00:00:00"/>
    <s v="CUST0036"/>
    <x v="1"/>
    <x v="12"/>
    <n v="3"/>
    <n v="0.05"/>
    <n v="3990"/>
    <n v="1377.24"/>
    <x v="0"/>
    <s v="Delivered"/>
    <n v="1330"/>
    <n v="34.517293233082711"/>
    <s v="Profit"/>
    <s v="Priya Patel"/>
    <x v="2"/>
    <x v="3"/>
    <s v="Guwahati"/>
    <s v="Assam"/>
    <s v="2023-10-18"/>
    <s v="26-35"/>
    <n v="459.08"/>
  </r>
  <r>
    <s v="ORD03949"/>
    <d v="2025-12-25T00:00:00"/>
    <s v="CUST0543"/>
    <x v="2"/>
    <x v="2"/>
    <n v="1"/>
    <n v="0.15"/>
    <n v="11050"/>
    <n v="1916.76"/>
    <x v="2"/>
    <s v="Delivered"/>
    <n v="11050"/>
    <n v="17.346244343891399"/>
    <s v="Profit"/>
    <s v="Ananya Iyer"/>
    <x v="1"/>
    <x v="0"/>
    <s v="Chennai"/>
    <s v="Tamil Nadu"/>
    <s v="2025-10-16"/>
    <s v="26-35"/>
    <n v="1916.76"/>
  </r>
  <r>
    <s v="ORD03950"/>
    <d v="2025-12-09T00:00:00"/>
    <s v="CUST0396"/>
    <x v="0"/>
    <x v="7"/>
    <n v="1"/>
    <n v="0"/>
    <n v="900"/>
    <n v="280"/>
    <x v="3"/>
    <s v="Delivered"/>
    <n v="900"/>
    <n v="31.111111111111111"/>
    <s v="Profit"/>
    <s v="Rahul Mishra"/>
    <x v="0"/>
    <x v="0"/>
    <s v="Bengaluru"/>
    <s v="Karnataka"/>
    <s v="2023-05-26"/>
    <s v="18-25"/>
    <n v="280"/>
  </r>
  <r>
    <s v="ORD03951"/>
    <d v="2026-06-30T00:00:00"/>
    <s v="CUST0140"/>
    <x v="3"/>
    <x v="11"/>
    <n v="2"/>
    <n v="0.15"/>
    <n v="4250"/>
    <n v="-729.78"/>
    <x v="0"/>
    <s v="Returned"/>
    <n v="2125"/>
    <n v="-17.171294117647061"/>
    <s v="Loss"/>
    <s v="Ananya Naidu"/>
    <x v="1"/>
    <x v="2"/>
    <s v="Chandigarh"/>
    <s v="Chandigarh"/>
    <s v="2024-04-14"/>
    <s v="26-35"/>
    <n v="-364.89"/>
  </r>
  <r>
    <s v="ORD03952"/>
    <d v="2026-04-30T00:00:00"/>
    <s v="CUST0541"/>
    <x v="3"/>
    <x v="8"/>
    <n v="2"/>
    <n v="0.2"/>
    <n v="7200"/>
    <n v="1519.02"/>
    <x v="0"/>
    <s v="Delivered"/>
    <n v="3600"/>
    <n v="21.0975"/>
    <s v="Profit"/>
    <s v="Rahul Mishra"/>
    <x v="0"/>
    <x v="3"/>
    <s v="Kolkata"/>
    <s v="West Bengal"/>
    <s v="2025-05-13"/>
    <s v="51+"/>
    <n v="759.51"/>
  </r>
  <r>
    <s v="ORD03953"/>
    <d v="2025-08-14T00:00:00"/>
    <s v="CUST0015"/>
    <x v="1"/>
    <x v="15"/>
    <n v="1"/>
    <n v="0"/>
    <n v="2200"/>
    <n v="750"/>
    <x v="0"/>
    <s v="Delivered"/>
    <n v="2200"/>
    <n v="34.090909090909093"/>
    <s v="Profit"/>
    <s v="Diya Pillai"/>
    <x v="1"/>
    <x v="0"/>
    <s v="Coimbatore"/>
    <s v="Tamil Nadu"/>
    <s v="2024-09-16"/>
    <s v="51+"/>
    <n v="750"/>
  </r>
  <r>
    <s v="ORD03954"/>
    <d v="2026-01-20T00:00:00"/>
    <s v="CUST0205"/>
    <x v="0"/>
    <x v="7"/>
    <n v="1"/>
    <n v="0.1"/>
    <n v="810"/>
    <n v="234.14"/>
    <x v="1"/>
    <s v="Shipped"/>
    <n v="810"/>
    <n v="28.906172839506169"/>
    <s v="Profit"/>
    <s v="Diya Mishra"/>
    <x v="1"/>
    <x v="3"/>
    <s v="Kolkata"/>
    <s v="West Bengal"/>
    <s v="2025-10-19"/>
    <s v="18-25"/>
    <n v="234.14"/>
  </r>
  <r>
    <s v="ORD03955"/>
    <d v="2025-12-25T00:00:00"/>
    <s v="CUST0420"/>
    <x v="2"/>
    <x v="3"/>
    <n v="4"/>
    <n v="0.05"/>
    <n v="57000"/>
    <n v="11525.54"/>
    <x v="3"/>
    <s v="Delivered"/>
    <n v="14250"/>
    <n v="20.22024561403509"/>
    <s v="Profit"/>
    <s v="Ishaan Gupta"/>
    <x v="0"/>
    <x v="2"/>
    <s v="Delhi"/>
    <s v="Delhi"/>
    <s v="2024-04-07"/>
    <s v="36-50"/>
    <n v="2881.3850000000002"/>
  </r>
  <r>
    <s v="ORD03956"/>
    <d v="2026-07-13T00:00:00"/>
    <s v="CUST0384"/>
    <x v="0"/>
    <x v="0"/>
    <n v="1"/>
    <n v="0.1"/>
    <n v="12600"/>
    <n v="1970.69"/>
    <x v="3"/>
    <s v="Shipped"/>
    <n v="12600"/>
    <n v="15.640396825396831"/>
    <s v="Profit"/>
    <s v="Pooja Gupta"/>
    <x v="1"/>
    <x v="1"/>
    <s v="Pune"/>
    <s v="Maharashtra"/>
    <s v="2025-11-14"/>
    <s v="36-50"/>
    <n v="1970.69"/>
  </r>
  <r>
    <s v="ORD03957"/>
    <d v="2025-07-10T00:00:00"/>
    <s v="CUST0039"/>
    <x v="1"/>
    <x v="15"/>
    <n v="2"/>
    <n v="0.2"/>
    <n v="3520"/>
    <n v="785.9"/>
    <x v="0"/>
    <s v="Delivered"/>
    <n v="1760"/>
    <n v="22.32670454545455"/>
    <s v="Profit"/>
    <s v="Varun Joshi"/>
    <x v="0"/>
    <x v="0"/>
    <s v="Coimbatore"/>
    <s v="Tamil Nadu"/>
    <s v="2025-08-21"/>
    <s v="51+"/>
    <n v="392.95"/>
  </r>
  <r>
    <s v="ORD03958"/>
    <d v="2026-08-18T00:00:00"/>
    <s v="CUST0447"/>
    <x v="2"/>
    <x v="5"/>
    <n v="2"/>
    <n v="0.3"/>
    <n v="15400"/>
    <n v="2167.52"/>
    <x v="3"/>
    <s v="Delivered"/>
    <n v="7700"/>
    <n v="14.074805194805201"/>
    <s v="Profit"/>
    <s v="Aarav Iyer"/>
    <x v="2"/>
    <x v="0"/>
    <s v="Hyderabad"/>
    <s v="Telangana"/>
    <s v="2024-09-12"/>
    <s v="36-50"/>
    <n v="1083.76"/>
  </r>
  <r>
    <s v="ORD03959"/>
    <d v="2025-07-25T00:00:00"/>
    <s v="CUST0197"/>
    <x v="3"/>
    <x v="10"/>
    <n v="1"/>
    <n v="0.15"/>
    <n v="46750"/>
    <n v="5085.95"/>
    <x v="0"/>
    <s v="Delivered"/>
    <n v="46750"/>
    <n v="10.87903743315508"/>
    <s v="Profit"/>
    <s v="Varun Sharma"/>
    <x v="1"/>
    <x v="2"/>
    <s v="Chandigarh"/>
    <s v="Chandigarh"/>
    <s v="2025-06-08"/>
    <s v="26-35"/>
    <n v="5085.95"/>
  </r>
  <r>
    <s v="ORD03960"/>
    <d v="2026-07-17T00:00:00"/>
    <s v="CUST0425"/>
    <x v="1"/>
    <x v="13"/>
    <n v="4"/>
    <n v="0"/>
    <n v="16800"/>
    <n v="4800"/>
    <x v="2"/>
    <s v="Delivered"/>
    <n v="4200"/>
    <n v="28.571428571428569"/>
    <s v="Profit"/>
    <s v="Lakshmi Mishra"/>
    <x v="0"/>
    <x v="3"/>
    <s v="Bhubaneswar"/>
    <s v="Odisha"/>
    <s v="2024-08-12"/>
    <s v="26-35"/>
    <n v="1200"/>
  </r>
  <r>
    <s v="ORD03961"/>
    <d v="2025-12-04T00:00:00"/>
    <s v="CUST0378"/>
    <x v="2"/>
    <x v="2"/>
    <n v="3"/>
    <n v="0.1"/>
    <n v="35100"/>
    <n v="6379.65"/>
    <x v="0"/>
    <s v="Delivered"/>
    <n v="11700"/>
    <n v="18.175641025641021"/>
    <s v="Profit"/>
    <s v="Aarav Joshi"/>
    <x v="2"/>
    <x v="0"/>
    <s v="Bengaluru"/>
    <s v="Karnataka"/>
    <s v="2025-12-14"/>
    <s v="26-35"/>
    <n v="2126.5500000000002"/>
  </r>
  <r>
    <s v="ORD03962"/>
    <d v="2026-03-17T00:00:00"/>
    <s v="CUST0321"/>
    <x v="1"/>
    <x v="1"/>
    <n v="2"/>
    <n v="0.3"/>
    <n v="2520"/>
    <n v="641.72"/>
    <x v="3"/>
    <s v="Delivered"/>
    <n v="1260"/>
    <n v="25.465079365079369"/>
    <s v="Profit"/>
    <s v="Kavya Sharma"/>
    <x v="0"/>
    <x v="1"/>
    <s v="Pune"/>
    <s v="Maharashtra"/>
    <s v="2024-07-02"/>
    <s v="26-35"/>
    <n v="320.86"/>
  </r>
  <r>
    <s v="ORD03963"/>
    <d v="2025-12-21T00:00:00"/>
    <s v="CUST0378"/>
    <x v="2"/>
    <x v="2"/>
    <n v="2"/>
    <n v="0"/>
    <n v="26000"/>
    <n v="6400"/>
    <x v="1"/>
    <s v="Delivered"/>
    <n v="13000"/>
    <n v="24.61538461538462"/>
    <s v="Profit"/>
    <s v="Aarav Joshi"/>
    <x v="2"/>
    <x v="0"/>
    <s v="Bengaluru"/>
    <s v="Karnataka"/>
    <s v="2025-12-14"/>
    <s v="26-35"/>
    <n v="3200"/>
  </r>
  <r>
    <s v="ORD03964"/>
    <d v="2026-06-01T00:00:00"/>
    <s v="CUST0303"/>
    <x v="1"/>
    <x v="13"/>
    <n v="6"/>
    <n v="0.2"/>
    <n v="20160"/>
    <n v="3769.09"/>
    <x v="0"/>
    <s v="Delivered"/>
    <n v="3360"/>
    <n v="18.695882936507939"/>
    <s v="Profit"/>
    <s v="Aarav Sharma"/>
    <x v="1"/>
    <x v="0"/>
    <s v="Bengaluru"/>
    <s v="Karnataka"/>
    <s v="2024-12-30"/>
    <s v="26-35"/>
    <n v="628.18166666666673"/>
  </r>
  <r>
    <s v="ORD03965"/>
    <d v="2026-07-19T00:00:00"/>
    <s v="CUST0522"/>
    <x v="3"/>
    <x v="10"/>
    <n v="1"/>
    <n v="0"/>
    <n v="55000"/>
    <n v="-33842.11"/>
    <x v="1"/>
    <s v="Returned"/>
    <n v="55000"/>
    <n v="-61.531109090909098"/>
    <s v="Loss"/>
    <s v="Karthik Joshi"/>
    <x v="2"/>
    <x v="0"/>
    <s v="Bengaluru"/>
    <s v="Karnataka"/>
    <s v="2023-06-28"/>
    <s v="36-50"/>
    <n v="-33842.11"/>
  </r>
  <r>
    <s v="ORD03966"/>
    <d v="2025-07-07T00:00:00"/>
    <s v="CUST0219"/>
    <x v="2"/>
    <x v="9"/>
    <n v="4"/>
    <n v="0.1"/>
    <n v="32400"/>
    <n v="7247.45"/>
    <x v="3"/>
    <s v="Delivered"/>
    <n v="8100"/>
    <n v="22.368672839506171"/>
    <s v="Profit"/>
    <s v="Rahul Menon"/>
    <x v="1"/>
    <x v="3"/>
    <s v="Patna"/>
    <s v="Bihar"/>
    <s v="2023-10-06"/>
    <s v="36-50"/>
    <n v="1811.8625"/>
  </r>
  <r>
    <s v="ORD03967"/>
    <d v="2026-07-10T00:00:00"/>
    <s v="CUST0411"/>
    <x v="2"/>
    <x v="3"/>
    <n v="2"/>
    <n v="0"/>
    <n v="30000"/>
    <n v="7000"/>
    <x v="1"/>
    <s v="Delivered"/>
    <n v="15000"/>
    <n v="23.333333333333329"/>
    <s v="Profit"/>
    <s v="Arjun Mehta"/>
    <x v="1"/>
    <x v="0"/>
    <s v="Bengaluru"/>
    <s v="Karnataka"/>
    <s v="2023-02-18"/>
    <s v="36-50"/>
    <n v="3500"/>
  </r>
  <r>
    <s v="ORD03968"/>
    <d v="2026-03-18T00:00:00"/>
    <s v="CUST0597"/>
    <x v="0"/>
    <x v="7"/>
    <n v="2"/>
    <n v="0"/>
    <n v="1800"/>
    <n v="560"/>
    <x v="0"/>
    <s v="Delivered"/>
    <n v="900"/>
    <n v="31.111111111111111"/>
    <s v="Profit"/>
    <s v="Harini Menon"/>
    <x v="1"/>
    <x v="0"/>
    <s v="Hyderabad"/>
    <s v="Telangana"/>
    <s v="2025-05-09"/>
    <s v="51+"/>
    <n v="280"/>
  </r>
  <r>
    <s v="ORD03969"/>
    <d v="2025-10-29T00:00:00"/>
    <s v="CUST0143"/>
    <x v="2"/>
    <x v="3"/>
    <n v="5"/>
    <n v="0.15"/>
    <n v="63750"/>
    <n v="9576.68"/>
    <x v="2"/>
    <s v="Delivered"/>
    <n v="12750"/>
    <n v="15.0222431372549"/>
    <s v="Profit"/>
    <s v="Ananya Naidu"/>
    <x v="2"/>
    <x v="0"/>
    <s v="Bengaluru"/>
    <s v="Karnataka"/>
    <s v="2023-04-11"/>
    <s v="36-50"/>
    <n v="1915.336"/>
  </r>
  <r>
    <s v="ORD03970"/>
    <d v="2026-01-19T00:00:00"/>
    <s v="CUST0390"/>
    <x v="3"/>
    <x v="8"/>
    <n v="5"/>
    <n v="0"/>
    <n v="22500"/>
    <n v="7500"/>
    <x v="1"/>
    <s v="Shipped"/>
    <n v="4500"/>
    <n v="33.333333333333329"/>
    <s v="Profit"/>
    <s v="Aditya Bose"/>
    <x v="0"/>
    <x v="3"/>
    <s v="Bhubaneswar"/>
    <s v="Odisha"/>
    <s v="2024-04-07"/>
    <s v="26-35"/>
    <n v="1500"/>
  </r>
  <r>
    <s v="ORD03971"/>
    <d v="2026-04-27T00:00:00"/>
    <s v="CUST0577"/>
    <x v="2"/>
    <x v="9"/>
    <n v="2"/>
    <n v="0.15"/>
    <n v="15300"/>
    <n v="2999.64"/>
    <x v="1"/>
    <s v="Delivered"/>
    <n v="7650"/>
    <n v="19.605490196078431"/>
    <s v="Profit"/>
    <s v="Lakshmi Joshi"/>
    <x v="1"/>
    <x v="1"/>
    <s v="Ahmedabad"/>
    <s v="Gujarat"/>
    <s v="2024-09-03"/>
    <s v="26-35"/>
    <n v="1499.82"/>
  </r>
  <r>
    <s v="ORD03972"/>
    <d v="2025-12-03T00:00:00"/>
    <s v="CUST0258"/>
    <x v="2"/>
    <x v="3"/>
    <n v="3"/>
    <n v="0"/>
    <n v="45000"/>
    <n v="-9458.7999999999993"/>
    <x v="2"/>
    <s v="Cancelled"/>
    <n v="15000"/>
    <n v="-21.019555555555559"/>
    <s v="Loss"/>
    <s v="Priya Naidu"/>
    <x v="0"/>
    <x v="0"/>
    <s v="Bengaluru"/>
    <s v="Karnataka"/>
    <s v="2023-07-05"/>
    <s v="26-35"/>
    <n v="-3152.9333333333329"/>
  </r>
  <r>
    <s v="ORD03973"/>
    <d v="2025-07-20T00:00:00"/>
    <s v="CUST0092"/>
    <x v="0"/>
    <x v="14"/>
    <n v="2"/>
    <n v="0.2"/>
    <n v="720"/>
    <n v="82.25"/>
    <x v="3"/>
    <s v="Delivered"/>
    <n v="360"/>
    <n v="11.423611111111111"/>
    <s v="Profit"/>
    <s v="Harini Khan"/>
    <x v="0"/>
    <x v="2"/>
    <s v="Jaipur"/>
    <s v="Rajasthan"/>
    <s v="2025-12-12"/>
    <s v="36-50"/>
    <n v="41.125"/>
  </r>
  <r>
    <s v="ORD03974"/>
    <d v="2025-07-27T00:00:00"/>
    <s v="CUST0401"/>
    <x v="2"/>
    <x v="5"/>
    <n v="3"/>
    <n v="0.1"/>
    <n v="29700"/>
    <n v="5027.32"/>
    <x v="2"/>
    <s v="Delivered"/>
    <n v="9900"/>
    <n v="16.927003367003369"/>
    <s v="Profit"/>
    <s v="Ananya Nair"/>
    <x v="0"/>
    <x v="0"/>
    <s v="Hyderabad"/>
    <s v="Telangana"/>
    <s v="2024-04-08"/>
    <s v="26-35"/>
    <n v="1675.7733333333331"/>
  </r>
  <r>
    <s v="ORD03975"/>
    <d v="2026-05-11T00:00:00"/>
    <s v="CUST0171"/>
    <x v="2"/>
    <x v="2"/>
    <n v="2"/>
    <n v="0.1"/>
    <n v="23400"/>
    <n v="4779.13"/>
    <x v="3"/>
    <s v="Shipped"/>
    <n v="11700"/>
    <n v="20.423632478632481"/>
    <s v="Profit"/>
    <s v="Nisha Reddy"/>
    <x v="0"/>
    <x v="2"/>
    <s v="Jaipur"/>
    <s v="Rajasthan"/>
    <s v="2025-06-10"/>
    <s v="36-50"/>
    <n v="2389.5650000000001"/>
  </r>
  <r>
    <s v="ORD03976"/>
    <d v="2026-03-21T00:00:00"/>
    <s v="CUST0343"/>
    <x v="0"/>
    <x v="14"/>
    <n v="1"/>
    <n v="0.1"/>
    <n v="405"/>
    <n v="79.06"/>
    <x v="1"/>
    <s v="Delivered"/>
    <n v="405"/>
    <n v="19.52098765432099"/>
    <s v="Profit"/>
    <s v="Meera Iyer"/>
    <x v="0"/>
    <x v="0"/>
    <s v="Bengaluru"/>
    <s v="Karnataka"/>
    <s v="2024-08-02"/>
    <s v="36-50"/>
    <n v="79.06"/>
  </r>
  <r>
    <s v="ORD03977"/>
    <d v="2025-09-20T00:00:00"/>
    <s v="CUST0579"/>
    <x v="0"/>
    <x v="7"/>
    <n v="1"/>
    <n v="0.05"/>
    <n v="855"/>
    <n v="255.43"/>
    <x v="1"/>
    <s v="Delivered"/>
    <n v="855"/>
    <n v="29.874853801169589"/>
    <s v="Profit"/>
    <s v="Manoj Reddy"/>
    <x v="1"/>
    <x v="2"/>
    <s v="Chandigarh"/>
    <s v="Chandigarh"/>
    <s v="2024-10-31"/>
    <s v="26-35"/>
    <n v="255.43"/>
  </r>
  <r>
    <s v="ORD03978"/>
    <d v="2026-06-27T00:00:00"/>
    <s v="CUST0274"/>
    <x v="1"/>
    <x v="1"/>
    <n v="3"/>
    <n v="0.15"/>
    <n v="4590"/>
    <n v="-695.45"/>
    <x v="2"/>
    <s v="Returned"/>
    <n v="1530"/>
    <n v="-15.15141612200436"/>
    <s v="Loss"/>
    <s v="Meera Bose"/>
    <x v="1"/>
    <x v="0"/>
    <s v="Hyderabad"/>
    <s v="Telangana"/>
    <s v="2025-01-06"/>
    <s v="26-35"/>
    <n v="-231.81666666666669"/>
  </r>
  <r>
    <s v="ORD03979"/>
    <d v="2026-06-24T00:00:00"/>
    <s v="CUST0126"/>
    <x v="1"/>
    <x v="1"/>
    <n v="1"/>
    <n v="0.1"/>
    <n v="1620"/>
    <n v="551.52"/>
    <x v="2"/>
    <s v="Delivered"/>
    <n v="1620"/>
    <n v="34.044444444444437"/>
    <s v="Profit"/>
    <s v="Manoj Mehta"/>
    <x v="1"/>
    <x v="0"/>
    <s v="Bengaluru"/>
    <s v="Karnataka"/>
    <s v="2025-10-04"/>
    <s v="36-50"/>
    <n v="551.52"/>
  </r>
  <r>
    <s v="ORD03980"/>
    <d v="2025-12-03T00:00:00"/>
    <s v="CUST0365"/>
    <x v="2"/>
    <x v="2"/>
    <n v="2"/>
    <n v="0.1"/>
    <n v="23400"/>
    <n v="4214.42"/>
    <x v="1"/>
    <s v="Delivered"/>
    <n v="11700"/>
    <n v="18.01034188034188"/>
    <s v="Profit"/>
    <s v="Rohan Naidu"/>
    <x v="0"/>
    <x v="1"/>
    <s v="Pune"/>
    <s v="Maharashtra"/>
    <s v="2023-05-21"/>
    <s v="26-35"/>
    <n v="2107.21"/>
  </r>
  <r>
    <s v="ORD03981"/>
    <d v="2025-08-13T00:00:00"/>
    <s v="CUST0038"/>
    <x v="0"/>
    <x v="6"/>
    <n v="3"/>
    <n v="0.1"/>
    <n v="945"/>
    <n v="295.91000000000003"/>
    <x v="3"/>
    <s v="Delivered"/>
    <n v="315"/>
    <n v="31.31322751322752"/>
    <s v="Profit"/>
    <s v="Harini Sharma"/>
    <x v="2"/>
    <x v="0"/>
    <s v="Coimbatore"/>
    <s v="Tamil Nadu"/>
    <s v="2024-06-22"/>
    <s v="36-50"/>
    <n v="98.63666666666667"/>
  </r>
  <r>
    <s v="ORD03982"/>
    <d v="2026-02-28T00:00:00"/>
    <s v="CUST0536"/>
    <x v="1"/>
    <x v="13"/>
    <n v="3"/>
    <n v="0.05"/>
    <n v="11970"/>
    <n v="-1472.4"/>
    <x v="2"/>
    <s v="Cancelled"/>
    <n v="3990"/>
    <n v="-12.30075187969925"/>
    <s v="Loss"/>
    <s v="Sneha Nair"/>
    <x v="2"/>
    <x v="2"/>
    <s v="Lucknow"/>
    <s v="Uttar Pradesh"/>
    <s v="2025-10-22"/>
    <s v="36-50"/>
    <n v="-490.8"/>
  </r>
  <r>
    <s v="ORD03983"/>
    <d v="2026-06-11T00:00:00"/>
    <s v="CUST0142"/>
    <x v="0"/>
    <x v="7"/>
    <n v="1"/>
    <n v="0.15"/>
    <n v="765"/>
    <n v="-45.79"/>
    <x v="0"/>
    <s v="Returned"/>
    <n v="765"/>
    <n v="-5.9856209150326789"/>
    <s v="Loss"/>
    <s v="Pooja Bose"/>
    <x v="0"/>
    <x v="1"/>
    <s v="Surat"/>
    <s v="Gujarat"/>
    <s v="2025-05-21"/>
    <s v="51+"/>
    <n v="-45.79"/>
  </r>
  <r>
    <s v="ORD03984"/>
    <d v="2025-07-28T00:00:00"/>
    <s v="CUST0291"/>
    <x v="0"/>
    <x v="14"/>
    <n v="1"/>
    <n v="0.15"/>
    <n v="382.5"/>
    <n v="78.489999999999995"/>
    <x v="3"/>
    <s v="Delivered"/>
    <n v="382.5"/>
    <n v="20.520261437908491"/>
    <s v="Profit"/>
    <s v="Divya Chopra"/>
    <x v="1"/>
    <x v="0"/>
    <s v="Bengaluru"/>
    <s v="Karnataka"/>
    <s v="2023-10-19"/>
    <s v="18-25"/>
    <n v="78.489999999999995"/>
  </r>
  <r>
    <s v="ORD03985"/>
    <d v="2026-07-02T00:00:00"/>
    <s v="CUST0255"/>
    <x v="1"/>
    <x v="13"/>
    <n v="3"/>
    <n v="0.15"/>
    <n v="10710"/>
    <n v="2275.63"/>
    <x v="2"/>
    <s v="Delivered"/>
    <n v="3570"/>
    <n v="21.247712418300651"/>
    <s v="Profit"/>
    <s v="Aarav Menon"/>
    <x v="2"/>
    <x v="2"/>
    <s v="Delhi"/>
    <s v="Delhi"/>
    <s v="2025-10-02"/>
    <s v="36-50"/>
    <n v="758.54333333333341"/>
  </r>
  <r>
    <s v="ORD03986"/>
    <d v="2026-07-31T00:00:00"/>
    <s v="CUST0319"/>
    <x v="1"/>
    <x v="15"/>
    <n v="3"/>
    <n v="0"/>
    <n v="6600"/>
    <n v="2250"/>
    <x v="1"/>
    <s v="Delivered"/>
    <n v="2200"/>
    <n v="34.090909090909093"/>
    <s v="Profit"/>
    <s v="Vikram Sharma"/>
    <x v="0"/>
    <x v="0"/>
    <s v="Bengaluru"/>
    <s v="Karnataka"/>
    <s v="2024-01-16"/>
    <s v="26-35"/>
    <n v="750"/>
  </r>
  <r>
    <s v="ORD03987"/>
    <d v="2026-06-20T00:00:00"/>
    <s v="CUST0157"/>
    <x v="0"/>
    <x v="14"/>
    <n v="2"/>
    <n v="0.1"/>
    <n v="810"/>
    <n v="167.72"/>
    <x v="1"/>
    <s v="Delivered"/>
    <n v="405"/>
    <n v="20.70617283950617"/>
    <s v="Profit"/>
    <s v="Diya Rao"/>
    <x v="1"/>
    <x v="0"/>
    <s v="Bengaluru"/>
    <s v="Karnataka"/>
    <s v="2024-02-13"/>
    <s v="51+"/>
    <n v="83.86"/>
  </r>
  <r>
    <s v="ORD03988"/>
    <d v="2026-04-06T00:00:00"/>
    <s v="CUST0427"/>
    <x v="0"/>
    <x v="14"/>
    <n v="2"/>
    <n v="0"/>
    <n v="900"/>
    <n v="220"/>
    <x v="2"/>
    <s v="Shipped"/>
    <n v="450"/>
    <n v="24.444444444444439"/>
    <s v="Profit"/>
    <s v="Nisha Mehta"/>
    <x v="1"/>
    <x v="0"/>
    <s v="Chennai"/>
    <s v="Tamil Nadu"/>
    <s v="2025-08-11"/>
    <s v="51+"/>
    <n v="110"/>
  </r>
  <r>
    <s v="ORD03989"/>
    <d v="2025-08-29T00:00:00"/>
    <s v="CUST0016"/>
    <x v="0"/>
    <x v="7"/>
    <n v="4"/>
    <n v="0"/>
    <n v="3600"/>
    <n v="1120"/>
    <x v="1"/>
    <s v="Delivered"/>
    <n v="900"/>
    <n v="31.111111111111111"/>
    <s v="Profit"/>
    <s v="Ananya Menon"/>
    <x v="0"/>
    <x v="2"/>
    <s v="Jaipur"/>
    <s v="Rajasthan"/>
    <s v="2023-11-11"/>
    <s v="18-25"/>
    <n v="280"/>
  </r>
  <r>
    <s v="ORD03990"/>
    <d v="2025-11-07T00:00:00"/>
    <s v="CUST0206"/>
    <x v="0"/>
    <x v="0"/>
    <n v="1"/>
    <n v="0.05"/>
    <n v="13300"/>
    <n v="2466.59"/>
    <x v="1"/>
    <s v="Delivered"/>
    <n v="13300"/>
    <n v="18.545789473684209"/>
    <s v="Profit"/>
    <s v="Arjun Bose"/>
    <x v="1"/>
    <x v="0"/>
    <s v="Coimbatore"/>
    <s v="Tamil Nadu"/>
    <s v="2025-04-20"/>
    <s v="36-50"/>
    <n v="2466.59"/>
  </r>
  <r>
    <s v="ORD03991"/>
    <d v="2026-02-17T00:00:00"/>
    <s v="CUST0306"/>
    <x v="0"/>
    <x v="6"/>
    <n v="6"/>
    <n v="0.05"/>
    <n v="1995"/>
    <n v="631.57000000000005"/>
    <x v="2"/>
    <s v="Delivered"/>
    <n v="332.5"/>
    <n v="31.65764411027569"/>
    <s v="Profit"/>
    <s v="Aditya Das"/>
    <x v="0"/>
    <x v="2"/>
    <s v="Lucknow"/>
    <s v="Uttar Pradesh"/>
    <s v="2023-04-26"/>
    <s v="18-25"/>
    <n v="105.2616666666667"/>
  </r>
  <r>
    <s v="ORD03992"/>
    <d v="2025-11-12T00:00:00"/>
    <s v="CUST0160"/>
    <x v="3"/>
    <x v="8"/>
    <n v="1"/>
    <n v="0.15"/>
    <n v="3825"/>
    <n v="1081.8800000000001"/>
    <x v="3"/>
    <s v="Delivered"/>
    <n v="3825"/>
    <n v="28.28444444444445"/>
    <s v="Profit"/>
    <s v="Divya Sharma"/>
    <x v="2"/>
    <x v="0"/>
    <s v="Bengaluru"/>
    <s v="Karnataka"/>
    <s v="2024-09-25"/>
    <s v="18-25"/>
    <n v="1081.8800000000001"/>
  </r>
  <r>
    <s v="ORD03993"/>
    <d v="2026-07-16T00:00:00"/>
    <s v="CUST0338"/>
    <x v="0"/>
    <x v="0"/>
    <n v="1"/>
    <n v="0.05"/>
    <n v="13300"/>
    <n v="2447.3000000000002"/>
    <x v="0"/>
    <s v="Delivered"/>
    <n v="13300"/>
    <n v="18.40075187969925"/>
    <s v="Profit"/>
    <s v="Kavya Bose"/>
    <x v="1"/>
    <x v="0"/>
    <s v="Hyderabad"/>
    <s v="Telangana"/>
    <s v="2024-10-27"/>
    <s v="26-35"/>
    <n v="2447.3000000000002"/>
  </r>
  <r>
    <s v="ORD03994"/>
    <d v="2026-01-22T00:00:00"/>
    <s v="CUST0347"/>
    <x v="0"/>
    <x v="0"/>
    <n v="1"/>
    <n v="0"/>
    <n v="14000"/>
    <n v="-7681.9"/>
    <x v="0"/>
    <s v="Cancelled"/>
    <n v="14000"/>
    <n v="-54.870714285714293"/>
    <s v="Loss"/>
    <s v="Shreya Iyer"/>
    <x v="0"/>
    <x v="0"/>
    <s v="Bengaluru"/>
    <s v="Karnataka"/>
    <s v="2023-08-21"/>
    <s v="36-50"/>
    <n v="-7681.9"/>
  </r>
  <r>
    <s v="ORD03995"/>
    <d v="2026-06-20T00:00:00"/>
    <s v="CUST0447"/>
    <x v="0"/>
    <x v="14"/>
    <n v="5"/>
    <n v="0"/>
    <n v="2250"/>
    <n v="-320.58"/>
    <x v="1"/>
    <s v="Cancelled"/>
    <n v="450"/>
    <n v="-14.247999999999999"/>
    <s v="Loss"/>
    <s v="Aarav Iyer"/>
    <x v="2"/>
    <x v="0"/>
    <s v="Hyderabad"/>
    <s v="Telangana"/>
    <s v="2024-09-12"/>
    <s v="36-50"/>
    <n v="-64.116"/>
  </r>
  <r>
    <s v="ORD03996"/>
    <d v="2026-01-23T00:00:00"/>
    <s v="CUST0252"/>
    <x v="0"/>
    <x v="7"/>
    <n v="3"/>
    <n v="0.15"/>
    <n v="2295"/>
    <n v="-334.58"/>
    <x v="1"/>
    <s v="Cancelled"/>
    <n v="765"/>
    <n v="-14.578649237472771"/>
    <s v="Loss"/>
    <s v="Ishaan Pillai"/>
    <x v="0"/>
    <x v="0"/>
    <s v="Coimbatore"/>
    <s v="Tamil Nadu"/>
    <s v="2024-06-19"/>
    <s v="36-50"/>
    <n v="-111.5266666666667"/>
  </r>
  <r>
    <s v="ORD03997"/>
    <d v="2026-02-03T00:00:00"/>
    <s v="CUST0513"/>
    <x v="0"/>
    <x v="7"/>
    <n v="3"/>
    <n v="0.05"/>
    <n v="2565"/>
    <n v="756.72"/>
    <x v="3"/>
    <s v="Delivered"/>
    <n v="855"/>
    <n v="29.501754385964912"/>
    <s v="Profit"/>
    <s v="Varun Das"/>
    <x v="1"/>
    <x v="2"/>
    <s v="Jaipur"/>
    <s v="Rajasthan"/>
    <s v="2025-05-03"/>
    <s v="18-25"/>
    <n v="252.24"/>
  </r>
  <r>
    <s v="ORD03998"/>
    <d v="2026-08-02T00:00:00"/>
    <s v="CUST0210"/>
    <x v="0"/>
    <x v="7"/>
    <n v="1"/>
    <n v="0.05"/>
    <n v="855"/>
    <n v="243.74"/>
    <x v="1"/>
    <s v="Delivered"/>
    <n v="855"/>
    <n v="28.50760233918129"/>
    <s v="Profit"/>
    <s v="Vikram Bose"/>
    <x v="0"/>
    <x v="1"/>
    <s v="Ahmedabad"/>
    <s v="Gujarat"/>
    <s v="2025-06-27"/>
    <s v="26-35"/>
    <n v="243.74"/>
  </r>
  <r>
    <s v="ORD03999"/>
    <d v="2026-02-13T00:00:00"/>
    <s v="CUST0351"/>
    <x v="0"/>
    <x v="7"/>
    <n v="4"/>
    <n v="0.15"/>
    <n v="3060"/>
    <n v="867.84"/>
    <x v="0"/>
    <s v="Delivered"/>
    <n v="765"/>
    <n v="28.360784313725489"/>
    <s v="Profit"/>
    <s v="Aarav Naidu"/>
    <x v="0"/>
    <x v="0"/>
    <s v="Hyderabad"/>
    <s v="Telangana"/>
    <s v="2024-09-17"/>
    <s v="26-35"/>
    <n v="216.96"/>
  </r>
  <r>
    <s v="ORD04000"/>
    <d v="2025-08-21T00:00:00"/>
    <s v="CUST0114"/>
    <x v="2"/>
    <x v="3"/>
    <n v="3"/>
    <n v="0.05"/>
    <n v="42750"/>
    <n v="9409.07"/>
    <x v="0"/>
    <s v="Delivered"/>
    <n v="14250"/>
    <n v="22.009520467836261"/>
    <s v="Profit"/>
    <s v="Aarav Reddy"/>
    <x v="1"/>
    <x v="0"/>
    <s v="Coimbatore"/>
    <s v="Tamil Nadu"/>
    <s v="2023-11-15"/>
    <s v="18-25"/>
    <n v="3136.356666666667"/>
  </r>
  <r>
    <s v="ORD04001"/>
    <d v="2026-03-26T00:00:00"/>
    <s v="CUST0527"/>
    <x v="0"/>
    <x v="14"/>
    <n v="2"/>
    <n v="0.15"/>
    <n v="765"/>
    <n v="110"/>
    <x v="2"/>
    <s v="Delivered"/>
    <n v="382.5"/>
    <n v="14.37908496732026"/>
    <s v="Profit"/>
    <s v="Aarav Patel"/>
    <x v="0"/>
    <x v="0"/>
    <s v="Hyderabad"/>
    <s v="Telangana"/>
    <s v="2024-04-04"/>
    <s v="26-35"/>
    <n v="55"/>
  </r>
  <r>
    <s v="ORD04002"/>
    <d v="2025-09-21T00:00:00"/>
    <s v="CUST0360"/>
    <x v="1"/>
    <x v="15"/>
    <n v="1"/>
    <n v="0.1"/>
    <n v="1980"/>
    <n v="574.17999999999995"/>
    <x v="0"/>
    <s v="Delivered"/>
    <n v="1980"/>
    <n v="28.998989898989901"/>
    <s v="Profit"/>
    <s v="Sneha Reddy"/>
    <x v="2"/>
    <x v="2"/>
    <s v="Lucknow"/>
    <s v="Uttar Pradesh"/>
    <s v="2024-02-17"/>
    <s v="18-25"/>
    <n v="574.17999999999995"/>
  </r>
  <r>
    <s v="ORD04003"/>
    <d v="2026-08-31T00:00:00"/>
    <s v="CUST0075"/>
    <x v="2"/>
    <x v="9"/>
    <n v="6"/>
    <n v="0"/>
    <n v="54000"/>
    <n v="13800"/>
    <x v="3"/>
    <s v="Delivered"/>
    <n v="9000"/>
    <n v="25.55555555555555"/>
    <s v="Profit"/>
    <s v="Karthik Sharma"/>
    <x v="0"/>
    <x v="0"/>
    <s v="Bengaluru"/>
    <s v="Karnataka"/>
    <s v="2025-09-08"/>
    <s v="36-50"/>
    <n v="2300"/>
  </r>
  <r>
    <s v="ORD04004"/>
    <d v="2025-11-28T00:00:00"/>
    <s v="CUST0494"/>
    <x v="0"/>
    <x v="0"/>
    <n v="1"/>
    <n v="0.1"/>
    <n v="12600"/>
    <n v="1768.37"/>
    <x v="1"/>
    <s v="Delivered"/>
    <n v="12600"/>
    <n v="14.034682539682541"/>
    <s v="Profit"/>
    <s v="Varun Nair"/>
    <x v="0"/>
    <x v="1"/>
    <s v="Ahmedabad"/>
    <s v="Gujarat"/>
    <s v="2024-06-07"/>
    <s v="18-25"/>
    <n v="1768.37"/>
  </r>
  <r>
    <s v="ORD04005"/>
    <d v="2025-07-08T00:00:00"/>
    <s v="CUST0557"/>
    <x v="2"/>
    <x v="3"/>
    <n v="4"/>
    <n v="0"/>
    <n v="60000"/>
    <n v="14000"/>
    <x v="1"/>
    <s v="Delivered"/>
    <n v="15000"/>
    <n v="23.333333333333329"/>
    <s v="Profit"/>
    <s v="Divya Mishra"/>
    <x v="0"/>
    <x v="2"/>
    <s v="Lucknow"/>
    <s v="Uttar Pradesh"/>
    <s v="2024-11-08"/>
    <s v="18-25"/>
    <n v="3500"/>
  </r>
  <r>
    <s v="ORD04006"/>
    <d v="2026-01-05T00:00:00"/>
    <s v="CUST0281"/>
    <x v="3"/>
    <x v="11"/>
    <n v="2"/>
    <n v="0"/>
    <n v="5000"/>
    <n v="1600"/>
    <x v="1"/>
    <s v="Delivered"/>
    <n v="2500"/>
    <n v="32"/>
    <s v="Profit"/>
    <s v="Divya Reddy"/>
    <x v="0"/>
    <x v="0"/>
    <s v="Coimbatore"/>
    <s v="Tamil Nadu"/>
    <s v="2025-04-27"/>
    <s v="36-50"/>
    <n v="800"/>
  </r>
  <r>
    <s v="ORD04007"/>
    <d v="2026-07-14T00:00:00"/>
    <s v="CUST0435"/>
    <x v="3"/>
    <x v="11"/>
    <n v="2"/>
    <n v="0.15"/>
    <n v="4250"/>
    <n v="1038.21"/>
    <x v="0"/>
    <s v="Delivered"/>
    <n v="2125"/>
    <n v="24.428470588235299"/>
    <s v="Profit"/>
    <s v="Lakshmi Menon"/>
    <x v="0"/>
    <x v="0"/>
    <s v="Chennai"/>
    <s v="Tamil Nadu"/>
    <s v="2025-04-17"/>
    <s v="26-35"/>
    <n v="519.10500000000002"/>
  </r>
  <r>
    <s v="ORD04008"/>
    <d v="2025-11-25T00:00:00"/>
    <s v="CUST0208"/>
    <x v="1"/>
    <x v="13"/>
    <n v="3"/>
    <n v="0.1"/>
    <n v="11340"/>
    <n v="2796.33"/>
    <x v="2"/>
    <s v="Delivered"/>
    <n v="3780"/>
    <n v="24.658994708994712"/>
    <s v="Profit"/>
    <s v="Sneha Pillai"/>
    <x v="0"/>
    <x v="0"/>
    <s v="Hyderabad"/>
    <s v="Telangana"/>
    <s v="2025-02-01"/>
    <s v="26-35"/>
    <n v="932.11"/>
  </r>
  <r>
    <s v="ORD04009"/>
    <d v="2026-02-03T00:00:00"/>
    <s v="CUST0039"/>
    <x v="3"/>
    <x v="8"/>
    <n v="2"/>
    <n v="0.3"/>
    <n v="6300"/>
    <n v="1619.29"/>
    <x v="1"/>
    <s v="Delivered"/>
    <n v="3150"/>
    <n v="25.703015873015872"/>
    <s v="Profit"/>
    <s v="Varun Joshi"/>
    <x v="0"/>
    <x v="0"/>
    <s v="Coimbatore"/>
    <s v="Tamil Nadu"/>
    <s v="2025-08-21"/>
    <s v="51+"/>
    <n v="809.64499999999998"/>
  </r>
  <r>
    <s v="ORD04010"/>
    <d v="2026-04-03T00:00:00"/>
    <s v="CUST0088"/>
    <x v="0"/>
    <x v="14"/>
    <n v="4"/>
    <n v="0.3"/>
    <n v="1260"/>
    <n v="54.97"/>
    <x v="1"/>
    <s v="Delivered"/>
    <n v="315"/>
    <n v="4.3626984126984123"/>
    <s v="Profit"/>
    <s v="Sneha Verma"/>
    <x v="1"/>
    <x v="0"/>
    <s v="Chennai"/>
    <s v="Tamil Nadu"/>
    <s v="2023-06-12"/>
    <s v="26-35"/>
    <n v="13.7425"/>
  </r>
  <r>
    <s v="ORD04011"/>
    <d v="2025-08-25T00:00:00"/>
    <s v="CUST0143"/>
    <x v="0"/>
    <x v="0"/>
    <n v="1"/>
    <n v="0"/>
    <n v="14000"/>
    <n v="2800"/>
    <x v="0"/>
    <s v="Delivered"/>
    <n v="14000"/>
    <n v="20"/>
    <s v="Profit"/>
    <s v="Ananya Naidu"/>
    <x v="2"/>
    <x v="0"/>
    <s v="Bengaluru"/>
    <s v="Karnataka"/>
    <s v="2023-04-11"/>
    <s v="36-50"/>
    <n v="2800"/>
  </r>
  <r>
    <s v="ORD04012"/>
    <d v="2026-07-19T00:00:00"/>
    <s v="CUST0213"/>
    <x v="3"/>
    <x v="10"/>
    <n v="3"/>
    <n v="0.1"/>
    <n v="148500"/>
    <n v="13940.5"/>
    <x v="3"/>
    <s v="Delivered"/>
    <n v="49500"/>
    <n v="9.3875420875420872"/>
    <s v="Profit"/>
    <s v="Shreya Bose"/>
    <x v="1"/>
    <x v="2"/>
    <s v="Lucknow"/>
    <s v="Uttar Pradesh"/>
    <s v="2025-03-13"/>
    <s v="26-35"/>
    <n v="4646.833333333333"/>
  </r>
  <r>
    <s v="ORD04013"/>
    <d v="2025-09-27T00:00:00"/>
    <s v="CUST0374"/>
    <x v="0"/>
    <x v="7"/>
    <n v="3"/>
    <n v="0.15"/>
    <n v="2295"/>
    <n v="520.94000000000005"/>
    <x v="3"/>
    <s v="Delivered"/>
    <n v="765"/>
    <n v="22.69891067538126"/>
    <s v="Profit"/>
    <s v="Ishaan Chopra"/>
    <x v="0"/>
    <x v="0"/>
    <s v="Bengaluru"/>
    <s v="Karnataka"/>
    <s v="2024-09-12"/>
    <s v="18-25"/>
    <n v="173.6466666666667"/>
  </r>
  <r>
    <s v="ORD04014"/>
    <d v="2026-01-03T00:00:00"/>
    <s v="CUST0016"/>
    <x v="2"/>
    <x v="3"/>
    <n v="3"/>
    <n v="0.05"/>
    <n v="42750"/>
    <n v="9046.1200000000008"/>
    <x v="1"/>
    <s v="Delivered"/>
    <n v="14250"/>
    <n v="21.160514619883038"/>
    <s v="Profit"/>
    <s v="Ananya Menon"/>
    <x v="0"/>
    <x v="2"/>
    <s v="Jaipur"/>
    <s v="Rajasthan"/>
    <s v="2023-11-11"/>
    <s v="18-25"/>
    <n v="3015.373333333333"/>
  </r>
  <r>
    <s v="ORD04015"/>
    <d v="2026-06-05T00:00:00"/>
    <s v="CUST0567"/>
    <x v="3"/>
    <x v="8"/>
    <n v="4"/>
    <n v="0"/>
    <n v="18000"/>
    <n v="6000"/>
    <x v="3"/>
    <s v="Delivered"/>
    <n v="4500"/>
    <n v="33.333333333333329"/>
    <s v="Profit"/>
    <s v="Ananya Chopra"/>
    <x v="2"/>
    <x v="1"/>
    <s v="Pune"/>
    <s v="Maharashtra"/>
    <s v="2025-09-20"/>
    <s v="26-35"/>
    <n v="1500"/>
  </r>
  <r>
    <s v="ORD04016"/>
    <d v="2025-07-26T00:00:00"/>
    <s v="CUST0040"/>
    <x v="0"/>
    <x v="14"/>
    <n v="3"/>
    <n v="0.1"/>
    <n v="1215"/>
    <n v="218.28"/>
    <x v="1"/>
    <s v="Delivered"/>
    <n v="405"/>
    <n v="17.965432098765429"/>
    <s v="Profit"/>
    <s v="Shreya Reddy"/>
    <x v="0"/>
    <x v="2"/>
    <s v="Delhi"/>
    <s v="Delhi"/>
    <s v="2025-05-04"/>
    <s v="26-35"/>
    <n v="72.760000000000005"/>
  </r>
  <r>
    <s v="ORD04017"/>
    <d v="2026-08-07T00:00:00"/>
    <s v="CUST0320"/>
    <x v="2"/>
    <x v="2"/>
    <n v="2"/>
    <n v="0"/>
    <n v="26000"/>
    <n v="6400"/>
    <x v="1"/>
    <s v="Shipped"/>
    <n v="13000"/>
    <n v="24.61538461538462"/>
    <s v="Profit"/>
    <s v="Kavya Das"/>
    <x v="0"/>
    <x v="2"/>
    <s v="Lucknow"/>
    <s v="Uttar Pradesh"/>
    <s v="2023-07-09"/>
    <s v="51+"/>
    <n v="3200"/>
  </r>
  <r>
    <s v="ORD04018"/>
    <d v="2026-04-14T00:00:00"/>
    <s v="CUST0231"/>
    <x v="1"/>
    <x v="12"/>
    <n v="2"/>
    <n v="0.05"/>
    <n v="2660"/>
    <n v="890.92"/>
    <x v="1"/>
    <s v="Shipped"/>
    <n v="1330"/>
    <n v="33.493233082706773"/>
    <s v="Profit"/>
    <s v="Rahul Rao"/>
    <x v="0"/>
    <x v="3"/>
    <s v="Guwahati"/>
    <s v="Assam"/>
    <s v="2024-11-22"/>
    <s v="36-50"/>
    <n v="445.46"/>
  </r>
  <r>
    <s v="ORD04019"/>
    <d v="2026-08-05T00:00:00"/>
    <s v="CUST0531"/>
    <x v="3"/>
    <x v="4"/>
    <n v="1"/>
    <n v="0.2"/>
    <n v="14400"/>
    <n v="822.98"/>
    <x v="2"/>
    <s v="Delivered"/>
    <n v="14400"/>
    <n v="5.7151388888888892"/>
    <s v="Profit"/>
    <s v="Kavya Mishra"/>
    <x v="2"/>
    <x v="0"/>
    <s v="Coimbatore"/>
    <s v="Tamil Nadu"/>
    <s v="2023-10-06"/>
    <s v="26-35"/>
    <n v="822.98"/>
  </r>
  <r>
    <s v="ORD04020"/>
    <d v="2026-08-14T00:00:00"/>
    <s v="CUST0531"/>
    <x v="0"/>
    <x v="0"/>
    <n v="3"/>
    <n v="0.2"/>
    <n v="33600"/>
    <n v="4170.0200000000004"/>
    <x v="3"/>
    <s v="Delivered"/>
    <n v="11200"/>
    <n v="12.41077380952381"/>
    <s v="Profit"/>
    <s v="Kavya Mishra"/>
    <x v="2"/>
    <x v="0"/>
    <s v="Coimbatore"/>
    <s v="Tamil Nadu"/>
    <s v="2023-10-06"/>
    <s v="26-35"/>
    <n v="1390.0066666666669"/>
  </r>
  <r>
    <s v="ORD04021"/>
    <d v="2026-06-28T00:00:00"/>
    <s v="CUST0416"/>
    <x v="1"/>
    <x v="1"/>
    <n v="4"/>
    <n v="0.05"/>
    <n v="6840"/>
    <n v="2375.64"/>
    <x v="0"/>
    <s v="Delivered"/>
    <n v="1710"/>
    <n v="34.731578947368419"/>
    <s v="Profit"/>
    <s v="Karthik Reddy"/>
    <x v="0"/>
    <x v="1"/>
    <s v="Mumbai"/>
    <s v="Maharashtra"/>
    <s v="2025-09-16"/>
    <s v="18-25"/>
    <n v="593.91"/>
  </r>
  <r>
    <s v="ORD04022"/>
    <d v="2026-05-09T00:00:00"/>
    <s v="CUST0389"/>
    <x v="0"/>
    <x v="6"/>
    <n v="2"/>
    <n v="0.1"/>
    <n v="630"/>
    <n v="191.35"/>
    <x v="0"/>
    <s v="Delivered"/>
    <n v="315"/>
    <n v="30.37301587301587"/>
    <s v="Profit"/>
    <s v="Manoj Pillai"/>
    <x v="1"/>
    <x v="3"/>
    <s v="Patna"/>
    <s v="Bihar"/>
    <s v="2023-07-09"/>
    <s v="36-50"/>
    <n v="95.674999999999997"/>
  </r>
  <r>
    <s v="ORD04023"/>
    <d v="2026-08-21T00:00:00"/>
    <s v="CUST0152"/>
    <x v="2"/>
    <x v="2"/>
    <n v="5"/>
    <n v="0.2"/>
    <n v="52000"/>
    <n v="-31265.41"/>
    <x v="1"/>
    <s v="Returned"/>
    <n v="10400"/>
    <n v="-60.125788461538463"/>
    <s v="Loss"/>
    <s v="Harini Rao"/>
    <x v="0"/>
    <x v="0"/>
    <s v="Coimbatore"/>
    <s v="Tamil Nadu"/>
    <s v="2025-12-02"/>
    <s v="51+"/>
    <n v="-6253.0820000000003"/>
  </r>
  <r>
    <s v="ORD04024"/>
    <d v="2025-12-24T00:00:00"/>
    <s v="CUST0002"/>
    <x v="0"/>
    <x v="14"/>
    <n v="1"/>
    <n v="0"/>
    <n v="450"/>
    <n v="-19.739999999999998"/>
    <x v="2"/>
    <s v="Returned"/>
    <n v="450"/>
    <n v="-4.3866666666666667"/>
    <s v="Loss"/>
    <s v="Varun Reddy"/>
    <x v="2"/>
    <x v="1"/>
    <s v="Surat"/>
    <s v="Gujarat"/>
    <s v="2025-01-21"/>
    <s v="36-50"/>
    <n v="-19.739999999999998"/>
  </r>
  <r>
    <s v="ORD04025"/>
    <d v="2025-09-28T00:00:00"/>
    <s v="CUST0160"/>
    <x v="3"/>
    <x v="11"/>
    <n v="3"/>
    <n v="0.15"/>
    <n v="6375"/>
    <n v="1774.11"/>
    <x v="2"/>
    <s v="Delivered"/>
    <n v="2125"/>
    <n v="27.82917647058823"/>
    <s v="Profit"/>
    <s v="Divya Sharma"/>
    <x v="2"/>
    <x v="0"/>
    <s v="Bengaluru"/>
    <s v="Karnataka"/>
    <s v="2024-09-25"/>
    <s v="18-25"/>
    <n v="591.37"/>
  </r>
  <r>
    <s v="ORD04026"/>
    <d v="2026-07-18T00:00:00"/>
    <s v="CUST0251"/>
    <x v="2"/>
    <x v="3"/>
    <n v="4"/>
    <n v="0.1"/>
    <n v="54000"/>
    <n v="9595.35"/>
    <x v="2"/>
    <s v="Shipped"/>
    <n v="13500"/>
    <n v="17.769166666666671"/>
    <s v="Profit"/>
    <s v="Arjun Verma"/>
    <x v="2"/>
    <x v="0"/>
    <s v="Coimbatore"/>
    <s v="Tamil Nadu"/>
    <s v="2023-06-16"/>
    <s v="36-50"/>
    <n v="2398.8375000000001"/>
  </r>
  <r>
    <s v="ORD04027"/>
    <d v="2026-06-10T00:00:00"/>
    <s v="CUST0039"/>
    <x v="0"/>
    <x v="0"/>
    <n v="1"/>
    <n v="0"/>
    <n v="14000"/>
    <n v="2800"/>
    <x v="1"/>
    <s v="Delivered"/>
    <n v="14000"/>
    <n v="20"/>
    <s v="Profit"/>
    <s v="Varun Joshi"/>
    <x v="0"/>
    <x v="0"/>
    <s v="Coimbatore"/>
    <s v="Tamil Nadu"/>
    <s v="2025-08-21"/>
    <s v="51+"/>
    <n v="2800"/>
  </r>
  <r>
    <s v="ORD04028"/>
    <d v="2026-04-04T00:00:00"/>
    <s v="CUST0392"/>
    <x v="2"/>
    <x v="9"/>
    <n v="3"/>
    <n v="0.1"/>
    <n v="24300"/>
    <n v="-13730.09"/>
    <x v="2"/>
    <s v="Returned"/>
    <n v="8100"/>
    <n v="-56.502427983539093"/>
    <s v="Loss"/>
    <s v="Pooja Patel"/>
    <x v="2"/>
    <x v="1"/>
    <s v="Ahmedabad"/>
    <s v="Gujarat"/>
    <s v="2024-11-07"/>
    <s v="36-50"/>
    <n v="-4576.6966666666667"/>
  </r>
  <r>
    <s v="ORD04029"/>
    <d v="2026-07-22T00:00:00"/>
    <s v="CUST0359"/>
    <x v="3"/>
    <x v="8"/>
    <n v="1"/>
    <n v="0.05"/>
    <n v="4275"/>
    <n v="1321.85"/>
    <x v="1"/>
    <s v="Delivered"/>
    <n v="4275"/>
    <n v="30.920467836257309"/>
    <s v="Profit"/>
    <s v="Ananya Mishra"/>
    <x v="0"/>
    <x v="0"/>
    <s v="Bengaluru"/>
    <s v="Karnataka"/>
    <s v="2024-05-22"/>
    <s v="26-35"/>
    <n v="1321.85"/>
  </r>
  <r>
    <s v="ORD04030"/>
    <d v="2025-08-08T00:00:00"/>
    <s v="CUST0158"/>
    <x v="1"/>
    <x v="15"/>
    <n v="4"/>
    <n v="0"/>
    <n v="8800"/>
    <n v="3000"/>
    <x v="3"/>
    <s v="Delivered"/>
    <n v="2200"/>
    <n v="34.090909090909093"/>
    <s v="Profit"/>
    <s v="Ananya Reddy"/>
    <x v="2"/>
    <x v="0"/>
    <s v="Bengaluru"/>
    <s v="Karnataka"/>
    <s v="2024-04-04"/>
    <s v="18-25"/>
    <n v="750"/>
  </r>
  <r>
    <s v="ORD04031"/>
    <d v="2025-11-13T00:00:00"/>
    <s v="CUST0072"/>
    <x v="3"/>
    <x v="10"/>
    <n v="1"/>
    <n v="0.05"/>
    <n v="52250"/>
    <n v="7079.5"/>
    <x v="3"/>
    <s v="Delivered"/>
    <n v="52250"/>
    <n v="13.54928229665072"/>
    <s v="Profit"/>
    <s v="Shreya Nair"/>
    <x v="0"/>
    <x v="1"/>
    <s v="Surat"/>
    <s v="Gujarat"/>
    <s v="2025-09-16"/>
    <s v="26-35"/>
    <n v="7079.5"/>
  </r>
  <r>
    <s v="ORD04032"/>
    <d v="2026-02-13T00:00:00"/>
    <s v="CUST0132"/>
    <x v="0"/>
    <x v="7"/>
    <n v="1"/>
    <n v="0.1"/>
    <n v="810"/>
    <n v="233.93"/>
    <x v="0"/>
    <s v="Delivered"/>
    <n v="810"/>
    <n v="28.880246913580251"/>
    <s v="Profit"/>
    <s v="Akash Rao"/>
    <x v="2"/>
    <x v="1"/>
    <s v="Pune"/>
    <s v="Maharashtra"/>
    <s v="2023-10-01"/>
    <s v="36-50"/>
    <n v="233.93"/>
  </r>
  <r>
    <s v="ORD04033"/>
    <d v="2026-04-23T00:00:00"/>
    <s v="CUST0418"/>
    <x v="2"/>
    <x v="5"/>
    <n v="2"/>
    <n v="0.05"/>
    <n v="20900"/>
    <n v="4366.17"/>
    <x v="0"/>
    <s v="Delivered"/>
    <n v="10450"/>
    <n v="20.89076555023923"/>
    <s v="Profit"/>
    <s v="Pooja Menon"/>
    <x v="2"/>
    <x v="1"/>
    <s v="Pune"/>
    <s v="Maharashtra"/>
    <s v="2023-08-14"/>
    <s v="18-25"/>
    <n v="2183.085"/>
  </r>
  <r>
    <s v="ORD04034"/>
    <d v="2025-11-30T00:00:00"/>
    <s v="CUST0332"/>
    <x v="2"/>
    <x v="5"/>
    <n v="2"/>
    <n v="0.15"/>
    <n v="18700"/>
    <n v="3642.06"/>
    <x v="3"/>
    <s v="Delivered"/>
    <n v="9350"/>
    <n v="19.476256684491979"/>
    <s v="Profit"/>
    <s v="Vikram Rao"/>
    <x v="1"/>
    <x v="0"/>
    <s v="Coimbatore"/>
    <s v="Tamil Nadu"/>
    <s v="2023-07-04"/>
    <s v="26-35"/>
    <n v="1821.03"/>
  </r>
  <r>
    <s v="ORD04035"/>
    <d v="2025-07-24T00:00:00"/>
    <s v="CUST0143"/>
    <x v="0"/>
    <x v="7"/>
    <n v="1"/>
    <n v="0.05"/>
    <n v="855"/>
    <n v="-414.88"/>
    <x v="1"/>
    <s v="Cancelled"/>
    <n v="855"/>
    <n v="-48.523976608187127"/>
    <s v="Loss"/>
    <s v="Ananya Naidu"/>
    <x v="2"/>
    <x v="0"/>
    <s v="Bengaluru"/>
    <s v="Karnataka"/>
    <s v="2023-04-11"/>
    <s v="36-50"/>
    <n v="-414.88"/>
  </r>
  <r>
    <s v="ORD04036"/>
    <d v="2025-09-13T00:00:00"/>
    <s v="CUST0376"/>
    <x v="0"/>
    <x v="0"/>
    <n v="1"/>
    <n v="0.2"/>
    <n v="11200"/>
    <n v="-6888.27"/>
    <x v="3"/>
    <s v="Returned"/>
    <n v="11200"/>
    <n v="-61.502410714285723"/>
    <s v="Loss"/>
    <s v="Ishaan Patel"/>
    <x v="0"/>
    <x v="3"/>
    <s v="Guwahati"/>
    <s v="Assam"/>
    <s v="2024-01-17"/>
    <s v="26-35"/>
    <n v="-6888.27"/>
  </r>
  <r>
    <s v="ORD04037"/>
    <d v="2026-03-29T00:00:00"/>
    <s v="CUST0324"/>
    <x v="0"/>
    <x v="0"/>
    <n v="3"/>
    <n v="0.05"/>
    <n v="39900"/>
    <n v="7373.6"/>
    <x v="1"/>
    <s v="Delivered"/>
    <n v="13300"/>
    <n v="18.48020050125313"/>
    <s v="Profit"/>
    <s v="Harini Sharma"/>
    <x v="2"/>
    <x v="2"/>
    <s v="Lucknow"/>
    <s v="Uttar Pradesh"/>
    <s v="2023-02-27"/>
    <s v="36-50"/>
    <n v="2457.8666666666668"/>
  </r>
  <r>
    <s v="ORD04038"/>
    <d v="2025-08-03T00:00:00"/>
    <s v="CUST0441"/>
    <x v="3"/>
    <x v="8"/>
    <n v="3"/>
    <n v="0.2"/>
    <n v="10800"/>
    <n v="2267.5100000000002"/>
    <x v="2"/>
    <s v="Delivered"/>
    <n v="3600"/>
    <n v="20.995462962962961"/>
    <s v="Profit"/>
    <s v="Arjun Joshi"/>
    <x v="0"/>
    <x v="0"/>
    <s v="Bengaluru"/>
    <s v="Karnataka"/>
    <s v="2024-05-10"/>
    <s v="18-25"/>
    <n v="755.8366666666667"/>
  </r>
  <r>
    <s v="ORD04039"/>
    <d v="2026-02-15T00:00:00"/>
    <s v="CUST0259"/>
    <x v="2"/>
    <x v="2"/>
    <n v="6"/>
    <n v="0.2"/>
    <n v="62400"/>
    <n v="11495.28"/>
    <x v="2"/>
    <s v="Delivered"/>
    <n v="10400"/>
    <n v="18.421923076923079"/>
    <s v="Profit"/>
    <s v="Manoj Menon"/>
    <x v="2"/>
    <x v="0"/>
    <s v="Coimbatore"/>
    <s v="Tamil Nadu"/>
    <s v="2023-10-20"/>
    <s v="26-35"/>
    <n v="1915.88"/>
  </r>
  <r>
    <s v="ORD04040"/>
    <d v="2025-12-05T00:00:00"/>
    <s v="CUST0398"/>
    <x v="1"/>
    <x v="12"/>
    <n v="4"/>
    <n v="0.2"/>
    <n v="4480"/>
    <n v="1101.69"/>
    <x v="0"/>
    <s v="Delivered"/>
    <n v="1120"/>
    <n v="24.59129464285715"/>
    <s v="Profit"/>
    <s v="Meera Gupta"/>
    <x v="1"/>
    <x v="3"/>
    <s v="Bhubaneswar"/>
    <s v="Odisha"/>
    <s v="2024-02-27"/>
    <s v="36-50"/>
    <n v="275.42250000000001"/>
  </r>
  <r>
    <s v="ORD04041"/>
    <d v="2026-05-25T00:00:00"/>
    <s v="CUST0093"/>
    <x v="2"/>
    <x v="9"/>
    <n v="2"/>
    <n v="0.15"/>
    <n v="15300"/>
    <n v="-9223.2800000000007"/>
    <x v="0"/>
    <s v="Returned"/>
    <n v="7650"/>
    <n v="-60.282875816993467"/>
    <s v="Loss"/>
    <s v="Sanjay Rao"/>
    <x v="0"/>
    <x v="3"/>
    <s v="Kolkata"/>
    <s v="West Bengal"/>
    <s v="2023-12-13"/>
    <s v="26-35"/>
    <n v="-4611.6400000000003"/>
  </r>
  <r>
    <s v="ORD04042"/>
    <d v="2025-11-11T00:00:00"/>
    <s v="CUST0346"/>
    <x v="3"/>
    <x v="11"/>
    <n v="1"/>
    <n v="0.1"/>
    <n v="2250"/>
    <n v="-202.33"/>
    <x v="2"/>
    <s v="Cancelled"/>
    <n v="2250"/>
    <n v="-8.9924444444444447"/>
    <s v="Loss"/>
    <s v="Aarav Iyer"/>
    <x v="0"/>
    <x v="1"/>
    <s v="Ahmedabad"/>
    <s v="Gujarat"/>
    <s v="2025-10-12"/>
    <s v="18-25"/>
    <n v="-202.33"/>
  </r>
  <r>
    <s v="ORD04043"/>
    <d v="2026-07-20T00:00:00"/>
    <s v="CUST0279"/>
    <x v="2"/>
    <x v="5"/>
    <n v="3"/>
    <n v="0.1"/>
    <n v="29700"/>
    <n v="6290.73"/>
    <x v="1"/>
    <s v="Delivered"/>
    <n v="9900"/>
    <n v="21.18090909090909"/>
    <s v="Profit"/>
    <s v="Aditya Bose"/>
    <x v="0"/>
    <x v="2"/>
    <s v="Delhi"/>
    <s v="Delhi"/>
    <s v="2024-04-09"/>
    <s v="26-35"/>
    <n v="2096.91"/>
  </r>
  <r>
    <s v="ORD04044"/>
    <d v="2026-02-22T00:00:00"/>
    <s v="CUST0536"/>
    <x v="0"/>
    <x v="14"/>
    <n v="3"/>
    <n v="0.15"/>
    <n v="1147.5"/>
    <n v="158.28"/>
    <x v="3"/>
    <s v="Delivered"/>
    <n v="382.5"/>
    <n v="13.793464052287581"/>
    <s v="Profit"/>
    <s v="Sneha Nair"/>
    <x v="2"/>
    <x v="2"/>
    <s v="Lucknow"/>
    <s v="Uttar Pradesh"/>
    <s v="2025-10-22"/>
    <s v="36-50"/>
    <n v="52.76"/>
  </r>
  <r>
    <s v="ORD04045"/>
    <d v="2025-10-08T00:00:00"/>
    <s v="CUST0258"/>
    <x v="1"/>
    <x v="1"/>
    <n v="2"/>
    <n v="0.2"/>
    <n v="2880"/>
    <n v="744.7"/>
    <x v="0"/>
    <s v="Delivered"/>
    <n v="1440"/>
    <n v="25.857638888888889"/>
    <s v="Profit"/>
    <s v="Priya Naidu"/>
    <x v="0"/>
    <x v="0"/>
    <s v="Bengaluru"/>
    <s v="Karnataka"/>
    <s v="2023-07-05"/>
    <s v="26-35"/>
    <n v="372.35"/>
  </r>
  <r>
    <s v="ORD04046"/>
    <d v="2026-06-19T00:00:00"/>
    <s v="CUST0012"/>
    <x v="0"/>
    <x v="14"/>
    <n v="1"/>
    <n v="0.3"/>
    <n v="315"/>
    <n v="7.24"/>
    <x v="3"/>
    <s v="Delivered"/>
    <n v="315"/>
    <n v="2.2984126984126991"/>
    <s v="Profit"/>
    <s v="Akash Nair"/>
    <x v="1"/>
    <x v="0"/>
    <s v="Chennai"/>
    <s v="Tamil Nadu"/>
    <s v="2025-11-27"/>
    <s v="36-50"/>
    <n v="7.24"/>
  </r>
  <r>
    <s v="ORD04047"/>
    <d v="2025-10-03T00:00:00"/>
    <s v="CUST0064"/>
    <x v="1"/>
    <x v="13"/>
    <n v="5"/>
    <n v="0.05"/>
    <n v="19950"/>
    <n v="5189.8500000000004"/>
    <x v="0"/>
    <s v="Delivered"/>
    <n v="3990"/>
    <n v="26.01428571428572"/>
    <s v="Profit"/>
    <s v="Diya Rao"/>
    <x v="1"/>
    <x v="0"/>
    <s v="Chennai"/>
    <s v="Tamil Nadu"/>
    <s v="2025-05-13"/>
    <s v="26-35"/>
    <n v="1037.97"/>
  </r>
  <r>
    <s v="ORD04048"/>
    <d v="2025-10-03T00:00:00"/>
    <s v="CUST0353"/>
    <x v="0"/>
    <x v="7"/>
    <n v="6"/>
    <n v="0"/>
    <n v="5400"/>
    <n v="1680"/>
    <x v="2"/>
    <s v="Delivered"/>
    <n v="900"/>
    <n v="31.111111111111111"/>
    <s v="Profit"/>
    <s v="Aditya Iyer"/>
    <x v="2"/>
    <x v="0"/>
    <s v="Hyderabad"/>
    <s v="Telangana"/>
    <s v="2024-08-21"/>
    <s v="36-50"/>
    <n v="280"/>
  </r>
  <r>
    <s v="ORD04049"/>
    <d v="2025-09-12T00:00:00"/>
    <s v="CUST0235"/>
    <x v="3"/>
    <x v="10"/>
    <n v="5"/>
    <n v="0.2"/>
    <n v="220000"/>
    <n v="12133.16"/>
    <x v="1"/>
    <s v="Delivered"/>
    <n v="44000"/>
    <n v="5.5150727272727273"/>
    <s v="Profit"/>
    <s v="Harini Gupta"/>
    <x v="0"/>
    <x v="1"/>
    <s v="Pune"/>
    <s v="Maharashtra"/>
    <s v="2024-04-09"/>
    <s v="26-35"/>
    <n v="2426.6320000000001"/>
  </r>
  <r>
    <s v="ORD04050"/>
    <d v="2025-09-05T00:00:00"/>
    <s v="CUST0523"/>
    <x v="3"/>
    <x v="4"/>
    <n v="2"/>
    <n v="0.3"/>
    <n v="25200"/>
    <n v="-2090.5"/>
    <x v="2"/>
    <s v="Delivered"/>
    <n v="12600"/>
    <n v="-8.2956349206349209"/>
    <s v="Loss"/>
    <s v="Vikram Kulkarni"/>
    <x v="0"/>
    <x v="2"/>
    <s v="Chandigarh"/>
    <s v="Chandigarh"/>
    <s v="2023-09-25"/>
    <s v="51+"/>
    <n v="-1045.25"/>
  </r>
  <r>
    <s v="ORD04051"/>
    <d v="2026-04-19T00:00:00"/>
    <s v="CUST0448"/>
    <x v="3"/>
    <x v="11"/>
    <n v="6"/>
    <n v="0"/>
    <n v="15000"/>
    <n v="4800"/>
    <x v="2"/>
    <s v="Shipped"/>
    <n v="2500"/>
    <n v="32"/>
    <s v="Profit"/>
    <s v="Meera Iyer"/>
    <x v="0"/>
    <x v="2"/>
    <s v="Jaipur"/>
    <s v="Rajasthan"/>
    <s v="2023-01-18"/>
    <s v="36-50"/>
    <n v="800"/>
  </r>
  <r>
    <s v="ORD04052"/>
    <d v="2025-12-03T00:00:00"/>
    <s v="CUST0587"/>
    <x v="3"/>
    <x v="4"/>
    <n v="5"/>
    <n v="0.05"/>
    <n v="85500"/>
    <n v="15244.07"/>
    <x v="2"/>
    <s v="Delivered"/>
    <n v="17100"/>
    <n v="17.829321637426901"/>
    <s v="Profit"/>
    <s v="Ishaan Kulkarni"/>
    <x v="2"/>
    <x v="3"/>
    <s v="Guwahati"/>
    <s v="Assam"/>
    <s v="2025-01-05"/>
    <s v="26-35"/>
    <n v="3048.8139999999999"/>
  </r>
  <r>
    <s v="ORD04053"/>
    <d v="2026-05-15T00:00:00"/>
    <s v="CUST0385"/>
    <x v="2"/>
    <x v="3"/>
    <n v="6"/>
    <n v="0.05"/>
    <n v="85500"/>
    <n v="17845.150000000001"/>
    <x v="3"/>
    <s v="Shipped"/>
    <n v="14250"/>
    <n v="20.871520467836259"/>
    <s v="Profit"/>
    <s v="Karthik Singh"/>
    <x v="0"/>
    <x v="0"/>
    <s v="Coimbatore"/>
    <s v="Tamil Nadu"/>
    <s v="2023-06-06"/>
    <s v="26-35"/>
    <n v="2974.1916666666671"/>
  </r>
  <r>
    <s v="ORD04054"/>
    <d v="2026-06-22T00:00:00"/>
    <s v="CUST0185"/>
    <x v="1"/>
    <x v="12"/>
    <n v="1"/>
    <n v="0.1"/>
    <n v="1260"/>
    <n v="416.33"/>
    <x v="3"/>
    <s v="Delivered"/>
    <n v="1260"/>
    <n v="33.042063492063491"/>
    <s v="Profit"/>
    <s v="Karthik Mehta"/>
    <x v="2"/>
    <x v="2"/>
    <s v="Chandigarh"/>
    <s v="Chandigarh"/>
    <s v="2025-01-12"/>
    <s v="36-50"/>
    <n v="416.33"/>
  </r>
  <r>
    <s v="ORD04055"/>
    <d v="2025-12-09T00:00:00"/>
    <s v="CUST0531"/>
    <x v="2"/>
    <x v="2"/>
    <n v="3"/>
    <n v="0.05"/>
    <n v="37050"/>
    <n v="8059.08"/>
    <x v="2"/>
    <s v="Delivered"/>
    <n v="12350"/>
    <n v="21.751902834008099"/>
    <s v="Profit"/>
    <s v="Kavya Mishra"/>
    <x v="2"/>
    <x v="0"/>
    <s v="Coimbatore"/>
    <s v="Tamil Nadu"/>
    <s v="2023-10-06"/>
    <s v="26-35"/>
    <n v="2686.36"/>
  </r>
  <r>
    <s v="ORD04056"/>
    <d v="2025-11-18T00:00:00"/>
    <s v="CUST0021"/>
    <x v="1"/>
    <x v="12"/>
    <n v="4"/>
    <n v="0.05"/>
    <n v="5320"/>
    <n v="1826.37"/>
    <x v="1"/>
    <s v="Delivered"/>
    <n v="1330"/>
    <n v="34.330263157894727"/>
    <s v="Profit"/>
    <s v="Varun Nair"/>
    <x v="2"/>
    <x v="1"/>
    <s v="Ahmedabad"/>
    <s v="Gujarat"/>
    <s v="2025-11-12"/>
    <s v="36-50"/>
    <n v="456.59249999999997"/>
  </r>
  <r>
    <s v="ORD04057"/>
    <d v="2025-08-27T00:00:00"/>
    <s v="CUST0298"/>
    <x v="0"/>
    <x v="0"/>
    <n v="6"/>
    <n v="0.2"/>
    <n v="67200"/>
    <n v="7216.27"/>
    <x v="2"/>
    <s v="Delivered"/>
    <n v="11200"/>
    <n v="10.738497023809529"/>
    <s v="Profit"/>
    <s v="Diya Joshi"/>
    <x v="0"/>
    <x v="0"/>
    <s v="Chennai"/>
    <s v="Tamil Nadu"/>
    <s v="2025-01-10"/>
    <s v="18-25"/>
    <n v="1202.711666666667"/>
  </r>
  <r>
    <s v="ORD04058"/>
    <d v="2025-10-20T00:00:00"/>
    <s v="CUST0574"/>
    <x v="2"/>
    <x v="2"/>
    <n v="2"/>
    <n v="0"/>
    <n v="26000"/>
    <n v="6400"/>
    <x v="2"/>
    <s v="Delivered"/>
    <n v="13000"/>
    <n v="24.61538461538462"/>
    <s v="Profit"/>
    <s v="Akash Kulkarni"/>
    <x v="1"/>
    <x v="1"/>
    <s v="Pune"/>
    <s v="Maharashtra"/>
    <s v="2025-11-01"/>
    <s v="51+"/>
    <n v="3200"/>
  </r>
  <r>
    <s v="ORD04059"/>
    <d v="2025-09-24T00:00:00"/>
    <s v="CUST0516"/>
    <x v="1"/>
    <x v="15"/>
    <n v="6"/>
    <n v="0.1"/>
    <n v="11880"/>
    <n v="3704.71"/>
    <x v="1"/>
    <s v="Delivered"/>
    <n v="1980"/>
    <n v="31.184427609427608"/>
    <s v="Profit"/>
    <s v="Rahul Mishra"/>
    <x v="1"/>
    <x v="0"/>
    <s v="Hyderabad"/>
    <s v="Telangana"/>
    <s v="2024-01-31"/>
    <s v="26-35"/>
    <n v="617.45166666666671"/>
  </r>
  <r>
    <s v="ORD04060"/>
    <d v="2025-10-04T00:00:00"/>
    <s v="CUST0031"/>
    <x v="0"/>
    <x v="14"/>
    <n v="3"/>
    <n v="0.1"/>
    <n v="1215"/>
    <n v="233.52"/>
    <x v="2"/>
    <s v="Delivered"/>
    <n v="405"/>
    <n v="19.21975308641975"/>
    <s v="Profit"/>
    <s v="Priya Mishra"/>
    <x v="2"/>
    <x v="0"/>
    <s v="Bengaluru"/>
    <s v="Karnataka"/>
    <s v="2023-05-09"/>
    <s v="51+"/>
    <n v="77.84"/>
  </r>
  <r>
    <s v="ORD04061"/>
    <d v="2025-11-11T00:00:00"/>
    <s v="CUST0535"/>
    <x v="1"/>
    <x v="13"/>
    <n v="6"/>
    <n v="0.05"/>
    <n v="23940"/>
    <n v="6566.72"/>
    <x v="3"/>
    <s v="Delivered"/>
    <n v="3990"/>
    <n v="27.429908103592311"/>
    <s v="Profit"/>
    <s v="Sanjay Reddy"/>
    <x v="0"/>
    <x v="0"/>
    <s v="Bengaluru"/>
    <s v="Karnataka"/>
    <s v="2024-03-17"/>
    <s v="18-25"/>
    <n v="1094.4533333333329"/>
  </r>
  <r>
    <s v="ORD04062"/>
    <d v="2025-07-11T00:00:00"/>
    <s v="CUST0564"/>
    <x v="0"/>
    <x v="0"/>
    <n v="1"/>
    <n v="0"/>
    <n v="14000"/>
    <n v="-4105.6499999999996"/>
    <x v="3"/>
    <s v="Cancelled"/>
    <n v="14000"/>
    <n v="-29.326071428571431"/>
    <s v="Loss"/>
    <s v="Aditya Joshi"/>
    <x v="2"/>
    <x v="3"/>
    <s v="Guwahati"/>
    <s v="Assam"/>
    <s v="2025-12-19"/>
    <s v="51+"/>
    <n v="-4105.6499999999996"/>
  </r>
  <r>
    <s v="ORD04063"/>
    <d v="2025-10-27T00:00:00"/>
    <s v="CUST0168"/>
    <x v="2"/>
    <x v="2"/>
    <n v="1"/>
    <n v="0.15"/>
    <n v="11050"/>
    <n v="1882.92"/>
    <x v="1"/>
    <s v="Delivered"/>
    <n v="11050"/>
    <n v="17.04"/>
    <s v="Profit"/>
    <s v="Shreya Sharma"/>
    <x v="1"/>
    <x v="1"/>
    <s v="Ahmedabad"/>
    <s v="Gujarat"/>
    <s v="2025-04-13"/>
    <s v="51+"/>
    <n v="1882.92"/>
  </r>
  <r>
    <s v="ORD04064"/>
    <d v="2025-11-24T00:00:00"/>
    <s v="CUST0378"/>
    <x v="2"/>
    <x v="3"/>
    <n v="1"/>
    <n v="0.2"/>
    <n v="12000"/>
    <n v="1108.3399999999999"/>
    <x v="1"/>
    <s v="Shipped"/>
    <n v="12000"/>
    <n v="9.2361666666666657"/>
    <s v="Profit"/>
    <s v="Aarav Joshi"/>
    <x v="2"/>
    <x v="0"/>
    <s v="Bengaluru"/>
    <s v="Karnataka"/>
    <s v="2025-12-14"/>
    <s v="26-35"/>
    <n v="1108.3399999999999"/>
  </r>
  <r>
    <s v="ORD04065"/>
    <d v="2025-12-30T00:00:00"/>
    <s v="CUST0292"/>
    <x v="3"/>
    <x v="10"/>
    <n v="1"/>
    <n v="0"/>
    <n v="55000"/>
    <n v="9000"/>
    <x v="0"/>
    <s v="Delivered"/>
    <n v="55000"/>
    <n v="16.36363636363636"/>
    <s v="Profit"/>
    <s v="Sanjay Khan"/>
    <x v="0"/>
    <x v="0"/>
    <s v="Bengaluru"/>
    <s v="Karnataka"/>
    <s v="2023-07-05"/>
    <s v="26-35"/>
    <n v="9000"/>
  </r>
  <r>
    <s v="ORD04066"/>
    <d v="2025-11-15T00:00:00"/>
    <s v="CUST0138"/>
    <x v="3"/>
    <x v="10"/>
    <n v="3"/>
    <n v="0.05"/>
    <n v="156750"/>
    <n v="22802.44"/>
    <x v="0"/>
    <s v="Delivered"/>
    <n v="52250"/>
    <n v="14.54701116427432"/>
    <s v="Profit"/>
    <s v="Diya Bose"/>
    <x v="2"/>
    <x v="2"/>
    <s v="Chandigarh"/>
    <s v="Chandigarh"/>
    <s v="2025-04-15"/>
    <s v="51+"/>
    <n v="7600.8133333333326"/>
  </r>
  <r>
    <s v="ORD04067"/>
    <d v="2026-07-09T00:00:00"/>
    <s v="CUST0066"/>
    <x v="3"/>
    <x v="10"/>
    <n v="2"/>
    <n v="0.1"/>
    <n v="99000"/>
    <n v="11230.75"/>
    <x v="1"/>
    <s v="Delivered"/>
    <n v="49500"/>
    <n v="11.344191919191919"/>
    <s v="Profit"/>
    <s v="Aarav Gupta"/>
    <x v="0"/>
    <x v="2"/>
    <s v="Jaipur"/>
    <s v="Rajasthan"/>
    <s v="2024-06-18"/>
    <s v="51+"/>
    <n v="5615.375"/>
  </r>
  <r>
    <s v="ORD04068"/>
    <d v="2026-05-26T00:00:00"/>
    <s v="CUST0508"/>
    <x v="1"/>
    <x v="12"/>
    <n v="4"/>
    <n v="0.05"/>
    <n v="5320"/>
    <n v="1824.86"/>
    <x v="2"/>
    <s v="Delivered"/>
    <n v="1330"/>
    <n v="34.301879699248119"/>
    <s v="Profit"/>
    <s v="Karthik Naidu"/>
    <x v="0"/>
    <x v="3"/>
    <s v="Guwahati"/>
    <s v="Assam"/>
    <s v="2024-10-11"/>
    <s v="18-25"/>
    <n v="456.21499999999997"/>
  </r>
  <r>
    <s v="ORD04069"/>
    <d v="2025-07-06T00:00:00"/>
    <s v="CUST0523"/>
    <x v="2"/>
    <x v="2"/>
    <n v="1"/>
    <n v="0"/>
    <n v="13000"/>
    <n v="3200"/>
    <x v="3"/>
    <s v="Delivered"/>
    <n v="13000"/>
    <n v="24.61538461538462"/>
    <s v="Profit"/>
    <s v="Vikram Kulkarni"/>
    <x v="0"/>
    <x v="2"/>
    <s v="Chandigarh"/>
    <s v="Chandigarh"/>
    <s v="2023-09-25"/>
    <s v="51+"/>
    <n v="3200"/>
  </r>
  <r>
    <s v="ORD04070"/>
    <d v="2025-12-18T00:00:00"/>
    <s v="CUST0128"/>
    <x v="1"/>
    <x v="13"/>
    <n v="1"/>
    <n v="0.15"/>
    <n v="3570"/>
    <n v="794.61"/>
    <x v="1"/>
    <s v="Delivered"/>
    <n v="3570"/>
    <n v="22.257983193277308"/>
    <s v="Profit"/>
    <s v="Sneha Mishra"/>
    <x v="2"/>
    <x v="0"/>
    <s v="Chennai"/>
    <s v="Tamil Nadu"/>
    <s v="2024-09-12"/>
    <s v="36-50"/>
    <n v="794.61"/>
  </r>
  <r>
    <s v="ORD04071"/>
    <d v="2026-04-11T00:00:00"/>
    <s v="CUST0260"/>
    <x v="2"/>
    <x v="2"/>
    <n v="4"/>
    <n v="0.05"/>
    <n v="49400"/>
    <n v="11174.26"/>
    <x v="0"/>
    <s v="Delivered"/>
    <n v="12350"/>
    <n v="22.619959514170041"/>
    <s v="Profit"/>
    <s v="Harini Khan"/>
    <x v="0"/>
    <x v="3"/>
    <s v="Bhubaneswar"/>
    <s v="Odisha"/>
    <s v="2023-01-28"/>
    <s v="26-35"/>
    <n v="2793.5650000000001"/>
  </r>
  <r>
    <s v="ORD04072"/>
    <d v="2025-12-25T00:00:00"/>
    <s v="CUST0592"/>
    <x v="0"/>
    <x v="6"/>
    <n v="1"/>
    <n v="0.1"/>
    <n v="315"/>
    <n v="100.58"/>
    <x v="0"/>
    <s v="Delivered"/>
    <n v="315"/>
    <n v="31.93015873015873"/>
    <s v="Profit"/>
    <s v="Priya Kulkarni"/>
    <x v="0"/>
    <x v="3"/>
    <s v="Patna"/>
    <s v="Bihar"/>
    <s v="2023-07-25"/>
    <s v="26-35"/>
    <n v="100.58"/>
  </r>
  <r>
    <s v="ORD04073"/>
    <d v="2025-07-27T00:00:00"/>
    <s v="CUST0464"/>
    <x v="2"/>
    <x v="3"/>
    <n v="2"/>
    <n v="0.1"/>
    <n v="27000"/>
    <n v="4943.9399999999996"/>
    <x v="1"/>
    <s v="Delivered"/>
    <n v="13500"/>
    <n v="18.31088888888889"/>
    <s v="Profit"/>
    <s v="Arjun Gupta"/>
    <x v="2"/>
    <x v="2"/>
    <s v="Jaipur"/>
    <s v="Rajasthan"/>
    <s v="2024-06-16"/>
    <s v="36-50"/>
    <n v="2471.9699999999998"/>
  </r>
  <r>
    <s v="ORD04074"/>
    <d v="2026-02-03T00:00:00"/>
    <s v="CUST0261"/>
    <x v="2"/>
    <x v="5"/>
    <n v="1"/>
    <n v="0.05"/>
    <n v="10450"/>
    <n v="-1193"/>
    <x v="1"/>
    <s v="Returned"/>
    <n v="10450"/>
    <n v="-11.41626794258373"/>
    <s v="Loss"/>
    <s v="Lakshmi Joshi"/>
    <x v="1"/>
    <x v="1"/>
    <s v="Pune"/>
    <s v="Maharashtra"/>
    <s v="2024-05-26"/>
    <s v="36-50"/>
    <n v="-1193"/>
  </r>
  <r>
    <s v="ORD04075"/>
    <d v="2026-06-16T00:00:00"/>
    <s v="CUST0149"/>
    <x v="0"/>
    <x v="7"/>
    <n v="5"/>
    <n v="0.3"/>
    <n v="3150"/>
    <n v="777.61"/>
    <x v="1"/>
    <s v="Delivered"/>
    <n v="630"/>
    <n v="24.686031746031752"/>
    <s v="Profit"/>
    <s v="Diya Pillai"/>
    <x v="1"/>
    <x v="3"/>
    <s v="Kolkata"/>
    <s v="West Bengal"/>
    <s v="2024-09-28"/>
    <s v="36-50"/>
    <n v="155.52199999999999"/>
  </r>
  <r>
    <s v="ORD04076"/>
    <d v="2026-08-12T00:00:00"/>
    <s v="CUST0228"/>
    <x v="0"/>
    <x v="14"/>
    <n v="4"/>
    <n v="0"/>
    <n v="1800"/>
    <n v="440"/>
    <x v="3"/>
    <s v="Delivered"/>
    <n v="450"/>
    <n v="24.444444444444439"/>
    <s v="Profit"/>
    <s v="Rohan Reddy"/>
    <x v="2"/>
    <x v="0"/>
    <s v="Coimbatore"/>
    <s v="Tamil Nadu"/>
    <s v="2025-11-28"/>
    <s v="36-50"/>
    <n v="110"/>
  </r>
  <r>
    <s v="ORD04077"/>
    <d v="2025-07-24T00:00:00"/>
    <s v="CUST0540"/>
    <x v="1"/>
    <x v="1"/>
    <n v="1"/>
    <n v="0"/>
    <n v="1800"/>
    <n v="650"/>
    <x v="0"/>
    <s v="Shipped"/>
    <n v="1800"/>
    <n v="36.111111111111107"/>
    <s v="Profit"/>
    <s v="Kavya Rao"/>
    <x v="0"/>
    <x v="0"/>
    <s v="Chennai"/>
    <s v="Tamil Nadu"/>
    <s v="2023-09-30"/>
    <s v="18-25"/>
    <n v="650"/>
  </r>
  <r>
    <s v="ORD04078"/>
    <d v="2025-12-16T00:00:00"/>
    <s v="CUST0174"/>
    <x v="1"/>
    <x v="1"/>
    <n v="2"/>
    <n v="0"/>
    <n v="3600"/>
    <n v="-971.66"/>
    <x v="1"/>
    <s v="Returned"/>
    <n v="1800"/>
    <n v="-26.990555555555559"/>
    <s v="Loss"/>
    <s v="Sneha Mehta"/>
    <x v="1"/>
    <x v="3"/>
    <s v="Patna"/>
    <s v="Bihar"/>
    <s v="2025-05-15"/>
    <s v="26-35"/>
    <n v="-485.83"/>
  </r>
  <r>
    <s v="ORD04079"/>
    <d v="2025-07-27T00:00:00"/>
    <s v="CUST0053"/>
    <x v="3"/>
    <x v="4"/>
    <n v="1"/>
    <n v="0"/>
    <n v="18000"/>
    <n v="-5364.13"/>
    <x v="0"/>
    <s v="Returned"/>
    <n v="18000"/>
    <n v="-29.80072222222222"/>
    <s v="Loss"/>
    <s v="Aarav Menon"/>
    <x v="2"/>
    <x v="1"/>
    <s v="Pune"/>
    <s v="Maharashtra"/>
    <s v="2025-06-23"/>
    <s v="26-35"/>
    <n v="-5364.13"/>
  </r>
  <r>
    <s v="ORD04080"/>
    <d v="2025-11-25T00:00:00"/>
    <s v="CUST0168"/>
    <x v="3"/>
    <x v="4"/>
    <n v="3"/>
    <n v="0"/>
    <n v="54000"/>
    <n v="10500"/>
    <x v="1"/>
    <s v="Delivered"/>
    <n v="18000"/>
    <n v="19.44444444444445"/>
    <s v="Profit"/>
    <s v="Shreya Sharma"/>
    <x v="1"/>
    <x v="1"/>
    <s v="Ahmedabad"/>
    <s v="Gujarat"/>
    <s v="2025-04-13"/>
    <s v="51+"/>
    <n v="3500"/>
  </r>
  <r>
    <s v="ORD04081"/>
    <d v="2026-04-30T00:00:00"/>
    <s v="CUST0082"/>
    <x v="0"/>
    <x v="6"/>
    <n v="2"/>
    <n v="0.1"/>
    <n v="630"/>
    <n v="187.57"/>
    <x v="2"/>
    <s v="Delivered"/>
    <n v="315"/>
    <n v="29.773015873015868"/>
    <s v="Profit"/>
    <s v="Sneha Singh"/>
    <x v="2"/>
    <x v="3"/>
    <s v="Patna"/>
    <s v="Bihar"/>
    <s v="2024-05-04"/>
    <s v="36-50"/>
    <n v="93.784999999999997"/>
  </r>
  <r>
    <s v="ORD04082"/>
    <d v="2025-11-06T00:00:00"/>
    <s v="CUST0176"/>
    <x v="3"/>
    <x v="8"/>
    <n v="1"/>
    <n v="0.1"/>
    <n v="4050"/>
    <n v="1285.27"/>
    <x v="1"/>
    <s v="Delivered"/>
    <n v="4050"/>
    <n v="31.73506172839506"/>
    <s v="Profit"/>
    <s v="Diya Patel"/>
    <x v="0"/>
    <x v="2"/>
    <s v="Jaipur"/>
    <s v="Rajasthan"/>
    <s v="2023-08-21"/>
    <s v="26-35"/>
    <n v="1285.27"/>
  </r>
  <r>
    <s v="ORD04083"/>
    <d v="2026-03-13T00:00:00"/>
    <s v="CUST0022"/>
    <x v="1"/>
    <x v="13"/>
    <n v="2"/>
    <n v="0.3"/>
    <n v="5880"/>
    <n v="657.98"/>
    <x v="1"/>
    <s v="Delivered"/>
    <n v="2940"/>
    <n v="11.190136054421769"/>
    <s v="Profit"/>
    <s v="Diya Kulkarni"/>
    <x v="0"/>
    <x v="3"/>
    <s v="Kolkata"/>
    <s v="West Bengal"/>
    <s v="2025-02-13"/>
    <s v="18-25"/>
    <n v="328.99"/>
  </r>
  <r>
    <s v="ORD04084"/>
    <d v="2025-11-14T00:00:00"/>
    <s v="CUST0523"/>
    <x v="3"/>
    <x v="11"/>
    <n v="1"/>
    <n v="0.15"/>
    <n v="2125"/>
    <n v="579.79999999999995"/>
    <x v="1"/>
    <s v="Delivered"/>
    <n v="2125"/>
    <n v="27.284705882352942"/>
    <s v="Profit"/>
    <s v="Vikram Kulkarni"/>
    <x v="0"/>
    <x v="2"/>
    <s v="Chandigarh"/>
    <s v="Chandigarh"/>
    <s v="2023-09-25"/>
    <s v="51+"/>
    <n v="579.79999999999995"/>
  </r>
  <r>
    <s v="ORD04085"/>
    <d v="2025-08-06T00:00:00"/>
    <s v="CUST0073"/>
    <x v="3"/>
    <x v="8"/>
    <n v="2"/>
    <n v="0"/>
    <n v="9000"/>
    <n v="3000"/>
    <x v="0"/>
    <s v="Delivered"/>
    <n v="4500"/>
    <n v="33.333333333333329"/>
    <s v="Profit"/>
    <s v="Kavya Pillai"/>
    <x v="0"/>
    <x v="0"/>
    <s v="Hyderabad"/>
    <s v="Telangana"/>
    <s v="2023-04-01"/>
    <s v="26-35"/>
    <n v="1500"/>
  </r>
  <r>
    <s v="ORD04086"/>
    <d v="2026-08-01T00:00:00"/>
    <s v="CUST0223"/>
    <x v="2"/>
    <x v="3"/>
    <n v="2"/>
    <n v="0.3"/>
    <n v="21000"/>
    <n v="1891.04"/>
    <x v="3"/>
    <s v="Delivered"/>
    <n v="10500"/>
    <n v="9.0049523809523802"/>
    <s v="Profit"/>
    <s v="Akash Bose"/>
    <x v="0"/>
    <x v="0"/>
    <s v="Chennai"/>
    <s v="Tamil Nadu"/>
    <s v="2023-12-31"/>
    <s v="18-25"/>
    <n v="945.52"/>
  </r>
  <r>
    <s v="ORD04087"/>
    <d v="2025-10-24T00:00:00"/>
    <s v="CUST0169"/>
    <x v="0"/>
    <x v="14"/>
    <n v="2"/>
    <n v="0.1"/>
    <n v="810"/>
    <n v="176.18"/>
    <x v="3"/>
    <s v="Delivered"/>
    <n v="405"/>
    <n v="21.750617283950621"/>
    <s v="Profit"/>
    <s v="Sneha Bose"/>
    <x v="0"/>
    <x v="0"/>
    <s v="Hyderabad"/>
    <s v="Telangana"/>
    <s v="2024-09-10"/>
    <s v="26-35"/>
    <n v="88.09"/>
  </r>
  <r>
    <s v="ORD04088"/>
    <d v="2026-01-10T00:00:00"/>
    <s v="CUST0173"/>
    <x v="3"/>
    <x v="10"/>
    <n v="3"/>
    <n v="0.1"/>
    <n v="148500"/>
    <n v="14711.17"/>
    <x v="0"/>
    <s v="Shipped"/>
    <n v="49500"/>
    <n v="9.9065117845117854"/>
    <s v="Profit"/>
    <s v="Rohan Rao"/>
    <x v="1"/>
    <x v="0"/>
    <s v="Bengaluru"/>
    <s v="Karnataka"/>
    <s v="2024-03-17"/>
    <s v="18-25"/>
    <n v="4903.7233333333334"/>
  </r>
  <r>
    <s v="ORD04089"/>
    <d v="2026-06-09T00:00:00"/>
    <s v="CUST0359"/>
    <x v="2"/>
    <x v="5"/>
    <n v="2"/>
    <n v="0"/>
    <n v="22000"/>
    <n v="5200"/>
    <x v="3"/>
    <s v="Delivered"/>
    <n v="11000"/>
    <n v="23.63636363636364"/>
    <s v="Profit"/>
    <s v="Ananya Mishra"/>
    <x v="0"/>
    <x v="0"/>
    <s v="Bengaluru"/>
    <s v="Karnataka"/>
    <s v="2024-05-22"/>
    <s v="26-35"/>
    <n v="2600"/>
  </r>
  <r>
    <s v="ORD04090"/>
    <d v="2026-08-05T00:00:00"/>
    <s v="CUST0550"/>
    <x v="0"/>
    <x v="0"/>
    <n v="2"/>
    <n v="0.05"/>
    <n v="26600"/>
    <n v="4802.08"/>
    <x v="0"/>
    <s v="Shipped"/>
    <n v="13300"/>
    <n v="18.052932330827069"/>
    <s v="Profit"/>
    <s v="Sneha Pillai"/>
    <x v="0"/>
    <x v="1"/>
    <s v="Mumbai"/>
    <s v="Maharashtra"/>
    <s v="2025-02-28"/>
    <s v="36-50"/>
    <n v="2401.04"/>
  </r>
  <r>
    <s v="ORD04091"/>
    <d v="2026-05-04T00:00:00"/>
    <s v="CUST0489"/>
    <x v="2"/>
    <x v="5"/>
    <n v="4"/>
    <n v="0"/>
    <n v="44000"/>
    <n v="10400"/>
    <x v="1"/>
    <s v="Shipped"/>
    <n v="11000"/>
    <n v="23.63636363636364"/>
    <s v="Profit"/>
    <s v="Kavya Das"/>
    <x v="0"/>
    <x v="0"/>
    <s v="Coimbatore"/>
    <s v="Tamil Nadu"/>
    <s v="2024-03-29"/>
    <s v="26-35"/>
    <n v="2600"/>
  </r>
  <r>
    <s v="ORD04092"/>
    <d v="2026-03-03T00:00:00"/>
    <s v="CUST0250"/>
    <x v="3"/>
    <x v="11"/>
    <n v="3"/>
    <n v="0.1"/>
    <n v="6750"/>
    <n v="-1381.7"/>
    <x v="1"/>
    <s v="Cancelled"/>
    <n v="2250"/>
    <n v="-20.46962962962963"/>
    <s v="Loss"/>
    <s v="Sanjay Das"/>
    <x v="1"/>
    <x v="1"/>
    <s v="Ahmedabad"/>
    <s v="Gujarat"/>
    <s v="2024-08-01"/>
    <s v="26-35"/>
    <n v="-460.56666666666672"/>
  </r>
  <r>
    <s v="ORD04093"/>
    <d v="2026-08-23T00:00:00"/>
    <s v="CUST0561"/>
    <x v="0"/>
    <x v="7"/>
    <n v="5"/>
    <n v="0.05"/>
    <n v="4275"/>
    <n v="1211.05"/>
    <x v="0"/>
    <s v="Delivered"/>
    <n v="855"/>
    <n v="28.32865497076023"/>
    <s v="Profit"/>
    <s v="Harini Joshi"/>
    <x v="1"/>
    <x v="0"/>
    <s v="Coimbatore"/>
    <s v="Tamil Nadu"/>
    <s v="2023-09-10"/>
    <s v="26-35"/>
    <n v="242.21"/>
  </r>
  <r>
    <s v="ORD04094"/>
    <d v="2026-03-17T00:00:00"/>
    <s v="CUST0039"/>
    <x v="0"/>
    <x v="6"/>
    <n v="6"/>
    <n v="0.1"/>
    <n v="1890"/>
    <n v="560.67999999999995"/>
    <x v="0"/>
    <s v="Delivered"/>
    <n v="315"/>
    <n v="29.665608465608461"/>
    <s v="Profit"/>
    <s v="Varun Joshi"/>
    <x v="0"/>
    <x v="0"/>
    <s v="Coimbatore"/>
    <s v="Tamil Nadu"/>
    <s v="2025-08-21"/>
    <s v="51+"/>
    <n v="93.446666666666658"/>
  </r>
  <r>
    <s v="ORD04095"/>
    <d v="2026-07-07T00:00:00"/>
    <s v="CUST0067"/>
    <x v="2"/>
    <x v="2"/>
    <n v="3"/>
    <n v="0.05"/>
    <n v="37050"/>
    <n v="8429.1200000000008"/>
    <x v="0"/>
    <s v="Delivered"/>
    <n v="12350"/>
    <n v="22.750661268556009"/>
    <s v="Profit"/>
    <s v="Varun Joshi"/>
    <x v="0"/>
    <x v="0"/>
    <s v="Chennai"/>
    <s v="Tamil Nadu"/>
    <s v="2024-10-29"/>
    <s v="26-35"/>
    <n v="2809.7066666666669"/>
  </r>
  <r>
    <s v="ORD04096"/>
    <d v="2026-05-10T00:00:00"/>
    <s v="CUST0182"/>
    <x v="1"/>
    <x v="12"/>
    <n v="3"/>
    <n v="0"/>
    <n v="4200"/>
    <n v="1500"/>
    <x v="1"/>
    <s v="Delivered"/>
    <n v="1400"/>
    <n v="35.714285714285722"/>
    <s v="Profit"/>
    <s v="Shreya Iyer"/>
    <x v="2"/>
    <x v="3"/>
    <s v="Patna"/>
    <s v="Bihar"/>
    <s v="2023-07-03"/>
    <s v="36-50"/>
    <n v="500"/>
  </r>
  <r>
    <s v="ORD04097"/>
    <d v="2026-02-15T00:00:00"/>
    <s v="CUST0045"/>
    <x v="3"/>
    <x v="4"/>
    <n v="4"/>
    <n v="0"/>
    <n v="72000"/>
    <n v="14000"/>
    <x v="2"/>
    <s v="Delivered"/>
    <n v="18000"/>
    <n v="19.44444444444445"/>
    <s v="Profit"/>
    <s v="Sanjay Nair"/>
    <x v="0"/>
    <x v="1"/>
    <s v="Surat"/>
    <s v="Gujarat"/>
    <s v="2024-10-17"/>
    <s v="26-35"/>
    <n v="3500"/>
  </r>
  <r>
    <s v="ORD04098"/>
    <d v="2026-07-25T00:00:00"/>
    <s v="CUST0031"/>
    <x v="2"/>
    <x v="2"/>
    <n v="1"/>
    <n v="0.1"/>
    <n v="11700"/>
    <n v="2168.13"/>
    <x v="1"/>
    <s v="Delivered"/>
    <n v="11700"/>
    <n v="18.531025641025639"/>
    <s v="Profit"/>
    <s v="Priya Mishra"/>
    <x v="2"/>
    <x v="0"/>
    <s v="Bengaluru"/>
    <s v="Karnataka"/>
    <s v="2023-05-09"/>
    <s v="51+"/>
    <n v="2168.13"/>
  </r>
  <r>
    <s v="ORD04099"/>
    <d v="2025-09-18T00:00:00"/>
    <s v="CUST0345"/>
    <x v="1"/>
    <x v="12"/>
    <n v="1"/>
    <n v="0"/>
    <n v="1400"/>
    <n v="-590.20000000000005"/>
    <x v="2"/>
    <s v="Returned"/>
    <n v="1400"/>
    <n v="-42.157142857142858"/>
    <s v="Loss"/>
    <s v="Pooja Iyer"/>
    <x v="1"/>
    <x v="3"/>
    <s v="Guwahati"/>
    <s v="Assam"/>
    <s v="2023-09-04"/>
    <s v="26-35"/>
    <n v="-590.20000000000005"/>
  </r>
  <r>
    <s v="ORD04100"/>
    <d v="2025-07-08T00:00:00"/>
    <s v="CUST0187"/>
    <x v="3"/>
    <x v="8"/>
    <n v="2"/>
    <n v="0.05"/>
    <n v="8550"/>
    <n v="23.44"/>
    <x v="3"/>
    <s v="Returned"/>
    <n v="4275"/>
    <n v="0.27415204678362581"/>
    <s v="Profit"/>
    <s v="Nisha Bose"/>
    <x v="0"/>
    <x v="1"/>
    <s v="Mumbai"/>
    <s v="Maharashtra"/>
    <s v="2025-12-11"/>
    <s v="51+"/>
    <n v="11.72"/>
  </r>
  <r>
    <s v="ORD04101"/>
    <d v="2026-08-02T00:00:00"/>
    <s v="CUST0254"/>
    <x v="0"/>
    <x v="6"/>
    <n v="2"/>
    <n v="0.2"/>
    <n v="560"/>
    <n v="-75000"/>
    <x v="0"/>
    <s v="Delivered"/>
    <n v="280"/>
    <n v="-13392.857142857139"/>
    <s v="Loss"/>
    <s v="Sneha Mishra"/>
    <x v="1"/>
    <x v="2"/>
    <s v="Jaipur"/>
    <s v="Rajasthan"/>
    <s v="2025-05-30"/>
    <s v="36-50"/>
    <n v="-37500"/>
  </r>
  <r>
    <s v="ORD04102"/>
    <d v="2026-01-16T00:00:00"/>
    <s v="CUST0057"/>
    <x v="2"/>
    <x v="5"/>
    <n v="6"/>
    <n v="0.1"/>
    <n v="59400"/>
    <n v="10464.99"/>
    <x v="2"/>
    <s v="Delivered"/>
    <n v="9900"/>
    <n v="17.617828282828281"/>
    <s v="Profit"/>
    <s v="Akash Singh"/>
    <x v="2"/>
    <x v="2"/>
    <s v="Chandigarh"/>
    <s v="Chandigarh"/>
    <s v="2024-12-21"/>
    <s v="26-35"/>
    <n v="1744.165"/>
  </r>
  <r>
    <s v="ORD04103"/>
    <d v="2025-09-17T00:00:00"/>
    <s v="CUST0469"/>
    <x v="0"/>
    <x v="7"/>
    <n v="3"/>
    <n v="0.15"/>
    <n v="2295"/>
    <n v="520.41"/>
    <x v="0"/>
    <s v="Delivered"/>
    <n v="765"/>
    <n v="22.67581699346405"/>
    <s v="Profit"/>
    <s v="Kavya Khan"/>
    <x v="1"/>
    <x v="3"/>
    <s v="Bhubaneswar"/>
    <s v="Odisha"/>
    <s v="2025-06-06"/>
    <s v="26-35"/>
    <n v="173.47"/>
  </r>
  <r>
    <s v="ORD04104"/>
    <d v="2026-08-23T00:00:00"/>
    <s v="CUST0522"/>
    <x v="3"/>
    <x v="8"/>
    <n v="2"/>
    <n v="0.15"/>
    <n v="7650"/>
    <n v="2076"/>
    <x v="1"/>
    <s v="Delivered"/>
    <n v="3825"/>
    <n v="27.13725490196078"/>
    <s v="Profit"/>
    <s v="Karthik Joshi"/>
    <x v="2"/>
    <x v="0"/>
    <s v="Bengaluru"/>
    <s v="Karnataka"/>
    <s v="2023-06-28"/>
    <s v="36-50"/>
    <n v="1038"/>
  </r>
  <r>
    <s v="ORD04105"/>
    <d v="2025-11-20T00:00:00"/>
    <s v="CUST0415"/>
    <x v="1"/>
    <x v="12"/>
    <n v="5"/>
    <n v="0.1"/>
    <n v="6300"/>
    <n v="2041.69"/>
    <x v="0"/>
    <s v="Delivered"/>
    <n v="1260"/>
    <n v="32.407777777777781"/>
    <s v="Profit"/>
    <s v="Manoj Bose"/>
    <x v="1"/>
    <x v="0"/>
    <s v="Bengaluru"/>
    <s v="Karnataka"/>
    <s v="2024-07-04"/>
    <s v="36-50"/>
    <n v="408.33800000000002"/>
  </r>
  <r>
    <s v="ORD04106"/>
    <d v="2026-07-05T00:00:00"/>
    <s v="CUST0039"/>
    <x v="3"/>
    <x v="10"/>
    <n v="1"/>
    <n v="0.2"/>
    <n v="44000"/>
    <n v="1967.64"/>
    <x v="3"/>
    <s v="Delivered"/>
    <n v="44000"/>
    <n v="4.4719090909090911"/>
    <s v="Profit"/>
    <s v="Varun Joshi"/>
    <x v="0"/>
    <x v="0"/>
    <s v="Coimbatore"/>
    <s v="Tamil Nadu"/>
    <s v="2025-08-21"/>
    <s v="51+"/>
    <n v="1967.64"/>
  </r>
  <r>
    <s v="ORD04107"/>
    <d v="2025-12-05T00:00:00"/>
    <s v="CUST0251"/>
    <x v="1"/>
    <x v="12"/>
    <n v="2"/>
    <n v="0.1"/>
    <n v="2520"/>
    <n v="815.3"/>
    <x v="2"/>
    <s v="Delivered"/>
    <n v="1260"/>
    <n v="32.353174603174601"/>
    <s v="Profit"/>
    <s v="Arjun Verma"/>
    <x v="2"/>
    <x v="0"/>
    <s v="Coimbatore"/>
    <s v="Tamil Nadu"/>
    <s v="2023-06-16"/>
    <s v="36-50"/>
    <n v="407.65"/>
  </r>
  <r>
    <s v="ORD04108"/>
    <d v="2026-06-30T00:00:00"/>
    <s v="CUST0269"/>
    <x v="2"/>
    <x v="2"/>
    <n v="1"/>
    <n v="0.15"/>
    <n v="11050"/>
    <n v="2230.5700000000002"/>
    <x v="3"/>
    <s v="Delivered"/>
    <n v="11050"/>
    <n v="20.18615384615385"/>
    <s v="Profit"/>
    <s v="Manoj Das"/>
    <x v="1"/>
    <x v="2"/>
    <s v="Delhi"/>
    <s v="Delhi"/>
    <s v="2025-06-23"/>
    <s v="36-50"/>
    <n v="2230.5700000000002"/>
  </r>
  <r>
    <s v="ORD04109"/>
    <d v="2025-10-06T00:00:00"/>
    <s v="CUST0150"/>
    <x v="0"/>
    <x v="14"/>
    <n v="10"/>
    <n v="0.05"/>
    <n v="4275"/>
    <n v="992.6"/>
    <x v="3"/>
    <s v="Delivered"/>
    <n v="427.5"/>
    <n v="23.218713450292402"/>
    <s v="Profit"/>
    <s v="Varun Nair"/>
    <x v="2"/>
    <x v="2"/>
    <s v="Lucknow"/>
    <s v="Uttar Pradesh"/>
    <s v="2024-10-24"/>
    <s v="36-50"/>
    <n v="99.26"/>
  </r>
  <r>
    <s v="ORD04110"/>
    <d v="2025-07-20T00:00:00"/>
    <s v="CUST0375"/>
    <x v="3"/>
    <x v="11"/>
    <n v="1"/>
    <n v="0.05"/>
    <n v="2375"/>
    <n v="724.59"/>
    <x v="1"/>
    <s v="Delivered"/>
    <n v="2375"/>
    <n v="30.50905263157895"/>
    <s v="Profit"/>
    <s v="Sneha Pillai"/>
    <x v="0"/>
    <x v="0"/>
    <s v="Bengaluru"/>
    <s v="Karnataka"/>
    <s v="2024-01-03"/>
    <s v="26-35"/>
    <n v="724.59"/>
  </r>
  <r>
    <s v="ORD04111"/>
    <d v="2025-07-29T00:00:00"/>
    <s v="CUST0313"/>
    <x v="1"/>
    <x v="12"/>
    <n v="3"/>
    <n v="0.15"/>
    <n v="3570"/>
    <n v="1203.6600000000001"/>
    <x v="2"/>
    <s v="Delivered"/>
    <n v="1190"/>
    <n v="33.715966386554634"/>
    <s v="Profit"/>
    <s v="Ananya Reddy"/>
    <x v="2"/>
    <x v="2"/>
    <s v="Chandigarh"/>
    <s v="Chandigarh"/>
    <s v="2025-09-06"/>
    <s v="26-35"/>
    <n v="401.22"/>
  </r>
  <r>
    <s v="ORD04112"/>
    <d v="2026-03-28T00:00:00"/>
    <s v="CUST0114"/>
    <x v="0"/>
    <x v="6"/>
    <n v="5"/>
    <n v="0.05"/>
    <n v="1662.5"/>
    <n v="532.54"/>
    <x v="3"/>
    <s v="Shipped"/>
    <n v="332.5"/>
    <n v="32.032481203007521"/>
    <s v="Profit"/>
    <s v="Aarav Reddy"/>
    <x v="1"/>
    <x v="0"/>
    <s v="Coimbatore"/>
    <s v="Tamil Nadu"/>
    <s v="2023-11-15"/>
    <s v="18-25"/>
    <n v="106.508"/>
  </r>
  <r>
    <s v="ORD04113"/>
    <d v="2026-05-11T00:00:00"/>
    <s v="CUST0029"/>
    <x v="3"/>
    <x v="10"/>
    <n v="2"/>
    <n v="0.05"/>
    <n v="104500"/>
    <n v="14093.66"/>
    <x v="3"/>
    <s v="Delivered"/>
    <n v="52250"/>
    <n v="13.48675598086124"/>
    <s v="Profit"/>
    <s v="Rohan Kulkarni"/>
    <x v="0"/>
    <x v="1"/>
    <s v="Mumbai"/>
    <s v="Maharashtra"/>
    <s v="2023-04-17"/>
    <s v="36-50"/>
    <n v="7046.83"/>
  </r>
  <r>
    <s v="ORD04114"/>
    <d v="2025-10-16T00:00:00"/>
    <s v="CUST0538"/>
    <x v="3"/>
    <x v="10"/>
    <n v="1"/>
    <n v="0.1"/>
    <n v="49500"/>
    <n v="6431.53"/>
    <x v="2"/>
    <s v="Delivered"/>
    <n v="49500"/>
    <n v="12.992989898989901"/>
    <s v="Profit"/>
    <s v="Sanjay Chopra"/>
    <x v="1"/>
    <x v="0"/>
    <s v="Coimbatore"/>
    <s v="Tamil Nadu"/>
    <s v="2024-01-09"/>
    <s v="36-50"/>
    <n v="6431.53"/>
  </r>
  <r>
    <s v="ORD04115"/>
    <d v="2026-01-06T00:00:00"/>
    <s v="CUST0334"/>
    <x v="0"/>
    <x v="6"/>
    <n v="4"/>
    <n v="0"/>
    <n v="1400"/>
    <n v="480"/>
    <x v="3"/>
    <s v="Shipped"/>
    <n v="350"/>
    <n v="34.285714285714278"/>
    <s v="Profit"/>
    <s v="Rahul Joshi"/>
    <x v="1"/>
    <x v="0"/>
    <s v="Hyderabad"/>
    <s v="Telangana"/>
    <s v="2024-05-26"/>
    <s v="26-35"/>
    <n v="120"/>
  </r>
  <r>
    <s v="ORD04116"/>
    <d v="2026-06-14T00:00:00"/>
    <s v="CUST0100"/>
    <x v="2"/>
    <x v="3"/>
    <n v="3"/>
    <n v="0.1"/>
    <n v="40500"/>
    <n v="7033.72"/>
    <x v="3"/>
    <s v="Delivered"/>
    <n v="13500"/>
    <n v="17.36720987654321"/>
    <s v="Profit"/>
    <s v="Priya Singh"/>
    <x v="1"/>
    <x v="0"/>
    <s v="Chennai"/>
    <s v="Tamil Nadu"/>
    <s v="2023-03-14"/>
    <s v="26-35"/>
    <n v="2344.5733333333328"/>
  </r>
  <r>
    <s v="ORD04117"/>
    <d v="2026-08-02T00:00:00"/>
    <s v="CUST0357"/>
    <x v="3"/>
    <x v="4"/>
    <n v="1"/>
    <n v="0.15"/>
    <n v="15300"/>
    <n v="2247.64"/>
    <x v="3"/>
    <s v="Delivered"/>
    <n v="15300"/>
    <n v="14.690457516339871"/>
    <s v="Profit"/>
    <s v="Aarav Gupta"/>
    <x v="2"/>
    <x v="2"/>
    <s v="Chandigarh"/>
    <s v="Chandigarh"/>
    <s v="2023-04-16"/>
    <s v="26-35"/>
    <n v="2247.64"/>
  </r>
  <r>
    <s v="ORD04118"/>
    <d v="2025-12-13T00:00:00"/>
    <s v="CUST0105"/>
    <x v="3"/>
    <x v="10"/>
    <n v="1"/>
    <n v="0.05"/>
    <n v="52250"/>
    <n v="7337.45"/>
    <x v="3"/>
    <s v="Shipped"/>
    <n v="52250"/>
    <n v="14.042966507177031"/>
    <s v="Profit"/>
    <s v="Ishaan Pillai"/>
    <x v="1"/>
    <x v="1"/>
    <s v="Surat"/>
    <s v="Gujarat"/>
    <s v="2024-11-21"/>
    <s v="26-35"/>
    <n v="7337.45"/>
  </r>
  <r>
    <s v="ORD04119"/>
    <d v="2026-03-18T00:00:00"/>
    <s v="CUST0166"/>
    <x v="3"/>
    <x v="10"/>
    <n v="3"/>
    <n v="0.1"/>
    <n v="148500"/>
    <n v="-70315.86"/>
    <x v="3"/>
    <s v="Cancelled"/>
    <n v="49500"/>
    <n v="-47.350747474747472"/>
    <s v="Loss"/>
    <s v="Arjun Gupta"/>
    <x v="2"/>
    <x v="0"/>
    <s v="Chennai"/>
    <s v="Tamil Nadu"/>
    <s v="2024-10-19"/>
    <s v="18-25"/>
    <n v="-23438.62"/>
  </r>
  <r>
    <s v="ORD04120"/>
    <d v="2026-05-29T00:00:00"/>
    <s v="CUST0257"/>
    <x v="0"/>
    <x v="14"/>
    <n v="2"/>
    <n v="0.05"/>
    <n v="855"/>
    <n v="183.55"/>
    <x v="0"/>
    <s v="Delivered"/>
    <n v="427.5"/>
    <n v="21.467836257309941"/>
    <s v="Profit"/>
    <s v="Rahul Patel"/>
    <x v="0"/>
    <x v="2"/>
    <s v="Delhi"/>
    <s v="Delhi"/>
    <s v="2025-10-24"/>
    <s v="36-50"/>
    <n v="91.775000000000006"/>
  </r>
  <r>
    <s v="ORD04121"/>
    <d v="2025-07-22T00:00:00"/>
    <s v="CUST0396"/>
    <x v="0"/>
    <x v="7"/>
    <n v="2"/>
    <n v="0.1"/>
    <n v="1620"/>
    <n v="455.18"/>
    <x v="1"/>
    <s v="Delivered"/>
    <n v="810"/>
    <n v="28.09753086419753"/>
    <s v="Profit"/>
    <s v="Rahul Mishra"/>
    <x v="0"/>
    <x v="0"/>
    <s v="Bengaluru"/>
    <s v="Karnataka"/>
    <s v="2023-05-26"/>
    <s v="18-25"/>
    <n v="227.59"/>
  </r>
  <r>
    <s v="ORD04122"/>
    <d v="2025-11-26T00:00:00"/>
    <s v="CUST0292"/>
    <x v="3"/>
    <x v="4"/>
    <n v="3"/>
    <n v="0.15"/>
    <n v="45900"/>
    <n v="6258.61"/>
    <x v="2"/>
    <s v="Delivered"/>
    <n v="15300"/>
    <n v="13.63531590413943"/>
    <s v="Profit"/>
    <s v="Sanjay Khan"/>
    <x v="0"/>
    <x v="0"/>
    <s v="Bengaluru"/>
    <s v="Karnataka"/>
    <s v="2023-07-05"/>
    <s v="26-35"/>
    <n v="2086.2033333333329"/>
  </r>
  <r>
    <s v="ORD04123"/>
    <d v="2025-08-11T00:00:00"/>
    <s v="CUST0321"/>
    <x v="2"/>
    <x v="3"/>
    <n v="3"/>
    <n v="0"/>
    <n v="45000"/>
    <n v="-5257.26"/>
    <x v="2"/>
    <s v="Returned"/>
    <n v="15000"/>
    <n v="-11.6828"/>
    <s v="Loss"/>
    <s v="Kavya Sharma"/>
    <x v="0"/>
    <x v="1"/>
    <s v="Pune"/>
    <s v="Maharashtra"/>
    <s v="2024-07-02"/>
    <s v="26-35"/>
    <n v="-1752.42"/>
  </r>
  <r>
    <s v="ORD04124"/>
    <d v="2026-04-03T00:00:00"/>
    <s v="CUST0039"/>
    <x v="3"/>
    <x v="10"/>
    <n v="3"/>
    <n v="0.1"/>
    <n v="148500"/>
    <n v="-32085.32"/>
    <x v="0"/>
    <s v="Returned"/>
    <n v="49500"/>
    <n v="-21.60627609427609"/>
    <s v="Loss"/>
    <s v="Varun Joshi"/>
    <x v="0"/>
    <x v="0"/>
    <s v="Coimbatore"/>
    <s v="Tamil Nadu"/>
    <s v="2025-08-21"/>
    <s v="51+"/>
    <n v="-10695.10666666667"/>
  </r>
  <r>
    <s v="ORD04125"/>
    <d v="2026-05-23T00:00:00"/>
    <s v="CUST0173"/>
    <x v="3"/>
    <x v="4"/>
    <n v="6"/>
    <n v="0.15"/>
    <n v="91800"/>
    <n v="9330.82"/>
    <x v="1"/>
    <s v="Delivered"/>
    <n v="15300"/>
    <n v="10.16429193899782"/>
    <s v="Profit"/>
    <s v="Rohan Rao"/>
    <x v="1"/>
    <x v="0"/>
    <s v="Bengaluru"/>
    <s v="Karnataka"/>
    <s v="2024-03-17"/>
    <s v="18-25"/>
    <n v="1555.136666666667"/>
  </r>
  <r>
    <s v="ORD04126"/>
    <d v="2025-10-16T00:00:00"/>
    <s v="CUST0108"/>
    <x v="0"/>
    <x v="14"/>
    <n v="4"/>
    <n v="0.05"/>
    <n v="1710"/>
    <n v="394.59"/>
    <x v="3"/>
    <s v="Delivered"/>
    <n v="427.5"/>
    <n v="23.075438596491232"/>
    <s v="Profit"/>
    <s v="Ananya Sharma"/>
    <x v="1"/>
    <x v="2"/>
    <s v="Chandigarh"/>
    <s v="Chandigarh"/>
    <s v="2025-12-04"/>
    <s v="26-35"/>
    <n v="98.647499999999994"/>
  </r>
  <r>
    <s v="ORD04127"/>
    <d v="2025-08-17T00:00:00"/>
    <s v="CUST0478"/>
    <x v="0"/>
    <x v="14"/>
    <n v="3"/>
    <n v="0.1"/>
    <n v="1215"/>
    <n v="263.39999999999998"/>
    <x v="0"/>
    <s v="Delivered"/>
    <n v="405"/>
    <n v="21.679012345679009"/>
    <s v="Profit"/>
    <s v="Akash Iyer"/>
    <x v="0"/>
    <x v="1"/>
    <s v="Mumbai"/>
    <s v="Maharashtra"/>
    <s v="2023-10-15"/>
    <s v="51+"/>
    <n v="87.8"/>
  </r>
  <r>
    <s v="ORD04128"/>
    <d v="2026-06-30T00:00:00"/>
    <s v="CUST0464"/>
    <x v="1"/>
    <x v="1"/>
    <n v="5"/>
    <n v="0.1"/>
    <n v="8100"/>
    <n v="2601.7199999999998"/>
    <x v="3"/>
    <s v="Delivered"/>
    <n v="1620"/>
    <n v="32.119999999999997"/>
    <s v="Profit"/>
    <s v="Arjun Gupta"/>
    <x v="2"/>
    <x v="2"/>
    <s v="Jaipur"/>
    <s v="Rajasthan"/>
    <s v="2024-06-16"/>
    <s v="36-50"/>
    <n v="520.34399999999994"/>
  </r>
  <r>
    <s v="ORD04129"/>
    <d v="2025-12-30T00:00:00"/>
    <s v="CUST0019"/>
    <x v="3"/>
    <x v="11"/>
    <n v="1"/>
    <n v="0.1"/>
    <n v="2250"/>
    <n v="643"/>
    <x v="0"/>
    <s v="Delivered"/>
    <n v="2250"/>
    <n v="28.577777777777779"/>
    <s v="Profit"/>
    <s v="Ishaan Pillai"/>
    <x v="0"/>
    <x v="1"/>
    <s v="Ahmedabad"/>
    <s v="Gujarat"/>
    <s v="2023-06-28"/>
    <s v="36-50"/>
    <n v="643"/>
  </r>
  <r>
    <s v="ORD04130"/>
    <d v="2026-01-20T00:00:00"/>
    <s v="CUST0249"/>
    <x v="3"/>
    <x v="8"/>
    <n v="5"/>
    <n v="0.3"/>
    <n v="15750"/>
    <n v="3145.88"/>
    <x v="1"/>
    <s v="Delivered"/>
    <n v="3150"/>
    <n v="19.97384126984127"/>
    <s v="Profit"/>
    <s v="Aditya Patel"/>
    <x v="0"/>
    <x v="3"/>
    <s v="Kolkata"/>
    <s v="West Bengal"/>
    <s v="2025-03-11"/>
    <s v="36-50"/>
    <n v="629.17600000000004"/>
  </r>
  <r>
    <s v="ORD04131"/>
    <d v="2025-09-23T00:00:00"/>
    <s v="CUST0310"/>
    <x v="0"/>
    <x v="0"/>
    <n v="5"/>
    <n v="0"/>
    <n v="70000"/>
    <n v="-20145.72"/>
    <x v="1"/>
    <s v="Cancelled"/>
    <n v="14000"/>
    <n v="-28.779599999999999"/>
    <s v="Loss"/>
    <s v="Karthik Chopra"/>
    <x v="1"/>
    <x v="3"/>
    <s v="Guwahati"/>
    <s v="Assam"/>
    <s v="2024-09-09"/>
    <s v="18-25"/>
    <n v="-4029.1439999999998"/>
  </r>
  <r>
    <s v="ORD04132"/>
    <d v="2026-02-15T00:00:00"/>
    <s v="CUST0534"/>
    <x v="1"/>
    <x v="12"/>
    <n v="2"/>
    <n v="0.1"/>
    <n v="2520"/>
    <n v="-280.64"/>
    <x v="2"/>
    <s v="Cancelled"/>
    <n v="1260"/>
    <n v="-11.13650793650794"/>
    <s v="Loss"/>
    <s v="Ananya Patel"/>
    <x v="1"/>
    <x v="1"/>
    <s v="Pune"/>
    <s v="Maharashtra"/>
    <s v="2023-08-14"/>
    <s v="26-35"/>
    <n v="-140.32"/>
  </r>
  <r>
    <s v="ORD04133"/>
    <d v="2026-07-21T00:00:00"/>
    <s v="CUST0289"/>
    <x v="2"/>
    <x v="3"/>
    <n v="2"/>
    <n v="0.1"/>
    <n v="27000"/>
    <n v="5425.79"/>
    <x v="1"/>
    <s v="Delivered"/>
    <n v="13500"/>
    <n v="20.095518518518521"/>
    <s v="Profit"/>
    <s v="Rahul Iyer"/>
    <x v="2"/>
    <x v="0"/>
    <s v="Coimbatore"/>
    <s v="Tamil Nadu"/>
    <s v="2023-01-07"/>
    <s v="18-25"/>
    <n v="2712.895"/>
  </r>
  <r>
    <s v="ORD04134"/>
    <d v="2026-08-31T00:00:00"/>
    <s v="CUST0581"/>
    <x v="2"/>
    <x v="9"/>
    <n v="1"/>
    <n v="0.05"/>
    <n v="8550"/>
    <n v="-232.47"/>
    <x v="2"/>
    <s v="Returned"/>
    <n v="8550"/>
    <n v="-2.7189473684210528"/>
    <s v="Loss"/>
    <s v="Aditya Naidu"/>
    <x v="0"/>
    <x v="0"/>
    <s v="Coimbatore"/>
    <s v="Tamil Nadu"/>
    <s v="2024-10-03"/>
    <s v="18-25"/>
    <n v="-232.47"/>
  </r>
  <r>
    <s v="ORD04135"/>
    <d v="2026-08-15T00:00:00"/>
    <s v="CUST0380"/>
    <x v="2"/>
    <x v="2"/>
    <n v="1"/>
    <n v="0.05"/>
    <n v="12350"/>
    <n v="-5290.49"/>
    <x v="3"/>
    <s v="Cancelled"/>
    <n v="12350"/>
    <n v="-42.837975708502022"/>
    <s v="Loss"/>
    <s v="Arjun Sharma"/>
    <x v="2"/>
    <x v="1"/>
    <s v="Surat"/>
    <s v="Gujarat"/>
    <s v="2024-07-24"/>
    <s v="36-50"/>
    <n v="-5290.49"/>
  </r>
  <r>
    <s v="ORD04136"/>
    <d v="2025-09-21T00:00:00"/>
    <s v="CUST0072"/>
    <x v="3"/>
    <x v="4"/>
    <n v="2"/>
    <n v="0.05"/>
    <n v="34200"/>
    <n v="5674.85"/>
    <x v="1"/>
    <s v="Delivered"/>
    <n v="17100"/>
    <n v="16.593128654970759"/>
    <s v="Profit"/>
    <s v="Shreya Nair"/>
    <x v="0"/>
    <x v="1"/>
    <s v="Surat"/>
    <s v="Gujarat"/>
    <s v="2025-09-16"/>
    <s v="26-35"/>
    <n v="2837.4250000000002"/>
  </r>
  <r>
    <s v="ORD04137"/>
    <d v="2025-11-30T00:00:00"/>
    <s v="CUST0537"/>
    <x v="2"/>
    <x v="9"/>
    <n v="2"/>
    <n v="0.1"/>
    <n v="16200"/>
    <n v="3500.7"/>
    <x v="2"/>
    <s v="Delivered"/>
    <n v="8100"/>
    <n v="21.609259259259261"/>
    <s v="Profit"/>
    <s v="Vikram Pillai"/>
    <x v="0"/>
    <x v="0"/>
    <s v="Bengaluru"/>
    <s v="Karnataka"/>
    <s v="2023-11-18"/>
    <s v="26-35"/>
    <n v="1750.35"/>
  </r>
  <r>
    <s v="ORD04138"/>
    <d v="2025-10-09T00:00:00"/>
    <s v="CUST0441"/>
    <x v="3"/>
    <x v="11"/>
    <n v="2"/>
    <n v="0.15"/>
    <n v="4250"/>
    <n v="1166.8900000000001"/>
    <x v="1"/>
    <s v="Delivered"/>
    <n v="2125"/>
    <n v="27.456235294117651"/>
    <s v="Profit"/>
    <s v="Arjun Joshi"/>
    <x v="0"/>
    <x v="0"/>
    <s v="Bengaluru"/>
    <s v="Karnataka"/>
    <s v="2024-05-10"/>
    <s v="18-25"/>
    <n v="583.44500000000005"/>
  </r>
  <r>
    <s v="ORD04139"/>
    <d v="2026-02-27T00:00:00"/>
    <s v="CUST0100"/>
    <x v="2"/>
    <x v="5"/>
    <n v="3"/>
    <n v="0.2"/>
    <n v="26400"/>
    <n v="3953.56"/>
    <x v="1"/>
    <s v="Delivered"/>
    <n v="8800"/>
    <n v="14.97560606060606"/>
    <s v="Profit"/>
    <s v="Priya Singh"/>
    <x v="1"/>
    <x v="0"/>
    <s v="Chennai"/>
    <s v="Tamil Nadu"/>
    <s v="2023-03-14"/>
    <s v="26-35"/>
    <n v="1317.853333333333"/>
  </r>
  <r>
    <s v="ORD04140"/>
    <d v="2026-07-21T00:00:00"/>
    <s v="CUST0103"/>
    <x v="3"/>
    <x v="11"/>
    <n v="3"/>
    <n v="0"/>
    <n v="7500"/>
    <n v="2400"/>
    <x v="2"/>
    <s v="Delivered"/>
    <n v="2500"/>
    <n v="32"/>
    <s v="Profit"/>
    <s v="Rohan Rao"/>
    <x v="0"/>
    <x v="0"/>
    <s v="Bengaluru"/>
    <s v="Karnataka"/>
    <s v="2023-11-09"/>
    <s v="36-50"/>
    <n v="800"/>
  </r>
  <r>
    <s v="ORD04141"/>
    <d v="2025-09-30T00:00:00"/>
    <s v="CUST0341"/>
    <x v="2"/>
    <x v="9"/>
    <n v="1"/>
    <n v="0.1"/>
    <n v="8100"/>
    <n v="1814.78"/>
    <x v="1"/>
    <s v="Delivered"/>
    <n v="8100"/>
    <n v="22.404691358024689"/>
    <s v="Profit"/>
    <s v="Arjun Mehta"/>
    <x v="1"/>
    <x v="0"/>
    <s v="Coimbatore"/>
    <s v="Tamil Nadu"/>
    <s v="2023-11-21"/>
    <s v="26-35"/>
    <n v="1814.78"/>
  </r>
  <r>
    <s v="ORD04142"/>
    <d v="2026-04-18T00:00:00"/>
    <s v="CUST0388"/>
    <x v="0"/>
    <x v="7"/>
    <n v="4"/>
    <n v="0"/>
    <n v="3600"/>
    <n v="1120"/>
    <x v="1"/>
    <s v="Delivered"/>
    <n v="900"/>
    <n v="31.111111111111111"/>
    <s v="Profit"/>
    <s v="Shreya Kulkarni"/>
    <x v="0"/>
    <x v="0"/>
    <s v="Bengaluru"/>
    <s v="Karnataka"/>
    <s v="2025-08-28"/>
    <s v="36-50"/>
    <n v="280"/>
  </r>
  <r>
    <s v="ORD04143"/>
    <d v="2026-04-30T00:00:00"/>
    <s v="CUST0007"/>
    <x v="3"/>
    <x v="8"/>
    <n v="1"/>
    <n v="0"/>
    <n v="4500"/>
    <n v="1500"/>
    <x v="2"/>
    <s v="Delivered"/>
    <n v="4500"/>
    <n v="33.333333333333329"/>
    <s v="Profit"/>
    <s v="Harini Khan"/>
    <x v="0"/>
    <x v="0"/>
    <s v="Bengaluru"/>
    <s v="Karnataka"/>
    <s v="2025-07-02"/>
    <s v="36-50"/>
    <n v="1500"/>
  </r>
  <r>
    <s v="ORD04144"/>
    <d v="2025-11-26T00:00:00"/>
    <s v="CUST0350"/>
    <x v="0"/>
    <x v="0"/>
    <n v="4"/>
    <n v="0.1"/>
    <n v="50400"/>
    <n v="-16336.21"/>
    <x v="3"/>
    <s v="Returned"/>
    <n v="12600"/>
    <n v="-32.413115079365078"/>
    <s v="Loss"/>
    <s v="Diya Pillai"/>
    <x v="2"/>
    <x v="1"/>
    <s v="Pune"/>
    <s v="Maharashtra"/>
    <s v="2025-08-02"/>
    <s v="18-25"/>
    <n v="-4084.0524999999998"/>
  </r>
  <r>
    <s v="ORD04145"/>
    <d v="2025-07-01T00:00:00"/>
    <s v="CUST0211"/>
    <x v="2"/>
    <x v="2"/>
    <n v="1"/>
    <n v="0"/>
    <n v="13000"/>
    <n v="3200"/>
    <x v="1"/>
    <s v="Delivered"/>
    <n v="13000"/>
    <n v="24.61538461538462"/>
    <s v="Profit"/>
    <s v="Akash Kulkarni"/>
    <x v="0"/>
    <x v="1"/>
    <s v="Surat"/>
    <s v="Gujarat"/>
    <s v="2024-06-07"/>
    <s v="36-50"/>
    <n v="3200"/>
  </r>
  <r>
    <s v="ORD04146"/>
    <d v="2025-08-29T00:00:00"/>
    <s v="CUST0224"/>
    <x v="3"/>
    <x v="11"/>
    <n v="4"/>
    <n v="0.05"/>
    <n v="9500"/>
    <n v="2938.49"/>
    <x v="2"/>
    <s v="Delivered"/>
    <n v="2375"/>
    <n v="30.93147368421053"/>
    <s v="Profit"/>
    <s v="Varun Menon"/>
    <x v="1"/>
    <x v="1"/>
    <s v="Mumbai"/>
    <s v="Maharashtra"/>
    <s v="2023-02-06"/>
    <s v="18-25"/>
    <n v="734.62249999999995"/>
  </r>
  <r>
    <s v="ORD04147"/>
    <d v="2026-04-25T00:00:00"/>
    <s v="CUST0179"/>
    <x v="2"/>
    <x v="5"/>
    <n v="10"/>
    <n v="0.05"/>
    <n v="104500"/>
    <n v="23025.14"/>
    <x v="1"/>
    <s v="Delivered"/>
    <n v="10450"/>
    <n v="22.033626794258371"/>
    <s v="Profit"/>
    <s v="Akash Pillai"/>
    <x v="0"/>
    <x v="1"/>
    <s v="Pune"/>
    <s v="Maharashtra"/>
    <s v="2024-09-14"/>
    <s v="51+"/>
    <n v="2302.5140000000001"/>
  </r>
  <r>
    <s v="ORD04148"/>
    <d v="2026-08-10T00:00:00"/>
    <s v="CUST0166"/>
    <x v="0"/>
    <x v="6"/>
    <n v="1"/>
    <n v="0"/>
    <n v="350"/>
    <n v="-96.31"/>
    <x v="3"/>
    <s v="Cancelled"/>
    <n v="350"/>
    <n v="-27.517142857142861"/>
    <s v="Loss"/>
    <s v="Arjun Gupta"/>
    <x v="2"/>
    <x v="0"/>
    <s v="Chennai"/>
    <s v="Tamil Nadu"/>
    <s v="2024-10-19"/>
    <s v="18-25"/>
    <n v="-96.31"/>
  </r>
  <r>
    <s v="ORD04149"/>
    <d v="2026-03-05T00:00:00"/>
    <s v="CUST0297"/>
    <x v="0"/>
    <x v="6"/>
    <n v="3"/>
    <n v="0.1"/>
    <n v="945"/>
    <n v="273.58"/>
    <x v="3"/>
    <s v="Delivered"/>
    <n v="315"/>
    <n v="28.950264550264549"/>
    <s v="Profit"/>
    <s v="Varun Menon"/>
    <x v="1"/>
    <x v="2"/>
    <s v="Chandigarh"/>
    <s v="Chandigarh"/>
    <s v="2025-02-14"/>
    <s v="18-25"/>
    <n v="91.193333333333328"/>
  </r>
  <r>
    <s v="ORD04150"/>
    <d v="2025-09-06T00:00:00"/>
    <s v="CUST0538"/>
    <x v="2"/>
    <x v="5"/>
    <n v="1"/>
    <n v="0.05"/>
    <n v="10450"/>
    <n v="2182.7399999999998"/>
    <x v="1"/>
    <s v="Delivered"/>
    <n v="10450"/>
    <n v="20.88746411483254"/>
    <s v="Profit"/>
    <s v="Sanjay Chopra"/>
    <x v="1"/>
    <x v="0"/>
    <s v="Coimbatore"/>
    <s v="Tamil Nadu"/>
    <s v="2024-01-09"/>
    <s v="36-50"/>
    <n v="2182.7399999999998"/>
  </r>
  <r>
    <s v="ORD04151"/>
    <d v="2025-09-10T00:00:00"/>
    <s v="CUST0183"/>
    <x v="1"/>
    <x v="15"/>
    <n v="1"/>
    <n v="0.2"/>
    <n v="1760"/>
    <n v="478.09"/>
    <x v="3"/>
    <s v="Delivered"/>
    <n v="1760"/>
    <n v="27.164204545454549"/>
    <s v="Profit"/>
    <s v="Meera Kulkarni"/>
    <x v="0"/>
    <x v="0"/>
    <s v="Coimbatore"/>
    <s v="Tamil Nadu"/>
    <s v="2024-09-21"/>
    <s v="26-35"/>
    <n v="478.09"/>
  </r>
  <r>
    <s v="ORD04152"/>
    <d v="2025-08-20T00:00:00"/>
    <s v="CUST0594"/>
    <x v="3"/>
    <x v="10"/>
    <n v="1"/>
    <n v="0.1"/>
    <n v="49500"/>
    <n v="6113.71"/>
    <x v="2"/>
    <s v="Delivered"/>
    <n v="49500"/>
    <n v="12.35092929292929"/>
    <s v="Profit"/>
    <s v="Ishaan Bose"/>
    <x v="1"/>
    <x v="0"/>
    <s v="Coimbatore"/>
    <s v="Tamil Nadu"/>
    <s v="2024-06-29"/>
    <s v="51+"/>
    <n v="6113.71"/>
  </r>
  <r>
    <s v="ORD04153"/>
    <d v="2026-07-17T00:00:00"/>
    <s v="CUST0354"/>
    <x v="3"/>
    <x v="4"/>
    <n v="1"/>
    <n v="0.1"/>
    <n v="16200"/>
    <n v="-4694.13"/>
    <x v="3"/>
    <s v="Cancelled"/>
    <n v="16200"/>
    <n v="-28.976111111111109"/>
    <s v="Loss"/>
    <s v="Manoj Singh"/>
    <x v="2"/>
    <x v="1"/>
    <s v="Mumbai"/>
    <s v="Maharashtra"/>
    <s v="2025-09-10"/>
    <s v="26-35"/>
    <n v="-4694.13"/>
  </r>
  <r>
    <s v="ORD04154"/>
    <d v="2025-10-04T00:00:00"/>
    <s v="CUST0068"/>
    <x v="3"/>
    <x v="4"/>
    <n v="3"/>
    <n v="0.05"/>
    <n v="51300"/>
    <n v="8763.57"/>
    <x v="1"/>
    <s v="Delivered"/>
    <n v="17100"/>
    <n v="17.08298245614035"/>
    <s v="Profit"/>
    <s v="Harini Pillai"/>
    <x v="1"/>
    <x v="3"/>
    <s v="Guwahati"/>
    <s v="Assam"/>
    <s v="2024-04-08"/>
    <s v="36-50"/>
    <n v="2921.19"/>
  </r>
  <r>
    <s v="ORD04155"/>
    <d v="2025-09-22T00:00:00"/>
    <s v="CUST0332"/>
    <x v="1"/>
    <x v="15"/>
    <n v="2"/>
    <n v="0.05"/>
    <n v="4180"/>
    <n v="1384.15"/>
    <x v="0"/>
    <s v="Delivered"/>
    <n v="2090"/>
    <n v="33.113636363636367"/>
    <s v="Profit"/>
    <s v="Vikram Rao"/>
    <x v="1"/>
    <x v="0"/>
    <s v="Coimbatore"/>
    <s v="Tamil Nadu"/>
    <s v="2023-07-04"/>
    <s v="26-35"/>
    <n v="692.07500000000005"/>
  </r>
  <r>
    <s v="ORD04156"/>
    <d v="2026-07-03T00:00:00"/>
    <s v="CUST0189"/>
    <x v="3"/>
    <x v="10"/>
    <n v="4"/>
    <n v="0.15"/>
    <n v="187000"/>
    <n v="10637.43"/>
    <x v="2"/>
    <s v="Delivered"/>
    <n v="46750"/>
    <n v="5.6884652406417118"/>
    <s v="Profit"/>
    <s v="Kavya Pillai"/>
    <x v="2"/>
    <x v="1"/>
    <s v="Mumbai"/>
    <s v="Maharashtra"/>
    <s v="2023-12-12"/>
    <s v="18-25"/>
    <n v="2659.3575000000001"/>
  </r>
  <r>
    <s v="ORD04157"/>
    <d v="2025-11-08T00:00:00"/>
    <s v="CUST0420"/>
    <x v="2"/>
    <x v="2"/>
    <n v="2"/>
    <n v="0.2"/>
    <n v="20800"/>
    <n v="2203.63"/>
    <x v="2"/>
    <s v="Delivered"/>
    <n v="10400"/>
    <n v="10.594374999999999"/>
    <s v="Profit"/>
    <s v="Ishaan Gupta"/>
    <x v="0"/>
    <x v="2"/>
    <s v="Delhi"/>
    <s v="Delhi"/>
    <s v="2024-04-07"/>
    <s v="36-50"/>
    <n v="1101.8150000000001"/>
  </r>
  <r>
    <s v="ORD04158"/>
    <d v="2025-11-17T00:00:00"/>
    <s v="CUST0576"/>
    <x v="0"/>
    <x v="14"/>
    <n v="2"/>
    <n v="0"/>
    <n v="900"/>
    <n v="-422.49"/>
    <x v="2"/>
    <s v="Cancelled"/>
    <n v="450"/>
    <n v="-46.943333333333342"/>
    <s v="Loss"/>
    <s v="Harini Pillai"/>
    <x v="0"/>
    <x v="0"/>
    <s v="Hyderabad"/>
    <s v="Telangana"/>
    <s v="2023-05-25"/>
    <s v="26-35"/>
    <n v="-211.245"/>
  </r>
  <r>
    <s v="ORD04159"/>
    <d v="2025-11-18T00:00:00"/>
    <s v="CUST0524"/>
    <x v="0"/>
    <x v="7"/>
    <n v="2"/>
    <n v="0.1"/>
    <n v="1620"/>
    <n v="417.23"/>
    <x v="1"/>
    <s v="Delivered"/>
    <n v="810"/>
    <n v="25.754938271604939"/>
    <s v="Profit"/>
    <s v="Pooja Mehta"/>
    <x v="0"/>
    <x v="1"/>
    <s v="Ahmedabad"/>
    <s v="Gujarat"/>
    <s v="2023-03-20"/>
    <s v="36-50"/>
    <n v="208.61500000000001"/>
  </r>
  <r>
    <s v="ORD04160"/>
    <d v="2026-01-08T00:00:00"/>
    <s v="CUST0372"/>
    <x v="2"/>
    <x v="9"/>
    <n v="1"/>
    <n v="0.2"/>
    <n v="7200"/>
    <n v="-3553.82"/>
    <x v="3"/>
    <s v="Returned"/>
    <n v="7200"/>
    <n v="-49.358611111111109"/>
    <s v="Loss"/>
    <s v="Akash Das"/>
    <x v="1"/>
    <x v="0"/>
    <s v="Bengaluru"/>
    <s v="Karnataka"/>
    <s v="2024-08-19"/>
    <s v="36-50"/>
    <n v="-3553.82"/>
  </r>
  <r>
    <s v="ORD04161"/>
    <d v="2026-01-02T00:00:00"/>
    <s v="CUST0455"/>
    <x v="1"/>
    <x v="12"/>
    <n v="3"/>
    <n v="0.1"/>
    <n v="3780"/>
    <n v="1168.1400000000001"/>
    <x v="0"/>
    <s v="Delivered"/>
    <n v="1260"/>
    <n v="30.903174603174609"/>
    <s v="Profit"/>
    <s v="Priya Sharma"/>
    <x v="0"/>
    <x v="0"/>
    <s v="Hyderabad"/>
    <s v="Telangana"/>
    <s v="2023-12-10"/>
    <s v="26-35"/>
    <n v="389.38000000000011"/>
  </r>
  <r>
    <s v="ORD04162"/>
    <d v="2026-07-31T00:00:00"/>
    <s v="CUST0431"/>
    <x v="3"/>
    <x v="10"/>
    <n v="3"/>
    <n v="0.3"/>
    <n v="115500"/>
    <n v="441.1"/>
    <x v="1"/>
    <s v="Delivered"/>
    <n v="38500"/>
    <n v="0.38190476190476191"/>
    <s v="Profit"/>
    <s v="Manoj Naidu"/>
    <x v="1"/>
    <x v="0"/>
    <s v="Bengaluru"/>
    <s v="Karnataka"/>
    <s v="2023-01-16"/>
    <s v="36-50"/>
    <n v="147.0333333333333"/>
  </r>
  <r>
    <s v="ORD04163"/>
    <d v="2025-08-03T00:00:00"/>
    <s v="CUST0545"/>
    <x v="3"/>
    <x v="11"/>
    <n v="1"/>
    <n v="0.1"/>
    <n v="2250"/>
    <n v="631.69000000000005"/>
    <x v="3"/>
    <s v="Delivered"/>
    <n v="2250"/>
    <n v="28.075111111111109"/>
    <s v="Profit"/>
    <s v="Manoj Mehta"/>
    <x v="2"/>
    <x v="0"/>
    <s v="Chennai"/>
    <s v="Tamil Nadu"/>
    <s v="2025-12-28"/>
    <s v="26-35"/>
    <n v="631.69000000000005"/>
  </r>
  <r>
    <s v="ORD04164"/>
    <d v="2026-05-26T00:00:00"/>
    <s v="CUST0398"/>
    <x v="2"/>
    <x v="5"/>
    <n v="4"/>
    <n v="0.1"/>
    <n v="39600"/>
    <n v="8152.03"/>
    <x v="1"/>
    <s v="Shipped"/>
    <n v="9900"/>
    <n v="20.585934343434339"/>
    <s v="Profit"/>
    <s v="Meera Gupta"/>
    <x v="1"/>
    <x v="3"/>
    <s v="Bhubaneswar"/>
    <s v="Odisha"/>
    <s v="2024-02-27"/>
    <s v="36-50"/>
    <n v="2038.0074999999999"/>
  </r>
  <r>
    <s v="ORD04165"/>
    <d v="2025-08-11T00:00:00"/>
    <s v="CUST0174"/>
    <x v="0"/>
    <x v="0"/>
    <n v="3"/>
    <n v="0.1"/>
    <n v="37800"/>
    <n v="4859.3599999999997"/>
    <x v="1"/>
    <s v="Shipped"/>
    <n v="12600"/>
    <n v="12.85544973544973"/>
    <s v="Profit"/>
    <s v="Sneha Mehta"/>
    <x v="1"/>
    <x v="3"/>
    <s v="Patna"/>
    <s v="Bihar"/>
    <s v="2025-05-15"/>
    <s v="26-35"/>
    <n v="1619.7866666666671"/>
  </r>
  <r>
    <s v="ORD04166"/>
    <d v="2025-09-10T00:00:00"/>
    <s v="CUST0383"/>
    <x v="2"/>
    <x v="5"/>
    <n v="3"/>
    <n v="0.1"/>
    <n v="29700"/>
    <n v="5621.75"/>
    <x v="2"/>
    <s v="Delivered"/>
    <n v="9900"/>
    <n v="18.92845117845118"/>
    <s v="Profit"/>
    <s v="Arjun Mehta"/>
    <x v="0"/>
    <x v="0"/>
    <s v="Chennai"/>
    <s v="Tamil Nadu"/>
    <s v="2024-05-07"/>
    <s v="51+"/>
    <n v="1873.916666666667"/>
  </r>
  <r>
    <s v="ORD04167"/>
    <d v="2026-04-07T00:00:00"/>
    <s v="CUST0411"/>
    <x v="0"/>
    <x v="6"/>
    <n v="3"/>
    <n v="0.05"/>
    <n v="997.5"/>
    <n v="325.72000000000003"/>
    <x v="1"/>
    <s v="Delivered"/>
    <n v="332.5"/>
    <n v="32.653634085213042"/>
    <s v="Profit"/>
    <s v="Arjun Mehta"/>
    <x v="1"/>
    <x v="0"/>
    <s v="Bengaluru"/>
    <s v="Karnataka"/>
    <s v="2023-02-18"/>
    <s v="36-50"/>
    <n v="108.5733333333333"/>
  </r>
  <r>
    <s v="ORD04168"/>
    <d v="2026-07-18T00:00:00"/>
    <s v="CUST0402"/>
    <x v="0"/>
    <x v="0"/>
    <n v="4"/>
    <n v="0.15"/>
    <n v="47600"/>
    <n v="-20945.009999999998"/>
    <x v="3"/>
    <s v="Cancelled"/>
    <n v="11900"/>
    <n v="-44.002121848739492"/>
    <s v="Loss"/>
    <s v="Diya Pillai"/>
    <x v="1"/>
    <x v="0"/>
    <s v="Chennai"/>
    <s v="Tamil Nadu"/>
    <s v="2025-08-08"/>
    <s v="36-50"/>
    <n v="-5236.2524999999996"/>
  </r>
  <r>
    <s v="ORD04169"/>
    <d v="2026-04-21T00:00:00"/>
    <s v="CUST0315"/>
    <x v="3"/>
    <x v="4"/>
    <n v="3"/>
    <n v="0.1"/>
    <n v="48600"/>
    <n v="6720.19"/>
    <x v="1"/>
    <s v="Delivered"/>
    <n v="16200"/>
    <n v="13.82755144032922"/>
    <s v="Profit"/>
    <s v="Harini Verma"/>
    <x v="0"/>
    <x v="0"/>
    <s v="Coimbatore"/>
    <s v="Tamil Nadu"/>
    <s v="2024-10-22"/>
    <s v="18-25"/>
    <n v="2240.063333333333"/>
  </r>
  <r>
    <s v="ORD04170"/>
    <d v="2026-05-28T00:00:00"/>
    <s v="CUST0338"/>
    <x v="0"/>
    <x v="6"/>
    <n v="1"/>
    <n v="0.05"/>
    <n v="332.5"/>
    <n v="108.72"/>
    <x v="1"/>
    <s v="Delivered"/>
    <n v="332.5"/>
    <n v="32.697744360902263"/>
    <s v="Profit"/>
    <s v="Kavya Bose"/>
    <x v="1"/>
    <x v="0"/>
    <s v="Hyderabad"/>
    <s v="Telangana"/>
    <s v="2024-10-27"/>
    <s v="26-35"/>
    <n v="108.72"/>
  </r>
  <r>
    <s v="ORD04171"/>
    <d v="2025-07-02T00:00:00"/>
    <s v="CUST0102"/>
    <x v="2"/>
    <x v="2"/>
    <n v="4"/>
    <n v="0.15"/>
    <n v="44200"/>
    <n v="6260.18"/>
    <x v="3"/>
    <s v="Delivered"/>
    <n v="11050"/>
    <n v="14.163303167420819"/>
    <s v="Profit"/>
    <s v="Akash Bose"/>
    <x v="0"/>
    <x v="2"/>
    <s v="Jaipur"/>
    <s v="Rajasthan"/>
    <s v="2023-03-30"/>
    <s v="36-50"/>
    <n v="1565.0450000000001"/>
  </r>
  <r>
    <s v="ORD04172"/>
    <d v="2026-06-23T00:00:00"/>
    <s v="CUST0417"/>
    <x v="3"/>
    <x v="4"/>
    <n v="3"/>
    <n v="0.1"/>
    <n v="48600"/>
    <n v="7683.2"/>
    <x v="2"/>
    <s v="Shipped"/>
    <n v="16200"/>
    <n v="15.809053497942379"/>
    <s v="Profit"/>
    <s v="Ishaan Reddy"/>
    <x v="0"/>
    <x v="2"/>
    <s v="Lucknow"/>
    <s v="Uttar Pradesh"/>
    <s v="2024-10-11"/>
    <s v="26-35"/>
    <n v="2561.0666666666671"/>
  </r>
  <r>
    <s v="ORD04173"/>
    <d v="2026-04-12T00:00:00"/>
    <s v="CUST0031"/>
    <x v="2"/>
    <x v="2"/>
    <n v="3"/>
    <n v="0"/>
    <n v="39000"/>
    <n v="9600"/>
    <x v="3"/>
    <s v="Delivered"/>
    <n v="13000"/>
    <n v="24.61538461538462"/>
    <s v="Profit"/>
    <s v="Priya Mishra"/>
    <x v="2"/>
    <x v="0"/>
    <s v="Bengaluru"/>
    <s v="Karnataka"/>
    <s v="2023-05-09"/>
    <s v="51+"/>
    <n v="3200"/>
  </r>
  <r>
    <s v="ORD04174"/>
    <d v="2026-02-24T00:00:00"/>
    <s v="CUST0234"/>
    <x v="1"/>
    <x v="13"/>
    <n v="1"/>
    <n v="0.2"/>
    <n v="3360"/>
    <n v="567.47"/>
    <x v="2"/>
    <s v="Shipped"/>
    <n v="3360"/>
    <n v="16.888988095238101"/>
    <s v="Profit"/>
    <s v="Ishaan Sharma"/>
    <x v="0"/>
    <x v="4"/>
    <s v="Jaipur"/>
    <s v="Rajasthan"/>
    <s v="2024-04-02"/>
    <s v="26-35"/>
    <n v="567.47"/>
  </r>
  <r>
    <s v="ORD04175"/>
    <d v="2025-09-22T00:00:00"/>
    <s v="CUST0421"/>
    <x v="1"/>
    <x v="15"/>
    <n v="2"/>
    <n v="0.05"/>
    <n v="4180"/>
    <n v="1359.62"/>
    <x v="3"/>
    <s v="Delivered"/>
    <n v="2090"/>
    <n v="32.526794258373201"/>
    <s v="Profit"/>
    <s v="Sneha Iyer"/>
    <x v="0"/>
    <x v="3"/>
    <s v="Guwahati"/>
    <s v="Assam"/>
    <s v="2024-05-14"/>
    <s v="51+"/>
    <n v="679.81"/>
  </r>
  <r>
    <s v="ORD04176"/>
    <d v="2026-07-16T00:00:00"/>
    <s v="CUST0015"/>
    <x v="2"/>
    <x v="9"/>
    <n v="1"/>
    <n v="0"/>
    <n v="9000"/>
    <n v="-2733.54"/>
    <x v="3"/>
    <s v="Cancelled"/>
    <n v="9000"/>
    <n v="-30.37266666666666"/>
    <s v="Loss"/>
    <s v="Diya Pillai"/>
    <x v="1"/>
    <x v="0"/>
    <s v="Coimbatore"/>
    <s v="Tamil Nadu"/>
    <s v="2024-09-16"/>
    <s v="51+"/>
    <n v="-2733.54"/>
  </r>
  <r>
    <s v="ORD04177"/>
    <d v="2026-03-06T00:00:00"/>
    <s v="CUST0397"/>
    <x v="3"/>
    <x v="8"/>
    <n v="2"/>
    <n v="0.05"/>
    <n v="8550"/>
    <n v="2699.07"/>
    <x v="1"/>
    <s v="Delivered"/>
    <n v="4275"/>
    <n v="31.568070175438599"/>
    <s v="Profit"/>
    <s v="Akash Reddy"/>
    <x v="0"/>
    <x v="1"/>
    <s v="Pune"/>
    <s v="Maharashtra"/>
    <s v="2023-04-16"/>
    <s v="36-50"/>
    <n v="1349.5350000000001"/>
  </r>
  <r>
    <s v="ORD04178"/>
    <d v="2026-07-20T00:00:00"/>
    <s v="CUST0139"/>
    <x v="2"/>
    <x v="2"/>
    <n v="1"/>
    <n v="0"/>
    <n v="13000"/>
    <n v="3200"/>
    <x v="2"/>
    <s v="Delivered"/>
    <n v="13000"/>
    <n v="24.61538461538462"/>
    <s v="Profit"/>
    <s v="Lakshmi Das"/>
    <x v="1"/>
    <x v="1"/>
    <s v="Surat"/>
    <s v="Gujarat"/>
    <s v="2023-05-25"/>
    <s v="36-50"/>
    <n v="3200"/>
  </r>
  <r>
    <s v="ORD04179"/>
    <d v="2026-05-25T00:00:00"/>
    <s v="CUST0150"/>
    <x v="1"/>
    <x v="1"/>
    <n v="1"/>
    <n v="0.1"/>
    <n v="1620"/>
    <n v="563.13"/>
    <x v="2"/>
    <s v="Delivered"/>
    <n v="1620"/>
    <n v="34.761111111111113"/>
    <s v="Profit"/>
    <s v="Varun Nair"/>
    <x v="2"/>
    <x v="2"/>
    <s v="Lucknow"/>
    <s v="Uttar Pradesh"/>
    <s v="2024-10-24"/>
    <s v="36-50"/>
    <n v="563.13"/>
  </r>
  <r>
    <s v="ORD04180"/>
    <d v="2025-08-25T00:00:00"/>
    <s v="CUST0528"/>
    <x v="0"/>
    <x v="6"/>
    <n v="5"/>
    <n v="0.05"/>
    <n v="1662.5"/>
    <n v="555.66"/>
    <x v="0"/>
    <s v="Delivered"/>
    <n v="332.5"/>
    <n v="33.423157894736839"/>
    <s v="Profit"/>
    <s v="Karthik Menon"/>
    <x v="0"/>
    <x v="0"/>
    <s v="Chennai"/>
    <s v="Tamil Nadu"/>
    <s v="2024-07-24"/>
    <s v="36-50"/>
    <n v="111.13200000000001"/>
  </r>
  <r>
    <s v="ORD04181"/>
    <d v="2026-04-14T00:00:00"/>
    <s v="CUST0400"/>
    <x v="0"/>
    <x v="7"/>
    <n v="6"/>
    <n v="0.2"/>
    <n v="4320"/>
    <n v="941.22"/>
    <x v="3"/>
    <s v="Delivered"/>
    <n v="720"/>
    <n v="21.787500000000001"/>
    <s v="Profit"/>
    <s v="Karthik Bose"/>
    <x v="0"/>
    <x v="0"/>
    <s v="Hyderabad"/>
    <s v="Telangana"/>
    <s v="2024-08-01"/>
    <s v="36-50"/>
    <n v="156.87"/>
  </r>
  <r>
    <s v="ORD04182"/>
    <d v="2025-12-31T00:00:00"/>
    <s v="CUST0143"/>
    <x v="2"/>
    <x v="3"/>
    <n v="2"/>
    <n v="0.05"/>
    <n v="28500"/>
    <n v="6089.57"/>
    <x v="0"/>
    <s v="Shipped"/>
    <n v="14250"/>
    <n v="21.366912280701751"/>
    <s v="Profit"/>
    <s v="Ananya Naidu"/>
    <x v="2"/>
    <x v="0"/>
    <s v="Bengaluru"/>
    <s v="Karnataka"/>
    <s v="2023-04-11"/>
    <s v="36-50"/>
    <n v="3044.7849999999999"/>
  </r>
  <r>
    <s v="ORD04183"/>
    <d v="2026-01-31T00:00:00"/>
    <s v="CUST0274"/>
    <x v="0"/>
    <x v="6"/>
    <n v="3"/>
    <n v="0"/>
    <n v="1050"/>
    <n v="360"/>
    <x v="1"/>
    <s v="Shipped"/>
    <n v="350"/>
    <n v="34.285714285714278"/>
    <s v="Profit"/>
    <s v="Meera Bose"/>
    <x v="1"/>
    <x v="0"/>
    <s v="Hyderabad"/>
    <s v="Telangana"/>
    <s v="2025-01-06"/>
    <s v="26-35"/>
    <n v="120"/>
  </r>
  <r>
    <s v="ORD04184"/>
    <d v="2025-12-05T00:00:00"/>
    <s v="CUST0587"/>
    <x v="0"/>
    <x v="6"/>
    <n v="3"/>
    <n v="0.1"/>
    <n v="945"/>
    <n v="290.69"/>
    <x v="3"/>
    <s v="Delivered"/>
    <n v="315"/>
    <n v="30.760846560846559"/>
    <s v="Profit"/>
    <s v="Ishaan Kulkarni"/>
    <x v="2"/>
    <x v="3"/>
    <s v="Guwahati"/>
    <s v="Assam"/>
    <s v="2025-01-05"/>
    <s v="26-35"/>
    <n v="96.896666666666661"/>
  </r>
  <r>
    <s v="ORD04185"/>
    <d v="2026-02-17T00:00:00"/>
    <s v="CUST0220"/>
    <x v="2"/>
    <x v="2"/>
    <n v="1"/>
    <n v="0.15"/>
    <n v="11050"/>
    <n v="1655.21"/>
    <x v="3"/>
    <s v="Delivered"/>
    <n v="11050"/>
    <n v="14.979276018099551"/>
    <s v="Profit"/>
    <s v="Pooja Kulkarni"/>
    <x v="0"/>
    <x v="1"/>
    <s v="Surat"/>
    <s v="Gujarat"/>
    <s v="2024-05-02"/>
    <s v="18-25"/>
    <n v="1655.21"/>
  </r>
  <r>
    <s v="ORD04186"/>
    <d v="2025-08-18T00:00:00"/>
    <s v="CUST0319"/>
    <x v="1"/>
    <x v="13"/>
    <n v="1"/>
    <n v="0.15"/>
    <n v="3570"/>
    <n v="-1905"/>
    <x v="2"/>
    <s v="Returned"/>
    <n v="3570"/>
    <n v="-53.361344537815128"/>
    <s v="Loss"/>
    <s v="Vikram Sharma"/>
    <x v="0"/>
    <x v="0"/>
    <s v="Bengaluru"/>
    <s v="Karnataka"/>
    <s v="2024-01-16"/>
    <s v="26-35"/>
    <n v="-1905"/>
  </r>
  <r>
    <s v="ORD04187"/>
    <d v="2025-12-02T00:00:00"/>
    <s v="CUST0024"/>
    <x v="0"/>
    <x v="0"/>
    <n v="3"/>
    <n v="0.2"/>
    <n v="33600"/>
    <n v="3398.37"/>
    <x v="2"/>
    <s v="Delivered"/>
    <n v="11200"/>
    <n v="10.114196428571431"/>
    <s v="Profit"/>
    <s v="Lakshmi Pillai"/>
    <x v="1"/>
    <x v="0"/>
    <s v="Coimbatore"/>
    <s v="Tamil Nadu"/>
    <s v="2024-11-26"/>
    <s v="26-35"/>
    <n v="1132.79"/>
  </r>
  <r>
    <s v="ORD04188"/>
    <d v="2026-04-06T00:00:00"/>
    <s v="CUST0043"/>
    <x v="1"/>
    <x v="13"/>
    <n v="6"/>
    <n v="0.15"/>
    <n v="21420"/>
    <n v="5312.77"/>
    <x v="3"/>
    <s v="Shipped"/>
    <n v="3570"/>
    <n v="24.802847805788989"/>
    <s v="Profit"/>
    <s v="Meera Mehta"/>
    <x v="1"/>
    <x v="1"/>
    <s v="Mumbai"/>
    <s v="Maharashtra"/>
    <s v="2024-04-22"/>
    <s v="51+"/>
    <n v="885.4616666666667"/>
  </r>
  <r>
    <s v="ORD04189"/>
    <d v="2026-07-12T00:00:00"/>
    <s v="CUST0068"/>
    <x v="0"/>
    <x v="14"/>
    <n v="2"/>
    <n v="0.05"/>
    <n v="855"/>
    <n v="184.26"/>
    <x v="3"/>
    <s v="Delivered"/>
    <n v="427.5"/>
    <n v="21.550877192982451"/>
    <s v="Profit"/>
    <s v="Harini Pillai"/>
    <x v="1"/>
    <x v="3"/>
    <s v="Guwahati"/>
    <s v="Assam"/>
    <s v="2024-04-08"/>
    <s v="36-50"/>
    <n v="92.13"/>
  </r>
  <r>
    <s v="ORD04190"/>
    <d v="2025-09-08T00:00:00"/>
    <s v="CUST0357"/>
    <x v="1"/>
    <x v="13"/>
    <n v="4"/>
    <n v="0.2"/>
    <n v="13440"/>
    <n v="2106.9499999999998"/>
    <x v="0"/>
    <s v="Delivered"/>
    <n v="3360"/>
    <n v="15.67671130952381"/>
    <s v="Profit"/>
    <s v="Aarav Gupta"/>
    <x v="2"/>
    <x v="2"/>
    <s v="Chandigarh"/>
    <s v="Chandigarh"/>
    <s v="2023-04-16"/>
    <s v="26-35"/>
    <n v="526.73749999999995"/>
  </r>
  <r>
    <s v="ORD04191"/>
    <d v="2026-08-14T00:00:00"/>
    <s v="CUST0319"/>
    <x v="3"/>
    <x v="8"/>
    <n v="3"/>
    <n v="0.05"/>
    <n v="12825"/>
    <n v="4037.09"/>
    <x v="2"/>
    <s v="Delivered"/>
    <n v="4275"/>
    <n v="31.47828460038987"/>
    <s v="Profit"/>
    <s v="Vikram Sharma"/>
    <x v="0"/>
    <x v="0"/>
    <s v="Bengaluru"/>
    <s v="Karnataka"/>
    <s v="2024-01-16"/>
    <s v="26-35"/>
    <n v="1345.6966666666669"/>
  </r>
  <r>
    <s v="ORD04192"/>
    <d v="2025-07-31T00:00:00"/>
    <s v="CUST0112"/>
    <x v="3"/>
    <x v="11"/>
    <n v="1"/>
    <n v="0"/>
    <n v="2500"/>
    <n v="800"/>
    <x v="2"/>
    <s v="Shipped"/>
    <n v="2500"/>
    <n v="32"/>
    <s v="Profit"/>
    <s v="Akash Khan"/>
    <x v="0"/>
    <x v="1"/>
    <s v="Pune"/>
    <s v="Maharashtra"/>
    <s v="2025-03-04"/>
    <s v="26-35"/>
    <n v="800"/>
  </r>
  <r>
    <s v="ORD04193"/>
    <d v="2025-09-22T00:00:00"/>
    <s v="CUST0128"/>
    <x v="0"/>
    <x v="7"/>
    <n v="2"/>
    <n v="0.05"/>
    <n v="1710"/>
    <n v="-123.39"/>
    <x v="3"/>
    <s v="Cancelled"/>
    <n v="855"/>
    <n v="-7.2157894736842101"/>
    <s v="Loss"/>
    <s v="Sneha Mishra"/>
    <x v="2"/>
    <x v="0"/>
    <s v="Chennai"/>
    <s v="Tamil Nadu"/>
    <s v="2024-09-12"/>
    <s v="36-50"/>
    <n v="-61.695"/>
  </r>
  <r>
    <s v="ORD04194"/>
    <d v="2025-12-19T00:00:00"/>
    <s v="CUST0278"/>
    <x v="2"/>
    <x v="9"/>
    <n v="5"/>
    <n v="0.05"/>
    <n v="42750"/>
    <n v="9955.4599999999991"/>
    <x v="1"/>
    <s v="Delivered"/>
    <n v="8550"/>
    <n v="23.287625730994151"/>
    <s v="Profit"/>
    <s v="Sneha Mehta"/>
    <x v="1"/>
    <x v="3"/>
    <s v="Guwahati"/>
    <s v="Assam"/>
    <s v="2025-03-21"/>
    <s v="26-35"/>
    <n v="1991.0920000000001"/>
  </r>
  <r>
    <s v="ORD04195"/>
    <d v="2026-01-08T00:00:00"/>
    <s v="CUST0457"/>
    <x v="3"/>
    <x v="8"/>
    <n v="2"/>
    <n v="0.1"/>
    <n v="8100"/>
    <n v="2409.9299999999998"/>
    <x v="1"/>
    <s v="Delivered"/>
    <n v="4050"/>
    <n v="29.752222222222219"/>
    <s v="Profit"/>
    <s v="Karthik Bose"/>
    <x v="2"/>
    <x v="0"/>
    <s v="Hyderabad"/>
    <s v="Telangana"/>
    <s v="2025-04-05"/>
    <s v="51+"/>
    <n v="1204.9649999999999"/>
  </r>
  <r>
    <s v="ORD04196"/>
    <d v="2025-08-26T00:00:00"/>
    <s v="CUST0126"/>
    <x v="1"/>
    <x v="1"/>
    <n v="6"/>
    <n v="0.15"/>
    <n v="9180"/>
    <n v="3149.22"/>
    <x v="2"/>
    <s v="Delivered"/>
    <n v="1530"/>
    <n v="34.305228758169932"/>
    <s v="Profit"/>
    <s v="Manoj Mehta"/>
    <x v="1"/>
    <x v="0"/>
    <s v="Bengaluru"/>
    <s v="Karnataka"/>
    <s v="2025-10-04"/>
    <s v="36-50"/>
    <n v="524.87"/>
  </r>
  <r>
    <s v="ORD04197"/>
    <d v="2026-06-02T00:00:00"/>
    <s v="CUST0532"/>
    <x v="0"/>
    <x v="6"/>
    <n v="5"/>
    <n v="0.15"/>
    <n v="1487.5"/>
    <n v="-386.29"/>
    <x v="1"/>
    <s v="Returned"/>
    <n v="297.5"/>
    <n v="-25.9690756302521"/>
    <s v="Loss"/>
    <s v="Kavya Khan"/>
    <x v="0"/>
    <x v="2"/>
    <s v="Chandigarh"/>
    <s v="Chandigarh"/>
    <s v="2025-09-23"/>
    <s v="18-25"/>
    <n v="-77.25800000000001"/>
  </r>
  <r>
    <s v="ORD04198"/>
    <d v="2025-12-15T00:00:00"/>
    <s v="CUST0227"/>
    <x v="2"/>
    <x v="3"/>
    <n v="1"/>
    <n v="0"/>
    <n v="15000"/>
    <n v="3500"/>
    <x v="3"/>
    <s v="Delivered"/>
    <n v="15000"/>
    <n v="23.333333333333329"/>
    <s v="Profit"/>
    <s v="Harini Menon"/>
    <x v="0"/>
    <x v="2"/>
    <s v="Chandigarh"/>
    <s v="Chandigarh"/>
    <s v="2024-10-13"/>
    <s v="18-25"/>
    <n v="3500"/>
  </r>
  <r>
    <s v="ORD04199"/>
    <d v="2025-09-01T00:00:00"/>
    <s v="CUST0333"/>
    <x v="2"/>
    <x v="3"/>
    <n v="4"/>
    <n v="0.1"/>
    <n v="54000"/>
    <n v="9939.73"/>
    <x v="1"/>
    <s v="Delivered"/>
    <n v="13500"/>
    <n v="18.406907407407409"/>
    <s v="Profit"/>
    <s v="Aditya Gupta"/>
    <x v="0"/>
    <x v="0"/>
    <s v="Chennai"/>
    <s v="Tamil Nadu"/>
    <s v="2023-02-18"/>
    <s v="26-35"/>
    <n v="2484.9324999999999"/>
  </r>
  <r>
    <s v="ORD04200"/>
    <d v="2026-05-08T00:00:00"/>
    <s v="CUST0136"/>
    <x v="0"/>
    <x v="14"/>
    <n v="3"/>
    <n v="0.1"/>
    <n v="1215"/>
    <n v="226.75"/>
    <x v="0"/>
    <s v="Delivered"/>
    <n v="405"/>
    <n v="18.662551440329221"/>
    <s v="Profit"/>
    <s v="Meera Patel"/>
    <x v="0"/>
    <x v="2"/>
    <s v="Delhi"/>
    <s v="Delhi"/>
    <s v="2024-08-15"/>
    <s v="36-50"/>
    <n v="75.583333333333329"/>
  </r>
  <r>
    <s v="ORD04201"/>
    <d v="2026-08-24T00:00:00"/>
    <s v="CUST0520"/>
    <x v="1"/>
    <x v="15"/>
    <n v="6"/>
    <n v="0.1"/>
    <n v="11880"/>
    <n v="-42000"/>
    <x v="2"/>
    <s v="Delivered"/>
    <n v="1980"/>
    <n v="-353.53535353535352"/>
    <s v="Loss"/>
    <s v="Karthik Chopra"/>
    <x v="0"/>
    <x v="0"/>
    <s v="Chennai"/>
    <s v="Tamil Nadu"/>
    <s v="2023-12-09"/>
    <s v="26-35"/>
    <n v="-7000"/>
  </r>
  <r>
    <s v="ORD04202"/>
    <d v="2026-08-12T00:00:00"/>
    <s v="CUST0573"/>
    <x v="2"/>
    <x v="2"/>
    <n v="3"/>
    <n v="0.1"/>
    <n v="35100"/>
    <n v="7666.26"/>
    <x v="2"/>
    <s v="Delivered"/>
    <n v="11700"/>
    <n v="21.841196581196581"/>
    <s v="Profit"/>
    <s v="Aditya Pillai"/>
    <x v="0"/>
    <x v="1"/>
    <s v="Surat"/>
    <s v="Gujarat"/>
    <s v="2024-03-11"/>
    <s v="18-25"/>
    <n v="2555.42"/>
  </r>
  <r>
    <s v="ORD04203"/>
    <d v="2025-08-24T00:00:00"/>
    <s v="CUST0137"/>
    <x v="3"/>
    <x v="4"/>
    <n v="2"/>
    <n v="0.2"/>
    <n v="28800"/>
    <n v="1506.72"/>
    <x v="2"/>
    <s v="Shipped"/>
    <n v="14400"/>
    <n v="5.2316666666666674"/>
    <s v="Profit"/>
    <s v="Nisha Rao"/>
    <x v="1"/>
    <x v="2"/>
    <s v="Delhi"/>
    <s v="Delhi"/>
    <s v="2024-07-02"/>
    <s v="26-35"/>
    <n v="753.36"/>
  </r>
  <r>
    <s v="ORD04204"/>
    <d v="2026-08-17T00:00:00"/>
    <s v="CUST0238"/>
    <x v="0"/>
    <x v="14"/>
    <n v="3"/>
    <n v="0"/>
    <n v="1350"/>
    <n v="330"/>
    <x v="2"/>
    <s v="Delivered"/>
    <n v="450"/>
    <n v="24.444444444444439"/>
    <s v="Profit"/>
    <s v="Vikram Sharma"/>
    <x v="2"/>
    <x v="0"/>
    <s v="Bengaluru"/>
    <s v="Karnataka"/>
    <s v="2025-03-30"/>
    <s v="26-35"/>
    <n v="110"/>
  </r>
  <r>
    <s v="ORD04205"/>
    <d v="2025-09-13T00:00:00"/>
    <s v="CUST0219"/>
    <x v="2"/>
    <x v="9"/>
    <n v="1"/>
    <n v="0.1"/>
    <n v="8100"/>
    <n v="-1625.18"/>
    <x v="0"/>
    <s v="Returned"/>
    <n v="8100"/>
    <n v="-20.06395061728395"/>
    <s v="Loss"/>
    <s v="Rahul Menon"/>
    <x v="1"/>
    <x v="3"/>
    <s v="Patna"/>
    <s v="Bihar"/>
    <s v="2023-10-06"/>
    <s v="36-50"/>
    <n v="-1625.18"/>
  </r>
  <r>
    <s v="ORD04206"/>
    <d v="2025-10-06T00:00:00"/>
    <s v="CUST0251"/>
    <x v="2"/>
    <x v="2"/>
    <n v="5"/>
    <n v="0.1"/>
    <n v="58500"/>
    <n v="11018.82"/>
    <x v="0"/>
    <s v="Shipped"/>
    <n v="11700"/>
    <n v="18.83558974358974"/>
    <s v="Profit"/>
    <s v="Arjun Verma"/>
    <x v="2"/>
    <x v="0"/>
    <s v="Coimbatore"/>
    <s v="Tamil Nadu"/>
    <s v="2023-06-16"/>
    <s v="36-50"/>
    <n v="2203.7640000000001"/>
  </r>
  <r>
    <s v="ORD04207"/>
    <d v="2025-10-03T00:00:00"/>
    <s v="CUST0259"/>
    <x v="2"/>
    <x v="2"/>
    <n v="1"/>
    <n v="0.2"/>
    <n v="10400"/>
    <n v="1718.93"/>
    <x v="0"/>
    <s v="Delivered"/>
    <n v="10400"/>
    <n v="16.528173076923078"/>
    <s v="Profit"/>
    <s v="Manoj Menon"/>
    <x v="2"/>
    <x v="0"/>
    <s v="Coimbatore"/>
    <s v="Tamil Nadu"/>
    <s v="2023-10-20"/>
    <s v="26-35"/>
    <n v="1718.93"/>
  </r>
  <r>
    <s v="ORD04208"/>
    <d v="2026-05-26T00:00:00"/>
    <s v="CUST0535"/>
    <x v="3"/>
    <x v="10"/>
    <n v="1"/>
    <n v="0.05"/>
    <n v="52250"/>
    <n v="7538.43"/>
    <x v="2"/>
    <s v="Shipped"/>
    <n v="52250"/>
    <n v="14.427617224880381"/>
    <s v="Profit"/>
    <s v="Sanjay Reddy"/>
    <x v="0"/>
    <x v="0"/>
    <s v="Bengaluru"/>
    <s v="Karnataka"/>
    <s v="2024-03-17"/>
    <s v="18-25"/>
    <n v="7538.43"/>
  </r>
  <r>
    <s v="ORD04209"/>
    <d v="2025-08-02T00:00:00"/>
    <s v="CUST0325"/>
    <x v="0"/>
    <x v="7"/>
    <n v="2"/>
    <n v="0.15"/>
    <n v="1530"/>
    <n v="405.88"/>
    <x v="0"/>
    <s v="Delivered"/>
    <n v="765"/>
    <n v="26.5281045751634"/>
    <s v="Profit"/>
    <s v="Arjun Mishra"/>
    <x v="0"/>
    <x v="0"/>
    <s v="Chennai"/>
    <s v="Tamil Nadu"/>
    <s v="2023-05-08"/>
    <s v="51+"/>
    <n v="202.94"/>
  </r>
  <r>
    <s v="ORD04210"/>
    <d v="2026-03-14T00:00:00"/>
    <s v="CUST0173"/>
    <x v="3"/>
    <x v="4"/>
    <n v="2"/>
    <n v="0.05"/>
    <n v="34200"/>
    <n v="-4454.33"/>
    <x v="3"/>
    <s v="Cancelled"/>
    <n v="17100"/>
    <n v="-13.0243567251462"/>
    <s v="Loss"/>
    <s v="Rohan Rao"/>
    <x v="1"/>
    <x v="0"/>
    <s v="Bengaluru"/>
    <s v="Karnataka"/>
    <s v="2024-03-17"/>
    <s v="18-25"/>
    <n v="-2227.165"/>
  </r>
  <r>
    <s v="ORD04211"/>
    <d v="2025-07-06T00:00:00"/>
    <s v="CUST0217"/>
    <x v="0"/>
    <x v="0"/>
    <n v="3"/>
    <n v="0"/>
    <n v="42000"/>
    <n v="8400"/>
    <x v="1"/>
    <s v="Delivered"/>
    <n v="14000"/>
    <n v="20"/>
    <s v="Profit"/>
    <s v="Pooja Mehta"/>
    <x v="0"/>
    <x v="0"/>
    <s v="Hyderabad"/>
    <s v="Telangana"/>
    <s v="2024-11-14"/>
    <s v="51+"/>
    <n v="2800"/>
  </r>
  <r>
    <s v="ORD04212"/>
    <d v="2025-07-25T00:00:00"/>
    <s v="CUST0019"/>
    <x v="3"/>
    <x v="11"/>
    <n v="3"/>
    <n v="0.1"/>
    <n v="6750"/>
    <n v="1840.85"/>
    <x v="3"/>
    <s v="Delivered"/>
    <n v="2250"/>
    <n v="27.271851851851849"/>
    <s v="Profit"/>
    <s v="Ishaan Pillai"/>
    <x v="0"/>
    <x v="1"/>
    <s v="Ahmedabad"/>
    <s v="Gujarat"/>
    <s v="2023-06-28"/>
    <s v="36-50"/>
    <n v="613.61666666666667"/>
  </r>
  <r>
    <s v="ORD04213"/>
    <d v="2025-08-24T00:00:00"/>
    <s v="CUST0204"/>
    <x v="1"/>
    <x v="15"/>
    <n v="2"/>
    <n v="0"/>
    <n v="4400"/>
    <n v="1500"/>
    <x v="0"/>
    <s v="Delivered"/>
    <n v="2200"/>
    <n v="34.090909090909093"/>
    <s v="Profit"/>
    <s v="Karthik Mehta"/>
    <x v="0"/>
    <x v="1"/>
    <s v="Surat"/>
    <s v="Gujarat"/>
    <s v="2025-07-25"/>
    <s v="26-35"/>
    <n v="750"/>
  </r>
  <r>
    <s v="ORD04214"/>
    <d v="2025-07-26T00:00:00"/>
    <s v="CUST0289"/>
    <x v="0"/>
    <x v="7"/>
    <n v="2"/>
    <n v="0"/>
    <n v="1800"/>
    <n v="-661.31"/>
    <x v="3"/>
    <s v="Cancelled"/>
    <n v="900"/>
    <n v="-36.739444444444437"/>
    <s v="Loss"/>
    <s v="Rahul Iyer"/>
    <x v="2"/>
    <x v="0"/>
    <s v="Coimbatore"/>
    <s v="Tamil Nadu"/>
    <s v="2023-01-07"/>
    <s v="18-25"/>
    <n v="-330.65499999999997"/>
  </r>
  <r>
    <s v="ORD04215"/>
    <d v="2025-11-12T00:00:00"/>
    <s v="CUST0061"/>
    <x v="3"/>
    <x v="4"/>
    <n v="2"/>
    <n v="0.1"/>
    <n v="32400"/>
    <n v="4531.43"/>
    <x v="0"/>
    <s v="Shipped"/>
    <n v="16200"/>
    <n v="13.985895061728399"/>
    <s v="Profit"/>
    <s v="Meera Kulkarni"/>
    <x v="0"/>
    <x v="0"/>
    <s v="Bengaluru"/>
    <s v="Karnataka"/>
    <s v="2024-11-07"/>
    <s v="18-25"/>
    <n v="2265.7150000000001"/>
  </r>
  <r>
    <s v="ORD04216"/>
    <d v="2026-04-08T00:00:00"/>
    <s v="CUST0485"/>
    <x v="3"/>
    <x v="8"/>
    <n v="2"/>
    <n v="0.2"/>
    <n v="7200"/>
    <n v="1538.59"/>
    <x v="1"/>
    <s v="Delivered"/>
    <n v="3600"/>
    <n v="21.369305555555549"/>
    <s v="Profit"/>
    <s v="Lakshmi Patel"/>
    <x v="0"/>
    <x v="2"/>
    <s v="Jaipur"/>
    <s v="Rajasthan"/>
    <s v="2024-10-30"/>
    <s v="26-35"/>
    <n v="769.29499999999996"/>
  </r>
  <r>
    <s v="ORD04217"/>
    <d v="2026-05-02T00:00:00"/>
    <s v="CUST0214"/>
    <x v="3"/>
    <x v="8"/>
    <n v="1"/>
    <n v="0.3"/>
    <n v="3150"/>
    <n v="422.72"/>
    <x v="0"/>
    <s v="Shipped"/>
    <n v="3150"/>
    <n v="13.41968253968254"/>
    <s v="Profit"/>
    <s v="Ananya Rao"/>
    <x v="0"/>
    <x v="0"/>
    <s v="Hyderabad"/>
    <s v="Telangana"/>
    <s v="2023-07-14"/>
    <s v="51+"/>
    <n v="422.72"/>
  </r>
  <r>
    <s v="ORD04218"/>
    <d v="2026-04-22T00:00:00"/>
    <s v="CUST0163"/>
    <x v="2"/>
    <x v="2"/>
    <n v="3"/>
    <n v="0.1"/>
    <n v="35100"/>
    <n v="7780.73"/>
    <x v="3"/>
    <s v="Delivered"/>
    <n v="11700"/>
    <n v="22.16732193732193"/>
    <s v="Profit"/>
    <s v="Rohan Iyer"/>
    <x v="2"/>
    <x v="2"/>
    <s v="Jaipur"/>
    <s v="Rajasthan"/>
    <s v="2024-05-11"/>
    <s v="18-25"/>
    <n v="2593.5766666666659"/>
  </r>
  <r>
    <s v="ORD04219"/>
    <d v="2025-12-13T00:00:00"/>
    <s v="CUST0044"/>
    <x v="2"/>
    <x v="5"/>
    <n v="3"/>
    <n v="0.05"/>
    <n v="31350"/>
    <n v="6651.22"/>
    <x v="3"/>
    <s v="Delivered"/>
    <n v="10450"/>
    <n v="21.21601275917066"/>
    <s v="Profit"/>
    <s v="Rahul Rao"/>
    <x v="0"/>
    <x v="1"/>
    <s v="Pune"/>
    <s v="Maharashtra"/>
    <s v="2025-07-18"/>
    <s v="36-50"/>
    <n v="2217.0733333333328"/>
  </r>
  <r>
    <s v="ORD04220"/>
    <d v="2026-01-11T00:00:00"/>
    <s v="CUST0209"/>
    <x v="0"/>
    <x v="14"/>
    <n v="3"/>
    <n v="0"/>
    <n v="1350"/>
    <n v="-596.96"/>
    <x v="3"/>
    <s v="Returned"/>
    <n v="450"/>
    <n v="-44.21925925925926"/>
    <s v="Loss"/>
    <s v="Rahul Naidu"/>
    <x v="0"/>
    <x v="0"/>
    <s v="Hyderabad"/>
    <s v="Telangana"/>
    <s v="2023-02-09"/>
    <s v="36-50"/>
    <n v="-198.98666666666671"/>
  </r>
  <r>
    <s v="ORD04221"/>
    <d v="2025-09-15T00:00:00"/>
    <s v="CUST0417"/>
    <x v="3"/>
    <x v="11"/>
    <n v="6"/>
    <n v="0.1"/>
    <n v="13500"/>
    <n v="3613.18"/>
    <x v="1"/>
    <s v="Delivered"/>
    <n v="2250"/>
    <n v="26.764296296296301"/>
    <s v="Profit"/>
    <s v="Ishaan Reddy"/>
    <x v="0"/>
    <x v="2"/>
    <s v="Lucknow"/>
    <s v="Uttar Pradesh"/>
    <s v="2024-10-11"/>
    <s v="26-35"/>
    <n v="602.1966666666666"/>
  </r>
  <r>
    <s v="ORD04222"/>
    <d v="2025-12-16T00:00:00"/>
    <s v="CUST0163"/>
    <x v="0"/>
    <x v="7"/>
    <n v="3"/>
    <n v="0.05"/>
    <n v="2565"/>
    <n v="733.58"/>
    <x v="0"/>
    <s v="Delivered"/>
    <n v="855"/>
    <n v="28.599610136452242"/>
    <s v="Profit"/>
    <s v="Rohan Iyer"/>
    <x v="2"/>
    <x v="2"/>
    <s v="Jaipur"/>
    <s v="Rajasthan"/>
    <s v="2024-05-11"/>
    <s v="18-25"/>
    <n v="244.5266666666667"/>
  </r>
  <r>
    <s v="ORD04223"/>
    <d v="2026-01-20T00:00:00"/>
    <s v="CUST0481"/>
    <x v="3"/>
    <x v="4"/>
    <n v="4"/>
    <n v="0.05"/>
    <n v="68400"/>
    <n v="-18704.060000000001"/>
    <x v="3"/>
    <s v="Returned"/>
    <n v="17100"/>
    <n v="-27.345116959064331"/>
    <s v="Loss"/>
    <s v="Diya Kulkarni"/>
    <x v="1"/>
    <x v="2"/>
    <s v="Lucknow"/>
    <s v="Uttar Pradesh"/>
    <s v="2024-07-28"/>
    <s v="26-35"/>
    <n v="-4676.0150000000003"/>
  </r>
  <r>
    <s v="ORD04224"/>
    <d v="2025-10-07T00:00:00"/>
    <s v="CUST0325"/>
    <x v="0"/>
    <x v="6"/>
    <n v="2"/>
    <n v="0.2"/>
    <n v="560"/>
    <n v="175.31"/>
    <x v="3"/>
    <s v="Delivered"/>
    <n v="280"/>
    <n v="31.30535714285714"/>
    <s v="Profit"/>
    <s v="Arjun Mishra"/>
    <x v="0"/>
    <x v="0"/>
    <s v="Chennai"/>
    <s v="Tamil Nadu"/>
    <s v="2023-05-08"/>
    <s v="51+"/>
    <n v="87.655000000000001"/>
  </r>
  <r>
    <s v="ORD04225"/>
    <d v="2025-10-11T00:00:00"/>
    <s v="CUST0359"/>
    <x v="2"/>
    <x v="9"/>
    <n v="10"/>
    <n v="0.1"/>
    <n v="81000"/>
    <n v="17237.25"/>
    <x v="0"/>
    <s v="Delivered"/>
    <n v="8100"/>
    <n v="21.280555555555559"/>
    <s v="Profit"/>
    <s v="Ananya Mishra"/>
    <x v="0"/>
    <x v="0"/>
    <s v="Bengaluru"/>
    <s v="Karnataka"/>
    <s v="2024-05-22"/>
    <s v="26-35"/>
    <n v="1723.7249999999999"/>
  </r>
  <r>
    <s v="ORD04226"/>
    <d v="2026-04-16T00:00:00"/>
    <s v="CUST0549"/>
    <x v="0"/>
    <x v="7"/>
    <n v="3"/>
    <n v="0.1"/>
    <n v="2430"/>
    <n v="621.02"/>
    <x v="0"/>
    <s v="Delivered"/>
    <n v="810"/>
    <n v="25.556378600823042"/>
    <s v="Profit"/>
    <s v="Lakshmi Das"/>
    <x v="0"/>
    <x v="1"/>
    <s v="Ahmedabad"/>
    <s v="Gujarat"/>
    <s v="2024-02-21"/>
    <s v="36-50"/>
    <n v="207.00666666666669"/>
  </r>
  <r>
    <s v="ORD04227"/>
    <d v="2026-01-24T00:00:00"/>
    <s v="CUST0334"/>
    <x v="0"/>
    <x v="0"/>
    <n v="4"/>
    <n v="0.05"/>
    <n v="53200"/>
    <n v="9531"/>
    <x v="2"/>
    <s v="Delivered"/>
    <n v="13300"/>
    <n v="17.915413533834592"/>
    <s v="Profit"/>
    <s v="Rahul Joshi"/>
    <x v="1"/>
    <x v="0"/>
    <s v="Hyderabad"/>
    <s v="Telangana"/>
    <s v="2024-05-26"/>
    <s v="26-35"/>
    <n v="2382.75"/>
  </r>
  <r>
    <s v="ORD04228"/>
    <d v="2026-06-07T00:00:00"/>
    <s v="CUST0019"/>
    <x v="2"/>
    <x v="5"/>
    <n v="4"/>
    <n v="0"/>
    <n v="44000"/>
    <n v="10400"/>
    <x v="0"/>
    <s v="Delivered"/>
    <n v="11000"/>
    <n v="23.63636363636364"/>
    <s v="Profit"/>
    <s v="Ishaan Pillai"/>
    <x v="0"/>
    <x v="1"/>
    <s v="Ahmedabad"/>
    <s v="Gujarat"/>
    <s v="2023-06-28"/>
    <s v="36-50"/>
    <n v="2600"/>
  </r>
  <r>
    <s v="ORD04229"/>
    <d v="2026-07-24T00:00:00"/>
    <s v="CUST0557"/>
    <x v="3"/>
    <x v="10"/>
    <n v="2"/>
    <n v="0.1"/>
    <n v="99000"/>
    <n v="12678.64"/>
    <x v="3"/>
    <s v="Delivered"/>
    <n v="49500"/>
    <n v="12.80670707070707"/>
    <s v="Profit"/>
    <s v="Divya Mishra"/>
    <x v="0"/>
    <x v="2"/>
    <s v="Lucknow"/>
    <s v="Uttar Pradesh"/>
    <s v="2024-11-08"/>
    <s v="18-25"/>
    <n v="6339.32"/>
  </r>
  <r>
    <s v="ORD04230"/>
    <d v="2025-10-04T00:00:00"/>
    <s v="CUST0474"/>
    <x v="0"/>
    <x v="7"/>
    <n v="2"/>
    <n v="0.05"/>
    <n v="1710"/>
    <n v="511.35"/>
    <x v="1"/>
    <s v="Delivered"/>
    <n v="855"/>
    <n v="29.903508771929829"/>
    <s v="Profit"/>
    <s v="Meera Chopra"/>
    <x v="2"/>
    <x v="0"/>
    <s v="Hyderabad"/>
    <s v="Telangana"/>
    <s v="2023-02-16"/>
    <s v="36-50"/>
    <n v="255.67500000000001"/>
  </r>
  <r>
    <s v="ORD04231"/>
    <d v="2026-08-03T00:00:00"/>
    <s v="CUST0263"/>
    <x v="1"/>
    <x v="15"/>
    <n v="2"/>
    <n v="0.1"/>
    <n v="3960"/>
    <n v="1222.81"/>
    <x v="2"/>
    <s v="Delivered"/>
    <n v="1980"/>
    <n v="30.879040404040399"/>
    <s v="Profit"/>
    <s v="Priya Khan"/>
    <x v="0"/>
    <x v="3"/>
    <s v="Kolkata"/>
    <s v="West Bengal"/>
    <s v="2025-03-25"/>
    <s v="26-35"/>
    <n v="611.40499999999997"/>
  </r>
  <r>
    <s v="ORD04232"/>
    <d v="2026-07-23T00:00:00"/>
    <s v="CUST0401"/>
    <x v="3"/>
    <x v="11"/>
    <n v="2"/>
    <n v="0"/>
    <n v="5000"/>
    <n v="1600"/>
    <x v="1"/>
    <s v="Delivered"/>
    <n v="2500"/>
    <n v="32"/>
    <s v="Profit"/>
    <s v="Ananya Nair"/>
    <x v="0"/>
    <x v="0"/>
    <s v="Hyderabad"/>
    <s v="Telangana"/>
    <s v="2024-04-08"/>
    <s v="26-35"/>
    <n v="800"/>
  </r>
  <r>
    <s v="ORD04233"/>
    <d v="2026-08-29T00:00:00"/>
    <s v="CUST0472"/>
    <x v="2"/>
    <x v="2"/>
    <n v="5"/>
    <n v="0.1"/>
    <n v="58500"/>
    <n v="11954.43"/>
    <x v="3"/>
    <s v="Delivered"/>
    <n v="11700"/>
    <n v="20.434923076923081"/>
    <s v="Profit"/>
    <s v="Kavya Gupta"/>
    <x v="1"/>
    <x v="3"/>
    <s v="Bhubaneswar"/>
    <s v="Odisha"/>
    <s v="2025-07-26"/>
    <s v="26-35"/>
    <n v="2390.886"/>
  </r>
  <r>
    <s v="ORD04234"/>
    <d v="2026-03-30T00:00:00"/>
    <s v="CUST0061"/>
    <x v="1"/>
    <x v="1"/>
    <n v="2"/>
    <n v="0.3"/>
    <n v="2520"/>
    <n v="761.65"/>
    <x v="3"/>
    <s v="Delivered"/>
    <n v="1260"/>
    <n v="30.224206349206352"/>
    <s v="Profit"/>
    <s v="Meera Kulkarni"/>
    <x v="0"/>
    <x v="0"/>
    <s v="Bengaluru"/>
    <s v="Karnataka"/>
    <s v="2024-11-07"/>
    <s v="18-25"/>
    <n v="380.82499999999999"/>
  </r>
  <r>
    <s v="ORD04235"/>
    <d v="2026-07-27T00:00:00"/>
    <s v="CUST0240"/>
    <x v="0"/>
    <x v="14"/>
    <n v="2"/>
    <n v="0.15"/>
    <n v="765"/>
    <n v="131.1"/>
    <x v="3"/>
    <s v="Shipped"/>
    <n v="382.5"/>
    <n v="17.13725490196078"/>
    <s v="Profit"/>
    <s v="Kavya Joshi"/>
    <x v="0"/>
    <x v="1"/>
    <s v="Mumbai"/>
    <s v="Maharashtra"/>
    <s v="2024-05-21"/>
    <s v="51+"/>
    <n v="65.55"/>
  </r>
  <r>
    <s v="ORD04236"/>
    <d v="2025-11-14T00:00:00"/>
    <s v="CUST0359"/>
    <x v="1"/>
    <x v="12"/>
    <n v="1"/>
    <n v="0.1"/>
    <n v="1260"/>
    <n v="390.53"/>
    <x v="0"/>
    <s v="Delivered"/>
    <n v="1260"/>
    <n v="30.99444444444444"/>
    <s v="Profit"/>
    <s v="Ananya Mishra"/>
    <x v="0"/>
    <x v="0"/>
    <s v="Bengaluru"/>
    <s v="Karnataka"/>
    <s v="2024-05-22"/>
    <s v="26-35"/>
    <n v="390.53"/>
  </r>
  <r>
    <s v="ORD04237"/>
    <d v="2026-05-17T00:00:00"/>
    <s v="CUST0352"/>
    <x v="0"/>
    <x v="6"/>
    <n v="4"/>
    <n v="0"/>
    <n v="1400"/>
    <n v="480"/>
    <x v="3"/>
    <s v="Delivered"/>
    <n v="350"/>
    <n v="34.285714285714278"/>
    <s v="Profit"/>
    <s v="Ishaan Verma"/>
    <x v="0"/>
    <x v="1"/>
    <s v="Ahmedabad"/>
    <s v="Gujarat"/>
    <s v="2024-05-01"/>
    <s v="51+"/>
    <n v="120"/>
  </r>
  <r>
    <s v="ORD04238"/>
    <d v="2025-08-05T00:00:00"/>
    <s v="CUST0319"/>
    <x v="0"/>
    <x v="7"/>
    <n v="3"/>
    <n v="0.1"/>
    <n v="2430"/>
    <n v="676.44"/>
    <x v="1"/>
    <s v="Delivered"/>
    <n v="810"/>
    <n v="27.837037037037039"/>
    <s v="Profit"/>
    <s v="Vikram Sharma"/>
    <x v="0"/>
    <x v="0"/>
    <s v="Bengaluru"/>
    <s v="Karnataka"/>
    <s v="2024-01-16"/>
    <s v="26-35"/>
    <n v="225.48"/>
  </r>
  <r>
    <s v="ORD04239"/>
    <d v="2026-04-29T00:00:00"/>
    <s v="CUST0264"/>
    <x v="2"/>
    <x v="9"/>
    <n v="4"/>
    <n v="0"/>
    <n v="36000"/>
    <n v="9200"/>
    <x v="3"/>
    <s v="Delivered"/>
    <n v="9000"/>
    <n v="25.55555555555555"/>
    <s v="Profit"/>
    <s v="Sneha Kulkarni"/>
    <x v="1"/>
    <x v="0"/>
    <s v="Chennai"/>
    <s v="Tamil Nadu"/>
    <s v="2024-02-11"/>
    <s v="51+"/>
    <n v="2300"/>
  </r>
  <r>
    <s v="ORD04240"/>
    <d v="2026-04-04T00:00:00"/>
    <s v="CUST0090"/>
    <x v="1"/>
    <x v="1"/>
    <n v="5"/>
    <n v="0.1"/>
    <n v="8100"/>
    <n v="2545.6999999999998"/>
    <x v="0"/>
    <s v="Delivered"/>
    <n v="1620"/>
    <n v="31.428395061728391"/>
    <s v="Profit"/>
    <s v="Nisha Bose"/>
    <x v="1"/>
    <x v="0"/>
    <s v="Coimbatore"/>
    <s v="Tamil Nadu"/>
    <s v="2024-09-07"/>
    <s v="51+"/>
    <n v="509.14"/>
  </r>
  <r>
    <s v="ORD04241"/>
    <d v="2025-11-28T00:00:00"/>
    <s v="CUST0122"/>
    <x v="3"/>
    <x v="11"/>
    <n v="2"/>
    <n v="0.1"/>
    <n v="4500"/>
    <n v="-639.29999999999995"/>
    <x v="2"/>
    <s v="Returned"/>
    <n v="2250"/>
    <n v="-14.206666666666671"/>
    <s v="Loss"/>
    <s v="Pooja Pillai"/>
    <x v="1"/>
    <x v="1"/>
    <s v="Pune"/>
    <s v="Maharashtra"/>
    <s v="2023-03-15"/>
    <s v="26-35"/>
    <n v="-319.64999999999998"/>
  </r>
  <r>
    <s v="ORD04242"/>
    <d v="2026-06-20T00:00:00"/>
    <s v="CUST0230"/>
    <x v="2"/>
    <x v="2"/>
    <n v="1"/>
    <n v="0"/>
    <n v="13000"/>
    <n v="3200"/>
    <x v="0"/>
    <s v="Delivered"/>
    <n v="13000"/>
    <n v="24.61538461538462"/>
    <s v="Profit"/>
    <s v="Ishaan Iyer"/>
    <x v="0"/>
    <x v="0"/>
    <s v="Bengaluru"/>
    <s v="Karnataka"/>
    <s v="2025-11-29"/>
    <s v="26-35"/>
    <n v="3200"/>
  </r>
  <r>
    <s v="ORD04243"/>
    <d v="2026-03-06T00:00:00"/>
    <s v="CUST0585"/>
    <x v="2"/>
    <x v="9"/>
    <n v="6"/>
    <n v="0.1"/>
    <n v="48600"/>
    <n v="10899.03"/>
    <x v="0"/>
    <s v="Delivered"/>
    <n v="8100"/>
    <n v="22.425987654320991"/>
    <s v="Profit"/>
    <s v="Diya Reddy"/>
    <x v="1"/>
    <x v="0"/>
    <s v="Bengaluru"/>
    <s v="Karnataka"/>
    <s v="2024-03-03"/>
    <s v="51+"/>
    <n v="1816.5050000000001"/>
  </r>
  <r>
    <s v="ORD04244"/>
    <d v="2026-04-25T00:00:00"/>
    <s v="CUST0291"/>
    <x v="3"/>
    <x v="10"/>
    <n v="2"/>
    <n v="0.05"/>
    <n v="104500"/>
    <n v="14753.9"/>
    <x v="2"/>
    <s v="Shipped"/>
    <n v="52250"/>
    <n v="14.118564593301439"/>
    <s v="Profit"/>
    <s v="Divya Chopra"/>
    <x v="1"/>
    <x v="0"/>
    <s v="Bengaluru"/>
    <s v="Karnataka"/>
    <s v="2023-10-19"/>
    <s v="18-25"/>
    <n v="7376.95"/>
  </r>
  <r>
    <s v="ORD04245"/>
    <d v="2026-08-06T00:00:00"/>
    <s v="CUST0405"/>
    <x v="3"/>
    <x v="4"/>
    <n v="4"/>
    <n v="0"/>
    <n v="72000"/>
    <n v="14000"/>
    <x v="1"/>
    <s v="Delivered"/>
    <n v="18000"/>
    <n v="19.44444444444445"/>
    <s v="Profit"/>
    <s v="Varun Naidu"/>
    <x v="0"/>
    <x v="0"/>
    <s v="Chennai"/>
    <s v="Tamil Nadu"/>
    <s v="2024-05-06"/>
    <s v="26-35"/>
    <n v="3500"/>
  </r>
  <r>
    <s v="ORD04246"/>
    <d v="2025-12-13T00:00:00"/>
    <s v="CUST0026"/>
    <x v="2"/>
    <x v="3"/>
    <n v="1"/>
    <n v="0.1"/>
    <n v="13500"/>
    <n v="2749.49"/>
    <x v="1"/>
    <s v="Shipped"/>
    <n v="13500"/>
    <n v="20.366592592592589"/>
    <s v="Profit"/>
    <s v="Arjun Mehta"/>
    <x v="2"/>
    <x v="0"/>
    <s v="Coimbatore"/>
    <s v="Tamil Nadu"/>
    <s v="2025-07-27"/>
    <s v="26-35"/>
    <n v="2749.49"/>
  </r>
  <r>
    <s v="ORD04247"/>
    <d v="2025-12-26T00:00:00"/>
    <s v="CUST0160"/>
    <x v="2"/>
    <x v="9"/>
    <n v="1"/>
    <n v="0.05"/>
    <n v="8550"/>
    <n v="-4287.25"/>
    <x v="1"/>
    <s v="Returned"/>
    <n v="8550"/>
    <n v="-50.143274853801167"/>
    <s v="Loss"/>
    <s v="Divya Sharma"/>
    <x v="2"/>
    <x v="0"/>
    <s v="Bengaluru"/>
    <s v="Karnataka"/>
    <s v="2024-09-25"/>
    <s v="18-25"/>
    <n v="-4287.25"/>
  </r>
  <r>
    <s v="ORD04248"/>
    <d v="2026-04-30T00:00:00"/>
    <s v="CUST0537"/>
    <x v="2"/>
    <x v="9"/>
    <n v="3"/>
    <n v="0.1"/>
    <n v="24300"/>
    <n v="5379.32"/>
    <x v="0"/>
    <s v="Delivered"/>
    <n v="8100"/>
    <n v="22.137119341563789"/>
    <s v="Profit"/>
    <s v="Vikram Pillai"/>
    <x v="0"/>
    <x v="0"/>
    <s v="Bengaluru"/>
    <s v="Karnataka"/>
    <s v="2023-11-18"/>
    <s v="26-35"/>
    <n v="1793.106666666667"/>
  </r>
  <r>
    <s v="ORD04249"/>
    <d v="2025-12-27T00:00:00"/>
    <s v="CUST0410"/>
    <x v="0"/>
    <x v="0"/>
    <n v="1"/>
    <n v="0"/>
    <n v="14000"/>
    <n v="-990.45"/>
    <x v="1"/>
    <s v="Returned"/>
    <n v="14000"/>
    <n v="-7.074642857142857"/>
    <s v="Loss"/>
    <s v="Pooja Iyer"/>
    <x v="1"/>
    <x v="0"/>
    <s v="Bengaluru"/>
    <s v="Karnataka"/>
    <s v="2025-07-08"/>
    <s v="18-25"/>
    <n v="-990.45"/>
  </r>
  <r>
    <s v="ORD04250"/>
    <d v="2026-02-28T00:00:00"/>
    <s v="CUST0031"/>
    <x v="2"/>
    <x v="5"/>
    <n v="3"/>
    <n v="0.15"/>
    <n v="28050"/>
    <n v="5294.23"/>
    <x v="3"/>
    <s v="Delivered"/>
    <n v="9350"/>
    <n v="18.874260249554361"/>
    <s v="Profit"/>
    <s v="Priya Mishra"/>
    <x v="2"/>
    <x v="0"/>
    <s v="Bengaluru"/>
    <s v="Karnataka"/>
    <s v="2023-05-09"/>
    <s v="51+"/>
    <n v="1764.7433333333331"/>
  </r>
  <r>
    <s v="ORD04251"/>
    <d v="2026-03-23T00:00:00"/>
    <s v="CUST0152"/>
    <x v="1"/>
    <x v="1"/>
    <n v="1"/>
    <n v="0.1"/>
    <n v="1620"/>
    <n v="562.79"/>
    <x v="3"/>
    <s v="Delivered"/>
    <n v="1620"/>
    <n v="34.740123456790123"/>
    <s v="Profit"/>
    <s v="Harini Rao"/>
    <x v="0"/>
    <x v="0"/>
    <s v="Coimbatore"/>
    <s v="Tamil Nadu"/>
    <s v="2025-12-02"/>
    <s v="51+"/>
    <n v="562.79"/>
  </r>
  <r>
    <s v="ORD04252"/>
    <d v="2025-09-23T00:00:00"/>
    <s v="CUST0073"/>
    <x v="0"/>
    <x v="7"/>
    <n v="5"/>
    <n v="0.15"/>
    <n v="3825"/>
    <n v="919.42"/>
    <x v="0"/>
    <s v="Shipped"/>
    <n v="765"/>
    <n v="24.037124183006529"/>
    <s v="Profit"/>
    <s v="Kavya Pillai"/>
    <x v="0"/>
    <x v="0"/>
    <s v="Hyderabad"/>
    <s v="Telangana"/>
    <s v="2023-04-01"/>
    <s v="26-35"/>
    <n v="183.88399999999999"/>
  </r>
  <r>
    <s v="ORD04253"/>
    <d v="2025-12-30T00:00:00"/>
    <s v="CUST0574"/>
    <x v="3"/>
    <x v="10"/>
    <n v="2"/>
    <n v="0.1"/>
    <n v="99000"/>
    <n v="11468.76"/>
    <x v="2"/>
    <s v="Delivered"/>
    <n v="49500"/>
    <n v="11.58460606060606"/>
    <s v="Profit"/>
    <s v="Akash Kulkarni"/>
    <x v="1"/>
    <x v="1"/>
    <s v="Pune"/>
    <s v="Maharashtra"/>
    <s v="2025-11-01"/>
    <s v="51+"/>
    <n v="5734.38"/>
  </r>
  <r>
    <s v="ORD04254"/>
    <d v="2025-10-01T00:00:00"/>
    <s v="CUST0500"/>
    <x v="1"/>
    <x v="13"/>
    <n v="2"/>
    <n v="0.1"/>
    <n v="7560"/>
    <n v="1797.75"/>
    <x v="2"/>
    <s v="Shipped"/>
    <n v="3780"/>
    <n v="23.779761904761909"/>
    <s v="Profit"/>
    <s v="Akash Bose"/>
    <x v="0"/>
    <x v="1"/>
    <s v="Mumbai"/>
    <s v="Maharashtra"/>
    <s v="2024-06-01"/>
    <s v="36-50"/>
    <n v="898.875"/>
  </r>
  <r>
    <s v="ORD04255"/>
    <d v="2026-06-06T00:00:00"/>
    <s v="CUST0544"/>
    <x v="0"/>
    <x v="7"/>
    <n v="6"/>
    <n v="0"/>
    <n v="5400"/>
    <n v="1680"/>
    <x v="1"/>
    <s v="Delivered"/>
    <n v="900"/>
    <n v="31.111111111111111"/>
    <s v="Profit"/>
    <s v="Rohan Menon"/>
    <x v="1"/>
    <x v="0"/>
    <s v="Hyderabad"/>
    <s v="Telangana"/>
    <s v="2024-05-08"/>
    <s v="26-35"/>
    <n v="280"/>
  </r>
  <r>
    <s v="ORD04256"/>
    <d v="2025-11-10T00:00:00"/>
    <s v="CUST0137"/>
    <x v="1"/>
    <x v="15"/>
    <n v="1"/>
    <n v="0.1"/>
    <n v="1980"/>
    <n v="-440.34"/>
    <x v="2"/>
    <s v="Returned"/>
    <n v="1980"/>
    <n v="-22.239393939393938"/>
    <s v="Loss"/>
    <s v="Nisha Rao"/>
    <x v="1"/>
    <x v="2"/>
    <s v="Delhi"/>
    <s v="Delhi"/>
    <s v="2024-07-02"/>
    <s v="26-35"/>
    <n v="-440.34"/>
  </r>
  <r>
    <s v="ORD04257"/>
    <d v="2025-08-29T00:00:00"/>
    <s v="CUST0522"/>
    <x v="1"/>
    <x v="15"/>
    <n v="5"/>
    <n v="0.2"/>
    <n v="8800"/>
    <n v="2648.92"/>
    <x v="0"/>
    <s v="Delivered"/>
    <n v="1760"/>
    <n v="30.10136363636364"/>
    <s v="Profit"/>
    <s v="Karthik Joshi"/>
    <x v="2"/>
    <x v="0"/>
    <s v="Bengaluru"/>
    <s v="Karnataka"/>
    <s v="2023-06-28"/>
    <s v="36-50"/>
    <n v="529.78399999999999"/>
  </r>
  <r>
    <s v="ORD04258"/>
    <d v="2026-06-13T00:00:00"/>
    <s v="CUST0154"/>
    <x v="2"/>
    <x v="3"/>
    <n v="3"/>
    <n v="0.1"/>
    <n v="40500"/>
    <n v="8368.77"/>
    <x v="3"/>
    <s v="Delivered"/>
    <n v="13500"/>
    <n v="20.663629629629629"/>
    <s v="Profit"/>
    <s v="Arjun Sharma"/>
    <x v="2"/>
    <x v="2"/>
    <s v="Jaipur"/>
    <s v="Rajasthan"/>
    <s v="2025-06-30"/>
    <s v="26-35"/>
    <n v="2789.59"/>
  </r>
  <r>
    <s v="ORD04259"/>
    <d v="2025-07-04T00:00:00"/>
    <s v="CUST0099"/>
    <x v="0"/>
    <x v="7"/>
    <n v="2"/>
    <n v="0.1"/>
    <n v="1620"/>
    <n v="474.64"/>
    <x v="0"/>
    <s v="Delivered"/>
    <n v="810"/>
    <n v="29.298765432098769"/>
    <s v="Profit"/>
    <s v="Ananya Mehta"/>
    <x v="1"/>
    <x v="2"/>
    <s v="Chandigarh"/>
    <s v="Chandigarh"/>
    <s v="2025-06-15"/>
    <s v="36-50"/>
    <n v="237.32"/>
  </r>
  <r>
    <s v="ORD04260"/>
    <d v="2025-12-23T00:00:00"/>
    <s v="CUST0170"/>
    <x v="3"/>
    <x v="11"/>
    <n v="5"/>
    <n v="0"/>
    <n v="12500"/>
    <n v="4000"/>
    <x v="3"/>
    <s v="Delivered"/>
    <n v="2500"/>
    <n v="32"/>
    <s v="Profit"/>
    <s v="Meera Iyer"/>
    <x v="2"/>
    <x v="0"/>
    <s v="Hyderabad"/>
    <s v="Telangana"/>
    <s v="2025-04-02"/>
    <s v="36-50"/>
    <n v="800"/>
  </r>
  <r>
    <s v="ORD04261"/>
    <d v="2025-08-17T00:00:00"/>
    <s v="CUST0026"/>
    <x v="2"/>
    <x v="3"/>
    <n v="2"/>
    <n v="0"/>
    <n v="30000"/>
    <n v="7000"/>
    <x v="3"/>
    <s v="Shipped"/>
    <n v="15000"/>
    <n v="23.333333333333329"/>
    <s v="Profit"/>
    <s v="Arjun Mehta"/>
    <x v="2"/>
    <x v="0"/>
    <s v="Coimbatore"/>
    <s v="Tamil Nadu"/>
    <s v="2025-07-27"/>
    <s v="26-35"/>
    <n v="3500"/>
  </r>
  <r>
    <s v="ORD04262"/>
    <d v="2025-09-17T00:00:00"/>
    <s v="CUST0516"/>
    <x v="3"/>
    <x v="8"/>
    <n v="3"/>
    <n v="0.1"/>
    <n v="12150"/>
    <n v="3743.23"/>
    <x v="1"/>
    <s v="Delivered"/>
    <n v="4050"/>
    <n v="30.80847736625514"/>
    <s v="Profit"/>
    <s v="Rahul Mishra"/>
    <x v="1"/>
    <x v="0"/>
    <s v="Hyderabad"/>
    <s v="Telangana"/>
    <s v="2024-01-31"/>
    <s v="26-35"/>
    <n v="1247.7433333333331"/>
  </r>
  <r>
    <s v="ORD04263"/>
    <d v="2026-06-22T00:00:00"/>
    <s v="CUST0198"/>
    <x v="0"/>
    <x v="7"/>
    <n v="1"/>
    <n v="0.1"/>
    <n v="810"/>
    <n v="-57.21"/>
    <x v="1"/>
    <s v="Returned"/>
    <n v="810"/>
    <n v="-7.0629629629629624"/>
    <s v="Loss"/>
    <s v="Varun Joshi"/>
    <x v="1"/>
    <x v="3"/>
    <s v="Bhubaneswar"/>
    <s v="Odisha"/>
    <s v="2024-08-06"/>
    <s v="36-50"/>
    <n v="-57.21"/>
  </r>
  <r>
    <s v="ORD04264"/>
    <d v="2026-03-27T00:00:00"/>
    <s v="CUST0281"/>
    <x v="2"/>
    <x v="5"/>
    <n v="5"/>
    <n v="0"/>
    <n v="55000"/>
    <n v="13000"/>
    <x v="0"/>
    <s v="Delivered"/>
    <n v="11000"/>
    <n v="23.63636363636364"/>
    <s v="Profit"/>
    <s v="Divya Reddy"/>
    <x v="0"/>
    <x v="0"/>
    <s v="Coimbatore"/>
    <s v="Tamil Nadu"/>
    <s v="2025-04-27"/>
    <s v="36-50"/>
    <n v="2600"/>
  </r>
  <r>
    <s v="ORD04265"/>
    <d v="2026-08-29T00:00:00"/>
    <s v="CUST0160"/>
    <x v="1"/>
    <x v="1"/>
    <n v="2"/>
    <n v="0.15"/>
    <n v="3060"/>
    <n v="1055.32"/>
    <x v="0"/>
    <s v="Delivered"/>
    <n v="1530"/>
    <n v="34.487581699346407"/>
    <s v="Profit"/>
    <s v="Divya Sharma"/>
    <x v="2"/>
    <x v="0"/>
    <s v="Bengaluru"/>
    <s v="Karnataka"/>
    <s v="2024-09-25"/>
    <s v="18-25"/>
    <n v="527.66"/>
  </r>
  <r>
    <s v="ORD04266"/>
    <d v="2026-06-15T00:00:00"/>
    <s v="CUST0456"/>
    <x v="1"/>
    <x v="13"/>
    <n v="5"/>
    <n v="0.1"/>
    <n v="18900"/>
    <n v="4486.71"/>
    <x v="1"/>
    <s v="Delivered"/>
    <n v="3780"/>
    <n v="23.739206349206349"/>
    <s v="Profit"/>
    <s v="Ananya Das"/>
    <x v="0"/>
    <x v="3"/>
    <s v="Patna"/>
    <s v="Bihar"/>
    <s v="2025-06-07"/>
    <s v="18-25"/>
    <n v="897.34199999999998"/>
  </r>
  <r>
    <s v="ORD04267"/>
    <d v="2025-08-10T00:00:00"/>
    <s v="CUST0177"/>
    <x v="3"/>
    <x v="4"/>
    <n v="6"/>
    <n v="0"/>
    <n v="108000"/>
    <n v="21000"/>
    <x v="3"/>
    <s v="Delivered"/>
    <n v="18000"/>
    <n v="19.44444444444445"/>
    <s v="Profit"/>
    <s v="Lakshmi Mehta"/>
    <x v="2"/>
    <x v="1"/>
    <s v="Mumbai"/>
    <s v="Maharashtra"/>
    <s v="2023-11-03"/>
    <s v="26-35"/>
    <n v="3500"/>
  </r>
  <r>
    <s v="ORD04268"/>
    <d v="2025-08-23T00:00:00"/>
    <s v="CUST0585"/>
    <x v="0"/>
    <x v="6"/>
    <n v="1"/>
    <n v="0"/>
    <n v="350"/>
    <n v="120"/>
    <x v="1"/>
    <s v="Delivered"/>
    <n v="350"/>
    <n v="34.285714285714278"/>
    <s v="Profit"/>
    <s v="Diya Reddy"/>
    <x v="1"/>
    <x v="0"/>
    <s v="Bengaluru"/>
    <s v="Karnataka"/>
    <s v="2024-03-03"/>
    <s v="51+"/>
    <n v="120"/>
  </r>
  <r>
    <s v="ORD04269"/>
    <d v="2025-08-06T00:00:00"/>
    <s v="CUST0447"/>
    <x v="0"/>
    <x v="0"/>
    <n v="4"/>
    <n v="0.15"/>
    <n v="47600"/>
    <n v="5101.38"/>
    <x v="3"/>
    <s v="Delivered"/>
    <n v="11900"/>
    <n v="10.717184873949581"/>
    <s v="Profit"/>
    <s v="Aarav Iyer"/>
    <x v="2"/>
    <x v="0"/>
    <s v="Hyderabad"/>
    <s v="Telangana"/>
    <s v="2024-09-12"/>
    <s v="36-50"/>
    <n v="1275.345"/>
  </r>
  <r>
    <s v="ORD04270"/>
    <d v="2026-05-25T00:00:00"/>
    <s v="CUST0315"/>
    <x v="0"/>
    <x v="0"/>
    <n v="3"/>
    <n v="0.1"/>
    <n v="37800"/>
    <n v="-13365.48"/>
    <x v="2"/>
    <s v="Returned"/>
    <n v="12600"/>
    <n v="-35.358412698412693"/>
    <s v="Loss"/>
    <s v="Harini Verma"/>
    <x v="0"/>
    <x v="0"/>
    <s v="Coimbatore"/>
    <s v="Tamil Nadu"/>
    <s v="2024-10-22"/>
    <s v="18-25"/>
    <n v="-4455.16"/>
  </r>
  <r>
    <s v="ORD04271"/>
    <d v="2026-02-20T00:00:00"/>
    <s v="CUST0394"/>
    <x v="3"/>
    <x v="4"/>
    <n v="2"/>
    <n v="0.05"/>
    <n v="34200"/>
    <n v="-6402.25"/>
    <x v="3"/>
    <s v="Returned"/>
    <n v="17100"/>
    <n v="-18.720029239766081"/>
    <s v="Loss"/>
    <s v="Shreya Nair"/>
    <x v="1"/>
    <x v="2"/>
    <s v="Jaipur"/>
    <s v="Rajasthan"/>
    <s v="2024-07-08"/>
    <s v="26-35"/>
    <n v="-3201.125"/>
  </r>
  <r>
    <s v="ORD04272"/>
    <d v="2026-08-26T00:00:00"/>
    <s v="CUST0239"/>
    <x v="1"/>
    <x v="13"/>
    <n v="4"/>
    <n v="0"/>
    <n v="16800"/>
    <n v="4800"/>
    <x v="1"/>
    <s v="Delivered"/>
    <n v="4200"/>
    <n v="28.571428571428569"/>
    <s v="Profit"/>
    <s v="Lakshmi Singh"/>
    <x v="1"/>
    <x v="1"/>
    <s v="Surat"/>
    <s v="Gujarat"/>
    <s v="2023-06-08"/>
    <s v="36-50"/>
    <n v="1200"/>
  </r>
  <r>
    <s v="ORD04273"/>
    <d v="2025-08-21T00:00:00"/>
    <s v="CUST0031"/>
    <x v="3"/>
    <x v="10"/>
    <n v="4"/>
    <n v="0.1"/>
    <n v="198000"/>
    <n v="18617.650000000001"/>
    <x v="2"/>
    <s v="Delivered"/>
    <n v="49500"/>
    <n v="9.4028535353535361"/>
    <s v="Profit"/>
    <s v="Priya Mishra"/>
    <x v="2"/>
    <x v="0"/>
    <s v="Bengaluru"/>
    <s v="Karnataka"/>
    <s v="2023-05-09"/>
    <s v="51+"/>
    <n v="4654.4125000000004"/>
  </r>
  <r>
    <s v="ORD04274"/>
    <d v="2025-12-23T00:00:00"/>
    <s v="CUST0341"/>
    <x v="0"/>
    <x v="7"/>
    <n v="2"/>
    <n v="0.05"/>
    <n v="1710"/>
    <n v="505.75"/>
    <x v="3"/>
    <s v="Delivered"/>
    <n v="855"/>
    <n v="29.576023391812871"/>
    <s v="Profit"/>
    <s v="Arjun Mehta"/>
    <x v="1"/>
    <x v="0"/>
    <s v="Coimbatore"/>
    <s v="Tamil Nadu"/>
    <s v="2023-11-21"/>
    <s v="26-35"/>
    <n v="252.875"/>
  </r>
  <r>
    <s v="ORD04275"/>
    <d v="2026-06-08T00:00:00"/>
    <s v="CUST0474"/>
    <x v="3"/>
    <x v="11"/>
    <n v="1"/>
    <n v="0.05"/>
    <n v="2375"/>
    <n v="704.21"/>
    <x v="1"/>
    <s v="Delivered"/>
    <n v="2375"/>
    <n v="29.65094736842105"/>
    <s v="Profit"/>
    <s v="Meera Chopra"/>
    <x v="2"/>
    <x v="0"/>
    <s v="Hyderabad"/>
    <s v="Telangana"/>
    <s v="2023-02-16"/>
    <s v="36-50"/>
    <n v="704.21"/>
  </r>
  <r>
    <s v="ORD04276"/>
    <d v="2026-01-18T00:00:00"/>
    <s v="CUST0545"/>
    <x v="3"/>
    <x v="10"/>
    <n v="3"/>
    <n v="0.2"/>
    <n v="132000"/>
    <n v="2632.57"/>
    <x v="0"/>
    <s v="Shipped"/>
    <n v="44000"/>
    <n v="1.994371212121212"/>
    <s v="Profit"/>
    <s v="Manoj Mehta"/>
    <x v="2"/>
    <x v="0"/>
    <s v="Chennai"/>
    <s v="Tamil Nadu"/>
    <s v="2025-12-28"/>
    <s v="26-35"/>
    <n v="877.52333333333343"/>
  </r>
  <r>
    <s v="ORD04277"/>
    <d v="2026-02-14T00:00:00"/>
    <s v="CUST0592"/>
    <x v="2"/>
    <x v="2"/>
    <n v="3"/>
    <n v="0.1"/>
    <n v="35100"/>
    <n v="7117.72"/>
    <x v="1"/>
    <s v="Delivered"/>
    <n v="11700"/>
    <n v="20.27840455840456"/>
    <s v="Profit"/>
    <s v="Priya Kulkarni"/>
    <x v="0"/>
    <x v="3"/>
    <s v="Patna"/>
    <s v="Bihar"/>
    <s v="2023-07-25"/>
    <s v="26-35"/>
    <n v="2372.5733333333328"/>
  </r>
  <r>
    <s v="ORD04278"/>
    <d v="2025-10-21T00:00:00"/>
    <s v="CUST0131"/>
    <x v="2"/>
    <x v="9"/>
    <n v="4"/>
    <n v="0.2"/>
    <n v="28800"/>
    <n v="5098.7700000000004"/>
    <x v="0"/>
    <s v="Delivered"/>
    <n v="7200"/>
    <n v="17.704062499999999"/>
    <s v="Profit"/>
    <s v="Harini Das"/>
    <x v="0"/>
    <x v="0"/>
    <s v="Chennai"/>
    <s v="Tamil Nadu"/>
    <s v="2024-10-14"/>
    <s v="26-35"/>
    <n v="1274.6925000000001"/>
  </r>
  <r>
    <s v="ORD04279"/>
    <d v="2026-07-26T00:00:00"/>
    <s v="CUST0401"/>
    <x v="3"/>
    <x v="11"/>
    <n v="1"/>
    <n v="0.15"/>
    <n v="2125"/>
    <n v="579.59"/>
    <x v="0"/>
    <s v="Delivered"/>
    <n v="2125"/>
    <n v="27.274823529411769"/>
    <s v="Profit"/>
    <s v="Ananya Nair"/>
    <x v="0"/>
    <x v="0"/>
    <s v="Hyderabad"/>
    <s v="Telangana"/>
    <s v="2024-04-08"/>
    <s v="26-35"/>
    <n v="579.59"/>
  </r>
  <r>
    <s v="ORD04280"/>
    <d v="2025-12-21T00:00:00"/>
    <s v="CUST0326"/>
    <x v="0"/>
    <x v="14"/>
    <n v="2"/>
    <n v="0"/>
    <n v="900"/>
    <n v="220"/>
    <x v="0"/>
    <s v="Delivered"/>
    <n v="450"/>
    <n v="24.444444444444439"/>
    <s v="Profit"/>
    <s v="Karthik Das"/>
    <x v="0"/>
    <x v="2"/>
    <s v="Lucknow"/>
    <s v="Uttar Pradesh"/>
    <s v="2025-07-07"/>
    <s v="51+"/>
    <n v="110"/>
  </r>
  <r>
    <s v="ORD04281"/>
    <d v="2025-09-03T00:00:00"/>
    <s v="CUST0120"/>
    <x v="0"/>
    <x v="14"/>
    <n v="1"/>
    <n v="0.05"/>
    <n v="427.5"/>
    <n v="95.46"/>
    <x v="3"/>
    <s v="Delivered"/>
    <n v="427.5"/>
    <n v="22.329824561403509"/>
    <s v="Profit"/>
    <s v="Sanjay Sharma"/>
    <x v="2"/>
    <x v="0"/>
    <s v="Bengaluru"/>
    <s v="Karnataka"/>
    <s v="2024-05-20"/>
    <s v="26-35"/>
    <n v="95.46"/>
  </r>
  <r>
    <s v="ORD04282"/>
    <d v="2026-01-26T00:00:00"/>
    <s v="CUST0514"/>
    <x v="0"/>
    <x v="14"/>
    <n v="2"/>
    <n v="0.05"/>
    <n v="855"/>
    <n v="191.86"/>
    <x v="2"/>
    <s v="Delivered"/>
    <n v="427.5"/>
    <n v="22.43976608187134"/>
    <s v="Profit"/>
    <s v="Manoj Iyer"/>
    <x v="0"/>
    <x v="2"/>
    <s v="Lucknow"/>
    <s v="Uttar Pradesh"/>
    <s v="2023-09-19"/>
    <s v="36-50"/>
    <n v="95.93"/>
  </r>
  <r>
    <s v="ORD04283"/>
    <d v="2025-11-11T00:00:00"/>
    <s v="CUST0318"/>
    <x v="3"/>
    <x v="4"/>
    <n v="4"/>
    <n v="0"/>
    <n v="72000"/>
    <n v="14000"/>
    <x v="1"/>
    <s v="Delivered"/>
    <n v="18000"/>
    <n v="19.44444444444445"/>
    <s v="Profit"/>
    <s v="Kavya Menon"/>
    <x v="1"/>
    <x v="2"/>
    <s v="Lucknow"/>
    <s v="Uttar Pradesh"/>
    <s v="2023-08-09"/>
    <s v="18-25"/>
    <n v="3500"/>
  </r>
  <r>
    <s v="ORD04284"/>
    <d v="2026-07-02T00:00:00"/>
    <s v="CUST0203"/>
    <x v="1"/>
    <x v="1"/>
    <n v="3"/>
    <n v="0.05"/>
    <n v="5130"/>
    <n v="1804.52"/>
    <x v="0"/>
    <s v="Delivered"/>
    <n v="1710"/>
    <n v="35.175828460038993"/>
    <s v="Profit"/>
    <s v="Arjun Gupta"/>
    <x v="2"/>
    <x v="0"/>
    <s v="Chennai"/>
    <s v="Tamil Nadu"/>
    <s v="2025-03-25"/>
    <s v="36-50"/>
    <n v="601.50666666666666"/>
  </r>
  <r>
    <s v="ORD04285"/>
    <d v="2025-07-12T00:00:00"/>
    <s v="CUST0124"/>
    <x v="2"/>
    <x v="5"/>
    <n v="3"/>
    <n v="0.05"/>
    <n v="31350"/>
    <n v="6931.86"/>
    <x v="0"/>
    <s v="Shipped"/>
    <n v="10450"/>
    <n v="22.1111961722488"/>
    <s v="Profit"/>
    <s v="Vikram Das"/>
    <x v="0"/>
    <x v="1"/>
    <s v="Pune"/>
    <s v="Maharashtra"/>
    <s v="2024-07-21"/>
    <s v="51+"/>
    <n v="2310.62"/>
  </r>
  <r>
    <s v="ORD04286"/>
    <d v="2026-01-20T00:00:00"/>
    <s v="CUST0349"/>
    <x v="3"/>
    <x v="10"/>
    <n v="1"/>
    <n v="0.15"/>
    <n v="46750"/>
    <n v="2020.54"/>
    <x v="1"/>
    <s v="Shipped"/>
    <n v="46750"/>
    <n v="4.3220106951871662"/>
    <s v="Profit"/>
    <s v="Aarav Nair"/>
    <x v="1"/>
    <x v="0"/>
    <s v="Hyderabad"/>
    <s v="Telangana"/>
    <s v="2025-07-22"/>
    <s v="26-35"/>
    <n v="2020.54"/>
  </r>
  <r>
    <s v="ORD04287"/>
    <d v="2025-09-20T00:00:00"/>
    <s v="CUST0198"/>
    <x v="3"/>
    <x v="11"/>
    <n v="3"/>
    <n v="0.05"/>
    <n v="7125"/>
    <n v="242.98"/>
    <x v="1"/>
    <s v="Returned"/>
    <n v="2375"/>
    <n v="3.410245614035087"/>
    <s v="Profit"/>
    <s v="Varun Joshi"/>
    <x v="1"/>
    <x v="3"/>
    <s v="Bhubaneswar"/>
    <s v="Odisha"/>
    <s v="2024-08-06"/>
    <s v="36-50"/>
    <n v="80.993333333333325"/>
  </r>
  <r>
    <s v="ORD04288"/>
    <d v="2026-08-16T00:00:00"/>
    <s v="CUST0119"/>
    <x v="0"/>
    <x v="6"/>
    <n v="3"/>
    <n v="0.2"/>
    <n v="840"/>
    <n v="200.38"/>
    <x v="1"/>
    <s v="Delivered"/>
    <n v="280"/>
    <n v="23.854761904761901"/>
    <s v="Profit"/>
    <s v="Divya Naidu"/>
    <x v="1"/>
    <x v="0"/>
    <s v="Coimbatore"/>
    <s v="Tamil Nadu"/>
    <s v="2023-05-25"/>
    <s v="36-50"/>
    <n v="66.793333333333337"/>
  </r>
  <r>
    <s v="ORD04289"/>
    <d v="2026-08-02T00:00:00"/>
    <s v="CUST0265"/>
    <x v="0"/>
    <x v="0"/>
    <n v="1"/>
    <n v="0"/>
    <n v="14000"/>
    <n v="2800"/>
    <x v="1"/>
    <s v="Delivered"/>
    <n v="14000"/>
    <n v="20"/>
    <s v="Profit"/>
    <s v="Aditya Rao"/>
    <x v="0"/>
    <x v="2"/>
    <s v="Jaipur"/>
    <s v="Rajasthan"/>
    <s v="2023-07-24"/>
    <s v="51+"/>
    <n v="2800"/>
  </r>
  <r>
    <s v="ORD04290"/>
    <d v="2026-08-07T00:00:00"/>
    <s v="CUST0363"/>
    <x v="0"/>
    <x v="0"/>
    <n v="1"/>
    <n v="0.1"/>
    <n v="12600"/>
    <n v="1653.4"/>
    <x v="1"/>
    <s v="Delivered"/>
    <n v="12600"/>
    <n v="13.12222222222222"/>
    <s v="Profit"/>
    <s v="Priya Patel"/>
    <x v="1"/>
    <x v="0"/>
    <s v="Chennai"/>
    <s v="Tamil Nadu"/>
    <s v="2024-01-12"/>
    <s v="51+"/>
    <n v="1653.4"/>
  </r>
  <r>
    <s v="ORD04291"/>
    <d v="2025-12-14T00:00:00"/>
    <s v="CUST0555"/>
    <x v="3"/>
    <x v="4"/>
    <n v="4"/>
    <n v="0.2"/>
    <n v="57600"/>
    <n v="-11895.5"/>
    <x v="1"/>
    <s v="Returned"/>
    <n v="14400"/>
    <n v="-20.651909722222221"/>
    <s v="Loss"/>
    <s v="Aarav Mehta"/>
    <x v="0"/>
    <x v="0"/>
    <s v="Coimbatore"/>
    <s v="Tamil Nadu"/>
    <s v="2023-05-19"/>
    <s v="51+"/>
    <n v="-2973.875"/>
  </r>
  <r>
    <s v="ORD04292"/>
    <d v="2025-10-28T00:00:00"/>
    <s v="CUST0372"/>
    <x v="2"/>
    <x v="3"/>
    <n v="1"/>
    <n v="0.05"/>
    <n v="14250"/>
    <n v="-8049.55"/>
    <x v="0"/>
    <s v="Cancelled"/>
    <n v="14250"/>
    <n v="-56.488070175438601"/>
    <s v="Loss"/>
    <s v="Akash Das"/>
    <x v="1"/>
    <x v="0"/>
    <s v="Bengaluru"/>
    <s v="Karnataka"/>
    <s v="2024-08-19"/>
    <s v="36-50"/>
    <n v="-8049.55"/>
  </r>
  <r>
    <s v="ORD04293"/>
    <d v="2026-05-31T00:00:00"/>
    <s v="CUST0597"/>
    <x v="2"/>
    <x v="3"/>
    <n v="2"/>
    <n v="0.05"/>
    <n v="28500"/>
    <n v="5917.4"/>
    <x v="3"/>
    <s v="Delivered"/>
    <n v="14250"/>
    <n v="20.76280701754386"/>
    <s v="Profit"/>
    <s v="Harini Menon"/>
    <x v="1"/>
    <x v="0"/>
    <s v="Hyderabad"/>
    <s v="Telangana"/>
    <s v="2025-05-09"/>
    <s v="51+"/>
    <n v="2958.7"/>
  </r>
  <r>
    <s v="ORD04294"/>
    <d v="2025-11-22T00:00:00"/>
    <s v="CUST0532"/>
    <x v="1"/>
    <x v="1"/>
    <n v="1"/>
    <n v="0.15"/>
    <n v="1530"/>
    <n v="517.35"/>
    <x v="2"/>
    <s v="Delivered"/>
    <n v="1530"/>
    <n v="33.813725490196077"/>
    <s v="Profit"/>
    <s v="Kavya Khan"/>
    <x v="0"/>
    <x v="2"/>
    <s v="Chandigarh"/>
    <s v="Chandigarh"/>
    <s v="2025-09-23"/>
    <s v="18-25"/>
    <n v="517.35"/>
  </r>
  <r>
    <s v="ORD04295"/>
    <d v="2025-09-13T00:00:00"/>
    <s v="CUST0401"/>
    <x v="2"/>
    <x v="9"/>
    <n v="1"/>
    <n v="0.1"/>
    <n v="8100"/>
    <n v="1792.3"/>
    <x v="2"/>
    <s v="Delivered"/>
    <n v="8100"/>
    <n v="22.127160493827159"/>
    <s v="Profit"/>
    <s v="Ananya Nair"/>
    <x v="0"/>
    <x v="0"/>
    <s v="Hyderabad"/>
    <s v="Telangana"/>
    <s v="2024-04-08"/>
    <s v="26-35"/>
    <n v="1792.3"/>
  </r>
  <r>
    <s v="ORD04296"/>
    <d v="2026-02-05T00:00:00"/>
    <s v="CUST0586"/>
    <x v="1"/>
    <x v="15"/>
    <n v="4"/>
    <n v="0.1"/>
    <n v="7920"/>
    <n v="2323.94"/>
    <x v="2"/>
    <s v="Delivered"/>
    <n v="1980"/>
    <n v="29.342676767676771"/>
    <s v="Profit"/>
    <s v="Sanjay Mehta"/>
    <x v="1"/>
    <x v="0"/>
    <s v="Chennai"/>
    <s v="Tamil Nadu"/>
    <s v="2023-09-11"/>
    <s v="26-35"/>
    <n v="580.98500000000001"/>
  </r>
  <r>
    <s v="ORD04297"/>
    <d v="2026-02-03T00:00:00"/>
    <s v="CUST0492"/>
    <x v="2"/>
    <x v="2"/>
    <n v="3"/>
    <n v="0.15"/>
    <n v="33150"/>
    <n v="6402.05"/>
    <x v="1"/>
    <s v="Shipped"/>
    <n v="11050"/>
    <n v="19.312368024132731"/>
    <s v="Profit"/>
    <s v="Shreya Reddy"/>
    <x v="0"/>
    <x v="2"/>
    <s v="Delhi"/>
    <s v="Delhi"/>
    <s v="2023-07-29"/>
    <s v="18-25"/>
    <n v="2134.0166666666669"/>
  </r>
  <r>
    <s v="ORD04298"/>
    <d v="2025-10-06T00:00:00"/>
    <s v="CUST0583"/>
    <x v="3"/>
    <x v="8"/>
    <n v="4"/>
    <n v="0.05"/>
    <n v="17100"/>
    <n v="5587.65"/>
    <x v="3"/>
    <s v="Shipped"/>
    <n v="4275"/>
    <n v="32.676315789473684"/>
    <s v="Profit"/>
    <s v="Shreya Menon"/>
    <x v="2"/>
    <x v="1"/>
    <s v="Ahmedabad"/>
    <s v="Gujarat"/>
    <s v="2023-09-05"/>
    <s v="26-35"/>
    <n v="1396.9124999999999"/>
  </r>
  <r>
    <s v="ORD04299"/>
    <d v="2025-12-07T00:00:00"/>
    <s v="CUST0491"/>
    <x v="0"/>
    <x v="7"/>
    <n v="2"/>
    <n v="0.1"/>
    <n v="1620"/>
    <n v="475.06"/>
    <x v="3"/>
    <s v="Delivered"/>
    <n v="810"/>
    <n v="29.32469135802469"/>
    <s v="Profit"/>
    <s v="Ishaan Chopra"/>
    <x v="1"/>
    <x v="2"/>
    <s v="Chandigarh"/>
    <s v="Chandigarh"/>
    <s v="2024-04-16"/>
    <s v="18-25"/>
    <n v="237.53"/>
  </r>
  <r>
    <s v="ORD04300"/>
    <d v="2026-03-11T00:00:00"/>
    <s v="CUST0081"/>
    <x v="0"/>
    <x v="0"/>
    <n v="3"/>
    <n v="0.1"/>
    <n v="37800"/>
    <n v="-22579.279999999999"/>
    <x v="0"/>
    <s v="Cancelled"/>
    <n v="12600"/>
    <n v="-59.733544973544973"/>
    <s v="Loss"/>
    <s v="Ananya Rao"/>
    <x v="2"/>
    <x v="0"/>
    <s v="Chennai"/>
    <s v="Tamil Nadu"/>
    <s v="2023-10-09"/>
    <s v="36-50"/>
    <n v="-7526.4266666666663"/>
  </r>
  <r>
    <s v="ORD04301"/>
    <d v="2025-09-28T00:00:00"/>
    <s v="CUST0208"/>
    <x v="3"/>
    <x v="10"/>
    <n v="3"/>
    <n v="0.05"/>
    <n v="156750"/>
    <n v="-32000"/>
    <x v="0"/>
    <s v="Delivered"/>
    <n v="52250"/>
    <n v="-20.414673046251991"/>
    <s v="Loss"/>
    <s v="Sneha Pillai"/>
    <x v="0"/>
    <x v="0"/>
    <s v="Hyderabad"/>
    <s v="Telangana"/>
    <s v="2025-02-01"/>
    <s v="26-35"/>
    <n v="-10666.66666666667"/>
  </r>
  <r>
    <s v="ORD04302"/>
    <d v="2025-11-10T00:00:00"/>
    <s v="CUST0141"/>
    <x v="2"/>
    <x v="9"/>
    <n v="6"/>
    <n v="0.2"/>
    <n v="43200"/>
    <n v="8595.61"/>
    <x v="0"/>
    <s v="Delivered"/>
    <n v="7200"/>
    <n v="19.897245370370371"/>
    <s v="Profit"/>
    <s v="Kavya Reddy"/>
    <x v="2"/>
    <x v="0"/>
    <s v="Bengaluru"/>
    <s v="Karnataka"/>
    <s v="2023-09-02"/>
    <s v="26-35"/>
    <n v="1432.6016666666669"/>
  </r>
  <r>
    <s v="ORD04303"/>
    <d v="2025-09-04T00:00:00"/>
    <s v="CUST0278"/>
    <x v="3"/>
    <x v="10"/>
    <n v="1"/>
    <n v="0"/>
    <n v="55000"/>
    <n v="9000"/>
    <x v="2"/>
    <s v="Delivered"/>
    <n v="55000"/>
    <n v="16.36363636363636"/>
    <s v="Profit"/>
    <s v="Sneha Mehta"/>
    <x v="1"/>
    <x v="3"/>
    <s v="Guwahati"/>
    <s v="Assam"/>
    <s v="2025-03-21"/>
    <s v="26-35"/>
    <n v="9000"/>
  </r>
  <r>
    <s v="ORD04304"/>
    <d v="2026-03-27T00:00:00"/>
    <s v="CUST0461"/>
    <x v="2"/>
    <x v="5"/>
    <n v="3"/>
    <n v="0"/>
    <n v="33000"/>
    <n v="7800"/>
    <x v="0"/>
    <s v="Delivered"/>
    <n v="11000"/>
    <n v="23.63636363636364"/>
    <s v="Profit"/>
    <s v="Shreya Sharma"/>
    <x v="0"/>
    <x v="1"/>
    <s v="Mumbai"/>
    <s v="Maharashtra"/>
    <s v="2024-05-10"/>
    <s v="26-35"/>
    <n v="2600"/>
  </r>
  <r>
    <s v="ORD04305"/>
    <d v="2026-01-27T00:00:00"/>
    <s v="CUST0349"/>
    <x v="3"/>
    <x v="11"/>
    <n v="1"/>
    <n v="0.1"/>
    <n v="2250"/>
    <n v="-381.59"/>
    <x v="2"/>
    <s v="Returned"/>
    <n v="2250"/>
    <n v="-16.959555555555561"/>
    <s v="Loss"/>
    <s v="Aarav Nair"/>
    <x v="1"/>
    <x v="0"/>
    <s v="Hyderabad"/>
    <s v="Telangana"/>
    <s v="2025-07-22"/>
    <s v="26-35"/>
    <n v="-381.59"/>
  </r>
  <r>
    <s v="ORD04306"/>
    <d v="2026-05-10T00:00:00"/>
    <s v="CUST0246"/>
    <x v="2"/>
    <x v="3"/>
    <n v="1"/>
    <n v="0"/>
    <n v="15000"/>
    <n v="3500"/>
    <x v="2"/>
    <s v="Delivered"/>
    <n v="15000"/>
    <n v="23.333333333333329"/>
    <s v="Profit"/>
    <s v="Rohan Nair"/>
    <x v="0"/>
    <x v="2"/>
    <s v="Chandigarh"/>
    <s v="Chandigarh"/>
    <s v="2023-05-17"/>
    <s v="18-25"/>
    <n v="3500"/>
  </r>
  <r>
    <s v="ORD04307"/>
    <d v="2026-02-06T00:00:00"/>
    <s v="CUST0418"/>
    <x v="3"/>
    <x v="10"/>
    <n v="2"/>
    <n v="0.15"/>
    <n v="93500"/>
    <n v="10520.13"/>
    <x v="2"/>
    <s v="Delivered"/>
    <n v="46750"/>
    <n v="11.25147593582888"/>
    <s v="Profit"/>
    <s v="Pooja Menon"/>
    <x v="2"/>
    <x v="1"/>
    <s v="Pune"/>
    <s v="Maharashtra"/>
    <s v="2023-08-14"/>
    <s v="18-25"/>
    <n v="5260.0649999999996"/>
  </r>
  <r>
    <s v="ORD04308"/>
    <d v="2026-02-10T00:00:00"/>
    <s v="CUST0155"/>
    <x v="1"/>
    <x v="1"/>
    <n v="2"/>
    <n v="0.1"/>
    <n v="3240"/>
    <n v="1116.77"/>
    <x v="1"/>
    <s v="Delivered"/>
    <n v="1620"/>
    <n v="34.468209876543213"/>
    <s v="Profit"/>
    <s v="Ishaan Sharma"/>
    <x v="0"/>
    <x v="0"/>
    <s v="Bengaluru"/>
    <s v="Karnataka"/>
    <s v="2023-07-08"/>
    <s v="26-35"/>
    <n v="558.38499999999999"/>
  </r>
  <r>
    <s v="ORD04309"/>
    <d v="2026-06-26T00:00:00"/>
    <s v="CUST0126"/>
    <x v="3"/>
    <x v="8"/>
    <n v="2"/>
    <n v="0"/>
    <n v="9000"/>
    <n v="3000"/>
    <x v="3"/>
    <s v="Delivered"/>
    <n v="4500"/>
    <n v="33.333333333333329"/>
    <s v="Profit"/>
    <s v="Manoj Mehta"/>
    <x v="1"/>
    <x v="0"/>
    <s v="Bengaluru"/>
    <s v="Karnataka"/>
    <s v="2025-10-04"/>
    <s v="36-50"/>
    <n v="1500"/>
  </r>
  <r>
    <s v="ORD04310"/>
    <d v="2026-02-25T00:00:00"/>
    <s v="CUST0293"/>
    <x v="0"/>
    <x v="6"/>
    <n v="5"/>
    <n v="0.05"/>
    <n v="1662.5"/>
    <n v="556.07000000000005"/>
    <x v="2"/>
    <s v="Delivered"/>
    <n v="332.5"/>
    <n v="33.447819548872182"/>
    <s v="Profit"/>
    <s v="Ishaan Singh"/>
    <x v="2"/>
    <x v="2"/>
    <s v="Delhi"/>
    <s v="Delhi"/>
    <s v="2023-03-09"/>
    <s v="26-35"/>
    <n v="111.214"/>
  </r>
  <r>
    <s v="ORD04311"/>
    <d v="2025-11-30T00:00:00"/>
    <s v="CUST0501"/>
    <x v="3"/>
    <x v="4"/>
    <n v="1"/>
    <n v="0"/>
    <n v="18000"/>
    <n v="3500"/>
    <x v="2"/>
    <s v="Delivered"/>
    <n v="18000"/>
    <n v="19.44444444444445"/>
    <s v="Profit"/>
    <s v="Rahul Pillai"/>
    <x v="1"/>
    <x v="0"/>
    <s v="Bengaluru"/>
    <s v="Karnataka"/>
    <s v="2024-03-13"/>
    <s v="36-50"/>
    <n v="3500"/>
  </r>
  <r>
    <s v="ORD04312"/>
    <d v="2026-02-13T00:00:00"/>
    <s v="CUST0455"/>
    <x v="1"/>
    <x v="13"/>
    <n v="1"/>
    <n v="0.05"/>
    <n v="3990"/>
    <n v="1097.79"/>
    <x v="0"/>
    <s v="Delivered"/>
    <n v="3990"/>
    <n v="27.513533834586472"/>
    <s v="Profit"/>
    <s v="Priya Sharma"/>
    <x v="0"/>
    <x v="0"/>
    <s v="Hyderabad"/>
    <s v="Telangana"/>
    <s v="2023-12-10"/>
    <s v="26-35"/>
    <n v="1097.79"/>
  </r>
  <r>
    <s v="ORD04313"/>
    <d v="2025-09-28T00:00:00"/>
    <s v="CUST0523"/>
    <x v="0"/>
    <x v="6"/>
    <n v="1"/>
    <n v="0.1"/>
    <n v="315"/>
    <n v="1.44"/>
    <x v="0"/>
    <s v="Returned"/>
    <n v="315"/>
    <n v="0.45714285714285707"/>
    <s v="Profit"/>
    <s v="Vikram Kulkarni"/>
    <x v="0"/>
    <x v="2"/>
    <s v="Chandigarh"/>
    <s v="Chandigarh"/>
    <s v="2023-09-25"/>
    <s v="51+"/>
    <n v="1.44"/>
  </r>
  <r>
    <s v="ORD04314"/>
    <d v="2026-01-20T00:00:00"/>
    <s v="CUST0079"/>
    <x v="3"/>
    <x v="11"/>
    <n v="2"/>
    <n v="0.3"/>
    <n v="3500"/>
    <n v="789.25"/>
    <x v="3"/>
    <s v="Delivered"/>
    <n v="1750"/>
    <n v="22.55"/>
    <s v="Profit"/>
    <s v="Akash Mehta"/>
    <x v="0"/>
    <x v="0"/>
    <s v="Chennai"/>
    <s v="Tamil Nadu"/>
    <s v="2024-07-12"/>
    <s v="51+"/>
    <n v="394.625"/>
  </r>
  <r>
    <s v="ORD04315"/>
    <d v="2026-01-22T00:00:00"/>
    <s v="CUST0070"/>
    <x v="3"/>
    <x v="11"/>
    <n v="1"/>
    <n v="0.15"/>
    <n v="2125"/>
    <n v="596.59"/>
    <x v="3"/>
    <s v="Delivered"/>
    <n v="2125"/>
    <n v="28.07482352941177"/>
    <s v="Profit"/>
    <s v="Manoj Iyer"/>
    <x v="2"/>
    <x v="1"/>
    <s v="Ahmedabad"/>
    <s v="Gujarat"/>
    <s v="2024-06-06"/>
    <s v="18-25"/>
    <n v="596.59"/>
  </r>
  <r>
    <s v="ORD04316"/>
    <d v="2026-07-29T00:00:00"/>
    <s v="CUST0599"/>
    <x v="2"/>
    <x v="3"/>
    <n v="1"/>
    <n v="0.1"/>
    <n v="13500"/>
    <n v="2540.61"/>
    <x v="3"/>
    <s v="Delivered"/>
    <n v="13500"/>
    <n v="18.81933333333334"/>
    <s v="Profit"/>
    <s v="Rahul Das"/>
    <x v="1"/>
    <x v="0"/>
    <s v="Coimbatore"/>
    <s v="Tamil Nadu"/>
    <s v="2024-01-12"/>
    <s v="26-35"/>
    <n v="2540.61"/>
  </r>
  <r>
    <s v="ORD04317"/>
    <d v="2026-01-04T00:00:00"/>
    <s v="CUST0565"/>
    <x v="0"/>
    <x v="14"/>
    <n v="2"/>
    <n v="0"/>
    <n v="900"/>
    <n v="220"/>
    <x v="3"/>
    <s v="Delivered"/>
    <n v="450"/>
    <n v="24.444444444444439"/>
    <s v="Profit"/>
    <s v="Rahul Bose"/>
    <x v="0"/>
    <x v="0"/>
    <s v="Coimbatore"/>
    <s v="Tamil Nadu"/>
    <s v="2024-03-26"/>
    <s v="51+"/>
    <n v="110"/>
  </r>
  <r>
    <s v="ORD04318"/>
    <d v="2026-06-11T00:00:00"/>
    <s v="CUST0131"/>
    <x v="3"/>
    <x v="8"/>
    <n v="3"/>
    <n v="0.05"/>
    <n v="12825"/>
    <n v="4111.49"/>
    <x v="3"/>
    <s v="Delivered"/>
    <n v="4275"/>
    <n v="32.05840155945419"/>
    <s v="Profit"/>
    <s v="Harini Das"/>
    <x v="0"/>
    <x v="0"/>
    <s v="Chennai"/>
    <s v="Tamil Nadu"/>
    <s v="2024-10-14"/>
    <s v="26-35"/>
    <n v="1370.4966666666669"/>
  </r>
  <r>
    <s v="ORD04319"/>
    <d v="2026-08-03T00:00:00"/>
    <s v="CUST0156"/>
    <x v="1"/>
    <x v="1"/>
    <n v="1"/>
    <n v="0.3"/>
    <n v="1260"/>
    <n v="395.46"/>
    <x v="1"/>
    <s v="Delivered"/>
    <n v="1260"/>
    <n v="31.385714285714279"/>
    <s v="Profit"/>
    <s v="Meera Patel"/>
    <x v="2"/>
    <x v="0"/>
    <s v="Coimbatore"/>
    <s v="Tamil Nadu"/>
    <s v="2024-10-11"/>
    <s v="26-35"/>
    <n v="395.46"/>
  </r>
  <r>
    <s v="ORD04320"/>
    <d v="2025-09-04T00:00:00"/>
    <s v="CUST0086"/>
    <x v="3"/>
    <x v="4"/>
    <n v="10"/>
    <n v="0.15"/>
    <n v="153000"/>
    <n v="12105.71"/>
    <x v="3"/>
    <s v="Delivered"/>
    <n v="15300"/>
    <n v="7.9122287581699338"/>
    <s v="Profit"/>
    <s v="Pooja Khan"/>
    <x v="2"/>
    <x v="1"/>
    <s v=" Chennai "/>
    <s v="Maharashtra"/>
    <s v="2023-05-28"/>
    <s v="36-50"/>
    <n v="1210.5709999999999"/>
  </r>
  <r>
    <s v="ORD04321"/>
    <d v="2026-03-17T00:00:00"/>
    <s v="CUST0256"/>
    <x v="2"/>
    <x v="2"/>
    <n v="5"/>
    <n v="0.1"/>
    <n v="58500"/>
    <n v="-24835.99"/>
    <x v="1"/>
    <s v="Returned"/>
    <n v="11700"/>
    <n v="-42.454683760683757"/>
    <s v="Loss"/>
    <s v="Karthik Singh"/>
    <x v="0"/>
    <x v="0"/>
    <s v="Chennai"/>
    <s v="Tamil Nadu"/>
    <s v="2024-11-27"/>
    <s v="26-35"/>
    <n v="-4967.1980000000003"/>
  </r>
  <r>
    <s v="ORD04322"/>
    <d v="2026-05-04T00:00:00"/>
    <s v="CUST0116"/>
    <x v="3"/>
    <x v="10"/>
    <n v="3"/>
    <n v="0.05"/>
    <n v="156750"/>
    <n v="21645"/>
    <x v="2"/>
    <s v="Delivered"/>
    <n v="52250"/>
    <n v="13.808612440191389"/>
    <s v="Profit"/>
    <s v="Meera Gupta"/>
    <x v="1"/>
    <x v="3"/>
    <s v="Patna"/>
    <s v="Bihar"/>
    <s v="2023-01-02"/>
    <s v="26-35"/>
    <n v="7215"/>
  </r>
  <r>
    <s v="ORD04323"/>
    <d v="2026-01-29T00:00:00"/>
    <s v="CUST0534"/>
    <x v="2"/>
    <x v="5"/>
    <n v="1"/>
    <n v="0"/>
    <n v="11000"/>
    <n v="2600"/>
    <x v="3"/>
    <s v="Delivered"/>
    <n v="11000"/>
    <n v="23.63636363636364"/>
    <s v="Profit"/>
    <s v="Ananya Patel"/>
    <x v="1"/>
    <x v="1"/>
    <s v="Pune"/>
    <s v="Maharashtra"/>
    <s v="2023-08-14"/>
    <s v="26-35"/>
    <n v="2600"/>
  </r>
  <r>
    <s v="ORD04324"/>
    <d v="2025-09-25T00:00:00"/>
    <s v="CUST0338"/>
    <x v="2"/>
    <x v="5"/>
    <n v="4"/>
    <n v="0.1"/>
    <n v="39600"/>
    <n v="8310.33"/>
    <x v="2"/>
    <s v="Delivered"/>
    <n v="9900"/>
    <n v="20.985681818181821"/>
    <s v="Profit"/>
    <s v="Kavya Bose"/>
    <x v="1"/>
    <x v="0"/>
    <s v="Hyderabad"/>
    <s v="Telangana"/>
    <s v="2024-10-27"/>
    <s v="26-35"/>
    <n v="2077.5825"/>
  </r>
  <r>
    <s v="ORD04325"/>
    <d v="2026-02-20T00:00:00"/>
    <s v="CUST0149"/>
    <x v="1"/>
    <x v="1"/>
    <n v="2"/>
    <n v="0.1"/>
    <n v="3240"/>
    <n v="1025.6600000000001"/>
    <x v="3"/>
    <s v="Delivered"/>
    <n v="1620"/>
    <n v="31.65617283950618"/>
    <s v="Profit"/>
    <s v="Diya Pillai"/>
    <x v="1"/>
    <x v="3"/>
    <s v="Kolkata"/>
    <s v="West Bengal"/>
    <s v="2024-09-28"/>
    <s v="36-50"/>
    <n v="512.83000000000004"/>
  </r>
  <r>
    <s v="ORD04326"/>
    <d v="2025-09-04T00:00:00"/>
    <s v="CUST0090"/>
    <x v="2"/>
    <x v="9"/>
    <n v="3"/>
    <n v="0.15"/>
    <n v="22950"/>
    <n v="4998.9799999999996"/>
    <x v="2"/>
    <s v="Delivered"/>
    <n v="7650"/>
    <n v="21.78204793028322"/>
    <s v="Profit"/>
    <s v="Nisha Bose"/>
    <x v="1"/>
    <x v="0"/>
    <s v="Coimbatore"/>
    <s v="Tamil Nadu"/>
    <s v="2024-09-07"/>
    <s v="51+"/>
    <n v="1666.3266666666671"/>
  </r>
  <r>
    <s v="ORD04327"/>
    <d v="2025-11-14T00:00:00"/>
    <s v="CUST0550"/>
    <x v="0"/>
    <x v="7"/>
    <n v="5"/>
    <n v="0.2"/>
    <n v="3600"/>
    <n v="760.53"/>
    <x v="0"/>
    <s v="Delivered"/>
    <n v="720"/>
    <n v="21.125833333333329"/>
    <s v="Profit"/>
    <s v="Sneha Pillai"/>
    <x v="0"/>
    <x v="1"/>
    <s v="Mumbai"/>
    <s v="Maharashtra"/>
    <s v="2025-02-28"/>
    <s v="36-50"/>
    <n v="152.10599999999999"/>
  </r>
  <r>
    <s v="ORD04328"/>
    <d v="2026-01-10T00:00:00"/>
    <s v="CUST0600"/>
    <x v="3"/>
    <x v="8"/>
    <n v="1"/>
    <n v="0.2"/>
    <n v="3600"/>
    <n v="950.52"/>
    <x v="3"/>
    <s v="Delivered"/>
    <n v="3600"/>
    <n v="26.40333333333334"/>
    <s v="Profit"/>
    <s v="Shreya Sharma"/>
    <x v="2"/>
    <x v="2"/>
    <s v="Jaipur"/>
    <s v="Rajasthan"/>
    <s v="2024-09-15"/>
    <s v="36-50"/>
    <n v="950.52"/>
  </r>
  <r>
    <s v="ORD04329"/>
    <d v="2026-05-12T00:00:00"/>
    <s v="CUST0582"/>
    <x v="0"/>
    <x v="7"/>
    <n v="15"/>
    <n v="0"/>
    <n v="13500"/>
    <n v="4200"/>
    <x v="3"/>
    <s v="Delivered"/>
    <n v="900"/>
    <n v="31.111111111111111"/>
    <s v="Profit"/>
    <s v="Harini Verma"/>
    <x v="0"/>
    <x v="1"/>
    <s v="Surat"/>
    <s v="Gujarat"/>
    <s v="2024-11-22"/>
    <s v="26-35"/>
    <n v="280"/>
  </r>
  <r>
    <s v="ORD04330"/>
    <d v="2025-07-06T00:00:00"/>
    <s v="CUST0264"/>
    <x v="1"/>
    <x v="13"/>
    <n v="6"/>
    <n v="0.15"/>
    <n v="21420"/>
    <n v="4712.18"/>
    <x v="1"/>
    <s v="Shipped"/>
    <n v="3570"/>
    <n v="21.99897292250234"/>
    <s v="Profit"/>
    <s v="Sneha Kulkarni"/>
    <x v="1"/>
    <x v="0"/>
    <s v="Chennai"/>
    <s v="Tamil Nadu"/>
    <s v="2024-02-11"/>
    <s v="51+"/>
    <n v="785.36333333333334"/>
  </r>
  <r>
    <s v="ORD04331"/>
    <d v="2026-04-10T00:00:00"/>
    <s v="CUST0125"/>
    <x v="2"/>
    <x v="9"/>
    <n v="3"/>
    <n v="0.05"/>
    <n v="25650"/>
    <n v="6167.9"/>
    <x v="0"/>
    <s v="Delivered"/>
    <n v="8550"/>
    <n v="24.046393762183239"/>
    <s v="Profit"/>
    <s v="Diya Singh"/>
    <x v="2"/>
    <x v="3"/>
    <s v="Patna"/>
    <s v="Bihar"/>
    <s v="2023-08-16"/>
    <s v="36-50"/>
    <n v="2055.9666666666672"/>
  </r>
  <r>
    <s v="ORD04332"/>
    <d v="2026-05-04T00:00:00"/>
    <s v="CUST0009"/>
    <x v="3"/>
    <x v="11"/>
    <n v="6"/>
    <n v="0.1"/>
    <n v="13500"/>
    <n v="3928.93"/>
    <x v="2"/>
    <s v="Delivered"/>
    <n v="2250"/>
    <n v="29.103185185185179"/>
    <s v="Profit"/>
    <s v="Sanjay Gupta"/>
    <x v="1"/>
    <x v="3"/>
    <s v="Guwahati"/>
    <s v="Assam"/>
    <s v="2023-09-12"/>
    <s v="51+"/>
    <n v="654.8216666666666"/>
  </r>
  <r>
    <s v="ORD04333"/>
    <d v="2025-07-05T00:00:00"/>
    <s v="CUST0357"/>
    <x v="0"/>
    <x v="7"/>
    <n v="1"/>
    <n v="0.2"/>
    <n v="720"/>
    <n v="190.96"/>
    <x v="3"/>
    <s v="Shipped"/>
    <n v="720"/>
    <n v="26.522222222222229"/>
    <s v="Profit"/>
    <s v="Aarav Gupta"/>
    <x v="2"/>
    <x v="2"/>
    <s v="Chandigarh"/>
    <s v="Chandigarh"/>
    <s v="2023-04-16"/>
    <s v="26-35"/>
    <n v="190.96"/>
  </r>
  <r>
    <s v="ORD04334"/>
    <d v="2025-08-31T00:00:00"/>
    <s v="CUST0172"/>
    <x v="0"/>
    <x v="6"/>
    <n v="1"/>
    <n v="0.1"/>
    <n v="315"/>
    <n v="91.92"/>
    <x v="3"/>
    <s v="Shipped"/>
    <n v="315"/>
    <n v="29.18095238095238"/>
    <s v="Profit"/>
    <s v="Shreya Nair"/>
    <x v="0"/>
    <x v="1"/>
    <s v="Mumbai"/>
    <s v="Maharashtra"/>
    <s v="2025-02-26"/>
    <s v="36-50"/>
    <n v="91.92"/>
  </r>
  <r>
    <s v="ORD04335"/>
    <d v="2026-06-24T00:00:00"/>
    <s v="CUST0351"/>
    <x v="0"/>
    <x v="14"/>
    <n v="3"/>
    <n v="0.1"/>
    <n v="1215"/>
    <n v="264.83"/>
    <x v="2"/>
    <s v="Delivered"/>
    <n v="405"/>
    <n v="21.796707818930042"/>
    <s v="Profit"/>
    <s v="Aarav Naidu"/>
    <x v="0"/>
    <x v="0"/>
    <s v="Hyderabad"/>
    <s v="Telangana"/>
    <s v="2024-09-17"/>
    <s v="26-35"/>
    <n v="88.276666666666657"/>
  </r>
  <r>
    <s v="ORD04336"/>
    <d v="2026-01-26T00:00:00"/>
    <s v="CUST0095"/>
    <x v="0"/>
    <x v="6"/>
    <n v="3"/>
    <n v="0.05"/>
    <n v="997.5"/>
    <n v="328.09"/>
    <x v="3"/>
    <s v="Delivered"/>
    <n v="332.5"/>
    <n v="32.891228070175437"/>
    <s v="Profit"/>
    <s v="Manoj Rao"/>
    <x v="1"/>
    <x v="3"/>
    <s v="Guwahati"/>
    <s v="Assam"/>
    <s v="2024-09-25"/>
    <s v="36-50"/>
    <n v="109.3633333333333"/>
  </r>
  <r>
    <s v="ORD04337"/>
    <d v="2026-07-25T00:00:00"/>
    <s v="CUST0092"/>
    <x v="1"/>
    <x v="13"/>
    <n v="4"/>
    <n v="0"/>
    <n v="16800"/>
    <n v="4800"/>
    <x v="1"/>
    <s v="Delivered"/>
    <n v="4200"/>
    <n v="28.571428571428569"/>
    <s v="Profit"/>
    <s v="Harini Khan"/>
    <x v="0"/>
    <x v="2"/>
    <s v="Jaipur"/>
    <s v="Rajasthan"/>
    <s v="2025-12-12"/>
    <s v="36-50"/>
    <n v="1200"/>
  </r>
  <r>
    <s v="ORD04338"/>
    <d v="2025-07-15T00:00:00"/>
    <s v="CUST0251"/>
    <x v="0"/>
    <x v="7"/>
    <n v="3"/>
    <n v="0.15"/>
    <n v="2295"/>
    <n v="608.86"/>
    <x v="3"/>
    <s v="Delivered"/>
    <n v="765"/>
    <n v="26.52984749455338"/>
    <s v="Profit"/>
    <s v="Arjun Verma"/>
    <x v="2"/>
    <x v="0"/>
    <s v="Coimbatore"/>
    <s v="Tamil Nadu"/>
    <s v="2023-06-16"/>
    <s v="36-50"/>
    <n v="202.95333333333329"/>
  </r>
  <r>
    <s v="ORD04339"/>
    <d v="2025-09-22T00:00:00"/>
    <s v="CUST0319"/>
    <x v="3"/>
    <x v="11"/>
    <n v="1"/>
    <n v="0.05"/>
    <n v="2375"/>
    <n v="720.51"/>
    <x v="0"/>
    <s v="Delivered"/>
    <n v="2375"/>
    <n v="30.337263157894728"/>
    <s v="Profit"/>
    <s v="Vikram Sharma"/>
    <x v="0"/>
    <x v="0"/>
    <s v="Bengaluru"/>
    <s v="Karnataka"/>
    <s v="2024-01-16"/>
    <s v="26-35"/>
    <n v="720.51"/>
  </r>
  <r>
    <s v="ORD04340"/>
    <d v="2025-07-14T00:00:00"/>
    <s v="CUST0503"/>
    <x v="3"/>
    <x v="8"/>
    <n v="3"/>
    <n v="0.1"/>
    <n v="12150"/>
    <n v="3888.32"/>
    <x v="0"/>
    <s v="Delivered"/>
    <n v="4050"/>
    <n v="32.00263374485597"/>
    <s v="Profit"/>
    <s v="Manoj Nair"/>
    <x v="2"/>
    <x v="0"/>
    <s v="Hyderabad"/>
    <s v="Telangana"/>
    <s v="2025-08-16"/>
    <s v="51+"/>
    <n v="1296.106666666667"/>
  </r>
  <r>
    <s v="ORD04341"/>
    <d v="2026-07-11T00:00:00"/>
    <s v="CUST0062"/>
    <x v="3"/>
    <x v="4"/>
    <n v="3"/>
    <n v="0.1"/>
    <n v="48600"/>
    <n v="7812.32"/>
    <x v="0"/>
    <s v="Delivered"/>
    <n v="16200"/>
    <n v="16.074732510288069"/>
    <s v="Profit"/>
    <s v="Harini Pillai"/>
    <x v="1"/>
    <x v="2"/>
    <s v="Jaipur"/>
    <s v="Rajasthan"/>
    <s v="2023-04-01"/>
    <s v="36-50"/>
    <n v="2604.106666666667"/>
  </r>
  <r>
    <s v="ORD04342"/>
    <d v="2026-07-29T00:00:00"/>
    <s v="CUST0373"/>
    <x v="3"/>
    <x v="10"/>
    <n v="2"/>
    <n v="0.05"/>
    <n v="104500"/>
    <n v="14107.83"/>
    <x v="2"/>
    <s v="Delivered"/>
    <n v="52250"/>
    <n v="13.50031578947369"/>
    <s v="Profit"/>
    <s v="Karthik Sharma"/>
    <x v="1"/>
    <x v="1"/>
    <s v="Ahmedabad"/>
    <s v="Gujarat"/>
    <s v="2023-12-05"/>
    <s v="51+"/>
    <n v="7053.915"/>
  </r>
  <r>
    <s v="ORD04343"/>
    <d v="2025-08-05T00:00:00"/>
    <s v="CUST0553"/>
    <x v="2"/>
    <x v="9"/>
    <n v="5"/>
    <n v="0.1"/>
    <n v="40500"/>
    <n v="8319.33"/>
    <x v="3"/>
    <s v="Delivered"/>
    <n v="8100"/>
    <n v="20.541555555555551"/>
    <s v="Profit"/>
    <s v="Diya Mishra"/>
    <x v="2"/>
    <x v="0"/>
    <s v="Coimbatore"/>
    <s v="Tamil Nadu"/>
    <s v="2025-01-24"/>
    <s v="36-50"/>
    <n v="1663.866"/>
  </r>
  <r>
    <s v="ORD04344"/>
    <d v="2025-08-08T00:00:00"/>
    <s v="CUST0361"/>
    <x v="3"/>
    <x v="4"/>
    <n v="2"/>
    <n v="0.15"/>
    <n v="30600"/>
    <n v="4477"/>
    <x v="0"/>
    <s v="Shipped"/>
    <n v="15300"/>
    <n v="14.630718954248371"/>
    <s v="Profit"/>
    <s v="Ananya Das"/>
    <x v="0"/>
    <x v="1"/>
    <s v="Surat"/>
    <s v="Gujarat"/>
    <s v="2024-08-27"/>
    <s v="26-35"/>
    <n v="2238.5"/>
  </r>
  <r>
    <s v="ORD04345"/>
    <d v="2026-02-23T00:00:00"/>
    <s v="CUST0455"/>
    <x v="2"/>
    <x v="3"/>
    <n v="1"/>
    <n v="0.2"/>
    <n v="12000"/>
    <n v="2089.36"/>
    <x v="2"/>
    <s v="Delivered"/>
    <n v="12000"/>
    <n v="17.411333333333339"/>
    <s v="Profit"/>
    <s v="Priya Sharma"/>
    <x v="0"/>
    <x v="0"/>
    <s v="Hyderabad"/>
    <s v="Telangana"/>
    <s v="2023-12-10"/>
    <s v="26-35"/>
    <n v="2089.36"/>
  </r>
  <r>
    <s v="ORD04346"/>
    <d v="2025-07-09T00:00:00"/>
    <s v="CUST0164"/>
    <x v="1"/>
    <x v="13"/>
    <n v="4"/>
    <n v="0.15"/>
    <n v="14280"/>
    <n v="2743.28"/>
    <x v="1"/>
    <s v="Delivered"/>
    <n v="3570"/>
    <n v="19.21064425770308"/>
    <s v="Profit"/>
    <s v="Priya Sharma"/>
    <x v="0"/>
    <x v="3"/>
    <s v="Kolkata"/>
    <s v="West Bengal"/>
    <s v="2023-08-28"/>
    <s v="36-50"/>
    <n v="685.82"/>
  </r>
  <r>
    <s v="ORD04347"/>
    <d v="2025-07-08T00:00:00"/>
    <s v="CUST0215"/>
    <x v="2"/>
    <x v="5"/>
    <n v="2"/>
    <n v="0.1"/>
    <n v="19800"/>
    <n v="3948.25"/>
    <x v="3"/>
    <s v="Delivered"/>
    <n v="9900"/>
    <n v="19.94065656565656"/>
    <s v="Profit"/>
    <s v="Pooja Reddy"/>
    <x v="1"/>
    <x v="0"/>
    <s v="Bengaluru"/>
    <s v="Karnataka"/>
    <s v="2025-07-16"/>
    <s v="26-35"/>
    <n v="1974.125"/>
  </r>
  <r>
    <s v="ORD04348"/>
    <d v="2026-02-01T00:00:00"/>
    <s v="CUST0060"/>
    <x v="2"/>
    <x v="3"/>
    <n v="2"/>
    <n v="0.1"/>
    <n v="27000"/>
    <n v="5117.05"/>
    <x v="0"/>
    <s v="Delivered"/>
    <n v="13500"/>
    <n v="18.952037037037041"/>
    <s v="Profit"/>
    <s v="Akash Mehta"/>
    <x v="0"/>
    <x v="3"/>
    <s v="Patna"/>
    <s v="Bihar"/>
    <s v="2025-01-15"/>
    <s v="36-50"/>
    <n v="2558.5250000000001"/>
  </r>
  <r>
    <s v="ORD04349"/>
    <d v="2025-09-22T00:00:00"/>
    <s v="CUST0106"/>
    <x v="0"/>
    <x v="14"/>
    <n v="2"/>
    <n v="0.15"/>
    <n v="765"/>
    <n v="150.09"/>
    <x v="0"/>
    <s v="Shipped"/>
    <n v="382.5"/>
    <n v="19.619607843137249"/>
    <s v="Profit"/>
    <s v="Kavya Nair"/>
    <x v="1"/>
    <x v="0"/>
    <s v="Coimbatore"/>
    <s v="Tamil Nadu"/>
    <s v="2025-07-06"/>
    <s v="36-50"/>
    <n v="75.045000000000002"/>
  </r>
  <r>
    <s v="ORD04350"/>
    <d v="2025-07-25T00:00:00"/>
    <s v="CUST0358"/>
    <x v="2"/>
    <x v="3"/>
    <n v="1"/>
    <n v="0.15"/>
    <n v="12750"/>
    <n v="2103.61"/>
    <x v="0"/>
    <s v="Delivered"/>
    <n v="12750"/>
    <n v="16.49890196078432"/>
    <s v="Profit"/>
    <s v="Sanjay Das"/>
    <x v="0"/>
    <x v="0"/>
    <s v="Hyderabad"/>
    <s v="Telangana"/>
    <s v="2025-08-29"/>
    <s v="18-25"/>
    <n v="2103.61"/>
  </r>
  <r>
    <s v="ORD04351"/>
    <d v="2025-12-08T00:00:00"/>
    <s v="CUST0268"/>
    <x v="0"/>
    <x v="6"/>
    <n v="1"/>
    <n v="0"/>
    <n v="350"/>
    <n v="120"/>
    <x v="1"/>
    <s v="Delivered"/>
    <n v="350"/>
    <n v="34.285714285714278"/>
    <s v="Profit"/>
    <s v="Rahul Singh"/>
    <x v="2"/>
    <x v="3"/>
    <s v="Bhubaneswar"/>
    <s v="Odisha"/>
    <s v="2025-01-05"/>
    <s v="26-35"/>
    <n v="120"/>
  </r>
  <r>
    <s v="ORD04352"/>
    <d v="2025-08-07T00:00:00"/>
    <s v="CUST0585"/>
    <x v="1"/>
    <x v="12"/>
    <n v="2"/>
    <n v="0.15"/>
    <n v="2380"/>
    <n v="649.5"/>
    <x v="1"/>
    <s v="Delivered"/>
    <n v="1190"/>
    <n v="27.289915966386548"/>
    <s v="Profit"/>
    <s v="Diya Reddy"/>
    <x v="1"/>
    <x v="0"/>
    <s v="Bengaluru"/>
    <s v="Karnataka"/>
    <s v="2024-03-03"/>
    <s v="51+"/>
    <n v="324.75"/>
  </r>
  <r>
    <s v="ORD04353"/>
    <d v="2026-02-20T00:00:00"/>
    <s v="CUST0560"/>
    <x v="0"/>
    <x v="14"/>
    <n v="3"/>
    <n v="0"/>
    <n v="1350"/>
    <n v="330"/>
    <x v="1"/>
    <s v="Shipped"/>
    <n v="450"/>
    <n v="24.444444444444439"/>
    <s v="Profit"/>
    <s v="Rohan Rao"/>
    <x v="0"/>
    <x v="0"/>
    <s v="Bengaluru"/>
    <s v="Karnataka"/>
    <s v="2023-05-29"/>
    <s v="18-25"/>
    <n v="110"/>
  </r>
  <r>
    <s v="ORD04354"/>
    <d v="2026-08-11T00:00:00"/>
    <s v="CUST0553"/>
    <x v="3"/>
    <x v="10"/>
    <n v="2"/>
    <n v="0"/>
    <n v="110000"/>
    <n v="18000"/>
    <x v="3"/>
    <s v="Delivered"/>
    <n v="55000"/>
    <n v="16.36363636363636"/>
    <s v="Profit"/>
    <s v="Diya Mishra"/>
    <x v="2"/>
    <x v="0"/>
    <s v="Coimbatore"/>
    <s v="Tamil Nadu"/>
    <s v="2025-01-24"/>
    <s v="36-50"/>
    <n v="9000"/>
  </r>
  <r>
    <s v="ORD04355"/>
    <d v="2025-12-13T00:00:00"/>
    <s v="CUST0400"/>
    <x v="2"/>
    <x v="2"/>
    <n v="5"/>
    <n v="0"/>
    <n v="65000"/>
    <n v="16000"/>
    <x v="3"/>
    <s v="Delivered"/>
    <n v="13000"/>
    <n v="24.61538461538462"/>
    <s v="Profit"/>
    <s v="Karthik Bose"/>
    <x v="0"/>
    <x v="0"/>
    <s v="Hyderabad"/>
    <s v="Telangana"/>
    <s v="2024-08-01"/>
    <s v="36-50"/>
    <n v="3200"/>
  </r>
  <r>
    <s v="ORD04356"/>
    <d v="2026-01-13T00:00:00"/>
    <s v="CUST0487"/>
    <x v="0"/>
    <x v="0"/>
    <n v="4"/>
    <n v="0.2"/>
    <n v="44800"/>
    <n v="4377.62"/>
    <x v="2"/>
    <s v="Delivered"/>
    <n v="11200"/>
    <n v="9.7714732142857148"/>
    <s v="Profit"/>
    <s v="Arjun Mishra"/>
    <x v="0"/>
    <x v="2"/>
    <s v="Jaipur"/>
    <s v="Rajasthan"/>
    <s v="2024-05-23"/>
    <s v="51+"/>
    <n v="1094.405"/>
  </r>
  <r>
    <s v="ORD04357"/>
    <d v="2026-08-06T00:00:00"/>
    <s v="CUST0547"/>
    <x v="2"/>
    <x v="5"/>
    <n v="4"/>
    <n v="0.1"/>
    <n v="39600"/>
    <n v="7911.68"/>
    <x v="0"/>
    <s v="Delivered"/>
    <n v="9900"/>
    <n v="19.978989898989902"/>
    <s v="Profit"/>
    <s v="Priya Naidu"/>
    <x v="0"/>
    <x v="2"/>
    <s v="Lucknow"/>
    <s v="Uttar Pradesh"/>
    <s v="2024-03-14"/>
    <s v="51+"/>
    <n v="1977.92"/>
  </r>
  <r>
    <s v="ORD04358"/>
    <d v="2026-08-19T00:00:00"/>
    <s v="CUST0191"/>
    <x v="1"/>
    <x v="15"/>
    <n v="1"/>
    <n v="0.2"/>
    <n v="1760"/>
    <n v="395.22"/>
    <x v="0"/>
    <s v="Shipped"/>
    <n v="1760"/>
    <n v="22.455681818181819"/>
    <s v="Profit"/>
    <s v="Nisha Verma"/>
    <x v="0"/>
    <x v="2"/>
    <s v="Delhi"/>
    <s v="Delhi"/>
    <s v="2023-10-05"/>
    <s v="18-25"/>
    <n v="395.22"/>
  </r>
  <r>
    <s v="ORD04359"/>
    <d v="2025-08-11T00:00:00"/>
    <s v="CUST0225"/>
    <x v="3"/>
    <x v="10"/>
    <n v="3"/>
    <n v="0.15"/>
    <n v="140250"/>
    <n v="7697.36"/>
    <x v="3"/>
    <s v="Delivered"/>
    <n v="46750"/>
    <n v="5.4883137254901957"/>
    <s v="Profit"/>
    <s v="Meera Khan"/>
    <x v="2"/>
    <x v="0"/>
    <s v="Coimbatore"/>
    <s v="Tamil Nadu"/>
    <s v="2025-12-18"/>
    <s v="26-35"/>
    <n v="2565.786666666666"/>
  </r>
  <r>
    <s v="ORD04360"/>
    <d v="2025-12-10T00:00:00"/>
    <s v="CUST0215"/>
    <x v="1"/>
    <x v="12"/>
    <n v="3"/>
    <n v="0.15"/>
    <n v="3570"/>
    <n v="1213.75"/>
    <x v="3"/>
    <s v="Delivered"/>
    <n v="1190"/>
    <n v="33.998599439775909"/>
    <s v="Profit"/>
    <s v="Pooja Reddy"/>
    <x v="1"/>
    <x v="0"/>
    <s v="Bengaluru"/>
    <s v="Karnataka"/>
    <s v="2025-07-16"/>
    <s v="26-35"/>
    <n v="404.58333333333331"/>
  </r>
  <r>
    <s v="ORD04361"/>
    <d v="2026-04-23T00:00:00"/>
    <s v="CUST0521"/>
    <x v="2"/>
    <x v="9"/>
    <n v="2"/>
    <n v="0"/>
    <n v="18000"/>
    <n v="4600"/>
    <x v="1"/>
    <s v="Delivered"/>
    <n v="9000"/>
    <n v="25.55555555555555"/>
    <s v="Profit"/>
    <s v="Priya Singh"/>
    <x v="0"/>
    <x v="0"/>
    <s v="Bengaluru"/>
    <s v="Karnataka"/>
    <s v="2025-11-16"/>
    <s v="51+"/>
    <n v="2300"/>
  </r>
  <r>
    <s v="ORD04362"/>
    <d v="2026-07-12T00:00:00"/>
    <s v="CUST0301"/>
    <x v="0"/>
    <x v="0"/>
    <n v="3"/>
    <n v="0.1"/>
    <n v="37800"/>
    <n v="-19097.099999999999"/>
    <x v="1"/>
    <s v="Cancelled"/>
    <n v="12600"/>
    <n v="-50.521428571428572"/>
    <s v="Loss"/>
    <s v="Pooja Bose"/>
    <x v="0"/>
    <x v="0"/>
    <s v="Bengaluru"/>
    <s v="Karnataka"/>
    <s v="2025-11-12"/>
    <s v="26-35"/>
    <n v="-6365.7"/>
  </r>
  <r>
    <s v="ORD04363"/>
    <d v="2026-01-09T00:00:00"/>
    <s v="CUST0002"/>
    <x v="3"/>
    <x v="8"/>
    <n v="2"/>
    <n v="0"/>
    <n v="9000"/>
    <n v="730.25"/>
    <x v="0"/>
    <s v="Returned"/>
    <n v="4500"/>
    <n v="8.1138888888888889"/>
    <s v="Profit"/>
    <s v="Varun Reddy"/>
    <x v="2"/>
    <x v="1"/>
    <s v="Surat"/>
    <s v="Gujarat"/>
    <s v="2025-01-21"/>
    <s v="36-50"/>
    <n v="365.125"/>
  </r>
  <r>
    <s v="ORD04364"/>
    <d v="2026-06-16T00:00:00"/>
    <s v="CUST0283"/>
    <x v="1"/>
    <x v="13"/>
    <n v="4"/>
    <n v="0.1"/>
    <n v="15120"/>
    <n v="3935.14"/>
    <x v="1"/>
    <s v="Shipped"/>
    <n v="3780"/>
    <n v="26.026058201058198"/>
    <s v="Profit"/>
    <s v="Manoj Gupta"/>
    <x v="0"/>
    <x v="1"/>
    <s v="Surat"/>
    <s v="Gujarat"/>
    <s v="2025-04-15"/>
    <s v="36-50"/>
    <n v="983.78499999999997"/>
  </r>
  <r>
    <s v="ORD04365"/>
    <d v="2025-10-26T00:00:00"/>
    <s v="CUST0185"/>
    <x v="0"/>
    <x v="14"/>
    <n v="1"/>
    <n v="0.1"/>
    <n v="405"/>
    <n v="89.24"/>
    <x v="3"/>
    <s v="Shipped"/>
    <n v="405"/>
    <n v="22.034567901234571"/>
    <s v="Profit"/>
    <s v="Karthik Mehta"/>
    <x v="2"/>
    <x v="2"/>
    <s v="Chandigarh"/>
    <s v="Chandigarh"/>
    <s v="2025-01-12"/>
    <s v="36-50"/>
    <n v="89.24"/>
  </r>
  <r>
    <s v="ORD04366"/>
    <d v="2026-01-03T00:00:00"/>
    <s v="CUST0585"/>
    <x v="3"/>
    <x v="11"/>
    <n v="3"/>
    <n v="0.1"/>
    <n v="6750"/>
    <n v="211.04"/>
    <x v="2"/>
    <s v="Returned"/>
    <n v="2250"/>
    <n v="3.1265185185185178"/>
    <s v="Profit"/>
    <s v="Diya Reddy"/>
    <x v="1"/>
    <x v="0"/>
    <s v="Bengaluru"/>
    <s v="Karnataka"/>
    <s v="2024-03-03"/>
    <s v="51+"/>
    <n v="70.346666666666664"/>
  </r>
  <r>
    <s v="ORD04367"/>
    <d v="2026-02-11T00:00:00"/>
    <s v="CUST0510"/>
    <x v="2"/>
    <x v="3"/>
    <n v="2"/>
    <n v="0.05"/>
    <n v="28500"/>
    <n v="-2031.72"/>
    <x v="1"/>
    <s v="Returned"/>
    <n v="14250"/>
    <n v="-7.1288421052631588"/>
    <s v="Loss"/>
    <s v="Vikram Singh"/>
    <x v="1"/>
    <x v="0"/>
    <s v="Coimbatore"/>
    <s v="Tamil Nadu"/>
    <s v="2024-08-20"/>
    <s v="36-50"/>
    <n v="-1015.86"/>
  </r>
  <r>
    <s v="ORD04368"/>
    <d v="2026-07-23T00:00:00"/>
    <s v="CUST0165"/>
    <x v="2"/>
    <x v="5"/>
    <n v="2"/>
    <n v="0.15"/>
    <n v="18700"/>
    <n v="3469.71"/>
    <x v="0"/>
    <s v="Shipped"/>
    <n v="9350"/>
    <n v="18.55459893048128"/>
    <s v="Profit"/>
    <s v="Diya Mishra"/>
    <x v="0"/>
    <x v="0"/>
    <s v="Hyderabad"/>
    <s v="Telangana"/>
    <s v="2025-04-25"/>
    <s v="51+"/>
    <n v="1734.855"/>
  </r>
  <r>
    <s v="ORD04369"/>
    <d v="2025-10-19T00:00:00"/>
    <s v="CUST0291"/>
    <x v="3"/>
    <x v="11"/>
    <n v="4"/>
    <n v="0"/>
    <n v="10000"/>
    <n v="3200"/>
    <x v="1"/>
    <s v="Delivered"/>
    <n v="2500"/>
    <n v="32"/>
    <s v="Profit"/>
    <s v="Divya Chopra"/>
    <x v="1"/>
    <x v="0"/>
    <s v="Bengaluru"/>
    <s v="Karnataka"/>
    <s v="2023-10-19"/>
    <s v="18-25"/>
    <n v="800"/>
  </r>
  <r>
    <s v="ORD04370"/>
    <d v="2026-08-24T00:00:00"/>
    <s v="CUST0304"/>
    <x v="3"/>
    <x v="10"/>
    <n v="2"/>
    <n v="0"/>
    <n v="110000"/>
    <n v="-49105.56"/>
    <x v="1"/>
    <s v="Returned"/>
    <n v="55000"/>
    <n v="-44.641418181818182"/>
    <s v="Loss"/>
    <s v="Ishaan Khan"/>
    <x v="2"/>
    <x v="0"/>
    <s v="Bengaluru"/>
    <s v="Karnataka"/>
    <s v="2024-12-10"/>
    <s v="26-35"/>
    <n v="-24552.78"/>
  </r>
  <r>
    <s v="ORD04371"/>
    <d v="2025-11-09T00:00:00"/>
    <s v="CUST0075"/>
    <x v="3"/>
    <x v="8"/>
    <n v="3"/>
    <n v="0.2"/>
    <n v="10800"/>
    <n v="2744.52"/>
    <x v="3"/>
    <s v="Delivered"/>
    <n v="3600"/>
    <n v="25.412222222222219"/>
    <s v="Profit"/>
    <s v="Karthik Sharma"/>
    <x v="0"/>
    <x v="0"/>
    <s v="Bengaluru"/>
    <s v="Karnataka"/>
    <s v="2025-09-08"/>
    <s v="36-50"/>
    <n v="914.84"/>
  </r>
  <r>
    <s v="ORD04372"/>
    <d v="2026-07-10T00:00:00"/>
    <s v="CUST0401"/>
    <x v="0"/>
    <x v="7"/>
    <n v="1"/>
    <n v="0.3"/>
    <n v="630"/>
    <n v="78.010000000000005"/>
    <x v="0"/>
    <s v="Delivered"/>
    <n v="630"/>
    <n v="12.382539682539679"/>
    <s v="Profit"/>
    <s v="Ananya Nair"/>
    <x v="0"/>
    <x v="0"/>
    <s v="Hyderabad"/>
    <s v="Telangana"/>
    <s v="2024-04-08"/>
    <s v="26-35"/>
    <n v="78.010000000000005"/>
  </r>
  <r>
    <s v="ORD04373"/>
    <d v="2025-08-01T00:00:00"/>
    <s v="CUST0246"/>
    <x v="0"/>
    <x v="6"/>
    <n v="1"/>
    <n v="0"/>
    <n v="350"/>
    <n v="120"/>
    <x v="3"/>
    <s v="Delivered"/>
    <n v="350"/>
    <n v="34.285714285714278"/>
    <s v="Profit"/>
    <s v="Rohan Nair"/>
    <x v="0"/>
    <x v="2"/>
    <s v="Chandigarh"/>
    <s v="Chandigarh"/>
    <s v="2023-05-17"/>
    <s v="18-25"/>
    <n v="120"/>
  </r>
  <r>
    <s v="ORD04374"/>
    <d v="2025-07-07T00:00:00"/>
    <s v="CUST0141"/>
    <x v="0"/>
    <x v="0"/>
    <n v="1"/>
    <n v="0.1"/>
    <n v="12600"/>
    <n v="1690.73"/>
    <x v="0"/>
    <s v="Delivered"/>
    <n v="12600"/>
    <n v="13.41849206349206"/>
    <s v="Profit"/>
    <s v="Kavya Reddy"/>
    <x v="2"/>
    <x v="0"/>
    <s v="Bengaluru"/>
    <s v="Karnataka"/>
    <s v="2023-09-02"/>
    <s v="26-35"/>
    <n v="1690.73"/>
  </r>
  <r>
    <s v="ORD04375"/>
    <d v="2026-07-31T00:00:00"/>
    <s v="CUST0599"/>
    <x v="3"/>
    <x v="4"/>
    <n v="4"/>
    <n v="0.1"/>
    <n v="64800"/>
    <n v="-17745.54"/>
    <x v="2"/>
    <s v="Returned"/>
    <n v="16200"/>
    <n v="-27.385092592592589"/>
    <s v="Loss"/>
    <s v="Rahul Das"/>
    <x v="1"/>
    <x v="0"/>
    <s v="Coimbatore"/>
    <s v="Tamil Nadu"/>
    <s v="2024-01-12"/>
    <s v="26-35"/>
    <n v="-4436.3850000000002"/>
  </r>
  <r>
    <s v="ORD04376"/>
    <d v="2025-10-19T00:00:00"/>
    <s v="CUST0596"/>
    <x v="3"/>
    <x v="8"/>
    <n v="1"/>
    <n v="0.15"/>
    <n v="3825"/>
    <n v="998.46"/>
    <x v="3"/>
    <s v="Delivered"/>
    <n v="3825"/>
    <n v="26.103529411764711"/>
    <s v="Profit"/>
    <s v="Manoj Rao"/>
    <x v="0"/>
    <x v="0"/>
    <s v="Bengaluru"/>
    <s v="Karnataka"/>
    <s v="2024-01-21"/>
    <s v="18-25"/>
    <n v="998.46"/>
  </r>
  <r>
    <s v="ORD04377"/>
    <d v="2025-08-20T00:00:00"/>
    <s v="CUST0511"/>
    <x v="3"/>
    <x v="11"/>
    <n v="1"/>
    <n v="0.15"/>
    <n v="2125"/>
    <n v="492.86"/>
    <x v="2"/>
    <s v="Shipped"/>
    <n v="2125"/>
    <n v="23.193411764705878"/>
    <s v="Profit"/>
    <s v="Sneha Naidu"/>
    <x v="1"/>
    <x v="2"/>
    <s v="Delhi"/>
    <s v="Delhi"/>
    <s v="2023-05-20"/>
    <s v="18-25"/>
    <n v="492.86"/>
  </r>
  <r>
    <s v="ORD04378"/>
    <d v="2026-08-28T00:00:00"/>
    <s v="CUST0417"/>
    <x v="2"/>
    <x v="5"/>
    <n v="4"/>
    <n v="0.15"/>
    <n v="37400"/>
    <n v="7213.39"/>
    <x v="1"/>
    <s v="Delivered"/>
    <n v="9350"/>
    <n v="19.28713903743316"/>
    <s v="Profit"/>
    <s v="Ishaan Reddy"/>
    <x v="0"/>
    <x v="2"/>
    <s v="Lucknow"/>
    <s v="Uttar Pradesh"/>
    <s v="2024-10-11"/>
    <s v="26-35"/>
    <n v="1803.3475000000001"/>
  </r>
  <r>
    <s v="ORD04379"/>
    <d v="2026-04-10T00:00:00"/>
    <s v="CUST0327"/>
    <x v="1"/>
    <x v="15"/>
    <n v="4"/>
    <n v="0"/>
    <n v="8800"/>
    <n v="3000"/>
    <x v="2"/>
    <s v="Delivered"/>
    <n v="2200"/>
    <n v="34.090909090909093"/>
    <s v="Profit"/>
    <s v="Sanjay Singh"/>
    <x v="1"/>
    <x v="1"/>
    <s v="Pune"/>
    <s v="Maharashtra"/>
    <s v="2023-11-03"/>
    <s v="18-25"/>
    <n v="750"/>
  </r>
  <r>
    <s v="ORD04380"/>
    <d v="2025-09-14T00:00:00"/>
    <s v="CUST0201"/>
    <x v="0"/>
    <x v="6"/>
    <n v="5"/>
    <n v="0.2"/>
    <n v="1400"/>
    <n v="330.27"/>
    <x v="3"/>
    <s v="Delivered"/>
    <n v="280"/>
    <n v="23.590714285714281"/>
    <s v="Profit"/>
    <s v="Pooja Joshi"/>
    <x v="1"/>
    <x v="3"/>
    <s v="Kolkata"/>
    <s v="West Bengal"/>
    <s v="2024-09-28"/>
    <s v="18-25"/>
    <n v="66.054000000000002"/>
  </r>
  <r>
    <s v="ORD04381"/>
    <d v="2026-03-17T00:00:00"/>
    <s v="CUST0218"/>
    <x v="2"/>
    <x v="5"/>
    <n v="2"/>
    <n v="0"/>
    <n v="22000"/>
    <n v="5200"/>
    <x v="3"/>
    <s v="Delivered"/>
    <n v="11000"/>
    <n v="23.63636363636364"/>
    <s v="Profit"/>
    <s v="Shreya Sharma"/>
    <x v="2"/>
    <x v="2"/>
    <s v="Lucknow"/>
    <s v="Uttar Pradesh"/>
    <s v="2025-01-22"/>
    <s v="36-50"/>
    <n v="2600"/>
  </r>
  <r>
    <s v="ORD04382"/>
    <d v="2025-12-03T00:00:00"/>
    <s v="CUST0325"/>
    <x v="0"/>
    <x v="0"/>
    <n v="6"/>
    <n v="0.2"/>
    <n v="67200"/>
    <n v="8580.56"/>
    <x v="2"/>
    <s v="Delivered"/>
    <n v="11200"/>
    <n v="12.76869047619047"/>
    <s v="Profit"/>
    <s v="Arjun Mishra"/>
    <x v="0"/>
    <x v="0"/>
    <s v="Chennai"/>
    <s v="Tamil Nadu"/>
    <s v="2023-05-08"/>
    <s v="51+"/>
    <n v="1430.093333333333"/>
  </r>
  <r>
    <s v="ORD04383"/>
    <d v="2025-08-26T00:00:00"/>
    <s v="CUST0479"/>
    <x v="1"/>
    <x v="15"/>
    <n v="1"/>
    <n v="0.05"/>
    <n v="2090"/>
    <n v="676.07"/>
    <x v="1"/>
    <s v="Delivered"/>
    <n v="2090"/>
    <n v="32.347846889952152"/>
    <s v="Profit"/>
    <s v="Rohan Sharma"/>
    <x v="0"/>
    <x v="3"/>
    <s v="Guwahati"/>
    <s v="Assam"/>
    <s v="2023-04-27"/>
    <s v="36-50"/>
    <n v="676.07"/>
  </r>
  <r>
    <s v="ORD04384"/>
    <d v="2025-07-07T00:00:00"/>
    <s v="CUST0215"/>
    <x v="2"/>
    <x v="9"/>
    <n v="1"/>
    <n v="0.2"/>
    <n v="7200"/>
    <n v="1098.45"/>
    <x v="1"/>
    <s v="Delivered"/>
    <n v="7200"/>
    <n v="15.25625"/>
    <s v="Profit"/>
    <s v="Pooja Reddy"/>
    <x v="1"/>
    <x v="0"/>
    <s v="Bengaluru"/>
    <s v="Karnataka"/>
    <s v="2025-07-16"/>
    <s v="26-35"/>
    <n v="1098.45"/>
  </r>
  <r>
    <s v="ORD04385"/>
    <d v="2025-12-25T00:00:00"/>
    <s v="CUST0039"/>
    <x v="3"/>
    <x v="11"/>
    <n v="3"/>
    <n v="0.05"/>
    <n v="7125"/>
    <n v="2091.0500000000002"/>
    <x v="1"/>
    <s v="Delivered"/>
    <n v="2375"/>
    <n v="29.3480701754386"/>
    <s v="Profit"/>
    <s v="Varun Joshi"/>
    <x v="0"/>
    <x v="0"/>
    <s v="Coimbatore"/>
    <s v="Tamil Nadu"/>
    <s v="2025-08-21"/>
    <s v="51+"/>
    <n v="697.01666666666677"/>
  </r>
  <r>
    <s v="ORD04386"/>
    <d v="2025-12-10T00:00:00"/>
    <s v="CUST0542"/>
    <x v="0"/>
    <x v="6"/>
    <n v="4"/>
    <n v="0.1"/>
    <n v="1260"/>
    <n v="415.63"/>
    <x v="3"/>
    <s v="Delivered"/>
    <n v="315"/>
    <n v="32.986507936507927"/>
    <s v="Profit"/>
    <s v="Vikram Rao"/>
    <x v="1"/>
    <x v="0"/>
    <s v="Bengaluru"/>
    <s v="Karnataka"/>
    <s v="2023-06-19"/>
    <s v="36-50"/>
    <n v="103.9075"/>
  </r>
  <r>
    <s v="ORD04387"/>
    <d v="2025-08-05T00:00:00"/>
    <s v="CUST0318"/>
    <x v="0"/>
    <x v="6"/>
    <n v="1"/>
    <n v="0.1"/>
    <n v="315"/>
    <n v="92.98"/>
    <x v="2"/>
    <s v="Delivered"/>
    <n v="315"/>
    <n v="29.517460317460319"/>
    <s v="Profit"/>
    <s v="Kavya Menon"/>
    <x v="1"/>
    <x v="2"/>
    <s v="Lucknow"/>
    <s v="Uttar Pradesh"/>
    <s v="2023-08-09"/>
    <s v="18-25"/>
    <n v="92.98"/>
  </r>
  <r>
    <s v="ORD04388"/>
    <d v="2026-05-11T00:00:00"/>
    <s v="CUST0595"/>
    <x v="3"/>
    <x v="10"/>
    <n v="1"/>
    <n v="0.05"/>
    <n v="52250"/>
    <n v="-6773.14"/>
    <x v="2"/>
    <s v="Cancelled"/>
    <n v="52250"/>
    <n v="-12.962947368421061"/>
    <s v="Loss"/>
    <s v="Nisha Menon"/>
    <x v="0"/>
    <x v="3"/>
    <s v="Kolkata"/>
    <s v="West Bengal"/>
    <s v="2025-07-16"/>
    <s v="51+"/>
    <n v="-6773.14"/>
  </r>
  <r>
    <s v="ORD04389"/>
    <d v="2026-06-04T00:00:00"/>
    <s v="CUST0343"/>
    <x v="2"/>
    <x v="3"/>
    <n v="3"/>
    <n v="0.05"/>
    <n v="42750"/>
    <n v="9143.24"/>
    <x v="3"/>
    <s v="Delivered"/>
    <n v="14250"/>
    <n v="21.38769590643275"/>
    <s v="Profit"/>
    <s v="Meera Iyer"/>
    <x v="0"/>
    <x v="0"/>
    <s v="Bengaluru"/>
    <s v="Karnataka"/>
    <s v="2024-08-02"/>
    <s v="36-50"/>
    <n v="3047.746666666666"/>
  </r>
  <r>
    <s v="ORD04390"/>
    <d v="2025-12-06T00:00:00"/>
    <s v="CUST0231"/>
    <x v="0"/>
    <x v="7"/>
    <n v="1"/>
    <n v="0.1"/>
    <n v="810"/>
    <n v="219.45"/>
    <x v="2"/>
    <s v="Delivered"/>
    <n v="810"/>
    <n v="27.092592592592592"/>
    <s v="Profit"/>
    <s v="Rahul Rao"/>
    <x v="0"/>
    <x v="3"/>
    <s v="Guwahati"/>
    <s v="Assam"/>
    <s v="2024-11-22"/>
    <s v="36-50"/>
    <n v="219.45"/>
  </r>
  <r>
    <s v="ORD04391"/>
    <d v="2025-11-22T00:00:00"/>
    <s v="CUST0119"/>
    <x v="3"/>
    <x v="11"/>
    <n v="4"/>
    <n v="0"/>
    <n v="10000"/>
    <n v="3200"/>
    <x v="3"/>
    <s v="Delivered"/>
    <n v="2500"/>
    <n v="32"/>
    <s v="Profit"/>
    <s v="Divya Naidu"/>
    <x v="1"/>
    <x v="0"/>
    <s v="Coimbatore"/>
    <s v="Tamil Nadu"/>
    <s v="2023-05-25"/>
    <s v="36-50"/>
    <n v="800"/>
  </r>
  <r>
    <s v="ORD04392"/>
    <d v="2026-07-31T00:00:00"/>
    <s v="CUST0190"/>
    <x v="1"/>
    <x v="15"/>
    <n v="10"/>
    <n v="0.05"/>
    <n v="20900"/>
    <n v="6796.85"/>
    <x v="3"/>
    <s v="Delivered"/>
    <n v="2090"/>
    <n v="32.520813397129189"/>
    <s v="Profit"/>
    <s v="Rohan Naidu"/>
    <x v="0"/>
    <x v="0"/>
    <s v="Coimbatore"/>
    <s v="Tamil Nadu"/>
    <s v="2023-02-24"/>
    <s v="26-35"/>
    <n v="679.68500000000006"/>
  </r>
  <r>
    <s v="ORD04393"/>
    <d v="2025-12-20T00:00:00"/>
    <s v="CUST0589"/>
    <x v="0"/>
    <x v="14"/>
    <n v="3"/>
    <n v="0.15"/>
    <n v="1147.5"/>
    <n v="218.34"/>
    <x v="0"/>
    <s v="Delivered"/>
    <n v="382.5"/>
    <n v="19.02745098039216"/>
    <s v="Profit"/>
    <s v="Sanjay Patel"/>
    <x v="2"/>
    <x v="2"/>
    <s v="Delhi"/>
    <s v="Delhi"/>
    <s v="2024-12-17"/>
    <s v="36-50"/>
    <n v="72.78"/>
  </r>
  <r>
    <s v="ORD04394"/>
    <d v="2025-11-06T00:00:00"/>
    <s v="CUST0507"/>
    <x v="1"/>
    <x v="1"/>
    <n v="3"/>
    <n v="0.15"/>
    <n v="4590"/>
    <n v="1439.43"/>
    <x v="0"/>
    <s v="Delivered"/>
    <n v="1530"/>
    <n v="31.360130718954249"/>
    <s v="Profit"/>
    <s v="Aarav Naidu"/>
    <x v="0"/>
    <x v="2"/>
    <s v="Jaipur"/>
    <s v="Rajasthan"/>
    <s v="2023-05-03"/>
    <s v="36-50"/>
    <n v="479.81"/>
  </r>
  <r>
    <s v="ORD04395"/>
    <d v="2025-12-23T00:00:00"/>
    <s v="CUST0200"/>
    <x v="2"/>
    <x v="9"/>
    <n v="4"/>
    <n v="0.1"/>
    <n v="32400"/>
    <n v="6454.47"/>
    <x v="3"/>
    <s v="Delivered"/>
    <n v="8100"/>
    <n v="19.9212037037037"/>
    <s v="Profit"/>
    <s v="Nisha Mishra"/>
    <x v="2"/>
    <x v="0"/>
    <s v="Bengaluru"/>
    <s v="Karnataka"/>
    <s v="2023-10-31"/>
    <s v="51+"/>
    <n v="1613.6175000000001"/>
  </r>
  <r>
    <s v="ORD04396"/>
    <d v="2025-10-03T00:00:00"/>
    <s v="CUST0187"/>
    <x v="2"/>
    <x v="3"/>
    <n v="6"/>
    <n v="0.3"/>
    <n v="63000"/>
    <n v="-1490.16"/>
    <x v="2"/>
    <s v="Shipped"/>
    <n v="10500"/>
    <n v="-2.365333333333334"/>
    <s v="Loss"/>
    <s v="Nisha Bose"/>
    <x v="0"/>
    <x v="1"/>
    <s v="Mumbai"/>
    <s v="Maharashtra"/>
    <s v="2025-12-11"/>
    <s v="51+"/>
    <n v="-248.36"/>
  </r>
  <r>
    <s v="ORD04397"/>
    <d v="2026-03-26T00:00:00"/>
    <s v="CUST0143"/>
    <x v="1"/>
    <x v="12"/>
    <n v="1"/>
    <n v="0.05"/>
    <n v="1330"/>
    <n v="461.18"/>
    <x v="2"/>
    <s v="Delivered"/>
    <n v="1330"/>
    <n v="34.675187969924806"/>
    <s v="Profit"/>
    <s v="Ananya Naidu"/>
    <x v="2"/>
    <x v="0"/>
    <s v="Bengaluru"/>
    <s v="Karnataka"/>
    <s v="2023-04-11"/>
    <s v="36-50"/>
    <n v="461.18"/>
  </r>
  <r>
    <s v="ORD04398"/>
    <d v="2025-11-08T00:00:00"/>
    <s v="CUST0075"/>
    <x v="3"/>
    <x v="10"/>
    <n v="1"/>
    <n v="0.05"/>
    <n v="52250"/>
    <n v="-22985.65"/>
    <x v="1"/>
    <s v="Cancelled"/>
    <n v="52250"/>
    <n v="-43.991674641148329"/>
    <s v="Loss"/>
    <s v="Karthik Sharma"/>
    <x v="0"/>
    <x v="0"/>
    <s v="Bengaluru"/>
    <s v="Karnataka"/>
    <s v="2025-09-08"/>
    <s v="36-50"/>
    <n v="-22985.65"/>
  </r>
  <r>
    <s v="ORD04399"/>
    <d v="2026-07-18T00:00:00"/>
    <s v="CUST0459"/>
    <x v="1"/>
    <x v="12"/>
    <n v="2"/>
    <n v="0"/>
    <n v="2800"/>
    <n v="1000"/>
    <x v="1"/>
    <s v="Delivered"/>
    <n v="1400"/>
    <n v="35.714285714285722"/>
    <s v="Profit"/>
    <s v="Nisha Das"/>
    <x v="0"/>
    <x v="2"/>
    <s v="Chandigarh"/>
    <s v="Chandigarh"/>
    <s v="2024-10-03"/>
    <s v="26-35"/>
    <n v="500"/>
  </r>
  <r>
    <s v="ORD04400"/>
    <d v="2026-05-23T00:00:00"/>
    <s v="CUST0171"/>
    <x v="1"/>
    <x v="1"/>
    <n v="4"/>
    <n v="0.2"/>
    <n v="5760"/>
    <n v="1686.47"/>
    <x v="1"/>
    <s v="Delivered"/>
    <n v="1440"/>
    <n v="29.27899305555556"/>
    <s v="Profit"/>
    <s v="Nisha Reddy"/>
    <x v="0"/>
    <x v="2"/>
    <s v="Jaipur"/>
    <s v="Rajasthan"/>
    <s v="2025-06-10"/>
    <s v="36-50"/>
    <n v="421.61750000000001"/>
  </r>
  <r>
    <s v="ORD04401"/>
    <d v="2026-07-15T00:00:00"/>
    <s v="CUST0214"/>
    <x v="3"/>
    <x v="8"/>
    <n v="2"/>
    <n v="0.1"/>
    <n v="8100"/>
    <n v="-3168.86"/>
    <x v="3"/>
    <s v="Returned"/>
    <n v="4050"/>
    <n v="-39.12172839506173"/>
    <s v="Loss"/>
    <s v="Ananya Rao"/>
    <x v="0"/>
    <x v="0"/>
    <s v="Hyderabad"/>
    <s v="Telangana"/>
    <s v="2023-07-14"/>
    <s v="51+"/>
    <n v="-1584.43"/>
  </r>
  <r>
    <s v="ORD04402"/>
    <d v="2026-06-25T00:00:00"/>
    <s v="CUST0175"/>
    <x v="3"/>
    <x v="4"/>
    <n v="1"/>
    <n v="0.05"/>
    <n v="17100"/>
    <n v="-8029.5"/>
    <x v="2"/>
    <s v="Cancelled"/>
    <n v="17100"/>
    <n v="-46.956140350877199"/>
    <s v="Loss"/>
    <s v="Akash Mehta"/>
    <x v="0"/>
    <x v="1"/>
    <s v="Ahmedabad"/>
    <s v="Gujarat"/>
    <s v="2023-12-29"/>
    <s v="36-50"/>
    <n v="-8029.5"/>
  </r>
  <r>
    <s v="ORD04403"/>
    <d v="2025-09-04T00:00:00"/>
    <s v="CUST0320"/>
    <x v="1"/>
    <x v="13"/>
    <n v="3"/>
    <n v="0.2"/>
    <n v="10080"/>
    <n v="2143.81"/>
    <x v="2"/>
    <s v="Delivered"/>
    <n v="3360"/>
    <n v="21.267956349206351"/>
    <s v="Profit"/>
    <s v="Kavya Das"/>
    <x v="0"/>
    <x v="2"/>
    <s v="Lucknow"/>
    <s v="Uttar Pradesh"/>
    <s v="2023-07-09"/>
    <s v="51+"/>
    <n v="714.60333333333335"/>
  </r>
  <r>
    <s v="ORD04404"/>
    <d v="2026-05-21T00:00:00"/>
    <s v="CUST0339"/>
    <x v="2"/>
    <x v="9"/>
    <n v="2"/>
    <n v="0"/>
    <n v="18000"/>
    <n v="4600"/>
    <x v="3"/>
    <s v="Delivered"/>
    <n v="9000"/>
    <n v="25.55555555555555"/>
    <s v="Profit"/>
    <s v="Meera Das"/>
    <x v="0"/>
    <x v="1"/>
    <s v="Mumbai"/>
    <s v="Maharashtra"/>
    <s v="2023-04-03"/>
    <s v="36-50"/>
    <n v="2300"/>
  </r>
  <r>
    <s v="ORD04405"/>
    <d v="2025-11-10T00:00:00"/>
    <s v="CUST0230"/>
    <x v="0"/>
    <x v="0"/>
    <n v="4"/>
    <n v="0.15"/>
    <n v="47600"/>
    <n v="5241.1099999999997"/>
    <x v="1"/>
    <s v="Delivered"/>
    <n v="11900"/>
    <n v="11.01073529411765"/>
    <s v="Profit"/>
    <s v="Ishaan Iyer"/>
    <x v="0"/>
    <x v="0"/>
    <s v="Bengaluru"/>
    <s v="Karnataka"/>
    <s v="2025-11-29"/>
    <s v="26-35"/>
    <n v="1310.2774999999999"/>
  </r>
  <r>
    <s v="ORD04406"/>
    <d v="2026-04-28T00:00:00"/>
    <s v="CUST0316"/>
    <x v="0"/>
    <x v="7"/>
    <n v="1"/>
    <n v="0.1"/>
    <n v="810"/>
    <n v="-259.38"/>
    <x v="0"/>
    <s v="Returned"/>
    <n v="810"/>
    <n v="-32.022222222222233"/>
    <s v="Loss"/>
    <s v="Sneha Iyer"/>
    <x v="2"/>
    <x v="3"/>
    <s v="Guwahati"/>
    <s v="Assam"/>
    <s v="2024-04-21"/>
    <s v="26-35"/>
    <n v="-259.38"/>
  </r>
  <r>
    <s v="ORD04407"/>
    <d v="2025-08-21T00:00:00"/>
    <s v="CUST0147"/>
    <x v="0"/>
    <x v="0"/>
    <n v="1"/>
    <n v="0.05"/>
    <n v="13300"/>
    <n v="2321.0500000000002"/>
    <x v="2"/>
    <s v="Delivered"/>
    <n v="13300"/>
    <n v="17.451503759398499"/>
    <s v="Profit"/>
    <s v="Shreya Reddy"/>
    <x v="0"/>
    <x v="1"/>
    <s v="Ahmedabad"/>
    <s v="Gujarat"/>
    <s v="2025-04-02"/>
    <s v="51+"/>
    <n v="2321.0500000000002"/>
  </r>
  <r>
    <s v="ORD04408"/>
    <d v="2026-08-08T00:00:00"/>
    <s v="CUST0599"/>
    <x v="0"/>
    <x v="6"/>
    <n v="5"/>
    <n v="0.05"/>
    <n v="1662.5"/>
    <n v="526.63"/>
    <x v="0"/>
    <s v="Delivered"/>
    <n v="332.5"/>
    <n v="31.676992481203008"/>
    <s v="Profit"/>
    <s v="Rahul Das"/>
    <x v="1"/>
    <x v="0"/>
    <s v="Coimbatore"/>
    <s v="Tamil Nadu"/>
    <s v="2024-01-12"/>
    <s v="26-35"/>
    <n v="105.32599999999999"/>
  </r>
  <r>
    <s v="ORD04409"/>
    <d v="2025-11-23T00:00:00"/>
    <s v="CUST0313"/>
    <x v="1"/>
    <x v="1"/>
    <n v="5"/>
    <n v="0.05"/>
    <n v="8550"/>
    <n v="2870.08"/>
    <x v="3"/>
    <s v="Delivered"/>
    <n v="1710"/>
    <n v="33.568187134502928"/>
    <s v="Profit"/>
    <s v="Ananya Reddy"/>
    <x v="2"/>
    <x v="2"/>
    <s v="Chandigarh"/>
    <s v="Chandigarh"/>
    <s v="2025-09-06"/>
    <s v="26-35"/>
    <n v="574.01599999999996"/>
  </r>
  <r>
    <s v="ORD04410"/>
    <d v="2026-05-02T00:00:00"/>
    <s v="CUST0415"/>
    <x v="3"/>
    <x v="10"/>
    <n v="4"/>
    <n v="0"/>
    <n v="220000"/>
    <n v="36000"/>
    <x v="0"/>
    <s v="Shipped"/>
    <n v="55000"/>
    <n v="16.36363636363636"/>
    <s v="Profit"/>
    <s v="Manoj Bose"/>
    <x v="1"/>
    <x v="0"/>
    <s v="Bengaluru"/>
    <s v="Karnataka"/>
    <s v="2024-07-04"/>
    <s v="36-50"/>
    <n v="9000"/>
  </r>
  <r>
    <s v="ORD04411"/>
    <d v="2025-12-26T00:00:00"/>
    <s v="CUST0073"/>
    <x v="3"/>
    <x v="8"/>
    <n v="5"/>
    <n v="0.05"/>
    <n v="21375"/>
    <n v="6801.51"/>
    <x v="3"/>
    <s v="Delivered"/>
    <n v="4275"/>
    <n v="31.81992982456141"/>
    <s v="Profit"/>
    <s v="Kavya Pillai"/>
    <x v="0"/>
    <x v="0"/>
    <s v="Hyderabad"/>
    <s v="Telangana"/>
    <s v="2023-04-01"/>
    <s v="26-35"/>
    <n v="1360.3019999999999"/>
  </r>
  <r>
    <s v="ORD04412"/>
    <d v="2025-10-02T00:00:00"/>
    <s v="CUST0348"/>
    <x v="0"/>
    <x v="6"/>
    <n v="1"/>
    <n v="0.15"/>
    <n v="297.5"/>
    <n v="81.510000000000005"/>
    <x v="0"/>
    <s v="Delivered"/>
    <n v="297.5"/>
    <n v="27.398319327731102"/>
    <s v="Profit"/>
    <s v="Varun Verma"/>
    <x v="2"/>
    <x v="3"/>
    <s v="Patna"/>
    <s v="Bihar"/>
    <s v="2024-01-11"/>
    <s v="26-35"/>
    <n v="81.510000000000005"/>
  </r>
  <r>
    <s v="ORD04413"/>
    <d v="2026-06-26T00:00:00"/>
    <s v="CUST0490"/>
    <x v="0"/>
    <x v="7"/>
    <n v="3"/>
    <n v="0.1"/>
    <n v="2430"/>
    <n v="679.11"/>
    <x v="0"/>
    <s v="Delivered"/>
    <n v="810"/>
    <n v="27.94691358024691"/>
    <s v="Profit"/>
    <s v="Nisha Khan"/>
    <x v="0"/>
    <x v="3"/>
    <s v="Bhubaneswar"/>
    <s v="Odisha"/>
    <s v="2025-08-22"/>
    <s v="51+"/>
    <n v="226.37"/>
  </r>
  <r>
    <s v="ORD04414"/>
    <d v="2025-10-06T00:00:00"/>
    <s v="CUST0039"/>
    <x v="1"/>
    <x v="12"/>
    <n v="2"/>
    <n v="0.15"/>
    <n v="2380"/>
    <n v="-601.95000000000005"/>
    <x v="2"/>
    <s v="Returned"/>
    <n v="1190"/>
    <n v="-25.292016806722689"/>
    <s v="Loss"/>
    <s v="Varun Joshi"/>
    <x v="0"/>
    <x v="0"/>
    <s v="Coimbatore"/>
    <s v="Tamil Nadu"/>
    <s v="2025-08-21"/>
    <s v="51+"/>
    <n v="-300.97500000000002"/>
  </r>
  <r>
    <s v="ORD04415"/>
    <d v="2025-10-15T00:00:00"/>
    <s v="CUST0541"/>
    <x v="1"/>
    <x v="1"/>
    <n v="1"/>
    <n v="0"/>
    <n v="1800"/>
    <n v="650"/>
    <x v="1"/>
    <s v="Delivered"/>
    <n v="1800"/>
    <n v="36.111111111111107"/>
    <s v="Profit"/>
    <s v="Rahul Mishra"/>
    <x v="0"/>
    <x v="3"/>
    <s v="Kolkata"/>
    <s v="West Bengal"/>
    <s v="2025-05-13"/>
    <s v="51+"/>
    <n v="650"/>
  </r>
  <r>
    <s v="ORD04416"/>
    <d v="2025-09-05T00:00:00"/>
    <s v="CUST0201"/>
    <x v="3"/>
    <x v="10"/>
    <n v="1"/>
    <n v="0"/>
    <n v="55000"/>
    <n v="-24367.22"/>
    <x v="3"/>
    <s v="Cancelled"/>
    <n v="55000"/>
    <n v="-44.304036363636371"/>
    <s v="Loss"/>
    <s v="Pooja Joshi"/>
    <x v="1"/>
    <x v="3"/>
    <s v="Kolkata"/>
    <s v="West Bengal"/>
    <s v="2024-09-28"/>
    <s v="18-25"/>
    <n v="-24367.22"/>
  </r>
  <r>
    <s v="ORD04417"/>
    <d v="2026-06-05T00:00:00"/>
    <s v="CUST0231"/>
    <x v="3"/>
    <x v="11"/>
    <n v="2"/>
    <n v="0.15"/>
    <n v="4250"/>
    <n v="1019.26"/>
    <x v="3"/>
    <s v="Delivered"/>
    <n v="2125"/>
    <n v="23.98258823529412"/>
    <s v="Profit"/>
    <s v="Rahul Rao"/>
    <x v="0"/>
    <x v="3"/>
    <s v="Guwahati"/>
    <s v="Assam"/>
    <s v="2024-11-22"/>
    <s v="36-50"/>
    <n v="509.63"/>
  </r>
  <r>
    <s v="ORD04418"/>
    <d v="2025-11-29T00:00:00"/>
    <s v="CUST0563"/>
    <x v="3"/>
    <x v="8"/>
    <n v="6"/>
    <n v="0.05"/>
    <n v="25650"/>
    <n v="8373.65"/>
    <x v="0"/>
    <s v="Shipped"/>
    <n v="4275"/>
    <n v="32.645808966861587"/>
    <s v="Profit"/>
    <s v="Meera Das"/>
    <x v="1"/>
    <x v="1"/>
    <s v="Ahmedabad"/>
    <s v="Gujarat"/>
    <s v="2023-10-23"/>
    <s v="26-35"/>
    <n v="1395.6083333333329"/>
  </r>
  <r>
    <s v="ORD04419"/>
    <d v="2026-04-03T00:00:00"/>
    <s v="CUST0576"/>
    <x v="3"/>
    <x v="11"/>
    <n v="2"/>
    <n v="0.15"/>
    <n v="4250"/>
    <n v="-1058.8399999999999"/>
    <x v="3"/>
    <s v="Cancelled"/>
    <n v="2125"/>
    <n v="-24.913882352941179"/>
    <s v="Loss"/>
    <s v="Harini Pillai"/>
    <x v="0"/>
    <x v="0"/>
    <s v="Hyderabad"/>
    <s v="Telangana"/>
    <s v="2023-05-25"/>
    <s v="26-35"/>
    <n v="-529.41999999999996"/>
  </r>
  <r>
    <s v="ORD04420"/>
    <d v="2026-03-04T00:00:00"/>
    <s v="CUST0142"/>
    <x v="3"/>
    <x v="10"/>
    <n v="3"/>
    <n v="0.15"/>
    <n v="140250"/>
    <n v="6854.99"/>
    <x v="3"/>
    <s v="Delivered"/>
    <n v="46750"/>
    <n v="4.8876934046345806"/>
    <s v="Profit"/>
    <s v="Pooja Bose"/>
    <x v="0"/>
    <x v="1"/>
    <s v="Surat"/>
    <s v="Gujarat"/>
    <s v="2025-05-21"/>
    <s v="51+"/>
    <n v="2284.996666666666"/>
  </r>
  <r>
    <s v="ORD04421"/>
    <d v="2025-09-25T00:00:00"/>
    <s v="CUST0051"/>
    <x v="2"/>
    <x v="2"/>
    <n v="3"/>
    <n v="0.15"/>
    <n v="33150"/>
    <n v="5162.8599999999997"/>
    <x v="0"/>
    <s v="Delivered"/>
    <n v="11050"/>
    <n v="15.5742383107089"/>
    <s v="Profit"/>
    <s v="Aditya Sharma"/>
    <x v="0"/>
    <x v="3"/>
    <s v="Guwahati"/>
    <s v="Assam"/>
    <s v="2025-06-30"/>
    <s v="26-35"/>
    <n v="1720.9533333333329"/>
  </r>
  <r>
    <s v="ORD04422"/>
    <d v="2026-06-05T00:00:00"/>
    <s v="CUST0198"/>
    <x v="2"/>
    <x v="2"/>
    <n v="1"/>
    <n v="0.05"/>
    <n v="12350"/>
    <n v="2863.73"/>
    <x v="0"/>
    <s v="Delivered"/>
    <n v="12350"/>
    <n v="23.188097165991898"/>
    <s v="Profit"/>
    <s v="Varun Joshi"/>
    <x v="1"/>
    <x v="3"/>
    <s v="Bhubaneswar"/>
    <s v="Odisha"/>
    <s v="2024-08-06"/>
    <s v="36-50"/>
    <n v="2863.73"/>
  </r>
  <r>
    <s v="ORD04423"/>
    <d v="2026-02-28T00:00:00"/>
    <s v="CUST0119"/>
    <x v="0"/>
    <x v="6"/>
    <n v="4"/>
    <n v="0.2"/>
    <n v="1120"/>
    <n v="297.52999999999997"/>
    <x v="2"/>
    <s v="Delivered"/>
    <n v="280"/>
    <n v="26.565178571428572"/>
    <s v="Profit"/>
    <s v="Divya Naidu"/>
    <x v="1"/>
    <x v="0"/>
    <s v="Coimbatore"/>
    <s v="Tamil Nadu"/>
    <s v="2023-05-25"/>
    <s v="36-50"/>
    <n v="74.382499999999993"/>
  </r>
  <r>
    <s v="ORD04424"/>
    <d v="2025-11-03T00:00:00"/>
    <s v="CUST0457"/>
    <x v="1"/>
    <x v="13"/>
    <n v="2"/>
    <n v="0.05"/>
    <n v="7980"/>
    <n v="2055.41"/>
    <x v="2"/>
    <s v="Delivered"/>
    <n v="3990"/>
    <n v="25.75701754385965"/>
    <s v="Profit"/>
    <s v="Karthik Bose"/>
    <x v="2"/>
    <x v="0"/>
    <s v="Hyderabad"/>
    <s v="Telangana"/>
    <s v="2025-04-05"/>
    <s v="51+"/>
    <n v="1027.7049999999999"/>
  </r>
  <r>
    <s v="ORD04425"/>
    <d v="2026-08-03T00:00:00"/>
    <s v="CUST0085"/>
    <x v="1"/>
    <x v="15"/>
    <n v="1"/>
    <n v="0.1"/>
    <n v="1980"/>
    <n v="-384.02"/>
    <x v="0"/>
    <s v="Cancelled"/>
    <n v="1980"/>
    <n v="-19.39494949494949"/>
    <s v="Loss"/>
    <s v="Meera Gupta"/>
    <x v="1"/>
    <x v="2"/>
    <s v="Chandigarh"/>
    <s v="Chandigarh"/>
    <s v="2025-09-07"/>
    <s v="36-50"/>
    <n v="-384.02"/>
  </r>
  <r>
    <s v="ORD04426"/>
    <d v="2026-01-14T00:00:00"/>
    <s v="CUST0077"/>
    <x v="3"/>
    <x v="4"/>
    <n v="3"/>
    <n v="0.2"/>
    <n v="43200"/>
    <n v="3884.71"/>
    <x v="0"/>
    <s v="Delivered"/>
    <n v="14400"/>
    <n v="8.9923842592592589"/>
    <s v="Profit"/>
    <s v="Aarav Patel"/>
    <x v="2"/>
    <x v="3"/>
    <s v="Bhubaneswar"/>
    <s v="Odisha"/>
    <s v="2023-01-09"/>
    <s v="36-50"/>
    <n v="1294.903333333333"/>
  </r>
  <r>
    <s v="ORD04427"/>
    <d v="2026-03-28T00:00:00"/>
    <s v="CUST0478"/>
    <x v="3"/>
    <x v="4"/>
    <n v="2"/>
    <n v="0.05"/>
    <n v="34200"/>
    <n v="5846.77"/>
    <x v="3"/>
    <s v="Shipped"/>
    <n v="17100"/>
    <n v="17.095818713450299"/>
    <s v="Profit"/>
    <s v="Akash Iyer"/>
    <x v="0"/>
    <x v="1"/>
    <s v="Mumbai"/>
    <s v="Maharashtra"/>
    <s v="2023-10-15"/>
    <s v="51+"/>
    <n v="2923.3850000000002"/>
  </r>
  <r>
    <s v="ORD04428"/>
    <d v="2026-06-01T00:00:00"/>
    <s v="CUST0580"/>
    <x v="3"/>
    <x v="11"/>
    <n v="3"/>
    <n v="0.2"/>
    <n v="6000"/>
    <n v="1139.44"/>
    <x v="2"/>
    <s v="Delivered"/>
    <n v="2000"/>
    <n v="18.990666666666669"/>
    <s v="Profit"/>
    <s v="Sneha Iyer"/>
    <x v="2"/>
    <x v="1"/>
    <s v="Pune"/>
    <s v="Maharashtra"/>
    <s v="2023-10-12"/>
    <s v="36-50"/>
    <n v="379.81333333333328"/>
  </r>
  <r>
    <s v="ORD04429"/>
    <d v="2025-12-17T00:00:00"/>
    <s v="CUST0407"/>
    <x v="3"/>
    <x v="11"/>
    <n v="5"/>
    <n v="0"/>
    <n v="12500"/>
    <n v="4000"/>
    <x v="3"/>
    <s v="Delivered"/>
    <n v="2500"/>
    <n v="32"/>
    <s v="Profit"/>
    <s v="Sneha Verma"/>
    <x v="2"/>
    <x v="2"/>
    <s v="Lucknow"/>
    <s v="Uttar Pradesh"/>
    <s v="2024-09-16"/>
    <s v="36-50"/>
    <n v="800"/>
  </r>
  <r>
    <s v="ORD04430"/>
    <d v="2026-08-10T00:00:00"/>
    <s v="CUST0126"/>
    <x v="3"/>
    <x v="10"/>
    <n v="2"/>
    <n v="0"/>
    <n v="110000"/>
    <n v="-13017.42"/>
    <x v="3"/>
    <s v="Cancelled"/>
    <n v="55000"/>
    <n v="-11.83401818181818"/>
    <s v="Loss"/>
    <s v="Manoj Mehta"/>
    <x v="1"/>
    <x v="0"/>
    <s v="Bengaluru"/>
    <s v="Karnataka"/>
    <s v="2025-10-04"/>
    <s v="36-50"/>
    <n v="-6508.71"/>
  </r>
  <r>
    <s v="ORD04431"/>
    <d v="2025-07-21T00:00:00"/>
    <s v="CUST0463"/>
    <x v="2"/>
    <x v="5"/>
    <n v="2"/>
    <n v="0"/>
    <n v="22000"/>
    <n v="5200"/>
    <x v="2"/>
    <s v="Delivered"/>
    <n v="11000"/>
    <n v="23.63636363636364"/>
    <s v="Profit"/>
    <s v="Shreya Patel"/>
    <x v="0"/>
    <x v="0"/>
    <s v="Coimbatore"/>
    <s v="Tamil Nadu"/>
    <s v="2024-02-20"/>
    <s v="51+"/>
    <n v="2600"/>
  </r>
  <r>
    <s v="ORD04432"/>
    <d v="2026-03-17T00:00:00"/>
    <s v="CUST0599"/>
    <x v="0"/>
    <x v="14"/>
    <n v="4"/>
    <n v="0"/>
    <n v="1800"/>
    <n v="440"/>
    <x v="2"/>
    <s v="Delivered"/>
    <n v="450"/>
    <n v="24.444444444444439"/>
    <s v="Profit"/>
    <s v="Rahul Das"/>
    <x v="1"/>
    <x v="0"/>
    <s v="Coimbatore"/>
    <s v="Tamil Nadu"/>
    <s v="2024-01-12"/>
    <s v="26-35"/>
    <n v="110"/>
  </r>
  <r>
    <s v="ORD04433"/>
    <d v="2025-07-21T00:00:00"/>
    <s v="CUST0258"/>
    <x v="3"/>
    <x v="11"/>
    <n v="2"/>
    <n v="0.15"/>
    <n v="4250"/>
    <n v="1149.83"/>
    <x v="2"/>
    <s v="Delivered"/>
    <n v="2125"/>
    <n v="27.05482352941176"/>
    <s v="Profit"/>
    <s v="Priya Naidu"/>
    <x v="0"/>
    <x v="0"/>
    <s v="Bengaluru"/>
    <s v="Karnataka"/>
    <s v="2023-07-05"/>
    <s v="26-35"/>
    <n v="574.91499999999996"/>
  </r>
  <r>
    <s v="ORD04434"/>
    <d v="2025-12-22T00:00:00"/>
    <s v="CUST0099"/>
    <x v="3"/>
    <x v="11"/>
    <n v="1"/>
    <n v="0.2"/>
    <n v="2000"/>
    <n v="486.46"/>
    <x v="2"/>
    <s v="Delivered"/>
    <n v="2000"/>
    <n v="24.323"/>
    <s v="Profit"/>
    <s v="Ananya Mehta"/>
    <x v="1"/>
    <x v="2"/>
    <s v="Chandigarh"/>
    <s v="Chandigarh"/>
    <s v="2025-06-15"/>
    <s v="36-50"/>
    <n v="486.46"/>
  </r>
  <r>
    <s v="ORD04435"/>
    <d v="2026-02-24T00:00:00"/>
    <s v="CUST0180"/>
    <x v="2"/>
    <x v="5"/>
    <n v="2"/>
    <n v="0"/>
    <n v="22000"/>
    <n v="-9992.94"/>
    <x v="3"/>
    <s v="Cancelled"/>
    <n v="11000"/>
    <n v="-45.422454545454549"/>
    <s v="Loss"/>
    <s v="Meera Menon"/>
    <x v="0"/>
    <x v="1"/>
    <s v="Ahmedabad"/>
    <s v="Gujarat"/>
    <s v="2025-07-11"/>
    <s v="36-50"/>
    <n v="-4996.47"/>
  </r>
  <r>
    <s v="ORD04436"/>
    <d v="2026-01-01T00:00:00"/>
    <s v="CUST0119"/>
    <x v="3"/>
    <x v="4"/>
    <n v="2"/>
    <n v="0.15"/>
    <n v="30600"/>
    <n v="3567.71"/>
    <x v="3"/>
    <s v="Delivered"/>
    <n v="15300"/>
    <n v="11.659183006535949"/>
    <s v="Profit"/>
    <s v="Divya Naidu"/>
    <x v="1"/>
    <x v="0"/>
    <s v="Coimbatore"/>
    <s v="Tamil Nadu"/>
    <s v="2023-05-25"/>
    <s v="36-50"/>
    <n v="1783.855"/>
  </r>
  <r>
    <s v="ORD04437"/>
    <d v="2026-05-17T00:00:00"/>
    <s v="CUST0044"/>
    <x v="3"/>
    <x v="10"/>
    <n v="5"/>
    <n v="0.3"/>
    <n v="192500"/>
    <n v="-52954.13"/>
    <x v="3"/>
    <s v="Cancelled"/>
    <n v="38500"/>
    <n v="-27.508638961038962"/>
    <s v="Loss"/>
    <s v="Rahul Rao"/>
    <x v="0"/>
    <x v="1"/>
    <s v="Pune"/>
    <s v="Maharashtra"/>
    <s v="2025-07-18"/>
    <s v="36-50"/>
    <n v="-10590.825999999999"/>
  </r>
  <r>
    <s v="ORD04438"/>
    <d v="2026-01-13T00:00:00"/>
    <s v="CUST0598"/>
    <x v="0"/>
    <x v="14"/>
    <n v="1"/>
    <n v="0.2"/>
    <n v="360"/>
    <n v="34.36"/>
    <x v="2"/>
    <s v="Delivered"/>
    <n v="360"/>
    <n v="9.5444444444444443"/>
    <s v="Profit"/>
    <s v="Arjun Das"/>
    <x v="0"/>
    <x v="0"/>
    <s v="Hyderabad"/>
    <s v="Telangana"/>
    <s v="2024-07-07"/>
    <s v="36-50"/>
    <n v="34.36"/>
  </r>
  <r>
    <s v="ORD04439"/>
    <d v="2026-05-26T00:00:00"/>
    <s v="CUST0163"/>
    <x v="1"/>
    <x v="15"/>
    <n v="1"/>
    <n v="0.15"/>
    <n v="1870"/>
    <n v="535.23"/>
    <x v="1"/>
    <s v="Delivered"/>
    <n v="1870"/>
    <n v="28.621925133689839"/>
    <s v="Profit"/>
    <s v="Rohan Iyer"/>
    <x v="2"/>
    <x v="2"/>
    <s v="Jaipur"/>
    <s v="Rajasthan"/>
    <s v="2024-05-11"/>
    <s v="18-25"/>
    <n v="535.23"/>
  </r>
  <r>
    <s v="ORD04440"/>
    <d v="2026-08-31T00:00:00"/>
    <s v="CUST0390"/>
    <x v="3"/>
    <x v="4"/>
    <n v="2"/>
    <n v="0"/>
    <n v="36000"/>
    <n v="7000"/>
    <x v="2"/>
    <s v="Delivered"/>
    <n v="18000"/>
    <n v="19.44444444444445"/>
    <s v="Profit"/>
    <s v="Aditya Bose"/>
    <x v="0"/>
    <x v="3"/>
    <s v="Bhubaneswar"/>
    <s v="Odisha"/>
    <s v="2024-04-07"/>
    <s v="26-35"/>
    <n v="3500"/>
  </r>
  <r>
    <s v="ORD04441"/>
    <d v="2026-08-18T00:00:00"/>
    <s v="CUST0574"/>
    <x v="0"/>
    <x v="7"/>
    <n v="1"/>
    <n v="0"/>
    <n v="900"/>
    <n v="280"/>
    <x v="3"/>
    <s v="Shipped"/>
    <n v="900"/>
    <n v="31.111111111111111"/>
    <s v="Profit"/>
    <s v="Akash Kulkarni"/>
    <x v="1"/>
    <x v="1"/>
    <s v="Pune"/>
    <s v="Maharashtra"/>
    <s v="2025-11-01"/>
    <s v="51+"/>
    <n v="280"/>
  </r>
  <r>
    <s v="ORD04442"/>
    <d v="2025-10-23T00:00:00"/>
    <s v="CUST0153"/>
    <x v="3"/>
    <x v="11"/>
    <n v="2"/>
    <n v="0.15"/>
    <n v="4250"/>
    <n v="-955.58"/>
    <x v="2"/>
    <s v="Returned"/>
    <n v="2125"/>
    <n v="-22.484235294117649"/>
    <s v="Loss"/>
    <s v="Aarav Nair"/>
    <x v="0"/>
    <x v="1"/>
    <s v="Mumbai"/>
    <s v="Maharashtra"/>
    <s v="2024-04-23"/>
    <s v="26-35"/>
    <n v="-477.79"/>
  </r>
  <r>
    <s v="ORD04443"/>
    <d v="2026-05-17T00:00:00"/>
    <s v="CUST0580"/>
    <x v="0"/>
    <x v="7"/>
    <n v="2"/>
    <n v="0.05"/>
    <n v="1710"/>
    <n v="494.14"/>
    <x v="0"/>
    <s v="Delivered"/>
    <n v="855"/>
    <n v="28.897076023391811"/>
    <s v="Profit"/>
    <s v="Sneha Iyer"/>
    <x v="2"/>
    <x v="1"/>
    <s v="Pune"/>
    <s v="Maharashtra"/>
    <s v="2023-10-12"/>
    <s v="36-50"/>
    <n v="247.07"/>
  </r>
  <r>
    <s v="ORD04444"/>
    <d v="2026-03-11T00:00:00"/>
    <s v="CUST0232"/>
    <x v="0"/>
    <x v="14"/>
    <n v="2"/>
    <n v="0.05"/>
    <n v="855"/>
    <n v="199.19"/>
    <x v="2"/>
    <s v="Delivered"/>
    <n v="427.5"/>
    <n v="23.29707602339181"/>
    <s v="Profit"/>
    <s v="Priya Menon"/>
    <x v="0"/>
    <x v="1"/>
    <s v="Pune"/>
    <s v="Maharashtra"/>
    <s v="2024-06-24"/>
    <s v="18-25"/>
    <n v="99.594999999999999"/>
  </r>
  <r>
    <s v="ORD04445"/>
    <d v="2026-07-31T00:00:00"/>
    <s v="CUST0340"/>
    <x v="3"/>
    <x v="8"/>
    <n v="2"/>
    <n v="0.1"/>
    <n v="8100"/>
    <n v="2556.65"/>
    <x v="1"/>
    <s v="Delivered"/>
    <n v="4050"/>
    <n v="31.563580246913581"/>
    <s v="Profit"/>
    <s v="Lakshmi Pillai"/>
    <x v="1"/>
    <x v="0"/>
    <s v="Chennai"/>
    <s v="Tamil Nadu"/>
    <s v="2023-11-04"/>
    <s v="18-25"/>
    <n v="1278.325"/>
  </r>
  <r>
    <s v="ORD04446"/>
    <d v="2026-06-19T00:00:00"/>
    <s v="CUST0201"/>
    <x v="2"/>
    <x v="3"/>
    <n v="1"/>
    <n v="0"/>
    <n v="15000"/>
    <n v="3500"/>
    <x v="1"/>
    <s v="Delivered"/>
    <n v="15000"/>
    <n v="23.333333333333329"/>
    <s v="Profit"/>
    <s v="Pooja Joshi"/>
    <x v="1"/>
    <x v="3"/>
    <s v="Kolkata"/>
    <s v="West Bengal"/>
    <s v="2024-09-28"/>
    <s v="18-25"/>
    <n v="3500"/>
  </r>
  <r>
    <s v="ORD04447"/>
    <d v="2026-07-29T00:00:00"/>
    <s v="CUST0034"/>
    <x v="3"/>
    <x v="4"/>
    <n v="5"/>
    <n v="0"/>
    <n v="90000"/>
    <n v="17500"/>
    <x v="3"/>
    <s v="Delivered"/>
    <n v="18000"/>
    <n v="19.44444444444445"/>
    <s v="Profit"/>
    <s v="Meera Bose"/>
    <x v="0"/>
    <x v="1"/>
    <s v="Ahmedabad"/>
    <s v="Gujarat"/>
    <s v="2023-01-29"/>
    <s v="18-25"/>
    <n v="3500"/>
  </r>
  <r>
    <s v="ORD04448"/>
    <d v="2026-03-30T00:00:00"/>
    <s v="CUST0411"/>
    <x v="0"/>
    <x v="0"/>
    <n v="2"/>
    <n v="0.15"/>
    <n v="23800"/>
    <n v="3417.03"/>
    <x v="1"/>
    <s v="Delivered"/>
    <n v="11900"/>
    <n v="14.35726890756303"/>
    <s v="Profit"/>
    <s v="Arjun Mehta"/>
    <x v="1"/>
    <x v="0"/>
    <s v="Bengaluru"/>
    <s v="Karnataka"/>
    <s v="2023-02-18"/>
    <s v="36-50"/>
    <n v="1708.5150000000001"/>
  </r>
  <r>
    <s v="ORD04449"/>
    <d v="2026-08-27T00:00:00"/>
    <s v="CUST0585"/>
    <x v="0"/>
    <x v="6"/>
    <n v="1"/>
    <n v="0.1"/>
    <n v="315"/>
    <n v="-98.04"/>
    <x v="0"/>
    <s v="Cancelled"/>
    <n v="315"/>
    <n v="-31.12380952380953"/>
    <s v="Loss"/>
    <s v="Diya Reddy"/>
    <x v="1"/>
    <x v="0"/>
    <s v="Bengaluru"/>
    <s v="Karnataka"/>
    <s v="2024-03-03"/>
    <s v="51+"/>
    <n v="-98.04"/>
  </r>
  <r>
    <s v="ORD04450"/>
    <d v="2026-08-03T00:00:00"/>
    <s v="CUST0193"/>
    <x v="1"/>
    <x v="13"/>
    <n v="1"/>
    <n v="0.05"/>
    <n v="3990"/>
    <n v="-902.11"/>
    <x v="2"/>
    <s v="Cancelled"/>
    <n v="3990"/>
    <n v="-22.609273182957391"/>
    <s v="Loss"/>
    <s v="Ananya Gupta"/>
    <x v="0"/>
    <x v="1"/>
    <s v="Pune"/>
    <s v="Maharashtra"/>
    <s v="2024-05-12"/>
    <s v="36-50"/>
    <n v="-902.11"/>
  </r>
  <r>
    <s v="ORD04451"/>
    <d v="2026-04-19T00:00:00"/>
    <s v="CUST0548"/>
    <x v="0"/>
    <x v="0"/>
    <n v="4"/>
    <n v="0"/>
    <n v="56000"/>
    <n v="11200"/>
    <x v="2"/>
    <s v="Delivered"/>
    <n v="14000"/>
    <n v="20"/>
    <s v="Profit"/>
    <s v="Diya Mishra"/>
    <x v="1"/>
    <x v="2"/>
    <s v="Chandigarh"/>
    <s v="Chandigarh"/>
    <s v="2023-12-31"/>
    <s v="36-50"/>
    <n v="2800"/>
  </r>
  <r>
    <s v="ORD04452"/>
    <d v="2026-07-31T00:00:00"/>
    <s v="CUST0480"/>
    <x v="3"/>
    <x v="11"/>
    <n v="2"/>
    <n v="0"/>
    <n v="5000"/>
    <n v="1600"/>
    <x v="0"/>
    <s v="Delivered"/>
    <n v="2500"/>
    <n v="32"/>
    <s v="Profit"/>
    <s v="Ananya Mehta"/>
    <x v="1"/>
    <x v="2"/>
    <s v="Chandigarh"/>
    <s v="Chandigarh"/>
    <s v="2023-12-24"/>
    <s v="36-50"/>
    <n v="800"/>
  </r>
  <r>
    <s v="ORD04453"/>
    <d v="2026-05-07T00:00:00"/>
    <s v="CUST0483"/>
    <x v="2"/>
    <x v="3"/>
    <n v="3"/>
    <n v="0.1"/>
    <n v="40500"/>
    <n v="7020.12"/>
    <x v="3"/>
    <s v="Delivered"/>
    <n v="13500"/>
    <n v="17.33362962962963"/>
    <s v="Profit"/>
    <s v="Harini Rao"/>
    <x v="2"/>
    <x v="0"/>
    <s v="Bengaluru"/>
    <s v="Karnataka"/>
    <s v="2025-12-26"/>
    <s v="18-25"/>
    <n v="2340.04"/>
  </r>
  <r>
    <s v="ORD04454"/>
    <d v="2026-04-11T00:00:00"/>
    <s v="CUST0031"/>
    <x v="3"/>
    <x v="10"/>
    <n v="3"/>
    <n v="0.1"/>
    <n v="148500"/>
    <n v="18644.150000000001"/>
    <x v="0"/>
    <s v="Delivered"/>
    <n v="49500"/>
    <n v="12.55498316498317"/>
    <s v="Profit"/>
    <s v="Priya Mishra"/>
    <x v="2"/>
    <x v="0"/>
    <s v="Bengaluru"/>
    <s v="Karnataka"/>
    <s v="2023-05-09"/>
    <s v="51+"/>
    <n v="6214.7166666666672"/>
  </r>
  <r>
    <s v="ORD04455"/>
    <d v="2025-08-19T00:00:00"/>
    <s v="CUST0038"/>
    <x v="1"/>
    <x v="13"/>
    <n v="4"/>
    <n v="0.15"/>
    <n v="14280"/>
    <n v="3285.82"/>
    <x v="1"/>
    <s v="Delivered"/>
    <n v="3570"/>
    <n v="23.009943977591039"/>
    <s v="Profit"/>
    <s v="Harini Sharma"/>
    <x v="2"/>
    <x v="0"/>
    <s v="Coimbatore"/>
    <s v="Tamil Nadu"/>
    <s v="2024-06-22"/>
    <s v="36-50"/>
    <n v="821.45500000000004"/>
  </r>
  <r>
    <s v="ORD04456"/>
    <d v="2025-09-14T00:00:00"/>
    <s v="CUST0057"/>
    <x v="3"/>
    <x v="4"/>
    <n v="5"/>
    <n v="0.15"/>
    <n v="76500"/>
    <n v="6901.42"/>
    <x v="1"/>
    <s v="Shipped"/>
    <n v="15300"/>
    <n v="9.0214640522875822"/>
    <s v="Profit"/>
    <s v="Akash Singh"/>
    <x v="2"/>
    <x v="2"/>
    <s v="Chandigarh"/>
    <s v="Chandigarh"/>
    <s v="2024-12-21"/>
    <s v="26-35"/>
    <n v="1380.2840000000001"/>
  </r>
  <r>
    <s v="ORD04457"/>
    <d v="2026-07-26T00:00:00"/>
    <s v="CUST0087"/>
    <x v="0"/>
    <x v="6"/>
    <n v="1"/>
    <n v="0"/>
    <n v="350"/>
    <n v="120"/>
    <x v="2"/>
    <s v="Delivered"/>
    <n v="350"/>
    <n v="34.285714285714278"/>
    <s v="Profit"/>
    <s v="Ishaan Khan"/>
    <x v="0"/>
    <x v="2"/>
    <s v="Lucknow"/>
    <s v="Uttar Pradesh"/>
    <s v="2023-07-11"/>
    <s v="51+"/>
    <n v="120"/>
  </r>
  <r>
    <s v="ORD04458"/>
    <d v="2026-06-12T00:00:00"/>
    <s v="CUST0544"/>
    <x v="1"/>
    <x v="15"/>
    <n v="2"/>
    <n v="0.1"/>
    <n v="3960"/>
    <n v="1223.81"/>
    <x v="1"/>
    <s v="Delivered"/>
    <n v="1980"/>
    <n v="30.904292929292929"/>
    <s v="Profit"/>
    <s v="Rohan Menon"/>
    <x v="1"/>
    <x v="0"/>
    <s v="Hyderabad"/>
    <s v="Telangana"/>
    <s v="2024-05-08"/>
    <s v="26-35"/>
    <n v="611.90499999999997"/>
  </r>
  <r>
    <s v="ORD04459"/>
    <d v="2025-08-08T00:00:00"/>
    <s v="CUST0431"/>
    <x v="2"/>
    <x v="5"/>
    <n v="1"/>
    <n v="0.1"/>
    <n v="9900"/>
    <n v="1868.67"/>
    <x v="1"/>
    <s v="Delivered"/>
    <n v="9900"/>
    <n v="18.875454545454549"/>
    <s v="Profit"/>
    <s v="Manoj Naidu"/>
    <x v="1"/>
    <x v="0"/>
    <s v="Bengaluru"/>
    <s v="Karnataka"/>
    <s v="2023-01-16"/>
    <s v="36-50"/>
    <n v="1868.67"/>
  </r>
  <r>
    <s v="ORD04460"/>
    <d v="2026-02-10T00:00:00"/>
    <s v="CUST0163"/>
    <x v="2"/>
    <x v="5"/>
    <n v="1"/>
    <n v="0.1"/>
    <n v="9900"/>
    <n v="1908.5"/>
    <x v="3"/>
    <s v="Delivered"/>
    <n v="9900"/>
    <n v="19.277777777777779"/>
    <s v="Profit"/>
    <s v="Rohan Iyer"/>
    <x v="2"/>
    <x v="2"/>
    <s v="Jaipur"/>
    <s v="Rajasthan"/>
    <s v="2024-05-11"/>
    <s v="18-25"/>
    <n v="1908.5"/>
  </r>
  <r>
    <s v="ORD04461"/>
    <d v="2025-12-03T00:00:00"/>
    <s v="CUST0359"/>
    <x v="3"/>
    <x v="11"/>
    <n v="6"/>
    <n v="0.05"/>
    <n v="14250"/>
    <n v="4388.72"/>
    <x v="0"/>
    <s v="Delivered"/>
    <n v="2375"/>
    <n v="30.798035087719299"/>
    <s v="Profit"/>
    <s v="Ananya Mishra"/>
    <x v="0"/>
    <x v="0"/>
    <s v="Bengaluru"/>
    <s v="Karnataka"/>
    <s v="2024-05-22"/>
    <s v="26-35"/>
    <n v="731.45333333333338"/>
  </r>
  <r>
    <s v="ORD04462"/>
    <d v="2026-01-07T00:00:00"/>
    <s v="CUST0027"/>
    <x v="0"/>
    <x v="0"/>
    <n v="4"/>
    <n v="0.1"/>
    <n v="50400"/>
    <n v="6680.8"/>
    <x v="2"/>
    <s v="Delivered"/>
    <n v="12600"/>
    <n v="13.25555555555556"/>
    <s v="Profit"/>
    <s v="Sanjay Gupta"/>
    <x v="0"/>
    <x v="2"/>
    <s v="Delhi"/>
    <s v="Delhi"/>
    <s v="2024-08-19"/>
    <s v="36-50"/>
    <n v="1670.2"/>
  </r>
  <r>
    <s v="ORD04463"/>
    <d v="2026-04-02T00:00:00"/>
    <s v="CUST0351"/>
    <x v="2"/>
    <x v="5"/>
    <n v="1"/>
    <n v="0.1"/>
    <n v="9900"/>
    <n v="1907.22"/>
    <x v="2"/>
    <s v="Delivered"/>
    <n v="9900"/>
    <n v="19.264848484848489"/>
    <s v="Profit"/>
    <s v="Aarav Naidu"/>
    <x v="0"/>
    <x v="0"/>
    <s v="Hyderabad"/>
    <s v="Telangana"/>
    <s v="2024-09-17"/>
    <s v="26-35"/>
    <n v="1907.22"/>
  </r>
  <r>
    <s v="ORD04464"/>
    <d v="2026-02-28T00:00:00"/>
    <s v="CUST0394"/>
    <x v="0"/>
    <x v="0"/>
    <n v="5"/>
    <n v="0.1"/>
    <n v="63000"/>
    <n v="-27511.87"/>
    <x v="1"/>
    <s v="Returned"/>
    <n v="12600"/>
    <n v="-43.66963492063492"/>
    <s v="Loss"/>
    <s v="Shreya Nair"/>
    <x v="1"/>
    <x v="2"/>
    <s v="Jaipur"/>
    <s v="Rajasthan"/>
    <s v="2024-07-08"/>
    <s v="26-35"/>
    <n v="-5502.3739999999998"/>
  </r>
  <r>
    <s v="ORD04465"/>
    <d v="2026-05-27T00:00:00"/>
    <s v="CUST0597"/>
    <x v="0"/>
    <x v="14"/>
    <n v="4"/>
    <n v="0"/>
    <n v="1800"/>
    <n v="440"/>
    <x v="2"/>
    <s v="Delivered"/>
    <n v="450"/>
    <n v="24.444444444444439"/>
    <s v="Profit"/>
    <s v="Harini Menon"/>
    <x v="1"/>
    <x v="0"/>
    <s v="Hyderabad"/>
    <s v="Telangana"/>
    <s v="2025-05-09"/>
    <s v="51+"/>
    <n v="110"/>
  </r>
  <r>
    <s v="ORD04466"/>
    <d v="2025-10-03T00:00:00"/>
    <s v="CUST0318"/>
    <x v="1"/>
    <x v="12"/>
    <n v="1"/>
    <n v="0.3"/>
    <n v="980"/>
    <n v="159.09"/>
    <x v="0"/>
    <s v="Delivered"/>
    <n v="980"/>
    <n v="16.23367346938775"/>
    <s v="Profit"/>
    <s v="Kavya Menon"/>
    <x v="1"/>
    <x v="2"/>
    <s v="Lucknow"/>
    <s v="Uttar Pradesh"/>
    <s v="2023-08-09"/>
    <s v="18-25"/>
    <n v="159.09"/>
  </r>
  <r>
    <s v="ORD04467"/>
    <d v="2025-09-20T00:00:00"/>
    <s v="CUST0538"/>
    <x v="1"/>
    <x v="15"/>
    <n v="1"/>
    <n v="0.1"/>
    <n v="1980"/>
    <n v="631.48"/>
    <x v="0"/>
    <s v="Delivered"/>
    <n v="1980"/>
    <n v="31.892929292929299"/>
    <s v="Profit"/>
    <s v="Sanjay Chopra"/>
    <x v="1"/>
    <x v="0"/>
    <s v="Coimbatore"/>
    <s v="Tamil Nadu"/>
    <s v="2024-01-09"/>
    <s v="36-50"/>
    <n v="631.48"/>
  </r>
  <r>
    <s v="ORD04468"/>
    <d v="2025-11-16T00:00:00"/>
    <s v="CUST0228"/>
    <x v="3"/>
    <x v="10"/>
    <n v="1"/>
    <n v="0.05"/>
    <n v="52250"/>
    <n v="7416.84"/>
    <x v="2"/>
    <s v="Delivered"/>
    <n v="52250"/>
    <n v="14.194909090909089"/>
    <s v="Profit"/>
    <s v="Rohan Reddy"/>
    <x v="2"/>
    <x v="0"/>
    <s v="Coimbatore"/>
    <s v="Tamil Nadu"/>
    <s v="2025-11-28"/>
    <s v="36-50"/>
    <n v="7416.84"/>
  </r>
  <r>
    <s v="ORD04469"/>
    <d v="2026-01-12T00:00:00"/>
    <s v="CUST0362"/>
    <x v="1"/>
    <x v="1"/>
    <n v="2"/>
    <n v="0.05"/>
    <n v="3420"/>
    <n v="1193.6500000000001"/>
    <x v="0"/>
    <s v="Delivered"/>
    <n v="1710"/>
    <n v="34.902046783625742"/>
    <s v="Profit"/>
    <s v="Karthik Joshi"/>
    <x v="0"/>
    <x v="0"/>
    <s v="Coimbatore"/>
    <s v="Tamil Nadu"/>
    <s v="2025-09-08"/>
    <s v="26-35"/>
    <n v="596.82500000000005"/>
  </r>
  <r>
    <s v="ORD04470"/>
    <d v="2026-05-06T00:00:00"/>
    <s v="CUST0317"/>
    <x v="0"/>
    <x v="6"/>
    <n v="3"/>
    <n v="0"/>
    <n v="1050"/>
    <n v="360"/>
    <x v="2"/>
    <s v="Delivered"/>
    <n v="350"/>
    <n v="34.285714285714278"/>
    <s v="Profit"/>
    <s v="Shreya Sharma"/>
    <x v="2"/>
    <x v="2"/>
    <s v="Chandigarh"/>
    <s v="Chandigarh"/>
    <s v="2025-05-20"/>
    <s v="26-35"/>
    <n v="120"/>
  </r>
  <r>
    <s v="ORD04471"/>
    <d v="2026-08-28T00:00:00"/>
    <s v="CUST0281"/>
    <x v="3"/>
    <x v="4"/>
    <n v="1"/>
    <n v="0.15"/>
    <n v="15300"/>
    <n v="1422.59"/>
    <x v="0"/>
    <s v="Delivered"/>
    <n v="15300"/>
    <n v="9.2979738562091505"/>
    <s v="Profit"/>
    <s v="Divya Reddy"/>
    <x v="0"/>
    <x v="0"/>
    <s v="Coimbatore"/>
    <s v="Tamil Nadu"/>
    <s v="2025-04-27"/>
    <s v="36-50"/>
    <n v="1422.59"/>
  </r>
  <r>
    <s v="ORD04472"/>
    <d v="2025-07-10T00:00:00"/>
    <s v="CUST0552"/>
    <x v="2"/>
    <x v="2"/>
    <n v="3"/>
    <n v="0"/>
    <n v="39000"/>
    <n v="9600"/>
    <x v="2"/>
    <s v="Delivered"/>
    <n v="13000"/>
    <n v="24.61538461538462"/>
    <s v="Profit"/>
    <s v="Rahul Pillai"/>
    <x v="0"/>
    <x v="1"/>
    <s v="Mumbai"/>
    <s v="Maharashtra"/>
    <s v="2024-11-20"/>
    <s v="26-35"/>
    <n v="3200"/>
  </r>
  <r>
    <s v="ORD04473"/>
    <d v="2025-12-26T00:00:00"/>
    <s v="CUST0551"/>
    <x v="2"/>
    <x v="3"/>
    <n v="2"/>
    <n v="0"/>
    <n v="30000"/>
    <n v="7000"/>
    <x v="1"/>
    <s v="Delivered"/>
    <n v="15000"/>
    <n v="23.333333333333329"/>
    <s v="Profit"/>
    <s v="Ishaan Gupta"/>
    <x v="0"/>
    <x v="3"/>
    <s v="Patna"/>
    <s v="Bihar"/>
    <s v="2025-08-09"/>
    <s v="26-35"/>
    <n v="3500"/>
  </r>
  <r>
    <s v="ORD04474"/>
    <d v="2026-06-08T00:00:00"/>
    <s v="CUST0366"/>
    <x v="0"/>
    <x v="6"/>
    <n v="2"/>
    <n v="0.1"/>
    <n v="630"/>
    <n v="196.44"/>
    <x v="2"/>
    <s v="Delivered"/>
    <n v="315"/>
    <n v="31.18095238095238"/>
    <s v="Profit"/>
    <s v="Priya Rao"/>
    <x v="2"/>
    <x v="3"/>
    <s v="Bhubaneswar"/>
    <s v="Odisha"/>
    <s v="2023-03-13"/>
    <s v="26-35"/>
    <n v="98.22"/>
  </r>
  <r>
    <s v="ORD04475"/>
    <d v="2026-03-04T00:00:00"/>
    <s v="CUST0289"/>
    <x v="2"/>
    <x v="5"/>
    <n v="2"/>
    <n v="0.05"/>
    <n v="20900"/>
    <n v="4357.3100000000004"/>
    <x v="2"/>
    <s v="Shipped"/>
    <n v="10450"/>
    <n v="20.84837320574163"/>
    <s v="Profit"/>
    <s v="Rahul Iyer"/>
    <x v="2"/>
    <x v="0"/>
    <s v="Coimbatore"/>
    <s v="Tamil Nadu"/>
    <s v="2023-01-07"/>
    <s v="18-25"/>
    <n v="2178.6550000000002"/>
  </r>
  <r>
    <s v="ORD04476"/>
    <d v="2026-02-01T00:00:00"/>
    <s v="CUST0535"/>
    <x v="1"/>
    <x v="15"/>
    <n v="2"/>
    <n v="0.05"/>
    <n v="4180"/>
    <n v="1395.49"/>
    <x v="1"/>
    <s v="Delivered"/>
    <n v="2090"/>
    <n v="33.384928229665071"/>
    <s v="Profit"/>
    <s v="Sanjay Reddy"/>
    <x v="0"/>
    <x v="0"/>
    <s v="Bengaluru"/>
    <s v="Karnataka"/>
    <s v="2024-03-17"/>
    <s v="18-25"/>
    <n v="697.745"/>
  </r>
  <r>
    <s v="ORD04477"/>
    <d v="2025-09-06T00:00:00"/>
    <s v="CUST0400"/>
    <x v="2"/>
    <x v="2"/>
    <n v="2"/>
    <n v="0"/>
    <n v="26000"/>
    <n v="-9252.34"/>
    <x v="0"/>
    <s v="Cancelled"/>
    <n v="13000"/>
    <n v="-35.585923076923073"/>
    <s v="Loss"/>
    <s v="Karthik Bose"/>
    <x v="0"/>
    <x v="0"/>
    <s v="Hyderabad"/>
    <s v="Telangana"/>
    <s v="2024-08-01"/>
    <s v="36-50"/>
    <n v="-4626.17"/>
  </r>
  <r>
    <s v="ORD04478"/>
    <d v="2026-01-22T00:00:00"/>
    <s v="CUST0519"/>
    <x v="0"/>
    <x v="6"/>
    <n v="1"/>
    <n v="0.15"/>
    <n v="297.5"/>
    <n v="76.209999999999994"/>
    <x v="3"/>
    <s v="Delivered"/>
    <n v="297.5"/>
    <n v="25.61680672268907"/>
    <s v="Profit"/>
    <s v="Rahul Bose"/>
    <x v="1"/>
    <x v="1"/>
    <s v="Pune"/>
    <s v="Maharashtra"/>
    <s v="2025-12-27"/>
    <s v="26-35"/>
    <n v="76.209999999999994"/>
  </r>
  <r>
    <s v="ORD04479"/>
    <d v="2025-10-02T00:00:00"/>
    <s v="CUST0288"/>
    <x v="2"/>
    <x v="5"/>
    <n v="6"/>
    <n v="0.05"/>
    <n v="62700"/>
    <n v="13812.08"/>
    <x v="2"/>
    <s v="Delivered"/>
    <n v="10450"/>
    <n v="22.02883572567783"/>
    <s v="Profit"/>
    <s v="Karthik Reddy"/>
    <x v="1"/>
    <x v="2"/>
    <s v="Lucknow"/>
    <s v="Uttar Pradesh"/>
    <s v="2024-02-24"/>
    <s v="36-50"/>
    <n v="2302.0133333333329"/>
  </r>
  <r>
    <s v="ORD04480"/>
    <d v="2026-01-01T00:00:00"/>
    <s v="CUST0249"/>
    <x v="3"/>
    <x v="8"/>
    <n v="1"/>
    <n v="0.1"/>
    <n v="4050"/>
    <n v="1242.4000000000001"/>
    <x v="2"/>
    <s v="Delivered"/>
    <n v="4050"/>
    <n v="30.676543209876549"/>
    <s v="Profit"/>
    <s v="Aditya Patel"/>
    <x v="0"/>
    <x v="3"/>
    <s v="Kolkata"/>
    <s v="West Bengal"/>
    <s v="2025-03-11"/>
    <s v="36-50"/>
    <n v="1242.4000000000001"/>
  </r>
  <r>
    <s v="ORD04481"/>
    <d v="2026-07-07T00:00:00"/>
    <s v="CUST0238"/>
    <x v="0"/>
    <x v="7"/>
    <n v="1"/>
    <n v="0.15"/>
    <n v="765"/>
    <n v="217.29"/>
    <x v="1"/>
    <s v="Delivered"/>
    <n v="765"/>
    <n v="28.40392156862745"/>
    <s v="Profit"/>
    <s v="Vikram Sharma"/>
    <x v="2"/>
    <x v="0"/>
    <s v="Bengaluru"/>
    <s v="Karnataka"/>
    <s v="2025-03-30"/>
    <s v="26-35"/>
    <n v="217.29"/>
  </r>
  <r>
    <s v="ORD04482"/>
    <d v="2025-07-16T00:00:00"/>
    <s v="CUST0243"/>
    <x v="3"/>
    <x v="10"/>
    <n v="5"/>
    <n v="0"/>
    <n v="275000"/>
    <n v="45000"/>
    <x v="0"/>
    <s v="Delivered"/>
    <n v="55000"/>
    <n v="16.36363636363636"/>
    <s v="Profit"/>
    <s v="Manoj Das"/>
    <x v="1"/>
    <x v="3"/>
    <s v="Kolkata"/>
    <s v="West Bengal"/>
    <s v="2023-02-23"/>
    <s v="26-35"/>
    <n v="9000"/>
  </r>
  <r>
    <s v="ORD04483"/>
    <d v="2025-08-04T00:00:00"/>
    <s v="CUST0334"/>
    <x v="2"/>
    <x v="9"/>
    <n v="1"/>
    <n v="0.3"/>
    <n v="6300"/>
    <n v="879.19"/>
    <x v="2"/>
    <s v="Delivered"/>
    <n v="6300"/>
    <n v="13.95539682539683"/>
    <s v="Profit"/>
    <s v="Rahul Joshi"/>
    <x v="1"/>
    <x v="0"/>
    <s v="Hyderabad"/>
    <s v="Telangana"/>
    <s v="2024-05-26"/>
    <s v="26-35"/>
    <n v="879.19"/>
  </r>
  <r>
    <s v="ORD04484"/>
    <d v="2026-08-12T00:00:00"/>
    <s v="CUST0386"/>
    <x v="0"/>
    <x v="0"/>
    <n v="3"/>
    <n v="0.1"/>
    <n v="37800"/>
    <n v="5403.98"/>
    <x v="2"/>
    <s v="Delivered"/>
    <n v="12600"/>
    <n v="14.296243386243381"/>
    <s v="Profit"/>
    <s v="Pooja Kulkarni"/>
    <x v="0"/>
    <x v="0"/>
    <s v="Chennai"/>
    <s v="Tamil Nadu"/>
    <s v="2023-03-27"/>
    <s v="26-35"/>
    <n v="1801.3266666666671"/>
  </r>
  <r>
    <s v="ORD04485"/>
    <d v="2025-10-18T00:00:00"/>
    <s v="CUST0456"/>
    <x v="0"/>
    <x v="7"/>
    <n v="2"/>
    <n v="0.05"/>
    <n v="1710"/>
    <n v="491.4"/>
    <x v="2"/>
    <s v="Delivered"/>
    <n v="855"/>
    <n v="28.73684210526315"/>
    <s v="Profit"/>
    <s v="Ananya Das"/>
    <x v="0"/>
    <x v="3"/>
    <s v="Patna"/>
    <s v="Bihar"/>
    <s v="2025-06-07"/>
    <s v="18-25"/>
    <n v="245.7"/>
  </r>
  <r>
    <s v="ORD04486"/>
    <d v="2026-05-02T00:00:00"/>
    <s v="CUST0065"/>
    <x v="3"/>
    <x v="4"/>
    <n v="6"/>
    <n v="0"/>
    <n v="108000"/>
    <n v="21000"/>
    <x v="3"/>
    <s v="Delivered"/>
    <n v="18000"/>
    <n v="19.44444444444445"/>
    <s v="Profit"/>
    <s v="Sneha Singh"/>
    <x v="0"/>
    <x v="0"/>
    <s v="Hyderabad"/>
    <s v="Telangana"/>
    <s v="2023-03-24"/>
    <s v="18-25"/>
    <n v="3500"/>
  </r>
  <r>
    <s v="ORD04487"/>
    <d v="2025-12-29T00:00:00"/>
    <s v="CUST0516"/>
    <x v="3"/>
    <x v="11"/>
    <n v="3"/>
    <n v="0.1"/>
    <n v="6750"/>
    <n v="1990.48"/>
    <x v="3"/>
    <s v="Delivered"/>
    <n v="2250"/>
    <n v="29.488592592592589"/>
    <s v="Profit"/>
    <s v="Rahul Mishra"/>
    <x v="1"/>
    <x v="0"/>
    <s v="Hyderabad"/>
    <s v="Telangana"/>
    <s v="2024-01-31"/>
    <s v="26-35"/>
    <n v="663.49333333333334"/>
  </r>
  <r>
    <s v="ORD04488"/>
    <d v="2026-02-02T00:00:00"/>
    <s v="CUST0141"/>
    <x v="3"/>
    <x v="8"/>
    <n v="2"/>
    <n v="0.05"/>
    <n v="8550"/>
    <n v="2637.64"/>
    <x v="2"/>
    <s v="Delivered"/>
    <n v="4275"/>
    <n v="30.849590643274851"/>
    <s v="Profit"/>
    <s v="Kavya Reddy"/>
    <x v="2"/>
    <x v="0"/>
    <s v="Bengaluru"/>
    <s v="Karnataka"/>
    <s v="2023-09-02"/>
    <s v="26-35"/>
    <n v="1318.82"/>
  </r>
  <r>
    <s v="ORD04489"/>
    <d v="2026-08-26T00:00:00"/>
    <s v="CUST0244"/>
    <x v="3"/>
    <x v="10"/>
    <n v="5"/>
    <n v="0.15"/>
    <n v="233750"/>
    <n v="24787.759999999998"/>
    <x v="0"/>
    <s v="Delivered"/>
    <n v="46750"/>
    <n v="10.60438930481283"/>
    <s v="Profit"/>
    <s v="Ishaan Khan"/>
    <x v="0"/>
    <x v="0"/>
    <s v="Bengaluru"/>
    <s v="Karnataka"/>
    <s v="2024-01-08"/>
    <s v="36-50"/>
    <n v="4957.5519999999997"/>
  </r>
  <r>
    <s v="ORD04490"/>
    <d v="2025-09-13T00:00:00"/>
    <s v="CUST0442"/>
    <x v="2"/>
    <x v="2"/>
    <n v="3"/>
    <n v="0"/>
    <n v="39000"/>
    <n v="9600"/>
    <x v="2"/>
    <s v="Shipped"/>
    <n v="13000"/>
    <n v="24.61538461538462"/>
    <s v="Profit"/>
    <s v="Akash Kulkarni"/>
    <x v="0"/>
    <x v="0"/>
    <s v="Bengaluru"/>
    <s v="Karnataka"/>
    <s v="2023-09-01"/>
    <s v="36-50"/>
    <n v="3200"/>
  </r>
  <r>
    <s v="ORD04491"/>
    <d v="2026-01-30T00:00:00"/>
    <s v="CUST0586"/>
    <x v="0"/>
    <x v="6"/>
    <n v="1"/>
    <n v="0.05"/>
    <n v="332.5"/>
    <n v="111.82"/>
    <x v="0"/>
    <s v="Delivered"/>
    <n v="332.5"/>
    <n v="33.630075187969922"/>
    <s v="Profit"/>
    <s v="Sanjay Mehta"/>
    <x v="1"/>
    <x v="0"/>
    <s v="Chennai"/>
    <s v="Tamil Nadu"/>
    <s v="2023-09-11"/>
    <s v="26-35"/>
    <n v="111.82"/>
  </r>
  <r>
    <s v="ORD04492"/>
    <d v="2026-08-18T00:00:00"/>
    <s v="CUST0342"/>
    <x v="3"/>
    <x v="4"/>
    <n v="3"/>
    <n v="0.15"/>
    <n v="45900"/>
    <n v="5172.09"/>
    <x v="3"/>
    <s v="Delivered"/>
    <n v="15300"/>
    <n v="11.26816993464052"/>
    <s v="Profit"/>
    <s v="Rohan Rao"/>
    <x v="0"/>
    <x v="3"/>
    <s v="Guwahati"/>
    <s v="Assam"/>
    <s v="2023-02-17"/>
    <s v="26-35"/>
    <n v="1724.03"/>
  </r>
  <r>
    <s v="ORD04493"/>
    <d v="2025-10-24T00:00:00"/>
    <s v="CUST0123"/>
    <x v="0"/>
    <x v="14"/>
    <n v="3"/>
    <n v="0.1"/>
    <n v="1215"/>
    <n v="262.42"/>
    <x v="3"/>
    <s v="Delivered"/>
    <n v="405"/>
    <n v="21.598353909465018"/>
    <s v="Profit"/>
    <s v="Aarav Sharma"/>
    <x v="1"/>
    <x v="2"/>
    <s v="Delhi"/>
    <s v="Delhi"/>
    <s v="2023-01-19"/>
    <s v="26-35"/>
    <n v="87.473333333333343"/>
  </r>
  <r>
    <s v="ORD04494"/>
    <d v="2026-08-26T00:00:00"/>
    <s v="CUST0324"/>
    <x v="3"/>
    <x v="11"/>
    <n v="5"/>
    <n v="0.2"/>
    <n v="10000"/>
    <n v="2278.83"/>
    <x v="0"/>
    <s v="Shipped"/>
    <n v="2000"/>
    <n v="22.7883"/>
    <s v="Profit"/>
    <s v="Harini Sharma"/>
    <x v="2"/>
    <x v="2"/>
    <s v="Lucknow"/>
    <s v="Uttar Pradesh"/>
    <s v="2023-02-27"/>
    <s v="36-50"/>
    <n v="455.76600000000002"/>
  </r>
  <r>
    <s v="ORD04495"/>
    <d v="2025-07-16T00:00:00"/>
    <s v="CUST0402"/>
    <x v="2"/>
    <x v="5"/>
    <n v="1"/>
    <n v="0.1"/>
    <n v="9900"/>
    <n v="-4911.41"/>
    <x v="0"/>
    <s v="Cancelled"/>
    <n v="9900"/>
    <n v="-49.610202020202017"/>
    <s v="Loss"/>
    <s v="Diya Pillai"/>
    <x v="1"/>
    <x v="0"/>
    <s v="Chennai"/>
    <s v="Tamil Nadu"/>
    <s v="2025-08-08"/>
    <s v="36-50"/>
    <n v="-4911.41"/>
  </r>
  <r>
    <s v="ORD04496"/>
    <d v="2026-05-14T00:00:00"/>
    <s v="CUST0119"/>
    <x v="0"/>
    <x v="0"/>
    <n v="15"/>
    <n v="0.1"/>
    <n v="189000"/>
    <n v="-46983.72"/>
    <x v="3"/>
    <s v="Returned"/>
    <n v="12600"/>
    <n v="-24.859111111111108"/>
    <s v="Loss"/>
    <s v="Divya Naidu"/>
    <x v="1"/>
    <x v="0"/>
    <s v="Coimbatore"/>
    <s v="Tamil Nadu"/>
    <s v="2023-05-25"/>
    <s v="36-50"/>
    <n v="-3132.248"/>
  </r>
  <r>
    <s v="ORD04497"/>
    <d v="2026-04-07T00:00:00"/>
    <s v="CUST0431"/>
    <x v="2"/>
    <x v="5"/>
    <n v="1"/>
    <n v="0.3"/>
    <n v="7700"/>
    <n v="181.35"/>
    <x v="1"/>
    <s v="Delivered"/>
    <n v="7700"/>
    <n v="2.3551948051948051"/>
    <s v="Profit"/>
    <s v="Manoj Naidu"/>
    <x v="1"/>
    <x v="0"/>
    <s v="Bengaluru"/>
    <s v="Karnataka"/>
    <s v="2023-01-16"/>
    <s v="36-50"/>
    <n v="181.35"/>
  </r>
  <r>
    <s v="ORD04498"/>
    <d v="2026-07-06T00:00:00"/>
    <s v="CUST0531"/>
    <x v="1"/>
    <x v="13"/>
    <n v="3"/>
    <n v="0.1"/>
    <n v="11340"/>
    <n v="2832.49"/>
    <x v="1"/>
    <s v="Delivered"/>
    <n v="3780"/>
    <n v="24.977865961199289"/>
    <s v="Profit"/>
    <s v="Kavya Mishra"/>
    <x v="2"/>
    <x v="0"/>
    <s v="Coimbatore"/>
    <s v="Tamil Nadu"/>
    <s v="2023-10-06"/>
    <s v="26-35"/>
    <n v="944.1633333333333"/>
  </r>
  <r>
    <s v="ORD04499"/>
    <d v="2025-12-21T00:00:00"/>
    <s v="CUST0089"/>
    <x v="3"/>
    <x v="10"/>
    <n v="1"/>
    <n v="0.05"/>
    <n v="52250"/>
    <n v="7489.76"/>
    <x v="0"/>
    <s v="Delivered"/>
    <n v="52250"/>
    <n v="14.33446889952153"/>
    <s v="Profit"/>
    <s v="Akash Gupta"/>
    <x v="2"/>
    <x v="2"/>
    <s v="Jaipur"/>
    <s v="Rajasthan"/>
    <s v="2025-10-05"/>
    <s v="26-35"/>
    <n v="7489.76"/>
  </r>
  <r>
    <s v="ORD04500"/>
    <d v="2026-07-27T00:00:00"/>
    <s v="CUST0122"/>
    <x v="1"/>
    <x v="15"/>
    <n v="3"/>
    <n v="0"/>
    <n v="6600"/>
    <n v="2250"/>
    <x v="0"/>
    <s v="Delivered"/>
    <n v="2200"/>
    <n v="34.090909090909093"/>
    <s v="Profit"/>
    <s v="Pooja Pillai"/>
    <x v="1"/>
    <x v="1"/>
    <s v="Pune"/>
    <s v="Maharashtra"/>
    <s v="2023-03-15"/>
    <s v="26-35"/>
    <n v="750"/>
  </r>
  <r>
    <s v="ORD04501"/>
    <d v="2025-08-13T00:00:00"/>
    <s v="CUST0061"/>
    <x v="3"/>
    <x v="10"/>
    <n v="4"/>
    <n v="0.1"/>
    <n v="198000"/>
    <n v="21767.75"/>
    <x v="0"/>
    <s v="Delivered"/>
    <n v="49500"/>
    <n v="10.99381313131313"/>
    <s v="Profit"/>
    <s v="Meera Kulkarni"/>
    <x v="0"/>
    <x v="0"/>
    <s v="Bengaluru"/>
    <s v="Karnataka"/>
    <s v="2024-11-07"/>
    <s v="18-25"/>
    <n v="5441.9375"/>
  </r>
  <r>
    <s v="ORD04502"/>
    <d v="2025-08-04T00:00:00"/>
    <s v="CUST0396"/>
    <x v="3"/>
    <x v="11"/>
    <n v="1"/>
    <n v="0.1"/>
    <n v="2250"/>
    <n v="663.84"/>
    <x v="2"/>
    <s v="Delivered"/>
    <n v="2250"/>
    <n v="29.504000000000001"/>
    <s v="Profit"/>
    <s v="Rahul Mishra"/>
    <x v="0"/>
    <x v="0"/>
    <s v="Bengaluru"/>
    <s v="Karnataka"/>
    <s v="2023-05-26"/>
    <s v="18-25"/>
    <n v="663.84"/>
  </r>
  <r>
    <s v="ORD04503"/>
    <d v="2025-12-28T00:00:00"/>
    <s v="CUST0562"/>
    <x v="2"/>
    <x v="2"/>
    <n v="3"/>
    <n v="0"/>
    <n v="39000"/>
    <n v="9600"/>
    <x v="3"/>
    <s v="Delivered"/>
    <n v="13000"/>
    <n v="24.61538461538462"/>
    <s v="Profit"/>
    <s v="Shreya Das"/>
    <x v="0"/>
    <x v="2"/>
    <s v="Chandigarh"/>
    <s v="Chandigarh"/>
    <s v="2024-05-03"/>
    <s v="36-50"/>
    <n v="3200"/>
  </r>
  <r>
    <s v="ORD04504"/>
    <d v="2026-06-14T00:00:00"/>
    <s v="CUST0167"/>
    <x v="2"/>
    <x v="5"/>
    <n v="1"/>
    <n v="0"/>
    <n v="11000"/>
    <n v="2600"/>
    <x v="2"/>
    <s v="Delivered"/>
    <n v="11000"/>
    <n v="23.63636363636364"/>
    <s v="Profit"/>
    <s v="Aarav Mehta"/>
    <x v="0"/>
    <x v="0"/>
    <s v="Hyderabad"/>
    <s v="Telangana"/>
    <s v="2024-10-15"/>
    <s v="51+"/>
    <n v="2600"/>
  </r>
  <r>
    <s v="ORD04505"/>
    <d v="2026-07-14T00:00:00"/>
    <s v="CUST0233"/>
    <x v="1"/>
    <x v="15"/>
    <n v="3"/>
    <n v="0.1"/>
    <n v="5940"/>
    <n v="1908.96"/>
    <x v="0"/>
    <s v="Delivered"/>
    <n v="1980"/>
    <n v="32.137373737373743"/>
    <s v="Profit"/>
    <s v="Aarav Menon"/>
    <x v="0"/>
    <x v="2"/>
    <s v="Chandigarh"/>
    <s v="Chandigarh"/>
    <s v="2023-12-22"/>
    <s v="26-35"/>
    <n v="636.32000000000005"/>
  </r>
  <r>
    <s v="ORD04506"/>
    <d v="2025-11-22T00:00:00"/>
    <s v="CUST0541"/>
    <x v="3"/>
    <x v="10"/>
    <n v="4"/>
    <n v="0.1"/>
    <n v="198000"/>
    <n v="21672.78"/>
    <x v="1"/>
    <s v="Shipped"/>
    <n v="49500"/>
    <n v="10.945848484848479"/>
    <s v="Profit"/>
    <s v="Rahul Mishra"/>
    <x v="0"/>
    <x v="3"/>
    <s v="Kolkata"/>
    <s v="West Bengal"/>
    <s v="2025-05-13"/>
    <s v="51+"/>
    <n v="5418.1949999999997"/>
  </r>
  <r>
    <s v="ORD04507"/>
    <d v="2026-01-24T00:00:00"/>
    <s v="CUST0137"/>
    <x v="1"/>
    <x v="12"/>
    <n v="3"/>
    <n v="0"/>
    <n v="4200"/>
    <n v="1500"/>
    <x v="0"/>
    <s v="Delivered"/>
    <n v="1400"/>
    <n v="35.714285714285722"/>
    <s v="Profit"/>
    <s v="Nisha Rao"/>
    <x v="1"/>
    <x v="2"/>
    <s v="Delhi"/>
    <s v="Delhi"/>
    <s v="2024-07-02"/>
    <s v="26-35"/>
    <n v="500"/>
  </r>
  <r>
    <s v="ORD04508"/>
    <d v="2025-10-10T00:00:00"/>
    <s v="CUST0229"/>
    <x v="3"/>
    <x v="4"/>
    <n v="10"/>
    <n v="0"/>
    <n v="180000"/>
    <n v="35000"/>
    <x v="0"/>
    <s v="Delivered"/>
    <n v="18000"/>
    <n v="19.44444444444445"/>
    <s v="Profit"/>
    <s v="Harini Chopra"/>
    <x v="0"/>
    <x v="0"/>
    <s v="Bengaluru"/>
    <s v="Karnataka"/>
    <s v="2025-05-19"/>
    <s v="26-35"/>
    <n v="3500"/>
  </r>
  <r>
    <s v="ORD04509"/>
    <d v="2026-04-03T00:00:00"/>
    <s v="CUST0312"/>
    <x v="0"/>
    <x v="0"/>
    <n v="1"/>
    <n v="0.1"/>
    <n v="12600"/>
    <n v="1969.4"/>
    <x v="1"/>
    <s v="Delivered"/>
    <n v="12600"/>
    <n v="15.63015873015873"/>
    <s v="Profit"/>
    <s v="Kavya Menon"/>
    <x v="1"/>
    <x v="1"/>
    <s v="Mumbai"/>
    <s v="Maharashtra"/>
    <s v="2023-05-26"/>
    <s v="26-35"/>
    <n v="1969.4"/>
  </r>
  <r>
    <s v="ORD04510"/>
    <d v="2025-12-30T00:00:00"/>
    <s v="CUST0314"/>
    <x v="0"/>
    <x v="6"/>
    <n v="3"/>
    <n v="0.05"/>
    <n v="997.5"/>
    <n v="333.1"/>
    <x v="1"/>
    <s v="Delivered"/>
    <n v="332.5"/>
    <n v="33.393483709273177"/>
    <s v="Profit"/>
    <s v="Aarav Mishra"/>
    <x v="0"/>
    <x v="0"/>
    <s v="Bengaluru"/>
    <s v="Karnataka"/>
    <s v="2025-10-30"/>
    <s v="26-35"/>
    <n v="111.0333333333333"/>
  </r>
  <r>
    <s v="ORD04511"/>
    <d v="2026-04-18T00:00:00"/>
    <s v="CUST0435"/>
    <x v="3"/>
    <x v="8"/>
    <n v="1"/>
    <n v="0.15"/>
    <n v="3825"/>
    <n v="1109.1099999999999"/>
    <x v="2"/>
    <s v="Delivered"/>
    <n v="3825"/>
    <n v="28.996339869281041"/>
    <s v="Profit"/>
    <s v="Lakshmi Menon"/>
    <x v="0"/>
    <x v="0"/>
    <s v="Chennai"/>
    <s v="Tamil Nadu"/>
    <s v="2025-04-17"/>
    <s v="26-35"/>
    <n v="1109.1099999999999"/>
  </r>
  <r>
    <s v="ORD04512"/>
    <d v="2026-02-13T00:00:00"/>
    <s v="CUST0046"/>
    <x v="0"/>
    <x v="6"/>
    <n v="6"/>
    <n v="0.1"/>
    <n v="1890"/>
    <n v="-436.73"/>
    <x v="3"/>
    <s v="Cancelled"/>
    <n v="315"/>
    <n v="-23.107407407407411"/>
    <s v="Loss"/>
    <s v="Kavya Pillai"/>
    <x v="1"/>
    <x v="3"/>
    <s v="Kolkata"/>
    <s v="West Bengal"/>
    <s v="2025-11-12"/>
    <s v="36-50"/>
    <n v="-72.788333333333341"/>
  </r>
  <r>
    <s v="ORD04513"/>
    <d v="2025-10-07T00:00:00"/>
    <s v="CUST0572"/>
    <x v="1"/>
    <x v="15"/>
    <n v="2"/>
    <n v="0.05"/>
    <n v="4180"/>
    <n v="1326.79"/>
    <x v="1"/>
    <s v="Delivered"/>
    <n v="2090"/>
    <n v="31.741387559808611"/>
    <s v="Profit"/>
    <s v="Manoj Kulkarni"/>
    <x v="1"/>
    <x v="2"/>
    <s v="Lucknow"/>
    <s v="Uttar Pradesh"/>
    <s v="2024-03-30"/>
    <s v="18-25"/>
    <n v="663.39499999999998"/>
  </r>
  <r>
    <s v="ORD04514"/>
    <d v="2026-03-24T00:00:00"/>
    <s v="CUST0505"/>
    <x v="3"/>
    <x v="11"/>
    <n v="1"/>
    <n v="0.1"/>
    <n v="2250"/>
    <n v="621.25"/>
    <x v="2"/>
    <s v="Delivered"/>
    <n v="2250"/>
    <n v="27.611111111111111"/>
    <s v="Profit"/>
    <s v="Aarav Pillai"/>
    <x v="0"/>
    <x v="2"/>
    <s v="Lucknow"/>
    <s v="Uttar Pradesh"/>
    <s v="2025-05-09"/>
    <s v="51+"/>
    <n v="621.25"/>
  </r>
  <r>
    <s v="ORD04515"/>
    <d v="2025-07-07T00:00:00"/>
    <s v="CUST0401"/>
    <x v="2"/>
    <x v="5"/>
    <n v="6"/>
    <n v="0"/>
    <n v="66000"/>
    <n v="15600"/>
    <x v="3"/>
    <s v="Delivered"/>
    <n v="11000"/>
    <n v="23.63636363636364"/>
    <s v="Profit"/>
    <s v="Ananya Nair"/>
    <x v="0"/>
    <x v="0"/>
    <s v="Hyderabad"/>
    <s v="Telangana"/>
    <s v="2024-04-08"/>
    <s v="26-35"/>
    <n v="2600"/>
  </r>
  <r>
    <s v="ORD04516"/>
    <d v="2026-08-20T00:00:00"/>
    <s v="CUST0111"/>
    <x v="1"/>
    <x v="1"/>
    <n v="1"/>
    <n v="0.3"/>
    <n v="1260"/>
    <n v="287.06"/>
    <x v="0"/>
    <s v="Delivered"/>
    <n v="1260"/>
    <n v="22.782539682539682"/>
    <s v="Profit"/>
    <s v="Akash Verma"/>
    <x v="0"/>
    <x v="1"/>
    <s v="Pune"/>
    <s v="Maharashtra"/>
    <s v="2023-06-12"/>
    <s v="36-50"/>
    <n v="287.06"/>
  </r>
  <r>
    <s v="ORD04517"/>
    <d v="2026-07-20T00:00:00"/>
    <s v="CUST0083"/>
    <x v="1"/>
    <x v="13"/>
    <n v="1"/>
    <n v="0"/>
    <n v="4200"/>
    <n v="1200"/>
    <x v="1"/>
    <s v="Delivered"/>
    <n v="4200"/>
    <n v="28.571428571428569"/>
    <s v="Profit"/>
    <s v="Nisha Singh"/>
    <x v="0"/>
    <x v="0"/>
    <s v="Bengaluru"/>
    <s v="Karnataka"/>
    <s v="2024-07-24"/>
    <s v="26-35"/>
    <n v="1200"/>
  </r>
  <r>
    <s v="ORD04518"/>
    <d v="2025-12-05T00:00:00"/>
    <s v="CUST0067"/>
    <x v="2"/>
    <x v="9"/>
    <n v="1"/>
    <n v="0.15"/>
    <n v="7650"/>
    <n v="1406.07"/>
    <x v="0"/>
    <s v="Delivered"/>
    <n v="7650"/>
    <n v="18.38"/>
    <s v="Profit"/>
    <s v="Varun Joshi"/>
    <x v="0"/>
    <x v="0"/>
    <s v="Chennai"/>
    <s v="Tamil Nadu"/>
    <s v="2024-10-29"/>
    <s v="26-35"/>
    <n v="1406.07"/>
  </r>
  <r>
    <s v="ORD04519"/>
    <d v="2026-06-17T00:00:00"/>
    <s v="CUST0160"/>
    <x v="3"/>
    <x v="11"/>
    <n v="3"/>
    <n v="0.1"/>
    <n v="6750"/>
    <n v="1890.89"/>
    <x v="3"/>
    <s v="Delivered"/>
    <n v="2250"/>
    <n v="28.01318518518519"/>
    <s v="Profit"/>
    <s v="Divya Sharma"/>
    <x v="2"/>
    <x v="0"/>
    <s v="Bengaluru"/>
    <s v="Karnataka"/>
    <s v="2024-09-25"/>
    <s v="18-25"/>
    <n v="630.29666666666674"/>
  </r>
  <r>
    <s v="ORD04520"/>
    <d v="2025-10-13T00:00:00"/>
    <s v="CUST0228"/>
    <x v="0"/>
    <x v="6"/>
    <n v="2"/>
    <n v="0"/>
    <n v="700"/>
    <n v="240"/>
    <x v="2"/>
    <s v="Delivered"/>
    <n v="350"/>
    <n v="34.285714285714278"/>
    <s v="Profit"/>
    <s v="Rohan Reddy"/>
    <x v="2"/>
    <x v="0"/>
    <s v="Coimbatore"/>
    <s v="Tamil Nadu"/>
    <s v="2025-11-28"/>
    <s v="36-50"/>
    <n v="120"/>
  </r>
  <r>
    <s v="ORD04521"/>
    <d v="2026-06-13T00:00:00"/>
    <s v="CUST0271"/>
    <x v="3"/>
    <x v="8"/>
    <n v="3"/>
    <n v="0"/>
    <n v="13500"/>
    <n v="4500"/>
    <x v="2"/>
    <s v="Delivered"/>
    <n v="4500"/>
    <n v="33.333333333333329"/>
    <s v="Profit"/>
    <s v="Rohan Mehta"/>
    <x v="1"/>
    <x v="2"/>
    <s v="Delhi"/>
    <s v="Delhi"/>
    <s v="2025-01-13"/>
    <s v="51+"/>
    <n v="1500"/>
  </r>
  <r>
    <s v="ORD04522"/>
    <d v="2026-08-01T00:00:00"/>
    <s v="CUST0343"/>
    <x v="3"/>
    <x v="11"/>
    <n v="3"/>
    <n v="0"/>
    <n v="7500"/>
    <n v="2400"/>
    <x v="3"/>
    <s v="Delivered"/>
    <n v="2500"/>
    <n v="32"/>
    <s v="Profit"/>
    <s v="Meera Iyer"/>
    <x v="0"/>
    <x v="0"/>
    <s v="Bengaluru"/>
    <s v="Karnataka"/>
    <s v="2024-08-02"/>
    <s v="36-50"/>
    <n v="800"/>
  </r>
  <r>
    <s v="ORD04523"/>
    <d v="2026-05-24T00:00:00"/>
    <s v="CUST0298"/>
    <x v="3"/>
    <x v="8"/>
    <n v="1"/>
    <n v="0"/>
    <n v="4500"/>
    <n v="89.68"/>
    <x v="1"/>
    <s v="Returned"/>
    <n v="4500"/>
    <n v="1.9928888888888889"/>
    <s v="Profit"/>
    <s v="Diya Joshi"/>
    <x v="0"/>
    <x v="0"/>
    <s v="Chennai"/>
    <s v="Tamil Nadu"/>
    <s v="2025-01-10"/>
    <s v="18-25"/>
    <n v="89.68"/>
  </r>
  <r>
    <s v="ORD04524"/>
    <d v="2025-08-06T00:00:00"/>
    <s v="CUST0056"/>
    <x v="3"/>
    <x v="8"/>
    <n v="4"/>
    <n v="0"/>
    <n v="18000"/>
    <n v="6000"/>
    <x v="1"/>
    <s v="Delivered"/>
    <n v="4500"/>
    <n v="33.333333333333329"/>
    <s v="Profit"/>
    <s v="Vikram Pillai"/>
    <x v="0"/>
    <x v="3"/>
    <s v="Patna"/>
    <s v="Bihar"/>
    <s v="2024-11-12"/>
    <s v="18-25"/>
    <n v="1500"/>
  </r>
  <r>
    <s v="ORD04525"/>
    <d v="2025-09-26T00:00:00"/>
    <s v="CUST0244"/>
    <x v="3"/>
    <x v="10"/>
    <n v="4"/>
    <n v="0.15"/>
    <n v="187000"/>
    <n v="15762.07"/>
    <x v="3"/>
    <s v="Delivered"/>
    <n v="46750"/>
    <n v="8.4289144385026749"/>
    <s v="Profit"/>
    <s v="Ishaan Khan"/>
    <x v="0"/>
    <x v="0"/>
    <s v="Bengaluru"/>
    <s v="Karnataka"/>
    <s v="2024-01-08"/>
    <s v="36-50"/>
    <n v="3940.5174999999999"/>
  </r>
  <r>
    <s v="ORD04526"/>
    <d v="2025-10-15T00:00:00"/>
    <s v="CUST0480"/>
    <x v="2"/>
    <x v="2"/>
    <n v="1"/>
    <n v="0.2"/>
    <n v="10400"/>
    <n v="1612.93"/>
    <x v="2"/>
    <s v="Delivered"/>
    <n v="10400"/>
    <n v="15.50894230769231"/>
    <s v="Profit"/>
    <s v="Ananya Mehta"/>
    <x v="1"/>
    <x v="2"/>
    <s v="Chandigarh"/>
    <s v="Chandigarh"/>
    <s v="2023-12-24"/>
    <s v="36-50"/>
    <n v="1612.93"/>
  </r>
  <r>
    <s v="ORD04527"/>
    <d v="2025-11-19T00:00:00"/>
    <s v="CUST0050"/>
    <x v="0"/>
    <x v="0"/>
    <n v="4"/>
    <n v="0.1"/>
    <n v="50400"/>
    <n v="7246.97"/>
    <x v="2"/>
    <s v="Delivered"/>
    <n v="12600"/>
    <n v="14.378908730158731"/>
    <s v="Profit"/>
    <s v="Varun Mehta"/>
    <x v="2"/>
    <x v="2"/>
    <s v="Jaipur"/>
    <s v="Rajasthan"/>
    <s v="2025-07-08"/>
    <s v="26-35"/>
    <n v="1811.7425000000001"/>
  </r>
  <r>
    <s v="ORD04528"/>
    <d v="2025-08-05T00:00:00"/>
    <s v="CUST0250"/>
    <x v="3"/>
    <x v="10"/>
    <n v="10"/>
    <n v="0"/>
    <n v="550000"/>
    <n v="90000"/>
    <x v="3"/>
    <s v="Delivered"/>
    <n v="55000"/>
    <n v="16.36363636363636"/>
    <s v="Profit"/>
    <s v="Sanjay Das"/>
    <x v="1"/>
    <x v="1"/>
    <s v="Ahmedabad"/>
    <s v="Gujarat"/>
    <s v="2024-08-01"/>
    <s v="26-35"/>
    <n v="9000"/>
  </r>
  <r>
    <s v="ORD04529"/>
    <d v="2026-05-30T00:00:00"/>
    <s v="CUST0411"/>
    <x v="3"/>
    <x v="10"/>
    <n v="4"/>
    <n v="0.1"/>
    <n v="198000"/>
    <n v="25408.59"/>
    <x v="1"/>
    <s v="Delivered"/>
    <n v="49500"/>
    <n v="12.832621212121211"/>
    <s v="Profit"/>
    <s v="Arjun Mehta"/>
    <x v="1"/>
    <x v="0"/>
    <s v="Bengaluru"/>
    <s v="Karnataka"/>
    <s v="2023-02-18"/>
    <s v="36-50"/>
    <n v="6352.1475"/>
  </r>
  <r>
    <s v="ORD04530"/>
    <d v="2025-10-04T00:00:00"/>
    <s v="CUST0130"/>
    <x v="3"/>
    <x v="11"/>
    <n v="3"/>
    <n v="0.1"/>
    <n v="6750"/>
    <n v="1897.11"/>
    <x v="0"/>
    <s v="Delivered"/>
    <n v="2250"/>
    <n v="28.105333333333331"/>
    <s v="Profit"/>
    <s v="Harini Nair"/>
    <x v="0"/>
    <x v="2"/>
    <s v="Delhi"/>
    <s v="Delhi"/>
    <s v="2025-03-01"/>
    <s v="18-25"/>
    <n v="632.37"/>
  </r>
  <r>
    <s v="ORD04531"/>
    <d v="2026-01-26T00:00:00"/>
    <s v="CUST0564"/>
    <x v="0"/>
    <x v="6"/>
    <n v="1"/>
    <n v="0.1"/>
    <n v="315"/>
    <n v="97.83"/>
    <x v="0"/>
    <s v="Delivered"/>
    <n v="315"/>
    <n v="31.05714285714286"/>
    <s v="Profit"/>
    <s v="Aditya Joshi"/>
    <x v="2"/>
    <x v="3"/>
    <s v="Guwahati"/>
    <s v="Assam"/>
    <s v="2025-12-19"/>
    <s v="51+"/>
    <n v="97.83"/>
  </r>
  <r>
    <s v="ORD04532"/>
    <d v="2025-07-12T00:00:00"/>
    <s v="CUST0024"/>
    <x v="3"/>
    <x v="11"/>
    <n v="2"/>
    <n v="0.05"/>
    <n v="4750"/>
    <n v="1469.55"/>
    <x v="0"/>
    <s v="Delivered"/>
    <n v="2375"/>
    <n v="30.9378947368421"/>
    <s v="Profit"/>
    <s v="Lakshmi Pillai"/>
    <x v="1"/>
    <x v="0"/>
    <s v="Coimbatore"/>
    <s v="Tamil Nadu"/>
    <s v="2024-11-26"/>
    <s v="26-35"/>
    <n v="734.77499999999998"/>
  </r>
  <r>
    <s v="ORD04533"/>
    <d v="2026-05-28T00:00:00"/>
    <s v="CUST0412"/>
    <x v="3"/>
    <x v="10"/>
    <n v="15"/>
    <n v="0"/>
    <n v="825000"/>
    <n v="135000"/>
    <x v="3"/>
    <s v="Delivered"/>
    <n v="55000"/>
    <n v="16.36363636363636"/>
    <s v="Profit"/>
    <s v="Akash Khan"/>
    <x v="0"/>
    <x v="0"/>
    <s v="Chennai"/>
    <s v="Tamil Nadu"/>
    <s v="2025-03-27"/>
    <s v="26-35"/>
    <n v="9000"/>
  </r>
  <r>
    <s v="ORD04534"/>
    <d v="2026-01-16T00:00:00"/>
    <s v="CUST0550"/>
    <x v="0"/>
    <x v="6"/>
    <n v="2"/>
    <n v="0.2"/>
    <n v="560"/>
    <n v="171.34"/>
    <x v="1"/>
    <s v="Shipped"/>
    <n v="280"/>
    <n v="30.596428571428579"/>
    <s v="Profit"/>
    <s v="Sneha Pillai"/>
    <x v="0"/>
    <x v="1"/>
    <s v="Mumbai"/>
    <s v="Maharashtra"/>
    <s v="2025-02-28"/>
    <s v="36-50"/>
    <n v="85.67"/>
  </r>
  <r>
    <s v="ORD04535"/>
    <d v="2025-09-17T00:00:00"/>
    <s v="CUST0214"/>
    <x v="0"/>
    <x v="0"/>
    <n v="4"/>
    <n v="0.15"/>
    <n v="47600"/>
    <n v="6156.81"/>
    <x v="2"/>
    <s v="Delivered"/>
    <n v="11900"/>
    <n v="12.934474789915971"/>
    <s v="Profit"/>
    <s v="Ananya Rao"/>
    <x v="0"/>
    <x v="0"/>
    <s v="Hyderabad"/>
    <s v="Telangana"/>
    <s v="2023-07-14"/>
    <s v="51+"/>
    <n v="1539.2025000000001"/>
  </r>
  <r>
    <s v="ORD04536"/>
    <d v="2026-03-30T00:00:00"/>
    <s v="CUST0314"/>
    <x v="1"/>
    <x v="1"/>
    <n v="4"/>
    <n v="0.1"/>
    <n v="6480"/>
    <n v="2050.73"/>
    <x v="3"/>
    <s v="Delivered"/>
    <n v="1620"/>
    <n v="31.647067901234561"/>
    <s v="Profit"/>
    <s v="Aarav Mishra"/>
    <x v="0"/>
    <x v="0"/>
    <s v="Bengaluru"/>
    <s v="Karnataka"/>
    <s v="2025-10-30"/>
    <s v="26-35"/>
    <n v="512.6825"/>
  </r>
  <r>
    <s v="ORD04537"/>
    <d v="2025-10-11T00:00:00"/>
    <s v="CUST0079"/>
    <x v="3"/>
    <x v="8"/>
    <n v="3"/>
    <n v="0.15"/>
    <n v="11475"/>
    <n v="2838.73"/>
    <x v="0"/>
    <s v="Delivered"/>
    <n v="3825"/>
    <n v="24.738387799564268"/>
    <s v="Profit"/>
    <s v="Akash Mehta"/>
    <x v="0"/>
    <x v="0"/>
    <s v="Chennai"/>
    <s v="Tamil Nadu"/>
    <s v="2024-07-12"/>
    <s v="51+"/>
    <n v="946.24333333333334"/>
  </r>
  <r>
    <s v="ORD04538"/>
    <d v="2025-08-04T00:00:00"/>
    <s v="CUST0443"/>
    <x v="1"/>
    <x v="12"/>
    <n v="2"/>
    <n v="0.05"/>
    <n v="2660"/>
    <n v="907.9"/>
    <x v="3"/>
    <s v="Delivered"/>
    <n v="1330"/>
    <n v="34.131578947368418"/>
    <s v="Profit"/>
    <s v="Akash Sharma"/>
    <x v="1"/>
    <x v="0"/>
    <s v="Coimbatore"/>
    <s v="Tamil Nadu"/>
    <s v="2023-10-10"/>
    <s v="51+"/>
    <n v="453.95"/>
  </r>
  <r>
    <s v="ORD04539"/>
    <d v="2026-01-06T00:00:00"/>
    <s v="CUST0175"/>
    <x v="3"/>
    <x v="8"/>
    <n v="4"/>
    <n v="0"/>
    <n v="18000"/>
    <n v="6000"/>
    <x v="0"/>
    <s v="Delivered"/>
    <n v="4500"/>
    <n v="33.333333333333329"/>
    <s v="Profit"/>
    <s v="Akash Mehta"/>
    <x v="0"/>
    <x v="1"/>
    <s v="Ahmedabad"/>
    <s v="Gujarat"/>
    <s v="2023-12-29"/>
    <s v="36-50"/>
    <n v="1500"/>
  </r>
  <r>
    <s v="ORD04540"/>
    <d v="2025-11-01T00:00:00"/>
    <s v="CUST0291"/>
    <x v="2"/>
    <x v="9"/>
    <n v="1"/>
    <n v="0.15"/>
    <n v="7650"/>
    <n v="1199.93"/>
    <x v="1"/>
    <s v="Delivered"/>
    <n v="7650"/>
    <n v="15.68535947712418"/>
    <s v="Profit"/>
    <s v="Divya Chopra"/>
    <x v="1"/>
    <x v="0"/>
    <s v="Bengaluru"/>
    <s v="Karnataka"/>
    <s v="2023-10-19"/>
    <s v="18-25"/>
    <n v="1199.93"/>
  </r>
  <r>
    <s v="ORD04541"/>
    <d v="2026-07-31T00:00:00"/>
    <s v="CUST0596"/>
    <x v="1"/>
    <x v="12"/>
    <n v="1"/>
    <n v="0"/>
    <n v="1400"/>
    <n v="500"/>
    <x v="2"/>
    <s v="Delivered"/>
    <n v="1400"/>
    <n v="35.714285714285722"/>
    <s v="Profit"/>
    <s v="Manoj Rao"/>
    <x v="0"/>
    <x v="0"/>
    <s v="Bengaluru"/>
    <s v="Karnataka"/>
    <s v="2024-01-21"/>
    <s v="18-25"/>
    <n v="500"/>
  </r>
  <r>
    <s v="ORD04542"/>
    <d v="2025-12-22T00:00:00"/>
    <s v="CUST0378"/>
    <x v="2"/>
    <x v="2"/>
    <n v="1"/>
    <n v="0"/>
    <n v="13000"/>
    <n v="3200"/>
    <x v="1"/>
    <s v="Shipped"/>
    <n v="13000"/>
    <n v="24.61538461538462"/>
    <s v="Profit"/>
    <s v="Aarav Joshi"/>
    <x v="2"/>
    <x v="0"/>
    <s v="Bengaluru"/>
    <s v="Karnataka"/>
    <s v="2025-12-14"/>
    <s v="26-35"/>
    <n v="3200"/>
  </r>
  <r>
    <s v="ORD04543"/>
    <d v="2026-07-29T00:00:00"/>
    <s v="CUST0241"/>
    <x v="0"/>
    <x v="6"/>
    <n v="2"/>
    <n v="0.2"/>
    <n v="560"/>
    <n v="173.88"/>
    <x v="2"/>
    <s v="Delivered"/>
    <n v="280"/>
    <n v="31.05"/>
    <s v="Profit"/>
    <s v="Harini Menon"/>
    <x v="0"/>
    <x v="1"/>
    <s v="Pune"/>
    <s v="Maharashtra"/>
    <s v="2023-01-16"/>
    <s v="18-25"/>
    <n v="86.94"/>
  </r>
  <r>
    <s v="ORD04544"/>
    <d v="2026-04-30T00:00:00"/>
    <s v="CUST0014"/>
    <x v="3"/>
    <x v="11"/>
    <n v="1"/>
    <n v="0.1"/>
    <n v="2250"/>
    <n v="628.55999999999995"/>
    <x v="1"/>
    <s v="Delivered"/>
    <n v="2250"/>
    <n v="27.936"/>
    <s v="Profit"/>
    <s v="Lakshmi Verma"/>
    <x v="2"/>
    <x v="0"/>
    <s v="Chennai"/>
    <s v="Tamil Nadu"/>
    <s v="2024-11-24"/>
    <s v="36-50"/>
    <n v="628.55999999999995"/>
  </r>
  <r>
    <s v="ORD04545"/>
    <d v="2026-01-09T00:00:00"/>
    <s v="CUST0119"/>
    <x v="1"/>
    <x v="15"/>
    <n v="1"/>
    <n v="0"/>
    <n v="2200"/>
    <n v="750"/>
    <x v="0"/>
    <s v="Delivered"/>
    <n v="2200"/>
    <n v="34.090909090909093"/>
    <s v="Profit"/>
    <s v="Divya Naidu"/>
    <x v="1"/>
    <x v="0"/>
    <s v="Coimbatore"/>
    <s v="Tamil Nadu"/>
    <s v="2023-05-25"/>
    <s v="36-50"/>
    <n v="750"/>
  </r>
  <r>
    <s v="ORD04546"/>
    <d v="2026-08-17T00:00:00"/>
    <s v="CUST0351"/>
    <x v="0"/>
    <x v="7"/>
    <n v="1"/>
    <n v="0"/>
    <n v="900"/>
    <n v="280"/>
    <x v="1"/>
    <s v="Delivered"/>
    <n v="900"/>
    <n v="31.111111111111111"/>
    <s v="Profit"/>
    <s v="Aarav Naidu"/>
    <x v="0"/>
    <x v="0"/>
    <s v="Hyderabad"/>
    <s v="Telangana"/>
    <s v="2024-09-17"/>
    <s v="26-35"/>
    <n v="280"/>
  </r>
  <r>
    <s v="ORD04547"/>
    <d v="2026-04-23T00:00:00"/>
    <s v="CUST0259"/>
    <x v="1"/>
    <x v="12"/>
    <n v="3"/>
    <n v="0.05"/>
    <n v="3990"/>
    <n v="1402.1"/>
    <x v="3"/>
    <s v="Delivered"/>
    <n v="1330"/>
    <n v="35.140350877192994"/>
    <s v="Profit"/>
    <s v="Manoj Menon"/>
    <x v="2"/>
    <x v="0"/>
    <s v="Coimbatore"/>
    <s v="Tamil Nadu"/>
    <s v="2023-10-20"/>
    <s v="26-35"/>
    <n v="467.36666666666662"/>
  </r>
  <r>
    <s v="ORD04548"/>
    <d v="2025-09-25T00:00:00"/>
    <s v="CUST0382"/>
    <x v="2"/>
    <x v="3"/>
    <n v="1"/>
    <n v="0"/>
    <n v="15000"/>
    <n v="3500"/>
    <x v="0"/>
    <s v="Delivered"/>
    <n v="15000"/>
    <n v="23.333333333333329"/>
    <s v="Profit"/>
    <s v="Karthik Rao"/>
    <x v="2"/>
    <x v="1"/>
    <s v="Surat"/>
    <s v="Gujarat"/>
    <s v="2023-03-30"/>
    <s v="18-25"/>
    <n v="3500"/>
  </r>
  <r>
    <s v="ORD04549"/>
    <d v="2026-01-15T00:00:00"/>
    <s v="CUST0289"/>
    <x v="3"/>
    <x v="8"/>
    <n v="3"/>
    <n v="0.15"/>
    <n v="11475"/>
    <n v="3148.36"/>
    <x v="0"/>
    <s v="Delivered"/>
    <n v="3825"/>
    <n v="27.436688453159039"/>
    <s v="Profit"/>
    <s v="Rahul Iyer"/>
    <x v="2"/>
    <x v="0"/>
    <s v="Coimbatore"/>
    <s v="Tamil Nadu"/>
    <s v="2023-01-07"/>
    <s v="18-25"/>
    <n v="1049.4533333333329"/>
  </r>
  <r>
    <s v="ORD04550"/>
    <d v="2026-05-14T00:00:00"/>
    <s v="CUST0528"/>
    <x v="1"/>
    <x v="1"/>
    <n v="2"/>
    <n v="0.05"/>
    <n v="3420"/>
    <n v="1194.81"/>
    <x v="1"/>
    <s v="Delivered"/>
    <n v="1710"/>
    <n v="34.935964912280703"/>
    <s v="Profit"/>
    <s v="Karthik Menon"/>
    <x v="0"/>
    <x v="0"/>
    <s v="Chennai"/>
    <s v="Tamil Nadu"/>
    <s v="2024-07-24"/>
    <s v="36-50"/>
    <n v="597.40499999999997"/>
  </r>
  <r>
    <s v="ORD04551"/>
    <d v="2025-07-10T00:00:00"/>
    <s v="CUST0045"/>
    <x v="3"/>
    <x v="8"/>
    <n v="3"/>
    <n v="0.1"/>
    <n v="12150"/>
    <n v="3452.52"/>
    <x v="0"/>
    <s v="Delivered"/>
    <n v="4050"/>
    <n v="28.415802469135809"/>
    <s v="Profit"/>
    <s v="Sanjay Nair"/>
    <x v="0"/>
    <x v="1"/>
    <s v="Surat"/>
    <s v="Gujarat"/>
    <s v="2024-10-17"/>
    <s v="26-35"/>
    <n v="1150.8399999999999"/>
  </r>
  <r>
    <s v="ORD04552"/>
    <d v="2026-04-09T00:00:00"/>
    <s v="CUST0285"/>
    <x v="1"/>
    <x v="1"/>
    <n v="1"/>
    <n v="0.05"/>
    <n v="1710"/>
    <n v="583.84"/>
    <x v="0"/>
    <s v="Delivered"/>
    <n v="1710"/>
    <n v="34.142690058479538"/>
    <s v="Profit"/>
    <s v="Ishaan Reddy"/>
    <x v="1"/>
    <x v="3"/>
    <s v="Kolkata"/>
    <s v="West Bengal"/>
    <s v="2024-07-01"/>
    <s v="26-35"/>
    <n v="583.84"/>
  </r>
  <r>
    <s v="ORD04553"/>
    <d v="2026-05-15T00:00:00"/>
    <s v="CUST0329"/>
    <x v="0"/>
    <x v="14"/>
    <n v="2"/>
    <n v="0.15"/>
    <n v="765"/>
    <n v="155.57"/>
    <x v="2"/>
    <s v="Delivered"/>
    <n v="382.5"/>
    <n v="20.335947712418299"/>
    <s v="Profit"/>
    <s v="Shreya Pillai"/>
    <x v="0"/>
    <x v="3"/>
    <s v="Bhubaneswar"/>
    <s v="Odisha"/>
    <s v="2024-08-08"/>
    <s v="26-35"/>
    <n v="77.784999999999997"/>
  </r>
  <r>
    <s v="ORD04554"/>
    <d v="2025-12-16T00:00:00"/>
    <s v="CUST0155"/>
    <x v="3"/>
    <x v="11"/>
    <n v="2"/>
    <n v="0.2"/>
    <n v="4000"/>
    <n v="775.81"/>
    <x v="2"/>
    <s v="Delivered"/>
    <n v="2000"/>
    <n v="19.395250000000001"/>
    <s v="Profit"/>
    <s v="Ishaan Sharma"/>
    <x v="0"/>
    <x v="0"/>
    <s v="Bengaluru"/>
    <s v="Karnataka"/>
    <s v="2023-07-08"/>
    <s v="26-35"/>
    <n v="387.90499999999997"/>
  </r>
  <r>
    <s v="ORD04555"/>
    <d v="2026-04-28T00:00:00"/>
    <s v="CUST0499"/>
    <x v="3"/>
    <x v="4"/>
    <n v="4"/>
    <n v="0.05"/>
    <n v="68400"/>
    <n v="-43072.58"/>
    <x v="3"/>
    <s v="Returned"/>
    <n v="17100"/>
    <n v="-62.971608187134507"/>
    <s v="Loss"/>
    <s v="Meera Singh"/>
    <x v="0"/>
    <x v="1"/>
    <s v="Pune"/>
    <s v="Maharashtra"/>
    <s v="2025-06-01"/>
    <s v="36-50"/>
    <n v="-10768.145"/>
  </r>
  <r>
    <s v="ORD04556"/>
    <d v="2025-09-25T00:00:00"/>
    <s v="CUST0476"/>
    <x v="2"/>
    <x v="5"/>
    <n v="3"/>
    <n v="0"/>
    <n v="33000"/>
    <n v="7800"/>
    <x v="1"/>
    <s v="Delivered"/>
    <n v="11000"/>
    <n v="23.63636363636364"/>
    <s v="Profit"/>
    <s v="Ishaan Gupta"/>
    <x v="1"/>
    <x v="0"/>
    <s v="Bengaluru"/>
    <s v="Karnataka"/>
    <s v="2025-07-01"/>
    <s v="18-25"/>
    <n v="2600"/>
  </r>
  <r>
    <s v="ORD04557"/>
    <d v="2026-01-11T00:00:00"/>
    <s v="CUST0511"/>
    <x v="3"/>
    <x v="8"/>
    <n v="6"/>
    <n v="0.15"/>
    <n v="22950"/>
    <n v="6391.34"/>
    <x v="3"/>
    <s v="Shipped"/>
    <n v="3825"/>
    <n v="27.848976034858389"/>
    <s v="Profit"/>
    <s v="Sneha Naidu"/>
    <x v="1"/>
    <x v="2"/>
    <s v="Delhi"/>
    <s v="Delhi"/>
    <s v="2023-05-20"/>
    <s v="18-25"/>
    <n v="1065.2233333333329"/>
  </r>
  <r>
    <s v="ORD04558"/>
    <d v="2026-03-31T00:00:00"/>
    <s v="CUST0173"/>
    <x v="0"/>
    <x v="14"/>
    <n v="3"/>
    <n v="0.3"/>
    <n v="945"/>
    <n v="0.25"/>
    <x v="3"/>
    <s v="Delivered"/>
    <n v="315"/>
    <n v="2.645502645502646E-2"/>
    <s v="Profit"/>
    <s v="Rohan Rao"/>
    <x v="1"/>
    <x v="0"/>
    <s v="Bengaluru"/>
    <s v="Karnataka"/>
    <s v="2024-03-17"/>
    <s v="18-25"/>
    <n v="8.3333333333333329E-2"/>
  </r>
  <r>
    <s v="ORD04559"/>
    <d v="2026-04-24T00:00:00"/>
    <s v="CUST0075"/>
    <x v="2"/>
    <x v="2"/>
    <n v="6"/>
    <n v="0.1"/>
    <n v="70200"/>
    <n v="13568.88"/>
    <x v="0"/>
    <s v="Delivered"/>
    <n v="11700"/>
    <n v="19.328888888888891"/>
    <s v="Profit"/>
    <s v="Karthik Sharma"/>
    <x v="0"/>
    <x v="0"/>
    <s v="Bengaluru"/>
    <s v="Karnataka"/>
    <s v="2025-09-08"/>
    <s v="36-50"/>
    <n v="2261.48"/>
  </r>
  <r>
    <s v="ORD04560"/>
    <d v="2026-04-25T00:00:00"/>
    <s v="CUST0139"/>
    <x v="2"/>
    <x v="5"/>
    <n v="1"/>
    <n v="0.1"/>
    <n v="9900"/>
    <n v="1961.6"/>
    <x v="2"/>
    <s v="Delivered"/>
    <n v="9900"/>
    <n v="19.81414141414141"/>
    <s v="Profit"/>
    <s v="Lakshmi Das"/>
    <x v="1"/>
    <x v="1"/>
    <s v="Surat"/>
    <s v="Gujarat"/>
    <s v="2023-05-25"/>
    <s v="36-50"/>
    <n v="1961.6"/>
  </r>
  <r>
    <s v="ORD04561"/>
    <d v="2025-12-04T00:00:00"/>
    <s v="CUST0468"/>
    <x v="2"/>
    <x v="3"/>
    <n v="5"/>
    <n v="0.1"/>
    <n v="67500"/>
    <n v="11323.88"/>
    <x v="2"/>
    <s v="Shipped"/>
    <n v="13500"/>
    <n v="16.776118518518519"/>
    <s v="Profit"/>
    <s v="Lakshmi Mehta"/>
    <x v="1"/>
    <x v="0"/>
    <s v="Chennai"/>
    <s v="Tamil Nadu"/>
    <s v="2023-03-02"/>
    <s v="26-35"/>
    <n v="2264.7759999999998"/>
  </r>
  <r>
    <s v="ORD04562"/>
    <d v="2026-03-14T00:00:00"/>
    <s v="CUST0408"/>
    <x v="3"/>
    <x v="11"/>
    <n v="5"/>
    <n v="0.1"/>
    <n v="11250"/>
    <n v="3288.97"/>
    <x v="0"/>
    <s v="Delivered"/>
    <n v="2250"/>
    <n v="29.235288888888888"/>
    <s v="Profit"/>
    <s v="Akash Joshi"/>
    <x v="1"/>
    <x v="1"/>
    <s v="Ahmedabad"/>
    <s v="Gujarat"/>
    <s v="2025-10-05"/>
    <s v="26-35"/>
    <n v="657.79399999999998"/>
  </r>
  <r>
    <s v="ORD04563"/>
    <d v="2025-12-20T00:00:00"/>
    <s v="CUST0306"/>
    <x v="2"/>
    <x v="3"/>
    <n v="5"/>
    <n v="0.1"/>
    <n v="67500"/>
    <n v="12490.35"/>
    <x v="1"/>
    <s v="Delivered"/>
    <n v="13500"/>
    <n v="18.504222222222221"/>
    <s v="Profit"/>
    <s v="Aditya Das"/>
    <x v="0"/>
    <x v="2"/>
    <s v="Lucknow"/>
    <s v="Uttar Pradesh"/>
    <s v="2023-04-26"/>
    <s v="18-25"/>
    <n v="2498.0700000000002"/>
  </r>
  <r>
    <s v="ORD04564"/>
    <d v="2026-07-31T00:00:00"/>
    <s v="CUST0542"/>
    <x v="3"/>
    <x v="4"/>
    <n v="1"/>
    <n v="0.05"/>
    <n v="17100"/>
    <n v="-1932.32"/>
    <x v="2"/>
    <s v="Returned"/>
    <n v="17100"/>
    <n v="-11.300116959064329"/>
    <s v="Loss"/>
    <s v="Vikram Rao"/>
    <x v="1"/>
    <x v="0"/>
    <s v="Bengaluru"/>
    <s v="Karnataka"/>
    <s v="2023-06-19"/>
    <s v="36-50"/>
    <n v="-1932.32"/>
  </r>
  <r>
    <s v="ORD04565"/>
    <d v="2025-07-12T00:00:00"/>
    <s v="CUST0161"/>
    <x v="0"/>
    <x v="0"/>
    <n v="1"/>
    <n v="0"/>
    <n v="14000"/>
    <n v="2800"/>
    <x v="1"/>
    <s v="Delivered"/>
    <n v="14000"/>
    <n v="20"/>
    <s v="Profit"/>
    <s v="Rohan Reddy"/>
    <x v="2"/>
    <x v="0"/>
    <s v="Bengaluru"/>
    <s v="Karnataka"/>
    <s v="2025-07-10"/>
    <s v="51+"/>
    <n v="2800"/>
  </r>
  <r>
    <s v="ORD04566"/>
    <d v="2025-12-28T00:00:00"/>
    <s v="CUST0392"/>
    <x v="3"/>
    <x v="11"/>
    <n v="1"/>
    <n v="0.05"/>
    <n v="2375"/>
    <n v="733.8"/>
    <x v="0"/>
    <s v="Delivered"/>
    <n v="2375"/>
    <n v="30.896842105263151"/>
    <s v="Profit"/>
    <s v="Pooja Patel"/>
    <x v="2"/>
    <x v="1"/>
    <s v="Ahmedabad"/>
    <s v="Gujarat"/>
    <s v="2024-11-07"/>
    <s v="36-50"/>
    <n v="733.8"/>
  </r>
  <r>
    <s v="ORD04567"/>
    <d v="2025-08-17T00:00:00"/>
    <s v="CUST0415"/>
    <x v="0"/>
    <x v="14"/>
    <n v="2"/>
    <n v="0"/>
    <n v="900"/>
    <n v="-226.6"/>
    <x v="0"/>
    <s v="Returned"/>
    <n v="450"/>
    <n v="-25.177777777777781"/>
    <s v="Loss"/>
    <s v="Manoj Bose"/>
    <x v="1"/>
    <x v="0"/>
    <s v="Bengaluru"/>
    <s v="Karnataka"/>
    <s v="2024-07-04"/>
    <s v="36-50"/>
    <n v="-113.3"/>
  </r>
  <r>
    <s v="ORD04568"/>
    <d v="2025-07-24T00:00:00"/>
    <s v="CUST0219"/>
    <x v="3"/>
    <x v="10"/>
    <n v="1"/>
    <n v="0.1"/>
    <n v="49500"/>
    <n v="6486.2"/>
    <x v="3"/>
    <s v="Delivered"/>
    <n v="49500"/>
    <n v="13.103434343434341"/>
    <s v="Profit"/>
    <s v="Rahul Menon"/>
    <x v="1"/>
    <x v="3"/>
    <s v="Patna"/>
    <s v="Bihar"/>
    <s v="2023-10-06"/>
    <s v="36-50"/>
    <n v="6486.2"/>
  </r>
  <r>
    <s v="ORD04569"/>
    <d v="2025-11-18T00:00:00"/>
    <s v="CUST0229"/>
    <x v="2"/>
    <x v="9"/>
    <n v="5"/>
    <n v="0.2"/>
    <n v="36000"/>
    <n v="6614.13"/>
    <x v="0"/>
    <s v="Delivered"/>
    <n v="7200"/>
    <n v="18.372583333333331"/>
    <s v="Profit"/>
    <s v="Harini Chopra"/>
    <x v="0"/>
    <x v="0"/>
    <s v="Bengaluru"/>
    <s v="Karnataka"/>
    <s v="2025-05-19"/>
    <s v="26-35"/>
    <n v="1322.826"/>
  </r>
  <r>
    <s v="ORD04570"/>
    <d v="2026-01-10T00:00:00"/>
    <s v="CUST0380"/>
    <x v="3"/>
    <x v="4"/>
    <n v="1"/>
    <n v="0.1"/>
    <n v="16200"/>
    <n v="2009.43"/>
    <x v="2"/>
    <s v="Shipped"/>
    <n v="16200"/>
    <n v="12.40388888888889"/>
    <s v="Profit"/>
    <s v="Arjun Sharma"/>
    <x v="2"/>
    <x v="1"/>
    <s v="Surat"/>
    <s v="Gujarat"/>
    <s v="2024-07-24"/>
    <s v="36-50"/>
    <n v="2009.43"/>
  </r>
  <r>
    <s v="ORD04571"/>
    <d v="2025-08-09T00:00:00"/>
    <s v="CUST0144"/>
    <x v="2"/>
    <x v="3"/>
    <n v="2"/>
    <n v="0.1"/>
    <n v="27000"/>
    <n v="-3336.49"/>
    <x v="3"/>
    <s v="Returned"/>
    <n v="13500"/>
    <n v="-12.35737037037037"/>
    <s v="Loss"/>
    <s v="Priya Gupta"/>
    <x v="0"/>
    <x v="1"/>
    <s v="Surat"/>
    <s v="Gujarat"/>
    <s v="2025-12-26"/>
    <s v="51+"/>
    <n v="-1668.2449999999999"/>
  </r>
  <r>
    <s v="ORD04572"/>
    <d v="2026-02-25T00:00:00"/>
    <s v="CUST0019"/>
    <x v="0"/>
    <x v="14"/>
    <n v="2"/>
    <n v="0.2"/>
    <n v="720"/>
    <n v="138.02000000000001"/>
    <x v="3"/>
    <s v="Delivered"/>
    <n v="360"/>
    <n v="19.169444444444441"/>
    <s v="Profit"/>
    <s v="Ishaan Pillai"/>
    <x v="0"/>
    <x v="1"/>
    <s v="Ahmedabad"/>
    <s v="Gujarat"/>
    <s v="2023-06-28"/>
    <s v="36-50"/>
    <n v="69.010000000000005"/>
  </r>
  <r>
    <s v="ORD04573"/>
    <d v="2026-05-28T00:00:00"/>
    <s v="CUST0208"/>
    <x v="0"/>
    <x v="6"/>
    <n v="2"/>
    <n v="0.1"/>
    <n v="630"/>
    <n v="191.87"/>
    <x v="2"/>
    <s v="Delivered"/>
    <n v="315"/>
    <n v="30.455555555555559"/>
    <s v="Profit"/>
    <s v="Sneha Pillai"/>
    <x v="0"/>
    <x v="0"/>
    <s v="Hyderabad"/>
    <s v="Telangana"/>
    <s v="2025-02-01"/>
    <s v="26-35"/>
    <n v="95.935000000000002"/>
  </r>
  <r>
    <s v="ORD04574"/>
    <d v="2026-08-16T00:00:00"/>
    <s v="CUST0119"/>
    <x v="0"/>
    <x v="0"/>
    <n v="2"/>
    <n v="0.2"/>
    <n v="22400"/>
    <n v="1681.21"/>
    <x v="0"/>
    <s v="Shipped"/>
    <n v="11200"/>
    <n v="7.5054017857142856"/>
    <s v="Profit"/>
    <s v="Divya Naidu"/>
    <x v="1"/>
    <x v="0"/>
    <s v="Coimbatore"/>
    <s v="Tamil Nadu"/>
    <s v="2023-05-25"/>
    <s v="36-50"/>
    <n v="840.60500000000002"/>
  </r>
  <r>
    <s v="ORD04575"/>
    <d v="2026-08-17T00:00:00"/>
    <s v="CUST0393"/>
    <x v="2"/>
    <x v="5"/>
    <n v="2"/>
    <n v="0"/>
    <n v="22000"/>
    <n v="5200"/>
    <x v="2"/>
    <s v="Shipped"/>
    <n v="11000"/>
    <n v="23.63636363636364"/>
    <s v="Profit"/>
    <s v="Vikram Patel"/>
    <x v="1"/>
    <x v="1"/>
    <s v="Mumbai"/>
    <s v="Maharashtra"/>
    <s v="2024-07-03"/>
    <s v="36-50"/>
    <n v="2600"/>
  </r>
  <r>
    <s v="ORD04576"/>
    <d v="2026-01-04T00:00:00"/>
    <s v="CUST0507"/>
    <x v="3"/>
    <x v="11"/>
    <n v="1"/>
    <n v="0.1"/>
    <n v="2250"/>
    <n v="672.35"/>
    <x v="2"/>
    <s v="Delivered"/>
    <n v="2250"/>
    <n v="29.882222222222222"/>
    <s v="Profit"/>
    <s v="Aarav Naidu"/>
    <x v="0"/>
    <x v="2"/>
    <s v="Jaipur"/>
    <s v="Rajasthan"/>
    <s v="2023-05-03"/>
    <s v="36-50"/>
    <n v="672.35"/>
  </r>
  <r>
    <s v="ORD04577"/>
    <d v="2025-10-14T00:00:00"/>
    <s v="CUST0420"/>
    <x v="2"/>
    <x v="2"/>
    <n v="1"/>
    <n v="0.1"/>
    <n v="11700"/>
    <n v="2234.64"/>
    <x v="0"/>
    <s v="Delivered"/>
    <n v="11700"/>
    <n v="19.099487179487181"/>
    <s v="Profit"/>
    <s v="Ishaan Gupta"/>
    <x v="0"/>
    <x v="2"/>
    <s v="Delhi"/>
    <s v="Delhi"/>
    <s v="2024-04-07"/>
    <s v="36-50"/>
    <n v="2234.64"/>
  </r>
  <r>
    <s v="ORD04578"/>
    <d v="2026-04-17T00:00:00"/>
    <s v="CUST0204"/>
    <x v="1"/>
    <x v="12"/>
    <n v="2"/>
    <n v="0.2"/>
    <n v="2240"/>
    <n v="556.72"/>
    <x v="0"/>
    <s v="Delivered"/>
    <n v="1120"/>
    <n v="24.853571428571431"/>
    <s v="Profit"/>
    <s v="Karthik Mehta"/>
    <x v="0"/>
    <x v="1"/>
    <s v="Surat"/>
    <s v="Gujarat"/>
    <s v="2025-07-25"/>
    <s v="26-35"/>
    <n v="278.36"/>
  </r>
  <r>
    <s v="ORD04579"/>
    <d v="2026-06-05T00:00:00"/>
    <s v="CUST0103"/>
    <x v="2"/>
    <x v="2"/>
    <n v="10"/>
    <n v="0.1"/>
    <n v="117000"/>
    <n v="23796.99"/>
    <x v="2"/>
    <s v="Delivered"/>
    <n v="11700"/>
    <n v="20.339307692307688"/>
    <s v="Profit"/>
    <s v="Rohan Rao"/>
    <x v="0"/>
    <x v="0"/>
    <s v="Bengaluru"/>
    <s v="Karnataka"/>
    <s v="2023-11-09"/>
    <s v="36-50"/>
    <n v="2379.6990000000001"/>
  </r>
  <r>
    <s v="ORD04580"/>
    <d v="2026-04-26T00:00:00"/>
    <s v="CUST0455"/>
    <x v="0"/>
    <x v="7"/>
    <n v="1"/>
    <n v="0.05"/>
    <n v="855"/>
    <n v="254.39"/>
    <x v="0"/>
    <s v="Delivered"/>
    <n v="855"/>
    <n v="29.753216374269009"/>
    <s v="Profit"/>
    <s v="Priya Sharma"/>
    <x v="0"/>
    <x v="0"/>
    <s v="Hyderabad"/>
    <s v="Telangana"/>
    <s v="2023-12-10"/>
    <s v="26-35"/>
    <n v="254.39"/>
  </r>
  <r>
    <s v="ORD04581"/>
    <d v="2026-01-17T00:00:00"/>
    <s v="CUST0495"/>
    <x v="3"/>
    <x v="8"/>
    <n v="1"/>
    <n v="0"/>
    <n v="4500"/>
    <n v="1500"/>
    <x v="1"/>
    <s v="Delivered"/>
    <n v="4500"/>
    <n v="33.333333333333329"/>
    <s v="Profit"/>
    <s v="Harini Gupta"/>
    <x v="1"/>
    <x v="2"/>
    <s v="Chandigarh"/>
    <s v="Chandigarh"/>
    <s v="2025-10-03"/>
    <s v="26-35"/>
    <n v="1500"/>
  </r>
  <r>
    <s v="ORD04582"/>
    <d v="2026-04-17T00:00:00"/>
    <s v="CUST0100"/>
    <x v="2"/>
    <x v="3"/>
    <n v="2"/>
    <n v="0.15"/>
    <n v="25500"/>
    <n v="3555.75"/>
    <x v="0"/>
    <s v="Delivered"/>
    <n v="12750"/>
    <n v="13.944117647058819"/>
    <s v="Profit"/>
    <s v="Priya Singh"/>
    <x v="1"/>
    <x v="0"/>
    <s v="Chennai"/>
    <s v="Tamil Nadu"/>
    <s v="2023-03-14"/>
    <s v="26-35"/>
    <n v="1777.875"/>
  </r>
  <r>
    <s v="ORD04583"/>
    <d v="2025-08-12T00:00:00"/>
    <s v="CUST0186"/>
    <x v="3"/>
    <x v="4"/>
    <n v="2"/>
    <n v="0.1"/>
    <n v="32400"/>
    <n v="-11289.39"/>
    <x v="0"/>
    <s v="Cancelled"/>
    <n v="16200"/>
    <n v="-34.84379629629629"/>
    <s v="Loss"/>
    <s v="Vikram Verma"/>
    <x v="1"/>
    <x v="0"/>
    <s v="Coimbatore"/>
    <s v="Tamil Nadu"/>
    <s v="2024-03-12"/>
    <s v="18-25"/>
    <n v="-5644.6949999999997"/>
  </r>
  <r>
    <s v="ORD04584"/>
    <d v="2026-07-14T00:00:00"/>
    <s v="CUST0107"/>
    <x v="3"/>
    <x v="11"/>
    <n v="3"/>
    <n v="0.15"/>
    <n v="6375"/>
    <n v="1767.38"/>
    <x v="2"/>
    <s v="Delivered"/>
    <n v="2125"/>
    <n v="27.723607843137259"/>
    <s v="Profit"/>
    <s v="Ishaan Sharma"/>
    <x v="0"/>
    <x v="3"/>
    <s v="Bhubaneswar"/>
    <s v="Odisha"/>
    <s v="2024-11-29"/>
    <s v="26-35"/>
    <n v="589.12666666666667"/>
  </r>
  <r>
    <s v="ORD04585"/>
    <d v="2025-07-05T00:00:00"/>
    <s v="CUST0191"/>
    <x v="1"/>
    <x v="1"/>
    <n v="4"/>
    <n v="0.1"/>
    <n v="6480"/>
    <n v="2049.3000000000002"/>
    <x v="1"/>
    <s v="Delivered"/>
    <n v="1620"/>
    <n v="31.625"/>
    <s v="Profit"/>
    <s v="Nisha Verma"/>
    <x v="0"/>
    <x v="2"/>
    <s v="Delhi"/>
    <s v="Delhi"/>
    <s v="2023-10-05"/>
    <s v="18-25"/>
    <n v="512.32500000000005"/>
  </r>
  <r>
    <s v="ORD04586"/>
    <d v="2025-11-03T00:00:00"/>
    <s v="CUST0067"/>
    <x v="0"/>
    <x v="0"/>
    <n v="2"/>
    <n v="0"/>
    <n v="28000"/>
    <n v="5600"/>
    <x v="2"/>
    <s v="Delivered"/>
    <n v="14000"/>
    <n v="20"/>
    <s v="Profit"/>
    <s v="Varun Joshi"/>
    <x v="0"/>
    <x v="0"/>
    <s v="Chennai"/>
    <s v="Tamil Nadu"/>
    <s v="2024-10-29"/>
    <s v="26-35"/>
    <n v="2800"/>
  </r>
  <r>
    <s v="ORD04587"/>
    <d v="2025-10-24T00:00:00"/>
    <s v="CUST0449"/>
    <x v="1"/>
    <x v="13"/>
    <n v="1"/>
    <n v="0"/>
    <n v="4200"/>
    <n v="1200"/>
    <x v="3"/>
    <s v="Delivered"/>
    <n v="4200"/>
    <n v="28.571428571428569"/>
    <s v="Profit"/>
    <s v="Ishaan Kulkarni"/>
    <x v="0"/>
    <x v="1"/>
    <s v="Pune"/>
    <s v="Maharashtra"/>
    <s v="2023-06-12"/>
    <s v="36-50"/>
    <n v="1200"/>
  </r>
  <r>
    <s v="ORD04588"/>
    <d v="2025-11-25T00:00:00"/>
    <s v="CUST0475"/>
    <x v="1"/>
    <x v="12"/>
    <n v="4"/>
    <n v="0.1"/>
    <n v="5040"/>
    <n v="1619.94"/>
    <x v="3"/>
    <s v="Shipped"/>
    <n v="1260"/>
    <n v="32.141666666666673"/>
    <s v="Profit"/>
    <s v="Divya Verma"/>
    <x v="0"/>
    <x v="0"/>
    <s v="Bengaluru"/>
    <s v="Karnataka"/>
    <s v="2025-12-10"/>
    <s v="26-35"/>
    <n v="404.98500000000001"/>
  </r>
  <r>
    <s v="ORD04589"/>
    <d v="2026-01-16T00:00:00"/>
    <s v="CUST0574"/>
    <x v="1"/>
    <x v="13"/>
    <n v="1"/>
    <n v="0"/>
    <n v="4200"/>
    <n v="1200"/>
    <x v="3"/>
    <s v="Delivered"/>
    <n v="4200"/>
    <n v="28.571428571428569"/>
    <s v="Profit"/>
    <s v="Akash Kulkarni"/>
    <x v="1"/>
    <x v="1"/>
    <s v="Pune"/>
    <s v="Maharashtra"/>
    <s v="2025-11-01"/>
    <s v="51+"/>
    <n v="1200"/>
  </r>
  <r>
    <s v="ORD04590"/>
    <d v="2025-07-25T00:00:00"/>
    <s v="CUST0248"/>
    <x v="2"/>
    <x v="5"/>
    <n v="1"/>
    <n v="0"/>
    <n v="11000"/>
    <n v="2600"/>
    <x v="0"/>
    <s v="Delivered"/>
    <n v="11000"/>
    <n v="23.63636363636364"/>
    <s v="Profit"/>
    <s v="Meera Das"/>
    <x v="1"/>
    <x v="2"/>
    <s v="Chandigarh"/>
    <s v="Chandigarh"/>
    <s v="2024-12-30"/>
    <s v="18-25"/>
    <n v="2600"/>
  </r>
  <r>
    <s v="ORD04591"/>
    <d v="2025-07-28T00:00:00"/>
    <s v="CUST0487"/>
    <x v="0"/>
    <x v="14"/>
    <n v="1"/>
    <n v="0.1"/>
    <n v="405"/>
    <n v="79.430000000000007"/>
    <x v="3"/>
    <s v="Delivered"/>
    <n v="405"/>
    <n v="19.61234567901235"/>
    <s v="Profit"/>
    <s v="Arjun Mishra"/>
    <x v="0"/>
    <x v="2"/>
    <s v="Jaipur"/>
    <s v="Rajasthan"/>
    <s v="2024-05-23"/>
    <s v="51+"/>
    <n v="79.430000000000007"/>
  </r>
  <r>
    <s v="ORD04592"/>
    <d v="2026-08-10T00:00:00"/>
    <s v="CUST0448"/>
    <x v="0"/>
    <x v="14"/>
    <n v="3"/>
    <n v="0.05"/>
    <n v="1282.5"/>
    <n v="278.74"/>
    <x v="3"/>
    <s v="Delivered"/>
    <n v="427.5"/>
    <n v="21.73411306042885"/>
    <s v="Profit"/>
    <s v="Meera Iyer"/>
    <x v="0"/>
    <x v="2"/>
    <s v="Jaipur"/>
    <s v="Rajasthan"/>
    <s v="2023-01-18"/>
    <s v="36-50"/>
    <n v="92.913333333333341"/>
  </r>
  <r>
    <s v="ORD04593"/>
    <d v="2025-09-20T00:00:00"/>
    <s v="CUST0489"/>
    <x v="3"/>
    <x v="8"/>
    <n v="5"/>
    <n v="0.1"/>
    <n v="20250"/>
    <n v="-5231.1499999999996"/>
    <x v="1"/>
    <s v="Cancelled"/>
    <n v="4050"/>
    <n v="-25.832839506172839"/>
    <s v="Loss"/>
    <s v="Kavya Das"/>
    <x v="0"/>
    <x v="0"/>
    <s v="Coimbatore"/>
    <s v="Tamil Nadu"/>
    <s v="2024-03-29"/>
    <s v="26-35"/>
    <n v="-1046.23"/>
  </r>
  <r>
    <s v="ORD04594"/>
    <d v="2025-12-25T00:00:00"/>
    <s v="CUST0402"/>
    <x v="3"/>
    <x v="8"/>
    <n v="2"/>
    <n v="0.1"/>
    <n v="8100"/>
    <n v="2391.87"/>
    <x v="0"/>
    <s v="Shipped"/>
    <n v="4050"/>
    <n v="29.529259259259259"/>
    <s v="Profit"/>
    <s v="Diya Pillai"/>
    <x v="1"/>
    <x v="0"/>
    <s v="Chennai"/>
    <s v="Tamil Nadu"/>
    <s v="2025-08-08"/>
    <s v="36-50"/>
    <n v="1195.9349999999999"/>
  </r>
  <r>
    <s v="ORD04595"/>
    <d v="2025-07-07T00:00:00"/>
    <s v="CUST0059"/>
    <x v="2"/>
    <x v="2"/>
    <n v="2"/>
    <n v="0.2"/>
    <n v="20800"/>
    <n v="3340.9"/>
    <x v="1"/>
    <s v="Delivered"/>
    <n v="10400"/>
    <n v="16.062019230769231"/>
    <s v="Profit"/>
    <s v="Rahul Verma"/>
    <x v="1"/>
    <x v="3"/>
    <s v="Guwahati"/>
    <s v="Assam"/>
    <s v="2023-02-16"/>
    <s v="36-50"/>
    <n v="1670.45"/>
  </r>
  <r>
    <s v="ORD04596"/>
    <d v="2026-02-23T00:00:00"/>
    <s v="CUST0468"/>
    <x v="2"/>
    <x v="3"/>
    <n v="2"/>
    <n v="0.2"/>
    <n v="24000"/>
    <n v="2933.44"/>
    <x v="0"/>
    <s v="Delivered"/>
    <n v="12000"/>
    <n v="12.222666666666671"/>
    <s v="Profit"/>
    <s v="Lakshmi Mehta"/>
    <x v="1"/>
    <x v="0"/>
    <s v="Chennai"/>
    <s v="Tamil Nadu"/>
    <s v="2023-03-02"/>
    <s v="26-35"/>
    <n v="1466.72"/>
  </r>
  <r>
    <s v="ORD04597"/>
    <d v="2025-08-07T00:00:00"/>
    <s v="CUST0335"/>
    <x v="3"/>
    <x v="10"/>
    <n v="4"/>
    <n v="0.15"/>
    <n v="187000"/>
    <n v="8901.32"/>
    <x v="0"/>
    <s v="Delivered"/>
    <n v="46750"/>
    <n v="4.7600641711229938"/>
    <s v="Profit"/>
    <s v="Diya Pillai"/>
    <x v="0"/>
    <x v="0"/>
    <s v="Bengaluru"/>
    <s v="Karnataka"/>
    <s v="2025-05-24"/>
    <s v="36-50"/>
    <n v="2225.33"/>
  </r>
  <r>
    <s v="ORD04598"/>
    <d v="2026-01-28T00:00:00"/>
    <s v="CUST0362"/>
    <x v="2"/>
    <x v="2"/>
    <n v="1"/>
    <n v="0"/>
    <n v="13000"/>
    <n v="3200"/>
    <x v="2"/>
    <s v="Delivered"/>
    <n v="13000"/>
    <n v="24.61538461538462"/>
    <s v="Profit"/>
    <s v="Karthik Joshi"/>
    <x v="0"/>
    <x v="0"/>
    <s v="Coimbatore"/>
    <s v="Tamil Nadu"/>
    <s v="2025-09-08"/>
    <s v="26-35"/>
    <n v="3200"/>
  </r>
  <r>
    <s v="ORD04599"/>
    <d v="2025-10-30T00:00:00"/>
    <s v="CUST0170"/>
    <x v="0"/>
    <x v="7"/>
    <n v="4"/>
    <n v="0"/>
    <n v="3600"/>
    <n v="1120"/>
    <x v="0"/>
    <s v="Delivered"/>
    <n v="900"/>
    <n v="31.111111111111111"/>
    <s v="Profit"/>
    <s v="Meera Iyer"/>
    <x v="2"/>
    <x v="0"/>
    <s v="Hyderabad"/>
    <s v="Telangana"/>
    <s v="2025-04-02"/>
    <s v="36-50"/>
    <n v="280"/>
  </r>
  <r>
    <s v="ORD04600"/>
    <d v="2026-06-14T00:00:00"/>
    <s v="CUST0070"/>
    <x v="2"/>
    <x v="9"/>
    <n v="2"/>
    <n v="0.1"/>
    <n v="16200"/>
    <n v="3721.64"/>
    <x v="0"/>
    <s v="Delivered"/>
    <n v="8100"/>
    <n v="22.973086419753091"/>
    <s v="Profit"/>
    <s v="Manoj Iyer"/>
    <x v="2"/>
    <x v="1"/>
    <s v="Ahmedabad"/>
    <s v="Gujarat"/>
    <s v="2024-06-06"/>
    <s v="18-25"/>
    <n v="1860.82"/>
  </r>
  <r>
    <s v="ORD04601"/>
    <d v="2025-10-03T00:00:00"/>
    <s v="CUST0203"/>
    <x v="0"/>
    <x v="6"/>
    <n v="1"/>
    <n v="0.05"/>
    <n v="332.5"/>
    <n v="111.39"/>
    <x v="1"/>
    <s v="Delivered"/>
    <n v="332.5"/>
    <n v="33.500751879699237"/>
    <s v="Profit"/>
    <s v="Arjun Gupta"/>
    <x v="2"/>
    <x v="0"/>
    <s v="Chennai"/>
    <s v="Tamil Nadu"/>
    <s v="2025-03-25"/>
    <s v="36-50"/>
    <n v="111.39"/>
  </r>
  <r>
    <s v="ORD04602"/>
    <d v="2026-04-09T00:00:00"/>
    <s v="CUST0200"/>
    <x v="0"/>
    <x v="6"/>
    <n v="2"/>
    <n v="0.2"/>
    <n v="560"/>
    <n v="-79.13"/>
    <x v="3"/>
    <s v="Returned"/>
    <n v="280"/>
    <n v="-14.13035714285714"/>
    <s v="Loss"/>
    <s v="Nisha Mishra"/>
    <x v="2"/>
    <x v="0"/>
    <s v="Bengaluru"/>
    <s v="Karnataka"/>
    <s v="2023-10-31"/>
    <s v="51+"/>
    <n v="-39.564999999999998"/>
  </r>
  <r>
    <s v="ORD04603"/>
    <d v="2025-12-25T00:00:00"/>
    <s v="CUST0343"/>
    <x v="0"/>
    <x v="0"/>
    <n v="1"/>
    <n v="0"/>
    <n v="14000"/>
    <n v="2800"/>
    <x v="1"/>
    <s v="Delivered"/>
    <n v="14000"/>
    <n v="20"/>
    <s v="Profit"/>
    <s v="Meera Iyer"/>
    <x v="0"/>
    <x v="0"/>
    <s v="Bengaluru"/>
    <s v="Karnataka"/>
    <s v="2024-08-02"/>
    <s v="36-50"/>
    <n v="2800"/>
  </r>
  <r>
    <s v="ORD04604"/>
    <d v="2025-10-23T00:00:00"/>
    <s v="CUST0461"/>
    <x v="3"/>
    <x v="11"/>
    <n v="2"/>
    <n v="0.05"/>
    <n v="4750"/>
    <n v="-1282.69"/>
    <x v="0"/>
    <s v="Cancelled"/>
    <n v="2375"/>
    <n v="-27.004000000000001"/>
    <s v="Loss"/>
    <s v="Shreya Sharma"/>
    <x v="0"/>
    <x v="1"/>
    <s v="Mumbai"/>
    <s v="Maharashtra"/>
    <s v="2024-05-10"/>
    <s v="26-35"/>
    <n v="-641.34500000000003"/>
  </r>
  <r>
    <s v="ORD04605"/>
    <d v="2026-01-30T00:00:00"/>
    <s v="CUST0513"/>
    <x v="2"/>
    <x v="9"/>
    <n v="2"/>
    <n v="0.1"/>
    <n v="16200"/>
    <n v="3089.67"/>
    <x v="3"/>
    <s v="Delivered"/>
    <n v="8100"/>
    <n v="19.072037037037038"/>
    <s v="Profit"/>
    <s v="Varun Das"/>
    <x v="1"/>
    <x v="2"/>
    <s v="Jaipur"/>
    <s v="Rajasthan"/>
    <s v="2025-05-03"/>
    <s v="18-25"/>
    <n v="1544.835"/>
  </r>
  <r>
    <s v="ORD04606"/>
    <d v="2025-09-27T00:00:00"/>
    <s v="CUST0476"/>
    <x v="1"/>
    <x v="15"/>
    <n v="2"/>
    <n v="0.1"/>
    <n v="3960"/>
    <n v="1170.75"/>
    <x v="2"/>
    <s v="Delivered"/>
    <n v="1980"/>
    <n v="29.564393939393941"/>
    <s v="Profit"/>
    <s v="Ishaan Gupta"/>
    <x v="1"/>
    <x v="0"/>
    <s v="Bengaluru"/>
    <s v="Karnataka"/>
    <s v="2025-07-01"/>
    <s v="18-25"/>
    <n v="585.375"/>
  </r>
  <r>
    <s v="ORD04607"/>
    <d v="2026-08-28T00:00:00"/>
    <s v="CUST0128"/>
    <x v="0"/>
    <x v="0"/>
    <n v="1"/>
    <n v="0"/>
    <n v="14000"/>
    <n v="2800"/>
    <x v="2"/>
    <s v="Delivered"/>
    <n v="14000"/>
    <n v="20"/>
    <s v="Profit"/>
    <s v="Sneha Mishra"/>
    <x v="2"/>
    <x v="0"/>
    <s v="Chennai"/>
    <s v="Tamil Nadu"/>
    <s v="2024-09-12"/>
    <s v="36-50"/>
    <n v="2800"/>
  </r>
  <r>
    <s v="ORD04608"/>
    <d v="2025-10-14T00:00:00"/>
    <s v="CUST0416"/>
    <x v="0"/>
    <x v="14"/>
    <n v="2"/>
    <n v="0.15"/>
    <n v="765"/>
    <n v="157.6"/>
    <x v="1"/>
    <s v="Delivered"/>
    <n v="382.5"/>
    <n v="20.601307189542489"/>
    <s v="Profit"/>
    <s v="Karthik Reddy"/>
    <x v="0"/>
    <x v="1"/>
    <s v="Mumbai"/>
    <s v="Maharashtra"/>
    <s v="2025-09-16"/>
    <s v="18-25"/>
    <n v="78.8"/>
  </r>
  <r>
    <s v="ORD04609"/>
    <d v="2026-06-29T00:00:00"/>
    <s v="CUST0405"/>
    <x v="2"/>
    <x v="5"/>
    <n v="3"/>
    <n v="0.05"/>
    <n v="31350"/>
    <n v="6589.48"/>
    <x v="3"/>
    <s v="Delivered"/>
    <n v="10450"/>
    <n v="21.01907496012759"/>
    <s v="Profit"/>
    <s v="Varun Naidu"/>
    <x v="0"/>
    <x v="0"/>
    <s v="Chennai"/>
    <s v="Tamil Nadu"/>
    <s v="2024-05-06"/>
    <s v="26-35"/>
    <n v="2196.4933333333329"/>
  </r>
  <r>
    <s v="ORD04610"/>
    <d v="2025-11-24T00:00:00"/>
    <s v="CUST0328"/>
    <x v="1"/>
    <x v="13"/>
    <n v="5"/>
    <n v="0.1"/>
    <n v="18900"/>
    <n v="4815.24"/>
    <x v="1"/>
    <s v="Delivered"/>
    <n v="3780"/>
    <n v="25.47746031746032"/>
    <s v="Profit"/>
    <s v="Priya Patel"/>
    <x v="1"/>
    <x v="2"/>
    <s v="Delhi"/>
    <s v="Delhi"/>
    <s v="2025-03-16"/>
    <s v="18-25"/>
    <n v="963.048"/>
  </r>
  <r>
    <s v="ORD04611"/>
    <d v="2026-02-23T00:00:00"/>
    <s v="CUST0215"/>
    <x v="3"/>
    <x v="8"/>
    <n v="10"/>
    <n v="0.05"/>
    <n v="42750"/>
    <n v="-14062.9"/>
    <x v="2"/>
    <s v="Cancelled"/>
    <n v="4275"/>
    <n v="-32.895672514619882"/>
    <s v="Loss"/>
    <s v="Pooja Reddy"/>
    <x v="1"/>
    <x v="0"/>
    <s v="Bengaluru"/>
    <s v="Karnataka"/>
    <s v="2025-07-16"/>
    <s v="26-35"/>
    <n v="-1406.29"/>
  </r>
  <r>
    <s v="ORD04612"/>
    <d v="2026-08-05T00:00:00"/>
    <s v="CUST0128"/>
    <x v="3"/>
    <x v="4"/>
    <n v="6"/>
    <n v="0"/>
    <n v="108000"/>
    <n v="21000"/>
    <x v="1"/>
    <s v="Delivered"/>
    <n v="18000"/>
    <n v="19.44444444444445"/>
    <s v="Profit"/>
    <s v="Sneha Mishra"/>
    <x v="2"/>
    <x v="0"/>
    <s v="Chennai"/>
    <s v="Tamil Nadu"/>
    <s v="2024-09-12"/>
    <s v="36-50"/>
    <n v="3500"/>
  </r>
  <r>
    <s v="ORD04613"/>
    <d v="2025-07-26T00:00:00"/>
    <s v="CUST0231"/>
    <x v="0"/>
    <x v="14"/>
    <n v="6"/>
    <n v="0.1"/>
    <n v="2430"/>
    <n v="-1111.6600000000001"/>
    <x v="2"/>
    <s v="Cancelled"/>
    <n v="405"/>
    <n v="-45.747325102880659"/>
    <s v="Loss"/>
    <s v="Rahul Rao"/>
    <x v="0"/>
    <x v="3"/>
    <s v="Guwahati"/>
    <s v="Assam"/>
    <s v="2024-11-22"/>
    <s v="36-50"/>
    <n v="-185.2766666666667"/>
  </r>
  <r>
    <s v="ORD04614"/>
    <d v="2025-10-22T00:00:00"/>
    <s v="CUST0422"/>
    <x v="3"/>
    <x v="10"/>
    <n v="1"/>
    <n v="0.3"/>
    <n v="38500"/>
    <n v="786.96"/>
    <x v="3"/>
    <s v="Delivered"/>
    <n v="38500"/>
    <n v="2.0440519480519481"/>
    <s v="Profit"/>
    <s v="Meera Nair"/>
    <x v="1"/>
    <x v="0"/>
    <s v="Coimbatore"/>
    <s v="Tamil Nadu"/>
    <s v="2025-02-08"/>
    <s v="26-35"/>
    <n v="786.96"/>
  </r>
  <r>
    <s v="ORD04615"/>
    <d v="2025-07-21T00:00:00"/>
    <s v="CUST0005"/>
    <x v="2"/>
    <x v="2"/>
    <n v="1"/>
    <n v="0"/>
    <n v="13000"/>
    <n v="3200"/>
    <x v="3"/>
    <s v="Delivered"/>
    <n v="13000"/>
    <n v="24.61538461538462"/>
    <s v="Profit"/>
    <s v="Rahul Kulkarni"/>
    <x v="1"/>
    <x v="1"/>
    <s v="Mumbai"/>
    <s v="Maharashtra"/>
    <s v="2024-11-06"/>
    <s v="18-25"/>
    <n v="3200"/>
  </r>
  <r>
    <s v="ORD04616"/>
    <d v="2025-09-14T00:00:00"/>
    <s v="CUST0513"/>
    <x v="3"/>
    <x v="10"/>
    <n v="1"/>
    <n v="0.1"/>
    <n v="49500"/>
    <n v="4637.2299999999996"/>
    <x v="0"/>
    <s v="Delivered"/>
    <n v="49500"/>
    <n v="9.3681414141414141"/>
    <s v="Profit"/>
    <s v="Varun Das"/>
    <x v="1"/>
    <x v="2"/>
    <s v="Jaipur"/>
    <s v="Rajasthan"/>
    <s v="2025-05-03"/>
    <s v="18-25"/>
    <n v="4637.2299999999996"/>
  </r>
  <r>
    <s v="ORD04617"/>
    <d v="2026-07-16T00:00:00"/>
    <s v="CUST0194"/>
    <x v="0"/>
    <x v="0"/>
    <n v="5"/>
    <n v="0"/>
    <n v="70000"/>
    <n v="14000"/>
    <x v="0"/>
    <s v="Shipped"/>
    <n v="14000"/>
    <n v="20"/>
    <s v="Profit"/>
    <s v="Diya Singh"/>
    <x v="0"/>
    <x v="3"/>
    <s v="Guwahati"/>
    <s v="Assam"/>
    <s v="2025-09-18"/>
    <s v="51+"/>
    <n v="2800"/>
  </r>
  <r>
    <s v="ORD04618"/>
    <d v="2026-05-12T00:00:00"/>
    <s v="CUST0024"/>
    <x v="3"/>
    <x v="11"/>
    <n v="1"/>
    <n v="0.1"/>
    <n v="2250"/>
    <n v="631.52"/>
    <x v="2"/>
    <s v="Delivered"/>
    <n v="2250"/>
    <n v="28.067555555555561"/>
    <s v="Profit"/>
    <s v="Lakshmi Pillai"/>
    <x v="1"/>
    <x v="0"/>
    <s v="Coimbatore"/>
    <s v="Tamil Nadu"/>
    <s v="2024-11-26"/>
    <s v="26-35"/>
    <n v="631.52"/>
  </r>
  <r>
    <s v="ORD04619"/>
    <d v="2025-11-04T00:00:00"/>
    <s v="CUST0412"/>
    <x v="3"/>
    <x v="8"/>
    <n v="1"/>
    <n v="0.2"/>
    <n v="3600"/>
    <n v="880.22"/>
    <x v="3"/>
    <s v="Delivered"/>
    <n v="3600"/>
    <n v="24.45055555555556"/>
    <s v="Profit"/>
    <s v="Akash Khan"/>
    <x v="0"/>
    <x v="0"/>
    <s v="Chennai"/>
    <s v="Tamil Nadu"/>
    <s v="2025-03-27"/>
    <s v="26-35"/>
    <n v="880.22"/>
  </r>
  <r>
    <s v="ORD04620"/>
    <d v="2026-07-14T00:00:00"/>
    <s v="CUST0105"/>
    <x v="0"/>
    <x v="0"/>
    <n v="1"/>
    <n v="0.1"/>
    <n v="12600"/>
    <n v="1724.59"/>
    <x v="2"/>
    <s v="Delivered"/>
    <n v="12600"/>
    <n v="13.68722222222222"/>
    <s v="Profit"/>
    <s v="Ishaan Pillai"/>
    <x v="1"/>
    <x v="1"/>
    <s v="Surat"/>
    <s v="Gujarat"/>
    <s v="2024-11-21"/>
    <s v="26-35"/>
    <n v="1724.59"/>
  </r>
  <r>
    <s v="ORD04621"/>
    <d v="2026-01-14T00:00:00"/>
    <s v="CUST0215"/>
    <x v="3"/>
    <x v="11"/>
    <n v="1"/>
    <n v="0.05"/>
    <n v="2375"/>
    <n v="724.84"/>
    <x v="0"/>
    <s v="Delivered"/>
    <n v="2375"/>
    <n v="30.519578947368419"/>
    <s v="Profit"/>
    <s v="Pooja Reddy"/>
    <x v="1"/>
    <x v="0"/>
    <s v="Bengaluru"/>
    <s v="Karnataka"/>
    <s v="2025-07-16"/>
    <s v="26-35"/>
    <n v="724.84"/>
  </r>
  <r>
    <s v="ORD04622"/>
    <d v="2026-07-25T00:00:00"/>
    <s v="CUST0298"/>
    <x v="0"/>
    <x v="14"/>
    <n v="1"/>
    <n v="0.2"/>
    <n v="360"/>
    <n v="49.53"/>
    <x v="2"/>
    <s v="Delivered"/>
    <n v="360"/>
    <n v="13.758333333333329"/>
    <s v="Profit"/>
    <s v="Diya Joshi"/>
    <x v="0"/>
    <x v="0"/>
    <s v="Chennai"/>
    <s v="Tamil Nadu"/>
    <s v="2025-01-10"/>
    <s v="18-25"/>
    <n v="49.53"/>
  </r>
  <r>
    <s v="ORD04623"/>
    <d v="2025-09-06T00:00:00"/>
    <s v="CUST0278"/>
    <x v="2"/>
    <x v="5"/>
    <n v="1"/>
    <n v="0"/>
    <n v="11000"/>
    <n v="2600"/>
    <x v="2"/>
    <s v="Delivered"/>
    <n v="11000"/>
    <n v="23.63636363636364"/>
    <s v="Profit"/>
    <s v="Sneha Mehta"/>
    <x v="1"/>
    <x v="3"/>
    <s v="Guwahati"/>
    <s v="Assam"/>
    <s v="2025-03-21"/>
    <s v="26-35"/>
    <n v="2600"/>
  </r>
  <r>
    <s v="ORD04624"/>
    <d v="2025-07-25T00:00:00"/>
    <s v="CUST0571"/>
    <x v="1"/>
    <x v="1"/>
    <n v="1"/>
    <n v="0.15"/>
    <n v="1530"/>
    <n v="439.56"/>
    <x v="0"/>
    <s v="Delivered"/>
    <n v="1530"/>
    <n v="28.72941176470588"/>
    <s v="Profit"/>
    <s v="Vikram Mehta"/>
    <x v="2"/>
    <x v="3"/>
    <s v="Bhubaneswar"/>
    <s v="Odisha"/>
    <s v="2023-10-30"/>
    <s v="36-50"/>
    <n v="439.56"/>
  </r>
  <r>
    <s v="ORD04625"/>
    <d v="2025-07-14T00:00:00"/>
    <s v="CUST0061"/>
    <x v="2"/>
    <x v="2"/>
    <n v="1"/>
    <n v="0.05"/>
    <n v="12350"/>
    <n v="2829.04"/>
    <x v="1"/>
    <s v="Delivered"/>
    <n v="12350"/>
    <n v="22.907206477732799"/>
    <s v="Profit"/>
    <s v="Meera Kulkarni"/>
    <x v="0"/>
    <x v="0"/>
    <s v="Bengaluru"/>
    <s v="Karnataka"/>
    <s v="2024-11-07"/>
    <s v="18-25"/>
    <n v="2829.04"/>
  </r>
  <r>
    <s v="ORD04626"/>
    <d v="2026-03-09T00:00:00"/>
    <s v="CUST0568"/>
    <x v="2"/>
    <x v="5"/>
    <n v="1"/>
    <n v="0.15"/>
    <n v="9350"/>
    <n v="1403.89"/>
    <x v="3"/>
    <s v="Shipped"/>
    <n v="9350"/>
    <n v="15.01486631016043"/>
    <s v="Profit"/>
    <s v="Sanjay Reddy"/>
    <x v="0"/>
    <x v="2"/>
    <s v="Chandigarh"/>
    <s v="Chandigarh"/>
    <s v="2023-02-19"/>
    <s v="26-35"/>
    <n v="1403.89"/>
  </r>
  <r>
    <s v="ORD04627"/>
    <d v="2025-12-14T00:00:00"/>
    <s v="CUST0594"/>
    <x v="2"/>
    <x v="3"/>
    <n v="1"/>
    <n v="0"/>
    <n v="15000"/>
    <n v="3500"/>
    <x v="0"/>
    <s v="Delivered"/>
    <n v="15000"/>
    <n v="23.333333333333329"/>
    <s v="Profit"/>
    <s v="Ishaan Bose"/>
    <x v="1"/>
    <x v="0"/>
    <s v="Coimbatore"/>
    <s v="Tamil Nadu"/>
    <s v="2024-06-29"/>
    <s v="51+"/>
    <n v="3500"/>
  </r>
  <r>
    <s v="ORD04628"/>
    <d v="2025-11-05T00:00:00"/>
    <s v="CUST0516"/>
    <x v="1"/>
    <x v="12"/>
    <n v="4"/>
    <n v="0.1"/>
    <n v="5040"/>
    <n v="1624.88"/>
    <x v="1"/>
    <s v="Delivered"/>
    <n v="1260"/>
    <n v="32.239682539682541"/>
    <s v="Profit"/>
    <s v="Rahul Mishra"/>
    <x v="1"/>
    <x v="0"/>
    <s v="Hyderabad"/>
    <s v="Telangana"/>
    <s v="2024-01-31"/>
    <s v="26-35"/>
    <n v="406.22"/>
  </r>
  <r>
    <s v="ORD04629"/>
    <d v="2025-12-12T00:00:00"/>
    <s v="CUST0061"/>
    <x v="3"/>
    <x v="4"/>
    <n v="2"/>
    <n v="0.05"/>
    <n v="34200"/>
    <n v="5755.18"/>
    <x v="3"/>
    <s v="Delivered"/>
    <n v="17100"/>
    <n v="16.828011695906429"/>
    <s v="Profit"/>
    <s v="Meera Kulkarni"/>
    <x v="0"/>
    <x v="0"/>
    <s v="Bengaluru"/>
    <s v="Karnataka"/>
    <s v="2024-11-07"/>
    <s v="18-25"/>
    <n v="2877.59"/>
  </r>
  <r>
    <s v="ORD04630"/>
    <d v="2025-11-27T00:00:00"/>
    <s v="CUST0398"/>
    <x v="0"/>
    <x v="0"/>
    <n v="5"/>
    <n v="0.1"/>
    <n v="63000"/>
    <n v="10258.81"/>
    <x v="0"/>
    <s v="Shipped"/>
    <n v="12600"/>
    <n v="16.283825396825399"/>
    <s v="Profit"/>
    <s v="Meera Gupta"/>
    <x v="1"/>
    <x v="3"/>
    <s v="Bhubaneswar"/>
    <s v="Odisha"/>
    <s v="2024-02-27"/>
    <s v="36-50"/>
    <n v="2051.7620000000002"/>
  </r>
  <r>
    <s v="ORD04631"/>
    <d v="2026-01-24T00:00:00"/>
    <s v="CUST0164"/>
    <x v="0"/>
    <x v="6"/>
    <n v="2"/>
    <n v="0.1"/>
    <n v="630"/>
    <n v="188.2"/>
    <x v="3"/>
    <s v="Delivered"/>
    <n v="315"/>
    <n v="29.87301587301587"/>
    <s v="Profit"/>
    <s v="Priya Sharma"/>
    <x v="0"/>
    <x v="3"/>
    <s v="Kolkata"/>
    <s v="West Bengal"/>
    <s v="2023-08-28"/>
    <s v="36-50"/>
    <n v="94.1"/>
  </r>
  <r>
    <s v="ORD04632"/>
    <d v="2026-05-07T00:00:00"/>
    <s v="CUST0217"/>
    <x v="0"/>
    <x v="0"/>
    <n v="2"/>
    <n v="0"/>
    <n v="28000"/>
    <n v="5600"/>
    <x v="3"/>
    <s v="Delivered"/>
    <n v="14000"/>
    <n v="20"/>
    <s v="Profit"/>
    <s v="Pooja Mehta"/>
    <x v="0"/>
    <x v="0"/>
    <s v="Hyderabad"/>
    <s v="Telangana"/>
    <s v="2024-11-14"/>
    <s v="51+"/>
    <n v="2800"/>
  </r>
  <r>
    <s v="ORD04633"/>
    <d v="2025-07-18T00:00:00"/>
    <s v="CUST0023"/>
    <x v="0"/>
    <x v="14"/>
    <n v="4"/>
    <n v="0"/>
    <n v="1800"/>
    <n v="440"/>
    <x v="1"/>
    <s v="Delivered"/>
    <n v="450"/>
    <n v="24.444444444444439"/>
    <s v="Profit"/>
    <s v="Diya Naidu"/>
    <x v="0"/>
    <x v="3"/>
    <s v="Guwahati"/>
    <s v="Assam"/>
    <s v="2024-03-23"/>
    <s v="36-50"/>
    <n v="110"/>
  </r>
  <r>
    <s v="ORD04634"/>
    <d v="2026-05-16T00:00:00"/>
    <s v="CUST0585"/>
    <x v="0"/>
    <x v="0"/>
    <n v="6"/>
    <n v="0.1"/>
    <n v="75600"/>
    <n v="12921.89"/>
    <x v="3"/>
    <s v="Shipped"/>
    <n v="12600"/>
    <n v="17.09244708994709"/>
    <s v="Profit"/>
    <s v="Diya Reddy"/>
    <x v="1"/>
    <x v="0"/>
    <s v="Bengaluru"/>
    <s v="Karnataka"/>
    <s v="2024-03-03"/>
    <s v="51+"/>
    <n v="2153.6483333333331"/>
  </r>
  <r>
    <s v="ORD04635"/>
    <d v="2026-06-18T00:00:00"/>
    <s v="CUST0291"/>
    <x v="3"/>
    <x v="10"/>
    <n v="15"/>
    <n v="0.05"/>
    <n v="783750"/>
    <n v="102017.21"/>
    <x v="0"/>
    <s v="Delivered"/>
    <n v="52250"/>
    <n v="13.016549920255191"/>
    <s v="Profit"/>
    <s v="Divya Chopra"/>
    <x v="1"/>
    <x v="0"/>
    <s v="Bengaluru"/>
    <s v="Karnataka"/>
    <s v="2023-10-19"/>
    <s v="18-25"/>
    <n v="6801.1473333333333"/>
  </r>
  <r>
    <s v="ORD04636"/>
    <d v="2026-06-20T00:00:00"/>
    <s v="CUST0130"/>
    <x v="2"/>
    <x v="3"/>
    <n v="3"/>
    <n v="0.2"/>
    <n v="36000"/>
    <n v="4044.01"/>
    <x v="1"/>
    <s v="Delivered"/>
    <n v="12000"/>
    <n v="11.23336111111111"/>
    <s v="Profit"/>
    <s v="Harini Nair"/>
    <x v="0"/>
    <x v="2"/>
    <s v="Delhi"/>
    <s v="Delhi"/>
    <s v="2025-03-01"/>
    <s v="18-25"/>
    <n v="1348.0033333333331"/>
  </r>
  <r>
    <s v="ORD04637"/>
    <d v="2026-05-20T00:00:00"/>
    <s v="CUST0396"/>
    <x v="3"/>
    <x v="11"/>
    <n v="5"/>
    <n v="0.1"/>
    <n v="11250"/>
    <n v="3224.39"/>
    <x v="1"/>
    <s v="Delivered"/>
    <n v="2250"/>
    <n v="28.661244444444449"/>
    <s v="Profit"/>
    <s v="Rahul Mishra"/>
    <x v="0"/>
    <x v="0"/>
    <s v="Bengaluru"/>
    <s v="Karnataka"/>
    <s v="2023-05-26"/>
    <s v="18-25"/>
    <n v="644.87799999999993"/>
  </r>
  <r>
    <s v="ORD04638"/>
    <d v="2025-09-18T00:00:00"/>
    <s v="CUST0102"/>
    <x v="1"/>
    <x v="1"/>
    <n v="3"/>
    <n v="0"/>
    <n v="5400"/>
    <n v="1950"/>
    <x v="0"/>
    <s v="Delivered"/>
    <n v="1800"/>
    <n v="36.111111111111107"/>
    <s v="Profit"/>
    <s v="Akash Bose"/>
    <x v="0"/>
    <x v="2"/>
    <s v="Jaipur"/>
    <s v="Rajasthan"/>
    <s v="2023-03-30"/>
    <s v="36-50"/>
    <n v="650"/>
  </r>
  <r>
    <s v="ORD04639"/>
    <d v="2025-10-12T00:00:00"/>
    <s v="CUST0560"/>
    <x v="1"/>
    <x v="1"/>
    <n v="4"/>
    <n v="0.2"/>
    <n v="5760"/>
    <n v="1710.33"/>
    <x v="0"/>
    <s v="Delivered"/>
    <n v="1440"/>
    <n v="29.693229166666669"/>
    <s v="Profit"/>
    <s v="Rohan Rao"/>
    <x v="0"/>
    <x v="0"/>
    <s v="Bengaluru"/>
    <s v="Karnataka"/>
    <s v="2023-05-29"/>
    <s v="18-25"/>
    <n v="427.58249999999998"/>
  </r>
  <r>
    <s v="ORD04640"/>
    <d v="2026-07-20T00:00:00"/>
    <s v="CUST0375"/>
    <x v="3"/>
    <x v="4"/>
    <n v="4"/>
    <n v="0.15"/>
    <n v="61200"/>
    <n v="5860.71"/>
    <x v="1"/>
    <s v="Delivered"/>
    <n v="15300"/>
    <n v="9.5763235294117646"/>
    <s v="Profit"/>
    <s v="Sneha Pillai"/>
    <x v="0"/>
    <x v="0"/>
    <s v="Bengaluru"/>
    <s v="Karnataka"/>
    <s v="2024-01-03"/>
    <s v="26-35"/>
    <n v="1465.1775"/>
  </r>
  <r>
    <s v="ORD04641"/>
    <d v="2025-07-19T00:00:00"/>
    <s v="CUST0438"/>
    <x v="2"/>
    <x v="5"/>
    <n v="2"/>
    <n v="0"/>
    <n v="22000"/>
    <n v="-2534.83"/>
    <x v="3"/>
    <s v="Returned"/>
    <n v="11000"/>
    <n v="-11.521954545454539"/>
    <s v="Loss"/>
    <s v="Diya Nair"/>
    <x v="0"/>
    <x v="3"/>
    <s v="Bhubaneswar"/>
    <s v="Odisha"/>
    <s v="2024-03-15"/>
    <s v="51+"/>
    <n v="-1267.415"/>
  </r>
  <r>
    <s v="ORD04642"/>
    <d v="2025-08-18T00:00:00"/>
    <s v="CUST0295"/>
    <x v="3"/>
    <x v="8"/>
    <n v="1"/>
    <n v="0.05"/>
    <n v="4275"/>
    <n v="1392.45"/>
    <x v="1"/>
    <s v="Delivered"/>
    <n v="4275"/>
    <n v="32.571929824561401"/>
    <s v="Profit"/>
    <s v="Pooja Chopra"/>
    <x v="1"/>
    <x v="2"/>
    <s v="Chandigarh"/>
    <s v="Chandigarh"/>
    <s v="2023-09-02"/>
    <s v="18-25"/>
    <n v="1392.45"/>
  </r>
  <r>
    <s v="ORD04643"/>
    <d v="2025-08-22T00:00:00"/>
    <s v="CUST0457"/>
    <x v="0"/>
    <x v="7"/>
    <n v="2"/>
    <n v="0.05"/>
    <n v="1710"/>
    <n v="512.37"/>
    <x v="0"/>
    <s v="Delivered"/>
    <n v="855"/>
    <n v="29.963157894736842"/>
    <s v="Profit"/>
    <s v="Karthik Bose"/>
    <x v="2"/>
    <x v="0"/>
    <s v="Hyderabad"/>
    <s v="Telangana"/>
    <s v="2025-04-05"/>
    <s v="51+"/>
    <n v="256.185"/>
  </r>
  <r>
    <s v="ORD04644"/>
    <d v="2026-08-01T00:00:00"/>
    <s v="CUST0283"/>
    <x v="3"/>
    <x v="10"/>
    <n v="2"/>
    <n v="0.05"/>
    <n v="104500"/>
    <n v="14388.27"/>
    <x v="2"/>
    <s v="Delivered"/>
    <n v="52250"/>
    <n v="13.76867942583732"/>
    <s v="Profit"/>
    <s v="Manoj Gupta"/>
    <x v="0"/>
    <x v="1"/>
    <s v="Surat"/>
    <s v="Gujarat"/>
    <s v="2025-04-15"/>
    <s v="36-50"/>
    <n v="7194.1350000000002"/>
  </r>
  <r>
    <s v="ORD04645"/>
    <d v="2025-07-07T00:00:00"/>
    <s v="CUST0331"/>
    <x v="1"/>
    <x v="1"/>
    <n v="1"/>
    <n v="0.2"/>
    <n v="1440"/>
    <n v="474.46"/>
    <x v="3"/>
    <s v="Delivered"/>
    <n v="1440"/>
    <n v="32.948611111111113"/>
    <s v="Profit"/>
    <s v="Kavya Kulkarni"/>
    <x v="0"/>
    <x v="2"/>
    <s v="Chandigarh"/>
    <s v="Chandigarh"/>
    <s v="2023-08-28"/>
    <s v="36-50"/>
    <n v="474.46"/>
  </r>
  <r>
    <s v="ORD04646"/>
    <d v="2026-05-25T00:00:00"/>
    <s v="CUST0271"/>
    <x v="2"/>
    <x v="3"/>
    <n v="3"/>
    <n v="0.1"/>
    <n v="40500"/>
    <n v="7567.37"/>
    <x v="0"/>
    <s v="Delivered"/>
    <n v="13500"/>
    <n v="18.68486419753086"/>
    <s v="Profit"/>
    <s v="Rohan Mehta"/>
    <x v="1"/>
    <x v="2"/>
    <s v="Delhi"/>
    <s v="Delhi"/>
    <s v="2025-01-13"/>
    <s v="51+"/>
    <n v="2522.456666666666"/>
  </r>
  <r>
    <s v="ORD04647"/>
    <d v="2026-06-18T00:00:00"/>
    <s v="CUST0110"/>
    <x v="1"/>
    <x v="15"/>
    <n v="1"/>
    <n v="0.15"/>
    <n v="1870"/>
    <n v="479.58"/>
    <x v="0"/>
    <s v="Shipped"/>
    <n v="1870"/>
    <n v="25.645989304812829"/>
    <s v="Profit"/>
    <s v="Ananya Gupta"/>
    <x v="0"/>
    <x v="3"/>
    <s v="Patna"/>
    <s v="Tamil Nadu"/>
    <s v="2025-06-10"/>
    <s v="26-35"/>
    <n v="479.58"/>
  </r>
  <r>
    <s v="ORD04648"/>
    <d v="2025-11-28T00:00:00"/>
    <s v="CUST0351"/>
    <x v="3"/>
    <x v="4"/>
    <n v="5"/>
    <n v="0"/>
    <n v="90000"/>
    <n v="17500"/>
    <x v="0"/>
    <s v="Delivered"/>
    <n v="18000"/>
    <n v="19.44444444444445"/>
    <s v="Profit"/>
    <s v="Aarav Naidu"/>
    <x v="0"/>
    <x v="0"/>
    <s v="Hyderabad"/>
    <s v="Telangana"/>
    <s v="2024-09-17"/>
    <s v="26-35"/>
    <n v="3500"/>
  </r>
  <r>
    <s v="ORD04649"/>
    <d v="2026-04-17T00:00:00"/>
    <s v="CUST0460"/>
    <x v="2"/>
    <x v="2"/>
    <n v="2"/>
    <n v="0"/>
    <n v="26000"/>
    <n v="6400"/>
    <x v="2"/>
    <s v="Delivered"/>
    <n v="13000"/>
    <n v="24.61538461538462"/>
    <s v="Profit"/>
    <s v="Rohan Nair"/>
    <x v="0"/>
    <x v="0"/>
    <s v="Chennai"/>
    <s v="Tamil Nadu"/>
    <s v="2023-12-17"/>
    <s v="18-25"/>
    <n v="3200"/>
  </r>
  <r>
    <s v="ORD04650"/>
    <d v="2025-09-23T00:00:00"/>
    <s v="CUST0121"/>
    <x v="2"/>
    <x v="3"/>
    <n v="1"/>
    <n v="0.1"/>
    <n v="13500"/>
    <n v="2762.05"/>
    <x v="2"/>
    <s v="Shipped"/>
    <n v="13500"/>
    <n v="20.459629629629632"/>
    <s v="Profit"/>
    <s v="Meera Menon"/>
    <x v="0"/>
    <x v="0"/>
    <s v="Bengaluru"/>
    <s v="Karnataka"/>
    <s v="2023-11-16"/>
    <s v="26-35"/>
    <n v="2762.05"/>
  </r>
  <r>
    <s v="ORD04651"/>
    <d v="2025-08-23T00:00:00"/>
    <s v="CUST0224"/>
    <x v="2"/>
    <x v="5"/>
    <n v="1"/>
    <n v="0"/>
    <n v="11000"/>
    <n v="2600"/>
    <x v="3"/>
    <s v="Delivered"/>
    <n v="11000"/>
    <n v="23.63636363636364"/>
    <s v="Profit"/>
    <s v="Varun Menon"/>
    <x v="1"/>
    <x v="1"/>
    <s v="Mumbai"/>
    <s v="Maharashtra"/>
    <s v="2023-02-06"/>
    <s v="18-25"/>
    <n v="2600"/>
  </r>
  <r>
    <s v="ORD04652"/>
    <d v="2026-02-24T00:00:00"/>
    <s v="CUST0193"/>
    <x v="3"/>
    <x v="4"/>
    <n v="2"/>
    <n v="0.1"/>
    <n v="32400"/>
    <n v="4166.6899999999996"/>
    <x v="3"/>
    <s v="Delivered"/>
    <n v="16200"/>
    <n v="12.86015432098765"/>
    <s v="Profit"/>
    <s v="Ananya Gupta"/>
    <x v="0"/>
    <x v="1"/>
    <s v="Pune"/>
    <s v="Maharashtra"/>
    <s v="2024-05-12"/>
    <s v="36-50"/>
    <n v="2083.3449999999998"/>
  </r>
  <r>
    <s v="ORD04653"/>
    <d v="2026-03-04T00:00:00"/>
    <s v="CUST0561"/>
    <x v="1"/>
    <x v="15"/>
    <n v="15"/>
    <n v="0.05"/>
    <n v="31350"/>
    <n v="10162.780000000001"/>
    <x v="1"/>
    <s v="Delivered"/>
    <n v="2090"/>
    <n v="32.417161084529504"/>
    <s v="Profit"/>
    <s v="Harini Joshi"/>
    <x v="1"/>
    <x v="0"/>
    <s v="Coimbatore"/>
    <s v="Tamil Nadu"/>
    <s v="2023-09-10"/>
    <s v="26-35"/>
    <n v="677.51866666666672"/>
  </r>
  <r>
    <s v="ORD04654"/>
    <d v="2025-10-27T00:00:00"/>
    <s v="CUST0367"/>
    <x v="0"/>
    <x v="6"/>
    <n v="3"/>
    <n v="0.05"/>
    <n v="997.5"/>
    <n v="322.01"/>
    <x v="3"/>
    <s v="Shipped"/>
    <n v="332.5"/>
    <n v="32.28170426065163"/>
    <s v="Profit"/>
    <s v="Harini Kulkarni"/>
    <x v="0"/>
    <x v="3"/>
    <s v="Bhubaneswar"/>
    <s v="Odisha"/>
    <s v="2025-10-09"/>
    <s v="18-25"/>
    <n v="107.3366666666667"/>
  </r>
  <r>
    <s v="ORD04655"/>
    <d v="2026-05-23T00:00:00"/>
    <s v="CUST0265"/>
    <x v="2"/>
    <x v="3"/>
    <n v="2"/>
    <n v="0.1"/>
    <n v="27000"/>
    <n v="4476.2"/>
    <x v="0"/>
    <s v="Delivered"/>
    <n v="13500"/>
    <n v="16.578518518518521"/>
    <s v="Profit"/>
    <s v="Aditya Rao"/>
    <x v="0"/>
    <x v="2"/>
    <s v="Jaipur"/>
    <s v="Rajasthan"/>
    <s v="2023-07-24"/>
    <s v="51+"/>
    <n v="2238.1"/>
  </r>
  <r>
    <s v="ORD04656"/>
    <d v="2026-03-26T00:00:00"/>
    <s v="CUST0314"/>
    <x v="1"/>
    <x v="1"/>
    <n v="2"/>
    <n v="0"/>
    <n v="3600"/>
    <n v="1300"/>
    <x v="1"/>
    <s v="Delivered"/>
    <n v="1800"/>
    <n v="36.111111111111107"/>
    <s v="Profit"/>
    <s v="Aarav Mishra"/>
    <x v="0"/>
    <x v="0"/>
    <s v="Bengaluru"/>
    <s v="Karnataka"/>
    <s v="2025-10-30"/>
    <s v="26-35"/>
    <n v="650"/>
  </r>
  <r>
    <s v="ORD04657"/>
    <d v="2026-07-30T00:00:00"/>
    <s v="CUST0598"/>
    <x v="3"/>
    <x v="11"/>
    <n v="2"/>
    <n v="0.1"/>
    <n v="4500"/>
    <n v="-1384.72"/>
    <x v="2"/>
    <s v="Cancelled"/>
    <n v="2250"/>
    <n v="-30.771555555555562"/>
    <s v="Loss"/>
    <s v="Arjun Das"/>
    <x v="0"/>
    <x v="0"/>
    <s v="Hyderabad"/>
    <s v="Telangana"/>
    <s v="2024-07-07"/>
    <s v="36-50"/>
    <n v="-692.36"/>
  </r>
  <r>
    <s v="ORD04658"/>
    <d v="2025-10-17T00:00:00"/>
    <s v="CUST0229"/>
    <x v="0"/>
    <x v="0"/>
    <n v="5"/>
    <n v="0"/>
    <n v="70000"/>
    <n v="14000"/>
    <x v="0"/>
    <s v="Delivered"/>
    <n v="14000"/>
    <n v="20"/>
    <s v="Profit"/>
    <s v="Harini Chopra"/>
    <x v="0"/>
    <x v="0"/>
    <s v="Bengaluru"/>
    <s v="Karnataka"/>
    <s v="2025-05-19"/>
    <s v="26-35"/>
    <n v="2800"/>
  </r>
  <r>
    <s v="ORD04659"/>
    <d v="2026-08-21T00:00:00"/>
    <s v="CUST0125"/>
    <x v="0"/>
    <x v="14"/>
    <n v="1"/>
    <n v="0.2"/>
    <n v="360"/>
    <n v="-138.68"/>
    <x v="0"/>
    <s v="Returned"/>
    <n v="360"/>
    <n v="-38.522222222222233"/>
    <s v="Loss"/>
    <s v="Diya Singh"/>
    <x v="2"/>
    <x v="3"/>
    <s v="Patna"/>
    <s v="Bihar"/>
    <s v="2023-08-16"/>
    <s v="36-50"/>
    <n v="-138.68"/>
  </r>
  <r>
    <s v="ORD04660"/>
    <d v="2026-01-01T00:00:00"/>
    <s v="CUST0460"/>
    <x v="2"/>
    <x v="2"/>
    <n v="2"/>
    <n v="0"/>
    <n v="26000"/>
    <n v="6400"/>
    <x v="3"/>
    <s v="Delivered"/>
    <n v="13000"/>
    <n v="24.61538461538462"/>
    <s v="Profit"/>
    <s v="Rohan Nair"/>
    <x v="0"/>
    <x v="0"/>
    <s v="Chennai"/>
    <s v="Tamil Nadu"/>
    <s v="2023-12-17"/>
    <s v="18-25"/>
    <n v="3200"/>
  </r>
  <r>
    <s v="ORD04661"/>
    <d v="2026-07-03T00:00:00"/>
    <s v="CUST0579"/>
    <x v="1"/>
    <x v="1"/>
    <n v="6"/>
    <n v="0.05"/>
    <n v="10260"/>
    <n v="3604.24"/>
    <x v="2"/>
    <s v="Delivered"/>
    <n v="1710"/>
    <n v="35.12904483430799"/>
    <s v="Profit"/>
    <s v="Manoj Reddy"/>
    <x v="1"/>
    <x v="2"/>
    <s v="Chandigarh"/>
    <s v="Chandigarh"/>
    <s v="2024-10-31"/>
    <s v="26-35"/>
    <n v="600.70666666666659"/>
  </r>
  <r>
    <s v="ORD04662"/>
    <d v="2026-07-09T00:00:00"/>
    <s v="CUST0360"/>
    <x v="3"/>
    <x v="4"/>
    <n v="3"/>
    <n v="0"/>
    <n v="54000"/>
    <n v="10500"/>
    <x v="3"/>
    <s v="Delivered"/>
    <n v="18000"/>
    <n v="19.44444444444445"/>
    <s v="Profit"/>
    <s v="Sneha Reddy"/>
    <x v="2"/>
    <x v="2"/>
    <s v="Lucknow"/>
    <s v="Uttar Pradesh"/>
    <s v="2024-02-17"/>
    <s v="18-25"/>
    <n v="3500"/>
  </r>
  <r>
    <s v="ORD04663"/>
    <d v="2026-06-23T00:00:00"/>
    <s v="CUST0531"/>
    <x v="2"/>
    <x v="3"/>
    <n v="5"/>
    <n v="0.15"/>
    <n v="63750"/>
    <n v="9695.44"/>
    <x v="3"/>
    <s v="Delivered"/>
    <n v="12750"/>
    <n v="15.208533333333341"/>
    <s v="Profit"/>
    <s v="Kavya Mishra"/>
    <x v="2"/>
    <x v="0"/>
    <s v="Coimbatore"/>
    <s v="Tamil Nadu"/>
    <s v="2023-10-06"/>
    <s v="26-35"/>
    <n v="1939.088"/>
  </r>
  <r>
    <s v="ORD04664"/>
    <d v="2026-05-19T00:00:00"/>
    <s v="CUST0021"/>
    <x v="1"/>
    <x v="12"/>
    <n v="2"/>
    <n v="0.05"/>
    <n v="2660"/>
    <n v="925.38"/>
    <x v="2"/>
    <s v="Delivered"/>
    <n v="1330"/>
    <n v="34.788721804511283"/>
    <s v="Profit"/>
    <s v="Varun Nair"/>
    <x v="2"/>
    <x v="1"/>
    <s v="Ahmedabad"/>
    <s v="Gujarat"/>
    <s v="2025-11-12"/>
    <s v="36-50"/>
    <n v="462.69"/>
  </r>
  <r>
    <s v="ORD04665"/>
    <d v="2025-09-22T00:00:00"/>
    <s v="CUST0537"/>
    <x v="2"/>
    <x v="9"/>
    <n v="2"/>
    <n v="0.1"/>
    <n v="16200"/>
    <n v="3599.76"/>
    <x v="3"/>
    <s v="Delivered"/>
    <n v="8100"/>
    <n v="22.220740740740741"/>
    <s v="Profit"/>
    <s v="Vikram Pillai"/>
    <x v="0"/>
    <x v="0"/>
    <s v="Bengaluru"/>
    <s v="Karnataka"/>
    <s v="2023-11-18"/>
    <s v="26-35"/>
    <n v="1799.88"/>
  </r>
  <r>
    <s v="ORD04666"/>
    <d v="2026-03-12T00:00:00"/>
    <s v="CUST0343"/>
    <x v="1"/>
    <x v="12"/>
    <n v="2"/>
    <n v="0.15"/>
    <n v="2380"/>
    <n v="776.43"/>
    <x v="1"/>
    <s v="Delivered"/>
    <n v="1190"/>
    <n v="32.623109243697478"/>
    <s v="Profit"/>
    <s v="Meera Iyer"/>
    <x v="0"/>
    <x v="0"/>
    <s v="Bengaluru"/>
    <s v="Karnataka"/>
    <s v="2024-08-02"/>
    <s v="36-50"/>
    <n v="388.21499999999997"/>
  </r>
  <r>
    <s v="ORD04667"/>
    <d v="2026-05-10T00:00:00"/>
    <s v="CUST0212"/>
    <x v="0"/>
    <x v="14"/>
    <n v="1"/>
    <n v="0.1"/>
    <n v="405"/>
    <n v="82.05"/>
    <x v="0"/>
    <s v="Delivered"/>
    <n v="405"/>
    <n v="20.25925925925926"/>
    <s v="Profit"/>
    <s v="Vikram Singh"/>
    <x v="0"/>
    <x v="1"/>
    <s v="Mumbai"/>
    <s v="Maharashtra"/>
    <s v="2025-06-26"/>
    <s v="26-35"/>
    <n v="82.05"/>
  </r>
  <r>
    <s v="ORD04668"/>
    <d v="2026-04-06T00:00:00"/>
    <s v="CUST0440"/>
    <x v="3"/>
    <x v="11"/>
    <n v="5"/>
    <n v="0.2"/>
    <n v="10000"/>
    <n v="2365.56"/>
    <x v="1"/>
    <s v="Delivered"/>
    <n v="2000"/>
    <n v="23.6556"/>
    <s v="Profit"/>
    <s v="Harini Sharma"/>
    <x v="1"/>
    <x v="0"/>
    <s v="Hyderabad"/>
    <s v="Telangana"/>
    <s v="2024-06-03"/>
    <s v="18-25"/>
    <n v="473.11200000000002"/>
  </r>
  <r>
    <s v="ORD04669"/>
    <d v="2026-04-03T00:00:00"/>
    <s v="CUST0461"/>
    <x v="0"/>
    <x v="0"/>
    <n v="2"/>
    <n v="0.1"/>
    <n v="25200"/>
    <n v="3941.61"/>
    <x v="3"/>
    <s v="Delivered"/>
    <n v="12600"/>
    <n v="15.64130952380952"/>
    <s v="Profit"/>
    <s v="Shreya Sharma"/>
    <x v="0"/>
    <x v="1"/>
    <s v="Mumbai"/>
    <s v="Maharashtra"/>
    <s v="2024-05-10"/>
    <s v="26-35"/>
    <n v="1970.8050000000001"/>
  </r>
  <r>
    <s v="ORD04670"/>
    <d v="2025-09-23T00:00:00"/>
    <s v="CUST0265"/>
    <x v="0"/>
    <x v="6"/>
    <n v="1"/>
    <n v="0"/>
    <n v="350"/>
    <n v="120"/>
    <x v="2"/>
    <s v="Delivered"/>
    <n v="350"/>
    <n v="34.285714285714278"/>
    <s v="Profit"/>
    <s v="Aditya Rao"/>
    <x v="0"/>
    <x v="2"/>
    <s v="Jaipur"/>
    <s v="Rajasthan"/>
    <s v="2023-07-24"/>
    <s v="51+"/>
    <n v="120"/>
  </r>
  <r>
    <s v="ORD04671"/>
    <d v="2025-10-03T00:00:00"/>
    <s v="CUST0214"/>
    <x v="3"/>
    <x v="11"/>
    <n v="1"/>
    <n v="0"/>
    <n v="2500"/>
    <n v="800"/>
    <x v="3"/>
    <s v="Delivered"/>
    <n v="2500"/>
    <n v="32"/>
    <s v="Profit"/>
    <s v="Ananya Rao"/>
    <x v="0"/>
    <x v="0"/>
    <s v="Hyderabad"/>
    <s v="Telangana"/>
    <s v="2023-07-14"/>
    <s v="51+"/>
    <n v="800"/>
  </r>
  <r>
    <s v="ORD04672"/>
    <d v="2026-01-08T00:00:00"/>
    <s v="CUST0112"/>
    <x v="0"/>
    <x v="7"/>
    <n v="1"/>
    <n v="0"/>
    <n v="900"/>
    <n v="280"/>
    <x v="3"/>
    <s v="Delivered"/>
    <n v="900"/>
    <n v="31.111111111111111"/>
    <s v="Profit"/>
    <s v="Akash Khan"/>
    <x v="0"/>
    <x v="1"/>
    <s v="Pune"/>
    <s v="Maharashtra"/>
    <s v="2025-03-04"/>
    <s v="26-35"/>
    <n v="280"/>
  </r>
  <r>
    <s v="ORD04673"/>
    <d v="2026-01-11T00:00:00"/>
    <s v="CUST0572"/>
    <x v="3"/>
    <x v="4"/>
    <n v="15"/>
    <n v="0.05"/>
    <n v="256500"/>
    <n v="44841.82"/>
    <x v="2"/>
    <s v="Delivered"/>
    <n v="17100"/>
    <n v="17.482191033138399"/>
    <s v="Profit"/>
    <s v="Manoj Kulkarni"/>
    <x v="1"/>
    <x v="2"/>
    <s v="Lucknow"/>
    <s v="Uttar Pradesh"/>
    <s v="2024-03-30"/>
    <s v="18-25"/>
    <n v="2989.454666666667"/>
  </r>
  <r>
    <s v="ORD04674"/>
    <d v="2025-11-18T00:00:00"/>
    <s v="CUST0056"/>
    <x v="0"/>
    <x v="6"/>
    <n v="4"/>
    <n v="0.2"/>
    <n v="1120"/>
    <n v="338.22"/>
    <x v="2"/>
    <s v="Delivered"/>
    <n v="280"/>
    <n v="30.19821428571429"/>
    <s v="Profit"/>
    <s v="Vikram Pillai"/>
    <x v="0"/>
    <x v="3"/>
    <s v="Patna"/>
    <s v="Bihar"/>
    <s v="2024-11-12"/>
    <s v="18-25"/>
    <n v="84.555000000000007"/>
  </r>
  <r>
    <s v="ORD04675"/>
    <d v="2026-04-30T00:00:00"/>
    <s v="CUST0083"/>
    <x v="1"/>
    <x v="15"/>
    <n v="2"/>
    <n v="0.15"/>
    <n v="3740"/>
    <n v="987.36"/>
    <x v="1"/>
    <s v="Delivered"/>
    <n v="1870"/>
    <n v="26.4"/>
    <s v="Profit"/>
    <s v="Nisha Singh"/>
    <x v="0"/>
    <x v="0"/>
    <s v="Bengaluru"/>
    <s v="Karnataka"/>
    <s v="2024-07-24"/>
    <s v="26-35"/>
    <n v="493.68"/>
  </r>
  <r>
    <s v="ORD04676"/>
    <d v="2026-08-31T00:00:00"/>
    <s v="CUST0302"/>
    <x v="3"/>
    <x v="10"/>
    <n v="2"/>
    <n v="0.2"/>
    <n v="88000"/>
    <n v="6418.2"/>
    <x v="1"/>
    <s v="Delivered"/>
    <n v="44000"/>
    <n v="7.2934090909090914"/>
    <s v="Profit"/>
    <s v="Ananya Iyer"/>
    <x v="0"/>
    <x v="1"/>
    <s v="Pune"/>
    <s v="Maharashtra"/>
    <s v="2025-09-02"/>
    <s v="26-35"/>
    <n v="3209.1"/>
  </r>
  <r>
    <s v="ORD04677"/>
    <d v="2026-03-18T00:00:00"/>
    <s v="CUST0355"/>
    <x v="0"/>
    <x v="7"/>
    <n v="3"/>
    <n v="0.2"/>
    <n v="2160"/>
    <n v="445.16"/>
    <x v="2"/>
    <s v="Delivered"/>
    <n v="720"/>
    <n v="20.609259259259261"/>
    <s v="Profit"/>
    <s v="Harini Bose"/>
    <x v="0"/>
    <x v="2"/>
    <s v="Jaipur"/>
    <s v="Rajasthan"/>
    <s v="2025-01-22"/>
    <s v="26-35"/>
    <n v="148.38666666666671"/>
  </r>
  <r>
    <s v="ORD04678"/>
    <d v="2026-04-13T00:00:00"/>
    <s v="CUST0415"/>
    <x v="0"/>
    <x v="14"/>
    <n v="4"/>
    <n v="0.15"/>
    <n v="1530"/>
    <n v="303.48"/>
    <x v="1"/>
    <s v="Delivered"/>
    <n v="382.5"/>
    <n v="19.835294117647059"/>
    <s v="Profit"/>
    <s v="Manoj Bose"/>
    <x v="1"/>
    <x v="0"/>
    <s v="Bengaluru"/>
    <s v="Karnataka"/>
    <s v="2024-07-04"/>
    <s v="36-50"/>
    <n v="75.87"/>
  </r>
  <r>
    <s v="ORD04679"/>
    <d v="2026-02-11T00:00:00"/>
    <s v="CUST0012"/>
    <x v="3"/>
    <x v="4"/>
    <n v="2"/>
    <n v="0.15"/>
    <n v="30600"/>
    <n v="4457.79"/>
    <x v="0"/>
    <s v="Delivered"/>
    <n v="15300"/>
    <n v="14.56794117647059"/>
    <s v="Profit"/>
    <s v="Akash Nair"/>
    <x v="1"/>
    <x v="0"/>
    <s v="Chennai"/>
    <s v="Tamil Nadu"/>
    <s v="2025-11-27"/>
    <s v="36-50"/>
    <n v="2228.895"/>
  </r>
  <r>
    <s v="ORD04680"/>
    <d v="2026-08-25T00:00:00"/>
    <s v="CUST0244"/>
    <x v="3"/>
    <x v="4"/>
    <n v="1"/>
    <n v="0.15"/>
    <n v="15300"/>
    <n v="1630.69"/>
    <x v="0"/>
    <s v="Delivered"/>
    <n v="15300"/>
    <n v="10.658104575163399"/>
    <s v="Profit"/>
    <s v="Ishaan Khan"/>
    <x v="0"/>
    <x v="0"/>
    <s v="Bengaluru"/>
    <s v="Karnataka"/>
    <s v="2024-01-08"/>
    <s v="36-50"/>
    <n v="1630.69"/>
  </r>
  <r>
    <s v="ORD04681"/>
    <d v="2025-12-14T00:00:00"/>
    <s v="CUST0565"/>
    <x v="2"/>
    <x v="2"/>
    <n v="1"/>
    <n v="0.1"/>
    <n v="11700"/>
    <n v="2154.06"/>
    <x v="1"/>
    <s v="Delivered"/>
    <n v="11700"/>
    <n v="18.41076923076923"/>
    <s v="Profit"/>
    <s v="Rahul Bose"/>
    <x v="0"/>
    <x v="0"/>
    <s v="Coimbatore"/>
    <s v="Tamil Nadu"/>
    <s v="2024-03-26"/>
    <s v="51+"/>
    <n v="2154.06"/>
  </r>
  <r>
    <s v="ORD04682"/>
    <d v="2025-10-12T00:00:00"/>
    <s v="CUST0276"/>
    <x v="0"/>
    <x v="7"/>
    <n v="2"/>
    <n v="0.05"/>
    <n v="1710"/>
    <n v="502.71"/>
    <x v="2"/>
    <s v="Delivered"/>
    <n v="855"/>
    <n v="29.39824561403508"/>
    <s v="Profit"/>
    <s v="Lakshmi Pillai"/>
    <x v="2"/>
    <x v="1"/>
    <s v="Mumbai"/>
    <s v="Maharashtra"/>
    <s v="2024-01-26"/>
    <s v="36-50"/>
    <n v="251.35499999999999"/>
  </r>
  <r>
    <s v="ORD04683"/>
    <d v="2026-06-29T00:00:00"/>
    <s v="CUST0516"/>
    <x v="3"/>
    <x v="10"/>
    <n v="4"/>
    <n v="0.05"/>
    <n v="209000"/>
    <n v="30371.17"/>
    <x v="3"/>
    <s v="Delivered"/>
    <n v="52250"/>
    <n v="14.53166028708134"/>
    <s v="Profit"/>
    <s v="Rahul Mishra"/>
    <x v="1"/>
    <x v="0"/>
    <s v="Hyderabad"/>
    <s v="Telangana"/>
    <s v="2024-01-31"/>
    <s v="26-35"/>
    <n v="7592.7924999999996"/>
  </r>
  <r>
    <s v="ORD04684"/>
    <d v="2026-03-24T00:00:00"/>
    <s v="CUST0552"/>
    <x v="1"/>
    <x v="15"/>
    <n v="3"/>
    <n v="0.1"/>
    <n v="5940"/>
    <n v="-2339.94"/>
    <x v="2"/>
    <s v="Returned"/>
    <n v="1980"/>
    <n v="-39.392929292929303"/>
    <s v="Loss"/>
    <s v="Rahul Pillai"/>
    <x v="0"/>
    <x v="1"/>
    <s v="Mumbai"/>
    <s v="Maharashtra"/>
    <s v="2024-11-20"/>
    <s v="26-35"/>
    <n v="-779.98"/>
  </r>
  <r>
    <s v="ORD04685"/>
    <d v="2025-11-27T00:00:00"/>
    <s v="CUST0173"/>
    <x v="0"/>
    <x v="14"/>
    <n v="1"/>
    <n v="0.1"/>
    <n v="405"/>
    <n v="88.35"/>
    <x v="2"/>
    <s v="Shipped"/>
    <n v="405"/>
    <n v="21.81481481481481"/>
    <s v="Profit"/>
    <s v="Rohan Rao"/>
    <x v="1"/>
    <x v="0"/>
    <s v="Bengaluru"/>
    <s v="Karnataka"/>
    <s v="2024-03-17"/>
    <s v="18-25"/>
    <n v="88.35"/>
  </r>
  <r>
    <s v="ORD04686"/>
    <d v="2026-01-01T00:00:00"/>
    <s v="CUST0100"/>
    <x v="1"/>
    <x v="1"/>
    <n v="2"/>
    <n v="0"/>
    <n v="3600"/>
    <n v="1300"/>
    <x v="2"/>
    <s v="Delivered"/>
    <n v="1800"/>
    <n v="36.111111111111107"/>
    <s v="Profit"/>
    <s v="Priya Singh"/>
    <x v="1"/>
    <x v="0"/>
    <s v="Chennai"/>
    <s v="Tamil Nadu"/>
    <s v="2023-03-14"/>
    <s v="26-35"/>
    <n v="650"/>
  </r>
  <r>
    <s v="ORD04687"/>
    <d v="2025-08-05T00:00:00"/>
    <s v="CUST0213"/>
    <x v="0"/>
    <x v="7"/>
    <n v="3"/>
    <n v="0.3"/>
    <n v="1890"/>
    <n v="277.22000000000003"/>
    <x v="0"/>
    <s v="Delivered"/>
    <n v="630"/>
    <n v="14.667724867724869"/>
    <s v="Profit"/>
    <s v="Shreya Bose"/>
    <x v="1"/>
    <x v="2"/>
    <s v="Lucknow"/>
    <s v="Uttar Pradesh"/>
    <s v="2025-03-13"/>
    <s v="26-35"/>
    <n v="92.40666666666668"/>
  </r>
  <r>
    <s v="ORD04688"/>
    <d v="2026-07-04T00:00:00"/>
    <s v="CUST0354"/>
    <x v="1"/>
    <x v="15"/>
    <n v="4"/>
    <n v="0.15"/>
    <n v="7480"/>
    <n v="2151.04"/>
    <x v="0"/>
    <s v="Delivered"/>
    <n v="1870"/>
    <n v="28.757219251336899"/>
    <s v="Profit"/>
    <s v="Manoj Singh"/>
    <x v="2"/>
    <x v="1"/>
    <s v="Mumbai"/>
    <s v="Maharashtra"/>
    <s v="2025-09-10"/>
    <s v="26-35"/>
    <n v="537.76"/>
  </r>
  <r>
    <s v="ORD04689"/>
    <d v="2026-01-21T00:00:00"/>
    <s v="CUST0315"/>
    <x v="3"/>
    <x v="11"/>
    <n v="2"/>
    <n v="0.15"/>
    <n v="4250"/>
    <n v="1258.6199999999999"/>
    <x v="3"/>
    <s v="Delivered"/>
    <n v="2125"/>
    <n v="29.614588235294111"/>
    <s v="Profit"/>
    <s v="Harini Verma"/>
    <x v="0"/>
    <x v="0"/>
    <s v="Coimbatore"/>
    <s v="Tamil Nadu"/>
    <s v="2024-10-22"/>
    <s v="18-25"/>
    <n v="629.30999999999995"/>
  </r>
  <r>
    <s v="ORD04690"/>
    <d v="2026-03-20T00:00:00"/>
    <s v="CUST0516"/>
    <x v="1"/>
    <x v="13"/>
    <n v="5"/>
    <n v="0.2"/>
    <n v="16800"/>
    <n v="3173.61"/>
    <x v="2"/>
    <s v="Delivered"/>
    <n v="3360"/>
    <n v="18.890535714285711"/>
    <s v="Profit"/>
    <s v="Rahul Mishra"/>
    <x v="1"/>
    <x v="0"/>
    <s v="Hyderabad"/>
    <s v="Telangana"/>
    <s v="2024-01-31"/>
    <s v="26-35"/>
    <n v="634.72199999999998"/>
  </r>
  <r>
    <s v="ORD04691"/>
    <d v="2026-05-26T00:00:00"/>
    <s v="CUST0246"/>
    <x v="0"/>
    <x v="14"/>
    <n v="3"/>
    <n v="0"/>
    <n v="1350"/>
    <n v="330"/>
    <x v="0"/>
    <s v="Delivered"/>
    <n v="450"/>
    <n v="24.444444444444439"/>
    <s v="Profit"/>
    <s v="Rohan Nair"/>
    <x v="0"/>
    <x v="2"/>
    <s v="Chandigarh"/>
    <s v="Chandigarh"/>
    <s v="2023-05-17"/>
    <s v="18-25"/>
    <n v="110"/>
  </r>
  <r>
    <s v="ORD04692"/>
    <d v="2025-09-03T00:00:00"/>
    <s v="CUST0553"/>
    <x v="3"/>
    <x v="11"/>
    <n v="2"/>
    <n v="0.05"/>
    <n v="4750"/>
    <n v="1470.63"/>
    <x v="0"/>
    <s v="Delivered"/>
    <n v="2375"/>
    <n v="30.960631578947371"/>
    <s v="Profit"/>
    <s v="Diya Mishra"/>
    <x v="2"/>
    <x v="0"/>
    <s v="Coimbatore"/>
    <s v="Tamil Nadu"/>
    <s v="2025-01-24"/>
    <s v="36-50"/>
    <n v="735.31500000000005"/>
  </r>
  <r>
    <s v="ORD04693"/>
    <d v="2026-03-06T00:00:00"/>
    <s v="CUST0426"/>
    <x v="2"/>
    <x v="2"/>
    <n v="15"/>
    <n v="0.2"/>
    <n v="156000"/>
    <n v="23310.62"/>
    <x v="2"/>
    <s v="Delivered"/>
    <n v="10400"/>
    <n v="14.94270512820513"/>
    <s v="Profit"/>
    <s v="Sneha Rao"/>
    <x v="1"/>
    <x v="2"/>
    <s v="Lucknow"/>
    <s v="Uttar Pradesh"/>
    <s v="2025-02-23"/>
    <s v="36-50"/>
    <n v="1554.0413333333329"/>
  </r>
  <r>
    <s v="ORD04694"/>
    <d v="2026-01-22T00:00:00"/>
    <s v="CUST0483"/>
    <x v="1"/>
    <x v="15"/>
    <n v="4"/>
    <n v="0.15"/>
    <n v="7480"/>
    <n v="2355.4"/>
    <x v="2"/>
    <s v="Delivered"/>
    <n v="1870"/>
    <n v="31.48930481283422"/>
    <s v="Profit"/>
    <s v="Harini Rao"/>
    <x v="2"/>
    <x v="0"/>
    <s v="Bengaluru"/>
    <s v="Karnataka"/>
    <s v="2025-12-26"/>
    <s v="18-25"/>
    <n v="588.85"/>
  </r>
  <r>
    <s v="ORD04695"/>
    <d v="2026-04-02T00:00:00"/>
    <s v="CUST0396"/>
    <x v="0"/>
    <x v="6"/>
    <n v="2"/>
    <n v="0.1"/>
    <n v="630"/>
    <n v="193.35"/>
    <x v="3"/>
    <s v="Delivered"/>
    <n v="315"/>
    <n v="30.69047619047619"/>
    <s v="Profit"/>
    <s v="Rahul Mishra"/>
    <x v="0"/>
    <x v="0"/>
    <s v="Bengaluru"/>
    <s v="Karnataka"/>
    <s v="2023-05-26"/>
    <s v="18-25"/>
    <n v="96.674999999999997"/>
  </r>
  <r>
    <s v="ORD04696"/>
    <d v="2026-02-23T00:00:00"/>
    <s v="CUST0413"/>
    <x v="0"/>
    <x v="6"/>
    <n v="3"/>
    <n v="0"/>
    <n v="1050"/>
    <n v="360"/>
    <x v="3"/>
    <s v="Delivered"/>
    <n v="350"/>
    <n v="34.285714285714278"/>
    <s v="Profit"/>
    <s v="Sanjay Bose"/>
    <x v="0"/>
    <x v="0"/>
    <s v="Chennai"/>
    <s v="Tamil Nadu"/>
    <s v="2023-05-01"/>
    <s v="26-35"/>
    <n v="120"/>
  </r>
  <r>
    <s v="ORD04697"/>
    <d v="2026-07-20T00:00:00"/>
    <s v="CUST0214"/>
    <x v="3"/>
    <x v="8"/>
    <n v="2"/>
    <n v="0.05"/>
    <n v="8550"/>
    <n v="2660.64"/>
    <x v="1"/>
    <s v="Delivered"/>
    <n v="4275"/>
    <n v="31.118596491228072"/>
    <s v="Profit"/>
    <s v="Ananya Rao"/>
    <x v="0"/>
    <x v="0"/>
    <s v="Hyderabad"/>
    <s v="Telangana"/>
    <s v="2023-07-14"/>
    <s v="51+"/>
    <n v="1330.32"/>
  </r>
  <r>
    <s v="ORD04698"/>
    <d v="2026-07-30T00:00:00"/>
    <s v="CUST0489"/>
    <x v="0"/>
    <x v="14"/>
    <n v="2"/>
    <n v="0.15"/>
    <n v="765"/>
    <n v="116.96"/>
    <x v="0"/>
    <s v="Delivered"/>
    <n v="382.5"/>
    <n v="15.28888888888889"/>
    <s v="Profit"/>
    <s v="Kavya Das"/>
    <x v="0"/>
    <x v="0"/>
    <s v="Coimbatore"/>
    <s v="Tamil Nadu"/>
    <s v="2024-03-29"/>
    <s v="26-35"/>
    <n v="58.48"/>
  </r>
  <r>
    <s v="ORD04699"/>
    <d v="2025-07-13T00:00:00"/>
    <s v="CUST0556"/>
    <x v="1"/>
    <x v="15"/>
    <n v="1"/>
    <n v="0.05"/>
    <n v="2090"/>
    <n v="674.73"/>
    <x v="0"/>
    <s v="Delivered"/>
    <n v="2090"/>
    <n v="32.283732057416273"/>
    <s v="Profit"/>
    <s v="Karthik Chopra"/>
    <x v="0"/>
    <x v="0"/>
    <s v="Coimbatore"/>
    <s v="Tamil Nadu"/>
    <s v="2024-08-09"/>
    <s v="26-35"/>
    <n v="674.73"/>
  </r>
  <r>
    <s v="ORD04700"/>
    <d v="2025-12-03T00:00:00"/>
    <s v="CUST0358"/>
    <x v="2"/>
    <x v="5"/>
    <n v="1"/>
    <n v="0"/>
    <n v="11000"/>
    <n v="-5499.65"/>
    <x v="1"/>
    <s v="Cancelled"/>
    <n v="11000"/>
    <n v="-49.996818181818178"/>
    <s v="Loss"/>
    <s v="Sanjay Das"/>
    <x v="0"/>
    <x v="0"/>
    <s v="Hyderabad"/>
    <s v="Telangana"/>
    <s v="2025-08-29"/>
    <s v="18-25"/>
    <n v="-5499.65"/>
  </r>
  <r>
    <s v="ORD04701"/>
    <d v="2025-07-11T00:00:00"/>
    <s v="CUST0034"/>
    <x v="0"/>
    <x v="0"/>
    <n v="2"/>
    <n v="0.1"/>
    <n v="25200"/>
    <n v="3510.84"/>
    <x v="1"/>
    <s v="Shipped"/>
    <n v="12600"/>
    <n v="13.931904761904759"/>
    <s v="Profit"/>
    <s v="Meera Bose"/>
    <x v="0"/>
    <x v="1"/>
    <s v="Ahmedabad"/>
    <s v="Gujarat"/>
    <s v="2023-01-29"/>
    <s v="18-25"/>
    <n v="1755.42"/>
  </r>
  <r>
    <s v="ORD04702"/>
    <d v="2026-05-23T00:00:00"/>
    <s v="CUST0595"/>
    <x v="0"/>
    <x v="7"/>
    <n v="1"/>
    <n v="0"/>
    <n v="900"/>
    <n v="280"/>
    <x v="1"/>
    <s v="Delivered"/>
    <n v="900"/>
    <n v="31.111111111111111"/>
    <s v="Profit"/>
    <s v="Nisha Menon"/>
    <x v="0"/>
    <x v="3"/>
    <s v="Kolkata"/>
    <s v="West Bengal"/>
    <s v="2025-07-16"/>
    <s v="51+"/>
    <n v="280"/>
  </r>
  <r>
    <s v="ORD04703"/>
    <d v="2026-01-27T00:00:00"/>
    <s v="CUST0586"/>
    <x v="0"/>
    <x v="14"/>
    <n v="5"/>
    <n v="0"/>
    <n v="2250"/>
    <n v="-1106.02"/>
    <x v="0"/>
    <s v="Returned"/>
    <n v="450"/>
    <n v="-49.156444444444439"/>
    <s v="Loss"/>
    <s v="Sanjay Mehta"/>
    <x v="1"/>
    <x v="0"/>
    <s v="Chennai"/>
    <s v="Tamil Nadu"/>
    <s v="2023-09-11"/>
    <s v="26-35"/>
    <n v="-221.20400000000001"/>
  </r>
  <r>
    <s v="ORD04704"/>
    <d v="2026-02-26T00:00:00"/>
    <s v="CUST0113"/>
    <x v="2"/>
    <x v="5"/>
    <n v="2"/>
    <n v="0.15"/>
    <n v="18700"/>
    <n v="2587.3200000000002"/>
    <x v="0"/>
    <s v="Delivered"/>
    <n v="9350"/>
    <n v="13.835935828877011"/>
    <s v="Profit"/>
    <s v="Diya Pillai"/>
    <x v="2"/>
    <x v="1"/>
    <s v="Ahmedabad"/>
    <s v="Gujarat"/>
    <s v="2024-08-29"/>
    <s v="26-35"/>
    <n v="1293.6600000000001"/>
  </r>
  <r>
    <s v="ORD04705"/>
    <d v="2025-12-12T00:00:00"/>
    <s v="CUST0573"/>
    <x v="2"/>
    <x v="2"/>
    <n v="4"/>
    <n v="0"/>
    <n v="52000"/>
    <n v="12800"/>
    <x v="0"/>
    <s v="Delivered"/>
    <n v="13000"/>
    <n v="24.61538461538462"/>
    <s v="Profit"/>
    <s v="Aditya Pillai"/>
    <x v="0"/>
    <x v="1"/>
    <s v="Surat"/>
    <s v="Gujarat"/>
    <s v="2024-03-11"/>
    <s v="18-25"/>
    <n v="3200"/>
  </r>
  <r>
    <s v="ORD04706"/>
    <d v="2026-06-24T00:00:00"/>
    <s v="CUST0155"/>
    <x v="3"/>
    <x v="11"/>
    <n v="2"/>
    <n v="0.1"/>
    <n v="4500"/>
    <n v="1369.42"/>
    <x v="3"/>
    <s v="Delivered"/>
    <n v="2250"/>
    <n v="30.431555555555551"/>
    <s v="Profit"/>
    <s v="Ishaan Sharma"/>
    <x v="0"/>
    <x v="0"/>
    <s v="Bengaluru"/>
    <s v="Karnataka"/>
    <s v="2023-07-08"/>
    <s v="26-35"/>
    <n v="684.71"/>
  </r>
  <r>
    <s v="ORD04707"/>
    <d v="2025-10-01T00:00:00"/>
    <s v="CUST0111"/>
    <x v="0"/>
    <x v="14"/>
    <n v="4"/>
    <n v="0.15"/>
    <n v="1530"/>
    <n v="-595.76"/>
    <x v="0"/>
    <s v="Cancelled"/>
    <n v="382.5"/>
    <n v="-38.938562091503258"/>
    <s v="Loss"/>
    <s v="Akash Verma"/>
    <x v="0"/>
    <x v="1"/>
    <s v="Pune"/>
    <s v="Maharashtra"/>
    <s v="2023-06-12"/>
    <s v="36-50"/>
    <n v="-148.94"/>
  </r>
  <r>
    <s v="ORD04708"/>
    <d v="2026-08-16T00:00:00"/>
    <s v="CUST0560"/>
    <x v="2"/>
    <x v="3"/>
    <n v="5"/>
    <n v="0"/>
    <n v="75000"/>
    <n v="17500"/>
    <x v="2"/>
    <s v="Delivered"/>
    <n v="15000"/>
    <n v="23.333333333333329"/>
    <s v="Profit"/>
    <s v="Rohan Rao"/>
    <x v="0"/>
    <x v="0"/>
    <s v="Bengaluru"/>
    <s v="Karnataka"/>
    <s v="2023-05-29"/>
    <s v="18-25"/>
    <n v="3500"/>
  </r>
  <r>
    <s v="ORD04709"/>
    <d v="2026-05-24T00:00:00"/>
    <s v="CUST0537"/>
    <x v="0"/>
    <x v="14"/>
    <n v="2"/>
    <n v="0.2"/>
    <n v="720"/>
    <n v="69.680000000000007"/>
    <x v="0"/>
    <s v="Delivered"/>
    <n v="360"/>
    <n v="9.6777777777777789"/>
    <s v="Profit"/>
    <s v="Vikram Pillai"/>
    <x v="0"/>
    <x v="0"/>
    <s v="Bengaluru"/>
    <s v="Karnataka"/>
    <s v="2023-11-18"/>
    <s v="26-35"/>
    <n v="34.840000000000003"/>
  </r>
  <r>
    <s v="ORD04710"/>
    <d v="2025-09-17T00:00:00"/>
    <s v="CUST0169"/>
    <x v="3"/>
    <x v="11"/>
    <n v="2"/>
    <n v="0"/>
    <n v="5000"/>
    <n v="1600"/>
    <x v="0"/>
    <s v="Shipped"/>
    <n v="2500"/>
    <n v="32"/>
    <s v="Profit"/>
    <s v="Sneha Bose"/>
    <x v="0"/>
    <x v="0"/>
    <s v="Hyderabad"/>
    <s v="Telangana"/>
    <s v="2024-09-10"/>
    <s v="26-35"/>
    <n v="800"/>
  </r>
  <r>
    <s v="ORD04711"/>
    <d v="2025-09-25T00:00:00"/>
    <s v="CUST0551"/>
    <x v="0"/>
    <x v="6"/>
    <n v="6"/>
    <n v="0.2"/>
    <n v="1680"/>
    <n v="443.56"/>
    <x v="0"/>
    <s v="Delivered"/>
    <n v="280"/>
    <n v="26.402380952380959"/>
    <s v="Profit"/>
    <s v="Ishaan Gupta"/>
    <x v="0"/>
    <x v="3"/>
    <s v="Patna"/>
    <s v="Bihar"/>
    <s v="2025-08-09"/>
    <s v="26-35"/>
    <n v="73.926666666666662"/>
  </r>
  <r>
    <s v="ORD04712"/>
    <d v="2026-05-09T00:00:00"/>
    <s v="CUST0312"/>
    <x v="2"/>
    <x v="9"/>
    <n v="1"/>
    <n v="0.2"/>
    <n v="7200"/>
    <n v="962.81"/>
    <x v="0"/>
    <s v="Delivered"/>
    <n v="7200"/>
    <n v="13.372361111111109"/>
    <s v="Profit"/>
    <s v="Kavya Menon"/>
    <x v="1"/>
    <x v="1"/>
    <s v="Mumbai"/>
    <s v="Maharashtra"/>
    <s v="2023-05-26"/>
    <s v="26-35"/>
    <n v="962.81"/>
  </r>
  <r>
    <s v="ORD04713"/>
    <d v="2025-12-05T00:00:00"/>
    <s v="CUST0483"/>
    <x v="3"/>
    <x v="10"/>
    <n v="2"/>
    <n v="0"/>
    <n v="110000"/>
    <n v="18000"/>
    <x v="3"/>
    <s v="Delivered"/>
    <n v="55000"/>
    <n v="16.36363636363636"/>
    <s v="Profit"/>
    <s v="Harini Rao"/>
    <x v="2"/>
    <x v="0"/>
    <s v="Bengaluru"/>
    <s v="Karnataka"/>
    <s v="2025-12-26"/>
    <s v="18-25"/>
    <n v="9000"/>
  </r>
  <r>
    <s v="ORD04714"/>
    <d v="2026-02-11T00:00:00"/>
    <s v="CUST0577"/>
    <x v="0"/>
    <x v="14"/>
    <n v="1"/>
    <n v="0.1"/>
    <n v="405"/>
    <n v="88.37"/>
    <x v="1"/>
    <s v="Delivered"/>
    <n v="405"/>
    <n v="21.819753086419759"/>
    <s v="Profit"/>
    <s v="Lakshmi Joshi"/>
    <x v="1"/>
    <x v="1"/>
    <s v="Ahmedabad"/>
    <s v="Gujarat"/>
    <s v="2024-09-03"/>
    <s v="26-35"/>
    <n v="88.37"/>
  </r>
  <r>
    <s v="ORD04715"/>
    <d v="2025-10-17T00:00:00"/>
    <s v="CUST0462"/>
    <x v="0"/>
    <x v="6"/>
    <n v="5"/>
    <n v="0.05"/>
    <n v="1662.5"/>
    <n v="-411.5"/>
    <x v="3"/>
    <s v="Cancelled"/>
    <n v="332.5"/>
    <n v="-24.751879699248121"/>
    <s v="Loss"/>
    <s v="Lakshmi Iyer"/>
    <x v="0"/>
    <x v="2"/>
    <s v="Delhi"/>
    <s v="Delhi"/>
    <s v="2025-05-06"/>
    <s v="36-50"/>
    <n v="-82.3"/>
  </r>
  <r>
    <s v="ORD04716"/>
    <d v="2026-05-27T00:00:00"/>
    <s v="CUST0166"/>
    <x v="2"/>
    <x v="2"/>
    <n v="3"/>
    <n v="0.15"/>
    <n v="33150"/>
    <n v="6627.04"/>
    <x v="3"/>
    <s v="Delivered"/>
    <n v="11050"/>
    <n v="19.99107088989442"/>
    <s v="Profit"/>
    <s v="Arjun Gupta"/>
    <x v="2"/>
    <x v="0"/>
    <s v="Chennai"/>
    <s v="Tamil Nadu"/>
    <s v="2024-10-19"/>
    <s v="18-25"/>
    <n v="2209.0133333333329"/>
  </r>
  <r>
    <s v="ORD04717"/>
    <d v="2026-08-28T00:00:00"/>
    <s v="CUST0116"/>
    <x v="2"/>
    <x v="9"/>
    <n v="2"/>
    <n v="0.15"/>
    <n v="15300"/>
    <n v="2709.33"/>
    <x v="1"/>
    <s v="Delivered"/>
    <n v="7650"/>
    <n v="17.70803921568627"/>
    <s v="Profit"/>
    <s v="Meera Gupta"/>
    <x v="1"/>
    <x v="3"/>
    <s v="Patna"/>
    <s v="Bihar"/>
    <s v="2023-01-02"/>
    <s v="26-35"/>
    <n v="1354.665"/>
  </r>
  <r>
    <s v="ORD04718"/>
    <d v="2025-12-07T00:00:00"/>
    <s v="CUST0408"/>
    <x v="3"/>
    <x v="10"/>
    <n v="1"/>
    <n v="0.15"/>
    <n v="46750"/>
    <n v="4434.3100000000004"/>
    <x v="3"/>
    <s v="Delivered"/>
    <n v="46750"/>
    <n v="9.4851550802139037"/>
    <s v="Profit"/>
    <s v="Akash Joshi"/>
    <x v="1"/>
    <x v="1"/>
    <s v="Ahmedabad"/>
    <s v="Gujarat"/>
    <s v="2025-10-05"/>
    <s v="26-35"/>
    <n v="4434.3100000000004"/>
  </r>
  <r>
    <s v="ORD04719"/>
    <d v="2026-04-06T00:00:00"/>
    <s v="CUST0214"/>
    <x v="0"/>
    <x v="0"/>
    <n v="1"/>
    <n v="0.05"/>
    <n v="13300"/>
    <n v="2253.14"/>
    <x v="2"/>
    <s v="Delivered"/>
    <n v="13300"/>
    <n v="16.940902255639099"/>
    <s v="Profit"/>
    <s v="Ananya Rao"/>
    <x v="0"/>
    <x v="0"/>
    <s v="Hyderabad"/>
    <s v="Telangana"/>
    <s v="2023-07-14"/>
    <s v="51+"/>
    <n v="2253.14"/>
  </r>
  <r>
    <s v="ORD04720"/>
    <d v="2025-07-24T00:00:00"/>
    <s v="CUST0299"/>
    <x v="3"/>
    <x v="11"/>
    <n v="1"/>
    <n v="0.1"/>
    <n v="2250"/>
    <n v="-737.32"/>
    <x v="0"/>
    <s v="Cancelled"/>
    <n v="2250"/>
    <n v="-32.769777777777783"/>
    <s v="Loss"/>
    <s v="Diya Das"/>
    <x v="0"/>
    <x v="1"/>
    <s v="Ahmedabad"/>
    <s v="Gujarat"/>
    <s v="2023-09-07"/>
    <s v="36-50"/>
    <n v="-737.32"/>
  </r>
  <r>
    <s v="ORD04721"/>
    <d v="2026-03-16T00:00:00"/>
    <s v="CUST0252"/>
    <x v="2"/>
    <x v="9"/>
    <n v="1"/>
    <n v="0.1"/>
    <n v="8100"/>
    <n v="1740.54"/>
    <x v="3"/>
    <s v="Shipped"/>
    <n v="8100"/>
    <n v="21.488148148148149"/>
    <s v="Profit"/>
    <s v="Ishaan Pillai"/>
    <x v="0"/>
    <x v="0"/>
    <s v="Coimbatore"/>
    <s v="Tamil Nadu"/>
    <s v="2024-06-19"/>
    <s v="36-50"/>
    <n v="1740.54"/>
  </r>
  <r>
    <s v="ORD04722"/>
    <d v="2025-10-21T00:00:00"/>
    <s v="CUST0305"/>
    <x v="3"/>
    <x v="4"/>
    <n v="2"/>
    <n v="0.2"/>
    <n v="28800"/>
    <n v="3346.05"/>
    <x v="2"/>
    <s v="Delivered"/>
    <n v="14400"/>
    <n v="11.618229166666669"/>
    <s v="Profit"/>
    <s v="Nisha Mishra"/>
    <x v="0"/>
    <x v="2"/>
    <s v="Jaipur"/>
    <s v="Rajasthan"/>
    <s v="2024-11-15"/>
    <s v="26-35"/>
    <n v="1673.0250000000001"/>
  </r>
  <r>
    <s v="ORD04723"/>
    <d v="2026-05-16T00:00:00"/>
    <s v="CUST0077"/>
    <x v="3"/>
    <x v="8"/>
    <n v="4"/>
    <n v="0"/>
    <n v="18000"/>
    <n v="6000"/>
    <x v="3"/>
    <s v="Delivered"/>
    <n v="4500"/>
    <n v="33.333333333333329"/>
    <s v="Profit"/>
    <s v="Aarav Patel"/>
    <x v="2"/>
    <x v="3"/>
    <s v="Bhubaneswar"/>
    <s v="Odisha"/>
    <s v="2023-01-09"/>
    <s v="36-50"/>
    <n v="1500"/>
  </r>
  <r>
    <s v="ORD04724"/>
    <d v="2026-07-11T00:00:00"/>
    <s v="CUST0100"/>
    <x v="2"/>
    <x v="9"/>
    <n v="10"/>
    <n v="0"/>
    <n v="90000"/>
    <n v="23000"/>
    <x v="0"/>
    <s v="Delivered"/>
    <n v="9000"/>
    <n v="25.55555555555555"/>
    <s v="Profit"/>
    <s v="Priya Singh"/>
    <x v="1"/>
    <x v="0"/>
    <s v="Chennai"/>
    <s v="Tamil Nadu"/>
    <s v="2023-03-14"/>
    <s v="26-35"/>
    <n v="2300"/>
  </r>
  <r>
    <s v="ORD04725"/>
    <d v="2026-04-07T00:00:00"/>
    <s v="CUST0250"/>
    <x v="1"/>
    <x v="13"/>
    <n v="4"/>
    <n v="0.1"/>
    <n v="15120"/>
    <n v="3692.11"/>
    <x v="0"/>
    <s v="Delivered"/>
    <n v="3780"/>
    <n v="24.418716931216931"/>
    <s v="Profit"/>
    <s v="Sanjay Das"/>
    <x v="1"/>
    <x v="1"/>
    <s v="Ahmedabad"/>
    <s v="Gujarat"/>
    <s v="2024-08-01"/>
    <s v="26-35"/>
    <n v="923.02750000000003"/>
  </r>
  <r>
    <s v="ORD04726"/>
    <d v="2026-02-15T00:00:00"/>
    <s v="CUST0193"/>
    <x v="0"/>
    <x v="6"/>
    <n v="4"/>
    <n v="0.1"/>
    <n v="1260"/>
    <n v="410.11"/>
    <x v="1"/>
    <s v="Delivered"/>
    <n v="315"/>
    <n v="32.548412698412697"/>
    <s v="Profit"/>
    <s v="Ananya Gupta"/>
    <x v="0"/>
    <x v="1"/>
    <s v="Pune"/>
    <s v="Maharashtra"/>
    <s v="2024-05-12"/>
    <s v="36-50"/>
    <n v="102.5275"/>
  </r>
  <r>
    <s v="ORD04727"/>
    <d v="2026-01-15T00:00:00"/>
    <s v="CUST0399"/>
    <x v="3"/>
    <x v="8"/>
    <n v="3"/>
    <n v="0.1"/>
    <n v="12150"/>
    <n v="3598.58"/>
    <x v="2"/>
    <s v="Delivered"/>
    <n v="4050"/>
    <n v="29.61794238683127"/>
    <s v="Profit"/>
    <s v="Kavya Iyer"/>
    <x v="0"/>
    <x v="2"/>
    <s v="Lucknow"/>
    <s v="Uttar Pradesh"/>
    <s v="2023-10-24"/>
    <s v="26-35"/>
    <n v="1199.5266666666671"/>
  </r>
  <r>
    <s v="ORD04728"/>
    <d v="2025-08-29T00:00:00"/>
    <s v="CUST0396"/>
    <x v="1"/>
    <x v="1"/>
    <n v="4"/>
    <n v="0.05"/>
    <n v="6840"/>
    <n v="2388.08"/>
    <x v="3"/>
    <s v="Shipped"/>
    <n v="1710"/>
    <n v="34.913450292397663"/>
    <s v="Profit"/>
    <s v="Rahul Mishra"/>
    <x v="0"/>
    <x v="0"/>
    <s v="Bengaluru"/>
    <s v="Karnataka"/>
    <s v="2023-05-26"/>
    <s v="18-25"/>
    <n v="597.02"/>
  </r>
  <r>
    <s v="ORD04729"/>
    <d v="2025-12-05T00:00:00"/>
    <s v="CUST0374"/>
    <x v="0"/>
    <x v="0"/>
    <n v="5"/>
    <n v="0.2"/>
    <n v="56000"/>
    <n v="-31911.65"/>
    <x v="2"/>
    <s v="Cancelled"/>
    <n v="11200"/>
    <n v="-56.985089285714288"/>
    <s v="Loss"/>
    <s v="Ishaan Chopra"/>
    <x v="0"/>
    <x v="0"/>
    <s v="Bengaluru"/>
    <s v="Karnataka"/>
    <s v="2024-09-12"/>
    <s v="18-25"/>
    <n v="-6382.33"/>
  </r>
  <r>
    <s v="ORD04730"/>
    <d v="2026-02-04T00:00:00"/>
    <s v="CUST0491"/>
    <x v="1"/>
    <x v="1"/>
    <n v="2"/>
    <n v="0"/>
    <n v="3600"/>
    <n v="1300"/>
    <x v="1"/>
    <s v="Delivered"/>
    <n v="1800"/>
    <n v="36.111111111111107"/>
    <s v="Profit"/>
    <s v="Ishaan Chopra"/>
    <x v="1"/>
    <x v="2"/>
    <s v="Chandigarh"/>
    <s v="Chandigarh"/>
    <s v="2024-04-16"/>
    <s v="18-25"/>
    <n v="650"/>
  </r>
  <r>
    <s v="ORD04731"/>
    <d v="2026-03-26T00:00:00"/>
    <s v="CUST0449"/>
    <x v="3"/>
    <x v="4"/>
    <n v="2"/>
    <n v="0"/>
    <n v="36000"/>
    <n v="7000"/>
    <x v="3"/>
    <s v="Delivered"/>
    <n v="18000"/>
    <n v="19.44444444444445"/>
    <s v="Profit"/>
    <s v="Ishaan Kulkarni"/>
    <x v="0"/>
    <x v="1"/>
    <s v="Pune"/>
    <s v="Maharashtra"/>
    <s v="2023-06-12"/>
    <s v="36-50"/>
    <n v="3500"/>
  </r>
  <r>
    <s v="ORD04732"/>
    <d v="2025-11-10T00:00:00"/>
    <s v="CUST0152"/>
    <x v="3"/>
    <x v="8"/>
    <n v="5"/>
    <n v="0"/>
    <n v="22500"/>
    <n v="7500"/>
    <x v="1"/>
    <s v="Delivered"/>
    <n v="4500"/>
    <n v="33.333333333333329"/>
    <s v="Profit"/>
    <s v="Harini Rao"/>
    <x v="0"/>
    <x v="0"/>
    <s v="Coimbatore"/>
    <s v="Tamil Nadu"/>
    <s v="2025-12-02"/>
    <s v="51+"/>
    <n v="1500"/>
  </r>
  <r>
    <s v="ORD04733"/>
    <d v="2026-04-18T00:00:00"/>
    <s v="CUST0454"/>
    <x v="3"/>
    <x v="4"/>
    <n v="1"/>
    <n v="0"/>
    <n v="18000"/>
    <n v="3500"/>
    <x v="0"/>
    <s v="Delivered"/>
    <n v="18000"/>
    <n v="19.44444444444445"/>
    <s v="Profit"/>
    <s v="Kavya Pillai"/>
    <x v="2"/>
    <x v="2"/>
    <s v="Delhi"/>
    <s v="Delhi"/>
    <s v="2024-02-07"/>
    <s v="26-35"/>
    <n v="3500"/>
  </r>
  <r>
    <s v="ORD04734"/>
    <d v="2025-12-18T00:00:00"/>
    <s v="CUST0088"/>
    <x v="2"/>
    <x v="5"/>
    <n v="1"/>
    <n v="0"/>
    <n v="11000"/>
    <n v="2600"/>
    <x v="3"/>
    <s v="Delivered"/>
    <n v="11000"/>
    <n v="23.63636363636364"/>
    <s v="Profit"/>
    <s v="Sneha Verma"/>
    <x v="1"/>
    <x v="0"/>
    <s v="Chennai"/>
    <s v="Tamil Nadu"/>
    <s v="2023-06-12"/>
    <s v="26-35"/>
    <n v="2600"/>
  </r>
  <r>
    <s v="ORD04735"/>
    <d v="2025-11-22T00:00:00"/>
    <s v="CUST0444"/>
    <x v="3"/>
    <x v="4"/>
    <n v="1"/>
    <n v="0.1"/>
    <n v="16200"/>
    <n v="2547.0100000000002"/>
    <x v="2"/>
    <s v="Delivered"/>
    <n v="16200"/>
    <n v="15.722283950617291"/>
    <s v="Profit"/>
    <s v="Harini Naidu"/>
    <x v="0"/>
    <x v="3"/>
    <s v="Guwahati"/>
    <s v="Assam"/>
    <s v="2023-05-21"/>
    <s v="18-25"/>
    <n v="2547.0100000000002"/>
  </r>
  <r>
    <s v="ORD04736"/>
    <d v="2026-08-27T00:00:00"/>
    <s v="CUST0486"/>
    <x v="1"/>
    <x v="15"/>
    <n v="2"/>
    <n v="0.05"/>
    <n v="4180"/>
    <n v="1361.02"/>
    <x v="0"/>
    <s v="Shipped"/>
    <n v="2090"/>
    <n v="32.560287081339709"/>
    <s v="Profit"/>
    <s v="Shreya Chopra"/>
    <x v="0"/>
    <x v="1"/>
    <s v="Ahmedabad"/>
    <s v="Gujarat"/>
    <s v="2025-10-26"/>
    <s v="18-25"/>
    <n v="680.51"/>
  </r>
  <r>
    <s v="ORD04737"/>
    <d v="2025-07-16T00:00:00"/>
    <s v="CUST0459"/>
    <x v="3"/>
    <x v="10"/>
    <n v="3"/>
    <n v="0"/>
    <n v="165000"/>
    <n v="27000"/>
    <x v="1"/>
    <s v="Delivered"/>
    <n v="55000"/>
    <n v="16.36363636363636"/>
    <s v="Profit"/>
    <s v="Nisha Das"/>
    <x v="0"/>
    <x v="2"/>
    <s v="Chandigarh"/>
    <s v="Chandigarh"/>
    <s v="2024-10-03"/>
    <s v="26-35"/>
    <n v="9000"/>
  </r>
  <r>
    <s v="ORD04738"/>
    <d v="2025-09-27T00:00:00"/>
    <s v="CUST0170"/>
    <x v="2"/>
    <x v="9"/>
    <n v="1"/>
    <n v="0"/>
    <n v="9000"/>
    <n v="2300"/>
    <x v="2"/>
    <s v="Delivered"/>
    <n v="9000"/>
    <n v="25.55555555555555"/>
    <s v="Profit"/>
    <s v="Meera Iyer"/>
    <x v="2"/>
    <x v="0"/>
    <s v="Hyderabad"/>
    <s v="Telangana"/>
    <s v="2025-04-02"/>
    <s v="36-50"/>
    <n v="2300"/>
  </r>
  <r>
    <s v="ORD04739"/>
    <d v="2026-05-02T00:00:00"/>
    <s v="CUST0447"/>
    <x v="3"/>
    <x v="4"/>
    <n v="2"/>
    <n v="0.1"/>
    <n v="32400"/>
    <n v="-20590.849999999999"/>
    <x v="2"/>
    <s v="Returned"/>
    <n v="16200"/>
    <n v="-63.552006172839498"/>
    <s v="Loss"/>
    <s v="Aarav Iyer"/>
    <x v="2"/>
    <x v="0"/>
    <s v="Hyderabad"/>
    <s v="Telangana"/>
    <s v="2024-09-12"/>
    <s v="36-50"/>
    <n v="-10295.424999999999"/>
  </r>
  <r>
    <s v="ORD04740"/>
    <d v="2026-04-19T00:00:00"/>
    <s v="CUST0120"/>
    <x v="1"/>
    <x v="13"/>
    <n v="4"/>
    <n v="0.1"/>
    <n v="15120"/>
    <n v="3593.46"/>
    <x v="3"/>
    <s v="Delivered"/>
    <n v="3780"/>
    <n v="23.766269841269839"/>
    <s v="Profit"/>
    <s v="Sanjay Sharma"/>
    <x v="2"/>
    <x v="0"/>
    <s v="Bengaluru"/>
    <s v="Karnataka"/>
    <s v="2024-05-20"/>
    <s v="26-35"/>
    <n v="898.36500000000001"/>
  </r>
  <r>
    <s v="ORD04741"/>
    <d v="2026-05-14T00:00:00"/>
    <s v="CUST0281"/>
    <x v="1"/>
    <x v="15"/>
    <n v="5"/>
    <n v="0.1"/>
    <n v="9900"/>
    <n v="3114.52"/>
    <x v="3"/>
    <s v="Shipped"/>
    <n v="1980"/>
    <n v="31.45979797979798"/>
    <s v="Profit"/>
    <s v="Divya Reddy"/>
    <x v="0"/>
    <x v="0"/>
    <s v="Coimbatore"/>
    <s v="Tamil Nadu"/>
    <s v="2025-04-27"/>
    <s v="36-50"/>
    <n v="622.904"/>
  </r>
  <r>
    <s v="ORD04742"/>
    <d v="2026-08-15T00:00:00"/>
    <s v="CUST0148"/>
    <x v="0"/>
    <x v="14"/>
    <n v="3"/>
    <n v="0.05"/>
    <n v="1282.5"/>
    <n v="298.8"/>
    <x v="0"/>
    <s v="Delivered"/>
    <n v="427.5"/>
    <n v="23.298245614035089"/>
    <s v="Profit"/>
    <s v="Sanjay Mishra"/>
    <x v="0"/>
    <x v="3"/>
    <s v="Bhubaneswar"/>
    <s v="Odisha"/>
    <s v="2023-09-04"/>
    <s v="51+"/>
    <n v="99.600000000000009"/>
  </r>
  <r>
    <s v="ORD04743"/>
    <d v="2025-09-20T00:00:00"/>
    <s v="CUST0368"/>
    <x v="2"/>
    <x v="5"/>
    <n v="2"/>
    <n v="0.05"/>
    <n v="20900"/>
    <n v="4405.84"/>
    <x v="0"/>
    <s v="Delivered"/>
    <n v="10450"/>
    <n v="21.080574162679429"/>
    <s v="Profit"/>
    <s v="Ananya Reddy"/>
    <x v="1"/>
    <x v="3"/>
    <s v="Patna"/>
    <s v="Bihar"/>
    <s v="2025-07-31"/>
    <s v="26-35"/>
    <n v="2202.92"/>
  </r>
  <r>
    <s v="ORD04744"/>
    <d v="2025-11-06T00:00:00"/>
    <s v="CUST0235"/>
    <x v="1"/>
    <x v="12"/>
    <n v="5"/>
    <n v="0.2"/>
    <n v="5600"/>
    <n v="1711.97"/>
    <x v="3"/>
    <s v="Delivered"/>
    <n v="1120"/>
    <n v="30.570892857142859"/>
    <s v="Profit"/>
    <s v="Harini Gupta"/>
    <x v="0"/>
    <x v="1"/>
    <s v="Pune"/>
    <s v="Maharashtra"/>
    <s v="2024-04-09"/>
    <s v="26-35"/>
    <n v="342.39400000000001"/>
  </r>
  <r>
    <s v="ORD04745"/>
    <d v="2026-04-14T00:00:00"/>
    <s v="CUST0114"/>
    <x v="1"/>
    <x v="1"/>
    <n v="3"/>
    <n v="0"/>
    <n v="5400"/>
    <n v="1950"/>
    <x v="1"/>
    <s v="Delivered"/>
    <n v="1800"/>
    <n v="36.111111111111107"/>
    <s v="Profit"/>
    <s v="Aarav Reddy"/>
    <x v="1"/>
    <x v="0"/>
    <s v="Coimbatore"/>
    <s v="Tamil Nadu"/>
    <s v="2023-11-15"/>
    <s v="18-25"/>
    <n v="650"/>
  </r>
  <r>
    <s v="ORD04746"/>
    <d v="2026-07-22T00:00:00"/>
    <s v="CUST0052"/>
    <x v="1"/>
    <x v="15"/>
    <n v="5"/>
    <n v="0.15"/>
    <n v="9350"/>
    <n v="2606.48"/>
    <x v="2"/>
    <s v="Delivered"/>
    <n v="1870"/>
    <n v="27.876791443850269"/>
    <s v="Profit"/>
    <s v="Arjun Verma"/>
    <x v="2"/>
    <x v="0"/>
    <s v="Lucknow"/>
    <s v="Uttar Pradesh"/>
    <s v="2023-11-01"/>
    <s v="26-35"/>
    <n v="521.29600000000005"/>
  </r>
  <r>
    <s v="ORD04747"/>
    <d v="2025-08-21T00:00:00"/>
    <s v="CUST0008"/>
    <x v="0"/>
    <x v="14"/>
    <n v="2"/>
    <n v="0.15"/>
    <n v="765"/>
    <n v="157.66999999999999"/>
    <x v="3"/>
    <s v="Delivered"/>
    <n v="382.5"/>
    <n v="20.610457516339871"/>
    <s v="Profit"/>
    <s v="Vikram Menon"/>
    <x v="2"/>
    <x v="2"/>
    <s v="Jaipur"/>
    <s v="Rajasthan"/>
    <s v="2023-06-25"/>
    <s v="36-50"/>
    <n v="78.834999999999994"/>
  </r>
  <r>
    <s v="ORD04748"/>
    <d v="2025-10-27T00:00:00"/>
    <s v="CUST0284"/>
    <x v="0"/>
    <x v="7"/>
    <n v="2"/>
    <n v="0.1"/>
    <n v="1620"/>
    <n v="444.04"/>
    <x v="3"/>
    <s v="Delivered"/>
    <n v="810"/>
    <n v="27.409876543209879"/>
    <s v="Profit"/>
    <s v="Pooja Mehta"/>
    <x v="0"/>
    <x v="0"/>
    <s v="Chennai"/>
    <s v="Tamil Nadu"/>
    <s v="2024-07-24"/>
    <s v="36-50"/>
    <n v="222.02"/>
  </r>
  <r>
    <s v="ORD04749"/>
    <d v="2026-08-31T00:00:00"/>
    <s v="CUST0503"/>
    <x v="1"/>
    <x v="13"/>
    <n v="6"/>
    <n v="0.1"/>
    <n v="22680"/>
    <n v="6002.9"/>
    <x v="2"/>
    <s v="Delivered"/>
    <n v="3780"/>
    <n v="26.467813051146379"/>
    <s v="Profit"/>
    <s v="Manoj Nair"/>
    <x v="2"/>
    <x v="0"/>
    <s v="Hyderabad"/>
    <s v="Telangana"/>
    <s v="2025-08-16"/>
    <s v="51+"/>
    <n v="1000.483333333333"/>
  </r>
  <r>
    <s v="ORD04750"/>
    <d v="2026-05-16T00:00:00"/>
    <s v="CUST0303"/>
    <x v="3"/>
    <x v="11"/>
    <n v="4"/>
    <n v="0.1"/>
    <n v="9000"/>
    <n v="2354.65"/>
    <x v="2"/>
    <s v="Delivered"/>
    <n v="2250"/>
    <n v="26.16277777777778"/>
    <s v="Profit"/>
    <s v="Aarav Sharma"/>
    <x v="1"/>
    <x v="0"/>
    <s v="Bengaluru"/>
    <s v="Karnataka"/>
    <s v="2024-12-30"/>
    <s v="26-35"/>
    <n v="588.66250000000002"/>
  </r>
  <r>
    <s v="ORD04751"/>
    <d v="2026-08-28T00:00:00"/>
    <s v="CUST0315"/>
    <x v="3"/>
    <x v="8"/>
    <n v="2"/>
    <n v="0.2"/>
    <n v="7200"/>
    <n v="1680.46"/>
    <x v="1"/>
    <s v="Delivered"/>
    <n v="3600"/>
    <n v="23.339722222222221"/>
    <s v="Profit"/>
    <s v="Harini Verma"/>
    <x v="0"/>
    <x v="0"/>
    <s v="Coimbatore"/>
    <s v="Tamil Nadu"/>
    <s v="2024-10-22"/>
    <s v="18-25"/>
    <n v="840.23"/>
  </r>
  <r>
    <s v="ORD04752"/>
    <d v="2026-05-14T00:00:00"/>
    <s v="CUST0095"/>
    <x v="3"/>
    <x v="4"/>
    <n v="5"/>
    <n v="0.1"/>
    <n v="81000"/>
    <n v="11925.16"/>
    <x v="3"/>
    <s v="Shipped"/>
    <n v="16200"/>
    <n v="14.72241975308642"/>
    <s v="Profit"/>
    <s v="Manoj Rao"/>
    <x v="1"/>
    <x v="3"/>
    <s v="Guwahati"/>
    <s v="Assam"/>
    <s v="2024-09-25"/>
    <s v="36-50"/>
    <n v="2385.0320000000002"/>
  </r>
  <r>
    <s v="ORD04753"/>
    <d v="2026-02-26T00:00:00"/>
    <s v="CUST0516"/>
    <x v="0"/>
    <x v="0"/>
    <n v="3"/>
    <n v="0.1"/>
    <n v="37800"/>
    <n v="5533.68"/>
    <x v="2"/>
    <s v="Delivered"/>
    <n v="12600"/>
    <n v="14.63936507936508"/>
    <s v="Profit"/>
    <s v="Rahul Mishra"/>
    <x v="1"/>
    <x v="0"/>
    <s v="Hyderabad"/>
    <s v="Telangana"/>
    <s v="2024-01-31"/>
    <s v="26-35"/>
    <n v="1844.56"/>
  </r>
  <r>
    <s v="ORD04754"/>
    <d v="2025-09-08T00:00:00"/>
    <s v="CUST0568"/>
    <x v="0"/>
    <x v="14"/>
    <n v="4"/>
    <n v="0"/>
    <n v="1800"/>
    <n v="440"/>
    <x v="1"/>
    <s v="Delivered"/>
    <n v="450"/>
    <n v="24.444444444444439"/>
    <s v="Profit"/>
    <s v="Sanjay Reddy"/>
    <x v="0"/>
    <x v="2"/>
    <s v="Chandigarh"/>
    <s v="Chandigarh"/>
    <s v="2023-02-19"/>
    <s v="26-35"/>
    <n v="110"/>
  </r>
  <r>
    <s v="ORD04755"/>
    <d v="2025-09-03T00:00:00"/>
    <s v="CUST0089"/>
    <x v="2"/>
    <x v="5"/>
    <n v="5"/>
    <n v="0.05"/>
    <n v="52250"/>
    <n v="11168.86"/>
    <x v="1"/>
    <s v="Shipped"/>
    <n v="10450"/>
    <n v="21.375808612440188"/>
    <s v="Profit"/>
    <s v="Akash Gupta"/>
    <x v="2"/>
    <x v="2"/>
    <s v="Jaipur"/>
    <s v="Rajasthan"/>
    <s v="2025-10-05"/>
    <s v="26-35"/>
    <n v="2233.7719999999999"/>
  </r>
  <r>
    <s v="ORD04756"/>
    <d v="2026-08-06T00:00:00"/>
    <s v="CUST0434"/>
    <x v="0"/>
    <x v="14"/>
    <n v="2"/>
    <n v="0.1"/>
    <n v="810"/>
    <n v="155.16999999999999"/>
    <x v="1"/>
    <s v="Delivered"/>
    <n v="405"/>
    <n v="19.156790123456791"/>
    <s v="Profit"/>
    <s v="Meera Nair"/>
    <x v="0"/>
    <x v="2"/>
    <s v="Delhi"/>
    <s v="Delhi"/>
    <s v="2023-06-30"/>
    <s v="51+"/>
    <n v="77.584999999999994"/>
  </r>
  <r>
    <s v="ORD04757"/>
    <d v="2026-07-31T00:00:00"/>
    <s v="CUST0256"/>
    <x v="2"/>
    <x v="5"/>
    <n v="1"/>
    <n v="0.1"/>
    <n v="9900"/>
    <n v="1849.04"/>
    <x v="3"/>
    <s v="Delivered"/>
    <n v="9900"/>
    <n v="18.677171717171721"/>
    <s v="Profit"/>
    <s v="Karthik Singh"/>
    <x v="0"/>
    <x v="0"/>
    <s v="Chennai"/>
    <s v="Tamil Nadu"/>
    <s v="2024-11-27"/>
    <s v="26-35"/>
    <n v="1849.04"/>
  </r>
  <r>
    <s v="ORD04758"/>
    <d v="2026-06-06T00:00:00"/>
    <s v="CUST0543"/>
    <x v="0"/>
    <x v="6"/>
    <n v="1"/>
    <n v="0.05"/>
    <n v="332.5"/>
    <n v="105.64"/>
    <x v="0"/>
    <s v="Shipped"/>
    <n v="332.5"/>
    <n v="31.771428571428569"/>
    <s v="Profit"/>
    <s v="Ananya Iyer"/>
    <x v="1"/>
    <x v="0"/>
    <s v="Chennai"/>
    <s v="Tamil Nadu"/>
    <s v="2025-10-16"/>
    <s v="26-35"/>
    <n v="105.64"/>
  </r>
  <r>
    <s v="ORD04759"/>
    <d v="2026-05-25T00:00:00"/>
    <s v="CUST0017"/>
    <x v="2"/>
    <x v="5"/>
    <n v="10"/>
    <n v="0.05"/>
    <n v="104500"/>
    <n v="-21283.74"/>
    <x v="3"/>
    <s v="Returned"/>
    <n v="10450"/>
    <n v="-20.367215311004781"/>
    <s v="Loss"/>
    <s v="Varun Rao"/>
    <x v="0"/>
    <x v="1"/>
    <s v="Surat"/>
    <s v="Gujarat"/>
    <s v="2025-10-21"/>
    <s v="26-35"/>
    <n v="-2128.3739999999998"/>
  </r>
  <r>
    <s v="ORD04760"/>
    <d v="2026-07-15T00:00:00"/>
    <s v="CUST0588"/>
    <x v="1"/>
    <x v="15"/>
    <n v="3"/>
    <n v="0"/>
    <n v="6600"/>
    <n v="2250"/>
    <x v="0"/>
    <s v="Delivered"/>
    <n v="2200"/>
    <n v="34.090909090909093"/>
    <s v="Profit"/>
    <s v="Ananya Mishra"/>
    <x v="0"/>
    <x v="3"/>
    <s v="Kolkata"/>
    <s v="West Bengal"/>
    <s v="2025-02-04"/>
    <s v="26-35"/>
    <n v="750"/>
  </r>
  <r>
    <s v="ORD04761"/>
    <d v="2026-01-31T00:00:00"/>
    <s v="CUST0298"/>
    <x v="0"/>
    <x v="6"/>
    <n v="1"/>
    <n v="0"/>
    <n v="350"/>
    <n v="-38.79"/>
    <x v="2"/>
    <s v="Returned"/>
    <n v="350"/>
    <n v="-11.08285714285714"/>
    <s v="Loss"/>
    <s v="Diya Joshi"/>
    <x v="0"/>
    <x v="0"/>
    <s v="Chennai"/>
    <s v="Tamil Nadu"/>
    <s v="2025-01-10"/>
    <s v="18-25"/>
    <n v="-38.79"/>
  </r>
  <r>
    <s v="ORD04762"/>
    <d v="2025-10-13T00:00:00"/>
    <s v="CUST0049"/>
    <x v="0"/>
    <x v="7"/>
    <n v="3"/>
    <n v="0"/>
    <n v="2700"/>
    <n v="840"/>
    <x v="3"/>
    <s v="Delivered"/>
    <n v="900"/>
    <n v="31.111111111111111"/>
    <s v="Profit"/>
    <s v="Lakshmi Kulkarni"/>
    <x v="0"/>
    <x v="1"/>
    <s v="Ahmedabad"/>
    <s v="Gujarat"/>
    <s v="2023-01-08"/>
    <s v="26-35"/>
    <n v="280"/>
  </r>
  <r>
    <s v="ORD04763"/>
    <d v="2025-12-26T00:00:00"/>
    <s v="CUST0007"/>
    <x v="2"/>
    <x v="9"/>
    <n v="3"/>
    <n v="0"/>
    <n v="27000"/>
    <n v="6900"/>
    <x v="3"/>
    <s v="Delivered"/>
    <n v="9000"/>
    <n v="25.55555555555555"/>
    <s v="Profit"/>
    <s v="Harini Khan"/>
    <x v="0"/>
    <x v="0"/>
    <s v="Bengaluru"/>
    <s v="Karnataka"/>
    <s v="2025-07-02"/>
    <s v="36-50"/>
    <n v="2300"/>
  </r>
  <r>
    <s v="ORD04764"/>
    <d v="2026-02-28T00:00:00"/>
    <s v="CUST0517"/>
    <x v="0"/>
    <x v="0"/>
    <n v="4"/>
    <n v="0.05"/>
    <n v="53200"/>
    <n v="8866.8799999999992"/>
    <x v="0"/>
    <s v="Delivered"/>
    <n v="13300"/>
    <n v="16.66706766917293"/>
    <s v="Profit"/>
    <s v="Diya Iyer"/>
    <x v="2"/>
    <x v="1"/>
    <s v="Pune"/>
    <s v="Maharashtra"/>
    <s v="2024-05-04"/>
    <s v="26-35"/>
    <n v="2216.7199999999998"/>
  </r>
  <r>
    <s v="ORD04765"/>
    <d v="2025-08-13T00:00:00"/>
    <s v="CUST0121"/>
    <x v="2"/>
    <x v="2"/>
    <n v="4"/>
    <n v="0"/>
    <n v="52000"/>
    <n v="-21028.84"/>
    <x v="0"/>
    <s v="Cancelled"/>
    <n v="13000"/>
    <n v="-40.440076923076923"/>
    <s v="Loss"/>
    <s v="Meera Menon"/>
    <x v="0"/>
    <x v="0"/>
    <s v="Bengaluru"/>
    <s v="Karnataka"/>
    <s v="2023-11-16"/>
    <s v="26-35"/>
    <n v="-5257.21"/>
  </r>
  <r>
    <s v="ORD04766"/>
    <d v="2025-10-06T00:00:00"/>
    <s v="CUST0163"/>
    <x v="0"/>
    <x v="0"/>
    <n v="4"/>
    <n v="0.05"/>
    <n v="53200"/>
    <n v="8867.49"/>
    <x v="0"/>
    <s v="Delivered"/>
    <n v="13300"/>
    <n v="16.668214285714281"/>
    <s v="Profit"/>
    <s v="Rohan Iyer"/>
    <x v="2"/>
    <x v="2"/>
    <s v="Jaipur"/>
    <s v="Rajasthan"/>
    <s v="2024-05-11"/>
    <s v="18-25"/>
    <n v="2216.8724999999999"/>
  </r>
  <r>
    <s v="ORD04767"/>
    <d v="2026-04-03T00:00:00"/>
    <s v="CUST0573"/>
    <x v="0"/>
    <x v="14"/>
    <n v="4"/>
    <n v="0.05"/>
    <n v="1710"/>
    <n v="368.68"/>
    <x v="1"/>
    <s v="Shipped"/>
    <n v="427.5"/>
    <n v="21.56023391812866"/>
    <s v="Profit"/>
    <s v="Aditya Pillai"/>
    <x v="0"/>
    <x v="1"/>
    <s v="Surat"/>
    <s v="Gujarat"/>
    <s v="2024-03-11"/>
    <s v="18-25"/>
    <n v="92.17"/>
  </r>
  <r>
    <s v="ORD04768"/>
    <d v="2025-11-27T00:00:00"/>
    <s v="CUST0167"/>
    <x v="1"/>
    <x v="13"/>
    <n v="2"/>
    <n v="0.1"/>
    <n v="7560"/>
    <n v="-2878.85"/>
    <x v="1"/>
    <s v="Returned"/>
    <n v="3780"/>
    <n v="-38.080026455026463"/>
    <s v="Loss"/>
    <s v="Aarav Mehta"/>
    <x v="0"/>
    <x v="0"/>
    <s v="Hyderabad"/>
    <s v="Telangana"/>
    <s v="2024-10-15"/>
    <s v="51+"/>
    <n v="-1439.425"/>
  </r>
  <r>
    <s v="ORD04769"/>
    <d v="2025-07-24T00:00:00"/>
    <s v="CUST0267"/>
    <x v="1"/>
    <x v="1"/>
    <n v="1"/>
    <n v="0.3"/>
    <n v="1260"/>
    <n v="332.16"/>
    <x v="0"/>
    <s v="Delivered"/>
    <n v="1260"/>
    <n v="26.361904761904761"/>
    <s v="Profit"/>
    <s v="Arjun Kulkarni"/>
    <x v="1"/>
    <x v="3"/>
    <s v="Patna"/>
    <s v="Bihar"/>
    <s v="2023-05-20"/>
    <s v="26-35"/>
    <n v="332.16"/>
  </r>
  <r>
    <s v="ORD04770"/>
    <d v="2025-09-12T00:00:00"/>
    <s v="CUST0139"/>
    <x v="3"/>
    <x v="10"/>
    <n v="15"/>
    <n v="0.1"/>
    <n v="742500"/>
    <n v="94791.6"/>
    <x v="3"/>
    <s v="Delivered"/>
    <n v="49500"/>
    <n v="12.76654545454546"/>
    <s v="Profit"/>
    <s v="Lakshmi Das"/>
    <x v="1"/>
    <x v="1"/>
    <s v="Surat"/>
    <s v="Gujarat"/>
    <s v="2023-05-25"/>
    <s v="36-50"/>
    <n v="6319.4400000000014"/>
  </r>
  <r>
    <s v="ORD04771"/>
    <d v="2025-07-06T00:00:00"/>
    <s v="CUST0279"/>
    <x v="1"/>
    <x v="13"/>
    <n v="4"/>
    <n v="0.1"/>
    <n v="15120"/>
    <n v="3444.96"/>
    <x v="0"/>
    <s v="Delivered"/>
    <n v="3780"/>
    <n v="22.784126984126981"/>
    <s v="Profit"/>
    <s v="Aditya Bose"/>
    <x v="0"/>
    <x v="2"/>
    <s v="Delhi"/>
    <s v="Delhi"/>
    <s v="2024-04-09"/>
    <s v="26-35"/>
    <n v="861.24"/>
  </r>
  <r>
    <s v="ORD04772"/>
    <d v="2025-09-27T00:00:00"/>
    <s v="CUST0565"/>
    <x v="3"/>
    <x v="11"/>
    <n v="2"/>
    <n v="0"/>
    <n v="5000"/>
    <n v="1600"/>
    <x v="1"/>
    <s v="Delivered"/>
    <n v="2500"/>
    <n v="32"/>
    <s v="Profit"/>
    <s v="Rahul Bose"/>
    <x v="0"/>
    <x v="0"/>
    <s v="Coimbatore"/>
    <s v="Tamil Nadu"/>
    <s v="2024-03-26"/>
    <s v="51+"/>
    <n v="800"/>
  </r>
  <r>
    <s v="ORD04773"/>
    <d v="2026-04-26T00:00:00"/>
    <s v="CUST0509"/>
    <x v="2"/>
    <x v="3"/>
    <n v="1"/>
    <n v="0.1"/>
    <n v="13500"/>
    <n v="2485.2600000000002"/>
    <x v="2"/>
    <s v="Delivered"/>
    <n v="13500"/>
    <n v="18.40933333333334"/>
    <s v="Profit"/>
    <s v="Akash Das"/>
    <x v="2"/>
    <x v="3"/>
    <s v="Patna"/>
    <s v="Bihar"/>
    <s v="2024-11-26"/>
    <s v="36-50"/>
    <n v="2485.2600000000002"/>
  </r>
  <r>
    <s v="ORD04774"/>
    <d v="2025-08-26T00:00:00"/>
    <s v="CUST0273"/>
    <x v="2"/>
    <x v="5"/>
    <n v="2"/>
    <n v="0.15"/>
    <n v="18700"/>
    <n v="3526.19"/>
    <x v="1"/>
    <s v="Delivered"/>
    <n v="9350"/>
    <n v="18.85663101604278"/>
    <s v="Profit"/>
    <s v="Akash Verma"/>
    <x v="1"/>
    <x v="0"/>
    <s v="Chennai"/>
    <s v="Tamil Nadu"/>
    <s v="2024-07-10"/>
    <s v="51+"/>
    <n v="1763.095"/>
  </r>
  <r>
    <s v="ORD04775"/>
    <d v="2026-01-28T00:00:00"/>
    <s v="CUST0202"/>
    <x v="2"/>
    <x v="3"/>
    <n v="3"/>
    <n v="0"/>
    <n v="45000"/>
    <n v="10500"/>
    <x v="3"/>
    <s v="Delivered"/>
    <n v="15000"/>
    <n v="23.333333333333329"/>
    <s v="Profit"/>
    <s v="Manoj Gupta"/>
    <x v="1"/>
    <x v="1"/>
    <s v="Pune"/>
    <s v="Maharashtra"/>
    <s v="2023-12-07"/>
    <s v="26-35"/>
    <n v="3500"/>
  </r>
  <r>
    <s v="ORD04776"/>
    <d v="2026-05-02T00:00:00"/>
    <s v="CUST0175"/>
    <x v="2"/>
    <x v="5"/>
    <n v="4"/>
    <n v="0.15"/>
    <n v="37400"/>
    <n v="6442.75"/>
    <x v="0"/>
    <s v="Delivered"/>
    <n v="9350"/>
    <n v="17.22660427807487"/>
    <s v="Profit"/>
    <s v="Akash Mehta"/>
    <x v="0"/>
    <x v="1"/>
    <s v="Ahmedabad"/>
    <s v="Gujarat"/>
    <s v="2023-12-29"/>
    <s v="36-50"/>
    <n v="1610.6875"/>
  </r>
  <r>
    <s v="ORD04777"/>
    <d v="2026-05-10T00:00:00"/>
    <s v="CUST0185"/>
    <x v="0"/>
    <x v="7"/>
    <n v="2"/>
    <n v="0.05"/>
    <n v="1710"/>
    <n v="497.36"/>
    <x v="2"/>
    <s v="Delivered"/>
    <n v="855"/>
    <n v="29.085380116959069"/>
    <s v="Profit"/>
    <s v="Karthik Mehta"/>
    <x v="2"/>
    <x v="2"/>
    <s v="Chandigarh"/>
    <s v="Chandigarh"/>
    <s v="2025-01-12"/>
    <s v="36-50"/>
    <n v="248.68"/>
  </r>
  <r>
    <s v="ORD04778"/>
    <d v="2025-12-03T00:00:00"/>
    <s v="CUST0531"/>
    <x v="3"/>
    <x v="10"/>
    <n v="3"/>
    <n v="0.15"/>
    <n v="140250"/>
    <n v="15538.61"/>
    <x v="2"/>
    <s v="Delivered"/>
    <n v="46750"/>
    <n v="11.079222816399289"/>
    <s v="Profit"/>
    <s v="Kavya Mishra"/>
    <x v="2"/>
    <x v="0"/>
    <s v="Coimbatore"/>
    <s v="Tamil Nadu"/>
    <s v="2023-10-06"/>
    <s v="26-35"/>
    <n v="5179.5366666666669"/>
  </r>
  <r>
    <s v="ORD04779"/>
    <d v="2026-05-14T00:00:00"/>
    <s v="CUST0490"/>
    <x v="1"/>
    <x v="12"/>
    <n v="3"/>
    <n v="0.1"/>
    <n v="3780"/>
    <n v="1309.19"/>
    <x v="2"/>
    <s v="Shipped"/>
    <n v="1260"/>
    <n v="34.634656084656093"/>
    <s v="Profit"/>
    <s v="Nisha Khan"/>
    <x v="0"/>
    <x v="3"/>
    <s v="Bhubaneswar"/>
    <s v="Odisha"/>
    <s v="2025-08-22"/>
    <s v="51+"/>
    <n v="436.3966666666667"/>
  </r>
  <r>
    <s v="ORD04780"/>
    <d v="2025-10-30T00:00:00"/>
    <s v="CUST0562"/>
    <x v="2"/>
    <x v="5"/>
    <n v="1"/>
    <n v="0.1"/>
    <n v="9900"/>
    <n v="1927.5"/>
    <x v="0"/>
    <s v="Shipped"/>
    <n v="9900"/>
    <n v="19.469696969696969"/>
    <s v="Profit"/>
    <s v="Shreya Das"/>
    <x v="0"/>
    <x v="2"/>
    <s v="Chandigarh"/>
    <s v="Chandigarh"/>
    <s v="2024-05-03"/>
    <s v="36-50"/>
    <n v="1927.5"/>
  </r>
  <r>
    <s v="ORD04781"/>
    <d v="2026-08-11T00:00:00"/>
    <s v="CUST0439"/>
    <x v="0"/>
    <x v="7"/>
    <n v="1"/>
    <n v="0.15"/>
    <n v="765"/>
    <n v="189.8"/>
    <x v="2"/>
    <s v="Delivered"/>
    <n v="765"/>
    <n v="24.81045751633987"/>
    <s v="Profit"/>
    <s v="Arjun Kulkarni"/>
    <x v="0"/>
    <x v="3"/>
    <s v="Patna"/>
    <s v="Bihar"/>
    <s v="2023-01-03"/>
    <s v="36-50"/>
    <n v="189.8"/>
  </r>
  <r>
    <s v="ORD04782"/>
    <d v="2025-07-26T00:00:00"/>
    <s v="CUST0015"/>
    <x v="2"/>
    <x v="3"/>
    <n v="2"/>
    <n v="0.2"/>
    <n v="24000"/>
    <n v="3840.51"/>
    <x v="3"/>
    <s v="Delivered"/>
    <n v="12000"/>
    <n v="16.002124999999999"/>
    <s v="Profit"/>
    <s v="Diya Pillai"/>
    <x v="1"/>
    <x v="0"/>
    <s v="Coimbatore"/>
    <s v="Tamil Nadu"/>
    <s v="2024-09-16"/>
    <s v="51+"/>
    <n v="1920.2550000000001"/>
  </r>
  <r>
    <s v="ORD04783"/>
    <d v="2025-12-01T00:00:00"/>
    <s v="CUST0209"/>
    <x v="3"/>
    <x v="10"/>
    <n v="1"/>
    <n v="0"/>
    <n v="55000"/>
    <n v="9000"/>
    <x v="1"/>
    <s v="Delivered"/>
    <n v="55000"/>
    <n v="16.36363636363636"/>
    <s v="Profit"/>
    <s v="Rahul Naidu"/>
    <x v="0"/>
    <x v="0"/>
    <s v="Hyderabad"/>
    <s v="Telangana"/>
    <s v="2023-02-09"/>
    <s v="36-50"/>
    <n v="9000"/>
  </r>
  <r>
    <s v="ORD04784"/>
    <d v="2026-03-31T00:00:00"/>
    <s v="CUST0242"/>
    <x v="1"/>
    <x v="12"/>
    <n v="4"/>
    <n v="0"/>
    <n v="5600"/>
    <n v="2000"/>
    <x v="2"/>
    <s v="Delivered"/>
    <n v="1400"/>
    <n v="35.714285714285722"/>
    <s v="Profit"/>
    <s v="Priya Singh"/>
    <x v="0"/>
    <x v="1"/>
    <s v="Pune"/>
    <s v="Maharashtra"/>
    <s v="2024-11-26"/>
    <s v="26-35"/>
    <n v="500"/>
  </r>
  <r>
    <s v="ORD04785"/>
    <d v="2025-11-23T00:00:00"/>
    <s v="CUST0021"/>
    <x v="0"/>
    <x v="6"/>
    <n v="1"/>
    <n v="0.05"/>
    <n v="332.5"/>
    <n v="111.12"/>
    <x v="3"/>
    <s v="Delivered"/>
    <n v="332.5"/>
    <n v="33.419548872180457"/>
    <s v="Profit"/>
    <s v="Varun Nair"/>
    <x v="2"/>
    <x v="1"/>
    <s v="Ahmedabad"/>
    <s v="Gujarat"/>
    <s v="2025-11-12"/>
    <s v="36-50"/>
    <n v="111.12"/>
  </r>
  <r>
    <s v="ORD04786"/>
    <d v="2026-04-07T00:00:00"/>
    <s v="CUST0312"/>
    <x v="2"/>
    <x v="5"/>
    <n v="1"/>
    <n v="0.15"/>
    <n v="9350"/>
    <n v="1466.76"/>
    <x v="3"/>
    <s v="Delivered"/>
    <n v="9350"/>
    <n v="15.687272727272729"/>
    <s v="Profit"/>
    <s v="Kavya Menon"/>
    <x v="1"/>
    <x v="1"/>
    <s v="Mumbai"/>
    <s v="Maharashtra"/>
    <s v="2023-05-26"/>
    <s v="26-35"/>
    <n v="1466.76"/>
  </r>
  <r>
    <s v="ORD04787"/>
    <d v="2026-06-29T00:00:00"/>
    <s v="CUST0113"/>
    <x v="3"/>
    <x v="10"/>
    <n v="2"/>
    <n v="0.15"/>
    <n v="93500"/>
    <n v="7090.95"/>
    <x v="3"/>
    <s v="Delivered"/>
    <n v="46750"/>
    <n v="7.5839037433155081"/>
    <s v="Profit"/>
    <s v="Diya Pillai"/>
    <x v="2"/>
    <x v="1"/>
    <s v="Ahmedabad"/>
    <s v="Gujarat"/>
    <s v="2024-08-29"/>
    <s v="26-35"/>
    <n v="3545.4749999999999"/>
  </r>
  <r>
    <s v="ORD04788"/>
    <d v="2025-10-08T00:00:00"/>
    <s v="CUST0441"/>
    <x v="2"/>
    <x v="3"/>
    <n v="2"/>
    <n v="0.15"/>
    <n v="25500"/>
    <n v="4739.1099999999997"/>
    <x v="1"/>
    <s v="Delivered"/>
    <n v="12750"/>
    <n v="18.58474509803921"/>
    <s v="Profit"/>
    <s v="Arjun Joshi"/>
    <x v="0"/>
    <x v="0"/>
    <s v="Bengaluru"/>
    <s v="Karnataka"/>
    <s v="2024-05-10"/>
    <s v="18-25"/>
    <n v="2369.5549999999998"/>
  </r>
  <r>
    <s v="ORD04789"/>
    <d v="2025-11-27T00:00:00"/>
    <s v="CUST0463"/>
    <x v="3"/>
    <x v="4"/>
    <n v="2"/>
    <n v="0.1"/>
    <n v="32400"/>
    <n v="-5204.92"/>
    <x v="1"/>
    <s v="Returned"/>
    <n v="16200"/>
    <n v="-16.064567901234572"/>
    <s v="Loss"/>
    <s v="Shreya Patel"/>
    <x v="0"/>
    <x v="0"/>
    <s v="Coimbatore"/>
    <s v="Tamil Nadu"/>
    <s v="2024-02-20"/>
    <s v="51+"/>
    <n v="-2602.46"/>
  </r>
  <r>
    <s v="ORD04790"/>
    <d v="2025-10-17T00:00:00"/>
    <s v="CUST0015"/>
    <x v="1"/>
    <x v="12"/>
    <n v="2"/>
    <n v="0.05"/>
    <n v="2660"/>
    <n v="901.98"/>
    <x v="2"/>
    <s v="Delivered"/>
    <n v="1330"/>
    <n v="33.90902255639098"/>
    <s v="Profit"/>
    <s v="Diya Pillai"/>
    <x v="1"/>
    <x v="0"/>
    <s v="Coimbatore"/>
    <s v="Tamil Nadu"/>
    <s v="2024-09-16"/>
    <s v="51+"/>
    <n v="450.99"/>
  </r>
  <r>
    <s v="ORD04791"/>
    <d v="2026-08-19T00:00:00"/>
    <s v="CUST0106"/>
    <x v="0"/>
    <x v="14"/>
    <n v="1"/>
    <n v="0.1"/>
    <n v="405"/>
    <n v="84.67"/>
    <x v="0"/>
    <s v="Delivered"/>
    <n v="405"/>
    <n v="20.906172839506169"/>
    <s v="Profit"/>
    <s v="Kavya Nair"/>
    <x v="1"/>
    <x v="0"/>
    <s v="Coimbatore"/>
    <s v="Tamil Nadu"/>
    <s v="2025-07-06"/>
    <s v="36-50"/>
    <n v="84.67"/>
  </r>
  <r>
    <s v="ORD04792"/>
    <d v="2026-05-18T00:00:00"/>
    <s v="CUST0304"/>
    <x v="2"/>
    <x v="5"/>
    <n v="3"/>
    <n v="0.15"/>
    <n v="28050"/>
    <n v="3946.63"/>
    <x v="2"/>
    <s v="Delivered"/>
    <n v="9350"/>
    <n v="14.069982174688059"/>
    <s v="Profit"/>
    <s v="Ishaan Khan"/>
    <x v="2"/>
    <x v="0"/>
    <s v="Bengaluru"/>
    <s v="Karnataka"/>
    <s v="2024-12-10"/>
    <s v="26-35"/>
    <n v="1315.5433333333331"/>
  </r>
  <r>
    <s v="ORD04793"/>
    <d v="2026-06-08T00:00:00"/>
    <s v="CUST0562"/>
    <x v="2"/>
    <x v="5"/>
    <n v="1"/>
    <n v="0.15"/>
    <n v="9350"/>
    <n v="1808.52"/>
    <x v="0"/>
    <s v="Delivered"/>
    <n v="9350"/>
    <n v="19.34245989304813"/>
    <s v="Profit"/>
    <s v="Shreya Das"/>
    <x v="0"/>
    <x v="2"/>
    <s v="Chandigarh"/>
    <s v="Chandigarh"/>
    <s v="2024-05-03"/>
    <s v="36-50"/>
    <n v="1808.52"/>
  </r>
  <r>
    <s v="ORD04794"/>
    <d v="2025-12-18T00:00:00"/>
    <s v="CUST0155"/>
    <x v="3"/>
    <x v="4"/>
    <n v="2"/>
    <n v="0.05"/>
    <n v="34200"/>
    <n v="5844.84"/>
    <x v="1"/>
    <s v="Delivered"/>
    <n v="17100"/>
    <n v="17.090175438596489"/>
    <s v="Profit"/>
    <s v="Ishaan Sharma"/>
    <x v="0"/>
    <x v="0"/>
    <s v="Bengaluru"/>
    <s v="Karnataka"/>
    <s v="2023-07-08"/>
    <s v="26-35"/>
    <n v="2922.42"/>
  </r>
  <r>
    <s v="ORD04795"/>
    <d v="2026-01-08T00:00:00"/>
    <s v="CUST0443"/>
    <x v="0"/>
    <x v="6"/>
    <n v="1"/>
    <n v="0.15"/>
    <n v="297.5"/>
    <n v="76.47"/>
    <x v="0"/>
    <s v="Shipped"/>
    <n v="297.5"/>
    <n v="25.70420168067227"/>
    <s v="Profit"/>
    <s v="Akash Sharma"/>
    <x v="1"/>
    <x v="0"/>
    <s v="Coimbatore"/>
    <s v="Tamil Nadu"/>
    <s v="2023-10-10"/>
    <s v="51+"/>
    <n v="76.47"/>
  </r>
  <r>
    <s v="ORD04796"/>
    <d v="2026-02-04T00:00:00"/>
    <s v="CUST0469"/>
    <x v="2"/>
    <x v="9"/>
    <n v="3"/>
    <n v="0.15"/>
    <n v="22950"/>
    <n v="3724.86"/>
    <x v="3"/>
    <s v="Delivered"/>
    <n v="7650"/>
    <n v="16.230326797385619"/>
    <s v="Profit"/>
    <s v="Kavya Khan"/>
    <x v="1"/>
    <x v="3"/>
    <s v="Bhubaneswar"/>
    <s v="Odisha"/>
    <s v="2025-06-06"/>
    <s v="26-35"/>
    <n v="1241.6199999999999"/>
  </r>
  <r>
    <s v="ORD04797"/>
    <d v="2025-08-16T00:00:00"/>
    <s v="CUST0160"/>
    <x v="2"/>
    <x v="2"/>
    <n v="5"/>
    <n v="0.15"/>
    <n v="55250"/>
    <n v="9078.69"/>
    <x v="0"/>
    <s v="Delivered"/>
    <n v="11050"/>
    <n v="16.432018099547509"/>
    <s v="Profit"/>
    <s v="Divya Sharma"/>
    <x v="2"/>
    <x v="0"/>
    <s v="Bengaluru"/>
    <s v="Karnataka"/>
    <s v="2024-09-25"/>
    <s v="18-25"/>
    <n v="1815.7380000000001"/>
  </r>
  <r>
    <s v="ORD04798"/>
    <d v="2026-02-03T00:00:00"/>
    <s v="CUST0015"/>
    <x v="0"/>
    <x v="6"/>
    <n v="1"/>
    <n v="0.05"/>
    <n v="332.5"/>
    <n v="107.03"/>
    <x v="3"/>
    <s v="Delivered"/>
    <n v="332.5"/>
    <n v="32.189473684210533"/>
    <s v="Profit"/>
    <s v="Diya Pillai"/>
    <x v="1"/>
    <x v="0"/>
    <s v="Coimbatore"/>
    <s v="Tamil Nadu"/>
    <s v="2024-09-16"/>
    <s v="51+"/>
    <n v="107.03"/>
  </r>
  <r>
    <s v="ORD04799"/>
    <d v="2025-11-28T00:00:00"/>
    <s v="CUST0400"/>
    <x v="1"/>
    <x v="1"/>
    <n v="5"/>
    <n v="0.2"/>
    <n v="7200"/>
    <n v="-858.99"/>
    <x v="1"/>
    <s v="Returned"/>
    <n v="1440"/>
    <n v="-11.93041666666667"/>
    <s v="Loss"/>
    <s v="Karthik Bose"/>
    <x v="0"/>
    <x v="0"/>
    <s v="Hyderabad"/>
    <s v="Telangana"/>
    <s v="2024-08-01"/>
    <s v="36-50"/>
    <n v="-171.798"/>
  </r>
  <r>
    <s v="ORD04800"/>
    <d v="2026-07-23T00:00:00"/>
    <s v="CUST0061"/>
    <x v="2"/>
    <x v="2"/>
    <n v="4"/>
    <n v="0.15"/>
    <n v="44200"/>
    <n v="7504.87"/>
    <x v="1"/>
    <s v="Delivered"/>
    <n v="11050"/>
    <n v="16.97934389140271"/>
    <s v="Profit"/>
    <s v="Meera Kulkarni"/>
    <x v="0"/>
    <x v="0"/>
    <s v="Bengaluru"/>
    <s v="Karnataka"/>
    <s v="2024-11-07"/>
    <s v="18-25"/>
    <n v="1876.2175"/>
  </r>
  <r>
    <s v="ORD04801"/>
    <d v="2025-11-02T00:00:00"/>
    <s v="CUST0166"/>
    <x v="2"/>
    <x v="5"/>
    <n v="2"/>
    <n v="0.3"/>
    <n v="15400"/>
    <n v="2094"/>
    <x v="1"/>
    <s v="Delivered"/>
    <n v="7700"/>
    <n v="13.597402597402599"/>
    <s v="Profit"/>
    <s v="Arjun Gupta"/>
    <x v="2"/>
    <x v="0"/>
    <s v="Chennai"/>
    <s v="Tamil Nadu"/>
    <s v="2024-10-19"/>
    <s v="18-25"/>
    <n v="1047"/>
  </r>
  <r>
    <s v="ORD04802"/>
    <d v="2026-07-14T00:00:00"/>
    <s v="CUST0183"/>
    <x v="2"/>
    <x v="9"/>
    <n v="6"/>
    <n v="0.15"/>
    <n v="45900"/>
    <n v="8567.84"/>
    <x v="0"/>
    <s v="Delivered"/>
    <n v="7650"/>
    <n v="18.666318082788671"/>
    <s v="Profit"/>
    <s v="Meera Kulkarni"/>
    <x v="0"/>
    <x v="0"/>
    <s v="Coimbatore"/>
    <s v="Tamil Nadu"/>
    <s v="2024-09-21"/>
    <s v="26-35"/>
    <n v="1427.9733333333329"/>
  </r>
  <r>
    <s v="ORD04803"/>
    <d v="2025-11-24T00:00:00"/>
    <s v="CUST0537"/>
    <x v="0"/>
    <x v="7"/>
    <n v="1"/>
    <n v="0"/>
    <n v="900"/>
    <n v="-422.37"/>
    <x v="1"/>
    <s v="Cancelled"/>
    <n v="900"/>
    <n v="-46.93"/>
    <s v="Loss"/>
    <s v="Vikram Pillai"/>
    <x v="0"/>
    <x v="0"/>
    <s v="Bengaluru"/>
    <s v="Karnataka"/>
    <s v="2023-11-18"/>
    <s v="26-35"/>
    <n v="-422.37"/>
  </r>
  <r>
    <s v="ORD04804"/>
    <d v="2026-06-03T00:00:00"/>
    <s v="CUST0088"/>
    <x v="0"/>
    <x v="14"/>
    <n v="1"/>
    <n v="0"/>
    <n v="450"/>
    <n v="110"/>
    <x v="1"/>
    <s v="Delivered"/>
    <n v="450"/>
    <n v="24.444444444444439"/>
    <s v="Profit"/>
    <s v="Sneha Verma"/>
    <x v="1"/>
    <x v="0"/>
    <s v="Chennai"/>
    <s v="Tamil Nadu"/>
    <s v="2023-06-12"/>
    <s v="26-35"/>
    <n v="110"/>
  </r>
  <r>
    <s v="ORD04805"/>
    <d v="2026-02-23T00:00:00"/>
    <s v="CUST0075"/>
    <x v="1"/>
    <x v="13"/>
    <n v="1"/>
    <n v="0.05"/>
    <n v="3990"/>
    <n v="1096.3800000000001"/>
    <x v="2"/>
    <s v="Shipped"/>
    <n v="3990"/>
    <n v="27.478195488721809"/>
    <s v="Profit"/>
    <s v="Karthik Sharma"/>
    <x v="0"/>
    <x v="0"/>
    <s v="Bengaluru"/>
    <s v="Karnataka"/>
    <s v="2025-09-08"/>
    <s v="36-50"/>
    <n v="1096.3800000000001"/>
  </r>
  <r>
    <s v="ORD04806"/>
    <d v="2026-06-10T00:00:00"/>
    <s v="CUST0528"/>
    <x v="3"/>
    <x v="11"/>
    <n v="3"/>
    <n v="0.05"/>
    <n v="7125"/>
    <n v="2173.73"/>
    <x v="3"/>
    <s v="Delivered"/>
    <n v="2375"/>
    <n v="30.508491228070181"/>
    <s v="Profit"/>
    <s v="Karthik Menon"/>
    <x v="0"/>
    <x v="0"/>
    <s v="Chennai"/>
    <s v="Tamil Nadu"/>
    <s v="2024-07-24"/>
    <s v="36-50"/>
    <n v="724.57666666666671"/>
  </r>
  <r>
    <s v="ORD04807"/>
    <d v="2025-09-24T00:00:00"/>
    <s v="CUST0363"/>
    <x v="1"/>
    <x v="13"/>
    <n v="2"/>
    <n v="0.15"/>
    <n v="7140"/>
    <n v="1453.5"/>
    <x v="0"/>
    <s v="Delivered"/>
    <n v="3570"/>
    <n v="20.357142857142861"/>
    <s v="Profit"/>
    <s v="Priya Patel"/>
    <x v="1"/>
    <x v="0"/>
    <s v="Chennai"/>
    <s v="Tamil Nadu"/>
    <s v="2024-01-12"/>
    <s v="51+"/>
    <n v="726.75"/>
  </r>
  <r>
    <s v="ORD04808"/>
    <d v="2025-10-24T00:00:00"/>
    <s v="CUST0267"/>
    <x v="1"/>
    <x v="1"/>
    <n v="5"/>
    <n v="0.15"/>
    <n v="7650"/>
    <n v="2331.9299999999998"/>
    <x v="2"/>
    <s v="Delivered"/>
    <n v="1530"/>
    <n v="30.482745098039221"/>
    <s v="Profit"/>
    <s v="Arjun Kulkarni"/>
    <x v="1"/>
    <x v="3"/>
    <s v="Patna"/>
    <s v="Bihar"/>
    <s v="2023-05-20"/>
    <s v="26-35"/>
    <n v="466.38600000000002"/>
  </r>
  <r>
    <s v="ORD04809"/>
    <d v="2026-08-27T00:00:00"/>
    <s v="CUST0493"/>
    <x v="1"/>
    <x v="12"/>
    <n v="1"/>
    <n v="0.3"/>
    <n v="980"/>
    <n v="301.01"/>
    <x v="0"/>
    <s v="Delivered"/>
    <n v="980"/>
    <n v="30.715306122448979"/>
    <s v="Profit"/>
    <s v="Vikram Patel"/>
    <x v="1"/>
    <x v="1"/>
    <s v="Pune"/>
    <s v="Maharashtra"/>
    <s v="2023-09-05"/>
    <s v="36-50"/>
    <n v="301.01"/>
  </r>
  <r>
    <s v="ORD04810"/>
    <d v="2026-01-12T00:00:00"/>
    <s v="CUST0398"/>
    <x v="1"/>
    <x v="13"/>
    <n v="5"/>
    <n v="0.05"/>
    <n v="19950"/>
    <n v="5492.33"/>
    <x v="1"/>
    <s v="Delivered"/>
    <n v="3990"/>
    <n v="27.53047619047619"/>
    <s v="Profit"/>
    <s v="Meera Gupta"/>
    <x v="1"/>
    <x v="3"/>
    <s v="Bhubaneswar"/>
    <s v="Odisha"/>
    <s v="2024-02-27"/>
    <s v="36-50"/>
    <n v="1098.4659999999999"/>
  </r>
  <r>
    <s v="ORD04811"/>
    <d v="2026-04-20T00:00:00"/>
    <s v="CUST0251"/>
    <x v="3"/>
    <x v="10"/>
    <n v="1"/>
    <n v="0.15"/>
    <n v="46750"/>
    <n v="2023.14"/>
    <x v="1"/>
    <s v="Delivered"/>
    <n v="46750"/>
    <n v="4.3275721925133697"/>
    <s v="Profit"/>
    <s v="Arjun Verma"/>
    <x v="2"/>
    <x v="0"/>
    <s v="Coimbatore"/>
    <s v="Tamil Nadu"/>
    <s v="2023-06-16"/>
    <s v="36-50"/>
    <n v="2023.14"/>
  </r>
  <r>
    <s v="ORD04812"/>
    <d v="2026-02-11T00:00:00"/>
    <s v="CUST0335"/>
    <x v="2"/>
    <x v="9"/>
    <n v="1"/>
    <n v="0.1"/>
    <n v="8100"/>
    <n v="1581.37"/>
    <x v="2"/>
    <s v="Shipped"/>
    <n v="8100"/>
    <n v="19.523086419753081"/>
    <s v="Profit"/>
    <s v="Diya Pillai"/>
    <x v="0"/>
    <x v="0"/>
    <s v="Bengaluru"/>
    <s v="Karnataka"/>
    <s v="2025-05-24"/>
    <s v="36-50"/>
    <n v="1581.37"/>
  </r>
  <r>
    <s v="ORD04813"/>
    <d v="2026-01-24T00:00:00"/>
    <s v="CUST0529"/>
    <x v="3"/>
    <x v="4"/>
    <n v="2"/>
    <n v="0.1"/>
    <n v="32400"/>
    <n v="5353.14"/>
    <x v="0"/>
    <s v="Delivered"/>
    <n v="16200"/>
    <n v="16.522037037037041"/>
    <s v="Profit"/>
    <s v="Ananya Rao"/>
    <x v="1"/>
    <x v="1"/>
    <s v="Surat"/>
    <s v="Gujarat"/>
    <s v="2023-10-24"/>
    <s v="18-25"/>
    <n v="2676.57"/>
  </r>
  <r>
    <s v="ORD04814"/>
    <d v="2026-01-28T00:00:00"/>
    <s v="CUST0325"/>
    <x v="3"/>
    <x v="8"/>
    <n v="2"/>
    <n v="0"/>
    <n v="9000"/>
    <n v="3000"/>
    <x v="0"/>
    <s v="Delivered"/>
    <n v="4500"/>
    <n v="33.333333333333329"/>
    <s v="Profit"/>
    <s v="Arjun Mishra"/>
    <x v="0"/>
    <x v="0"/>
    <s v="Chennai"/>
    <s v="Tamil Nadu"/>
    <s v="2023-05-08"/>
    <s v="51+"/>
    <n v="1500"/>
  </r>
  <r>
    <s v="ORD04815"/>
    <d v="2025-09-08T00:00:00"/>
    <s v="CUST0557"/>
    <x v="2"/>
    <x v="5"/>
    <n v="2"/>
    <n v="0.1"/>
    <n v="19800"/>
    <n v="4028.04"/>
    <x v="1"/>
    <s v="Delivered"/>
    <n v="9900"/>
    <n v="20.34363636363636"/>
    <s v="Profit"/>
    <s v="Divya Mishra"/>
    <x v="0"/>
    <x v="2"/>
    <s v="Lucknow"/>
    <s v="Uttar Pradesh"/>
    <s v="2024-11-08"/>
    <s v="18-25"/>
    <n v="2014.02"/>
  </r>
  <r>
    <s v="ORD04816"/>
    <d v="2026-01-16T00:00:00"/>
    <s v="CUST0291"/>
    <x v="1"/>
    <x v="15"/>
    <n v="1"/>
    <n v="0.05"/>
    <n v="2090"/>
    <n v="681.11"/>
    <x v="3"/>
    <s v="Delivered"/>
    <n v="2090"/>
    <n v="32.588995215311009"/>
    <s v="Profit"/>
    <s v="Divya Chopra"/>
    <x v="1"/>
    <x v="0"/>
    <s v="Bengaluru"/>
    <s v="Karnataka"/>
    <s v="2023-10-19"/>
    <s v="18-25"/>
    <n v="681.11"/>
  </r>
  <r>
    <s v="ORD04817"/>
    <d v="2025-11-26T00:00:00"/>
    <s v="CUST0045"/>
    <x v="3"/>
    <x v="8"/>
    <n v="1"/>
    <n v="0"/>
    <n v="4500"/>
    <n v="1500"/>
    <x v="2"/>
    <s v="Delivered"/>
    <n v="4500"/>
    <n v="33.333333333333329"/>
    <s v="Profit"/>
    <s v="Sanjay Nair"/>
    <x v="0"/>
    <x v="1"/>
    <s v="Surat"/>
    <s v="Gujarat"/>
    <s v="2024-10-17"/>
    <s v="26-35"/>
    <n v="1500"/>
  </r>
  <r>
    <s v="ORD04818"/>
    <d v="2026-06-22T00:00:00"/>
    <s v="CUST0017"/>
    <x v="3"/>
    <x v="4"/>
    <n v="1"/>
    <n v="0.3"/>
    <n v="12600"/>
    <n v="-1029.7"/>
    <x v="2"/>
    <s v="Shipped"/>
    <n v="12600"/>
    <n v="-8.1722222222222225"/>
    <s v="Loss"/>
    <s v="Varun Rao"/>
    <x v="0"/>
    <x v="1"/>
    <s v="Surat"/>
    <s v="Gujarat"/>
    <s v="2025-10-21"/>
    <s v="26-35"/>
    <n v="-1029.7"/>
  </r>
  <r>
    <s v="ORD04819"/>
    <d v="2026-01-18T00:00:00"/>
    <s v="CUST0386"/>
    <x v="1"/>
    <x v="13"/>
    <n v="3"/>
    <n v="0.05"/>
    <n v="11970"/>
    <n v="3202.59"/>
    <x v="2"/>
    <s v="Delivered"/>
    <n v="3990"/>
    <n v="26.755137844611529"/>
    <s v="Profit"/>
    <s v="Pooja Kulkarni"/>
    <x v="0"/>
    <x v="0"/>
    <s v="Chennai"/>
    <s v="Tamil Nadu"/>
    <s v="2023-03-27"/>
    <s v="26-35"/>
    <n v="1067.53"/>
  </r>
  <r>
    <s v="ORD04820"/>
    <d v="2026-08-21T00:00:00"/>
    <s v="CUST0324"/>
    <x v="1"/>
    <x v="13"/>
    <n v="1"/>
    <n v="0.1"/>
    <n v="3780"/>
    <n v="879.08"/>
    <x v="3"/>
    <s v="Delivered"/>
    <n v="3780"/>
    <n v="23.25608465608466"/>
    <s v="Profit"/>
    <s v="Harini Sharma"/>
    <x v="2"/>
    <x v="2"/>
    <s v="Lucknow"/>
    <s v="Uttar Pradesh"/>
    <s v="2023-02-27"/>
    <s v="36-50"/>
    <n v="879.08"/>
  </r>
  <r>
    <s v="ORD04821"/>
    <d v="2025-11-29T00:00:00"/>
    <s v="CUST0210"/>
    <x v="2"/>
    <x v="9"/>
    <n v="2"/>
    <n v="0"/>
    <n v="18000"/>
    <n v="4600"/>
    <x v="2"/>
    <s v="Delivered"/>
    <n v="9000"/>
    <n v="25.55555555555555"/>
    <s v="Profit"/>
    <s v="Vikram Bose"/>
    <x v="0"/>
    <x v="1"/>
    <s v="Ahmedabad"/>
    <s v="Gujarat"/>
    <s v="2025-06-27"/>
    <s v="26-35"/>
    <n v="2300"/>
  </r>
  <r>
    <s v="ORD04822"/>
    <d v="2026-07-25T00:00:00"/>
    <s v="CUST0268"/>
    <x v="3"/>
    <x v="11"/>
    <n v="1"/>
    <n v="0.05"/>
    <n v="2375"/>
    <n v="-941.2"/>
    <x v="0"/>
    <s v="Cancelled"/>
    <n v="2375"/>
    <n v="-39.629473684210517"/>
    <s v="Loss"/>
    <s v="Rahul Singh"/>
    <x v="2"/>
    <x v="3"/>
    <s v="Bhubaneswar"/>
    <s v="Odisha"/>
    <s v="2025-01-05"/>
    <s v="26-35"/>
    <n v="-941.2"/>
  </r>
  <r>
    <s v="ORD04823"/>
    <d v="2025-08-07T00:00:00"/>
    <s v="CUST0009"/>
    <x v="3"/>
    <x v="11"/>
    <n v="5"/>
    <n v="0.05"/>
    <n v="11875"/>
    <n v="3630.39"/>
    <x v="2"/>
    <s v="Delivered"/>
    <n v="2375"/>
    <n v="30.571705263157899"/>
    <s v="Profit"/>
    <s v="Sanjay Gupta"/>
    <x v="1"/>
    <x v="3"/>
    <s v="Guwahati"/>
    <s v="Assam"/>
    <s v="2023-09-12"/>
    <s v="51+"/>
    <n v="726.07799999999997"/>
  </r>
  <r>
    <s v="ORD04824"/>
    <d v="2026-07-18T00:00:00"/>
    <s v="CUST0021"/>
    <x v="1"/>
    <x v="13"/>
    <n v="1"/>
    <n v="0.05"/>
    <n v="3990"/>
    <n v="1022.48"/>
    <x v="2"/>
    <s v="Delivered"/>
    <n v="3990"/>
    <n v="25.62606516290727"/>
    <s v="Profit"/>
    <s v="Varun Nair"/>
    <x v="2"/>
    <x v="1"/>
    <s v="Ahmedabad"/>
    <s v="Gujarat"/>
    <s v="2025-11-12"/>
    <s v="36-50"/>
    <n v="1022.48"/>
  </r>
  <r>
    <s v="ORD04825"/>
    <d v="2025-08-28T00:00:00"/>
    <s v="CUST0319"/>
    <x v="3"/>
    <x v="4"/>
    <n v="2"/>
    <n v="0"/>
    <n v="36000"/>
    <n v="-9825.01"/>
    <x v="3"/>
    <s v="Cancelled"/>
    <n v="18000"/>
    <n v="-27.291694444444449"/>
    <s v="Loss"/>
    <s v="Vikram Sharma"/>
    <x v="0"/>
    <x v="0"/>
    <s v="Bengaluru"/>
    <s v="Karnataka"/>
    <s v="2024-01-16"/>
    <s v="26-35"/>
    <n v="-4912.5050000000001"/>
  </r>
  <r>
    <s v="ORD04826"/>
    <d v="2026-03-24T00:00:00"/>
    <s v="CUST0440"/>
    <x v="3"/>
    <x v="11"/>
    <n v="3"/>
    <n v="0.1"/>
    <n v="6750"/>
    <n v="1992.79"/>
    <x v="1"/>
    <s v="Delivered"/>
    <n v="2250"/>
    <n v="29.522814814814812"/>
    <s v="Profit"/>
    <s v="Harini Sharma"/>
    <x v="1"/>
    <x v="0"/>
    <s v="Hyderabad"/>
    <s v="Telangana"/>
    <s v="2024-06-03"/>
    <s v="18-25"/>
    <n v="664.26333333333332"/>
  </r>
  <r>
    <s v="ORD04827"/>
    <d v="2025-10-04T00:00:00"/>
    <s v="CUST0413"/>
    <x v="3"/>
    <x v="4"/>
    <n v="5"/>
    <n v="0.15"/>
    <n v="76500"/>
    <n v="9649.16"/>
    <x v="1"/>
    <s v="Shipped"/>
    <n v="15300"/>
    <n v="12.613281045751631"/>
    <s v="Profit"/>
    <s v="Sanjay Bose"/>
    <x v="0"/>
    <x v="0"/>
    <s v="Chennai"/>
    <s v="Tamil Nadu"/>
    <s v="2023-05-01"/>
    <s v="26-35"/>
    <n v="1929.8320000000001"/>
  </r>
  <r>
    <s v="ORD04828"/>
    <d v="2026-04-05T00:00:00"/>
    <s v="CUST0509"/>
    <x v="1"/>
    <x v="12"/>
    <n v="1"/>
    <n v="0"/>
    <n v="1400"/>
    <n v="500"/>
    <x v="0"/>
    <s v="Delivered"/>
    <n v="1400"/>
    <n v="35.714285714285722"/>
    <s v="Profit"/>
    <s v="Akash Das"/>
    <x v="2"/>
    <x v="3"/>
    <s v="Patna"/>
    <s v="Bihar"/>
    <s v="2024-11-26"/>
    <s v="36-50"/>
    <n v="500"/>
  </r>
  <r>
    <s v="ORD04829"/>
    <d v="2026-05-01T00:00:00"/>
    <s v="CUST0106"/>
    <x v="2"/>
    <x v="5"/>
    <n v="1"/>
    <n v="0.15"/>
    <n v="9350"/>
    <n v="-4708.67"/>
    <x v="3"/>
    <s v="Cancelled"/>
    <n v="9350"/>
    <n v="-50.360106951871657"/>
    <s v="Loss"/>
    <s v="Kavya Nair"/>
    <x v="1"/>
    <x v="0"/>
    <s v="Coimbatore"/>
    <s v="Tamil Nadu"/>
    <s v="2025-07-06"/>
    <s v="36-50"/>
    <n v="-4708.67"/>
  </r>
  <r>
    <s v="ORD04830"/>
    <d v="2026-07-29T00:00:00"/>
    <s v="CUST0213"/>
    <x v="2"/>
    <x v="9"/>
    <n v="2"/>
    <n v="0"/>
    <n v="18000"/>
    <n v="4600"/>
    <x v="2"/>
    <s v="Delivered"/>
    <n v="9000"/>
    <n v="25.55555555555555"/>
    <s v="Profit"/>
    <s v="Shreya Bose"/>
    <x v="1"/>
    <x v="2"/>
    <s v="Lucknow"/>
    <s v="Uttar Pradesh"/>
    <s v="2025-03-13"/>
    <s v="26-35"/>
    <n v="2300"/>
  </r>
  <r>
    <s v="ORD04831"/>
    <d v="2026-02-10T00:00:00"/>
    <s v="CUST0564"/>
    <x v="3"/>
    <x v="4"/>
    <n v="2"/>
    <n v="0.05"/>
    <n v="34200"/>
    <n v="5579.43"/>
    <x v="1"/>
    <s v="Delivered"/>
    <n v="17100"/>
    <n v="16.31412280701754"/>
    <s v="Profit"/>
    <s v="Aditya Joshi"/>
    <x v="2"/>
    <x v="3"/>
    <s v="Guwahati"/>
    <s v="Assam"/>
    <s v="2025-12-19"/>
    <s v="51+"/>
    <n v="2789.7150000000001"/>
  </r>
  <r>
    <s v="ORD04832"/>
    <d v="2026-01-01T00:00:00"/>
    <s v="CUST0503"/>
    <x v="3"/>
    <x v="8"/>
    <n v="5"/>
    <n v="0"/>
    <n v="22500"/>
    <n v="7500"/>
    <x v="1"/>
    <s v="Delivered"/>
    <n v="4500"/>
    <n v="33.333333333333329"/>
    <s v="Profit"/>
    <s v="Manoj Nair"/>
    <x v="2"/>
    <x v="0"/>
    <s v="Hyderabad"/>
    <s v="Telangana"/>
    <s v="2025-08-16"/>
    <s v="51+"/>
    <n v="1500"/>
  </r>
  <r>
    <s v="ORD04833"/>
    <d v="2025-10-24T00:00:00"/>
    <s v="CUST0080"/>
    <x v="3"/>
    <x v="10"/>
    <n v="15"/>
    <n v="0.1"/>
    <n v="742500"/>
    <n v="-466318.83"/>
    <x v="3"/>
    <s v="Returned"/>
    <n v="49500"/>
    <n v="-62.803882828282831"/>
    <s v="Loss"/>
    <s v="Vikram Verma"/>
    <x v="1"/>
    <x v="3"/>
    <s v="Patna"/>
    <s v="Bihar"/>
    <s v="2024-09-20"/>
    <s v="51+"/>
    <n v="-31087.921999999999"/>
  </r>
  <r>
    <s v="ORD04834"/>
    <d v="2026-05-25T00:00:00"/>
    <s v="CUST0325"/>
    <x v="3"/>
    <x v="10"/>
    <n v="1"/>
    <n v="0.1"/>
    <n v="49500"/>
    <n v="5445.61"/>
    <x v="1"/>
    <s v="Delivered"/>
    <n v="49500"/>
    <n v="11.001232323232321"/>
    <s v="Profit"/>
    <s v="Arjun Mishra"/>
    <x v="0"/>
    <x v="0"/>
    <s v="Chennai"/>
    <s v="Tamil Nadu"/>
    <s v="2023-05-08"/>
    <s v="51+"/>
    <n v="5445.61"/>
  </r>
  <r>
    <s v="ORD04835"/>
    <d v="2026-03-30T00:00:00"/>
    <s v="CUST0458"/>
    <x v="1"/>
    <x v="15"/>
    <n v="2"/>
    <n v="0.2"/>
    <n v="3520"/>
    <n v="1035.78"/>
    <x v="2"/>
    <s v="Delivered"/>
    <n v="1760"/>
    <n v="29.425568181818178"/>
    <s v="Profit"/>
    <s v="Diya Nair"/>
    <x v="0"/>
    <x v="2"/>
    <s v="Lucknow"/>
    <s v="Uttar Pradesh"/>
    <s v="2024-12-31"/>
    <s v="26-35"/>
    <n v="517.89"/>
  </r>
  <r>
    <s v="ORD04836"/>
    <d v="2025-08-02T00:00:00"/>
    <s v="CUST0060"/>
    <x v="1"/>
    <x v="13"/>
    <n v="10"/>
    <n v="0.1"/>
    <n v="37800"/>
    <n v="9227.82"/>
    <x v="1"/>
    <s v="Delivered"/>
    <n v="3780"/>
    <n v="24.412222222222219"/>
    <s v="Profit"/>
    <s v="Akash Mehta"/>
    <x v="0"/>
    <x v="3"/>
    <s v="Patna"/>
    <s v="Bihar"/>
    <s v="2025-01-15"/>
    <s v="36-50"/>
    <n v="922.78199999999993"/>
  </r>
  <r>
    <s v="ORD04837"/>
    <d v="2025-12-14T00:00:00"/>
    <s v="CUST0330"/>
    <x v="3"/>
    <x v="4"/>
    <n v="3"/>
    <n v="0.1"/>
    <n v="48600"/>
    <n v="7884.41"/>
    <x v="2"/>
    <s v="Delivered"/>
    <n v="16200"/>
    <n v="16.223065843621399"/>
    <s v="Profit"/>
    <s v="Pooja Reddy"/>
    <x v="2"/>
    <x v="2"/>
    <s v="Delhi"/>
    <s v="Delhi"/>
    <s v="2024-02-24"/>
    <s v="18-25"/>
    <n v="2628.1366666666672"/>
  </r>
  <r>
    <s v="ORD04838"/>
    <d v="2026-06-26T00:00:00"/>
    <s v="CUST0343"/>
    <x v="3"/>
    <x v="4"/>
    <n v="6"/>
    <n v="0.1"/>
    <n v="97200"/>
    <n v="13402.56"/>
    <x v="2"/>
    <s v="Delivered"/>
    <n v="16200"/>
    <n v="13.788641975308639"/>
    <s v="Profit"/>
    <s v="Meera Iyer"/>
    <x v="0"/>
    <x v="0"/>
    <s v="Bengaluru"/>
    <s v="Karnataka"/>
    <s v="2024-08-02"/>
    <s v="36-50"/>
    <n v="2233.7600000000002"/>
  </r>
  <r>
    <s v="ORD04839"/>
    <d v="2025-07-09T00:00:00"/>
    <s v="CUST0064"/>
    <x v="3"/>
    <x v="11"/>
    <n v="2"/>
    <n v="0.05"/>
    <n v="4750"/>
    <n v="1481.54"/>
    <x v="2"/>
    <s v="Delivered"/>
    <n v="2375"/>
    <n v="31.190315789473679"/>
    <s v="Profit"/>
    <s v="Diya Rao"/>
    <x v="1"/>
    <x v="0"/>
    <s v="Chennai"/>
    <s v="Tamil Nadu"/>
    <s v="2025-05-13"/>
    <s v="26-35"/>
    <n v="740.77"/>
  </r>
  <r>
    <s v="ORD04840"/>
    <d v="2026-04-05T00:00:00"/>
    <s v="CUST0453"/>
    <x v="3"/>
    <x v="8"/>
    <n v="2"/>
    <n v="0.2"/>
    <n v="7200"/>
    <n v="1937.57"/>
    <x v="0"/>
    <s v="Delivered"/>
    <n v="3600"/>
    <n v="26.910694444444449"/>
    <s v="Profit"/>
    <s v="Harini Rao"/>
    <x v="0"/>
    <x v="2"/>
    <s v="Chandigarh"/>
    <s v="Chandigarh"/>
    <s v="2023-06-23"/>
    <s v="26-35"/>
    <n v="968.78499999999997"/>
  </r>
  <r>
    <s v="ORD04841"/>
    <d v="2026-03-11T00:00:00"/>
    <s v="CUST0259"/>
    <x v="2"/>
    <x v="3"/>
    <n v="1"/>
    <n v="0.05"/>
    <n v="14250"/>
    <n v="2936.43"/>
    <x v="1"/>
    <s v="Delivered"/>
    <n v="14250"/>
    <n v="20.60652631578947"/>
    <s v="Profit"/>
    <s v="Manoj Menon"/>
    <x v="2"/>
    <x v="0"/>
    <s v="Coimbatore"/>
    <s v="Tamil Nadu"/>
    <s v="2023-10-20"/>
    <s v="26-35"/>
    <n v="2936.43"/>
  </r>
  <r>
    <s v="ORD04842"/>
    <d v="2025-10-20T00:00:00"/>
    <s v="CUST0374"/>
    <x v="1"/>
    <x v="12"/>
    <n v="6"/>
    <n v="0"/>
    <n v="8400"/>
    <n v="3000"/>
    <x v="0"/>
    <s v="Shipped"/>
    <n v="1400"/>
    <n v="35.714285714285722"/>
    <s v="Profit"/>
    <s v="Ishaan Chopra"/>
    <x v="0"/>
    <x v="0"/>
    <s v="Bengaluru"/>
    <s v="Karnataka"/>
    <s v="2024-09-12"/>
    <s v="18-25"/>
    <n v="500"/>
  </r>
  <r>
    <s v="ORD04843"/>
    <d v="2026-05-14T00:00:00"/>
    <s v="CUST0304"/>
    <x v="2"/>
    <x v="2"/>
    <n v="3"/>
    <n v="0.1"/>
    <n v="35100"/>
    <n v="7007.62"/>
    <x v="1"/>
    <s v="Shipped"/>
    <n v="11700"/>
    <n v="19.964729344729349"/>
    <s v="Profit"/>
    <s v="Ishaan Khan"/>
    <x v="2"/>
    <x v="0"/>
    <s v="Bengaluru"/>
    <s v="Karnataka"/>
    <s v="2024-12-10"/>
    <s v="26-35"/>
    <n v="2335.873333333333"/>
  </r>
  <r>
    <s v="ORD04844"/>
    <d v="2026-06-25T00:00:00"/>
    <s v="CUST0572"/>
    <x v="0"/>
    <x v="6"/>
    <n v="3"/>
    <n v="0.1"/>
    <n v="945"/>
    <n v="-361.97"/>
    <x v="0"/>
    <s v="Returned"/>
    <n v="315"/>
    <n v="-38.303703703703697"/>
    <s v="Loss"/>
    <s v="Manoj Kulkarni"/>
    <x v="1"/>
    <x v="2"/>
    <s v="Lucknow"/>
    <s v="Uttar Pradesh"/>
    <s v="2024-03-30"/>
    <s v="18-25"/>
    <n v="-120.65666666666669"/>
  </r>
  <r>
    <s v="ORD04845"/>
    <d v="2026-02-10T00:00:00"/>
    <s v="CUST0155"/>
    <x v="2"/>
    <x v="5"/>
    <n v="1"/>
    <n v="0.1"/>
    <n v="9900"/>
    <n v="1821.74"/>
    <x v="2"/>
    <s v="Shipped"/>
    <n v="9900"/>
    <n v="18.40141414141414"/>
    <s v="Profit"/>
    <s v="Ishaan Sharma"/>
    <x v="0"/>
    <x v="0"/>
    <s v="Bengaluru"/>
    <s v="Karnataka"/>
    <s v="2023-07-08"/>
    <s v="26-35"/>
    <n v="1821.74"/>
  </r>
  <r>
    <s v="ORD04846"/>
    <d v="2025-07-10T00:00:00"/>
    <s v="CUST0157"/>
    <x v="0"/>
    <x v="7"/>
    <n v="1"/>
    <n v="0.05"/>
    <n v="855"/>
    <n v="246.66"/>
    <x v="3"/>
    <s v="Shipped"/>
    <n v="855"/>
    <n v="28.84912280701754"/>
    <s v="Profit"/>
    <s v="Diya Rao"/>
    <x v="1"/>
    <x v="0"/>
    <s v="Bengaluru"/>
    <s v="Karnataka"/>
    <s v="2024-02-13"/>
    <s v="51+"/>
    <n v="246.66"/>
  </r>
  <r>
    <s v="ORD04847"/>
    <d v="2026-08-24T00:00:00"/>
    <s v="CUST0425"/>
    <x v="0"/>
    <x v="7"/>
    <n v="4"/>
    <n v="0.15"/>
    <n v="3060"/>
    <n v="710.38"/>
    <x v="0"/>
    <s v="Delivered"/>
    <n v="765"/>
    <n v="23.21503267973856"/>
    <s v="Profit"/>
    <s v="Lakshmi Mishra"/>
    <x v="0"/>
    <x v="3"/>
    <s v="Bhubaneswar"/>
    <s v="Odisha"/>
    <s v="2024-08-12"/>
    <s v="26-35"/>
    <n v="177.595"/>
  </r>
  <r>
    <s v="ORD04848"/>
    <d v="2026-02-15T00:00:00"/>
    <s v="CUST0065"/>
    <x v="2"/>
    <x v="2"/>
    <n v="2"/>
    <n v="0.15"/>
    <n v="22100"/>
    <n v="4642.0200000000004"/>
    <x v="0"/>
    <s v="Delivered"/>
    <n v="11050"/>
    <n v="21.004615384615381"/>
    <s v="Profit"/>
    <s v="Sneha Singh"/>
    <x v="0"/>
    <x v="0"/>
    <s v="Hyderabad"/>
    <s v="Telangana"/>
    <s v="2023-03-24"/>
    <s v="18-25"/>
    <n v="2321.0100000000002"/>
  </r>
  <r>
    <s v="ORD04849"/>
    <d v="2026-06-26T00:00:00"/>
    <s v="CUST0443"/>
    <x v="1"/>
    <x v="1"/>
    <n v="3"/>
    <n v="0.3"/>
    <n v="3780"/>
    <n v="-2033.81"/>
    <x v="1"/>
    <s v="Returned"/>
    <n v="1260"/>
    <n v="-53.80449735449735"/>
    <s v="Loss"/>
    <s v="Akash Sharma"/>
    <x v="1"/>
    <x v="0"/>
    <s v="Coimbatore"/>
    <s v="Tamil Nadu"/>
    <s v="2023-10-10"/>
    <s v="51+"/>
    <n v="-677.93666666666661"/>
  </r>
  <r>
    <s v="ORD04850"/>
    <d v="2025-08-30T00:00:00"/>
    <s v="CUST0251"/>
    <x v="2"/>
    <x v="2"/>
    <n v="1"/>
    <n v="0.05"/>
    <n v="12350"/>
    <n v="2817.01"/>
    <x v="1"/>
    <s v="Delivered"/>
    <n v="12350"/>
    <n v="22.809797570850201"/>
    <s v="Profit"/>
    <s v="Arjun Verma"/>
    <x v="2"/>
    <x v="0"/>
    <s v="Coimbatore"/>
    <s v="Tamil Nadu"/>
    <s v="2023-06-16"/>
    <s v="36-50"/>
    <n v="2817.01"/>
  </r>
  <r>
    <s v="ORD04851"/>
    <d v="2026-05-23T00:00:00"/>
    <s v="CUST0405"/>
    <x v="1"/>
    <x v="13"/>
    <n v="1"/>
    <n v="0.15"/>
    <n v="3570"/>
    <n v="691.03"/>
    <x v="3"/>
    <s v="Shipped"/>
    <n v="3570"/>
    <n v="19.356582633053218"/>
    <s v="Profit"/>
    <s v="Varun Naidu"/>
    <x v="0"/>
    <x v="0"/>
    <s v="Chennai"/>
    <s v="Tamil Nadu"/>
    <s v="2024-05-06"/>
    <s v="26-35"/>
    <n v="691.03"/>
  </r>
  <r>
    <s v="ORD04852"/>
    <d v="2025-11-01T00:00:00"/>
    <s v="CUST0349"/>
    <x v="0"/>
    <x v="0"/>
    <n v="3"/>
    <n v="0.05"/>
    <n v="39900"/>
    <n v="7069.28"/>
    <x v="0"/>
    <s v="Delivered"/>
    <n v="13300"/>
    <n v="17.717493734335839"/>
    <s v="Profit"/>
    <s v="Aarav Nair"/>
    <x v="1"/>
    <x v="0"/>
    <s v="Hyderabad"/>
    <s v="Telangana"/>
    <s v="2025-07-22"/>
    <s v="26-35"/>
    <n v="2356.4266666666672"/>
  </r>
  <r>
    <s v="ORD04853"/>
    <d v="2026-02-24T00:00:00"/>
    <s v="CUST0495"/>
    <x v="3"/>
    <x v="8"/>
    <n v="1"/>
    <n v="0.2"/>
    <n v="3600"/>
    <n v="946.28"/>
    <x v="0"/>
    <s v="Delivered"/>
    <n v="3600"/>
    <n v="26.285555555555561"/>
    <s v="Profit"/>
    <s v="Harini Gupta"/>
    <x v="1"/>
    <x v="2"/>
    <s v="Chandigarh"/>
    <s v="Chandigarh"/>
    <s v="2025-10-03"/>
    <s v="26-35"/>
    <n v="946.28"/>
  </r>
  <r>
    <s v="ORD04854"/>
    <d v="2025-10-19T00:00:00"/>
    <s v="CUST0557"/>
    <x v="3"/>
    <x v="11"/>
    <n v="1"/>
    <n v="0.1"/>
    <n v="2250"/>
    <n v="620.29"/>
    <x v="3"/>
    <s v="Shipped"/>
    <n v="2250"/>
    <n v="27.568444444444449"/>
    <s v="Profit"/>
    <s v="Divya Mishra"/>
    <x v="0"/>
    <x v="2"/>
    <s v="Lucknow"/>
    <s v="Uttar Pradesh"/>
    <s v="2024-11-08"/>
    <s v="18-25"/>
    <n v="620.29"/>
  </r>
  <r>
    <s v="ORD04855"/>
    <d v="2026-02-24T00:00:00"/>
    <s v="CUST0081"/>
    <x v="2"/>
    <x v="9"/>
    <n v="1"/>
    <n v="0.15"/>
    <n v="7650"/>
    <n v="1582.37"/>
    <x v="0"/>
    <s v="Delivered"/>
    <n v="7650"/>
    <n v="20.684575163398691"/>
    <s v="Profit"/>
    <s v="Ananya Rao"/>
    <x v="2"/>
    <x v="0"/>
    <s v="Chennai"/>
    <s v="Tamil Nadu"/>
    <s v="2023-10-09"/>
    <s v="36-50"/>
    <n v="1582.37"/>
  </r>
  <r>
    <s v="ORD04856"/>
    <d v="2025-08-27T00:00:00"/>
    <s v="CUST0132"/>
    <x v="2"/>
    <x v="2"/>
    <n v="2"/>
    <n v="0.05"/>
    <n v="24700"/>
    <n v="5693.85"/>
    <x v="1"/>
    <s v="Shipped"/>
    <n v="12350"/>
    <n v="23.052024291497979"/>
    <s v="Profit"/>
    <s v="Akash Rao"/>
    <x v="2"/>
    <x v="1"/>
    <s v="Pune"/>
    <s v="Maharashtra"/>
    <s v="2023-10-01"/>
    <s v="36-50"/>
    <n v="2846.9250000000002"/>
  </r>
  <r>
    <s v="ORD04857"/>
    <d v="2025-12-17T00:00:00"/>
    <s v="CUST0489"/>
    <x v="2"/>
    <x v="9"/>
    <n v="10"/>
    <n v="0.05"/>
    <n v="85500"/>
    <n v="19301.599999999999"/>
    <x v="1"/>
    <s v="Delivered"/>
    <n v="8550"/>
    <n v="22.574970760233921"/>
    <s v="Profit"/>
    <s v="Kavya Das"/>
    <x v="0"/>
    <x v="0"/>
    <s v="Coimbatore"/>
    <s v="Tamil Nadu"/>
    <s v="2024-03-29"/>
    <s v="26-35"/>
    <n v="1930.16"/>
  </r>
  <r>
    <s v="ORD04858"/>
    <d v="2026-08-30T00:00:00"/>
    <s v="CUST0049"/>
    <x v="0"/>
    <x v="7"/>
    <n v="3"/>
    <n v="0.15"/>
    <n v="2295"/>
    <n v="-1016.76"/>
    <x v="0"/>
    <s v="Returned"/>
    <n v="765"/>
    <n v="-44.303267973856208"/>
    <s v="Loss"/>
    <s v="Lakshmi Kulkarni"/>
    <x v="0"/>
    <x v="1"/>
    <s v="Ahmedabad"/>
    <s v="Gujarat"/>
    <s v="2023-01-08"/>
    <s v="26-35"/>
    <n v="-338.92"/>
  </r>
  <r>
    <s v="ORD04859"/>
    <d v="2026-04-20T00:00:00"/>
    <s v="CUST0065"/>
    <x v="0"/>
    <x v="7"/>
    <n v="1"/>
    <n v="0"/>
    <n v="900"/>
    <n v="-22.32"/>
    <x v="0"/>
    <s v="Returned"/>
    <n v="900"/>
    <n v="-2.48"/>
    <s v="Loss"/>
    <s v="Sneha Singh"/>
    <x v="0"/>
    <x v="0"/>
    <s v="Hyderabad"/>
    <s v="Telangana"/>
    <s v="2023-03-24"/>
    <s v="18-25"/>
    <n v="-22.32"/>
  </r>
  <r>
    <s v="ORD04860"/>
    <d v="2026-05-31T00:00:00"/>
    <s v="CUST0407"/>
    <x v="0"/>
    <x v="7"/>
    <n v="1"/>
    <n v="0.1"/>
    <n v="810"/>
    <n v="212.15"/>
    <x v="1"/>
    <s v="Delivered"/>
    <n v="810"/>
    <n v="26.191358024691361"/>
    <s v="Profit"/>
    <s v="Sneha Verma"/>
    <x v="2"/>
    <x v="2"/>
    <s v="Lucknow"/>
    <s v="Uttar Pradesh"/>
    <s v="2024-09-16"/>
    <s v="36-50"/>
    <n v="212.15"/>
  </r>
  <r>
    <s v="ORD04861"/>
    <d v="2025-10-31T00:00:00"/>
    <s v="CUST0453"/>
    <x v="3"/>
    <x v="11"/>
    <n v="1"/>
    <n v="0"/>
    <n v="2500"/>
    <n v="800"/>
    <x v="2"/>
    <s v="Delivered"/>
    <n v="2500"/>
    <n v="32"/>
    <s v="Profit"/>
    <s v="Harini Rao"/>
    <x v="0"/>
    <x v="2"/>
    <s v="Chandigarh"/>
    <s v="Chandigarh"/>
    <s v="2023-06-23"/>
    <s v="26-35"/>
    <n v="800"/>
  </r>
  <r>
    <s v="ORD04862"/>
    <d v="2026-08-18T00:00:00"/>
    <s v="CUST0258"/>
    <x v="1"/>
    <x v="15"/>
    <n v="6"/>
    <n v="0.2"/>
    <n v="10560"/>
    <n v="2386.15"/>
    <x v="0"/>
    <s v="Delivered"/>
    <n v="1760"/>
    <n v="22.596117424242429"/>
    <s v="Profit"/>
    <s v="Priya Naidu"/>
    <x v="0"/>
    <x v="0"/>
    <s v="Bengaluru"/>
    <s v="Karnataka"/>
    <s v="2023-07-05"/>
    <s v="26-35"/>
    <n v="397.69166666666672"/>
  </r>
  <r>
    <s v="ORD04863"/>
    <d v="2026-06-06T00:00:00"/>
    <s v="CUST0403"/>
    <x v="2"/>
    <x v="5"/>
    <n v="4"/>
    <n v="0.2"/>
    <n v="35200"/>
    <n v="3562.53"/>
    <x v="0"/>
    <s v="Delivered"/>
    <n v="8800"/>
    <n v="10.120823863636369"/>
    <s v="Profit"/>
    <s v="Nisha Mehta"/>
    <x v="0"/>
    <x v="1"/>
    <s v="Pune"/>
    <s v="Maharashtra"/>
    <s v="2025-11-22"/>
    <s v="36-50"/>
    <n v="890.63250000000005"/>
  </r>
  <r>
    <s v="ORD04864"/>
    <d v="2025-10-19T00:00:00"/>
    <s v="CUST0126"/>
    <x v="1"/>
    <x v="15"/>
    <n v="10"/>
    <n v="0.1"/>
    <n v="19800"/>
    <n v="6357.09"/>
    <x v="2"/>
    <s v="Shipped"/>
    <n v="1980"/>
    <n v="32.106515151515147"/>
    <s v="Profit"/>
    <s v="Manoj Mehta"/>
    <x v="1"/>
    <x v="0"/>
    <s v="Bengaluru"/>
    <s v="Karnataka"/>
    <s v="2025-10-04"/>
    <s v="36-50"/>
    <n v="635.70900000000006"/>
  </r>
  <r>
    <s v="ORD04865"/>
    <d v="2025-08-19T00:00:00"/>
    <s v="CUST0080"/>
    <x v="0"/>
    <x v="14"/>
    <n v="3"/>
    <n v="0.05"/>
    <n v="1282.5"/>
    <n v="277.27"/>
    <x v="0"/>
    <s v="Delivered"/>
    <n v="427.5"/>
    <n v="21.619493177387909"/>
    <s v="Profit"/>
    <s v="Vikram Verma"/>
    <x v="1"/>
    <x v="3"/>
    <s v="Patna"/>
    <s v="Bihar"/>
    <s v="2024-09-20"/>
    <s v="51+"/>
    <n v="92.423333333333332"/>
  </r>
  <r>
    <s v="ORD04866"/>
    <d v="2025-07-31T00:00:00"/>
    <s v="CUST0432"/>
    <x v="0"/>
    <x v="6"/>
    <n v="1"/>
    <n v="0.1"/>
    <n v="315"/>
    <n v="96.66"/>
    <x v="1"/>
    <s v="Delivered"/>
    <n v="315"/>
    <n v="30.68571428571428"/>
    <s v="Profit"/>
    <s v="Pooja Singh"/>
    <x v="1"/>
    <x v="0"/>
    <s v="Coimbatore"/>
    <s v="Tamil Nadu"/>
    <s v="2023-02-17"/>
    <s v="18-25"/>
    <n v="96.66"/>
  </r>
  <r>
    <s v="ORD04867"/>
    <d v="2026-07-05T00:00:00"/>
    <s v="CUST0282"/>
    <x v="1"/>
    <x v="1"/>
    <n v="3"/>
    <n v="0.05"/>
    <n v="5130"/>
    <n v="1791.2"/>
    <x v="3"/>
    <s v="Delivered"/>
    <n v="1710"/>
    <n v="34.916179337231974"/>
    <s v="Profit"/>
    <s v="Shreya Verma"/>
    <x v="0"/>
    <x v="3"/>
    <s v="Guwahati"/>
    <s v="Assam"/>
    <s v="2023-11-15"/>
    <s v="18-25"/>
    <n v="597.06666666666672"/>
  </r>
  <r>
    <s v="ORD04868"/>
    <d v="2026-01-26T00:00:00"/>
    <s v="CUST0215"/>
    <x v="0"/>
    <x v="7"/>
    <n v="6"/>
    <n v="0"/>
    <n v="5400"/>
    <n v="1680"/>
    <x v="0"/>
    <s v="Delivered"/>
    <n v="900"/>
    <n v="31.111111111111111"/>
    <s v="Profit"/>
    <s v="Pooja Reddy"/>
    <x v="1"/>
    <x v="0"/>
    <s v="Bengaluru"/>
    <s v="Karnataka"/>
    <s v="2025-07-16"/>
    <s v="26-35"/>
    <n v="280"/>
  </r>
  <r>
    <s v="ORD04869"/>
    <d v="2025-09-21T00:00:00"/>
    <s v="CUST0281"/>
    <x v="0"/>
    <x v="6"/>
    <n v="5"/>
    <n v="0.1"/>
    <n v="1575"/>
    <n v="477.43"/>
    <x v="3"/>
    <s v="Delivered"/>
    <n v="315"/>
    <n v="30.313015873015871"/>
    <s v="Profit"/>
    <s v="Divya Reddy"/>
    <x v="0"/>
    <x v="0"/>
    <s v="Coimbatore"/>
    <s v="Tamil Nadu"/>
    <s v="2025-04-27"/>
    <s v="36-50"/>
    <n v="95.486000000000004"/>
  </r>
  <r>
    <s v="ORD04870"/>
    <d v="2026-06-28T00:00:00"/>
    <s v="CUST0523"/>
    <x v="1"/>
    <x v="1"/>
    <n v="6"/>
    <n v="0.05"/>
    <n v="10260"/>
    <n v="3555.34"/>
    <x v="0"/>
    <s v="Delivered"/>
    <n v="1710"/>
    <n v="34.652436647173488"/>
    <s v="Profit"/>
    <s v="Vikram Kulkarni"/>
    <x v="0"/>
    <x v="2"/>
    <s v="Chandigarh"/>
    <s v="Chandigarh"/>
    <s v="2023-09-25"/>
    <s v="51+"/>
    <n v="592.55666666666673"/>
  </r>
  <r>
    <s v="ORD04871"/>
    <d v="2026-04-24T00:00:00"/>
    <s v="CUST0072"/>
    <x v="2"/>
    <x v="3"/>
    <n v="2"/>
    <n v="0.1"/>
    <n v="27000"/>
    <n v="-2583.23"/>
    <x v="0"/>
    <s v="Returned"/>
    <n v="13500"/>
    <n v="-9.5675185185185185"/>
    <s v="Loss"/>
    <s v="Shreya Nair"/>
    <x v="0"/>
    <x v="1"/>
    <s v="Surat"/>
    <s v="Gujarat"/>
    <s v="2025-09-16"/>
    <s v="26-35"/>
    <n v="-1291.615"/>
  </r>
  <r>
    <s v="ORD04872"/>
    <d v="2025-09-07T00:00:00"/>
    <s v="CUST0303"/>
    <x v="3"/>
    <x v="10"/>
    <n v="4"/>
    <n v="0.05"/>
    <n v="209000"/>
    <n v="28612.65"/>
    <x v="2"/>
    <s v="Delivered"/>
    <n v="52250"/>
    <n v="13.690263157894741"/>
    <s v="Profit"/>
    <s v="Aarav Sharma"/>
    <x v="1"/>
    <x v="0"/>
    <s v="Bengaluru"/>
    <s v="Karnataka"/>
    <s v="2024-12-30"/>
    <s v="26-35"/>
    <n v="7153.1625000000004"/>
  </r>
  <r>
    <s v="ORD04873"/>
    <d v="2026-06-10T00:00:00"/>
    <s v="CUST0182"/>
    <x v="0"/>
    <x v="6"/>
    <n v="1"/>
    <n v="0.05"/>
    <n v="332.5"/>
    <n v="105.62"/>
    <x v="0"/>
    <s v="Delivered"/>
    <n v="332.5"/>
    <n v="31.76541353383459"/>
    <s v="Profit"/>
    <s v="Shreya Iyer"/>
    <x v="2"/>
    <x v="3"/>
    <s v="Patna"/>
    <s v="Bihar"/>
    <s v="2023-07-03"/>
    <s v="36-50"/>
    <n v="105.62"/>
  </r>
  <r>
    <s v="ORD04874"/>
    <d v="2026-04-24T00:00:00"/>
    <s v="CUST0175"/>
    <x v="1"/>
    <x v="1"/>
    <n v="3"/>
    <n v="0.1"/>
    <n v="4860"/>
    <n v="1530.91"/>
    <x v="2"/>
    <s v="Delivered"/>
    <n v="1620"/>
    <n v="31.50020576131687"/>
    <s v="Profit"/>
    <s v="Akash Mehta"/>
    <x v="0"/>
    <x v="1"/>
    <s v="Ahmedabad"/>
    <s v="Gujarat"/>
    <s v="2023-12-29"/>
    <s v="36-50"/>
    <n v="510.30333333333328"/>
  </r>
  <r>
    <s v="ORD04875"/>
    <d v="2026-07-02T00:00:00"/>
    <s v="CUST0314"/>
    <x v="2"/>
    <x v="3"/>
    <n v="2"/>
    <n v="0.1"/>
    <n v="27000"/>
    <n v="5547.19"/>
    <x v="3"/>
    <s v="Delivered"/>
    <n v="13500"/>
    <n v="20.545148148148151"/>
    <s v="Profit"/>
    <s v="Aarav Mishra"/>
    <x v="0"/>
    <x v="0"/>
    <s v="Bengaluru"/>
    <s v="Karnataka"/>
    <s v="2025-10-30"/>
    <s v="26-35"/>
    <n v="2773.5949999999998"/>
  </r>
  <r>
    <s v="ORD04876"/>
    <d v="2026-05-06T00:00:00"/>
    <s v="CUST0485"/>
    <x v="0"/>
    <x v="0"/>
    <n v="5"/>
    <n v="0.2"/>
    <n v="56000"/>
    <n v="-25031.47"/>
    <x v="3"/>
    <s v="Cancelled"/>
    <n v="11200"/>
    <n v="-44.699053571428571"/>
    <s v="Loss"/>
    <s v="Lakshmi Patel"/>
    <x v="0"/>
    <x v="2"/>
    <s v="Jaipur"/>
    <s v="Rajasthan"/>
    <s v="2024-10-30"/>
    <s v="26-35"/>
    <n v="-5006.2939999999999"/>
  </r>
  <r>
    <s v="ORD04877"/>
    <d v="2026-08-08T00:00:00"/>
    <s v="CUST0160"/>
    <x v="0"/>
    <x v="14"/>
    <n v="2"/>
    <n v="0.15"/>
    <n v="765"/>
    <n v="105.88"/>
    <x v="1"/>
    <s v="Delivered"/>
    <n v="382.5"/>
    <n v="13.84052287581699"/>
    <s v="Profit"/>
    <s v="Divya Sharma"/>
    <x v="2"/>
    <x v="0"/>
    <s v="Bengaluru"/>
    <s v="Karnataka"/>
    <s v="2024-09-25"/>
    <s v="18-25"/>
    <n v="52.94"/>
  </r>
  <r>
    <s v="ORD04878"/>
    <d v="2025-11-23T00:00:00"/>
    <s v="CUST0542"/>
    <x v="0"/>
    <x v="14"/>
    <n v="3"/>
    <n v="0.1"/>
    <n v="1215"/>
    <n v="241.73"/>
    <x v="1"/>
    <s v="Delivered"/>
    <n v="405"/>
    <n v="19.8954732510288"/>
    <s v="Profit"/>
    <s v="Vikram Rao"/>
    <x v="1"/>
    <x v="0"/>
    <s v="Bengaluru"/>
    <s v="Karnataka"/>
    <s v="2023-06-19"/>
    <s v="36-50"/>
    <n v="80.576666666666668"/>
  </r>
  <r>
    <s v="ORD04879"/>
    <d v="2026-04-29T00:00:00"/>
    <s v="CUST0342"/>
    <x v="1"/>
    <x v="12"/>
    <n v="4"/>
    <n v="0.05"/>
    <n v="5320"/>
    <n v="1797.48"/>
    <x v="1"/>
    <s v="Shipped"/>
    <n v="1330"/>
    <n v="33.78721804511278"/>
    <s v="Profit"/>
    <s v="Rohan Rao"/>
    <x v="0"/>
    <x v="3"/>
    <s v="Guwahati"/>
    <s v="Assam"/>
    <s v="2023-02-17"/>
    <s v="26-35"/>
    <n v="449.37"/>
  </r>
  <r>
    <s v="ORD04880"/>
    <d v="2025-09-08T00:00:00"/>
    <s v="CUST0058"/>
    <x v="0"/>
    <x v="14"/>
    <n v="3"/>
    <n v="0.1"/>
    <n v="1215"/>
    <n v="260.06"/>
    <x v="1"/>
    <s v="Delivered"/>
    <n v="405"/>
    <n v="21.404115226337449"/>
    <s v="Profit"/>
    <s v="Divya Nair"/>
    <x v="2"/>
    <x v="3"/>
    <s v="Guwahati"/>
    <s v="Assam"/>
    <s v="2023-01-13"/>
    <s v="26-35"/>
    <n v="86.686666666666667"/>
  </r>
  <r>
    <s v="ORD04881"/>
    <d v="2025-09-08T00:00:00"/>
    <s v="CUST0130"/>
    <x v="0"/>
    <x v="14"/>
    <n v="4"/>
    <n v="0.2"/>
    <n v="1440"/>
    <n v="230.72"/>
    <x v="2"/>
    <s v="Delivered"/>
    <n v="360"/>
    <n v="16.022222222222219"/>
    <s v="Profit"/>
    <s v="Harini Nair"/>
    <x v="0"/>
    <x v="2"/>
    <s v="Delhi"/>
    <s v="Delhi"/>
    <s v="2025-03-01"/>
    <s v="18-25"/>
    <n v="57.68"/>
  </r>
  <r>
    <s v="ORD04882"/>
    <d v="2025-08-17T00:00:00"/>
    <s v="CUST0235"/>
    <x v="3"/>
    <x v="8"/>
    <n v="1"/>
    <n v="0.05"/>
    <n v="4275"/>
    <n v="1383.03"/>
    <x v="3"/>
    <s v="Delivered"/>
    <n v="4275"/>
    <n v="32.351578947368417"/>
    <s v="Profit"/>
    <s v="Harini Gupta"/>
    <x v="0"/>
    <x v="1"/>
    <s v="Pune"/>
    <s v="Maharashtra"/>
    <s v="2024-04-09"/>
    <s v="26-35"/>
    <n v="1383.03"/>
  </r>
  <r>
    <s v="ORD04883"/>
    <d v="2026-07-22T00:00:00"/>
    <s v="CUST0501"/>
    <x v="2"/>
    <x v="2"/>
    <n v="1"/>
    <n v="0.15"/>
    <n v="11050"/>
    <n v="2082.62"/>
    <x v="2"/>
    <s v="Delivered"/>
    <n v="11050"/>
    <n v="18.847239819004521"/>
    <s v="Profit"/>
    <s v="Rahul Pillai"/>
    <x v="1"/>
    <x v="0"/>
    <s v="Bengaluru"/>
    <s v="Karnataka"/>
    <s v="2024-03-13"/>
    <s v="36-50"/>
    <n v="2082.62"/>
  </r>
  <r>
    <s v="ORD04884"/>
    <d v="2026-03-10T00:00:00"/>
    <s v="CUST0383"/>
    <x v="3"/>
    <x v="4"/>
    <n v="2"/>
    <n v="0.05"/>
    <n v="34200"/>
    <n v="5544.23"/>
    <x v="2"/>
    <s v="Delivered"/>
    <n v="17100"/>
    <n v="16.211198830409359"/>
    <s v="Profit"/>
    <s v="Arjun Mehta"/>
    <x v="0"/>
    <x v="0"/>
    <s v="Chennai"/>
    <s v="Tamil Nadu"/>
    <s v="2024-05-07"/>
    <s v="51+"/>
    <n v="2772.1149999999998"/>
  </r>
  <r>
    <s v="ORD04885"/>
    <d v="2026-01-16T00:00:00"/>
    <s v="CUST0500"/>
    <x v="3"/>
    <x v="4"/>
    <n v="1"/>
    <n v="0.2"/>
    <n v="14400"/>
    <n v="1876.83"/>
    <x v="3"/>
    <s v="Delivered"/>
    <n v="14400"/>
    <n v="13.033541666666659"/>
    <s v="Profit"/>
    <s v="Akash Bose"/>
    <x v="0"/>
    <x v="1"/>
    <s v="Mumbai"/>
    <s v="Maharashtra"/>
    <s v="2024-06-01"/>
    <s v="36-50"/>
    <n v="1876.83"/>
  </r>
  <r>
    <s v="ORD04886"/>
    <d v="2025-11-02T00:00:00"/>
    <s v="CUST0430"/>
    <x v="0"/>
    <x v="6"/>
    <n v="15"/>
    <n v="0"/>
    <n v="5250"/>
    <n v="1800"/>
    <x v="1"/>
    <s v="Shipped"/>
    <n v="350"/>
    <n v="34.285714285714278"/>
    <s v="Profit"/>
    <s v="Akash Mishra"/>
    <x v="0"/>
    <x v="3"/>
    <s v="Patna"/>
    <s v="Bihar"/>
    <s v="2023-02-09"/>
    <s v="36-50"/>
    <n v="120"/>
  </r>
  <r>
    <s v="ORD04887"/>
    <d v="2025-10-26T00:00:00"/>
    <s v="CUST0224"/>
    <x v="3"/>
    <x v="11"/>
    <n v="1"/>
    <n v="0.1"/>
    <n v="2250"/>
    <n v="590.99"/>
    <x v="2"/>
    <s v="Delivered"/>
    <n v="2250"/>
    <n v="26.266222222222229"/>
    <s v="Profit"/>
    <s v="Varun Menon"/>
    <x v="1"/>
    <x v="1"/>
    <s v="Mumbai"/>
    <s v="Maharashtra"/>
    <s v="2023-02-06"/>
    <s v="18-25"/>
    <n v="590.99"/>
  </r>
  <r>
    <s v="ORD04888"/>
    <d v="2025-08-18T00:00:00"/>
    <s v="CUST0291"/>
    <x v="1"/>
    <x v="13"/>
    <n v="1"/>
    <n v="0.15"/>
    <n v="3570"/>
    <n v="742.36"/>
    <x v="0"/>
    <s v="Delivered"/>
    <n v="3570"/>
    <n v="20.794397759103639"/>
    <s v="Profit"/>
    <s v="Divya Chopra"/>
    <x v="1"/>
    <x v="0"/>
    <s v="Bengaluru"/>
    <s v="Karnataka"/>
    <s v="2023-10-19"/>
    <s v="18-25"/>
    <n v="742.36"/>
  </r>
  <r>
    <s v="ORD04889"/>
    <d v="2025-09-15T00:00:00"/>
    <s v="CUST0401"/>
    <x v="0"/>
    <x v="14"/>
    <n v="4"/>
    <n v="0.2"/>
    <n v="1440"/>
    <n v="258.77999999999997"/>
    <x v="2"/>
    <s v="Delivered"/>
    <n v="360"/>
    <n v="17.970833333333331"/>
    <s v="Profit"/>
    <s v="Ananya Nair"/>
    <x v="0"/>
    <x v="0"/>
    <s v="Hyderabad"/>
    <s v="Telangana"/>
    <s v="2024-04-08"/>
    <s v="26-35"/>
    <n v="64.694999999999993"/>
  </r>
  <r>
    <s v="ORD04890"/>
    <d v="2026-08-20T00:00:00"/>
    <s v="CUST0073"/>
    <x v="3"/>
    <x v="10"/>
    <n v="1"/>
    <n v="0.15"/>
    <n v="46750"/>
    <n v="4685.6499999999996"/>
    <x v="1"/>
    <s v="Delivered"/>
    <n v="46750"/>
    <n v="10.0227807486631"/>
    <s v="Profit"/>
    <s v="Kavya Pillai"/>
    <x v="0"/>
    <x v="0"/>
    <s v="Hyderabad"/>
    <s v="Telangana"/>
    <s v="2023-04-01"/>
    <s v="26-35"/>
    <n v="4685.6499999999996"/>
  </r>
  <r>
    <s v="ORD04891"/>
    <d v="2025-12-16T00:00:00"/>
    <s v="CUST0238"/>
    <x v="2"/>
    <x v="3"/>
    <n v="3"/>
    <n v="0.15"/>
    <n v="38250"/>
    <n v="6300.69"/>
    <x v="1"/>
    <s v="Delivered"/>
    <n v="12750"/>
    <n v="16.47239215686275"/>
    <s v="Profit"/>
    <s v="Vikram Sharma"/>
    <x v="2"/>
    <x v="0"/>
    <s v="Bengaluru"/>
    <s v="Karnataka"/>
    <s v="2025-03-30"/>
    <s v="26-35"/>
    <n v="2100.23"/>
  </r>
  <r>
    <s v="ORD04892"/>
    <d v="2025-08-14T00:00:00"/>
    <s v="CUST0047"/>
    <x v="3"/>
    <x v="10"/>
    <n v="1"/>
    <n v="0.05"/>
    <n v="52250"/>
    <n v="7074.23"/>
    <x v="0"/>
    <s v="Delivered"/>
    <n v="52250"/>
    <n v="13.539196172248801"/>
    <s v="Profit"/>
    <s v="Rahul Das"/>
    <x v="2"/>
    <x v="0"/>
    <s v="Hyderabad"/>
    <s v="Telangana"/>
    <s v="2025-07-16"/>
    <s v="26-35"/>
    <n v="7074.23"/>
  </r>
  <r>
    <s v="ORD04893"/>
    <d v="2025-12-22T00:00:00"/>
    <s v="CUST0228"/>
    <x v="3"/>
    <x v="8"/>
    <n v="5"/>
    <n v="0.05"/>
    <n v="21375"/>
    <n v="6777.74"/>
    <x v="1"/>
    <s v="Delivered"/>
    <n v="4275"/>
    <n v="31.70872514619883"/>
    <s v="Profit"/>
    <s v="Rohan Reddy"/>
    <x v="2"/>
    <x v="0"/>
    <s v="Coimbatore"/>
    <s v="Tamil Nadu"/>
    <s v="2025-11-28"/>
    <s v="36-50"/>
    <n v="1355.548"/>
  </r>
  <r>
    <s v="ORD04894"/>
    <d v="2025-11-27T00:00:00"/>
    <s v="CUST0166"/>
    <x v="3"/>
    <x v="10"/>
    <n v="1"/>
    <n v="0.15"/>
    <n v="46750"/>
    <n v="4731.9399999999996"/>
    <x v="0"/>
    <s v="Shipped"/>
    <n v="46750"/>
    <n v="10.121796791443851"/>
    <s v="Profit"/>
    <s v="Arjun Gupta"/>
    <x v="2"/>
    <x v="0"/>
    <s v="Chennai"/>
    <s v="Tamil Nadu"/>
    <s v="2024-10-19"/>
    <s v="18-25"/>
    <n v="4731.9399999999996"/>
  </r>
  <r>
    <s v="ORD04895"/>
    <d v="2026-07-27T00:00:00"/>
    <s v="CUST0083"/>
    <x v="0"/>
    <x v="6"/>
    <n v="2"/>
    <n v="0.1"/>
    <n v="630"/>
    <n v="-24.12"/>
    <x v="3"/>
    <s v="Returned"/>
    <n v="315"/>
    <n v="-3.8285714285714278"/>
    <s v="Loss"/>
    <s v="Nisha Singh"/>
    <x v="0"/>
    <x v="0"/>
    <s v="Bengaluru"/>
    <s v="Karnataka"/>
    <s v="2024-07-24"/>
    <s v="26-35"/>
    <n v="-12.06"/>
  </r>
  <r>
    <s v="ORD04896"/>
    <d v="2026-02-07T00:00:00"/>
    <s v="CUST0169"/>
    <x v="3"/>
    <x v="11"/>
    <n v="6"/>
    <n v="0"/>
    <n v="15000"/>
    <n v="4800"/>
    <x v="1"/>
    <s v="Delivered"/>
    <n v="2500"/>
    <n v="32"/>
    <s v="Profit"/>
    <s v="Sneha Bose"/>
    <x v="0"/>
    <x v="0"/>
    <s v="Hyderabad"/>
    <s v="Telangana"/>
    <s v="2024-09-10"/>
    <s v="26-35"/>
    <n v="800"/>
  </r>
  <r>
    <s v="ORD04897"/>
    <d v="2025-11-16T00:00:00"/>
    <s v="CUST0098"/>
    <x v="0"/>
    <x v="6"/>
    <n v="3"/>
    <n v="0"/>
    <n v="1050"/>
    <n v="360"/>
    <x v="3"/>
    <s v="Delivered"/>
    <n v="350"/>
    <n v="34.285714285714278"/>
    <s v="Profit"/>
    <s v="Diya Reddy"/>
    <x v="2"/>
    <x v="2"/>
    <s v="Chandigarh"/>
    <s v="Chandigarh"/>
    <s v="2024-10-06"/>
    <s v="26-35"/>
    <n v="120"/>
  </r>
  <r>
    <s v="ORD04898"/>
    <d v="2025-10-16T00:00:00"/>
    <s v="CUST0064"/>
    <x v="0"/>
    <x v="7"/>
    <n v="3"/>
    <n v="0"/>
    <n v="2700"/>
    <n v="840"/>
    <x v="2"/>
    <s v="Delivered"/>
    <n v="900"/>
    <n v="31.111111111111111"/>
    <s v="Profit"/>
    <s v="Diya Rao"/>
    <x v="1"/>
    <x v="0"/>
    <s v="Chennai"/>
    <s v="Tamil Nadu"/>
    <s v="2025-05-13"/>
    <s v="26-35"/>
    <n v="280"/>
  </r>
  <r>
    <s v="ORD04899"/>
    <d v="2026-06-16T00:00:00"/>
    <s v="CUST0040"/>
    <x v="3"/>
    <x v="8"/>
    <n v="1"/>
    <n v="0.1"/>
    <n v="4050"/>
    <n v="1269.83"/>
    <x v="3"/>
    <s v="Delivered"/>
    <n v="4050"/>
    <n v="31.353827160493829"/>
    <s v="Profit"/>
    <s v="Shreya Reddy"/>
    <x v="0"/>
    <x v="2"/>
    <s v="Delhi"/>
    <s v="Delhi"/>
    <s v="2025-05-04"/>
    <s v="26-35"/>
    <n v="1269.83"/>
  </r>
  <r>
    <s v="ORD04900"/>
    <d v="2026-01-15T00:00:00"/>
    <s v="CUST0590"/>
    <x v="0"/>
    <x v="6"/>
    <n v="6"/>
    <n v="0.1"/>
    <n v="1890"/>
    <n v="-368.45"/>
    <x v="3"/>
    <s v="Returned"/>
    <n v="315"/>
    <n v="-19.49470899470899"/>
    <s v="Loss"/>
    <s v="Aarav Bose"/>
    <x v="0"/>
    <x v="1"/>
    <s v="Pune"/>
    <s v="Maharashtra"/>
    <s v="2025-08-22"/>
    <s v="36-50"/>
    <n v="-61.408333333333331"/>
  </r>
  <r>
    <s v="ORD04901"/>
    <d v="2026-06-07T00:00:00"/>
    <s v="CUST0243"/>
    <x v="1"/>
    <x v="12"/>
    <n v="4"/>
    <n v="0.05"/>
    <n v="5320"/>
    <n v="407.23"/>
    <x v="2"/>
    <s v="Cancelled"/>
    <n v="1330"/>
    <n v="7.654699248120302"/>
    <s v="Profit"/>
    <s v="Manoj Das"/>
    <x v="1"/>
    <x v="3"/>
    <s v="Kolkata"/>
    <s v="West Bengal"/>
    <s v="2023-02-23"/>
    <s v="26-35"/>
    <n v="101.8075"/>
  </r>
  <r>
    <s v="ORD04902"/>
    <d v="2025-08-20T00:00:00"/>
    <s v="CUST0284"/>
    <x v="2"/>
    <x v="3"/>
    <n v="1"/>
    <n v="0.3"/>
    <n v="10500"/>
    <n v="1461.15"/>
    <x v="1"/>
    <s v="Shipped"/>
    <n v="10500"/>
    <n v="13.915714285714291"/>
    <s v="Profit"/>
    <s v="Pooja Mehta"/>
    <x v="0"/>
    <x v="0"/>
    <s v="Chennai"/>
    <s v="Tamil Nadu"/>
    <s v="2024-07-24"/>
    <s v="36-50"/>
    <n v="1461.15"/>
  </r>
  <r>
    <s v="ORD04903"/>
    <d v="2025-07-17T00:00:00"/>
    <s v="CUST0396"/>
    <x v="1"/>
    <x v="13"/>
    <n v="15"/>
    <n v="0.1"/>
    <n v="56700"/>
    <n v="14605.15"/>
    <x v="1"/>
    <s v="Delivered"/>
    <n v="3780"/>
    <n v="25.758641975308649"/>
    <s v="Profit"/>
    <s v="Rahul Mishra"/>
    <x v="0"/>
    <x v="0"/>
    <s v="Bengaluru"/>
    <s v="Karnataka"/>
    <s v="2023-05-26"/>
    <s v="18-25"/>
    <n v="973.67666666666662"/>
  </r>
  <r>
    <s v="ORD04904"/>
    <d v="2025-12-17T00:00:00"/>
    <s v="CUST0341"/>
    <x v="0"/>
    <x v="0"/>
    <n v="3"/>
    <n v="0.2"/>
    <n v="33600"/>
    <n v="-10594.55"/>
    <x v="1"/>
    <s v="Returned"/>
    <n v="11200"/>
    <n v="-31.531398809523811"/>
    <s v="Loss"/>
    <s v="Arjun Mehta"/>
    <x v="1"/>
    <x v="0"/>
    <s v="Coimbatore"/>
    <s v="Tamil Nadu"/>
    <s v="2023-11-21"/>
    <s v="26-35"/>
    <n v="-3531.516666666666"/>
  </r>
  <r>
    <s v="ORD04905"/>
    <d v="2025-07-05T00:00:00"/>
    <s v="CUST0537"/>
    <x v="0"/>
    <x v="6"/>
    <n v="2"/>
    <n v="0.15"/>
    <n v="595"/>
    <n v="180.33"/>
    <x v="3"/>
    <s v="Delivered"/>
    <n v="297.5"/>
    <n v="30.30756302521009"/>
    <s v="Profit"/>
    <s v="Vikram Pillai"/>
    <x v="0"/>
    <x v="0"/>
    <s v="Bengaluru"/>
    <s v="Karnataka"/>
    <s v="2023-11-18"/>
    <s v="26-35"/>
    <n v="90.165000000000006"/>
  </r>
  <r>
    <s v="ORD04906"/>
    <d v="2026-03-17T00:00:00"/>
    <s v="CUST0307"/>
    <x v="2"/>
    <x v="9"/>
    <n v="2"/>
    <n v="0.15"/>
    <n v="15300"/>
    <n v="-1382.15"/>
    <x v="1"/>
    <s v="Returned"/>
    <n v="7650"/>
    <n v="-9.033660130718955"/>
    <s v="Loss"/>
    <s v="Diya Mishra"/>
    <x v="1"/>
    <x v="0"/>
    <s v="Coimbatore"/>
    <s v="Tamil Nadu"/>
    <s v="2024-12-29"/>
    <s v="26-35"/>
    <n v="-691.07500000000005"/>
  </r>
  <r>
    <s v="ORD04907"/>
    <d v="2025-08-31T00:00:00"/>
    <s v="CUST0503"/>
    <x v="2"/>
    <x v="9"/>
    <n v="1"/>
    <n v="0.2"/>
    <n v="7200"/>
    <n v="930.11"/>
    <x v="1"/>
    <s v="Delivered"/>
    <n v="7200"/>
    <n v="12.918194444444451"/>
    <s v="Profit"/>
    <s v="Manoj Nair"/>
    <x v="2"/>
    <x v="0"/>
    <s v="Hyderabad"/>
    <s v="Telangana"/>
    <s v="2025-08-16"/>
    <s v="51+"/>
    <n v="930.11"/>
  </r>
  <r>
    <s v="ORD04908"/>
    <d v="2025-11-12T00:00:00"/>
    <s v="CUST0593"/>
    <x v="0"/>
    <x v="7"/>
    <n v="2"/>
    <n v="0.05"/>
    <n v="1710"/>
    <n v="501.93"/>
    <x v="0"/>
    <s v="Delivered"/>
    <n v="855"/>
    <n v="29.352631578947371"/>
    <s v="Profit"/>
    <s v="Ananya Reddy"/>
    <x v="1"/>
    <x v="2"/>
    <s v="Lucknow"/>
    <s v="Uttar Pradesh"/>
    <s v="2023-11-05"/>
    <s v="51+"/>
    <n v="250.965"/>
  </r>
  <r>
    <s v="ORD04909"/>
    <d v="2026-05-12T00:00:00"/>
    <s v="CUST0359"/>
    <x v="3"/>
    <x v="10"/>
    <n v="1"/>
    <n v="0.05"/>
    <n v="52250"/>
    <n v="6721.29"/>
    <x v="0"/>
    <s v="Delivered"/>
    <n v="52250"/>
    <n v="12.863712918660291"/>
    <s v="Profit"/>
    <s v="Ananya Mishra"/>
    <x v="0"/>
    <x v="0"/>
    <s v="Bengaluru"/>
    <s v="Karnataka"/>
    <s v="2024-05-22"/>
    <s v="26-35"/>
    <n v="6721.29"/>
  </r>
  <r>
    <s v="ORD04910"/>
    <d v="2025-07-15T00:00:00"/>
    <s v="CUST0292"/>
    <x v="0"/>
    <x v="7"/>
    <n v="5"/>
    <n v="0.05"/>
    <n v="4275"/>
    <n v="-1579.42"/>
    <x v="0"/>
    <s v="Returned"/>
    <n v="855"/>
    <n v="-36.945497076023393"/>
    <s v="Loss"/>
    <s v="Sanjay Khan"/>
    <x v="0"/>
    <x v="0"/>
    <s v="Bengaluru"/>
    <s v="Karnataka"/>
    <s v="2023-07-05"/>
    <s v="26-35"/>
    <n v="-315.88400000000001"/>
  </r>
  <r>
    <s v="ORD04911"/>
    <d v="2026-08-12T00:00:00"/>
    <s v="CUST0220"/>
    <x v="3"/>
    <x v="4"/>
    <n v="4"/>
    <n v="0.2"/>
    <n v="57600"/>
    <n v="3296.9"/>
    <x v="3"/>
    <s v="Delivered"/>
    <n v="14400"/>
    <n v="5.7237847222222218"/>
    <s v="Profit"/>
    <s v="Pooja Kulkarni"/>
    <x v="0"/>
    <x v="1"/>
    <s v="Surat"/>
    <s v="Gujarat"/>
    <s v="2024-05-02"/>
    <s v="18-25"/>
    <n v="824.22500000000002"/>
  </r>
  <r>
    <s v="ORD04912"/>
    <d v="2025-12-10T00:00:00"/>
    <s v="CUST0410"/>
    <x v="1"/>
    <x v="1"/>
    <n v="5"/>
    <n v="0.05"/>
    <n v="8550"/>
    <n v="2926.6"/>
    <x v="0"/>
    <s v="Delivered"/>
    <n v="1710"/>
    <n v="34.229239766081868"/>
    <s v="Profit"/>
    <s v="Pooja Iyer"/>
    <x v="1"/>
    <x v="0"/>
    <s v="Bengaluru"/>
    <s v="Karnataka"/>
    <s v="2025-07-08"/>
    <s v="18-25"/>
    <n v="585.31999999999994"/>
  </r>
  <r>
    <s v="ORD04913"/>
    <d v="2025-10-05T00:00:00"/>
    <s v="CUST0420"/>
    <x v="0"/>
    <x v="7"/>
    <n v="1"/>
    <n v="0"/>
    <n v="900"/>
    <n v="280"/>
    <x v="1"/>
    <s v="Delivered"/>
    <n v="900"/>
    <n v="31.111111111111111"/>
    <s v="Profit"/>
    <s v="Ishaan Gupta"/>
    <x v="0"/>
    <x v="2"/>
    <s v="Delhi"/>
    <s v="Delhi"/>
    <s v="2024-04-07"/>
    <s v="36-50"/>
    <n v="280"/>
  </r>
  <r>
    <s v="ORD04914"/>
    <d v="2026-05-12T00:00:00"/>
    <s v="CUST0005"/>
    <x v="1"/>
    <x v="13"/>
    <n v="1"/>
    <n v="0"/>
    <n v="4200"/>
    <n v="1200"/>
    <x v="2"/>
    <s v="Delivered"/>
    <n v="4200"/>
    <n v="28.571428571428569"/>
    <s v="Profit"/>
    <s v="Rahul Kulkarni"/>
    <x v="1"/>
    <x v="1"/>
    <s v="Mumbai"/>
    <s v="Maharashtra"/>
    <s v="2024-11-06"/>
    <s v="18-25"/>
    <n v="1200"/>
  </r>
  <r>
    <s v="ORD04915"/>
    <d v="2026-02-07T00:00:00"/>
    <s v="CUST0025"/>
    <x v="3"/>
    <x v="4"/>
    <n v="5"/>
    <n v="0.15"/>
    <n v="76500"/>
    <n v="7087.86"/>
    <x v="1"/>
    <s v="Delivered"/>
    <n v="15300"/>
    <n v="9.2651764705882353"/>
    <s v="Profit"/>
    <s v="Aditya Rao"/>
    <x v="0"/>
    <x v="2"/>
    <s v="Chandigarh"/>
    <s v="Chandigarh"/>
    <s v="2025-12-16"/>
    <s v="26-35"/>
    <n v="1417.5719999999999"/>
  </r>
  <r>
    <s v="ORD04916"/>
    <d v="2025-08-14T00:00:00"/>
    <s v="CUST0565"/>
    <x v="3"/>
    <x v="8"/>
    <n v="3"/>
    <n v="0.05"/>
    <n v="12825"/>
    <n v="-1510.84"/>
    <x v="2"/>
    <s v="Cancelled"/>
    <n v="4275"/>
    <n v="-11.780428849902529"/>
    <s v="Loss"/>
    <s v="Rahul Bose"/>
    <x v="0"/>
    <x v="0"/>
    <s v="Coimbatore"/>
    <s v="Tamil Nadu"/>
    <s v="2024-03-26"/>
    <s v="51+"/>
    <n v="-503.61333333333329"/>
  </r>
  <r>
    <s v="ORD04917"/>
    <d v="2025-09-24T00:00:00"/>
    <s v="CUST0393"/>
    <x v="3"/>
    <x v="11"/>
    <n v="6"/>
    <n v="0.05"/>
    <n v="14250"/>
    <n v="4199.55"/>
    <x v="3"/>
    <s v="Delivered"/>
    <n v="2375"/>
    <n v="29.470526315789471"/>
    <s v="Profit"/>
    <s v="Vikram Patel"/>
    <x v="1"/>
    <x v="1"/>
    <s v="Mumbai"/>
    <s v="Maharashtra"/>
    <s v="2024-07-03"/>
    <s v="36-50"/>
    <n v="699.92500000000007"/>
  </r>
  <r>
    <s v="ORD04918"/>
    <d v="2026-01-06T00:00:00"/>
    <s v="CUST0132"/>
    <x v="3"/>
    <x v="8"/>
    <n v="1"/>
    <n v="0.3"/>
    <n v="3150"/>
    <n v="594.88"/>
    <x v="3"/>
    <s v="Shipped"/>
    <n v="3150"/>
    <n v="18.88507936507937"/>
    <s v="Profit"/>
    <s v="Akash Rao"/>
    <x v="2"/>
    <x v="1"/>
    <s v="Pune"/>
    <s v="Maharashtra"/>
    <s v="2023-10-01"/>
    <s v="36-50"/>
    <n v="594.88"/>
  </r>
  <r>
    <s v="ORD04919"/>
    <d v="2025-11-13T00:00:00"/>
    <s v="CUST0129"/>
    <x v="2"/>
    <x v="3"/>
    <n v="4"/>
    <n v="0.15"/>
    <n v="51000"/>
    <n v="-30213.95"/>
    <x v="2"/>
    <s v="Returned"/>
    <n v="12750"/>
    <n v="-59.243039215686281"/>
    <s v="Loss"/>
    <s v="Varun Patel"/>
    <x v="0"/>
    <x v="3"/>
    <s v="Kolkata"/>
    <s v="West Bengal"/>
    <s v="2024-08-22"/>
    <s v="51+"/>
    <n v="-7553.4875000000002"/>
  </r>
  <r>
    <s v="ORD04920"/>
    <d v="2025-11-03T00:00:00"/>
    <s v="CUST0152"/>
    <x v="0"/>
    <x v="14"/>
    <n v="3"/>
    <n v="0.15"/>
    <n v="1147.5"/>
    <n v="215.48"/>
    <x v="1"/>
    <s v="Delivered"/>
    <n v="382.5"/>
    <n v="18.778213507625271"/>
    <s v="Profit"/>
    <s v="Harini Rao"/>
    <x v="0"/>
    <x v="0"/>
    <s v="Coimbatore"/>
    <s v="Tamil Nadu"/>
    <s v="2025-12-02"/>
    <s v="51+"/>
    <n v="71.826666666666668"/>
  </r>
  <r>
    <s v="ORD04921"/>
    <d v="2026-08-25T00:00:00"/>
    <s v="CUST0363"/>
    <x v="2"/>
    <x v="9"/>
    <n v="1"/>
    <n v="0.15"/>
    <n v="7650"/>
    <n v="1228.21"/>
    <x v="0"/>
    <s v="Delivered"/>
    <n v="7650"/>
    <n v="16.055032679738559"/>
    <s v="Profit"/>
    <s v="Priya Patel"/>
    <x v="1"/>
    <x v="0"/>
    <s v="Chennai"/>
    <s v="Tamil Nadu"/>
    <s v="2024-01-12"/>
    <s v="51+"/>
    <n v="1228.21"/>
  </r>
  <r>
    <s v="ORD04922"/>
    <d v="2025-08-13T00:00:00"/>
    <s v="CUST0199"/>
    <x v="3"/>
    <x v="8"/>
    <n v="2"/>
    <n v="0"/>
    <n v="9000"/>
    <n v="-3914.38"/>
    <x v="1"/>
    <s v="Returned"/>
    <n v="4500"/>
    <n v="-43.493111111111112"/>
    <s v="Loss"/>
    <s v="Shreya Pillai"/>
    <x v="0"/>
    <x v="2"/>
    <s v="Jaipur"/>
    <s v="Rajasthan"/>
    <s v="2023-07-08"/>
    <s v="26-35"/>
    <n v="-1957.19"/>
  </r>
  <r>
    <s v="ORD04923"/>
    <d v="2026-08-29T00:00:00"/>
    <s v="CUST0177"/>
    <x v="2"/>
    <x v="2"/>
    <n v="3"/>
    <n v="0.15"/>
    <n v="33150"/>
    <n v="4685.28"/>
    <x v="3"/>
    <s v="Delivered"/>
    <n v="11050"/>
    <n v="14.13357466063348"/>
    <s v="Profit"/>
    <s v="Lakshmi Mehta"/>
    <x v="2"/>
    <x v="1"/>
    <s v="Mumbai"/>
    <s v="Maharashtra"/>
    <s v="2023-11-03"/>
    <s v="26-35"/>
    <n v="1561.76"/>
  </r>
  <r>
    <s v="ORD04924"/>
    <d v="2025-08-05T00:00:00"/>
    <s v="CUST0526"/>
    <x v="1"/>
    <x v="15"/>
    <n v="1"/>
    <n v="0.1"/>
    <n v="1980"/>
    <n v="-792.17"/>
    <x v="3"/>
    <s v="Returned"/>
    <n v="1980"/>
    <n v="-40.008585858585853"/>
    <s v="Loss"/>
    <s v="Meera Mehta"/>
    <x v="0"/>
    <x v="1"/>
    <s v="Pune"/>
    <s v="Maharashtra"/>
    <s v="2023-10-08"/>
    <s v="18-25"/>
    <n v="-792.17"/>
  </r>
  <r>
    <s v="ORD04925"/>
    <d v="2026-05-22T00:00:00"/>
    <s v="CUST0571"/>
    <x v="0"/>
    <x v="0"/>
    <n v="4"/>
    <n v="0.05"/>
    <n v="53200"/>
    <n v="8990.11"/>
    <x v="0"/>
    <s v="Delivered"/>
    <n v="13300"/>
    <n v="16.898703007518801"/>
    <s v="Profit"/>
    <s v="Vikram Mehta"/>
    <x v="2"/>
    <x v="3"/>
    <s v="Bhubaneswar"/>
    <s v="Odisha"/>
    <s v="2023-10-30"/>
    <s v="36-50"/>
    <n v="2247.5275000000001"/>
  </r>
  <r>
    <s v="ORD04926"/>
    <d v="2026-06-27T00:00:00"/>
    <s v="CUST0478"/>
    <x v="0"/>
    <x v="0"/>
    <n v="1"/>
    <n v="0"/>
    <n v="14000"/>
    <n v="2800"/>
    <x v="3"/>
    <s v="Delivered"/>
    <n v="14000"/>
    <n v="20"/>
    <s v="Profit"/>
    <s v="Akash Iyer"/>
    <x v="0"/>
    <x v="1"/>
    <s v="Mumbai"/>
    <s v="Maharashtra"/>
    <s v="2023-10-15"/>
    <s v="51+"/>
    <n v="2800"/>
  </r>
  <r>
    <s v="ORD04927"/>
    <d v="2026-04-01T00:00:00"/>
    <s v="CUST0561"/>
    <x v="0"/>
    <x v="6"/>
    <n v="1"/>
    <n v="0"/>
    <n v="350"/>
    <n v="120"/>
    <x v="2"/>
    <s v="Delivered"/>
    <n v="350"/>
    <n v="34.285714285714278"/>
    <s v="Profit"/>
    <s v="Harini Joshi"/>
    <x v="1"/>
    <x v="0"/>
    <s v="Coimbatore"/>
    <s v="Tamil Nadu"/>
    <s v="2023-09-10"/>
    <s v="26-35"/>
    <n v="120"/>
  </r>
  <r>
    <s v="ORD04928"/>
    <d v="2026-06-16T00:00:00"/>
    <s v="CUST0119"/>
    <x v="1"/>
    <x v="1"/>
    <n v="1"/>
    <n v="0.2"/>
    <n v="1440"/>
    <n v="-579.9"/>
    <x v="0"/>
    <s v="Cancelled"/>
    <n v="1440"/>
    <n v="-40.270833333333343"/>
    <s v="Loss"/>
    <s v="Divya Naidu"/>
    <x v="1"/>
    <x v="0"/>
    <s v="Coimbatore"/>
    <s v="Tamil Nadu"/>
    <s v="2023-05-25"/>
    <s v="36-50"/>
    <n v="-579.9"/>
  </r>
  <r>
    <s v="ORD04929"/>
    <d v="2026-06-26T00:00:00"/>
    <s v="CUST0082"/>
    <x v="3"/>
    <x v="10"/>
    <n v="2"/>
    <n v="0"/>
    <n v="110000"/>
    <n v="18000"/>
    <x v="1"/>
    <s v="Delivered"/>
    <n v="55000"/>
    <n v="16.36363636363636"/>
    <s v="Profit"/>
    <s v="Sneha Singh"/>
    <x v="2"/>
    <x v="3"/>
    <s v="Patna"/>
    <s v="Bihar"/>
    <s v="2024-05-04"/>
    <s v="36-50"/>
    <n v="9000"/>
  </r>
  <r>
    <s v="ORD04930"/>
    <d v="2025-12-07T00:00:00"/>
    <s v="CUST0489"/>
    <x v="2"/>
    <x v="5"/>
    <n v="6"/>
    <n v="0.15"/>
    <n v="56100"/>
    <n v="7585.59"/>
    <x v="2"/>
    <s v="Delivered"/>
    <n v="9350"/>
    <n v="13.521550802139039"/>
    <s v="Profit"/>
    <s v="Kavya Das"/>
    <x v="0"/>
    <x v="0"/>
    <s v="Coimbatore"/>
    <s v="Tamil Nadu"/>
    <s v="2024-03-29"/>
    <s v="26-35"/>
    <n v="1264.2650000000001"/>
  </r>
  <r>
    <s v="ORD04931"/>
    <d v="2026-03-26T00:00:00"/>
    <s v="CUST0081"/>
    <x v="3"/>
    <x v="10"/>
    <n v="5"/>
    <n v="0.15"/>
    <n v="233750"/>
    <n v="13262.13"/>
    <x v="1"/>
    <s v="Delivered"/>
    <n v="46750"/>
    <n v="5.6736385026737963"/>
    <s v="Profit"/>
    <s v="Ananya Rao"/>
    <x v="2"/>
    <x v="0"/>
    <s v="Chennai"/>
    <s v="Tamil Nadu"/>
    <s v="2023-10-09"/>
    <s v="36-50"/>
    <n v="2652.4259999999999"/>
  </r>
  <r>
    <s v="ORD04932"/>
    <d v="2026-03-27T00:00:00"/>
    <s v="CUST0585"/>
    <x v="2"/>
    <x v="5"/>
    <n v="2"/>
    <n v="0.15"/>
    <n v="18700"/>
    <n v="-5514.41"/>
    <x v="2"/>
    <s v="Returned"/>
    <n v="9350"/>
    <n v="-29.488823529411761"/>
    <s v="Loss"/>
    <s v="Diya Reddy"/>
    <x v="1"/>
    <x v="0"/>
    <s v="Bengaluru"/>
    <s v="Karnataka"/>
    <s v="2024-03-03"/>
    <s v="51+"/>
    <n v="-2757.2049999999999"/>
  </r>
  <r>
    <s v="ORD04933"/>
    <d v="2025-12-19T00:00:00"/>
    <s v="CUST0301"/>
    <x v="0"/>
    <x v="14"/>
    <n v="2"/>
    <n v="0.3"/>
    <n v="630"/>
    <n v="-2.2200000000000002"/>
    <x v="2"/>
    <s v="Delivered"/>
    <n v="315"/>
    <n v="-0.35238095238095241"/>
    <s v="Loss"/>
    <s v="Pooja Bose"/>
    <x v="0"/>
    <x v="0"/>
    <s v="Bengaluru"/>
    <s v="Karnataka"/>
    <s v="2025-11-12"/>
    <s v="26-35"/>
    <n v="-1.1100000000000001"/>
  </r>
  <r>
    <s v="ORD04934"/>
    <d v="2026-03-17T00:00:00"/>
    <s v="CUST0475"/>
    <x v="2"/>
    <x v="9"/>
    <n v="3"/>
    <n v="0"/>
    <n v="27000"/>
    <n v="6900"/>
    <x v="1"/>
    <s v="Shipped"/>
    <n v="9000"/>
    <n v="25.55555555555555"/>
    <s v="Profit"/>
    <s v="Divya Verma"/>
    <x v="0"/>
    <x v="0"/>
    <s v="Bengaluru"/>
    <s v="Karnataka"/>
    <s v="2025-12-10"/>
    <s v="26-35"/>
    <n v="2300"/>
  </r>
  <r>
    <s v="ORD04935"/>
    <d v="2026-04-10T00:00:00"/>
    <s v="CUST0053"/>
    <x v="0"/>
    <x v="6"/>
    <n v="1"/>
    <n v="0.1"/>
    <n v="315"/>
    <n v="100.1"/>
    <x v="3"/>
    <s v="Delivered"/>
    <n v="315"/>
    <n v="31.777777777777779"/>
    <s v="Profit"/>
    <s v="Aarav Menon"/>
    <x v="2"/>
    <x v="1"/>
    <s v="Pune"/>
    <s v="Maharashtra"/>
    <s v="2025-06-23"/>
    <s v="26-35"/>
    <n v="100.1"/>
  </r>
  <r>
    <s v="ORD04936"/>
    <d v="2025-09-14T00:00:00"/>
    <s v="CUST0550"/>
    <x v="2"/>
    <x v="2"/>
    <n v="2"/>
    <n v="0.1"/>
    <n v="23400"/>
    <n v="5114.83"/>
    <x v="2"/>
    <s v="Shipped"/>
    <n v="11700"/>
    <n v="21.858247863247861"/>
    <s v="Profit"/>
    <s v="Sneha Pillai"/>
    <x v="0"/>
    <x v="1"/>
    <s v="Mumbai"/>
    <s v="Maharashtra"/>
    <s v="2025-02-28"/>
    <s v="36-50"/>
    <n v="2557.415"/>
  </r>
  <r>
    <s v="ORD04937"/>
    <d v="2025-11-04T00:00:00"/>
    <s v="CUST0167"/>
    <x v="0"/>
    <x v="14"/>
    <n v="1"/>
    <n v="0.2"/>
    <n v="360"/>
    <n v="-165.64"/>
    <x v="0"/>
    <s v="Returned"/>
    <n v="360"/>
    <n v="-46.011111111111113"/>
    <s v="Loss"/>
    <s v="Aarav Mehta"/>
    <x v="0"/>
    <x v="0"/>
    <s v="Hyderabad"/>
    <s v="Telangana"/>
    <s v="2024-10-15"/>
    <s v="51+"/>
    <n v="-165.64"/>
  </r>
  <r>
    <s v="ORD04938"/>
    <d v="2026-04-19T00:00:00"/>
    <s v="CUST0326"/>
    <x v="0"/>
    <x v="6"/>
    <n v="1"/>
    <n v="0.1"/>
    <n v="315"/>
    <n v="91.89"/>
    <x v="0"/>
    <s v="Delivered"/>
    <n v="315"/>
    <n v="29.171428571428571"/>
    <s v="Profit"/>
    <s v="Karthik Das"/>
    <x v="0"/>
    <x v="2"/>
    <s v="Lucknow"/>
    <s v="Uttar Pradesh"/>
    <s v="2025-07-07"/>
    <s v="51+"/>
    <n v="91.89"/>
  </r>
  <r>
    <s v="ORD04939"/>
    <d v="2025-07-22T00:00:00"/>
    <s v="CUST0473"/>
    <x v="0"/>
    <x v="6"/>
    <n v="2"/>
    <n v="0.1"/>
    <n v="630"/>
    <n v="180.88"/>
    <x v="3"/>
    <s v="Delivered"/>
    <n v="315"/>
    <n v="28.711111111111109"/>
    <s v="Profit"/>
    <s v="Ananya Rao"/>
    <x v="2"/>
    <x v="2"/>
    <s v="Chandigarh"/>
    <s v="Chandigarh"/>
    <s v="2025-12-18"/>
    <s v="51+"/>
    <n v="90.44"/>
  </r>
  <r>
    <s v="ORD04940"/>
    <d v="2026-05-01T00:00:00"/>
    <s v="CUST0515"/>
    <x v="3"/>
    <x v="8"/>
    <n v="3"/>
    <n v="0.1"/>
    <n v="12150"/>
    <n v="3852.62"/>
    <x v="2"/>
    <s v="Delivered"/>
    <n v="4050"/>
    <n v="31.70880658436214"/>
    <s v="Profit"/>
    <s v="Priya Rao"/>
    <x v="2"/>
    <x v="0"/>
    <s v="Chennai"/>
    <s v="Tamil Nadu"/>
    <s v="2025-06-05"/>
    <s v="18-25"/>
    <n v="1284.2066666666669"/>
  </r>
  <r>
    <s v="ORD04941"/>
    <d v="2026-03-18T00:00:00"/>
    <s v="CUST0289"/>
    <x v="2"/>
    <x v="5"/>
    <n v="5"/>
    <n v="0.2"/>
    <n v="44000"/>
    <n v="-4760.3599999999997"/>
    <x v="2"/>
    <s v="Returned"/>
    <n v="8800"/>
    <n v="-10.819000000000001"/>
    <s v="Loss"/>
    <s v="Rahul Iyer"/>
    <x v="2"/>
    <x v="0"/>
    <s v="Coimbatore"/>
    <s v="Tamil Nadu"/>
    <s v="2023-01-07"/>
    <s v="18-25"/>
    <n v="-952.07199999999989"/>
  </r>
  <r>
    <s v="ORD04942"/>
    <d v="2026-04-22T00:00:00"/>
    <s v="CUST0064"/>
    <x v="1"/>
    <x v="13"/>
    <n v="1"/>
    <n v="0.15"/>
    <n v="3570"/>
    <n v="683.29"/>
    <x v="0"/>
    <s v="Delivered"/>
    <n v="3570"/>
    <n v="19.13977591036415"/>
    <s v="Profit"/>
    <s v="Diya Rao"/>
    <x v="1"/>
    <x v="0"/>
    <s v="Chennai"/>
    <s v="Tamil Nadu"/>
    <s v="2025-05-13"/>
    <s v="26-35"/>
    <n v="683.29"/>
  </r>
  <r>
    <s v="ORD04943"/>
    <d v="2026-02-11T00:00:00"/>
    <s v="CUST0425"/>
    <x v="2"/>
    <x v="5"/>
    <n v="3"/>
    <n v="0"/>
    <n v="33000"/>
    <n v="7800"/>
    <x v="2"/>
    <s v="Delivered"/>
    <n v="11000"/>
    <n v="23.63636363636364"/>
    <s v="Profit"/>
    <s v="Lakshmi Mishra"/>
    <x v="0"/>
    <x v="3"/>
    <s v="Bhubaneswar"/>
    <s v="Odisha"/>
    <s v="2024-08-12"/>
    <s v="26-35"/>
    <n v="2600"/>
  </r>
  <r>
    <s v="ORD04944"/>
    <d v="2026-01-23T00:00:00"/>
    <s v="CUST0397"/>
    <x v="0"/>
    <x v="14"/>
    <n v="3"/>
    <n v="0.1"/>
    <n v="1215"/>
    <n v="237.39"/>
    <x v="3"/>
    <s v="Delivered"/>
    <n v="405"/>
    <n v="19.53827160493827"/>
    <s v="Profit"/>
    <s v="Akash Reddy"/>
    <x v="0"/>
    <x v="1"/>
    <s v="Pune"/>
    <s v="Maharashtra"/>
    <s v="2023-04-16"/>
    <s v="36-50"/>
    <n v="79.13"/>
  </r>
  <r>
    <s v="ORD04945"/>
    <d v="2026-02-16T00:00:00"/>
    <s v="CUST0151"/>
    <x v="0"/>
    <x v="7"/>
    <n v="4"/>
    <n v="0.1"/>
    <n v="3240"/>
    <n v="858.71"/>
    <x v="0"/>
    <s v="Delivered"/>
    <n v="810"/>
    <n v="26.503395061728401"/>
    <s v="Profit"/>
    <s v="Akash Nair"/>
    <x v="1"/>
    <x v="3"/>
    <s v="Guwahati"/>
    <s v="Assam"/>
    <s v="2023-03-18"/>
    <s v="36-50"/>
    <n v="214.67750000000001"/>
  </r>
  <r>
    <s v="ORD04946"/>
    <d v="2026-07-06T00:00:00"/>
    <s v="CUST0162"/>
    <x v="0"/>
    <x v="0"/>
    <n v="10"/>
    <n v="0.15"/>
    <n v="119000"/>
    <n v="14768.7"/>
    <x v="0"/>
    <s v="Delivered"/>
    <n v="11900"/>
    <n v="12.410672268907559"/>
    <s v="Profit"/>
    <s v="Lakshmi Bose"/>
    <x v="0"/>
    <x v="0"/>
    <s v="Bengaluru"/>
    <s v="Karnataka"/>
    <s v="2025-06-13"/>
    <s v="26-35"/>
    <n v="1476.87"/>
  </r>
  <r>
    <s v="ORD04947"/>
    <d v="2026-07-16T00:00:00"/>
    <s v="CUST0485"/>
    <x v="3"/>
    <x v="11"/>
    <n v="3"/>
    <n v="0.1"/>
    <n v="6750"/>
    <n v="1878.46"/>
    <x v="3"/>
    <s v="Delivered"/>
    <n v="2250"/>
    <n v="27.82903703703704"/>
    <s v="Profit"/>
    <s v="Lakshmi Patel"/>
    <x v="0"/>
    <x v="2"/>
    <s v="Jaipur"/>
    <s v="Rajasthan"/>
    <s v="2024-10-30"/>
    <s v="26-35"/>
    <n v="626.15333333333331"/>
  </r>
  <r>
    <s v="ORD04948"/>
    <d v="2025-08-20T00:00:00"/>
    <s v="CUST0081"/>
    <x v="3"/>
    <x v="4"/>
    <n v="4"/>
    <n v="0.05"/>
    <n v="68400"/>
    <n v="11854.46"/>
    <x v="2"/>
    <s v="Delivered"/>
    <n v="17100"/>
    <n v="17.331081871345031"/>
    <s v="Profit"/>
    <s v="Ananya Rao"/>
    <x v="2"/>
    <x v="0"/>
    <s v="Chennai"/>
    <s v="Tamil Nadu"/>
    <s v="2023-10-09"/>
    <s v="36-50"/>
    <n v="2963.6149999999998"/>
  </r>
  <r>
    <s v="ORD04949"/>
    <d v="2025-09-11T00:00:00"/>
    <s v="CUST0257"/>
    <x v="2"/>
    <x v="2"/>
    <n v="3"/>
    <n v="0"/>
    <n v="39000"/>
    <n v="9600"/>
    <x v="3"/>
    <s v="Delivered"/>
    <n v="13000"/>
    <n v="24.61538461538462"/>
    <s v="Profit"/>
    <s v="Rahul Patel"/>
    <x v="0"/>
    <x v="2"/>
    <s v="Delhi"/>
    <s v="Delhi"/>
    <s v="2025-10-24"/>
    <s v="36-50"/>
    <n v="3200"/>
  </r>
  <r>
    <s v="ORD04950"/>
    <d v="2025-11-05T00:00:00"/>
    <s v="CUST0052"/>
    <x v="0"/>
    <x v="6"/>
    <n v="10"/>
    <n v="0.1"/>
    <n v="3150"/>
    <n v="975.04"/>
    <x v="0"/>
    <s v="Delivered"/>
    <n v="315"/>
    <n v="30.953650793650791"/>
    <s v="Profit"/>
    <s v="Arjun Verma"/>
    <x v="2"/>
    <x v="0"/>
    <s v="Lucknow"/>
    <s v="Uttar Pradesh"/>
    <s v="2023-11-01"/>
    <s v="26-35"/>
    <n v="97.503999999999991"/>
  </r>
  <r>
    <s v="ORD04951"/>
    <d v="2025-08-03T00:00:00"/>
    <s v="CUST0140"/>
    <x v="1"/>
    <x v="15"/>
    <n v="5"/>
    <n v="0.05"/>
    <n v="10450"/>
    <n v="81.069999999999993"/>
    <x v="2"/>
    <s v="Returned"/>
    <n v="2090"/>
    <n v="0.77578947368421047"/>
    <s v="Profit"/>
    <s v="Ananya Naidu"/>
    <x v="1"/>
    <x v="2"/>
    <s v="Chandigarh"/>
    <s v="Chandigarh"/>
    <s v="2024-04-14"/>
    <s v="26-35"/>
    <n v="16.213999999999999"/>
  </r>
  <r>
    <s v="ORD04952"/>
    <d v="2026-08-26T00:00:00"/>
    <s v="CUST0016"/>
    <x v="3"/>
    <x v="8"/>
    <n v="2"/>
    <n v="0.2"/>
    <n v="7200"/>
    <n v="1871.88"/>
    <x v="2"/>
    <s v="Delivered"/>
    <n v="3600"/>
    <n v="25.998333333333331"/>
    <s v="Profit"/>
    <s v="Ananya Menon"/>
    <x v="0"/>
    <x v="2"/>
    <s v="Jaipur"/>
    <s v="Rajasthan"/>
    <s v="2023-11-11"/>
    <s v="18-25"/>
    <n v="935.94"/>
  </r>
  <r>
    <s v="ORD04953"/>
    <d v="2026-03-17T00:00:00"/>
    <s v="CUST0161"/>
    <x v="3"/>
    <x v="11"/>
    <n v="3"/>
    <n v="0.2"/>
    <n v="6000"/>
    <n v="1328.9"/>
    <x v="3"/>
    <s v="Delivered"/>
    <n v="2000"/>
    <n v="22.14833333333333"/>
    <s v="Profit"/>
    <s v="Rohan Reddy"/>
    <x v="2"/>
    <x v="0"/>
    <s v="Bengaluru"/>
    <s v="Karnataka"/>
    <s v="2025-07-10"/>
    <s v="51+"/>
    <n v="442.9666666666667"/>
  </r>
  <r>
    <s v="ORD04954"/>
    <d v="2026-01-17T00:00:00"/>
    <s v="CUST0430"/>
    <x v="3"/>
    <x v="10"/>
    <n v="6"/>
    <n v="0.05"/>
    <n v="313500"/>
    <n v="-101989.48"/>
    <x v="3"/>
    <s v="Returned"/>
    <n v="52250"/>
    <n v="-32.532529505582133"/>
    <s v="Loss"/>
    <s v="Akash Mishra"/>
    <x v="0"/>
    <x v="3"/>
    <s v="Patna"/>
    <s v="Bihar"/>
    <s v="2023-02-09"/>
    <s v="36-50"/>
    <n v="-16998.24666666667"/>
  </r>
  <r>
    <s v="ORD04955"/>
    <d v="2026-03-28T00:00:00"/>
    <s v="CUST0299"/>
    <x v="1"/>
    <x v="13"/>
    <n v="1"/>
    <n v="0.1"/>
    <n v="3780"/>
    <n v="885.69"/>
    <x v="3"/>
    <s v="Shipped"/>
    <n v="3780"/>
    <n v="23.43095238095238"/>
    <s v="Profit"/>
    <s v="Diya Das"/>
    <x v="0"/>
    <x v="1"/>
    <s v="Ahmedabad"/>
    <s v="Gujarat"/>
    <s v="2023-09-07"/>
    <s v="36-50"/>
    <n v="885.69"/>
  </r>
  <r>
    <s v="ORD04956"/>
    <d v="2025-07-21T00:00:00"/>
    <s v="CUST0292"/>
    <x v="1"/>
    <x v="15"/>
    <n v="1"/>
    <n v="0.05"/>
    <n v="2090"/>
    <n v="671.82"/>
    <x v="2"/>
    <s v="Delivered"/>
    <n v="2090"/>
    <n v="32.144497607655502"/>
    <s v="Profit"/>
    <s v="Sanjay Khan"/>
    <x v="0"/>
    <x v="0"/>
    <s v="Bengaluru"/>
    <s v="Karnataka"/>
    <s v="2023-07-05"/>
    <s v="26-35"/>
    <n v="671.82"/>
  </r>
  <r>
    <s v="ORD04957"/>
    <d v="2026-06-25T00:00:00"/>
    <s v="CUST0363"/>
    <x v="3"/>
    <x v="10"/>
    <n v="2"/>
    <n v="0.1"/>
    <n v="99000"/>
    <n v="11430.44"/>
    <x v="2"/>
    <s v="Delivered"/>
    <n v="49500"/>
    <n v="11.545898989898991"/>
    <s v="Profit"/>
    <s v="Priya Patel"/>
    <x v="1"/>
    <x v="0"/>
    <s v="Chennai"/>
    <s v="Tamil Nadu"/>
    <s v="2024-01-12"/>
    <s v="51+"/>
    <n v="5715.22"/>
  </r>
  <r>
    <s v="ORD04958"/>
    <d v="2025-10-28T00:00:00"/>
    <s v="CUST0344"/>
    <x v="1"/>
    <x v="1"/>
    <n v="6"/>
    <n v="0.15"/>
    <n v="9180"/>
    <n v="2866.83"/>
    <x v="2"/>
    <s v="Delivered"/>
    <n v="1530"/>
    <n v="31.229084967320262"/>
    <s v="Profit"/>
    <s v="Aditya Gupta"/>
    <x v="1"/>
    <x v="1"/>
    <s v="Ahmedabad"/>
    <s v="Gujarat"/>
    <s v="2023-09-29"/>
    <s v="36-50"/>
    <n v="477.80500000000001"/>
  </r>
  <r>
    <s v="ORD04959"/>
    <d v="2026-07-29T00:00:00"/>
    <s v="CUST0553"/>
    <x v="3"/>
    <x v="11"/>
    <n v="1"/>
    <n v="0.15"/>
    <n v="2125"/>
    <n v="577.65"/>
    <x v="0"/>
    <s v="Delivered"/>
    <n v="2125"/>
    <n v="27.183529411764709"/>
    <s v="Profit"/>
    <s v="Diya Mishra"/>
    <x v="2"/>
    <x v="0"/>
    <s v="Coimbatore"/>
    <s v="Tamil Nadu"/>
    <s v="2025-01-24"/>
    <s v="36-50"/>
    <n v="577.65"/>
  </r>
  <r>
    <s v="ORD04960"/>
    <d v="2026-05-24T00:00:00"/>
    <s v="CUST0281"/>
    <x v="2"/>
    <x v="5"/>
    <n v="6"/>
    <n v="0"/>
    <n v="66000"/>
    <n v="-34703.21"/>
    <x v="1"/>
    <s v="Returned"/>
    <n v="11000"/>
    <n v="-52.580621212121223"/>
    <s v="Loss"/>
    <s v="Divya Reddy"/>
    <x v="0"/>
    <x v="0"/>
    <s v="Coimbatore"/>
    <s v="Tamil Nadu"/>
    <s v="2025-04-27"/>
    <s v="36-50"/>
    <n v="-5783.8683333333329"/>
  </r>
  <r>
    <s v="ORD04961"/>
    <d v="2025-10-26T00:00:00"/>
    <s v="CUST0335"/>
    <x v="3"/>
    <x v="11"/>
    <n v="6"/>
    <n v="0.1"/>
    <n v="13500"/>
    <n v="3858.58"/>
    <x v="0"/>
    <s v="Delivered"/>
    <n v="2250"/>
    <n v="28.582074074074072"/>
    <s v="Profit"/>
    <s v="Diya Pillai"/>
    <x v="0"/>
    <x v="0"/>
    <s v="Bengaluru"/>
    <s v="Karnataka"/>
    <s v="2025-05-24"/>
    <s v="36-50"/>
    <n v="643.09666666666669"/>
  </r>
  <r>
    <s v="ORD04962"/>
    <d v="2026-06-01T00:00:00"/>
    <s v="CUST0333"/>
    <x v="1"/>
    <x v="13"/>
    <n v="3"/>
    <n v="0.1"/>
    <n v="11340"/>
    <n v="2712.52"/>
    <x v="3"/>
    <s v="Delivered"/>
    <n v="3780"/>
    <n v="23.919929453262789"/>
    <s v="Profit"/>
    <s v="Aditya Gupta"/>
    <x v="0"/>
    <x v="0"/>
    <s v="Chennai"/>
    <s v="Tamil Nadu"/>
    <s v="2023-02-18"/>
    <s v="26-35"/>
    <n v="904.17333333333329"/>
  </r>
  <r>
    <s v="ORD04963"/>
    <d v="2025-11-08T00:00:00"/>
    <s v="CUST0471"/>
    <x v="3"/>
    <x v="8"/>
    <n v="2"/>
    <n v="0.05"/>
    <n v="8550"/>
    <n v="2681.69"/>
    <x v="1"/>
    <s v="Delivered"/>
    <n v="4275"/>
    <n v="31.36479532163743"/>
    <s v="Profit"/>
    <s v="Divya Kulkarni"/>
    <x v="1"/>
    <x v="2"/>
    <s v="Jaipur"/>
    <s v="Rajasthan"/>
    <s v="2025-04-16"/>
    <s v="26-35"/>
    <n v="1340.845"/>
  </r>
  <r>
    <s v="ORD04964"/>
    <d v="2026-07-12T00:00:00"/>
    <s v="CUST0012"/>
    <x v="3"/>
    <x v="11"/>
    <n v="1"/>
    <n v="0"/>
    <n v="2500"/>
    <n v="800"/>
    <x v="1"/>
    <s v="Shipped"/>
    <n v="2500"/>
    <n v="32"/>
    <s v="Profit"/>
    <s v="Akash Nair"/>
    <x v="1"/>
    <x v="0"/>
    <s v="Chennai"/>
    <s v="Tamil Nadu"/>
    <s v="2025-11-27"/>
    <s v="36-50"/>
    <n v="800"/>
  </r>
  <r>
    <s v="ORD04965"/>
    <d v="2025-11-14T00:00:00"/>
    <s v="CUST0390"/>
    <x v="0"/>
    <x v="0"/>
    <n v="3"/>
    <n v="0.15"/>
    <n v="35700"/>
    <n v="4998.8"/>
    <x v="0"/>
    <s v="Delivered"/>
    <n v="11900"/>
    <n v="14.002240896358551"/>
    <s v="Profit"/>
    <s v="Aditya Bose"/>
    <x v="0"/>
    <x v="3"/>
    <s v="Bhubaneswar"/>
    <s v="Odisha"/>
    <s v="2024-04-07"/>
    <s v="26-35"/>
    <n v="1666.2666666666671"/>
  </r>
  <r>
    <s v="ORD04966"/>
    <d v="2026-07-27T00:00:00"/>
    <s v="CUST0020"/>
    <x v="3"/>
    <x v="4"/>
    <n v="3"/>
    <n v="0.1"/>
    <n v="48600"/>
    <n v="6711.56"/>
    <x v="2"/>
    <s v="Delivered"/>
    <n v="16200"/>
    <n v="13.80979423868313"/>
    <s v="Profit"/>
    <s v="Aarav Pillai"/>
    <x v="0"/>
    <x v="2"/>
    <s v="Lucknow"/>
    <s v="Uttar Pradesh"/>
    <s v="2025-11-30"/>
    <s v="26-35"/>
    <n v="2237.186666666667"/>
  </r>
  <r>
    <s v="ORD04967"/>
    <d v="2025-07-04T00:00:00"/>
    <s v="CUST0181"/>
    <x v="3"/>
    <x v="10"/>
    <n v="1"/>
    <n v="0.15"/>
    <n v="46750"/>
    <n v="3616.19"/>
    <x v="0"/>
    <s v="Shipped"/>
    <n v="46750"/>
    <n v="7.735165775401069"/>
    <s v="Profit"/>
    <s v="Rohan Iyer"/>
    <x v="1"/>
    <x v="1"/>
    <s v="Surat"/>
    <s v="Gujarat"/>
    <s v="2023-03-20"/>
    <s v="36-50"/>
    <n v="3616.19"/>
  </r>
  <r>
    <s v="ORD04968"/>
    <d v="2025-08-11T00:00:00"/>
    <s v="CUST0106"/>
    <x v="3"/>
    <x v="8"/>
    <n v="3"/>
    <n v="0"/>
    <n v="13500"/>
    <n v="4500"/>
    <x v="2"/>
    <s v="Delivered"/>
    <n v="4500"/>
    <n v="33.333333333333329"/>
    <s v="Profit"/>
    <s v="Kavya Nair"/>
    <x v="1"/>
    <x v="0"/>
    <s v="Coimbatore"/>
    <s v="Tamil Nadu"/>
    <s v="2025-07-06"/>
    <s v="36-50"/>
    <n v="1500"/>
  </r>
  <r>
    <s v="ORD04969"/>
    <d v="2025-08-03T00:00:00"/>
    <s v="CUST0062"/>
    <x v="0"/>
    <x v="0"/>
    <n v="1"/>
    <n v="0.2"/>
    <n v="11200"/>
    <n v="1455.71"/>
    <x v="0"/>
    <s v="Delivered"/>
    <n v="11200"/>
    <n v="12.997410714285721"/>
    <s v="Profit"/>
    <s v="Harini Pillai"/>
    <x v="1"/>
    <x v="2"/>
    <s v="Jaipur"/>
    <s v="Rajasthan"/>
    <s v="2023-04-01"/>
    <s v="36-50"/>
    <n v="1455.71"/>
  </r>
  <r>
    <s v="ORD04970"/>
    <d v="2025-07-09T00:00:00"/>
    <s v="CUST0292"/>
    <x v="3"/>
    <x v="10"/>
    <n v="6"/>
    <n v="0.3"/>
    <n v="231000"/>
    <n v="-10140.14"/>
    <x v="0"/>
    <s v="Shipped"/>
    <n v="38500"/>
    <n v="-4.3896709956709952"/>
    <s v="Loss"/>
    <s v="Sanjay Khan"/>
    <x v="0"/>
    <x v="0"/>
    <s v="Bengaluru"/>
    <s v="Karnataka"/>
    <s v="2023-07-05"/>
    <s v="26-35"/>
    <n v="-1690.0233333333331"/>
  </r>
  <r>
    <s v="ORD04971"/>
    <d v="2026-04-30T00:00:00"/>
    <s v="CUST0179"/>
    <x v="3"/>
    <x v="8"/>
    <n v="2"/>
    <n v="0.1"/>
    <n v="8100"/>
    <n v="2496.9299999999998"/>
    <x v="1"/>
    <s v="Delivered"/>
    <n v="4050"/>
    <n v="30.826296296296299"/>
    <s v="Profit"/>
    <s v="Akash Pillai"/>
    <x v="0"/>
    <x v="1"/>
    <s v="Pune"/>
    <s v="Maharashtra"/>
    <s v="2024-09-14"/>
    <s v="51+"/>
    <n v="1248.4649999999999"/>
  </r>
  <r>
    <s v="ORD04972"/>
    <d v="2025-09-19T00:00:00"/>
    <s v="CUST0190"/>
    <x v="0"/>
    <x v="6"/>
    <n v="5"/>
    <n v="0.05"/>
    <n v="1662.5"/>
    <n v="535.11"/>
    <x v="2"/>
    <s v="Delivered"/>
    <n v="332.5"/>
    <n v="32.187067669172933"/>
    <s v="Profit"/>
    <s v="Rohan Naidu"/>
    <x v="0"/>
    <x v="0"/>
    <s v="Coimbatore"/>
    <s v="Tamil Nadu"/>
    <s v="2023-02-24"/>
    <s v="26-35"/>
    <n v="107.02200000000001"/>
  </r>
  <r>
    <s v="ORD04973"/>
    <d v="2026-03-15T00:00:00"/>
    <s v="CUST0006"/>
    <x v="2"/>
    <x v="3"/>
    <n v="2"/>
    <n v="0.1"/>
    <n v="27000"/>
    <n v="-15053.32"/>
    <x v="0"/>
    <s v="Cancelled"/>
    <n v="13500"/>
    <n v="-55.753037037037032"/>
    <s v="Loss"/>
    <s v="Sneha Joshi"/>
    <x v="1"/>
    <x v="1"/>
    <s v="Mumbai"/>
    <s v="Maharashtra"/>
    <s v="2025-06-29"/>
    <s v="36-50"/>
    <n v="-7526.66"/>
  </r>
  <r>
    <s v="ORD04974"/>
    <d v="2026-08-16T00:00:00"/>
    <s v="CUST0128"/>
    <x v="3"/>
    <x v="8"/>
    <n v="1"/>
    <n v="0.1"/>
    <n v="4050"/>
    <n v="1174.8"/>
    <x v="1"/>
    <s v="Delivered"/>
    <n v="4050"/>
    <n v="29.007407407407399"/>
    <s v="Profit"/>
    <s v="Sneha Mishra"/>
    <x v="2"/>
    <x v="0"/>
    <s v="Chennai"/>
    <s v="Tamil Nadu"/>
    <s v="2024-09-12"/>
    <s v="36-50"/>
    <n v="1174.8"/>
  </r>
  <r>
    <s v="ORD04975"/>
    <d v="2026-01-20T00:00:00"/>
    <s v="CUST0152"/>
    <x v="3"/>
    <x v="11"/>
    <n v="4"/>
    <n v="0.1"/>
    <n v="9000"/>
    <n v="2683.62"/>
    <x v="2"/>
    <s v="Delivered"/>
    <n v="2250"/>
    <n v="29.818000000000001"/>
    <s v="Profit"/>
    <s v="Harini Rao"/>
    <x v="0"/>
    <x v="0"/>
    <s v="Coimbatore"/>
    <s v="Tamil Nadu"/>
    <s v="2025-12-02"/>
    <s v="51+"/>
    <n v="670.90499999999997"/>
  </r>
  <r>
    <s v="ORD04976"/>
    <d v="2026-03-27T00:00:00"/>
    <s v="CUST0597"/>
    <x v="3"/>
    <x v="10"/>
    <n v="2"/>
    <n v="0.1"/>
    <n v="99000"/>
    <n v="9402.57"/>
    <x v="3"/>
    <s v="Delivered"/>
    <n v="49500"/>
    <n v="9.4975454545454543"/>
    <s v="Profit"/>
    <s v="Harini Menon"/>
    <x v="1"/>
    <x v="0"/>
    <s v="Hyderabad"/>
    <s v="Telangana"/>
    <s v="2025-05-09"/>
    <s v="51+"/>
    <n v="4701.2849999999999"/>
  </r>
  <r>
    <s v="ORD04977"/>
    <d v="2025-12-30T00:00:00"/>
    <s v="CUST0229"/>
    <x v="1"/>
    <x v="15"/>
    <n v="1"/>
    <n v="0"/>
    <n v="2200"/>
    <n v="750"/>
    <x v="2"/>
    <s v="Delivered"/>
    <n v="2200"/>
    <n v="34.090909090909093"/>
    <s v="Profit"/>
    <s v="Harini Chopra"/>
    <x v="0"/>
    <x v="0"/>
    <s v="Bengaluru"/>
    <s v="Karnataka"/>
    <s v="2025-05-19"/>
    <s v="26-35"/>
    <n v="750"/>
  </r>
  <r>
    <s v="ORD04978"/>
    <d v="2026-06-28T00:00:00"/>
    <s v="CUST0528"/>
    <x v="2"/>
    <x v="9"/>
    <n v="1"/>
    <n v="0.05"/>
    <n v="8550"/>
    <n v="-2142.9499999999998"/>
    <x v="0"/>
    <s v="Returned"/>
    <n v="8550"/>
    <n v="-25.063742690058479"/>
    <s v="Loss"/>
    <s v="Karthik Menon"/>
    <x v="0"/>
    <x v="0"/>
    <s v="Chennai"/>
    <s v="Tamil Nadu"/>
    <s v="2024-07-24"/>
    <s v="36-50"/>
    <n v="-2142.9499999999998"/>
  </r>
  <r>
    <s v="ORD04979"/>
    <d v="2025-11-18T00:00:00"/>
    <s v="CUST0585"/>
    <x v="1"/>
    <x v="15"/>
    <n v="2"/>
    <n v="0"/>
    <n v="4400"/>
    <n v="1500"/>
    <x v="3"/>
    <s v="Delivered"/>
    <n v="2200"/>
    <n v="34.090909090909093"/>
    <s v="Profit"/>
    <s v="Diya Reddy"/>
    <x v="1"/>
    <x v="0"/>
    <s v="Bengaluru"/>
    <s v="Karnataka"/>
    <s v="2024-03-03"/>
    <s v="51+"/>
    <n v="750"/>
  </r>
  <r>
    <s v="ORD04980"/>
    <d v="2026-03-10T00:00:00"/>
    <s v="CUST0156"/>
    <x v="0"/>
    <x v="7"/>
    <n v="3"/>
    <n v="0.05"/>
    <n v="2565"/>
    <n v="726.13"/>
    <x v="3"/>
    <s v="Delivered"/>
    <n v="855"/>
    <n v="28.309161793372319"/>
    <s v="Profit"/>
    <s v="Meera Patel"/>
    <x v="2"/>
    <x v="0"/>
    <s v="Coimbatore"/>
    <s v="Tamil Nadu"/>
    <s v="2024-10-11"/>
    <s v="26-35"/>
    <n v="242.04333333333329"/>
  </r>
  <r>
    <s v="ORD04981"/>
    <d v="2026-01-11T00:00:00"/>
    <s v="CUST0597"/>
    <x v="3"/>
    <x v="8"/>
    <n v="4"/>
    <n v="0.1"/>
    <n v="16200"/>
    <n v="4641.74"/>
    <x v="1"/>
    <s v="Delivered"/>
    <n v="4050"/>
    <n v="28.652716049382711"/>
    <s v="Profit"/>
    <s v="Harini Menon"/>
    <x v="1"/>
    <x v="0"/>
    <s v="Hyderabad"/>
    <s v="Telangana"/>
    <s v="2025-05-09"/>
    <s v="51+"/>
    <n v="1160.4349999999999"/>
  </r>
  <r>
    <s v="ORD04982"/>
    <d v="2025-07-05T00:00:00"/>
    <s v="CUST0086"/>
    <x v="3"/>
    <x v="10"/>
    <n v="2"/>
    <n v="0.2"/>
    <n v="88000"/>
    <n v="-33162.71"/>
    <x v="2"/>
    <s v="Cancelled"/>
    <n v="44000"/>
    <n v="-37.684897727272727"/>
    <s v="Loss"/>
    <s v="Pooja Khan"/>
    <x v="2"/>
    <x v="1"/>
    <s v=" Chennai "/>
    <s v="Maharashtra"/>
    <s v="2023-05-28"/>
    <s v="36-50"/>
    <n v="-16581.355"/>
  </r>
  <r>
    <s v="ORD04983"/>
    <d v="2026-05-08T00:00:00"/>
    <s v="CUST0434"/>
    <x v="1"/>
    <x v="1"/>
    <n v="5"/>
    <n v="0.1"/>
    <n v="8100"/>
    <n v="2602.85"/>
    <x v="3"/>
    <s v="Delivered"/>
    <n v="1620"/>
    <n v="32.133950617283951"/>
    <s v="Profit"/>
    <s v="Meera Nair"/>
    <x v="0"/>
    <x v="2"/>
    <s v="Delhi"/>
    <s v="Delhi"/>
    <s v="2023-06-30"/>
    <s v="51+"/>
    <n v="520.56999999999994"/>
  </r>
  <r>
    <s v="ORD04984"/>
    <d v="2026-01-24T00:00:00"/>
    <s v="CUST0229"/>
    <x v="3"/>
    <x v="11"/>
    <n v="2"/>
    <n v="0.1"/>
    <n v="4500"/>
    <n v="1293.69"/>
    <x v="3"/>
    <s v="Delivered"/>
    <n v="2250"/>
    <n v="28.748666666666669"/>
    <s v="Profit"/>
    <s v="Harini Chopra"/>
    <x v="0"/>
    <x v="0"/>
    <s v="Bengaluru"/>
    <s v="Karnataka"/>
    <s v="2025-05-19"/>
    <s v="26-35"/>
    <n v="646.84500000000003"/>
  </r>
  <r>
    <s v="ORD04985"/>
    <d v="2025-08-14T00:00:00"/>
    <s v="CUST0206"/>
    <x v="3"/>
    <x v="8"/>
    <n v="3"/>
    <n v="0"/>
    <n v="13500"/>
    <n v="4500"/>
    <x v="3"/>
    <s v="Delivered"/>
    <n v="4500"/>
    <n v="33.333333333333329"/>
    <s v="Profit"/>
    <s v="Arjun Bose"/>
    <x v="1"/>
    <x v="0"/>
    <s v="Coimbatore"/>
    <s v="Tamil Nadu"/>
    <s v="2025-04-20"/>
    <s v="36-50"/>
    <n v="1500"/>
  </r>
  <r>
    <s v="ORD04986"/>
    <d v="2026-07-22T00:00:00"/>
    <s v="CUST0359"/>
    <x v="1"/>
    <x v="12"/>
    <n v="2"/>
    <n v="0.1"/>
    <n v="2520"/>
    <n v="855.48"/>
    <x v="0"/>
    <s v="Delivered"/>
    <n v="1260"/>
    <n v="33.94761904761905"/>
    <s v="Profit"/>
    <s v="Ananya Mishra"/>
    <x v="0"/>
    <x v="0"/>
    <s v="Bengaluru"/>
    <s v="Karnataka"/>
    <s v="2024-05-22"/>
    <s v="26-35"/>
    <n v="427.74"/>
  </r>
  <r>
    <s v="ORD04987"/>
    <d v="2026-04-23T00:00:00"/>
    <s v="CUST0535"/>
    <x v="1"/>
    <x v="1"/>
    <n v="2"/>
    <n v="0.15"/>
    <n v="3060"/>
    <n v="988.92"/>
    <x v="1"/>
    <s v="Delivered"/>
    <n v="1530"/>
    <n v="32.317647058823532"/>
    <s v="Profit"/>
    <s v="Sanjay Reddy"/>
    <x v="0"/>
    <x v="0"/>
    <s v="Bengaluru"/>
    <s v="Karnataka"/>
    <s v="2024-03-17"/>
    <s v="18-25"/>
    <n v="494.46"/>
  </r>
  <r>
    <s v="ORD04988"/>
    <d v="2025-11-04T00:00:00"/>
    <s v="CUST0140"/>
    <x v="0"/>
    <x v="14"/>
    <n v="1"/>
    <n v="0.2"/>
    <n v="360"/>
    <n v="60.15"/>
    <x v="1"/>
    <s v="Delivered"/>
    <n v="360"/>
    <n v="16.708333333333329"/>
    <s v="Profit"/>
    <s v="Ananya Naidu"/>
    <x v="1"/>
    <x v="2"/>
    <s v="Chandigarh"/>
    <s v="Chandigarh"/>
    <s v="2024-04-14"/>
    <s v="26-35"/>
    <n v="60.15"/>
  </r>
  <r>
    <s v="ORD04989"/>
    <d v="2025-09-17T00:00:00"/>
    <s v="CUST0551"/>
    <x v="0"/>
    <x v="0"/>
    <n v="1"/>
    <n v="0.15"/>
    <n v="11900"/>
    <n v="-1812.47"/>
    <x v="3"/>
    <s v="Returned"/>
    <n v="11900"/>
    <n v="-15.230840336134451"/>
    <s v="Loss"/>
    <s v="Ishaan Gupta"/>
    <x v="0"/>
    <x v="3"/>
    <s v="Patna"/>
    <s v="Bihar"/>
    <s v="2025-08-09"/>
    <s v="26-35"/>
    <n v="-1812.47"/>
  </r>
  <r>
    <s v="ORD04990"/>
    <d v="2025-12-09T00:00:00"/>
    <s v="CUST0334"/>
    <x v="3"/>
    <x v="11"/>
    <n v="4"/>
    <n v="0.1"/>
    <n v="9000"/>
    <n v="2485.62"/>
    <x v="1"/>
    <s v="Delivered"/>
    <n v="2250"/>
    <n v="27.617999999999999"/>
    <s v="Profit"/>
    <s v="Rahul Joshi"/>
    <x v="1"/>
    <x v="0"/>
    <s v="Hyderabad"/>
    <s v="Telangana"/>
    <s v="2024-05-26"/>
    <s v="26-35"/>
    <n v="621.40499999999997"/>
  </r>
  <r>
    <s v="ORD04991"/>
    <d v="2025-09-14T00:00:00"/>
    <s v="CUST0579"/>
    <x v="1"/>
    <x v="12"/>
    <n v="5"/>
    <n v="0"/>
    <n v="7000"/>
    <n v="2500"/>
    <x v="0"/>
    <s v="Delivered"/>
    <n v="1400"/>
    <n v="35.714285714285722"/>
    <s v="Profit"/>
    <s v="Manoj Reddy"/>
    <x v="1"/>
    <x v="2"/>
    <s v="Chandigarh"/>
    <s v="Chandigarh"/>
    <s v="2024-10-31"/>
    <s v="26-35"/>
    <n v="500"/>
  </r>
  <r>
    <s v="ORD04992"/>
    <d v="2026-06-18T00:00:00"/>
    <s v="CUST0457"/>
    <x v="3"/>
    <x v="10"/>
    <n v="1"/>
    <n v="0"/>
    <n v="55000"/>
    <n v="9000"/>
    <x v="3"/>
    <s v="Delivered"/>
    <n v="55000"/>
    <n v="16.36363636363636"/>
    <s v="Profit"/>
    <s v="Karthik Bose"/>
    <x v="2"/>
    <x v="0"/>
    <s v="Hyderabad"/>
    <s v="Telangana"/>
    <s v="2025-04-05"/>
    <s v="51+"/>
    <n v="9000"/>
  </r>
  <r>
    <s v="ORD04993"/>
    <d v="2025-10-15T00:00:00"/>
    <s v="CUST0165"/>
    <x v="3"/>
    <x v="10"/>
    <n v="4"/>
    <n v="0.1"/>
    <n v="198000"/>
    <n v="22188.22"/>
    <x v="0"/>
    <s v="Delivered"/>
    <n v="49500"/>
    <n v="11.206171717171721"/>
    <s v="Profit"/>
    <s v="Diya Mishra"/>
    <x v="0"/>
    <x v="0"/>
    <s v="Hyderabad"/>
    <s v="Telangana"/>
    <s v="2025-04-25"/>
    <s v="51+"/>
    <n v="5547.0550000000003"/>
  </r>
  <r>
    <s v="ORD04994"/>
    <d v="2025-07-25T00:00:00"/>
    <s v="CUST0383"/>
    <x v="0"/>
    <x v="14"/>
    <n v="1"/>
    <n v="0"/>
    <n v="450"/>
    <n v="110"/>
    <x v="1"/>
    <s v="Shipped"/>
    <n v="450"/>
    <n v="24.444444444444439"/>
    <s v="Profit"/>
    <s v="Arjun Mehta"/>
    <x v="0"/>
    <x v="0"/>
    <s v="Chennai"/>
    <s v="Tamil Nadu"/>
    <s v="2024-05-07"/>
    <s v="51+"/>
    <n v="110"/>
  </r>
  <r>
    <s v="ORD04995"/>
    <d v="2026-05-09T00:00:00"/>
    <s v="CUST0372"/>
    <x v="3"/>
    <x v="8"/>
    <n v="4"/>
    <n v="0.1"/>
    <n v="16200"/>
    <n v="4568.2700000000004"/>
    <x v="0"/>
    <s v="Delivered"/>
    <n v="4050"/>
    <n v="28.1991975308642"/>
    <s v="Profit"/>
    <s v="Akash Das"/>
    <x v="1"/>
    <x v="0"/>
    <s v="Bengaluru"/>
    <s v="Karnataka"/>
    <s v="2024-08-19"/>
    <s v="36-50"/>
    <n v="1142.0675000000001"/>
  </r>
  <r>
    <s v="ORD04996"/>
    <d v="2025-08-31T00:00:00"/>
    <s v="CUST0353"/>
    <x v="0"/>
    <x v="0"/>
    <n v="1"/>
    <n v="0.1"/>
    <n v="12600"/>
    <n v="1954.02"/>
    <x v="3"/>
    <s v="Delivered"/>
    <n v="12600"/>
    <n v="15.50809523809524"/>
    <s v="Profit"/>
    <s v="Aditya Iyer"/>
    <x v="2"/>
    <x v="0"/>
    <s v="Hyderabad"/>
    <s v="Telangana"/>
    <s v="2024-08-21"/>
    <s v="36-50"/>
    <n v="1954.02"/>
  </r>
  <r>
    <s v="ORD04997"/>
    <d v="2025-11-09T00:00:00"/>
    <s v="CUST0489"/>
    <x v="0"/>
    <x v="14"/>
    <n v="4"/>
    <n v="0.1"/>
    <n v="1620"/>
    <n v="295.08"/>
    <x v="2"/>
    <s v="Delivered"/>
    <n v="405"/>
    <n v="18.214814814814819"/>
    <s v="Profit"/>
    <s v="Kavya Das"/>
    <x v="0"/>
    <x v="0"/>
    <s v="Coimbatore"/>
    <s v="Tamil Nadu"/>
    <s v="2024-03-29"/>
    <s v="26-35"/>
    <n v="73.77"/>
  </r>
  <r>
    <s v="ORD04998"/>
    <d v="2025-08-23T00:00:00"/>
    <s v="CUST0175"/>
    <x v="3"/>
    <x v="4"/>
    <n v="3"/>
    <n v="0.15"/>
    <n v="45900"/>
    <n v="3874.94"/>
    <x v="1"/>
    <s v="Shipped"/>
    <n v="15300"/>
    <n v="8.4421350762527236"/>
    <s v="Profit"/>
    <s v="Akash Mehta"/>
    <x v="0"/>
    <x v="1"/>
    <s v="Ahmedabad"/>
    <s v="Gujarat"/>
    <s v="2023-12-29"/>
    <s v="36-50"/>
    <n v="1291.646666666667"/>
  </r>
  <r>
    <s v="ORD04999"/>
    <d v="2025-10-08T00:00:00"/>
    <s v="CUST0206"/>
    <x v="1"/>
    <x v="1"/>
    <n v="1"/>
    <n v="0.1"/>
    <n v="1620"/>
    <n v="519.19000000000005"/>
    <x v="0"/>
    <s v="Delivered"/>
    <n v="1620"/>
    <n v="32.048765432098769"/>
    <s v="Profit"/>
    <s v="Arjun Bose"/>
    <x v="1"/>
    <x v="0"/>
    <s v="Coimbatore"/>
    <s v="Tamil Nadu"/>
    <s v="2025-04-20"/>
    <s v="36-50"/>
    <n v="519.19000000000005"/>
  </r>
  <r>
    <s v="ORD05000"/>
    <d v="2025-12-15T00:00:00"/>
    <s v="CUST0063"/>
    <x v="3"/>
    <x v="8"/>
    <n v="1"/>
    <n v="0"/>
    <n v="4500"/>
    <n v="1500"/>
    <x v="2"/>
    <s v="Shipped"/>
    <n v="4500"/>
    <n v="33.333333333333329"/>
    <s v="Profit"/>
    <s v="Kavya Nair"/>
    <x v="0"/>
    <x v="2"/>
    <s v="Jaipur"/>
    <s v="Rajasthan"/>
    <s v="2024-06-25"/>
    <s v="51+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A14C6-8F68-49F3-A2AD-01783E26BEF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8:F43" firstHeaderRow="0" firstDataRow="1" firstDataCol="1" rowPageCount="2" colPageCount="1"/>
  <pivotFields count="22">
    <pivotField showAll="0"/>
    <pivotField numFmtId="165"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axis="axisPage" showAll="0">
      <items count="19">
        <item x="16"/>
        <item x="15"/>
        <item x="5"/>
        <item x="2"/>
        <item x="3"/>
        <item x="7"/>
        <item x="8"/>
        <item x="11"/>
        <item x="10"/>
        <item x="4"/>
        <item x="12"/>
        <item x="9"/>
        <item x="14"/>
        <item x="0"/>
        <item x="6"/>
        <item x="1"/>
        <item x="13"/>
        <item x="17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9"/>
  </rowFields>
  <rowItems count="25">
    <i>
      <x/>
    </i>
    <i r="1">
      <x/>
    </i>
    <i r="1">
      <x v="1"/>
    </i>
    <i r="1">
      <x v="3"/>
    </i>
    <i r="1">
      <x v="4"/>
    </i>
    <i>
      <x v="1"/>
    </i>
    <i r="1">
      <x/>
    </i>
    <i r="1">
      <x v="1"/>
    </i>
    <i r="1">
      <x v="3"/>
    </i>
    <i r="1">
      <x v="4"/>
    </i>
    <i>
      <x v="2"/>
    </i>
    <i r="1">
      <x/>
    </i>
    <i r="1">
      <x v="1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15" hier="-1"/>
    <pageField fld="4" hier="-1"/>
  </pageFields>
  <dataFields count="2">
    <dataField name="Sum of ProfitMargin" fld="12" baseField="0" baseItem="0"/>
    <dataField name="Sum of SalesPerUn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4D59-D2F3-471A-8C28-9DEA1AC93F5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2">
    <pivotField showAll="0"/>
    <pivotField numFmtId="165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8" baseField="0" baseItem="0"/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91"/>
  <sheetViews>
    <sheetView tabSelected="1" topLeftCell="D4970" workbookViewId="0">
      <selection activeCell="H5006" sqref="H5006"/>
    </sheetView>
  </sheetViews>
  <sheetFormatPr defaultRowHeight="14.4" x14ac:dyDescent="0.3"/>
  <cols>
    <col min="2" max="2" width="20.2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s="2">
        <v>45896</v>
      </c>
      <c r="C2" t="s">
        <v>23</v>
      </c>
      <c r="D2" t="s">
        <v>24</v>
      </c>
      <c r="E2" t="s">
        <v>25</v>
      </c>
      <c r="F2">
        <v>3</v>
      </c>
      <c r="G2">
        <v>0.05</v>
      </c>
      <c r="H2">
        <v>39900</v>
      </c>
      <c r="I2">
        <v>7045.57</v>
      </c>
      <c r="J2" t="s">
        <v>26</v>
      </c>
      <c r="K2" t="s">
        <v>27</v>
      </c>
      <c r="L2">
        <v>13300</v>
      </c>
      <c r="M2">
        <v>17.658070175438599</v>
      </c>
      <c r="N2" t="s">
        <v>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>
        <v>2348.5233333333331</v>
      </c>
    </row>
    <row r="3" spans="1:22" x14ac:dyDescent="0.3">
      <c r="A3" t="s">
        <v>35</v>
      </c>
      <c r="B3" s="2">
        <v>46015</v>
      </c>
      <c r="C3" t="s">
        <v>36</v>
      </c>
      <c r="D3" t="s">
        <v>37</v>
      </c>
      <c r="E3" t="s">
        <v>38</v>
      </c>
      <c r="F3">
        <v>5</v>
      </c>
      <c r="G3">
        <v>0.05</v>
      </c>
      <c r="H3">
        <v>8550</v>
      </c>
      <c r="I3">
        <v>3043.49</v>
      </c>
      <c r="J3" t="s">
        <v>39</v>
      </c>
      <c r="K3" t="s">
        <v>40</v>
      </c>
      <c r="L3">
        <v>1710</v>
      </c>
      <c r="M3">
        <v>35.596374269005842</v>
      </c>
      <c r="N3" t="s">
        <v>8</v>
      </c>
      <c r="O3" t="s">
        <v>41</v>
      </c>
      <c r="P3" t="s">
        <v>29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>
        <v>608.69799999999998</v>
      </c>
    </row>
    <row r="4" spans="1:22" x14ac:dyDescent="0.3">
      <c r="A4" t="s">
        <v>47</v>
      </c>
      <c r="B4" s="2">
        <v>46218</v>
      </c>
      <c r="C4" t="s">
        <v>48</v>
      </c>
      <c r="D4" t="s">
        <v>49</v>
      </c>
      <c r="E4" t="s">
        <v>50</v>
      </c>
      <c r="F4">
        <v>2</v>
      </c>
      <c r="G4">
        <v>0.2</v>
      </c>
      <c r="H4">
        <v>20800</v>
      </c>
      <c r="I4">
        <v>3564.27</v>
      </c>
      <c r="J4" t="s">
        <v>51</v>
      </c>
      <c r="K4" t="s">
        <v>40</v>
      </c>
      <c r="L4">
        <v>10400</v>
      </c>
      <c r="M4">
        <v>17.135913461538461</v>
      </c>
      <c r="N4" t="s">
        <v>8</v>
      </c>
      <c r="O4" t="s">
        <v>52</v>
      </c>
      <c r="P4" t="s">
        <v>29</v>
      </c>
      <c r="Q4" t="s">
        <v>30</v>
      </c>
      <c r="R4" t="s">
        <v>53</v>
      </c>
      <c r="S4" t="s">
        <v>54</v>
      </c>
      <c r="T4" t="s">
        <v>55</v>
      </c>
      <c r="U4" t="s">
        <v>34</v>
      </c>
      <c r="V4">
        <v>1782.135</v>
      </c>
    </row>
    <row r="5" spans="1:22" x14ac:dyDescent="0.3">
      <c r="A5" t="s">
        <v>56</v>
      </c>
      <c r="B5" s="2">
        <v>46071</v>
      </c>
      <c r="C5" t="s">
        <v>57</v>
      </c>
      <c r="D5" t="s">
        <v>49</v>
      </c>
      <c r="E5" t="s">
        <v>58</v>
      </c>
      <c r="F5">
        <v>1</v>
      </c>
      <c r="G5">
        <v>0.05</v>
      </c>
      <c r="H5">
        <v>14250</v>
      </c>
      <c r="I5">
        <v>2908.49</v>
      </c>
      <c r="J5" t="s">
        <v>26</v>
      </c>
      <c r="K5" t="s">
        <v>40</v>
      </c>
      <c r="L5">
        <v>14250</v>
      </c>
      <c r="M5">
        <v>20.41045614035087</v>
      </c>
      <c r="N5" t="s">
        <v>8</v>
      </c>
      <c r="O5" t="s">
        <v>59</v>
      </c>
      <c r="P5" t="s">
        <v>29</v>
      </c>
      <c r="Q5" t="s">
        <v>30</v>
      </c>
      <c r="R5" t="s">
        <v>60</v>
      </c>
      <c r="S5" t="s">
        <v>61</v>
      </c>
      <c r="T5" t="s">
        <v>62</v>
      </c>
      <c r="U5" t="s">
        <v>34</v>
      </c>
      <c r="V5">
        <v>2908.49</v>
      </c>
    </row>
    <row r="6" spans="1:22" x14ac:dyDescent="0.3">
      <c r="A6" t="s">
        <v>63</v>
      </c>
      <c r="B6" s="2">
        <v>45890</v>
      </c>
      <c r="C6" t="s">
        <v>64</v>
      </c>
      <c r="D6" t="s">
        <v>24</v>
      </c>
      <c r="E6" t="s">
        <v>25</v>
      </c>
      <c r="F6">
        <v>3</v>
      </c>
      <c r="G6">
        <v>0.1</v>
      </c>
      <c r="H6">
        <v>37800</v>
      </c>
      <c r="I6">
        <v>5141.3500000000004</v>
      </c>
      <c r="J6" t="s">
        <v>65</v>
      </c>
      <c r="K6" t="s">
        <v>40</v>
      </c>
      <c r="L6">
        <v>12600</v>
      </c>
      <c r="M6">
        <v>13.60145502645503</v>
      </c>
      <c r="N6" t="s">
        <v>8</v>
      </c>
      <c r="O6" t="s">
        <v>66</v>
      </c>
      <c r="P6" t="s">
        <v>29</v>
      </c>
      <c r="Q6" t="s">
        <v>42</v>
      </c>
      <c r="R6" t="s">
        <v>43</v>
      </c>
      <c r="S6" t="s">
        <v>44</v>
      </c>
      <c r="T6" t="s">
        <v>67</v>
      </c>
      <c r="U6" t="s">
        <v>34</v>
      </c>
      <c r="V6">
        <v>1713.783333333334</v>
      </c>
    </row>
    <row r="7" spans="1:22" x14ac:dyDescent="0.3">
      <c r="A7" t="s">
        <v>68</v>
      </c>
      <c r="B7" s="2">
        <v>45951</v>
      </c>
      <c r="C7" t="s">
        <v>69</v>
      </c>
      <c r="D7" t="s">
        <v>70</v>
      </c>
      <c r="E7" t="s">
        <v>71</v>
      </c>
      <c r="F7">
        <v>3</v>
      </c>
      <c r="G7">
        <v>0.05</v>
      </c>
      <c r="H7">
        <v>51300</v>
      </c>
      <c r="I7">
        <v>8241.56</v>
      </c>
      <c r="J7" t="s">
        <v>26</v>
      </c>
      <c r="K7" t="s">
        <v>40</v>
      </c>
      <c r="L7">
        <v>17100</v>
      </c>
      <c r="M7">
        <v>16.06541910331384</v>
      </c>
      <c r="N7" t="s">
        <v>8</v>
      </c>
      <c r="O7" t="s">
        <v>72</v>
      </c>
      <c r="P7" t="s">
        <v>73</v>
      </c>
      <c r="Q7" t="s">
        <v>74</v>
      </c>
      <c r="R7" t="s">
        <v>75</v>
      </c>
      <c r="S7" t="s">
        <v>75</v>
      </c>
      <c r="T7" t="s">
        <v>76</v>
      </c>
      <c r="U7" t="s">
        <v>34</v>
      </c>
      <c r="V7">
        <v>2747.186666666666</v>
      </c>
    </row>
    <row r="8" spans="1:22" x14ac:dyDescent="0.3">
      <c r="A8" t="s">
        <v>77</v>
      </c>
      <c r="B8" s="2">
        <v>45966</v>
      </c>
      <c r="C8" t="s">
        <v>78</v>
      </c>
      <c r="D8" t="s">
        <v>49</v>
      </c>
      <c r="E8" t="s">
        <v>79</v>
      </c>
      <c r="F8">
        <v>3</v>
      </c>
      <c r="G8">
        <v>0.3</v>
      </c>
      <c r="H8">
        <v>23100</v>
      </c>
      <c r="I8">
        <v>-17457.64</v>
      </c>
      <c r="J8" t="s">
        <v>39</v>
      </c>
      <c r="K8" t="s">
        <v>80</v>
      </c>
      <c r="L8">
        <v>7700</v>
      </c>
      <c r="M8">
        <v>-75.574199134199134</v>
      </c>
      <c r="N8" t="s">
        <v>81</v>
      </c>
      <c r="O8" t="s">
        <v>82</v>
      </c>
      <c r="P8" t="s">
        <v>83</v>
      </c>
      <c r="Q8" t="s">
        <v>74</v>
      </c>
      <c r="R8" t="s">
        <v>75</v>
      </c>
      <c r="S8" t="s">
        <v>75</v>
      </c>
      <c r="T8" t="s">
        <v>84</v>
      </c>
      <c r="U8" t="s">
        <v>34</v>
      </c>
      <c r="V8">
        <v>-5819.2133333333331</v>
      </c>
    </row>
    <row r="9" spans="1:22" x14ac:dyDescent="0.3">
      <c r="A9" t="s">
        <v>85</v>
      </c>
      <c r="B9" s="2">
        <v>46081</v>
      </c>
      <c r="C9" t="s">
        <v>86</v>
      </c>
      <c r="D9" t="s">
        <v>24</v>
      </c>
      <c r="E9" t="s">
        <v>87</v>
      </c>
      <c r="F9">
        <v>1</v>
      </c>
      <c r="G9">
        <v>0.2</v>
      </c>
      <c r="H9">
        <v>280</v>
      </c>
      <c r="I9">
        <v>77.37</v>
      </c>
      <c r="J9" t="s">
        <v>65</v>
      </c>
      <c r="K9" t="s">
        <v>40</v>
      </c>
      <c r="L9">
        <v>280</v>
      </c>
      <c r="M9">
        <v>27.63214285714286</v>
      </c>
      <c r="N9" t="s">
        <v>8</v>
      </c>
      <c r="O9" t="s">
        <v>88</v>
      </c>
      <c r="P9" t="s">
        <v>29</v>
      </c>
      <c r="Q9" t="s">
        <v>42</v>
      </c>
      <c r="R9" t="s">
        <v>43</v>
      </c>
      <c r="S9" t="s">
        <v>44</v>
      </c>
      <c r="T9" t="s">
        <v>89</v>
      </c>
      <c r="U9" t="s">
        <v>34</v>
      </c>
      <c r="V9">
        <v>77.37</v>
      </c>
    </row>
    <row r="10" spans="1:22" x14ac:dyDescent="0.3">
      <c r="A10" t="s">
        <v>90</v>
      </c>
      <c r="B10" s="2">
        <v>46139</v>
      </c>
      <c r="C10" t="s">
        <v>91</v>
      </c>
      <c r="D10" t="s">
        <v>24</v>
      </c>
      <c r="E10" t="s">
        <v>92</v>
      </c>
      <c r="F10">
        <v>2</v>
      </c>
      <c r="G10">
        <v>0.05</v>
      </c>
      <c r="H10">
        <v>1710</v>
      </c>
      <c r="I10">
        <v>508.94</v>
      </c>
      <c r="J10" t="s">
        <v>51</v>
      </c>
      <c r="K10" t="s">
        <v>27</v>
      </c>
      <c r="L10">
        <v>855</v>
      </c>
      <c r="M10">
        <v>29.76257309941521</v>
      </c>
      <c r="N10" t="s">
        <v>8</v>
      </c>
      <c r="O10" t="s">
        <v>93</v>
      </c>
      <c r="P10" t="s">
        <v>73</v>
      </c>
      <c r="Q10" t="s">
        <v>30</v>
      </c>
      <c r="R10" t="s">
        <v>60</v>
      </c>
      <c r="S10" t="s">
        <v>61</v>
      </c>
      <c r="T10" t="s">
        <v>94</v>
      </c>
      <c r="U10" t="s">
        <v>34</v>
      </c>
      <c r="V10">
        <v>254.47</v>
      </c>
    </row>
    <row r="11" spans="1:22" x14ac:dyDescent="0.3">
      <c r="A11" t="s">
        <v>95</v>
      </c>
      <c r="B11" s="2">
        <v>46118</v>
      </c>
      <c r="C11" t="s">
        <v>96</v>
      </c>
      <c r="D11" t="s">
        <v>24</v>
      </c>
      <c r="E11" t="s">
        <v>87</v>
      </c>
      <c r="F11">
        <v>2</v>
      </c>
      <c r="G11">
        <v>0</v>
      </c>
      <c r="H11">
        <v>700</v>
      </c>
      <c r="I11">
        <v>240</v>
      </c>
      <c r="J11" t="s">
        <v>39</v>
      </c>
      <c r="K11" t="s">
        <v>40</v>
      </c>
      <c r="L11">
        <v>350</v>
      </c>
      <c r="M11">
        <v>34.285714285714278</v>
      </c>
      <c r="N11" t="s">
        <v>8</v>
      </c>
      <c r="O11" t="s">
        <v>97</v>
      </c>
      <c r="P11" t="s">
        <v>73</v>
      </c>
      <c r="Q11" t="s">
        <v>30</v>
      </c>
      <c r="R11" t="s">
        <v>98</v>
      </c>
      <c r="S11" t="s">
        <v>54</v>
      </c>
      <c r="T11" t="s">
        <v>99</v>
      </c>
      <c r="U11" t="s">
        <v>100</v>
      </c>
      <c r="V11">
        <v>120</v>
      </c>
    </row>
    <row r="12" spans="1:22" x14ac:dyDescent="0.3">
      <c r="A12" t="s">
        <v>101</v>
      </c>
      <c r="B12" s="2">
        <v>45926</v>
      </c>
      <c r="C12" t="s">
        <v>102</v>
      </c>
      <c r="D12" t="s">
        <v>70</v>
      </c>
      <c r="E12" t="s">
        <v>71</v>
      </c>
      <c r="F12">
        <v>4</v>
      </c>
      <c r="G12">
        <v>0.1</v>
      </c>
      <c r="H12">
        <v>64800</v>
      </c>
      <c r="I12">
        <v>9465.85</v>
      </c>
      <c r="J12" t="s">
        <v>26</v>
      </c>
      <c r="K12" t="s">
        <v>27</v>
      </c>
      <c r="L12">
        <v>16200</v>
      </c>
      <c r="M12">
        <v>14.60779320987654</v>
      </c>
      <c r="N12" t="s">
        <v>8</v>
      </c>
      <c r="O12" t="s">
        <v>103</v>
      </c>
      <c r="P12" t="s">
        <v>29</v>
      </c>
      <c r="Q12" t="s">
        <v>30</v>
      </c>
      <c r="R12" t="s">
        <v>98</v>
      </c>
      <c r="S12" t="s">
        <v>54</v>
      </c>
      <c r="T12" t="s">
        <v>104</v>
      </c>
      <c r="U12" t="s">
        <v>105</v>
      </c>
      <c r="V12">
        <v>2366.4625000000001</v>
      </c>
    </row>
    <row r="13" spans="1:22" x14ac:dyDescent="0.3">
      <c r="A13" t="s">
        <v>106</v>
      </c>
      <c r="B13" s="2">
        <v>46233</v>
      </c>
      <c r="C13" t="s">
        <v>107</v>
      </c>
      <c r="D13" t="s">
        <v>70</v>
      </c>
      <c r="E13" t="s">
        <v>108</v>
      </c>
      <c r="F13">
        <v>1</v>
      </c>
      <c r="G13">
        <v>0</v>
      </c>
      <c r="H13">
        <v>4500</v>
      </c>
      <c r="I13">
        <v>1500</v>
      </c>
      <c r="J13" t="s">
        <v>39</v>
      </c>
      <c r="K13" t="s">
        <v>40</v>
      </c>
      <c r="L13">
        <v>4500</v>
      </c>
      <c r="M13">
        <v>33.333333333333329</v>
      </c>
      <c r="N13" t="s">
        <v>8</v>
      </c>
      <c r="O13" t="s">
        <v>109</v>
      </c>
      <c r="P13" t="s">
        <v>29</v>
      </c>
      <c r="Q13" t="s">
        <v>42</v>
      </c>
      <c r="R13" t="s">
        <v>110</v>
      </c>
      <c r="S13" t="s">
        <v>111</v>
      </c>
      <c r="T13" t="s">
        <v>112</v>
      </c>
      <c r="U13" t="s">
        <v>100</v>
      </c>
      <c r="V13">
        <v>1500</v>
      </c>
    </row>
    <row r="14" spans="1:22" x14ac:dyDescent="0.3">
      <c r="A14" t="s">
        <v>113</v>
      </c>
      <c r="B14" s="2">
        <v>46076</v>
      </c>
      <c r="C14" t="s">
        <v>114</v>
      </c>
      <c r="D14" t="s">
        <v>49</v>
      </c>
      <c r="E14" t="s">
        <v>58</v>
      </c>
      <c r="F14">
        <v>3</v>
      </c>
      <c r="G14">
        <v>0.2</v>
      </c>
      <c r="H14">
        <v>36000</v>
      </c>
      <c r="I14">
        <v>5878.38</v>
      </c>
      <c r="J14" t="s">
        <v>26</v>
      </c>
      <c r="K14" t="s">
        <v>40</v>
      </c>
      <c r="L14">
        <v>12000</v>
      </c>
      <c r="M14">
        <v>16.328833333333339</v>
      </c>
      <c r="N14" t="s">
        <v>8</v>
      </c>
      <c r="O14" t="s">
        <v>88</v>
      </c>
      <c r="P14" t="s">
        <v>29</v>
      </c>
      <c r="Q14" t="s">
        <v>74</v>
      </c>
      <c r="R14" t="s">
        <v>115</v>
      </c>
      <c r="S14" t="s">
        <v>115</v>
      </c>
      <c r="T14" t="s">
        <v>116</v>
      </c>
      <c r="U14" t="s">
        <v>46</v>
      </c>
      <c r="V14">
        <v>1959.46</v>
      </c>
    </row>
    <row r="15" spans="1:22" x14ac:dyDescent="0.3">
      <c r="A15" t="s">
        <v>117</v>
      </c>
      <c r="B15" s="2">
        <v>46250</v>
      </c>
      <c r="C15" t="s">
        <v>118</v>
      </c>
      <c r="D15" t="s">
        <v>49</v>
      </c>
      <c r="E15" t="s">
        <v>119</v>
      </c>
      <c r="F15">
        <v>1</v>
      </c>
      <c r="G15">
        <v>0.05</v>
      </c>
      <c r="H15">
        <v>8550</v>
      </c>
      <c r="I15">
        <v>1997.29</v>
      </c>
      <c r="J15" t="s">
        <v>26</v>
      </c>
      <c r="K15" t="s">
        <v>40</v>
      </c>
      <c r="L15">
        <v>8550</v>
      </c>
      <c r="M15">
        <v>23.360116959064332</v>
      </c>
      <c r="N15" t="s">
        <v>8</v>
      </c>
      <c r="O15" t="s">
        <v>120</v>
      </c>
      <c r="P15" t="s">
        <v>73</v>
      </c>
      <c r="Q15" t="s">
        <v>42</v>
      </c>
      <c r="R15" t="s">
        <v>121</v>
      </c>
      <c r="S15" t="s">
        <v>44</v>
      </c>
      <c r="T15" t="s">
        <v>122</v>
      </c>
      <c r="U15" t="s">
        <v>100</v>
      </c>
      <c r="V15">
        <v>1997.29</v>
      </c>
    </row>
    <row r="16" spans="1:22" x14ac:dyDescent="0.3">
      <c r="A16" t="s">
        <v>123</v>
      </c>
      <c r="B16" s="2">
        <v>46146</v>
      </c>
      <c r="C16" t="s">
        <v>124</v>
      </c>
      <c r="D16" t="s">
        <v>70</v>
      </c>
      <c r="E16" t="s">
        <v>71</v>
      </c>
      <c r="F16">
        <v>1</v>
      </c>
      <c r="G16">
        <v>0.05</v>
      </c>
      <c r="H16">
        <v>17100</v>
      </c>
      <c r="I16">
        <v>2920.21</v>
      </c>
      <c r="J16" t="s">
        <v>65</v>
      </c>
      <c r="K16" t="s">
        <v>40</v>
      </c>
      <c r="L16">
        <v>17100</v>
      </c>
      <c r="M16">
        <v>17.0772514619883</v>
      </c>
      <c r="N16" t="s">
        <v>8</v>
      </c>
      <c r="O16" t="s">
        <v>125</v>
      </c>
      <c r="P16" t="s">
        <v>83</v>
      </c>
      <c r="Q16" t="s">
        <v>74</v>
      </c>
      <c r="R16" t="s">
        <v>115</v>
      </c>
      <c r="S16" t="s">
        <v>115</v>
      </c>
      <c r="T16" t="s">
        <v>126</v>
      </c>
      <c r="U16" t="s">
        <v>46</v>
      </c>
      <c r="V16">
        <v>2920.21</v>
      </c>
    </row>
    <row r="17" spans="1:22" x14ac:dyDescent="0.3">
      <c r="A17" t="s">
        <v>127</v>
      </c>
      <c r="B17" s="2">
        <v>46005</v>
      </c>
      <c r="C17" t="s">
        <v>128</v>
      </c>
      <c r="D17" t="s">
        <v>70</v>
      </c>
      <c r="E17" t="s">
        <v>129</v>
      </c>
      <c r="F17">
        <v>2</v>
      </c>
      <c r="G17">
        <v>0.15</v>
      </c>
      <c r="H17">
        <v>93500</v>
      </c>
      <c r="I17">
        <v>7920.6</v>
      </c>
      <c r="J17" t="s">
        <v>26</v>
      </c>
      <c r="K17" t="s">
        <v>40</v>
      </c>
      <c r="L17">
        <v>46750</v>
      </c>
      <c r="M17">
        <v>8.4712299465240637</v>
      </c>
      <c r="N17" t="s">
        <v>8</v>
      </c>
      <c r="O17" t="s">
        <v>130</v>
      </c>
      <c r="P17" t="s">
        <v>83</v>
      </c>
      <c r="Q17" t="s">
        <v>131</v>
      </c>
      <c r="R17" t="s">
        <v>132</v>
      </c>
      <c r="S17" t="s">
        <v>133</v>
      </c>
      <c r="T17" t="s">
        <v>134</v>
      </c>
      <c r="U17" t="s">
        <v>46</v>
      </c>
      <c r="V17">
        <v>3960.3</v>
      </c>
    </row>
    <row r="18" spans="1:22" x14ac:dyDescent="0.3">
      <c r="A18" t="s">
        <v>135</v>
      </c>
      <c r="B18" s="2">
        <v>46165</v>
      </c>
      <c r="C18" t="s">
        <v>136</v>
      </c>
      <c r="D18" t="s">
        <v>49</v>
      </c>
      <c r="E18" t="s">
        <v>119</v>
      </c>
      <c r="F18">
        <v>3</v>
      </c>
      <c r="G18">
        <v>0.1</v>
      </c>
      <c r="H18">
        <v>24300</v>
      </c>
      <c r="I18">
        <v>4971.6499999999996</v>
      </c>
      <c r="J18" t="s">
        <v>51</v>
      </c>
      <c r="K18" t="s">
        <v>40</v>
      </c>
      <c r="L18">
        <v>8100</v>
      </c>
      <c r="M18">
        <v>20.459465020576129</v>
      </c>
      <c r="N18" t="s">
        <v>8</v>
      </c>
      <c r="O18" t="s">
        <v>137</v>
      </c>
      <c r="P18" t="s">
        <v>83</v>
      </c>
      <c r="Q18" t="s">
        <v>42</v>
      </c>
      <c r="R18" t="s">
        <v>110</v>
      </c>
      <c r="S18" t="s">
        <v>111</v>
      </c>
      <c r="T18" t="s">
        <v>138</v>
      </c>
      <c r="U18" t="s">
        <v>34</v>
      </c>
      <c r="V18">
        <v>1657.216666666666</v>
      </c>
    </row>
    <row r="19" spans="1:22" x14ac:dyDescent="0.3">
      <c r="A19" t="s">
        <v>139</v>
      </c>
      <c r="B19" s="2">
        <v>46074</v>
      </c>
      <c r="C19" t="s">
        <v>140</v>
      </c>
      <c r="D19" t="s">
        <v>70</v>
      </c>
      <c r="E19" t="s">
        <v>108</v>
      </c>
      <c r="F19">
        <v>1</v>
      </c>
      <c r="G19">
        <v>0.1</v>
      </c>
      <c r="H19">
        <v>4050</v>
      </c>
      <c r="I19">
        <v>1137.49</v>
      </c>
      <c r="J19" t="s">
        <v>26</v>
      </c>
      <c r="K19" t="s">
        <v>40</v>
      </c>
      <c r="L19">
        <v>4050</v>
      </c>
      <c r="M19">
        <v>28.086172839506169</v>
      </c>
      <c r="N19" t="s">
        <v>8</v>
      </c>
      <c r="O19" t="s">
        <v>141</v>
      </c>
      <c r="P19" t="s">
        <v>29</v>
      </c>
      <c r="Q19" t="s">
        <v>30</v>
      </c>
      <c r="R19" t="s">
        <v>53</v>
      </c>
      <c r="S19" t="s">
        <v>54</v>
      </c>
      <c r="T19" t="s">
        <v>142</v>
      </c>
      <c r="U19" t="s">
        <v>100</v>
      </c>
      <c r="V19">
        <v>1137.49</v>
      </c>
    </row>
    <row r="20" spans="1:22" x14ac:dyDescent="0.3">
      <c r="A20" t="s">
        <v>143</v>
      </c>
      <c r="B20" s="2">
        <v>45990</v>
      </c>
      <c r="C20" t="s">
        <v>144</v>
      </c>
      <c r="D20" t="s">
        <v>70</v>
      </c>
      <c r="E20" t="s">
        <v>108</v>
      </c>
      <c r="F20">
        <v>2</v>
      </c>
      <c r="G20">
        <v>0.1</v>
      </c>
      <c r="H20">
        <v>8100</v>
      </c>
      <c r="I20">
        <v>2537.2399999999998</v>
      </c>
      <c r="J20" t="s">
        <v>65</v>
      </c>
      <c r="K20" t="s">
        <v>40</v>
      </c>
      <c r="L20">
        <v>4050</v>
      </c>
      <c r="M20">
        <v>31.323950617283948</v>
      </c>
      <c r="N20" t="s">
        <v>8</v>
      </c>
      <c r="O20" t="s">
        <v>145</v>
      </c>
      <c r="P20" t="s">
        <v>83</v>
      </c>
      <c r="Q20" t="s">
        <v>30</v>
      </c>
      <c r="R20" t="s">
        <v>60</v>
      </c>
      <c r="S20" t="s">
        <v>61</v>
      </c>
      <c r="T20" t="s">
        <v>146</v>
      </c>
      <c r="U20" t="s">
        <v>105</v>
      </c>
      <c r="V20">
        <v>1268.6199999999999</v>
      </c>
    </row>
    <row r="21" spans="1:22" x14ac:dyDescent="0.3">
      <c r="A21" t="s">
        <v>147</v>
      </c>
      <c r="B21" s="2">
        <v>46094</v>
      </c>
      <c r="C21" t="s">
        <v>148</v>
      </c>
      <c r="D21" t="s">
        <v>24</v>
      </c>
      <c r="E21" t="s">
        <v>25</v>
      </c>
      <c r="F21">
        <v>4</v>
      </c>
      <c r="G21">
        <v>0.15</v>
      </c>
      <c r="H21">
        <v>47600</v>
      </c>
      <c r="I21">
        <v>6163.33</v>
      </c>
      <c r="J21" t="s">
        <v>51</v>
      </c>
      <c r="K21" t="s">
        <v>27</v>
      </c>
      <c r="L21">
        <v>11900</v>
      </c>
      <c r="M21">
        <v>12.948172268907561</v>
      </c>
      <c r="N21" t="s">
        <v>8</v>
      </c>
      <c r="O21" t="s">
        <v>149</v>
      </c>
      <c r="P21" t="s">
        <v>29</v>
      </c>
      <c r="Q21" t="s">
        <v>30</v>
      </c>
      <c r="R21" t="s">
        <v>60</v>
      </c>
      <c r="S21" t="s">
        <v>61</v>
      </c>
      <c r="T21" t="s">
        <v>150</v>
      </c>
      <c r="U21" t="s">
        <v>105</v>
      </c>
      <c r="V21">
        <v>1540.8325</v>
      </c>
    </row>
    <row r="22" spans="1:22" x14ac:dyDescent="0.3">
      <c r="A22" t="s">
        <v>151</v>
      </c>
      <c r="B22" s="2">
        <v>45962</v>
      </c>
      <c r="C22" t="s">
        <v>152</v>
      </c>
      <c r="D22" t="s">
        <v>24</v>
      </c>
      <c r="E22" t="s">
        <v>92</v>
      </c>
      <c r="F22">
        <v>5</v>
      </c>
      <c r="G22">
        <v>0.1</v>
      </c>
      <c r="H22">
        <v>4050</v>
      </c>
      <c r="I22">
        <v>1058.08</v>
      </c>
      <c r="J22" t="s">
        <v>39</v>
      </c>
      <c r="K22" t="s">
        <v>40</v>
      </c>
      <c r="L22">
        <v>810</v>
      </c>
      <c r="M22">
        <v>26.12543209876543</v>
      </c>
      <c r="N22" t="s">
        <v>8</v>
      </c>
      <c r="O22" t="s">
        <v>153</v>
      </c>
      <c r="P22" t="s">
        <v>83</v>
      </c>
      <c r="Q22" t="s">
        <v>30</v>
      </c>
      <c r="R22" t="s">
        <v>53</v>
      </c>
      <c r="S22" t="s">
        <v>54</v>
      </c>
      <c r="T22" t="s">
        <v>154</v>
      </c>
      <c r="U22" t="s">
        <v>100</v>
      </c>
      <c r="V22">
        <v>211.61600000000001</v>
      </c>
    </row>
    <row r="23" spans="1:22" x14ac:dyDescent="0.3">
      <c r="A23" t="s">
        <v>155</v>
      </c>
      <c r="B23" s="2">
        <v>46149</v>
      </c>
      <c r="C23" t="s">
        <v>156</v>
      </c>
      <c r="D23" t="s">
        <v>24</v>
      </c>
      <c r="E23" t="s">
        <v>87</v>
      </c>
      <c r="F23">
        <v>5</v>
      </c>
      <c r="G23">
        <v>0.15</v>
      </c>
      <c r="H23">
        <v>1487.5</v>
      </c>
      <c r="I23">
        <v>385.12</v>
      </c>
      <c r="J23" t="s">
        <v>39</v>
      </c>
      <c r="K23" t="s">
        <v>40</v>
      </c>
      <c r="L23">
        <v>297.5</v>
      </c>
      <c r="M23">
        <v>25.89042016806723</v>
      </c>
      <c r="N23" t="s">
        <v>8</v>
      </c>
      <c r="O23" t="s">
        <v>157</v>
      </c>
      <c r="P23" t="s">
        <v>83</v>
      </c>
      <c r="Q23" t="s">
        <v>30</v>
      </c>
      <c r="R23" t="s">
        <v>31</v>
      </c>
      <c r="S23" t="s">
        <v>32</v>
      </c>
      <c r="T23" t="s">
        <v>158</v>
      </c>
      <c r="U23" t="s">
        <v>34</v>
      </c>
      <c r="V23">
        <v>77.024000000000001</v>
      </c>
    </row>
    <row r="24" spans="1:22" x14ac:dyDescent="0.3">
      <c r="A24" t="s">
        <v>159</v>
      </c>
      <c r="B24" s="2">
        <v>46021</v>
      </c>
      <c r="C24" t="s">
        <v>160</v>
      </c>
      <c r="D24" t="s">
        <v>37</v>
      </c>
      <c r="E24" t="s">
        <v>38</v>
      </c>
      <c r="F24">
        <v>5</v>
      </c>
      <c r="G24">
        <v>0.05</v>
      </c>
      <c r="H24">
        <v>8550</v>
      </c>
      <c r="I24">
        <v>2868.99</v>
      </c>
      <c r="J24" t="s">
        <v>39</v>
      </c>
      <c r="K24" t="s">
        <v>27</v>
      </c>
      <c r="L24">
        <v>1710</v>
      </c>
      <c r="M24">
        <v>33.555438596491229</v>
      </c>
      <c r="N24" t="s">
        <v>8</v>
      </c>
      <c r="O24" t="s">
        <v>161</v>
      </c>
      <c r="P24" t="s">
        <v>29</v>
      </c>
      <c r="Q24" t="s">
        <v>30</v>
      </c>
      <c r="R24" t="s">
        <v>98</v>
      </c>
      <c r="S24" t="s">
        <v>54</v>
      </c>
      <c r="T24" t="s">
        <v>162</v>
      </c>
      <c r="U24" t="s">
        <v>34</v>
      </c>
      <c r="V24">
        <v>573.798</v>
      </c>
    </row>
    <row r="25" spans="1:22" x14ac:dyDescent="0.3">
      <c r="A25" t="s">
        <v>163</v>
      </c>
      <c r="B25" s="2">
        <v>45921</v>
      </c>
      <c r="C25" t="s">
        <v>164</v>
      </c>
      <c r="D25" t="s">
        <v>70</v>
      </c>
      <c r="E25" t="s">
        <v>165</v>
      </c>
      <c r="F25">
        <v>2</v>
      </c>
      <c r="G25">
        <v>0</v>
      </c>
      <c r="H25">
        <v>5000</v>
      </c>
      <c r="I25">
        <v>1600</v>
      </c>
      <c r="J25" t="s">
        <v>65</v>
      </c>
      <c r="K25" t="s">
        <v>27</v>
      </c>
      <c r="L25">
        <v>2500</v>
      </c>
      <c r="M25">
        <v>32</v>
      </c>
      <c r="N25" t="s">
        <v>8</v>
      </c>
      <c r="O25" t="s">
        <v>166</v>
      </c>
      <c r="P25" t="s">
        <v>73</v>
      </c>
      <c r="Q25" t="s">
        <v>30</v>
      </c>
      <c r="R25" t="s">
        <v>53</v>
      </c>
      <c r="S25" t="s">
        <v>54</v>
      </c>
      <c r="T25" t="s">
        <v>167</v>
      </c>
      <c r="U25" t="s">
        <v>46</v>
      </c>
      <c r="V25">
        <v>800</v>
      </c>
    </row>
    <row r="26" spans="1:22" x14ac:dyDescent="0.3">
      <c r="A26" t="s">
        <v>168</v>
      </c>
      <c r="B26" s="2">
        <v>46061</v>
      </c>
      <c r="C26" t="s">
        <v>169</v>
      </c>
      <c r="D26" t="s">
        <v>37</v>
      </c>
      <c r="E26" t="s">
        <v>170</v>
      </c>
      <c r="F26">
        <v>1</v>
      </c>
      <c r="G26">
        <v>0</v>
      </c>
      <c r="H26">
        <v>1400</v>
      </c>
      <c r="I26">
        <v>500</v>
      </c>
      <c r="J26" t="s">
        <v>65</v>
      </c>
      <c r="K26" t="s">
        <v>27</v>
      </c>
      <c r="L26">
        <v>1400</v>
      </c>
      <c r="M26">
        <v>35.714285714285722</v>
      </c>
      <c r="N26" t="s">
        <v>8</v>
      </c>
      <c r="O26" t="s">
        <v>171</v>
      </c>
      <c r="P26" t="s">
        <v>29</v>
      </c>
      <c r="Q26" t="s">
        <v>42</v>
      </c>
      <c r="R26" t="s">
        <v>121</v>
      </c>
      <c r="S26" t="s">
        <v>44</v>
      </c>
      <c r="T26" t="s">
        <v>172</v>
      </c>
      <c r="U26" t="s">
        <v>46</v>
      </c>
      <c r="V26">
        <v>500</v>
      </c>
    </row>
    <row r="27" spans="1:22" x14ac:dyDescent="0.3">
      <c r="A27" t="s">
        <v>173</v>
      </c>
      <c r="B27" s="2">
        <v>46217</v>
      </c>
      <c r="C27" t="s">
        <v>174</v>
      </c>
      <c r="D27" t="s">
        <v>70</v>
      </c>
      <c r="E27" t="s">
        <v>119</v>
      </c>
      <c r="F27">
        <v>4</v>
      </c>
      <c r="G27">
        <v>0</v>
      </c>
      <c r="H27">
        <v>36000</v>
      </c>
      <c r="I27">
        <v>9200</v>
      </c>
      <c r="J27" t="s">
        <v>26</v>
      </c>
      <c r="K27" t="s">
        <v>40</v>
      </c>
      <c r="L27">
        <v>9000</v>
      </c>
      <c r="M27">
        <v>25.55555555555555</v>
      </c>
      <c r="N27" t="s">
        <v>8</v>
      </c>
      <c r="O27" t="s">
        <v>175</v>
      </c>
      <c r="P27" t="s">
        <v>29</v>
      </c>
      <c r="Q27" t="s">
        <v>30</v>
      </c>
      <c r="R27" t="s">
        <v>53</v>
      </c>
      <c r="S27" t="s">
        <v>54</v>
      </c>
      <c r="T27" t="s">
        <v>176</v>
      </c>
      <c r="U27" t="s">
        <v>34</v>
      </c>
      <c r="V27">
        <v>2300</v>
      </c>
    </row>
    <row r="28" spans="1:22" x14ac:dyDescent="0.3">
      <c r="A28" t="s">
        <v>177</v>
      </c>
      <c r="B28" s="2">
        <v>46224</v>
      </c>
      <c r="C28" t="s">
        <v>178</v>
      </c>
      <c r="D28" t="s">
        <v>37</v>
      </c>
      <c r="E28" t="s">
        <v>38</v>
      </c>
      <c r="F28">
        <v>4</v>
      </c>
      <c r="G28">
        <v>0.05</v>
      </c>
      <c r="H28">
        <v>6840</v>
      </c>
      <c r="I28">
        <v>2310.29</v>
      </c>
      <c r="J28" t="s">
        <v>65</v>
      </c>
      <c r="K28" t="s">
        <v>40</v>
      </c>
      <c r="L28">
        <v>1710</v>
      </c>
      <c r="M28">
        <v>33.776169590643271</v>
      </c>
      <c r="N28" t="s">
        <v>8</v>
      </c>
      <c r="O28" t="s">
        <v>179</v>
      </c>
      <c r="P28" t="s">
        <v>83</v>
      </c>
      <c r="Q28" t="s">
        <v>30</v>
      </c>
      <c r="R28" t="s">
        <v>31</v>
      </c>
      <c r="S28" t="s">
        <v>32</v>
      </c>
      <c r="T28" t="s">
        <v>180</v>
      </c>
      <c r="U28" t="s">
        <v>105</v>
      </c>
      <c r="V28">
        <v>577.57249999999999</v>
      </c>
    </row>
    <row r="29" spans="1:22" x14ac:dyDescent="0.3">
      <c r="A29" t="s">
        <v>181</v>
      </c>
      <c r="B29" s="2">
        <v>46036</v>
      </c>
      <c r="C29" t="s">
        <v>182</v>
      </c>
      <c r="D29" t="s">
        <v>70</v>
      </c>
      <c r="E29" t="s">
        <v>165</v>
      </c>
      <c r="F29">
        <v>15</v>
      </c>
      <c r="G29">
        <v>0.1</v>
      </c>
      <c r="H29">
        <v>33750</v>
      </c>
      <c r="I29">
        <v>10059.459999999999</v>
      </c>
      <c r="J29" t="s">
        <v>65</v>
      </c>
      <c r="K29" t="s">
        <v>40</v>
      </c>
      <c r="L29">
        <v>2250</v>
      </c>
      <c r="M29">
        <v>29.8058074074074</v>
      </c>
      <c r="N29" t="s">
        <v>8</v>
      </c>
      <c r="O29" t="s">
        <v>183</v>
      </c>
      <c r="P29" t="s">
        <v>73</v>
      </c>
      <c r="Q29" t="s">
        <v>30</v>
      </c>
      <c r="R29" t="s">
        <v>53</v>
      </c>
      <c r="S29" t="s">
        <v>54</v>
      </c>
      <c r="T29" t="s">
        <v>184</v>
      </c>
      <c r="U29" t="s">
        <v>34</v>
      </c>
      <c r="V29">
        <v>670.63066666666657</v>
      </c>
    </row>
    <row r="30" spans="1:22" x14ac:dyDescent="0.3">
      <c r="A30" t="s">
        <v>185</v>
      </c>
      <c r="B30" s="2">
        <v>45934</v>
      </c>
      <c r="C30" t="s">
        <v>186</v>
      </c>
      <c r="D30" t="s">
        <v>37</v>
      </c>
      <c r="E30" t="s">
        <v>170</v>
      </c>
      <c r="F30">
        <v>2</v>
      </c>
      <c r="G30">
        <v>0.05</v>
      </c>
      <c r="H30">
        <v>2660</v>
      </c>
      <c r="I30">
        <v>903.86</v>
      </c>
      <c r="J30" t="s">
        <v>65</v>
      </c>
      <c r="K30" t="s">
        <v>40</v>
      </c>
      <c r="L30">
        <v>1330</v>
      </c>
      <c r="M30">
        <v>33.979699248120298</v>
      </c>
      <c r="N30" t="s">
        <v>8</v>
      </c>
      <c r="O30" t="s">
        <v>187</v>
      </c>
      <c r="P30" t="s">
        <v>83</v>
      </c>
      <c r="Q30" t="s">
        <v>42</v>
      </c>
      <c r="R30" t="s">
        <v>43</v>
      </c>
      <c r="S30" t="s">
        <v>44</v>
      </c>
      <c r="T30" t="s">
        <v>122</v>
      </c>
      <c r="U30" t="s">
        <v>34</v>
      </c>
      <c r="V30">
        <v>451.93</v>
      </c>
    </row>
    <row r="31" spans="1:22" x14ac:dyDescent="0.3">
      <c r="A31" t="s">
        <v>188</v>
      </c>
      <c r="B31" s="2">
        <v>45920</v>
      </c>
      <c r="C31" t="s">
        <v>189</v>
      </c>
      <c r="D31" t="s">
        <v>37</v>
      </c>
      <c r="E31" t="s">
        <v>190</v>
      </c>
      <c r="F31">
        <v>2</v>
      </c>
      <c r="G31">
        <v>0.05</v>
      </c>
      <c r="H31">
        <v>7980</v>
      </c>
      <c r="I31">
        <v>2063.3000000000002</v>
      </c>
      <c r="J31" t="s">
        <v>39</v>
      </c>
      <c r="K31" t="s">
        <v>40</v>
      </c>
      <c r="L31">
        <v>3990</v>
      </c>
      <c r="M31">
        <v>25.855889724310781</v>
      </c>
      <c r="N31" t="s">
        <v>8</v>
      </c>
      <c r="O31" t="s">
        <v>191</v>
      </c>
      <c r="P31" t="s">
        <v>29</v>
      </c>
      <c r="Q31" t="s">
        <v>30</v>
      </c>
      <c r="R31" t="s">
        <v>31</v>
      </c>
      <c r="S31" t="s">
        <v>32</v>
      </c>
      <c r="T31" t="s">
        <v>192</v>
      </c>
      <c r="U31" t="s">
        <v>34</v>
      </c>
      <c r="V31">
        <v>1031.6500000000001</v>
      </c>
    </row>
    <row r="32" spans="1:22" x14ac:dyDescent="0.3">
      <c r="A32" t="s">
        <v>193</v>
      </c>
      <c r="B32" s="2">
        <v>46143</v>
      </c>
      <c r="C32" t="s">
        <v>194</v>
      </c>
      <c r="D32" t="s">
        <v>37</v>
      </c>
      <c r="E32" t="s">
        <v>38</v>
      </c>
      <c r="F32">
        <v>1</v>
      </c>
      <c r="G32">
        <v>0.15</v>
      </c>
      <c r="H32">
        <v>1530</v>
      </c>
      <c r="I32">
        <v>491.47</v>
      </c>
      <c r="J32" t="s">
        <v>65</v>
      </c>
      <c r="K32" t="s">
        <v>40</v>
      </c>
      <c r="L32">
        <v>1530</v>
      </c>
      <c r="M32">
        <v>32.122222222222227</v>
      </c>
      <c r="N32" t="s">
        <v>8</v>
      </c>
      <c r="O32" t="s">
        <v>195</v>
      </c>
      <c r="P32" t="s">
        <v>73</v>
      </c>
      <c r="Q32" t="s">
        <v>30</v>
      </c>
      <c r="R32" t="s">
        <v>98</v>
      </c>
      <c r="S32" t="s">
        <v>54</v>
      </c>
      <c r="T32" t="s">
        <v>196</v>
      </c>
      <c r="U32" t="s">
        <v>105</v>
      </c>
      <c r="V32">
        <v>491.47</v>
      </c>
    </row>
    <row r="33" spans="1:22" x14ac:dyDescent="0.3">
      <c r="A33" t="s">
        <v>197</v>
      </c>
      <c r="B33" s="2">
        <v>46095</v>
      </c>
      <c r="C33" t="s">
        <v>198</v>
      </c>
      <c r="D33" t="s">
        <v>37</v>
      </c>
      <c r="E33" t="s">
        <v>38</v>
      </c>
      <c r="F33">
        <v>2</v>
      </c>
      <c r="G33">
        <v>0.2</v>
      </c>
      <c r="H33">
        <v>2880</v>
      </c>
      <c r="I33">
        <v>-730.55</v>
      </c>
      <c r="J33" t="s">
        <v>65</v>
      </c>
      <c r="K33" t="s">
        <v>80</v>
      </c>
      <c r="L33">
        <v>1440</v>
      </c>
      <c r="M33">
        <v>-25.366319444444439</v>
      </c>
      <c r="N33" t="s">
        <v>81</v>
      </c>
      <c r="O33" t="s">
        <v>199</v>
      </c>
      <c r="P33" t="s">
        <v>83</v>
      </c>
      <c r="Q33" t="s">
        <v>131</v>
      </c>
      <c r="R33" t="s">
        <v>200</v>
      </c>
      <c r="S33" t="s">
        <v>201</v>
      </c>
      <c r="T33" t="s">
        <v>202</v>
      </c>
      <c r="U33" t="s">
        <v>46</v>
      </c>
      <c r="V33">
        <v>-365.27499999999998</v>
      </c>
    </row>
    <row r="34" spans="1:22" x14ac:dyDescent="0.3">
      <c r="A34" t="s">
        <v>203</v>
      </c>
      <c r="B34" s="2">
        <v>46231</v>
      </c>
      <c r="C34" t="s">
        <v>204</v>
      </c>
      <c r="D34" t="s">
        <v>24</v>
      </c>
      <c r="E34" t="s">
        <v>25</v>
      </c>
      <c r="F34">
        <v>2</v>
      </c>
      <c r="G34">
        <v>0.1</v>
      </c>
      <c r="H34">
        <v>25200</v>
      </c>
      <c r="I34">
        <v>3802.3</v>
      </c>
      <c r="J34" t="s">
        <v>39</v>
      </c>
      <c r="K34" t="s">
        <v>40</v>
      </c>
      <c r="L34">
        <v>12600</v>
      </c>
      <c r="M34">
        <v>15.088492063492071</v>
      </c>
      <c r="N34" t="s">
        <v>8</v>
      </c>
      <c r="O34" t="s">
        <v>205</v>
      </c>
      <c r="P34" t="s">
        <v>29</v>
      </c>
      <c r="Q34" t="s">
        <v>30</v>
      </c>
      <c r="R34" t="s">
        <v>98</v>
      </c>
      <c r="S34" t="s">
        <v>54</v>
      </c>
      <c r="T34" t="s">
        <v>206</v>
      </c>
      <c r="U34" t="s">
        <v>34</v>
      </c>
      <c r="V34">
        <v>1901.15</v>
      </c>
    </row>
    <row r="35" spans="1:22" x14ac:dyDescent="0.3">
      <c r="A35" t="s">
        <v>207</v>
      </c>
      <c r="B35" s="2">
        <v>45880</v>
      </c>
      <c r="C35" t="s">
        <v>208</v>
      </c>
      <c r="D35" t="s">
        <v>70</v>
      </c>
      <c r="E35" t="s">
        <v>165</v>
      </c>
      <c r="F35">
        <v>1</v>
      </c>
      <c r="G35">
        <v>0.05</v>
      </c>
      <c r="H35">
        <v>2375</v>
      </c>
      <c r="I35">
        <v>733.65</v>
      </c>
      <c r="J35" t="s">
        <v>39</v>
      </c>
      <c r="K35" t="s">
        <v>40</v>
      </c>
      <c r="L35">
        <v>2375</v>
      </c>
      <c r="M35">
        <v>30.890526315789469</v>
      </c>
      <c r="N35" t="s">
        <v>8</v>
      </c>
      <c r="O35" t="s">
        <v>209</v>
      </c>
      <c r="P35" t="s">
        <v>29</v>
      </c>
      <c r="Q35" t="s">
        <v>30</v>
      </c>
      <c r="R35" t="s">
        <v>60</v>
      </c>
      <c r="S35" t="s">
        <v>61</v>
      </c>
      <c r="T35" t="s">
        <v>210</v>
      </c>
      <c r="U35" t="s">
        <v>46</v>
      </c>
      <c r="V35">
        <v>733.65</v>
      </c>
    </row>
    <row r="36" spans="1:22" x14ac:dyDescent="0.3">
      <c r="A36" t="s">
        <v>211</v>
      </c>
      <c r="B36" s="2">
        <v>46135</v>
      </c>
      <c r="C36" t="s">
        <v>212</v>
      </c>
      <c r="D36" t="s">
        <v>24</v>
      </c>
      <c r="E36" t="s">
        <v>25</v>
      </c>
      <c r="F36">
        <v>3</v>
      </c>
      <c r="G36">
        <v>0.15</v>
      </c>
      <c r="H36">
        <v>35700</v>
      </c>
      <c r="I36">
        <v>4197.41</v>
      </c>
      <c r="J36" t="s">
        <v>26</v>
      </c>
      <c r="K36" t="s">
        <v>40</v>
      </c>
      <c r="L36">
        <v>11900</v>
      </c>
      <c r="M36">
        <v>11.757450980392161</v>
      </c>
      <c r="N36" t="s">
        <v>8</v>
      </c>
      <c r="O36" t="s">
        <v>213</v>
      </c>
      <c r="P36" t="s">
        <v>29</v>
      </c>
      <c r="Q36" t="s">
        <v>42</v>
      </c>
      <c r="R36" t="s">
        <v>214</v>
      </c>
      <c r="S36" t="s">
        <v>111</v>
      </c>
      <c r="T36" t="s">
        <v>215</v>
      </c>
      <c r="U36" t="s">
        <v>105</v>
      </c>
      <c r="V36">
        <v>1399.136666666667</v>
      </c>
    </row>
    <row r="37" spans="1:22" x14ac:dyDescent="0.3">
      <c r="A37" t="s">
        <v>216</v>
      </c>
      <c r="B37" s="2">
        <v>45915</v>
      </c>
      <c r="C37" t="s">
        <v>217</v>
      </c>
      <c r="D37" t="s">
        <v>70</v>
      </c>
      <c r="E37" t="s">
        <v>108</v>
      </c>
      <c r="F37">
        <v>2</v>
      </c>
      <c r="G37">
        <v>0.1</v>
      </c>
      <c r="H37">
        <v>8100</v>
      </c>
      <c r="I37">
        <v>2319.67</v>
      </c>
      <c r="J37" t="s">
        <v>51</v>
      </c>
      <c r="K37" t="s">
        <v>27</v>
      </c>
      <c r="L37">
        <v>4050</v>
      </c>
      <c r="M37">
        <v>28.637901234567899</v>
      </c>
      <c r="N37" t="s">
        <v>8</v>
      </c>
      <c r="O37" t="s">
        <v>218</v>
      </c>
      <c r="P37" t="s">
        <v>29</v>
      </c>
      <c r="Q37" t="s">
        <v>30</v>
      </c>
      <c r="R37" t="s">
        <v>31</v>
      </c>
      <c r="S37" t="s">
        <v>32</v>
      </c>
      <c r="T37" t="s">
        <v>219</v>
      </c>
      <c r="U37" t="s">
        <v>100</v>
      </c>
      <c r="V37">
        <v>1159.835</v>
      </c>
    </row>
    <row r="38" spans="1:22" x14ac:dyDescent="0.3">
      <c r="A38" t="s">
        <v>220</v>
      </c>
      <c r="B38" s="2">
        <v>46240</v>
      </c>
      <c r="C38" t="s">
        <v>221</v>
      </c>
      <c r="D38" t="s">
        <v>49</v>
      </c>
      <c r="E38" t="s">
        <v>50</v>
      </c>
      <c r="F38">
        <v>1</v>
      </c>
      <c r="G38">
        <v>0.3</v>
      </c>
      <c r="H38">
        <v>9100</v>
      </c>
      <c r="I38">
        <v>408.21</v>
      </c>
      <c r="J38" t="s">
        <v>65</v>
      </c>
      <c r="K38" t="s">
        <v>40</v>
      </c>
      <c r="L38">
        <v>9100</v>
      </c>
      <c r="M38">
        <v>4.4858241758241757</v>
      </c>
      <c r="N38" t="s">
        <v>8</v>
      </c>
      <c r="O38" t="s">
        <v>222</v>
      </c>
      <c r="P38" t="s">
        <v>29</v>
      </c>
      <c r="Q38" t="s">
        <v>30</v>
      </c>
      <c r="R38" t="s">
        <v>53</v>
      </c>
      <c r="S38" t="s">
        <v>54</v>
      </c>
      <c r="T38" t="s">
        <v>223</v>
      </c>
      <c r="U38" t="s">
        <v>100</v>
      </c>
      <c r="V38">
        <v>408.21</v>
      </c>
    </row>
    <row r="39" spans="1:22" x14ac:dyDescent="0.3">
      <c r="A39" t="s">
        <v>224</v>
      </c>
      <c r="B39" s="2">
        <v>46153</v>
      </c>
      <c r="C39" t="s">
        <v>225</v>
      </c>
      <c r="D39" t="s">
        <v>37</v>
      </c>
      <c r="E39" t="s">
        <v>190</v>
      </c>
      <c r="F39">
        <v>2</v>
      </c>
      <c r="G39">
        <v>0.1</v>
      </c>
      <c r="H39">
        <v>7560</v>
      </c>
      <c r="I39">
        <v>1719.24</v>
      </c>
      <c r="J39" t="s">
        <v>39</v>
      </c>
      <c r="K39" t="s">
        <v>40</v>
      </c>
      <c r="L39">
        <v>3780</v>
      </c>
      <c r="M39">
        <v>22.74126984126984</v>
      </c>
      <c r="N39" t="s">
        <v>8</v>
      </c>
      <c r="O39" t="s">
        <v>226</v>
      </c>
      <c r="P39" t="s">
        <v>29</v>
      </c>
      <c r="Q39" t="s">
        <v>30</v>
      </c>
      <c r="R39" t="s">
        <v>31</v>
      </c>
      <c r="S39" t="s">
        <v>32</v>
      </c>
      <c r="T39" t="s">
        <v>227</v>
      </c>
      <c r="U39" t="s">
        <v>100</v>
      </c>
      <c r="V39">
        <v>859.62</v>
      </c>
    </row>
    <row r="40" spans="1:22" x14ac:dyDescent="0.3">
      <c r="A40" t="s">
        <v>228</v>
      </c>
      <c r="B40" s="2">
        <v>46115</v>
      </c>
      <c r="C40" t="s">
        <v>229</v>
      </c>
      <c r="D40" t="s">
        <v>37</v>
      </c>
      <c r="E40" t="s">
        <v>170</v>
      </c>
      <c r="F40">
        <v>4</v>
      </c>
      <c r="G40">
        <v>0.1</v>
      </c>
      <c r="H40">
        <v>5040</v>
      </c>
      <c r="I40">
        <v>1535.58</v>
      </c>
      <c r="J40" t="s">
        <v>65</v>
      </c>
      <c r="K40" t="s">
        <v>40</v>
      </c>
      <c r="L40">
        <v>1260</v>
      </c>
      <c r="M40">
        <v>30.467857142857142</v>
      </c>
      <c r="N40" t="s">
        <v>8</v>
      </c>
      <c r="O40" t="s">
        <v>103</v>
      </c>
      <c r="P40" t="s">
        <v>29</v>
      </c>
      <c r="Q40" t="s">
        <v>30</v>
      </c>
      <c r="R40" t="s">
        <v>60</v>
      </c>
      <c r="S40" t="s">
        <v>61</v>
      </c>
      <c r="T40" t="s">
        <v>230</v>
      </c>
      <c r="U40" t="s">
        <v>105</v>
      </c>
      <c r="V40">
        <v>383.89499999999998</v>
      </c>
    </row>
    <row r="41" spans="1:22" x14ac:dyDescent="0.3">
      <c r="A41" t="s">
        <v>231</v>
      </c>
      <c r="B41" s="2">
        <v>46261</v>
      </c>
      <c r="C41" t="s">
        <v>232</v>
      </c>
      <c r="D41" t="s">
        <v>37</v>
      </c>
      <c r="E41" t="s">
        <v>190</v>
      </c>
      <c r="F41">
        <v>1</v>
      </c>
      <c r="G41">
        <v>0.05</v>
      </c>
      <c r="H41">
        <v>3990</v>
      </c>
      <c r="I41">
        <v>1063.6600000000001</v>
      </c>
      <c r="J41" t="s">
        <v>39</v>
      </c>
      <c r="K41" t="s">
        <v>27</v>
      </c>
      <c r="L41">
        <v>3990</v>
      </c>
      <c r="M41">
        <v>26.658145363408529</v>
      </c>
      <c r="N41" t="s">
        <v>8</v>
      </c>
      <c r="O41" t="s">
        <v>233</v>
      </c>
      <c r="P41" t="s">
        <v>29</v>
      </c>
      <c r="Q41" t="s">
        <v>131</v>
      </c>
      <c r="R41" t="s">
        <v>132</v>
      </c>
      <c r="S41" t="s">
        <v>133</v>
      </c>
      <c r="T41" t="s">
        <v>234</v>
      </c>
      <c r="U41" t="s">
        <v>34</v>
      </c>
      <c r="V41">
        <v>1063.6600000000001</v>
      </c>
    </row>
    <row r="42" spans="1:22" x14ac:dyDescent="0.3">
      <c r="A42" t="s">
        <v>235</v>
      </c>
      <c r="B42" s="2">
        <v>46230</v>
      </c>
      <c r="C42" t="s">
        <v>236</v>
      </c>
      <c r="D42" t="s">
        <v>24</v>
      </c>
      <c r="E42" t="s">
        <v>25</v>
      </c>
      <c r="F42">
        <v>2</v>
      </c>
      <c r="G42">
        <v>0.05</v>
      </c>
      <c r="H42">
        <v>26600</v>
      </c>
      <c r="I42">
        <v>4931.8500000000004</v>
      </c>
      <c r="J42" t="s">
        <v>26</v>
      </c>
      <c r="K42" t="s">
        <v>40</v>
      </c>
      <c r="L42">
        <v>13300</v>
      </c>
      <c r="M42">
        <v>18.54078947368421</v>
      </c>
      <c r="N42" t="s">
        <v>8</v>
      </c>
      <c r="O42" t="s">
        <v>179</v>
      </c>
      <c r="P42" t="s">
        <v>29</v>
      </c>
      <c r="Q42" t="s">
        <v>74</v>
      </c>
      <c r="R42" t="s">
        <v>237</v>
      </c>
      <c r="S42" t="s">
        <v>238</v>
      </c>
      <c r="T42" t="s">
        <v>239</v>
      </c>
      <c r="U42" t="s">
        <v>34</v>
      </c>
      <c r="V42">
        <v>2465.9250000000002</v>
      </c>
    </row>
    <row r="43" spans="1:22" x14ac:dyDescent="0.3">
      <c r="A43" t="s">
        <v>240</v>
      </c>
      <c r="B43" s="2">
        <v>46105</v>
      </c>
      <c r="C43" t="s">
        <v>241</v>
      </c>
      <c r="D43" t="s">
        <v>24</v>
      </c>
      <c r="E43" t="s">
        <v>242</v>
      </c>
      <c r="F43">
        <v>2</v>
      </c>
      <c r="G43">
        <v>0.15</v>
      </c>
      <c r="H43">
        <v>765</v>
      </c>
      <c r="I43">
        <v>113.91</v>
      </c>
      <c r="J43" t="s">
        <v>26</v>
      </c>
      <c r="K43" t="s">
        <v>40</v>
      </c>
      <c r="L43">
        <v>382.5</v>
      </c>
      <c r="M43">
        <v>14.890196078431369</v>
      </c>
      <c r="N43" t="s">
        <v>8</v>
      </c>
      <c r="O43" t="s">
        <v>243</v>
      </c>
      <c r="P43" t="s">
        <v>73</v>
      </c>
      <c r="Q43" t="s">
        <v>74</v>
      </c>
      <c r="R43" t="s">
        <v>75</v>
      </c>
      <c r="S43" t="s">
        <v>75</v>
      </c>
      <c r="T43" t="s">
        <v>244</v>
      </c>
      <c r="U43" t="s">
        <v>34</v>
      </c>
      <c r="V43">
        <v>56.954999999999998</v>
      </c>
    </row>
    <row r="44" spans="1:22" x14ac:dyDescent="0.3">
      <c r="A44" t="s">
        <v>245</v>
      </c>
      <c r="B44" s="2">
        <v>46204</v>
      </c>
      <c r="C44" t="s">
        <v>246</v>
      </c>
      <c r="D44" t="s">
        <v>70</v>
      </c>
      <c r="E44" t="s">
        <v>129</v>
      </c>
      <c r="F44">
        <v>1</v>
      </c>
      <c r="G44">
        <v>0</v>
      </c>
      <c r="H44">
        <v>55000</v>
      </c>
      <c r="I44">
        <v>9000</v>
      </c>
      <c r="J44" t="s">
        <v>26</v>
      </c>
      <c r="K44" t="s">
        <v>40</v>
      </c>
      <c r="L44">
        <v>55000</v>
      </c>
      <c r="M44">
        <v>16.36363636363636</v>
      </c>
      <c r="N44" t="s">
        <v>8</v>
      </c>
      <c r="O44" t="s">
        <v>247</v>
      </c>
      <c r="P44" t="s">
        <v>73</v>
      </c>
      <c r="Q44" t="s">
        <v>30</v>
      </c>
      <c r="R44" t="s">
        <v>53</v>
      </c>
      <c r="S44" t="s">
        <v>54</v>
      </c>
      <c r="T44" t="s">
        <v>248</v>
      </c>
      <c r="U44" t="s">
        <v>100</v>
      </c>
      <c r="V44">
        <v>9000</v>
      </c>
    </row>
    <row r="45" spans="1:22" x14ac:dyDescent="0.3">
      <c r="A45" t="s">
        <v>249</v>
      </c>
      <c r="B45" s="2">
        <v>46000</v>
      </c>
      <c r="C45" t="s">
        <v>250</v>
      </c>
      <c r="D45" t="s">
        <v>24</v>
      </c>
      <c r="E45" t="s">
        <v>92</v>
      </c>
      <c r="F45">
        <v>3</v>
      </c>
      <c r="G45">
        <v>0.15</v>
      </c>
      <c r="H45">
        <v>2295</v>
      </c>
      <c r="I45">
        <v>544.5</v>
      </c>
      <c r="J45" t="s">
        <v>39</v>
      </c>
      <c r="K45" t="s">
        <v>40</v>
      </c>
      <c r="L45">
        <v>765</v>
      </c>
      <c r="M45">
        <v>23.725490196078429</v>
      </c>
      <c r="N45" t="s">
        <v>8</v>
      </c>
      <c r="O45" t="s">
        <v>251</v>
      </c>
      <c r="P45" t="s">
        <v>29</v>
      </c>
      <c r="Q45" t="s">
        <v>74</v>
      </c>
      <c r="R45" t="s">
        <v>115</v>
      </c>
      <c r="S45" t="s">
        <v>115</v>
      </c>
      <c r="T45" t="s">
        <v>252</v>
      </c>
      <c r="U45" t="s">
        <v>34</v>
      </c>
      <c r="V45">
        <v>181.5</v>
      </c>
    </row>
    <row r="46" spans="1:22" x14ac:dyDescent="0.3">
      <c r="A46" t="s">
        <v>253</v>
      </c>
      <c r="B46" s="2">
        <v>46052</v>
      </c>
      <c r="C46" t="s">
        <v>254</v>
      </c>
      <c r="D46" t="s">
        <v>24</v>
      </c>
      <c r="E46" t="s">
        <v>87</v>
      </c>
      <c r="F46">
        <v>3</v>
      </c>
      <c r="G46">
        <v>0.15</v>
      </c>
      <c r="H46">
        <v>892.5</v>
      </c>
      <c r="I46">
        <v>-120.41</v>
      </c>
      <c r="J46" t="s">
        <v>26</v>
      </c>
      <c r="K46" t="s">
        <v>80</v>
      </c>
      <c r="L46">
        <v>297.5</v>
      </c>
      <c r="M46">
        <v>-13.491316526610641</v>
      </c>
      <c r="N46" t="s">
        <v>81</v>
      </c>
      <c r="O46" t="s">
        <v>255</v>
      </c>
      <c r="P46" t="s">
        <v>29</v>
      </c>
      <c r="Q46" t="s">
        <v>30</v>
      </c>
      <c r="R46" t="s">
        <v>53</v>
      </c>
      <c r="S46" t="s">
        <v>54</v>
      </c>
      <c r="T46" t="s">
        <v>256</v>
      </c>
      <c r="U46" t="s">
        <v>46</v>
      </c>
      <c r="V46">
        <v>-40.136666666666663</v>
      </c>
    </row>
    <row r="47" spans="1:22" x14ac:dyDescent="0.3">
      <c r="A47" t="s">
        <v>257</v>
      </c>
      <c r="B47" s="2">
        <v>45938</v>
      </c>
      <c r="C47" t="s">
        <v>258</v>
      </c>
      <c r="D47" t="s">
        <v>70</v>
      </c>
      <c r="E47" t="s">
        <v>165</v>
      </c>
      <c r="F47">
        <v>3</v>
      </c>
      <c r="G47">
        <v>0.3</v>
      </c>
      <c r="H47">
        <v>5250</v>
      </c>
      <c r="I47">
        <v>1324.49</v>
      </c>
      <c r="J47" t="s">
        <v>39</v>
      </c>
      <c r="K47" t="s">
        <v>27</v>
      </c>
      <c r="L47">
        <v>1750</v>
      </c>
      <c r="M47">
        <v>25.228380952380949</v>
      </c>
      <c r="N47" t="s">
        <v>8</v>
      </c>
      <c r="O47" t="s">
        <v>259</v>
      </c>
      <c r="P47" t="s">
        <v>73</v>
      </c>
      <c r="Q47" t="s">
        <v>30</v>
      </c>
      <c r="R47" t="s">
        <v>60</v>
      </c>
      <c r="S47" t="s">
        <v>61</v>
      </c>
      <c r="T47" t="s">
        <v>260</v>
      </c>
      <c r="U47" t="s">
        <v>105</v>
      </c>
      <c r="V47">
        <v>441.49666666666673</v>
      </c>
    </row>
    <row r="48" spans="1:22" x14ac:dyDescent="0.3">
      <c r="A48" t="s">
        <v>261</v>
      </c>
      <c r="B48" s="2">
        <v>45961</v>
      </c>
      <c r="C48" t="s">
        <v>107</v>
      </c>
      <c r="D48" t="s">
        <v>24</v>
      </c>
      <c r="E48" t="s">
        <v>25</v>
      </c>
      <c r="F48">
        <v>3</v>
      </c>
      <c r="G48">
        <v>0.2</v>
      </c>
      <c r="H48">
        <v>33600</v>
      </c>
      <c r="I48">
        <v>1949.86</v>
      </c>
      <c r="J48" t="s">
        <v>65</v>
      </c>
      <c r="K48" t="s">
        <v>40</v>
      </c>
      <c r="L48">
        <v>11200</v>
      </c>
      <c r="M48">
        <v>5.8031547619047616</v>
      </c>
      <c r="N48" t="s">
        <v>8</v>
      </c>
      <c r="O48" t="s">
        <v>109</v>
      </c>
      <c r="P48" t="s">
        <v>29</v>
      </c>
      <c r="Q48" t="s">
        <v>42</v>
      </c>
      <c r="R48" t="s">
        <v>110</v>
      </c>
      <c r="S48" t="s">
        <v>111</v>
      </c>
      <c r="T48" t="s">
        <v>112</v>
      </c>
      <c r="U48" t="s">
        <v>100</v>
      </c>
      <c r="V48">
        <v>649.95333333333326</v>
      </c>
    </row>
    <row r="49" spans="1:22" x14ac:dyDescent="0.3">
      <c r="A49" t="s">
        <v>262</v>
      </c>
      <c r="B49" s="2">
        <v>46068</v>
      </c>
      <c r="C49" t="s">
        <v>263</v>
      </c>
      <c r="D49" t="s">
        <v>70</v>
      </c>
      <c r="E49" t="s">
        <v>264</v>
      </c>
      <c r="F49">
        <v>15</v>
      </c>
      <c r="G49">
        <v>0.1</v>
      </c>
      <c r="H49">
        <v>243000</v>
      </c>
      <c r="I49">
        <v>34082.1</v>
      </c>
      <c r="J49" t="s">
        <v>65</v>
      </c>
      <c r="K49" t="s">
        <v>40</v>
      </c>
      <c r="L49">
        <v>16200</v>
      </c>
      <c r="M49">
        <v>14.025555555555551</v>
      </c>
      <c r="N49" t="s">
        <v>8</v>
      </c>
      <c r="O49" t="s">
        <v>265</v>
      </c>
      <c r="P49" t="s">
        <v>73</v>
      </c>
      <c r="Q49" t="s">
        <v>30</v>
      </c>
      <c r="R49" t="s">
        <v>31</v>
      </c>
      <c r="S49" t="s">
        <v>32</v>
      </c>
      <c r="T49" t="s">
        <v>266</v>
      </c>
      <c r="U49" t="s">
        <v>46</v>
      </c>
      <c r="V49">
        <v>2272.14</v>
      </c>
    </row>
    <row r="50" spans="1:22" x14ac:dyDescent="0.3">
      <c r="A50" t="s">
        <v>267</v>
      </c>
      <c r="B50" s="2">
        <v>46188</v>
      </c>
      <c r="C50" t="s">
        <v>268</v>
      </c>
      <c r="D50" t="s">
        <v>37</v>
      </c>
      <c r="E50" t="s">
        <v>190</v>
      </c>
      <c r="F50">
        <v>1</v>
      </c>
      <c r="G50">
        <v>0.15</v>
      </c>
      <c r="H50">
        <v>3570</v>
      </c>
      <c r="I50">
        <v>841.89</v>
      </c>
      <c r="J50" t="s">
        <v>26</v>
      </c>
      <c r="K50" t="s">
        <v>40</v>
      </c>
      <c r="L50">
        <v>3570</v>
      </c>
      <c r="M50">
        <v>23.58235294117647</v>
      </c>
      <c r="N50" t="s">
        <v>8</v>
      </c>
      <c r="O50" t="s">
        <v>269</v>
      </c>
      <c r="P50" t="s">
        <v>29</v>
      </c>
      <c r="Q50" t="s">
        <v>30</v>
      </c>
      <c r="R50" t="s">
        <v>31</v>
      </c>
      <c r="S50" t="s">
        <v>32</v>
      </c>
      <c r="T50" t="s">
        <v>270</v>
      </c>
      <c r="U50" t="s">
        <v>34</v>
      </c>
      <c r="V50">
        <v>841.89</v>
      </c>
    </row>
    <row r="51" spans="1:22" x14ac:dyDescent="0.3">
      <c r="A51" t="s">
        <v>271</v>
      </c>
      <c r="B51" s="2">
        <v>46013</v>
      </c>
      <c r="C51" t="s">
        <v>272</v>
      </c>
      <c r="D51" t="s">
        <v>37</v>
      </c>
      <c r="E51" t="s">
        <v>38</v>
      </c>
      <c r="F51">
        <v>3</v>
      </c>
      <c r="G51">
        <v>0.05</v>
      </c>
      <c r="H51">
        <v>5130</v>
      </c>
      <c r="I51">
        <v>1807.07</v>
      </c>
      <c r="J51" t="s">
        <v>26</v>
      </c>
      <c r="K51" t="s">
        <v>40</v>
      </c>
      <c r="L51">
        <v>1710</v>
      </c>
      <c r="M51">
        <v>35.225536062378168</v>
      </c>
      <c r="N51" t="s">
        <v>8</v>
      </c>
      <c r="O51" t="s">
        <v>166</v>
      </c>
      <c r="P51" t="s">
        <v>73</v>
      </c>
      <c r="Q51" t="s">
        <v>30</v>
      </c>
      <c r="R51" t="s">
        <v>98</v>
      </c>
      <c r="S51" t="s">
        <v>54</v>
      </c>
      <c r="T51" t="s">
        <v>273</v>
      </c>
      <c r="U51" t="s">
        <v>105</v>
      </c>
      <c r="V51">
        <v>602.35666666666668</v>
      </c>
    </row>
    <row r="52" spans="1:22" x14ac:dyDescent="0.3">
      <c r="A52" t="s">
        <v>274</v>
      </c>
      <c r="B52" s="2">
        <v>45841</v>
      </c>
      <c r="C52" t="s">
        <v>275</v>
      </c>
      <c r="D52" t="s">
        <v>70</v>
      </c>
      <c r="E52" t="s">
        <v>71</v>
      </c>
      <c r="F52">
        <v>4</v>
      </c>
      <c r="G52">
        <v>0</v>
      </c>
      <c r="H52">
        <v>72000</v>
      </c>
      <c r="I52">
        <v>14000</v>
      </c>
      <c r="J52" t="s">
        <v>39</v>
      </c>
      <c r="K52" t="s">
        <v>27</v>
      </c>
      <c r="L52">
        <v>18000</v>
      </c>
      <c r="M52">
        <v>19.44444444444445</v>
      </c>
      <c r="N52" t="s">
        <v>8</v>
      </c>
      <c r="O52" t="s">
        <v>276</v>
      </c>
      <c r="P52" t="s">
        <v>83</v>
      </c>
      <c r="Q52" t="s">
        <v>30</v>
      </c>
      <c r="R52" t="s">
        <v>53</v>
      </c>
      <c r="S52" t="s">
        <v>54</v>
      </c>
      <c r="T52" t="s">
        <v>277</v>
      </c>
      <c r="U52" t="s">
        <v>100</v>
      </c>
      <c r="V52">
        <v>3500</v>
      </c>
    </row>
    <row r="53" spans="1:22" x14ac:dyDescent="0.3">
      <c r="A53" t="s">
        <v>278</v>
      </c>
      <c r="B53" s="2">
        <v>46109</v>
      </c>
      <c r="C53" t="s">
        <v>279</v>
      </c>
      <c r="D53" t="s">
        <v>37</v>
      </c>
      <c r="E53" t="s">
        <v>170</v>
      </c>
      <c r="F53">
        <v>10</v>
      </c>
      <c r="G53">
        <v>0</v>
      </c>
      <c r="H53">
        <v>14000</v>
      </c>
      <c r="I53">
        <v>5000</v>
      </c>
      <c r="J53" t="s">
        <v>51</v>
      </c>
      <c r="K53" t="s">
        <v>40</v>
      </c>
      <c r="L53">
        <v>1400</v>
      </c>
      <c r="M53">
        <v>35.714285714285722</v>
      </c>
      <c r="N53" t="s">
        <v>8</v>
      </c>
      <c r="O53" t="s">
        <v>280</v>
      </c>
      <c r="P53" t="s">
        <v>73</v>
      </c>
      <c r="Q53" t="s">
        <v>30</v>
      </c>
      <c r="R53" t="s">
        <v>31</v>
      </c>
      <c r="S53" t="s">
        <v>32</v>
      </c>
      <c r="T53" t="s">
        <v>281</v>
      </c>
      <c r="U53" t="s">
        <v>46</v>
      </c>
      <c r="V53">
        <v>500</v>
      </c>
    </row>
    <row r="54" spans="1:22" x14ac:dyDescent="0.3">
      <c r="A54" t="s">
        <v>282</v>
      </c>
      <c r="B54" s="2">
        <v>45963</v>
      </c>
      <c r="C54" t="s">
        <v>283</v>
      </c>
      <c r="D54" t="s">
        <v>70</v>
      </c>
      <c r="E54" t="s">
        <v>71</v>
      </c>
      <c r="F54">
        <v>2</v>
      </c>
      <c r="G54">
        <v>0.1</v>
      </c>
      <c r="H54">
        <v>32400</v>
      </c>
      <c r="I54">
        <v>4453.74</v>
      </c>
      <c r="J54" t="s">
        <v>26</v>
      </c>
      <c r="K54" t="s">
        <v>40</v>
      </c>
      <c r="L54">
        <v>16200</v>
      </c>
      <c r="M54">
        <v>13.746111111111111</v>
      </c>
      <c r="N54" t="s">
        <v>8</v>
      </c>
      <c r="O54" t="s">
        <v>284</v>
      </c>
      <c r="P54" t="s">
        <v>29</v>
      </c>
      <c r="Q54" t="s">
        <v>30</v>
      </c>
      <c r="R54" t="s">
        <v>53</v>
      </c>
      <c r="S54" t="s">
        <v>54</v>
      </c>
      <c r="T54" t="s">
        <v>285</v>
      </c>
      <c r="U54" t="s">
        <v>34</v>
      </c>
      <c r="V54">
        <v>2226.87</v>
      </c>
    </row>
    <row r="55" spans="1:22" x14ac:dyDescent="0.3">
      <c r="A55" t="s">
        <v>286</v>
      </c>
      <c r="B55" s="2">
        <v>46196</v>
      </c>
      <c r="C55" t="s">
        <v>287</v>
      </c>
      <c r="D55" t="s">
        <v>37</v>
      </c>
      <c r="E55" t="s">
        <v>190</v>
      </c>
      <c r="F55">
        <v>2</v>
      </c>
      <c r="G55">
        <v>0.1</v>
      </c>
      <c r="H55">
        <v>7560</v>
      </c>
      <c r="I55">
        <v>1805.85</v>
      </c>
      <c r="J55" t="s">
        <v>65</v>
      </c>
      <c r="K55" t="s">
        <v>40</v>
      </c>
      <c r="L55">
        <v>3780</v>
      </c>
      <c r="M55">
        <v>23.886904761904759</v>
      </c>
      <c r="N55" t="s">
        <v>8</v>
      </c>
      <c r="O55" t="s">
        <v>288</v>
      </c>
      <c r="P55" t="s">
        <v>83</v>
      </c>
      <c r="Q55" t="s">
        <v>131</v>
      </c>
      <c r="R55" t="s">
        <v>289</v>
      </c>
      <c r="S55" t="s">
        <v>290</v>
      </c>
      <c r="T55" t="s">
        <v>291</v>
      </c>
      <c r="U55" t="s">
        <v>105</v>
      </c>
      <c r="V55">
        <v>902.92499999999995</v>
      </c>
    </row>
    <row r="56" spans="1:22" x14ac:dyDescent="0.3">
      <c r="A56" t="s">
        <v>292</v>
      </c>
      <c r="B56" s="2">
        <v>46040</v>
      </c>
      <c r="C56" t="s">
        <v>293</v>
      </c>
      <c r="D56" t="s">
        <v>70</v>
      </c>
      <c r="E56" t="s">
        <v>71</v>
      </c>
      <c r="F56">
        <v>10</v>
      </c>
      <c r="G56">
        <v>0</v>
      </c>
      <c r="H56">
        <v>180000</v>
      </c>
      <c r="I56">
        <v>35000</v>
      </c>
      <c r="J56" t="s">
        <v>65</v>
      </c>
      <c r="K56" t="s">
        <v>40</v>
      </c>
      <c r="L56">
        <v>18000</v>
      </c>
      <c r="M56">
        <v>19.44444444444445</v>
      </c>
      <c r="N56" t="s">
        <v>8</v>
      </c>
      <c r="O56" t="s">
        <v>294</v>
      </c>
      <c r="P56" t="s">
        <v>73</v>
      </c>
      <c r="Q56" t="s">
        <v>74</v>
      </c>
      <c r="R56" t="s">
        <v>115</v>
      </c>
      <c r="S56" t="s">
        <v>115</v>
      </c>
      <c r="T56" t="s">
        <v>295</v>
      </c>
      <c r="U56" t="s">
        <v>100</v>
      </c>
      <c r="V56">
        <v>3500</v>
      </c>
    </row>
    <row r="57" spans="1:22" x14ac:dyDescent="0.3">
      <c r="A57" t="s">
        <v>296</v>
      </c>
      <c r="B57" s="2">
        <v>45880</v>
      </c>
      <c r="C57" t="s">
        <v>297</v>
      </c>
      <c r="D57" t="s">
        <v>70</v>
      </c>
      <c r="E57" t="s">
        <v>71</v>
      </c>
      <c r="F57">
        <v>4</v>
      </c>
      <c r="G57">
        <v>0.1</v>
      </c>
      <c r="H57">
        <v>64800</v>
      </c>
      <c r="I57">
        <v>10554.37</v>
      </c>
      <c r="J57" t="s">
        <v>26</v>
      </c>
      <c r="K57" t="s">
        <v>40</v>
      </c>
      <c r="L57">
        <v>16200</v>
      </c>
      <c r="M57">
        <v>16.287608024691359</v>
      </c>
      <c r="N57" t="s">
        <v>8</v>
      </c>
      <c r="O57" t="s">
        <v>298</v>
      </c>
      <c r="P57" t="s">
        <v>83</v>
      </c>
      <c r="Q57" t="s">
        <v>30</v>
      </c>
      <c r="R57" t="s">
        <v>60</v>
      </c>
      <c r="S57" t="s">
        <v>61</v>
      </c>
      <c r="T57" t="s">
        <v>299</v>
      </c>
      <c r="U57" t="s">
        <v>46</v>
      </c>
      <c r="V57">
        <v>2638.5925000000002</v>
      </c>
    </row>
    <row r="58" spans="1:22" x14ac:dyDescent="0.3">
      <c r="A58" t="s">
        <v>300</v>
      </c>
      <c r="B58" s="2">
        <v>45918</v>
      </c>
      <c r="C58" t="s">
        <v>301</v>
      </c>
      <c r="D58" t="s">
        <v>70</v>
      </c>
      <c r="E58" t="s">
        <v>71</v>
      </c>
      <c r="F58">
        <v>3</v>
      </c>
      <c r="G58">
        <v>0</v>
      </c>
      <c r="H58">
        <v>54000</v>
      </c>
      <c r="I58">
        <v>10500</v>
      </c>
      <c r="J58" t="s">
        <v>39</v>
      </c>
      <c r="K58" t="s">
        <v>40</v>
      </c>
      <c r="L58">
        <v>18000</v>
      </c>
      <c r="M58">
        <v>19.44444444444445</v>
      </c>
      <c r="N58" t="s">
        <v>8</v>
      </c>
      <c r="O58" t="s">
        <v>302</v>
      </c>
      <c r="P58" t="s">
        <v>29</v>
      </c>
      <c r="Q58" t="s">
        <v>42</v>
      </c>
      <c r="R58" t="s">
        <v>110</v>
      </c>
      <c r="S58" t="s">
        <v>111</v>
      </c>
      <c r="T58" t="s">
        <v>303</v>
      </c>
      <c r="U58" t="s">
        <v>46</v>
      </c>
      <c r="V58">
        <v>3500</v>
      </c>
    </row>
    <row r="59" spans="1:22" x14ac:dyDescent="0.3">
      <c r="A59" t="s">
        <v>304</v>
      </c>
      <c r="B59" s="2">
        <v>46075</v>
      </c>
      <c r="C59" t="s">
        <v>305</v>
      </c>
      <c r="D59" t="s">
        <v>49</v>
      </c>
      <c r="E59" t="s">
        <v>50</v>
      </c>
      <c r="F59">
        <v>1</v>
      </c>
      <c r="G59">
        <v>0.2</v>
      </c>
      <c r="H59">
        <v>10400</v>
      </c>
      <c r="I59">
        <v>1769.98</v>
      </c>
      <c r="J59" t="s">
        <v>51</v>
      </c>
      <c r="K59" t="s">
        <v>40</v>
      </c>
      <c r="L59">
        <v>10400</v>
      </c>
      <c r="M59">
        <v>17.019038461538461</v>
      </c>
      <c r="N59" t="s">
        <v>8</v>
      </c>
      <c r="O59" t="s">
        <v>306</v>
      </c>
      <c r="P59" t="s">
        <v>29</v>
      </c>
      <c r="Q59" t="s">
        <v>30</v>
      </c>
      <c r="R59" t="s">
        <v>60</v>
      </c>
      <c r="S59" t="s">
        <v>61</v>
      </c>
      <c r="T59" t="s">
        <v>307</v>
      </c>
      <c r="U59" t="s">
        <v>34</v>
      </c>
      <c r="V59">
        <v>1769.98</v>
      </c>
    </row>
    <row r="60" spans="1:22" x14ac:dyDescent="0.3">
      <c r="A60" t="s">
        <v>308</v>
      </c>
      <c r="B60" s="2">
        <v>46051</v>
      </c>
      <c r="C60" t="s">
        <v>309</v>
      </c>
      <c r="D60" t="s">
        <v>37</v>
      </c>
      <c r="E60" t="s">
        <v>310</v>
      </c>
      <c r="F60">
        <v>1</v>
      </c>
      <c r="G60">
        <v>0.2</v>
      </c>
      <c r="H60">
        <v>1760</v>
      </c>
      <c r="I60">
        <v>549.95000000000005</v>
      </c>
      <c r="J60" t="s">
        <v>26</v>
      </c>
      <c r="K60" t="s">
        <v>40</v>
      </c>
      <c r="L60">
        <v>1760</v>
      </c>
      <c r="M60">
        <v>31.24715909090909</v>
      </c>
      <c r="N60" t="s">
        <v>8</v>
      </c>
      <c r="O60" t="s">
        <v>59</v>
      </c>
      <c r="P60" t="s">
        <v>73</v>
      </c>
      <c r="Q60" t="s">
        <v>74</v>
      </c>
      <c r="R60" t="s">
        <v>237</v>
      </c>
      <c r="S60" t="s">
        <v>238</v>
      </c>
      <c r="T60" t="s">
        <v>311</v>
      </c>
      <c r="U60" t="s">
        <v>46</v>
      </c>
      <c r="V60">
        <v>549.95000000000005</v>
      </c>
    </row>
    <row r="61" spans="1:22" x14ac:dyDescent="0.3">
      <c r="A61" t="s">
        <v>312</v>
      </c>
      <c r="B61" s="2">
        <v>45908</v>
      </c>
      <c r="C61" t="s">
        <v>313</v>
      </c>
      <c r="D61" t="s">
        <v>24</v>
      </c>
      <c r="E61" t="s">
        <v>92</v>
      </c>
      <c r="F61">
        <v>2</v>
      </c>
      <c r="G61">
        <v>0.1</v>
      </c>
      <c r="H61">
        <v>1620</v>
      </c>
      <c r="I61">
        <v>424.4</v>
      </c>
      <c r="J61" t="s">
        <v>39</v>
      </c>
      <c r="K61" t="s">
        <v>40</v>
      </c>
      <c r="L61">
        <v>810</v>
      </c>
      <c r="M61">
        <v>26.197530864197532</v>
      </c>
      <c r="N61" t="s">
        <v>8</v>
      </c>
      <c r="O61" t="s">
        <v>314</v>
      </c>
      <c r="P61" t="s">
        <v>29</v>
      </c>
      <c r="Q61" t="s">
        <v>30</v>
      </c>
      <c r="R61" t="s">
        <v>98</v>
      </c>
      <c r="S61" t="s">
        <v>54</v>
      </c>
      <c r="T61" t="s">
        <v>315</v>
      </c>
      <c r="U61" t="s">
        <v>100</v>
      </c>
      <c r="V61">
        <v>212.2</v>
      </c>
    </row>
    <row r="62" spans="1:22" x14ac:dyDescent="0.3">
      <c r="A62" t="s">
        <v>316</v>
      </c>
      <c r="B62" s="2">
        <v>46084</v>
      </c>
      <c r="C62" t="s">
        <v>317</v>
      </c>
      <c r="D62" t="s">
        <v>49</v>
      </c>
      <c r="E62" t="s">
        <v>58</v>
      </c>
      <c r="F62">
        <v>4</v>
      </c>
      <c r="G62">
        <v>0.05</v>
      </c>
      <c r="H62">
        <v>57000</v>
      </c>
      <c r="I62">
        <v>11461.57</v>
      </c>
      <c r="J62" t="s">
        <v>26</v>
      </c>
      <c r="K62" t="s">
        <v>40</v>
      </c>
      <c r="L62">
        <v>14250</v>
      </c>
      <c r="M62">
        <v>20.108017543859649</v>
      </c>
      <c r="N62" t="s">
        <v>8</v>
      </c>
      <c r="O62" t="s">
        <v>318</v>
      </c>
      <c r="P62" t="s">
        <v>29</v>
      </c>
      <c r="Q62" t="s">
        <v>42</v>
      </c>
      <c r="R62" t="s">
        <v>121</v>
      </c>
      <c r="S62" t="s">
        <v>44</v>
      </c>
      <c r="T62" t="s">
        <v>319</v>
      </c>
      <c r="U62" t="s">
        <v>34</v>
      </c>
      <c r="V62">
        <v>2865.3924999999999</v>
      </c>
    </row>
    <row r="63" spans="1:22" x14ac:dyDescent="0.3">
      <c r="A63" t="s">
        <v>320</v>
      </c>
      <c r="B63" s="2">
        <v>46096</v>
      </c>
      <c r="C63" t="s">
        <v>321</v>
      </c>
      <c r="D63" t="s">
        <v>70</v>
      </c>
      <c r="E63" t="s">
        <v>71</v>
      </c>
      <c r="F63">
        <v>1</v>
      </c>
      <c r="G63">
        <v>0.1</v>
      </c>
      <c r="H63">
        <v>16200</v>
      </c>
      <c r="I63">
        <v>2296.9899999999998</v>
      </c>
      <c r="J63" t="s">
        <v>39</v>
      </c>
      <c r="K63" t="s">
        <v>40</v>
      </c>
      <c r="L63">
        <v>16200</v>
      </c>
      <c r="M63">
        <v>14.178950617283951</v>
      </c>
      <c r="N63" t="s">
        <v>8</v>
      </c>
      <c r="O63" t="s">
        <v>322</v>
      </c>
      <c r="P63" t="s">
        <v>29</v>
      </c>
      <c r="Q63" t="s">
        <v>30</v>
      </c>
      <c r="R63" t="s">
        <v>31</v>
      </c>
      <c r="S63" t="s">
        <v>32</v>
      </c>
      <c r="T63" t="s">
        <v>323</v>
      </c>
      <c r="U63" t="s">
        <v>34</v>
      </c>
      <c r="V63">
        <v>2296.9899999999998</v>
      </c>
    </row>
    <row r="64" spans="1:22" x14ac:dyDescent="0.3">
      <c r="A64" t="s">
        <v>324</v>
      </c>
      <c r="B64" s="2">
        <v>46199</v>
      </c>
      <c r="C64" t="s">
        <v>325</v>
      </c>
      <c r="D64" t="s">
        <v>24</v>
      </c>
      <c r="E64" t="s">
        <v>25</v>
      </c>
      <c r="F64">
        <v>2</v>
      </c>
      <c r="G64">
        <v>0.1</v>
      </c>
      <c r="H64">
        <v>25200</v>
      </c>
      <c r="I64">
        <v>3594.29</v>
      </c>
      <c r="J64" t="s">
        <v>39</v>
      </c>
      <c r="K64" t="s">
        <v>40</v>
      </c>
      <c r="L64">
        <v>12600</v>
      </c>
      <c r="M64">
        <v>14.26305555555556</v>
      </c>
      <c r="N64" t="s">
        <v>8</v>
      </c>
      <c r="O64" t="s">
        <v>247</v>
      </c>
      <c r="P64" t="s">
        <v>83</v>
      </c>
      <c r="Q64" t="s">
        <v>42</v>
      </c>
      <c r="R64" t="s">
        <v>43</v>
      </c>
      <c r="S64" t="s">
        <v>44</v>
      </c>
      <c r="T64" t="s">
        <v>326</v>
      </c>
      <c r="U64" t="s">
        <v>46</v>
      </c>
      <c r="V64">
        <v>1797.145</v>
      </c>
    </row>
    <row r="65" spans="1:22" x14ac:dyDescent="0.3">
      <c r="A65" t="s">
        <v>327</v>
      </c>
      <c r="B65" s="2">
        <v>46009</v>
      </c>
      <c r="C65" t="s">
        <v>328</v>
      </c>
      <c r="D65" t="s">
        <v>49</v>
      </c>
      <c r="E65" t="s">
        <v>50</v>
      </c>
      <c r="F65">
        <v>1</v>
      </c>
      <c r="G65">
        <v>0.15</v>
      </c>
      <c r="H65">
        <v>11050</v>
      </c>
      <c r="I65">
        <v>-5348.47</v>
      </c>
      <c r="J65" t="s">
        <v>51</v>
      </c>
      <c r="K65" t="s">
        <v>80</v>
      </c>
      <c r="L65">
        <v>11050</v>
      </c>
      <c r="M65">
        <v>-48.402443438914027</v>
      </c>
      <c r="N65" t="s">
        <v>81</v>
      </c>
      <c r="O65" t="s">
        <v>329</v>
      </c>
      <c r="P65" t="s">
        <v>83</v>
      </c>
      <c r="Q65" t="s">
        <v>74</v>
      </c>
      <c r="R65" t="s">
        <v>75</v>
      </c>
      <c r="S65" t="s">
        <v>75</v>
      </c>
      <c r="T65" t="s">
        <v>330</v>
      </c>
      <c r="U65" t="s">
        <v>34</v>
      </c>
      <c r="V65">
        <v>-5348.47</v>
      </c>
    </row>
    <row r="66" spans="1:22" x14ac:dyDescent="0.3">
      <c r="A66" t="s">
        <v>331</v>
      </c>
      <c r="B66" s="2">
        <v>45966</v>
      </c>
      <c r="C66" t="s">
        <v>332</v>
      </c>
      <c r="D66" t="s">
        <v>49</v>
      </c>
      <c r="E66" t="s">
        <v>50</v>
      </c>
      <c r="F66">
        <v>1</v>
      </c>
      <c r="G66">
        <v>0.05</v>
      </c>
      <c r="H66">
        <v>12350</v>
      </c>
      <c r="I66">
        <v>2705.91</v>
      </c>
      <c r="J66" t="s">
        <v>51</v>
      </c>
      <c r="K66" t="s">
        <v>40</v>
      </c>
      <c r="L66">
        <v>12350</v>
      </c>
      <c r="M66">
        <v>21.910202429149798</v>
      </c>
      <c r="N66" t="s">
        <v>8</v>
      </c>
      <c r="O66" t="s">
        <v>333</v>
      </c>
      <c r="P66" t="s">
        <v>29</v>
      </c>
      <c r="Q66" t="s">
        <v>42</v>
      </c>
      <c r="R66" t="s">
        <v>121</v>
      </c>
      <c r="S66" t="s">
        <v>44</v>
      </c>
      <c r="T66" t="s">
        <v>334</v>
      </c>
      <c r="U66" t="s">
        <v>100</v>
      </c>
      <c r="V66">
        <v>2705.91</v>
      </c>
    </row>
    <row r="67" spans="1:22" x14ac:dyDescent="0.3">
      <c r="A67" t="s">
        <v>335</v>
      </c>
      <c r="B67" s="2">
        <v>46222</v>
      </c>
      <c r="C67" t="s">
        <v>336</v>
      </c>
      <c r="D67" t="s">
        <v>24</v>
      </c>
      <c r="E67" t="s">
        <v>92</v>
      </c>
      <c r="F67">
        <v>4</v>
      </c>
      <c r="G67">
        <v>0.15</v>
      </c>
      <c r="H67">
        <v>3060</v>
      </c>
      <c r="I67">
        <v>838.81</v>
      </c>
      <c r="J67" t="s">
        <v>51</v>
      </c>
      <c r="K67" t="s">
        <v>40</v>
      </c>
      <c r="L67">
        <v>765</v>
      </c>
      <c r="M67">
        <v>27.41209150326797</v>
      </c>
      <c r="N67" t="s">
        <v>8</v>
      </c>
      <c r="O67" t="s">
        <v>337</v>
      </c>
      <c r="P67" t="s">
        <v>83</v>
      </c>
      <c r="Q67" t="s">
        <v>74</v>
      </c>
      <c r="R67" t="s">
        <v>237</v>
      </c>
      <c r="S67" t="s">
        <v>238</v>
      </c>
      <c r="T67" t="s">
        <v>338</v>
      </c>
      <c r="U67" t="s">
        <v>34</v>
      </c>
      <c r="V67">
        <v>209.70249999999999</v>
      </c>
    </row>
    <row r="68" spans="1:22" x14ac:dyDescent="0.3">
      <c r="A68" t="s">
        <v>339</v>
      </c>
      <c r="B68" s="2">
        <v>45913</v>
      </c>
      <c r="C68" t="s">
        <v>340</v>
      </c>
      <c r="D68" t="s">
        <v>70</v>
      </c>
      <c r="E68" t="s">
        <v>71</v>
      </c>
      <c r="F68">
        <v>15</v>
      </c>
      <c r="G68">
        <v>0</v>
      </c>
      <c r="H68">
        <v>270000</v>
      </c>
      <c r="I68">
        <v>52500</v>
      </c>
      <c r="J68" t="s">
        <v>26</v>
      </c>
      <c r="K68" t="s">
        <v>40</v>
      </c>
      <c r="L68">
        <v>18000</v>
      </c>
      <c r="M68">
        <v>19.44444444444445</v>
      </c>
      <c r="N68" t="s">
        <v>8</v>
      </c>
      <c r="O68" t="s">
        <v>341</v>
      </c>
      <c r="P68" t="s">
        <v>29</v>
      </c>
      <c r="Q68" t="s">
        <v>30</v>
      </c>
      <c r="R68" t="s">
        <v>98</v>
      </c>
      <c r="S68" t="s">
        <v>54</v>
      </c>
      <c r="T68" t="s">
        <v>342</v>
      </c>
      <c r="U68" t="s">
        <v>100</v>
      </c>
      <c r="V68">
        <v>3500</v>
      </c>
    </row>
    <row r="69" spans="1:22" x14ac:dyDescent="0.3">
      <c r="A69" t="s">
        <v>343</v>
      </c>
      <c r="B69" s="2">
        <v>46083</v>
      </c>
      <c r="C69" t="s">
        <v>344</v>
      </c>
      <c r="D69" t="s">
        <v>49</v>
      </c>
      <c r="E69" t="s">
        <v>119</v>
      </c>
      <c r="F69">
        <v>2</v>
      </c>
      <c r="G69">
        <v>0.05</v>
      </c>
      <c r="H69">
        <v>17100</v>
      </c>
      <c r="I69">
        <v>4128.59</v>
      </c>
      <c r="J69" t="s">
        <v>51</v>
      </c>
      <c r="K69" t="s">
        <v>40</v>
      </c>
      <c r="L69">
        <v>8550</v>
      </c>
      <c r="M69">
        <v>24.143801169590649</v>
      </c>
      <c r="N69" t="s">
        <v>8</v>
      </c>
      <c r="O69" t="s">
        <v>345</v>
      </c>
      <c r="P69" t="s">
        <v>29</v>
      </c>
      <c r="Q69" t="s">
        <v>74</v>
      </c>
      <c r="R69" t="s">
        <v>115</v>
      </c>
      <c r="S69" t="s">
        <v>115</v>
      </c>
      <c r="T69" t="s">
        <v>346</v>
      </c>
      <c r="U69" t="s">
        <v>46</v>
      </c>
      <c r="V69">
        <v>2064.2950000000001</v>
      </c>
    </row>
    <row r="70" spans="1:22" x14ac:dyDescent="0.3">
      <c r="A70" t="s">
        <v>347</v>
      </c>
      <c r="B70" s="2">
        <v>46137</v>
      </c>
      <c r="C70" t="s">
        <v>348</v>
      </c>
      <c r="D70" t="s">
        <v>24</v>
      </c>
      <c r="E70" t="s">
        <v>92</v>
      </c>
      <c r="F70">
        <v>1</v>
      </c>
      <c r="G70">
        <v>0</v>
      </c>
      <c r="H70">
        <v>900</v>
      </c>
      <c r="I70">
        <v>280</v>
      </c>
      <c r="J70" t="s">
        <v>39</v>
      </c>
      <c r="K70" t="s">
        <v>40</v>
      </c>
      <c r="L70">
        <v>900</v>
      </c>
      <c r="M70">
        <v>31.111111111111111</v>
      </c>
      <c r="N70" t="s">
        <v>8</v>
      </c>
      <c r="O70" t="s">
        <v>349</v>
      </c>
      <c r="P70" t="s">
        <v>83</v>
      </c>
      <c r="Q70" t="s">
        <v>30</v>
      </c>
      <c r="R70" t="s">
        <v>31</v>
      </c>
      <c r="S70" t="s">
        <v>32</v>
      </c>
      <c r="T70" t="s">
        <v>307</v>
      </c>
      <c r="U70" t="s">
        <v>100</v>
      </c>
      <c r="V70">
        <v>280</v>
      </c>
    </row>
    <row r="71" spans="1:22" x14ac:dyDescent="0.3">
      <c r="A71" t="s">
        <v>350</v>
      </c>
      <c r="B71" s="2">
        <v>46177</v>
      </c>
      <c r="C71" t="s">
        <v>351</v>
      </c>
      <c r="D71" t="s">
        <v>37</v>
      </c>
      <c r="E71" t="s">
        <v>170</v>
      </c>
      <c r="F71">
        <v>3</v>
      </c>
      <c r="G71">
        <v>0.1</v>
      </c>
      <c r="H71">
        <v>3780</v>
      </c>
      <c r="I71">
        <v>1178.1600000000001</v>
      </c>
      <c r="J71" t="s">
        <v>65</v>
      </c>
      <c r="K71" t="s">
        <v>40</v>
      </c>
      <c r="L71">
        <v>1260</v>
      </c>
      <c r="M71">
        <v>31.168253968253971</v>
      </c>
      <c r="N71" t="s">
        <v>8</v>
      </c>
      <c r="O71" t="s">
        <v>352</v>
      </c>
      <c r="P71" t="s">
        <v>73</v>
      </c>
      <c r="Q71" t="s">
        <v>30</v>
      </c>
      <c r="R71" t="s">
        <v>31</v>
      </c>
      <c r="S71" t="s">
        <v>32</v>
      </c>
      <c r="T71" t="s">
        <v>338</v>
      </c>
      <c r="U71" t="s">
        <v>100</v>
      </c>
      <c r="V71">
        <v>392.72</v>
      </c>
    </row>
    <row r="72" spans="1:22" x14ac:dyDescent="0.3">
      <c r="A72" t="s">
        <v>353</v>
      </c>
      <c r="B72" s="2">
        <v>45879</v>
      </c>
      <c r="C72" t="s">
        <v>354</v>
      </c>
      <c r="D72" t="s">
        <v>37</v>
      </c>
      <c r="E72" t="s">
        <v>38</v>
      </c>
      <c r="F72">
        <v>1</v>
      </c>
      <c r="G72">
        <v>0</v>
      </c>
      <c r="H72">
        <v>1800</v>
      </c>
      <c r="I72">
        <v>650</v>
      </c>
      <c r="J72" t="s">
        <v>51</v>
      </c>
      <c r="K72" t="s">
        <v>40</v>
      </c>
      <c r="L72">
        <v>1800</v>
      </c>
      <c r="M72">
        <v>36.111111111111107</v>
      </c>
      <c r="N72" t="s">
        <v>8</v>
      </c>
      <c r="O72" t="s">
        <v>355</v>
      </c>
      <c r="P72" t="s">
        <v>83</v>
      </c>
      <c r="Q72" t="s">
        <v>131</v>
      </c>
      <c r="R72" t="s">
        <v>200</v>
      </c>
      <c r="S72" t="s">
        <v>201</v>
      </c>
      <c r="T72" t="s">
        <v>356</v>
      </c>
      <c r="U72" t="s">
        <v>34</v>
      </c>
      <c r="V72">
        <v>650</v>
      </c>
    </row>
    <row r="73" spans="1:22" x14ac:dyDescent="0.3">
      <c r="A73" t="s">
        <v>357</v>
      </c>
      <c r="B73" s="2">
        <v>46217</v>
      </c>
      <c r="C73" t="s">
        <v>358</v>
      </c>
      <c r="D73" t="s">
        <v>37</v>
      </c>
      <c r="E73" t="s">
        <v>190</v>
      </c>
      <c r="F73">
        <v>1</v>
      </c>
      <c r="G73">
        <v>0.05</v>
      </c>
      <c r="H73">
        <v>3990</v>
      </c>
      <c r="I73">
        <v>1040.6500000000001</v>
      </c>
      <c r="J73" t="s">
        <v>51</v>
      </c>
      <c r="K73" t="s">
        <v>40</v>
      </c>
      <c r="L73">
        <v>3990</v>
      </c>
      <c r="M73">
        <v>26.081453634085221</v>
      </c>
      <c r="N73" t="s">
        <v>8</v>
      </c>
      <c r="O73" t="s">
        <v>359</v>
      </c>
      <c r="P73" t="s">
        <v>83</v>
      </c>
      <c r="Q73" t="s">
        <v>42</v>
      </c>
      <c r="R73" t="s">
        <v>214</v>
      </c>
      <c r="S73" t="s">
        <v>111</v>
      </c>
      <c r="T73" t="s">
        <v>256</v>
      </c>
      <c r="U73" t="s">
        <v>46</v>
      </c>
      <c r="V73">
        <v>1040.6500000000001</v>
      </c>
    </row>
    <row r="74" spans="1:22" x14ac:dyDescent="0.3">
      <c r="A74" t="s">
        <v>360</v>
      </c>
      <c r="B74" s="2">
        <v>46072</v>
      </c>
      <c r="C74" t="s">
        <v>361</v>
      </c>
      <c r="D74" t="s">
        <v>37</v>
      </c>
      <c r="E74" t="s">
        <v>190</v>
      </c>
      <c r="F74">
        <v>1</v>
      </c>
      <c r="G74">
        <v>0.05</v>
      </c>
      <c r="H74">
        <v>3990</v>
      </c>
      <c r="I74">
        <v>1053.8</v>
      </c>
      <c r="J74" t="s">
        <v>65</v>
      </c>
      <c r="K74" t="s">
        <v>40</v>
      </c>
      <c r="L74">
        <v>3990</v>
      </c>
      <c r="M74">
        <v>26.411027568922311</v>
      </c>
      <c r="N74" t="s">
        <v>8</v>
      </c>
      <c r="O74" t="s">
        <v>362</v>
      </c>
      <c r="P74" t="s">
        <v>73</v>
      </c>
      <c r="Q74" t="s">
        <v>42</v>
      </c>
      <c r="R74" t="s">
        <v>43</v>
      </c>
      <c r="S74" t="s">
        <v>44</v>
      </c>
      <c r="T74" t="s">
        <v>363</v>
      </c>
      <c r="U74" t="s">
        <v>105</v>
      </c>
      <c r="V74">
        <v>1053.8</v>
      </c>
    </row>
    <row r="75" spans="1:22" x14ac:dyDescent="0.3">
      <c r="A75" t="s">
        <v>364</v>
      </c>
      <c r="B75" s="2">
        <v>45981</v>
      </c>
      <c r="C75" t="s">
        <v>365</v>
      </c>
      <c r="D75" t="s">
        <v>37</v>
      </c>
      <c r="E75" t="s">
        <v>310</v>
      </c>
      <c r="F75">
        <v>2</v>
      </c>
      <c r="G75">
        <v>0.15</v>
      </c>
      <c r="H75">
        <v>3740</v>
      </c>
      <c r="I75">
        <v>956.3</v>
      </c>
      <c r="J75" t="s">
        <v>51</v>
      </c>
      <c r="K75" t="s">
        <v>40</v>
      </c>
      <c r="L75">
        <v>1870</v>
      </c>
      <c r="M75">
        <v>25.569518716577541</v>
      </c>
      <c r="N75" t="s">
        <v>8</v>
      </c>
      <c r="O75" t="s">
        <v>318</v>
      </c>
      <c r="P75" t="s">
        <v>29</v>
      </c>
      <c r="Q75" t="s">
        <v>30</v>
      </c>
      <c r="R75" t="s">
        <v>31</v>
      </c>
      <c r="S75" t="s">
        <v>32</v>
      </c>
      <c r="T75" t="s">
        <v>366</v>
      </c>
      <c r="U75" t="s">
        <v>105</v>
      </c>
      <c r="V75">
        <v>478.15</v>
      </c>
    </row>
    <row r="76" spans="1:22" x14ac:dyDescent="0.3">
      <c r="A76" t="s">
        <v>367</v>
      </c>
      <c r="B76" s="2">
        <v>45923</v>
      </c>
      <c r="C76" t="s">
        <v>368</v>
      </c>
      <c r="D76" t="s">
        <v>37</v>
      </c>
      <c r="E76" t="s">
        <v>190</v>
      </c>
      <c r="F76">
        <v>2</v>
      </c>
      <c r="G76">
        <v>0</v>
      </c>
      <c r="H76">
        <v>8400</v>
      </c>
      <c r="I76">
        <v>2400</v>
      </c>
      <c r="J76" t="s">
        <v>65</v>
      </c>
      <c r="K76" t="s">
        <v>40</v>
      </c>
      <c r="L76">
        <v>4200</v>
      </c>
      <c r="M76">
        <v>28.571428571428569</v>
      </c>
      <c r="N76" t="s">
        <v>8</v>
      </c>
      <c r="O76" t="s">
        <v>369</v>
      </c>
      <c r="P76" t="s">
        <v>83</v>
      </c>
      <c r="Q76" t="s">
        <v>42</v>
      </c>
      <c r="R76" t="s">
        <v>121</v>
      </c>
      <c r="S76" t="s">
        <v>44</v>
      </c>
      <c r="T76" t="s">
        <v>370</v>
      </c>
      <c r="U76" t="s">
        <v>105</v>
      </c>
      <c r="V76">
        <v>1200</v>
      </c>
    </row>
    <row r="77" spans="1:22" x14ac:dyDescent="0.3">
      <c r="A77" t="s">
        <v>371</v>
      </c>
      <c r="B77" s="2">
        <v>45885</v>
      </c>
      <c r="C77" t="s">
        <v>372</v>
      </c>
      <c r="D77" t="s">
        <v>49</v>
      </c>
      <c r="E77" t="s">
        <v>58</v>
      </c>
      <c r="F77">
        <v>3</v>
      </c>
      <c r="G77">
        <v>0.05</v>
      </c>
      <c r="H77">
        <v>42750</v>
      </c>
      <c r="I77">
        <v>8647.1</v>
      </c>
      <c r="J77" t="s">
        <v>373</v>
      </c>
      <c r="K77" t="s">
        <v>40</v>
      </c>
      <c r="L77">
        <v>14250</v>
      </c>
      <c r="M77">
        <v>20.227134502923981</v>
      </c>
      <c r="N77" t="s">
        <v>8</v>
      </c>
      <c r="O77" t="s">
        <v>374</v>
      </c>
      <c r="P77" t="s">
        <v>73</v>
      </c>
      <c r="Q77" t="s">
        <v>30</v>
      </c>
      <c r="R77" t="s">
        <v>53</v>
      </c>
      <c r="S77" t="s">
        <v>54</v>
      </c>
      <c r="T77" t="s">
        <v>375</v>
      </c>
      <c r="U77" t="s">
        <v>105</v>
      </c>
      <c r="V77">
        <v>2882.3666666666668</v>
      </c>
    </row>
    <row r="78" spans="1:22" x14ac:dyDescent="0.3">
      <c r="A78" t="s">
        <v>376</v>
      </c>
      <c r="B78" s="2">
        <v>46078</v>
      </c>
      <c r="C78" t="s">
        <v>377</v>
      </c>
      <c r="D78" t="s">
        <v>70</v>
      </c>
      <c r="E78" t="s">
        <v>129</v>
      </c>
      <c r="F78">
        <v>1</v>
      </c>
      <c r="G78">
        <v>0.15</v>
      </c>
      <c r="H78">
        <v>46750</v>
      </c>
      <c r="I78">
        <v>2627.54</v>
      </c>
      <c r="J78" t="s">
        <v>26</v>
      </c>
      <c r="K78" t="s">
        <v>40</v>
      </c>
      <c r="L78">
        <v>46750</v>
      </c>
      <c r="M78">
        <v>5.6204064171122994</v>
      </c>
      <c r="N78" t="s">
        <v>8</v>
      </c>
      <c r="O78" t="s">
        <v>378</v>
      </c>
      <c r="P78" t="s">
        <v>29</v>
      </c>
      <c r="Q78" t="s">
        <v>30</v>
      </c>
      <c r="R78" t="s">
        <v>31</v>
      </c>
      <c r="S78" t="s">
        <v>32</v>
      </c>
      <c r="T78" t="s">
        <v>379</v>
      </c>
      <c r="U78" t="s">
        <v>34</v>
      </c>
      <c r="V78">
        <v>2627.54</v>
      </c>
    </row>
    <row r="79" spans="1:22" x14ac:dyDescent="0.3">
      <c r="A79" t="s">
        <v>380</v>
      </c>
      <c r="B79" s="2">
        <v>45991</v>
      </c>
      <c r="C79" t="s">
        <v>381</v>
      </c>
      <c r="D79" t="s">
        <v>70</v>
      </c>
      <c r="E79" t="s">
        <v>108</v>
      </c>
      <c r="F79">
        <v>4</v>
      </c>
      <c r="G79">
        <v>0.15</v>
      </c>
      <c r="H79">
        <v>15300</v>
      </c>
      <c r="I79">
        <v>4351.26</v>
      </c>
      <c r="J79" t="s">
        <v>26</v>
      </c>
      <c r="K79" t="s">
        <v>27</v>
      </c>
      <c r="L79">
        <v>3825</v>
      </c>
      <c r="M79">
        <v>28.439607843137249</v>
      </c>
      <c r="N79" t="s">
        <v>8</v>
      </c>
      <c r="O79" t="s">
        <v>382</v>
      </c>
      <c r="P79" t="s">
        <v>73</v>
      </c>
      <c r="Q79" t="s">
        <v>30</v>
      </c>
      <c r="R79" t="s">
        <v>98</v>
      </c>
      <c r="S79" t="s">
        <v>54</v>
      </c>
      <c r="T79" t="s">
        <v>383</v>
      </c>
      <c r="U79" t="s">
        <v>100</v>
      </c>
      <c r="V79">
        <v>1087.8150000000001</v>
      </c>
    </row>
    <row r="80" spans="1:22" x14ac:dyDescent="0.3">
      <c r="A80" t="s">
        <v>384</v>
      </c>
      <c r="B80" s="2">
        <v>45985</v>
      </c>
      <c r="C80" t="s">
        <v>385</v>
      </c>
      <c r="D80" t="s">
        <v>49</v>
      </c>
      <c r="E80" t="s">
        <v>50</v>
      </c>
      <c r="F80">
        <v>1</v>
      </c>
      <c r="G80">
        <v>0.1</v>
      </c>
      <c r="H80">
        <v>11700</v>
      </c>
      <c r="I80">
        <v>2234.5300000000002</v>
      </c>
      <c r="J80" t="s">
        <v>26</v>
      </c>
      <c r="K80" t="s">
        <v>40</v>
      </c>
      <c r="L80">
        <v>11700</v>
      </c>
      <c r="M80">
        <v>19.098547008547008</v>
      </c>
      <c r="N80" t="s">
        <v>8</v>
      </c>
      <c r="O80" t="s">
        <v>386</v>
      </c>
      <c r="P80" t="s">
        <v>29</v>
      </c>
      <c r="Q80" t="s">
        <v>30</v>
      </c>
      <c r="R80" t="s">
        <v>60</v>
      </c>
      <c r="S80" t="s">
        <v>61</v>
      </c>
      <c r="T80" t="s">
        <v>387</v>
      </c>
      <c r="U80" t="s">
        <v>100</v>
      </c>
      <c r="V80">
        <v>2234.5300000000002</v>
      </c>
    </row>
    <row r="81" spans="1:22" x14ac:dyDescent="0.3">
      <c r="A81" t="s">
        <v>388</v>
      </c>
      <c r="B81" s="2">
        <v>45955</v>
      </c>
      <c r="C81" t="s">
        <v>389</v>
      </c>
      <c r="D81" t="s">
        <v>24</v>
      </c>
      <c r="E81" t="s">
        <v>87</v>
      </c>
      <c r="F81">
        <v>4</v>
      </c>
      <c r="G81">
        <v>0.1</v>
      </c>
      <c r="H81">
        <v>1260</v>
      </c>
      <c r="I81">
        <v>381.39</v>
      </c>
      <c r="J81" t="s">
        <v>26</v>
      </c>
      <c r="K81" t="s">
        <v>40</v>
      </c>
      <c r="L81">
        <v>315</v>
      </c>
      <c r="M81">
        <v>30.269047619047619</v>
      </c>
      <c r="N81" t="s">
        <v>8</v>
      </c>
      <c r="O81" t="s">
        <v>390</v>
      </c>
      <c r="P81" t="s">
        <v>29</v>
      </c>
      <c r="Q81" t="s">
        <v>30</v>
      </c>
      <c r="R81" t="s">
        <v>53</v>
      </c>
      <c r="S81" t="s">
        <v>54</v>
      </c>
      <c r="T81" t="s">
        <v>391</v>
      </c>
      <c r="U81" t="s">
        <v>100</v>
      </c>
      <c r="V81">
        <v>95.347499999999997</v>
      </c>
    </row>
    <row r="82" spans="1:22" x14ac:dyDescent="0.3">
      <c r="A82" t="s">
        <v>392</v>
      </c>
      <c r="B82" s="2">
        <v>46109</v>
      </c>
      <c r="C82" t="s">
        <v>393</v>
      </c>
      <c r="D82" t="s">
        <v>24</v>
      </c>
      <c r="E82" t="s">
        <v>242</v>
      </c>
      <c r="F82">
        <v>6</v>
      </c>
      <c r="G82">
        <v>0.05</v>
      </c>
      <c r="H82">
        <v>2565</v>
      </c>
      <c r="I82">
        <v>593.51</v>
      </c>
      <c r="J82" t="s">
        <v>39</v>
      </c>
      <c r="K82" t="s">
        <v>40</v>
      </c>
      <c r="L82">
        <v>427.5</v>
      </c>
      <c r="M82">
        <v>23.138791423001951</v>
      </c>
      <c r="N82" t="s">
        <v>8</v>
      </c>
      <c r="O82" t="s">
        <v>394</v>
      </c>
      <c r="P82" t="s">
        <v>73</v>
      </c>
      <c r="Q82" t="s">
        <v>131</v>
      </c>
      <c r="R82" t="s">
        <v>200</v>
      </c>
      <c r="S82" t="s">
        <v>201</v>
      </c>
      <c r="T82" t="s">
        <v>395</v>
      </c>
      <c r="U82" t="s">
        <v>46</v>
      </c>
      <c r="V82">
        <v>98.918333333333337</v>
      </c>
    </row>
    <row r="83" spans="1:22" x14ac:dyDescent="0.3">
      <c r="A83" t="s">
        <v>396</v>
      </c>
      <c r="B83" s="2">
        <v>46036</v>
      </c>
      <c r="C83" t="s">
        <v>397</v>
      </c>
      <c r="D83" t="s">
        <v>37</v>
      </c>
      <c r="E83" t="s">
        <v>38</v>
      </c>
      <c r="F83">
        <v>2</v>
      </c>
      <c r="G83">
        <v>0.05</v>
      </c>
      <c r="H83">
        <v>3420</v>
      </c>
      <c r="I83">
        <v>1211.81</v>
      </c>
      <c r="J83" t="s">
        <v>26</v>
      </c>
      <c r="K83" t="s">
        <v>40</v>
      </c>
      <c r="L83">
        <v>1710</v>
      </c>
      <c r="M83">
        <v>35.433040935672508</v>
      </c>
      <c r="N83" t="s">
        <v>8</v>
      </c>
      <c r="O83" t="s">
        <v>398</v>
      </c>
      <c r="P83" t="s">
        <v>73</v>
      </c>
      <c r="Q83" t="s">
        <v>30</v>
      </c>
      <c r="R83" t="s">
        <v>98</v>
      </c>
      <c r="S83" t="s">
        <v>54</v>
      </c>
      <c r="T83" t="s">
        <v>399</v>
      </c>
      <c r="U83" t="s">
        <v>34</v>
      </c>
      <c r="V83">
        <v>605.90499999999997</v>
      </c>
    </row>
    <row r="84" spans="1:22" x14ac:dyDescent="0.3">
      <c r="A84" t="s">
        <v>400</v>
      </c>
      <c r="B84" s="2">
        <v>46007</v>
      </c>
      <c r="C84" t="s">
        <v>401</v>
      </c>
      <c r="D84" t="s">
        <v>37</v>
      </c>
      <c r="E84" t="s">
        <v>170</v>
      </c>
      <c r="F84">
        <v>6</v>
      </c>
      <c r="G84">
        <v>0.05</v>
      </c>
      <c r="H84">
        <v>7980</v>
      </c>
      <c r="I84">
        <v>2687.39</v>
      </c>
      <c r="J84" t="s">
        <v>51</v>
      </c>
      <c r="K84" t="s">
        <v>40</v>
      </c>
      <c r="L84">
        <v>1330</v>
      </c>
      <c r="M84">
        <v>33.676566416040103</v>
      </c>
      <c r="N84" t="s">
        <v>8</v>
      </c>
      <c r="O84" t="s">
        <v>402</v>
      </c>
      <c r="P84" t="s">
        <v>29</v>
      </c>
      <c r="Q84" t="s">
        <v>30</v>
      </c>
      <c r="R84" t="s">
        <v>60</v>
      </c>
      <c r="S84" t="s">
        <v>61</v>
      </c>
      <c r="T84" t="s">
        <v>403</v>
      </c>
      <c r="U84" t="s">
        <v>46</v>
      </c>
      <c r="V84">
        <v>447.89833333333331</v>
      </c>
    </row>
    <row r="85" spans="1:22" x14ac:dyDescent="0.3">
      <c r="A85" t="s">
        <v>404</v>
      </c>
      <c r="B85" s="2">
        <v>46152</v>
      </c>
      <c r="C85" t="s">
        <v>405</v>
      </c>
      <c r="D85" t="s">
        <v>70</v>
      </c>
      <c r="E85" t="s">
        <v>165</v>
      </c>
      <c r="F85">
        <v>2</v>
      </c>
      <c r="G85">
        <v>0.1</v>
      </c>
      <c r="H85">
        <v>4500</v>
      </c>
      <c r="I85">
        <v>1236.52</v>
      </c>
      <c r="J85" t="s">
        <v>39</v>
      </c>
      <c r="K85" t="s">
        <v>40</v>
      </c>
      <c r="L85">
        <v>2250</v>
      </c>
      <c r="M85">
        <v>27.478222222222222</v>
      </c>
      <c r="N85" t="s">
        <v>8</v>
      </c>
      <c r="O85" t="s">
        <v>406</v>
      </c>
      <c r="P85" t="s">
        <v>73</v>
      </c>
      <c r="Q85" t="s">
        <v>74</v>
      </c>
      <c r="R85" t="s">
        <v>115</v>
      </c>
      <c r="S85" t="s">
        <v>115</v>
      </c>
      <c r="T85" t="s">
        <v>407</v>
      </c>
      <c r="U85" t="s">
        <v>100</v>
      </c>
      <c r="V85">
        <v>618.26</v>
      </c>
    </row>
    <row r="86" spans="1:22" x14ac:dyDescent="0.3">
      <c r="A86" t="s">
        <v>408</v>
      </c>
      <c r="B86" s="2">
        <v>45896</v>
      </c>
      <c r="C86" t="s">
        <v>409</v>
      </c>
      <c r="D86" t="s">
        <v>70</v>
      </c>
      <c r="E86" t="s">
        <v>165</v>
      </c>
      <c r="F86">
        <v>2</v>
      </c>
      <c r="G86">
        <v>0.1</v>
      </c>
      <c r="H86">
        <v>4500</v>
      </c>
      <c r="I86">
        <v>1204.47</v>
      </c>
      <c r="J86" t="s">
        <v>65</v>
      </c>
      <c r="K86" t="s">
        <v>40</v>
      </c>
      <c r="L86">
        <v>2250</v>
      </c>
      <c r="M86">
        <v>26.765999999999998</v>
      </c>
      <c r="N86" t="s">
        <v>8</v>
      </c>
      <c r="O86" t="s">
        <v>410</v>
      </c>
      <c r="P86" t="s">
        <v>73</v>
      </c>
      <c r="Q86" t="s">
        <v>131</v>
      </c>
      <c r="R86" t="s">
        <v>200</v>
      </c>
      <c r="S86" t="s">
        <v>201</v>
      </c>
      <c r="T86" t="s">
        <v>411</v>
      </c>
      <c r="U86" t="s">
        <v>100</v>
      </c>
      <c r="V86">
        <v>602.23500000000001</v>
      </c>
    </row>
    <row r="87" spans="1:22" x14ac:dyDescent="0.3">
      <c r="A87" t="s">
        <v>412</v>
      </c>
      <c r="B87" s="2">
        <v>46226</v>
      </c>
      <c r="C87" t="s">
        <v>413</v>
      </c>
      <c r="D87" t="s">
        <v>49</v>
      </c>
      <c r="E87" t="s">
        <v>79</v>
      </c>
      <c r="F87">
        <v>2</v>
      </c>
      <c r="G87">
        <v>0.1</v>
      </c>
      <c r="H87">
        <v>19800</v>
      </c>
      <c r="I87">
        <v>3728.08</v>
      </c>
      <c r="J87" t="s">
        <v>51</v>
      </c>
      <c r="K87" t="s">
        <v>27</v>
      </c>
      <c r="L87">
        <v>9900</v>
      </c>
      <c r="M87">
        <v>18.828686868686869</v>
      </c>
      <c r="N87" t="s">
        <v>8</v>
      </c>
      <c r="O87" t="s">
        <v>414</v>
      </c>
      <c r="P87" t="s">
        <v>73</v>
      </c>
      <c r="Q87" t="s">
        <v>74</v>
      </c>
      <c r="R87" t="s">
        <v>115</v>
      </c>
      <c r="S87" t="s">
        <v>115</v>
      </c>
      <c r="T87" t="s">
        <v>415</v>
      </c>
      <c r="U87" t="s">
        <v>34</v>
      </c>
      <c r="V87">
        <v>1864.04</v>
      </c>
    </row>
    <row r="88" spans="1:22" x14ac:dyDescent="0.3">
      <c r="A88" t="s">
        <v>416</v>
      </c>
      <c r="B88" s="2">
        <v>46153</v>
      </c>
      <c r="C88" t="s">
        <v>417</v>
      </c>
      <c r="D88" t="s">
        <v>37</v>
      </c>
      <c r="E88" t="s">
        <v>310</v>
      </c>
      <c r="F88">
        <v>3</v>
      </c>
      <c r="G88">
        <v>0</v>
      </c>
      <c r="H88">
        <v>6600</v>
      </c>
      <c r="I88">
        <v>2250</v>
      </c>
      <c r="J88" t="s">
        <v>65</v>
      </c>
      <c r="K88" t="s">
        <v>40</v>
      </c>
      <c r="L88">
        <v>2200</v>
      </c>
      <c r="M88">
        <v>34.090909090909093</v>
      </c>
      <c r="N88" t="s">
        <v>8</v>
      </c>
      <c r="O88" t="s">
        <v>418</v>
      </c>
      <c r="P88" t="s">
        <v>29</v>
      </c>
      <c r="Q88" t="s">
        <v>30</v>
      </c>
      <c r="R88" t="s">
        <v>60</v>
      </c>
      <c r="S88" t="s">
        <v>61</v>
      </c>
      <c r="T88" t="s">
        <v>419</v>
      </c>
      <c r="U88" t="s">
        <v>34</v>
      </c>
      <c r="V88">
        <v>750</v>
      </c>
    </row>
    <row r="89" spans="1:22" x14ac:dyDescent="0.3">
      <c r="A89" t="s">
        <v>420</v>
      </c>
      <c r="B89" s="2">
        <v>46186</v>
      </c>
      <c r="C89" t="s">
        <v>421</v>
      </c>
      <c r="D89" t="s">
        <v>37</v>
      </c>
      <c r="E89" t="s">
        <v>170</v>
      </c>
      <c r="F89">
        <v>1</v>
      </c>
      <c r="G89">
        <v>0.2</v>
      </c>
      <c r="H89">
        <v>1120</v>
      </c>
      <c r="I89">
        <v>311.64999999999998</v>
      </c>
      <c r="J89" t="s">
        <v>26</v>
      </c>
      <c r="K89" t="s">
        <v>40</v>
      </c>
      <c r="L89">
        <v>1120</v>
      </c>
      <c r="M89">
        <v>27.825892857142851</v>
      </c>
      <c r="N89" t="s">
        <v>8</v>
      </c>
      <c r="O89" t="s">
        <v>422</v>
      </c>
      <c r="P89" t="s">
        <v>73</v>
      </c>
      <c r="Q89" t="s">
        <v>30</v>
      </c>
      <c r="R89" t="s">
        <v>98</v>
      </c>
      <c r="S89" t="s">
        <v>54</v>
      </c>
      <c r="T89" t="s">
        <v>423</v>
      </c>
      <c r="U89" t="s">
        <v>34</v>
      </c>
      <c r="V89">
        <v>311.64999999999998</v>
      </c>
    </row>
    <row r="90" spans="1:22" x14ac:dyDescent="0.3">
      <c r="A90" t="s">
        <v>424</v>
      </c>
      <c r="B90" s="2">
        <v>46061</v>
      </c>
      <c r="C90" t="s">
        <v>397</v>
      </c>
      <c r="D90" t="s">
        <v>70</v>
      </c>
      <c r="E90" t="s">
        <v>129</v>
      </c>
      <c r="F90">
        <v>2</v>
      </c>
      <c r="G90">
        <v>0.1</v>
      </c>
      <c r="H90">
        <v>99000</v>
      </c>
      <c r="I90">
        <v>12769.91</v>
      </c>
      <c r="J90" t="s">
        <v>51</v>
      </c>
      <c r="K90" t="s">
        <v>40</v>
      </c>
      <c r="L90">
        <v>49500</v>
      </c>
      <c r="M90">
        <v>12.89889898989899</v>
      </c>
      <c r="N90" t="s">
        <v>8</v>
      </c>
      <c r="O90" t="s">
        <v>398</v>
      </c>
      <c r="P90" t="s">
        <v>73</v>
      </c>
      <c r="Q90" t="s">
        <v>30</v>
      </c>
      <c r="R90" t="s">
        <v>98</v>
      </c>
      <c r="S90" t="s">
        <v>54</v>
      </c>
      <c r="T90" t="s">
        <v>399</v>
      </c>
      <c r="U90" t="s">
        <v>34</v>
      </c>
      <c r="V90">
        <v>6384.9549999999999</v>
      </c>
    </row>
    <row r="91" spans="1:22" x14ac:dyDescent="0.3">
      <c r="A91" t="s">
        <v>425</v>
      </c>
      <c r="B91" s="2">
        <v>46224</v>
      </c>
      <c r="C91" t="s">
        <v>426</v>
      </c>
      <c r="D91" t="s">
        <v>70</v>
      </c>
      <c r="E91" t="s">
        <v>129</v>
      </c>
      <c r="F91">
        <v>3</v>
      </c>
      <c r="G91">
        <v>0.15</v>
      </c>
      <c r="H91">
        <v>140250</v>
      </c>
      <c r="I91">
        <v>-34976.239999999998</v>
      </c>
      <c r="J91" t="s">
        <v>26</v>
      </c>
      <c r="K91" t="s">
        <v>80</v>
      </c>
      <c r="L91">
        <v>46750</v>
      </c>
      <c r="M91">
        <v>-24.938495543672008</v>
      </c>
      <c r="N91" t="s">
        <v>81</v>
      </c>
      <c r="O91" t="s">
        <v>427</v>
      </c>
      <c r="P91" t="s">
        <v>73</v>
      </c>
      <c r="Q91" t="s">
        <v>30</v>
      </c>
      <c r="R91" t="s">
        <v>60</v>
      </c>
      <c r="S91" t="s">
        <v>61</v>
      </c>
      <c r="T91" t="s">
        <v>428</v>
      </c>
      <c r="U91" t="s">
        <v>34</v>
      </c>
      <c r="V91">
        <v>-11658.74666666667</v>
      </c>
    </row>
    <row r="92" spans="1:22" x14ac:dyDescent="0.3">
      <c r="A92" t="s">
        <v>429</v>
      </c>
      <c r="B92" s="2">
        <v>46152</v>
      </c>
      <c r="C92" t="s">
        <v>430</v>
      </c>
      <c r="D92" t="s">
        <v>70</v>
      </c>
      <c r="E92" t="s">
        <v>165</v>
      </c>
      <c r="F92">
        <v>1</v>
      </c>
      <c r="G92">
        <v>0.1</v>
      </c>
      <c r="H92">
        <v>2250</v>
      </c>
      <c r="I92">
        <v>613.64</v>
      </c>
      <c r="J92" t="s">
        <v>51</v>
      </c>
      <c r="K92" t="s">
        <v>40</v>
      </c>
      <c r="L92">
        <v>2250</v>
      </c>
      <c r="M92">
        <v>27.27288888888889</v>
      </c>
      <c r="N92" t="s">
        <v>8</v>
      </c>
      <c r="O92" t="s">
        <v>431</v>
      </c>
      <c r="P92" t="s">
        <v>29</v>
      </c>
      <c r="Q92" t="s">
        <v>30</v>
      </c>
      <c r="R92" t="s">
        <v>53</v>
      </c>
      <c r="S92" t="s">
        <v>54</v>
      </c>
      <c r="T92" t="s">
        <v>256</v>
      </c>
      <c r="U92" t="s">
        <v>46</v>
      </c>
      <c r="V92">
        <v>613.64</v>
      </c>
    </row>
    <row r="93" spans="1:22" x14ac:dyDescent="0.3">
      <c r="A93" t="s">
        <v>432</v>
      </c>
      <c r="B93" s="2">
        <v>45870</v>
      </c>
      <c r="C93" t="s">
        <v>433</v>
      </c>
      <c r="D93" t="s">
        <v>49</v>
      </c>
      <c r="E93" t="s">
        <v>119</v>
      </c>
      <c r="F93">
        <v>3</v>
      </c>
      <c r="G93">
        <v>0.05</v>
      </c>
      <c r="H93">
        <v>25650</v>
      </c>
      <c r="I93">
        <v>-7434.27</v>
      </c>
      <c r="J93" t="s">
        <v>65</v>
      </c>
      <c r="K93" t="s">
        <v>434</v>
      </c>
      <c r="L93">
        <v>8550</v>
      </c>
      <c r="M93">
        <v>-28.983508771929831</v>
      </c>
      <c r="N93" t="s">
        <v>81</v>
      </c>
      <c r="O93" t="s">
        <v>435</v>
      </c>
      <c r="P93" t="s">
        <v>73</v>
      </c>
      <c r="Q93" t="s">
        <v>42</v>
      </c>
      <c r="R93" t="s">
        <v>214</v>
      </c>
      <c r="S93" t="s">
        <v>111</v>
      </c>
      <c r="T93" t="s">
        <v>436</v>
      </c>
      <c r="U93" t="s">
        <v>46</v>
      </c>
      <c r="V93">
        <v>-2478.09</v>
      </c>
    </row>
    <row r="94" spans="1:22" x14ac:dyDescent="0.3">
      <c r="A94" t="s">
        <v>437</v>
      </c>
      <c r="B94" s="2">
        <v>46003</v>
      </c>
      <c r="C94" t="s">
        <v>438</v>
      </c>
      <c r="D94" t="s">
        <v>70</v>
      </c>
      <c r="E94" t="s">
        <v>71</v>
      </c>
      <c r="F94">
        <v>1</v>
      </c>
      <c r="G94">
        <v>0.15</v>
      </c>
      <c r="H94">
        <v>15300</v>
      </c>
      <c r="I94">
        <v>1948.46</v>
      </c>
      <c r="J94" t="s">
        <v>65</v>
      </c>
      <c r="K94" t="s">
        <v>40</v>
      </c>
      <c r="L94">
        <v>15300</v>
      </c>
      <c r="M94">
        <v>12.735032679738559</v>
      </c>
      <c r="N94" t="s">
        <v>8</v>
      </c>
      <c r="O94" t="s">
        <v>439</v>
      </c>
      <c r="P94" t="s">
        <v>83</v>
      </c>
      <c r="Q94" t="s">
        <v>30</v>
      </c>
      <c r="R94" t="s">
        <v>98</v>
      </c>
      <c r="S94" t="s">
        <v>54</v>
      </c>
      <c r="T94" t="s">
        <v>440</v>
      </c>
      <c r="U94" t="s">
        <v>34</v>
      </c>
      <c r="V94">
        <v>1948.46</v>
      </c>
    </row>
    <row r="95" spans="1:22" x14ac:dyDescent="0.3">
      <c r="A95" t="s">
        <v>441</v>
      </c>
      <c r="B95" s="2">
        <v>45906</v>
      </c>
      <c r="C95" t="s">
        <v>442</v>
      </c>
      <c r="D95" t="s">
        <v>37</v>
      </c>
      <c r="E95" t="s">
        <v>170</v>
      </c>
      <c r="F95">
        <v>4</v>
      </c>
      <c r="G95">
        <v>0.05</v>
      </c>
      <c r="H95">
        <v>5320</v>
      </c>
      <c r="I95">
        <v>1784.9</v>
      </c>
      <c r="J95" t="s">
        <v>65</v>
      </c>
      <c r="K95" t="s">
        <v>40</v>
      </c>
      <c r="L95">
        <v>1330</v>
      </c>
      <c r="M95">
        <v>33.550751879699249</v>
      </c>
      <c r="N95" t="s">
        <v>8</v>
      </c>
      <c r="O95" t="s">
        <v>443</v>
      </c>
      <c r="P95" t="s">
        <v>83</v>
      </c>
      <c r="Q95" t="s">
        <v>42</v>
      </c>
      <c r="R95" t="s">
        <v>444</v>
      </c>
      <c r="S95" t="s">
        <v>44</v>
      </c>
      <c r="T95" t="s">
        <v>445</v>
      </c>
      <c r="U95" t="s">
        <v>46</v>
      </c>
      <c r="V95">
        <v>446.22500000000002</v>
      </c>
    </row>
    <row r="96" spans="1:22" x14ac:dyDescent="0.3">
      <c r="A96" t="s">
        <v>446</v>
      </c>
      <c r="B96" s="2">
        <v>46101</v>
      </c>
      <c r="C96" t="s">
        <v>447</v>
      </c>
      <c r="D96" t="s">
        <v>70</v>
      </c>
      <c r="E96" t="s">
        <v>129</v>
      </c>
      <c r="F96">
        <v>2</v>
      </c>
      <c r="G96">
        <v>0.1</v>
      </c>
      <c r="H96">
        <v>99000</v>
      </c>
      <c r="I96">
        <v>9299.57</v>
      </c>
      <c r="J96" t="s">
        <v>26</v>
      </c>
      <c r="K96" t="s">
        <v>40</v>
      </c>
      <c r="L96">
        <v>49500</v>
      </c>
      <c r="M96">
        <v>9.3935050505050501</v>
      </c>
      <c r="N96" t="s">
        <v>8</v>
      </c>
      <c r="O96" t="s">
        <v>448</v>
      </c>
      <c r="P96" t="s">
        <v>29</v>
      </c>
      <c r="Q96" t="s">
        <v>131</v>
      </c>
      <c r="R96" t="s">
        <v>449</v>
      </c>
      <c r="S96" t="s">
        <v>450</v>
      </c>
      <c r="T96" t="s">
        <v>451</v>
      </c>
      <c r="U96" t="s">
        <v>34</v>
      </c>
      <c r="V96">
        <v>4649.7849999999999</v>
      </c>
    </row>
    <row r="97" spans="1:22" x14ac:dyDescent="0.3">
      <c r="A97" t="s">
        <v>452</v>
      </c>
      <c r="B97" s="2">
        <v>45842</v>
      </c>
      <c r="C97" t="s">
        <v>453</v>
      </c>
      <c r="D97" t="s">
        <v>70</v>
      </c>
      <c r="E97" t="s">
        <v>129</v>
      </c>
      <c r="F97">
        <v>1</v>
      </c>
      <c r="G97">
        <v>0</v>
      </c>
      <c r="H97">
        <v>55000</v>
      </c>
      <c r="I97">
        <v>9000</v>
      </c>
      <c r="J97" t="s">
        <v>26</v>
      </c>
      <c r="K97" t="s">
        <v>40</v>
      </c>
      <c r="L97">
        <v>55000</v>
      </c>
      <c r="M97">
        <v>16.36363636363636</v>
      </c>
      <c r="N97" t="s">
        <v>8</v>
      </c>
      <c r="O97" t="s">
        <v>454</v>
      </c>
      <c r="P97" t="s">
        <v>29</v>
      </c>
      <c r="Q97" t="s">
        <v>131</v>
      </c>
      <c r="R97" t="s">
        <v>449</v>
      </c>
      <c r="S97" t="s">
        <v>450</v>
      </c>
      <c r="T97" t="s">
        <v>455</v>
      </c>
      <c r="U97" t="s">
        <v>105</v>
      </c>
      <c r="V97">
        <v>9000</v>
      </c>
    </row>
    <row r="98" spans="1:22" x14ac:dyDescent="0.3">
      <c r="A98" t="s">
        <v>456</v>
      </c>
      <c r="B98" s="2">
        <v>46102</v>
      </c>
      <c r="C98" t="s">
        <v>457</v>
      </c>
      <c r="D98" t="s">
        <v>70</v>
      </c>
      <c r="E98" t="s">
        <v>108</v>
      </c>
      <c r="F98">
        <v>1</v>
      </c>
      <c r="G98">
        <v>0.15</v>
      </c>
      <c r="H98">
        <v>3825</v>
      </c>
      <c r="I98">
        <v>986.19</v>
      </c>
      <c r="J98" t="s">
        <v>51</v>
      </c>
      <c r="K98" t="s">
        <v>40</v>
      </c>
      <c r="L98">
        <v>3825</v>
      </c>
      <c r="M98">
        <v>25.782745098039221</v>
      </c>
      <c r="N98" t="s">
        <v>8</v>
      </c>
      <c r="O98" t="s">
        <v>458</v>
      </c>
      <c r="P98" t="s">
        <v>73</v>
      </c>
      <c r="Q98" t="s">
        <v>30</v>
      </c>
      <c r="R98" t="s">
        <v>60</v>
      </c>
      <c r="S98" t="s">
        <v>61</v>
      </c>
      <c r="T98" t="s">
        <v>459</v>
      </c>
      <c r="U98" t="s">
        <v>34</v>
      </c>
      <c r="V98">
        <v>986.19</v>
      </c>
    </row>
    <row r="99" spans="1:22" x14ac:dyDescent="0.3">
      <c r="A99" t="s">
        <v>460</v>
      </c>
      <c r="B99" s="2">
        <v>46182</v>
      </c>
      <c r="C99" t="s">
        <v>461</v>
      </c>
      <c r="D99" t="s">
        <v>49</v>
      </c>
      <c r="E99" t="s">
        <v>119</v>
      </c>
      <c r="F99">
        <v>2</v>
      </c>
      <c r="G99">
        <v>0.1</v>
      </c>
      <c r="H99">
        <v>16200</v>
      </c>
      <c r="I99">
        <v>3706.94</v>
      </c>
      <c r="J99" t="s">
        <v>65</v>
      </c>
      <c r="K99" t="s">
        <v>40</v>
      </c>
      <c r="L99">
        <v>8100</v>
      </c>
      <c r="M99">
        <v>22.882345679012349</v>
      </c>
      <c r="N99" t="s">
        <v>8</v>
      </c>
      <c r="O99" t="s">
        <v>462</v>
      </c>
      <c r="P99" t="s">
        <v>83</v>
      </c>
      <c r="Q99" t="s">
        <v>42</v>
      </c>
      <c r="R99" t="s">
        <v>214</v>
      </c>
      <c r="S99" t="s">
        <v>111</v>
      </c>
      <c r="T99" t="s">
        <v>463</v>
      </c>
      <c r="U99" t="s">
        <v>34</v>
      </c>
      <c r="V99">
        <v>1853.47</v>
      </c>
    </row>
    <row r="100" spans="1:22" x14ac:dyDescent="0.3">
      <c r="A100" t="s">
        <v>464</v>
      </c>
      <c r="B100" s="2">
        <v>46201</v>
      </c>
      <c r="C100" t="s">
        <v>465</v>
      </c>
      <c r="D100" t="s">
        <v>24</v>
      </c>
      <c r="E100" t="s">
        <v>92</v>
      </c>
      <c r="F100">
        <v>2</v>
      </c>
      <c r="G100">
        <v>0.3</v>
      </c>
      <c r="H100">
        <v>1260</v>
      </c>
      <c r="I100">
        <v>218.08</v>
      </c>
      <c r="J100" t="s">
        <v>65</v>
      </c>
      <c r="K100" t="s">
        <v>40</v>
      </c>
      <c r="L100">
        <v>630</v>
      </c>
      <c r="M100">
        <v>17.30793650793651</v>
      </c>
      <c r="N100" t="s">
        <v>8</v>
      </c>
      <c r="O100" t="s">
        <v>362</v>
      </c>
      <c r="P100" t="s">
        <v>29</v>
      </c>
      <c r="Q100" t="s">
        <v>42</v>
      </c>
      <c r="R100" t="s">
        <v>121</v>
      </c>
      <c r="S100" t="s">
        <v>44</v>
      </c>
      <c r="T100" t="s">
        <v>466</v>
      </c>
      <c r="U100" t="s">
        <v>100</v>
      </c>
      <c r="V100">
        <v>109.04</v>
      </c>
    </row>
    <row r="101" spans="1:22" x14ac:dyDescent="0.3">
      <c r="A101" t="s">
        <v>467</v>
      </c>
      <c r="B101" s="2">
        <v>46139</v>
      </c>
      <c r="C101" t="s">
        <v>78</v>
      </c>
      <c r="D101" t="s">
        <v>49</v>
      </c>
      <c r="E101" t="s">
        <v>58</v>
      </c>
      <c r="F101">
        <v>2</v>
      </c>
      <c r="G101">
        <v>0.1</v>
      </c>
      <c r="H101">
        <v>27000</v>
      </c>
      <c r="I101">
        <v>4872.3999999999996</v>
      </c>
      <c r="J101" t="s">
        <v>39</v>
      </c>
      <c r="K101" t="s">
        <v>40</v>
      </c>
      <c r="L101">
        <v>13500</v>
      </c>
      <c r="M101">
        <v>18.045925925925921</v>
      </c>
      <c r="N101" t="s">
        <v>8</v>
      </c>
      <c r="O101" t="s">
        <v>82</v>
      </c>
      <c r="P101" t="s">
        <v>83</v>
      </c>
      <c r="Q101" t="s">
        <v>74</v>
      </c>
      <c r="R101" t="s">
        <v>75</v>
      </c>
      <c r="S101" t="s">
        <v>75</v>
      </c>
      <c r="T101" t="s">
        <v>84</v>
      </c>
      <c r="U101" t="s">
        <v>34</v>
      </c>
      <c r="V101">
        <v>2436.1999999999998</v>
      </c>
    </row>
    <row r="102" spans="1:22" x14ac:dyDescent="0.3">
      <c r="A102" t="s">
        <v>468</v>
      </c>
      <c r="B102" s="2">
        <v>46083</v>
      </c>
      <c r="C102" t="s">
        <v>469</v>
      </c>
      <c r="D102" t="s">
        <v>24</v>
      </c>
      <c r="E102" t="s">
        <v>87</v>
      </c>
      <c r="F102">
        <v>3</v>
      </c>
      <c r="G102">
        <v>0.2</v>
      </c>
      <c r="H102">
        <v>840</v>
      </c>
      <c r="I102">
        <v>191.65</v>
      </c>
      <c r="J102" t="s">
        <v>65</v>
      </c>
      <c r="K102" t="s">
        <v>40</v>
      </c>
      <c r="L102">
        <v>280</v>
      </c>
      <c r="M102">
        <v>22.81547619047619</v>
      </c>
      <c r="N102" t="s">
        <v>8</v>
      </c>
      <c r="O102" t="s">
        <v>470</v>
      </c>
      <c r="P102" t="s">
        <v>83</v>
      </c>
      <c r="Q102" t="s">
        <v>30</v>
      </c>
      <c r="R102" t="s">
        <v>31</v>
      </c>
      <c r="S102" t="s">
        <v>32</v>
      </c>
      <c r="T102" t="s">
        <v>471</v>
      </c>
      <c r="U102" t="s">
        <v>100</v>
      </c>
      <c r="V102">
        <v>63.883333333333333</v>
      </c>
    </row>
    <row r="103" spans="1:22" x14ac:dyDescent="0.3">
      <c r="A103" t="s">
        <v>472</v>
      </c>
      <c r="B103" s="2">
        <v>46183</v>
      </c>
      <c r="C103" t="s">
        <v>473</v>
      </c>
      <c r="D103" t="s">
        <v>49</v>
      </c>
      <c r="E103" t="s">
        <v>58</v>
      </c>
      <c r="F103">
        <v>6</v>
      </c>
      <c r="G103">
        <v>0.05</v>
      </c>
      <c r="H103">
        <v>85500</v>
      </c>
      <c r="I103">
        <v>18540.32</v>
      </c>
      <c r="J103" t="s">
        <v>51</v>
      </c>
      <c r="K103" t="s">
        <v>40</v>
      </c>
      <c r="L103">
        <v>14250</v>
      </c>
      <c r="M103">
        <v>21.684584795321641</v>
      </c>
      <c r="N103" t="s">
        <v>8</v>
      </c>
      <c r="O103" t="s">
        <v>474</v>
      </c>
      <c r="P103" t="s">
        <v>73</v>
      </c>
      <c r="Q103" t="s">
        <v>131</v>
      </c>
      <c r="R103" t="s">
        <v>289</v>
      </c>
      <c r="S103" t="s">
        <v>290</v>
      </c>
      <c r="T103" t="s">
        <v>475</v>
      </c>
      <c r="U103" t="s">
        <v>46</v>
      </c>
      <c r="V103">
        <v>3090.0533333333328</v>
      </c>
    </row>
    <row r="104" spans="1:22" x14ac:dyDescent="0.3">
      <c r="A104" t="s">
        <v>476</v>
      </c>
      <c r="B104" s="2">
        <v>46053</v>
      </c>
      <c r="C104" t="s">
        <v>477</v>
      </c>
      <c r="D104" t="s">
        <v>37</v>
      </c>
      <c r="E104" t="s">
        <v>38</v>
      </c>
      <c r="F104">
        <v>5</v>
      </c>
      <c r="G104">
        <v>0.1</v>
      </c>
      <c r="H104">
        <v>8100</v>
      </c>
      <c r="I104">
        <v>2652.94</v>
      </c>
      <c r="J104" t="s">
        <v>26</v>
      </c>
      <c r="K104" t="s">
        <v>40</v>
      </c>
      <c r="L104">
        <v>1620</v>
      </c>
      <c r="M104">
        <v>32.752345679012343</v>
      </c>
      <c r="N104" t="s">
        <v>8</v>
      </c>
      <c r="O104" t="s">
        <v>478</v>
      </c>
      <c r="P104" t="s">
        <v>73</v>
      </c>
      <c r="Q104" t="s">
        <v>131</v>
      </c>
      <c r="R104" t="s">
        <v>289</v>
      </c>
      <c r="S104" t="s">
        <v>290</v>
      </c>
      <c r="T104" t="s">
        <v>479</v>
      </c>
      <c r="U104" t="s">
        <v>100</v>
      </c>
      <c r="V104">
        <v>530.58799999999997</v>
      </c>
    </row>
    <row r="105" spans="1:22" x14ac:dyDescent="0.3">
      <c r="A105" t="s">
        <v>480</v>
      </c>
      <c r="B105" s="2">
        <v>46063</v>
      </c>
      <c r="C105" t="s">
        <v>481</v>
      </c>
      <c r="D105" t="s">
        <v>37</v>
      </c>
      <c r="E105" t="s">
        <v>170</v>
      </c>
      <c r="F105">
        <v>5</v>
      </c>
      <c r="G105">
        <v>0</v>
      </c>
      <c r="H105">
        <v>7000</v>
      </c>
      <c r="I105">
        <v>2500</v>
      </c>
      <c r="J105" t="s">
        <v>39</v>
      </c>
      <c r="K105" t="s">
        <v>40</v>
      </c>
      <c r="L105">
        <v>1400</v>
      </c>
      <c r="M105">
        <v>35.714285714285722</v>
      </c>
      <c r="N105" t="s">
        <v>8</v>
      </c>
      <c r="O105" t="s">
        <v>482</v>
      </c>
      <c r="P105" t="s">
        <v>83</v>
      </c>
      <c r="Q105" t="s">
        <v>30</v>
      </c>
      <c r="R105" t="s">
        <v>31</v>
      </c>
      <c r="S105" t="s">
        <v>32</v>
      </c>
      <c r="T105" t="s">
        <v>483</v>
      </c>
      <c r="U105" t="s">
        <v>46</v>
      </c>
      <c r="V105">
        <v>500</v>
      </c>
    </row>
    <row r="106" spans="1:22" x14ac:dyDescent="0.3">
      <c r="A106" t="s">
        <v>484</v>
      </c>
      <c r="B106" s="2">
        <v>46206</v>
      </c>
      <c r="C106" t="s">
        <v>485</v>
      </c>
      <c r="D106" t="s">
        <v>24</v>
      </c>
      <c r="E106" t="s">
        <v>87</v>
      </c>
      <c r="F106">
        <v>5</v>
      </c>
      <c r="G106">
        <v>0.2</v>
      </c>
      <c r="H106">
        <v>1400</v>
      </c>
      <c r="I106">
        <v>393.65</v>
      </c>
      <c r="J106" t="s">
        <v>26</v>
      </c>
      <c r="K106" t="s">
        <v>40</v>
      </c>
      <c r="L106">
        <v>280</v>
      </c>
      <c r="M106">
        <v>28.11785714285714</v>
      </c>
      <c r="N106" t="s">
        <v>8</v>
      </c>
      <c r="O106" t="s">
        <v>59</v>
      </c>
      <c r="P106" t="s">
        <v>73</v>
      </c>
      <c r="Q106" t="s">
        <v>131</v>
      </c>
      <c r="R106" t="s">
        <v>289</v>
      </c>
      <c r="S106" t="s">
        <v>290</v>
      </c>
      <c r="T106" t="s">
        <v>486</v>
      </c>
      <c r="U106" t="s">
        <v>46</v>
      </c>
      <c r="V106">
        <v>78.72999999999999</v>
      </c>
    </row>
    <row r="107" spans="1:22" x14ac:dyDescent="0.3">
      <c r="A107" t="s">
        <v>487</v>
      </c>
      <c r="B107" s="2">
        <v>45900</v>
      </c>
      <c r="C107" t="s">
        <v>488</v>
      </c>
      <c r="D107" t="s">
        <v>49</v>
      </c>
      <c r="E107" t="s">
        <v>50</v>
      </c>
      <c r="F107">
        <v>2</v>
      </c>
      <c r="G107">
        <v>0</v>
      </c>
      <c r="H107">
        <v>26000</v>
      </c>
      <c r="I107">
        <v>6400</v>
      </c>
      <c r="J107" t="s">
        <v>26</v>
      </c>
      <c r="K107" t="s">
        <v>40</v>
      </c>
      <c r="L107">
        <v>13000</v>
      </c>
      <c r="M107">
        <v>24.61538461538462</v>
      </c>
      <c r="N107" t="s">
        <v>8</v>
      </c>
      <c r="O107" t="s">
        <v>398</v>
      </c>
      <c r="P107" t="s">
        <v>29</v>
      </c>
      <c r="Q107" t="s">
        <v>30</v>
      </c>
      <c r="R107" t="s">
        <v>60</v>
      </c>
      <c r="S107" t="s">
        <v>61</v>
      </c>
      <c r="T107" t="s">
        <v>489</v>
      </c>
      <c r="U107" t="s">
        <v>105</v>
      </c>
      <c r="V107">
        <v>3200</v>
      </c>
    </row>
    <row r="108" spans="1:22" x14ac:dyDescent="0.3">
      <c r="A108" t="s">
        <v>490</v>
      </c>
      <c r="B108" s="2">
        <v>45921</v>
      </c>
      <c r="C108" t="s">
        <v>491</v>
      </c>
      <c r="D108" t="s">
        <v>24</v>
      </c>
      <c r="E108" t="s">
        <v>87</v>
      </c>
      <c r="F108">
        <v>4</v>
      </c>
      <c r="G108">
        <v>0.05</v>
      </c>
      <c r="H108">
        <v>1330</v>
      </c>
      <c r="I108">
        <v>432.28</v>
      </c>
      <c r="J108" t="s">
        <v>26</v>
      </c>
      <c r="K108" t="s">
        <v>40</v>
      </c>
      <c r="L108">
        <v>332.5</v>
      </c>
      <c r="M108">
        <v>32.50225563909774</v>
      </c>
      <c r="N108" t="s">
        <v>8</v>
      </c>
      <c r="O108" t="s">
        <v>492</v>
      </c>
      <c r="P108" t="s">
        <v>29</v>
      </c>
      <c r="Q108" t="s">
        <v>74</v>
      </c>
      <c r="R108" t="s">
        <v>493</v>
      </c>
      <c r="S108" t="s">
        <v>494</v>
      </c>
      <c r="T108" t="s">
        <v>495</v>
      </c>
      <c r="U108" t="s">
        <v>100</v>
      </c>
      <c r="V108">
        <v>108.07</v>
      </c>
    </row>
    <row r="109" spans="1:22" x14ac:dyDescent="0.3">
      <c r="A109" t="s">
        <v>496</v>
      </c>
      <c r="B109" s="2">
        <v>45915</v>
      </c>
      <c r="C109" t="s">
        <v>497</v>
      </c>
      <c r="D109" t="s">
        <v>37</v>
      </c>
      <c r="E109" t="s">
        <v>170</v>
      </c>
      <c r="F109">
        <v>3</v>
      </c>
      <c r="G109">
        <v>0</v>
      </c>
      <c r="H109">
        <v>4200</v>
      </c>
      <c r="I109">
        <v>1500</v>
      </c>
      <c r="J109" t="s">
        <v>51</v>
      </c>
      <c r="K109" t="s">
        <v>40</v>
      </c>
      <c r="L109">
        <v>1400</v>
      </c>
      <c r="M109">
        <v>35.714285714285722</v>
      </c>
      <c r="N109" t="s">
        <v>8</v>
      </c>
      <c r="O109" t="s">
        <v>498</v>
      </c>
      <c r="P109" t="s">
        <v>29</v>
      </c>
      <c r="Q109" t="s">
        <v>42</v>
      </c>
      <c r="R109" t="s">
        <v>43</v>
      </c>
      <c r="S109" t="s">
        <v>44</v>
      </c>
      <c r="T109" t="s">
        <v>499</v>
      </c>
      <c r="U109" t="s">
        <v>46</v>
      </c>
      <c r="V109">
        <v>500</v>
      </c>
    </row>
    <row r="110" spans="1:22" x14ac:dyDescent="0.3">
      <c r="A110" t="s">
        <v>500</v>
      </c>
      <c r="B110" s="2">
        <v>45882</v>
      </c>
      <c r="C110" t="s">
        <v>501</v>
      </c>
      <c r="D110" t="s">
        <v>70</v>
      </c>
      <c r="E110" t="s">
        <v>165</v>
      </c>
      <c r="F110">
        <v>3</v>
      </c>
      <c r="G110">
        <v>0.2</v>
      </c>
      <c r="H110">
        <v>6000</v>
      </c>
      <c r="I110">
        <v>1616.79</v>
      </c>
      <c r="J110" t="s">
        <v>26</v>
      </c>
      <c r="K110" t="s">
        <v>40</v>
      </c>
      <c r="L110">
        <v>2000</v>
      </c>
      <c r="M110">
        <v>26.9465</v>
      </c>
      <c r="N110" t="s">
        <v>8</v>
      </c>
      <c r="O110" t="s">
        <v>502</v>
      </c>
      <c r="P110" t="s">
        <v>29</v>
      </c>
      <c r="Q110" t="s">
        <v>30</v>
      </c>
      <c r="R110" t="s">
        <v>31</v>
      </c>
      <c r="S110" t="s">
        <v>32</v>
      </c>
      <c r="T110" t="s">
        <v>503</v>
      </c>
      <c r="U110" t="s">
        <v>100</v>
      </c>
      <c r="V110">
        <v>538.92999999999995</v>
      </c>
    </row>
    <row r="111" spans="1:22" x14ac:dyDescent="0.3">
      <c r="A111" t="s">
        <v>504</v>
      </c>
      <c r="B111" s="2">
        <v>45981</v>
      </c>
      <c r="C111" t="s">
        <v>186</v>
      </c>
      <c r="D111" t="s">
        <v>70</v>
      </c>
      <c r="E111" t="s">
        <v>129</v>
      </c>
      <c r="F111">
        <v>5</v>
      </c>
      <c r="G111">
        <v>0.1</v>
      </c>
      <c r="H111">
        <v>247500</v>
      </c>
      <c r="I111">
        <v>31987.81</v>
      </c>
      <c r="J111" t="s">
        <v>65</v>
      </c>
      <c r="K111" t="s">
        <v>40</v>
      </c>
      <c r="L111">
        <v>49500</v>
      </c>
      <c r="M111">
        <v>12.92436767676768</v>
      </c>
      <c r="N111" t="s">
        <v>8</v>
      </c>
      <c r="O111" t="s">
        <v>187</v>
      </c>
      <c r="P111" t="s">
        <v>83</v>
      </c>
      <c r="Q111" t="s">
        <v>42</v>
      </c>
      <c r="R111" t="s">
        <v>43</v>
      </c>
      <c r="S111" t="s">
        <v>44</v>
      </c>
      <c r="T111" t="s">
        <v>122</v>
      </c>
      <c r="U111" t="s">
        <v>34</v>
      </c>
      <c r="V111">
        <v>6397.5619999999999</v>
      </c>
    </row>
    <row r="112" spans="1:22" x14ac:dyDescent="0.3">
      <c r="A112" t="s">
        <v>505</v>
      </c>
      <c r="B112" s="2">
        <v>45860</v>
      </c>
      <c r="C112" t="s">
        <v>506</v>
      </c>
      <c r="D112" t="s">
        <v>24</v>
      </c>
      <c r="E112" t="s">
        <v>87</v>
      </c>
      <c r="F112">
        <v>3</v>
      </c>
      <c r="G112">
        <v>0</v>
      </c>
      <c r="H112">
        <v>1050</v>
      </c>
      <c r="I112">
        <v>360</v>
      </c>
      <c r="J112" t="s">
        <v>51</v>
      </c>
      <c r="K112" t="s">
        <v>40</v>
      </c>
      <c r="L112">
        <v>350</v>
      </c>
      <c r="M112">
        <v>34.285714285714278</v>
      </c>
      <c r="N112" t="s">
        <v>8</v>
      </c>
      <c r="O112" t="s">
        <v>359</v>
      </c>
      <c r="P112" t="s">
        <v>83</v>
      </c>
      <c r="Q112" t="s">
        <v>131</v>
      </c>
      <c r="R112" t="s">
        <v>289</v>
      </c>
      <c r="S112" t="s">
        <v>290</v>
      </c>
      <c r="T112" t="s">
        <v>507</v>
      </c>
      <c r="U112" t="s">
        <v>105</v>
      </c>
      <c r="V112">
        <v>120</v>
      </c>
    </row>
    <row r="113" spans="1:22" x14ac:dyDescent="0.3">
      <c r="A113" t="s">
        <v>508</v>
      </c>
      <c r="B113" s="2">
        <v>45988</v>
      </c>
      <c r="C113" t="s">
        <v>509</v>
      </c>
      <c r="D113" t="s">
        <v>24</v>
      </c>
      <c r="E113" t="s">
        <v>87</v>
      </c>
      <c r="F113">
        <v>3</v>
      </c>
      <c r="G113">
        <v>0.1</v>
      </c>
      <c r="H113">
        <v>945</v>
      </c>
      <c r="I113">
        <v>296.8</v>
      </c>
      <c r="J113" t="s">
        <v>26</v>
      </c>
      <c r="K113" t="s">
        <v>40</v>
      </c>
      <c r="L113">
        <v>315</v>
      </c>
      <c r="M113">
        <v>31.407407407407401</v>
      </c>
      <c r="N113" t="s">
        <v>8</v>
      </c>
      <c r="O113" t="s">
        <v>510</v>
      </c>
      <c r="P113" t="s">
        <v>73</v>
      </c>
      <c r="Q113" t="s">
        <v>42</v>
      </c>
      <c r="R113" t="s">
        <v>110</v>
      </c>
      <c r="S113" t="s">
        <v>111</v>
      </c>
      <c r="T113" t="s">
        <v>511</v>
      </c>
      <c r="U113" t="s">
        <v>34</v>
      </c>
      <c r="V113">
        <v>98.933333333333337</v>
      </c>
    </row>
    <row r="114" spans="1:22" x14ac:dyDescent="0.3">
      <c r="A114" t="s">
        <v>512</v>
      </c>
      <c r="B114" s="2">
        <v>46180</v>
      </c>
      <c r="C114" t="s">
        <v>513</v>
      </c>
      <c r="D114" t="s">
        <v>37</v>
      </c>
      <c r="E114" t="s">
        <v>190</v>
      </c>
      <c r="F114">
        <v>2</v>
      </c>
      <c r="G114">
        <v>0.15</v>
      </c>
      <c r="H114">
        <v>7140</v>
      </c>
      <c r="I114">
        <v>1477.7</v>
      </c>
      <c r="J114" t="s">
        <v>39</v>
      </c>
      <c r="K114" t="s">
        <v>40</v>
      </c>
      <c r="L114">
        <v>3570</v>
      </c>
      <c r="M114">
        <v>20.696078431372548</v>
      </c>
      <c r="N114" t="s">
        <v>8</v>
      </c>
      <c r="O114" t="s">
        <v>514</v>
      </c>
      <c r="P114" t="s">
        <v>73</v>
      </c>
      <c r="Q114" t="s">
        <v>131</v>
      </c>
      <c r="R114" t="s">
        <v>449</v>
      </c>
      <c r="S114" t="s">
        <v>450</v>
      </c>
      <c r="T114" t="s">
        <v>515</v>
      </c>
      <c r="U114" t="s">
        <v>100</v>
      </c>
      <c r="V114">
        <v>738.85</v>
      </c>
    </row>
    <row r="115" spans="1:22" x14ac:dyDescent="0.3">
      <c r="A115" t="s">
        <v>516</v>
      </c>
      <c r="B115" s="2">
        <v>46070</v>
      </c>
      <c r="C115" t="s">
        <v>517</v>
      </c>
      <c r="D115" t="s">
        <v>49</v>
      </c>
      <c r="E115" t="s">
        <v>119</v>
      </c>
      <c r="F115">
        <v>2</v>
      </c>
      <c r="G115">
        <v>0.1</v>
      </c>
      <c r="H115">
        <v>16200</v>
      </c>
      <c r="I115">
        <v>3579.87</v>
      </c>
      <c r="J115" t="s">
        <v>51</v>
      </c>
      <c r="K115" t="s">
        <v>40</v>
      </c>
      <c r="L115">
        <v>8100</v>
      </c>
      <c r="M115">
        <v>22.09796296296296</v>
      </c>
      <c r="N115" t="s">
        <v>8</v>
      </c>
      <c r="O115" t="s">
        <v>518</v>
      </c>
      <c r="P115" t="s">
        <v>29</v>
      </c>
      <c r="Q115" t="s">
        <v>131</v>
      </c>
      <c r="R115" t="s">
        <v>200</v>
      </c>
      <c r="S115" t="s">
        <v>201</v>
      </c>
      <c r="T115" t="s">
        <v>519</v>
      </c>
      <c r="U115" t="s">
        <v>100</v>
      </c>
      <c r="V115">
        <v>1789.9349999999999</v>
      </c>
    </row>
    <row r="116" spans="1:22" x14ac:dyDescent="0.3">
      <c r="A116" t="s">
        <v>520</v>
      </c>
      <c r="B116" s="2">
        <v>45864</v>
      </c>
      <c r="C116" t="s">
        <v>354</v>
      </c>
      <c r="D116" t="s">
        <v>49</v>
      </c>
      <c r="E116" t="s">
        <v>50</v>
      </c>
      <c r="F116">
        <v>2</v>
      </c>
      <c r="G116">
        <v>0.1</v>
      </c>
      <c r="H116">
        <v>23400</v>
      </c>
      <c r="I116">
        <v>4717.47</v>
      </c>
      <c r="J116" t="s">
        <v>39</v>
      </c>
      <c r="K116" t="s">
        <v>40</v>
      </c>
      <c r="L116">
        <v>11700</v>
      </c>
      <c r="M116">
        <v>20.16012820512821</v>
      </c>
      <c r="N116" t="s">
        <v>8</v>
      </c>
      <c r="O116" t="s">
        <v>355</v>
      </c>
      <c r="P116" t="s">
        <v>83</v>
      </c>
      <c r="Q116" t="s">
        <v>131</v>
      </c>
      <c r="R116" t="s">
        <v>200</v>
      </c>
      <c r="S116" t="s">
        <v>201</v>
      </c>
      <c r="T116" t="s">
        <v>356</v>
      </c>
      <c r="U116" t="s">
        <v>34</v>
      </c>
      <c r="V116">
        <v>2358.7350000000001</v>
      </c>
    </row>
    <row r="117" spans="1:22" x14ac:dyDescent="0.3">
      <c r="A117" t="s">
        <v>521</v>
      </c>
      <c r="B117" s="2">
        <v>46129</v>
      </c>
      <c r="C117" t="s">
        <v>522</v>
      </c>
      <c r="D117" t="s">
        <v>49</v>
      </c>
      <c r="E117" t="s">
        <v>58</v>
      </c>
      <c r="F117">
        <v>1</v>
      </c>
      <c r="G117">
        <v>0.1</v>
      </c>
      <c r="H117">
        <v>13500</v>
      </c>
      <c r="I117">
        <v>2609.29</v>
      </c>
      <c r="J117" t="s">
        <v>26</v>
      </c>
      <c r="K117" t="s">
        <v>40</v>
      </c>
      <c r="L117">
        <v>13500</v>
      </c>
      <c r="M117">
        <v>19.32807407407407</v>
      </c>
      <c r="N117" t="s">
        <v>8</v>
      </c>
      <c r="O117" t="s">
        <v>523</v>
      </c>
      <c r="P117" t="s">
        <v>73</v>
      </c>
      <c r="Q117" t="s">
        <v>30</v>
      </c>
      <c r="R117" t="s">
        <v>98</v>
      </c>
      <c r="S117" t="s">
        <v>54</v>
      </c>
      <c r="T117" t="s">
        <v>62</v>
      </c>
      <c r="U117" t="s">
        <v>46</v>
      </c>
      <c r="V117">
        <v>2609.29</v>
      </c>
    </row>
    <row r="118" spans="1:22" x14ac:dyDescent="0.3">
      <c r="A118" t="s">
        <v>524</v>
      </c>
      <c r="B118" s="2">
        <v>46010</v>
      </c>
      <c r="C118" t="s">
        <v>525</v>
      </c>
      <c r="D118" t="s">
        <v>70</v>
      </c>
      <c r="E118" t="s">
        <v>71</v>
      </c>
      <c r="F118">
        <v>2</v>
      </c>
      <c r="G118">
        <v>0</v>
      </c>
      <c r="H118">
        <v>36000</v>
      </c>
      <c r="I118">
        <v>7000</v>
      </c>
      <c r="J118" t="s">
        <v>26</v>
      </c>
      <c r="K118" t="s">
        <v>40</v>
      </c>
      <c r="L118">
        <v>18000</v>
      </c>
      <c r="M118">
        <v>19.44444444444445</v>
      </c>
      <c r="N118" t="s">
        <v>8</v>
      </c>
      <c r="O118" t="s">
        <v>526</v>
      </c>
      <c r="P118" t="s">
        <v>29</v>
      </c>
      <c r="Q118" t="s">
        <v>30</v>
      </c>
      <c r="R118" t="s">
        <v>98</v>
      </c>
      <c r="S118" t="s">
        <v>54</v>
      </c>
      <c r="T118" t="s">
        <v>527</v>
      </c>
      <c r="U118" t="s">
        <v>34</v>
      </c>
      <c r="V118">
        <v>3500</v>
      </c>
    </row>
    <row r="119" spans="1:22" x14ac:dyDescent="0.3">
      <c r="A119" t="s">
        <v>528</v>
      </c>
      <c r="B119" s="2">
        <v>45867</v>
      </c>
      <c r="C119" t="s">
        <v>529</v>
      </c>
      <c r="D119" t="s">
        <v>70</v>
      </c>
      <c r="E119" t="s">
        <v>165</v>
      </c>
      <c r="F119">
        <v>2</v>
      </c>
      <c r="G119">
        <v>0.15</v>
      </c>
      <c r="H119">
        <v>4250</v>
      </c>
      <c r="I119">
        <v>1224.42</v>
      </c>
      <c r="J119" t="s">
        <v>26</v>
      </c>
      <c r="K119" t="s">
        <v>40</v>
      </c>
      <c r="L119">
        <v>2125</v>
      </c>
      <c r="M119">
        <v>28.80988235294118</v>
      </c>
      <c r="N119" t="s">
        <v>8</v>
      </c>
      <c r="O119" t="s">
        <v>530</v>
      </c>
      <c r="P119" t="s">
        <v>29</v>
      </c>
      <c r="Q119" t="s">
        <v>30</v>
      </c>
      <c r="R119" t="s">
        <v>98</v>
      </c>
      <c r="S119" t="s">
        <v>54</v>
      </c>
      <c r="T119" t="s">
        <v>531</v>
      </c>
      <c r="U119" t="s">
        <v>105</v>
      </c>
      <c r="V119">
        <v>612.21</v>
      </c>
    </row>
    <row r="120" spans="1:22" x14ac:dyDescent="0.3">
      <c r="A120" t="s">
        <v>532</v>
      </c>
      <c r="B120" s="2">
        <v>46261</v>
      </c>
      <c r="C120" t="s">
        <v>533</v>
      </c>
      <c r="D120" t="s">
        <v>24</v>
      </c>
      <c r="E120" t="s">
        <v>87</v>
      </c>
      <c r="F120">
        <v>3</v>
      </c>
      <c r="G120">
        <v>0.1</v>
      </c>
      <c r="H120">
        <v>945</v>
      </c>
      <c r="I120">
        <v>284.69</v>
      </c>
      <c r="J120" t="s">
        <v>26</v>
      </c>
      <c r="K120" t="s">
        <v>40</v>
      </c>
      <c r="L120">
        <v>315</v>
      </c>
      <c r="M120">
        <v>30.12592592592593</v>
      </c>
      <c r="N120" t="s">
        <v>8</v>
      </c>
      <c r="O120" t="s">
        <v>306</v>
      </c>
      <c r="P120" t="s">
        <v>83</v>
      </c>
      <c r="Q120" t="s">
        <v>131</v>
      </c>
      <c r="R120" t="s">
        <v>132</v>
      </c>
      <c r="S120" t="s">
        <v>133</v>
      </c>
      <c r="T120" t="s">
        <v>534</v>
      </c>
      <c r="U120" t="s">
        <v>46</v>
      </c>
      <c r="V120">
        <v>94.896666666666661</v>
      </c>
    </row>
    <row r="121" spans="1:22" x14ac:dyDescent="0.3">
      <c r="A121" t="s">
        <v>535</v>
      </c>
      <c r="B121" s="2">
        <v>46117</v>
      </c>
      <c r="C121" t="s">
        <v>536</v>
      </c>
      <c r="D121" t="s">
        <v>49</v>
      </c>
      <c r="E121" t="s">
        <v>79</v>
      </c>
      <c r="F121">
        <v>2</v>
      </c>
      <c r="G121">
        <v>0.05</v>
      </c>
      <c r="H121">
        <v>20900</v>
      </c>
      <c r="I121">
        <v>4524.88</v>
      </c>
      <c r="J121" t="s">
        <v>39</v>
      </c>
      <c r="K121" t="s">
        <v>40</v>
      </c>
      <c r="L121">
        <v>10450</v>
      </c>
      <c r="M121">
        <v>21.650143540669859</v>
      </c>
      <c r="N121" t="s">
        <v>8</v>
      </c>
      <c r="O121" t="s">
        <v>537</v>
      </c>
      <c r="P121" t="s">
        <v>29</v>
      </c>
      <c r="Q121" t="s">
        <v>74</v>
      </c>
      <c r="R121" t="s">
        <v>237</v>
      </c>
      <c r="S121" t="s">
        <v>238</v>
      </c>
      <c r="T121" t="s">
        <v>538</v>
      </c>
      <c r="U121" t="s">
        <v>34</v>
      </c>
      <c r="V121">
        <v>2262.44</v>
      </c>
    </row>
    <row r="122" spans="1:22" x14ac:dyDescent="0.3">
      <c r="A122" t="s">
        <v>539</v>
      </c>
      <c r="B122" s="2">
        <v>45897</v>
      </c>
      <c r="C122" t="s">
        <v>540</v>
      </c>
      <c r="D122" t="s">
        <v>24</v>
      </c>
      <c r="E122" t="s">
        <v>87</v>
      </c>
      <c r="F122">
        <v>1</v>
      </c>
      <c r="G122">
        <v>0.2</v>
      </c>
      <c r="H122">
        <v>280</v>
      </c>
      <c r="I122">
        <v>76.34</v>
      </c>
      <c r="J122" t="s">
        <v>26</v>
      </c>
      <c r="K122" t="s">
        <v>40</v>
      </c>
      <c r="L122">
        <v>280</v>
      </c>
      <c r="M122">
        <v>27.264285714285709</v>
      </c>
      <c r="N122" t="s">
        <v>8</v>
      </c>
      <c r="O122" t="s">
        <v>435</v>
      </c>
      <c r="P122" t="s">
        <v>83</v>
      </c>
      <c r="Q122" t="s">
        <v>74</v>
      </c>
      <c r="R122" t="s">
        <v>237</v>
      </c>
      <c r="S122" t="s">
        <v>238</v>
      </c>
      <c r="T122" t="s">
        <v>541</v>
      </c>
      <c r="U122" t="s">
        <v>100</v>
      </c>
      <c r="V122">
        <v>76.34</v>
      </c>
    </row>
    <row r="123" spans="1:22" x14ac:dyDescent="0.3">
      <c r="A123" t="s">
        <v>542</v>
      </c>
      <c r="B123" s="2">
        <v>46085</v>
      </c>
      <c r="C123" t="s">
        <v>543</v>
      </c>
      <c r="D123" t="s">
        <v>37</v>
      </c>
      <c r="E123" t="s">
        <v>190</v>
      </c>
      <c r="F123">
        <v>3</v>
      </c>
      <c r="G123">
        <v>0.05</v>
      </c>
      <c r="H123">
        <v>11970</v>
      </c>
      <c r="I123">
        <v>3182.11</v>
      </c>
      <c r="J123" t="s">
        <v>51</v>
      </c>
      <c r="K123" t="s">
        <v>544</v>
      </c>
      <c r="L123">
        <v>3990</v>
      </c>
      <c r="M123">
        <v>26.584043441938181</v>
      </c>
      <c r="N123" t="s">
        <v>8</v>
      </c>
      <c r="O123" t="s">
        <v>545</v>
      </c>
      <c r="P123" t="s">
        <v>83</v>
      </c>
      <c r="Q123" t="s">
        <v>74</v>
      </c>
      <c r="R123" t="s">
        <v>75</v>
      </c>
      <c r="S123" t="s">
        <v>75</v>
      </c>
      <c r="T123" t="s">
        <v>546</v>
      </c>
      <c r="U123" t="s">
        <v>34</v>
      </c>
      <c r="V123">
        <v>1060.7033333333329</v>
      </c>
    </row>
    <row r="124" spans="1:22" x14ac:dyDescent="0.3">
      <c r="A124" t="s">
        <v>547</v>
      </c>
      <c r="B124" s="2">
        <v>45933</v>
      </c>
      <c r="C124" t="s">
        <v>548</v>
      </c>
      <c r="D124" t="s">
        <v>70</v>
      </c>
      <c r="E124" t="s">
        <v>129</v>
      </c>
      <c r="F124">
        <v>1</v>
      </c>
      <c r="G124">
        <v>0.3</v>
      </c>
      <c r="H124">
        <v>38500</v>
      </c>
      <c r="I124">
        <v>-539.22</v>
      </c>
      <c r="J124" t="s">
        <v>39</v>
      </c>
      <c r="K124" t="s">
        <v>40</v>
      </c>
      <c r="L124">
        <v>38500</v>
      </c>
      <c r="M124">
        <v>-1.400571428571429</v>
      </c>
      <c r="N124" t="s">
        <v>81</v>
      </c>
      <c r="O124" t="s">
        <v>549</v>
      </c>
      <c r="P124" t="s">
        <v>29</v>
      </c>
      <c r="Q124" t="s">
        <v>74</v>
      </c>
      <c r="R124" t="s">
        <v>115</v>
      </c>
      <c r="S124" t="s">
        <v>115</v>
      </c>
      <c r="T124" t="s">
        <v>550</v>
      </c>
      <c r="U124" t="s">
        <v>100</v>
      </c>
      <c r="V124">
        <v>-539.22</v>
      </c>
    </row>
    <row r="125" spans="1:22" x14ac:dyDescent="0.3">
      <c r="A125" t="s">
        <v>551</v>
      </c>
      <c r="B125" s="2">
        <v>45973</v>
      </c>
      <c r="C125" t="s">
        <v>552</v>
      </c>
      <c r="D125" t="s">
        <v>24</v>
      </c>
      <c r="E125" t="s">
        <v>92</v>
      </c>
      <c r="F125">
        <v>4</v>
      </c>
      <c r="G125">
        <v>0.2</v>
      </c>
      <c r="H125">
        <v>2880</v>
      </c>
      <c r="I125">
        <v>704.25</v>
      </c>
      <c r="J125" t="s">
        <v>39</v>
      </c>
      <c r="K125" t="s">
        <v>40</v>
      </c>
      <c r="L125">
        <v>720</v>
      </c>
      <c r="M125">
        <v>24.453125</v>
      </c>
      <c r="N125" t="s">
        <v>8</v>
      </c>
      <c r="O125" t="s">
        <v>553</v>
      </c>
      <c r="P125" t="s">
        <v>29</v>
      </c>
      <c r="Q125" t="s">
        <v>74</v>
      </c>
      <c r="R125" t="s">
        <v>493</v>
      </c>
      <c r="S125" t="s">
        <v>494</v>
      </c>
      <c r="T125" t="s">
        <v>554</v>
      </c>
      <c r="U125" t="s">
        <v>105</v>
      </c>
      <c r="V125">
        <v>176.0625</v>
      </c>
    </row>
    <row r="126" spans="1:22" x14ac:dyDescent="0.3">
      <c r="A126" t="s">
        <v>555</v>
      </c>
      <c r="B126" s="2">
        <v>45885</v>
      </c>
      <c r="C126" t="s">
        <v>556</v>
      </c>
      <c r="D126" t="s">
        <v>70</v>
      </c>
      <c r="E126" t="s">
        <v>165</v>
      </c>
      <c r="F126">
        <v>3</v>
      </c>
      <c r="G126">
        <v>0.1</v>
      </c>
      <c r="H126">
        <v>6750</v>
      </c>
      <c r="I126">
        <v>2036.49</v>
      </c>
      <c r="J126" t="s">
        <v>39</v>
      </c>
      <c r="K126" t="s">
        <v>27</v>
      </c>
      <c r="L126">
        <v>2250</v>
      </c>
      <c r="M126">
        <v>30.170222222222218</v>
      </c>
      <c r="N126" t="s">
        <v>8</v>
      </c>
      <c r="O126" t="s">
        <v>161</v>
      </c>
      <c r="P126" t="s">
        <v>29</v>
      </c>
      <c r="Q126" t="s">
        <v>30</v>
      </c>
      <c r="R126" t="s">
        <v>53</v>
      </c>
      <c r="S126" t="s">
        <v>54</v>
      </c>
      <c r="T126" t="s">
        <v>557</v>
      </c>
      <c r="U126" t="s">
        <v>34</v>
      </c>
      <c r="V126">
        <v>678.83</v>
      </c>
    </row>
    <row r="127" spans="1:22" x14ac:dyDescent="0.3">
      <c r="A127" t="s">
        <v>558</v>
      </c>
      <c r="B127" s="2">
        <v>46151</v>
      </c>
      <c r="C127" t="s">
        <v>559</v>
      </c>
      <c r="D127" t="s">
        <v>37</v>
      </c>
      <c r="E127" t="s">
        <v>170</v>
      </c>
      <c r="F127">
        <v>3</v>
      </c>
      <c r="G127">
        <v>0.15</v>
      </c>
      <c r="H127">
        <v>3570</v>
      </c>
      <c r="I127">
        <v>1128.3900000000001</v>
      </c>
      <c r="J127" t="s">
        <v>65</v>
      </c>
      <c r="K127" t="s">
        <v>40</v>
      </c>
      <c r="L127">
        <v>1190</v>
      </c>
      <c r="M127">
        <v>31.607563025210091</v>
      </c>
      <c r="N127" t="s">
        <v>8</v>
      </c>
      <c r="O127" t="s">
        <v>478</v>
      </c>
      <c r="P127" t="s">
        <v>29</v>
      </c>
      <c r="Q127" t="s">
        <v>30</v>
      </c>
      <c r="R127" t="s">
        <v>53</v>
      </c>
      <c r="S127" t="s">
        <v>54</v>
      </c>
      <c r="T127" t="s">
        <v>560</v>
      </c>
      <c r="U127" t="s">
        <v>34</v>
      </c>
      <c r="V127">
        <v>376.13000000000011</v>
      </c>
    </row>
    <row r="128" spans="1:22" x14ac:dyDescent="0.3">
      <c r="A128" t="s">
        <v>561</v>
      </c>
      <c r="B128" s="2">
        <v>45940</v>
      </c>
      <c r="C128" t="s">
        <v>562</v>
      </c>
      <c r="D128" t="s">
        <v>37</v>
      </c>
      <c r="E128" t="s">
        <v>170</v>
      </c>
      <c r="F128">
        <v>1</v>
      </c>
      <c r="G128">
        <v>0.05</v>
      </c>
      <c r="H128">
        <v>1330</v>
      </c>
      <c r="I128">
        <v>443.96</v>
      </c>
      <c r="J128" t="s">
        <v>65</v>
      </c>
      <c r="K128" t="s">
        <v>40</v>
      </c>
      <c r="L128">
        <v>1330</v>
      </c>
      <c r="M128">
        <v>33.380451127819548</v>
      </c>
      <c r="N128" t="s">
        <v>8</v>
      </c>
      <c r="O128" t="s">
        <v>563</v>
      </c>
      <c r="P128" t="s">
        <v>29</v>
      </c>
      <c r="Q128" t="s">
        <v>30</v>
      </c>
      <c r="R128" t="s">
        <v>60</v>
      </c>
      <c r="S128" t="s">
        <v>61</v>
      </c>
      <c r="T128" t="s">
        <v>564</v>
      </c>
      <c r="U128" t="s">
        <v>100</v>
      </c>
      <c r="V128">
        <v>443.96</v>
      </c>
    </row>
    <row r="129" spans="1:22" x14ac:dyDescent="0.3">
      <c r="A129" t="s">
        <v>565</v>
      </c>
      <c r="B129" s="2">
        <v>45910</v>
      </c>
      <c r="C129" t="s">
        <v>566</v>
      </c>
      <c r="D129" t="s">
        <v>37</v>
      </c>
      <c r="E129" t="s">
        <v>310</v>
      </c>
      <c r="F129">
        <v>3</v>
      </c>
      <c r="G129">
        <v>0.15</v>
      </c>
      <c r="H129">
        <v>5610</v>
      </c>
      <c r="I129">
        <v>1673.87</v>
      </c>
      <c r="J129" t="s">
        <v>39</v>
      </c>
      <c r="K129" t="s">
        <v>40</v>
      </c>
      <c r="L129">
        <v>1870</v>
      </c>
      <c r="M129">
        <v>29.83725490196078</v>
      </c>
      <c r="N129" t="s">
        <v>8</v>
      </c>
      <c r="O129" t="s">
        <v>567</v>
      </c>
      <c r="P129" t="s">
        <v>29</v>
      </c>
      <c r="Q129" t="s">
        <v>131</v>
      </c>
      <c r="R129" t="s">
        <v>289</v>
      </c>
      <c r="S129" t="s">
        <v>290</v>
      </c>
      <c r="T129" t="s">
        <v>568</v>
      </c>
      <c r="U129" t="s">
        <v>46</v>
      </c>
      <c r="V129">
        <v>557.95666666666659</v>
      </c>
    </row>
    <row r="130" spans="1:22" x14ac:dyDescent="0.3">
      <c r="A130" t="s">
        <v>569</v>
      </c>
      <c r="B130" s="2">
        <v>45964</v>
      </c>
      <c r="C130" t="s">
        <v>570</v>
      </c>
      <c r="D130" t="s">
        <v>24</v>
      </c>
      <c r="E130" t="s">
        <v>25</v>
      </c>
      <c r="F130">
        <v>5</v>
      </c>
      <c r="G130">
        <v>0.2</v>
      </c>
      <c r="H130">
        <v>56000</v>
      </c>
      <c r="I130">
        <v>3158.36</v>
      </c>
      <c r="J130" t="s">
        <v>65</v>
      </c>
      <c r="K130" t="s">
        <v>40</v>
      </c>
      <c r="L130">
        <v>11200</v>
      </c>
      <c r="M130">
        <v>5.6399285714285714</v>
      </c>
      <c r="N130" t="s">
        <v>8</v>
      </c>
      <c r="O130" t="s">
        <v>571</v>
      </c>
      <c r="P130" t="s">
        <v>29</v>
      </c>
      <c r="Q130" t="s">
        <v>30</v>
      </c>
      <c r="R130" t="s">
        <v>31</v>
      </c>
      <c r="S130" t="s">
        <v>32</v>
      </c>
      <c r="T130" t="s">
        <v>572</v>
      </c>
      <c r="U130" t="s">
        <v>100</v>
      </c>
      <c r="V130">
        <v>631.67200000000003</v>
      </c>
    </row>
    <row r="131" spans="1:22" x14ac:dyDescent="0.3">
      <c r="A131" t="s">
        <v>573</v>
      </c>
      <c r="B131" s="2">
        <v>46265</v>
      </c>
      <c r="C131" t="s">
        <v>574</v>
      </c>
      <c r="D131" t="s">
        <v>24</v>
      </c>
      <c r="E131" t="s">
        <v>242</v>
      </c>
      <c r="F131">
        <v>3</v>
      </c>
      <c r="G131">
        <v>0</v>
      </c>
      <c r="H131">
        <v>1350</v>
      </c>
      <c r="I131">
        <v>330</v>
      </c>
      <c r="J131" t="s">
        <v>51</v>
      </c>
      <c r="K131" t="s">
        <v>27</v>
      </c>
      <c r="L131">
        <v>450</v>
      </c>
      <c r="M131">
        <v>24.444444444444439</v>
      </c>
      <c r="N131" t="s">
        <v>8</v>
      </c>
      <c r="O131" t="s">
        <v>510</v>
      </c>
      <c r="P131" t="s">
        <v>73</v>
      </c>
      <c r="Q131" t="s">
        <v>74</v>
      </c>
      <c r="R131" t="s">
        <v>75</v>
      </c>
      <c r="S131" t="s">
        <v>75</v>
      </c>
      <c r="T131" t="s">
        <v>575</v>
      </c>
      <c r="U131" t="s">
        <v>100</v>
      </c>
      <c r="V131">
        <v>110</v>
      </c>
    </row>
    <row r="132" spans="1:22" x14ac:dyDescent="0.3">
      <c r="A132" t="s">
        <v>576</v>
      </c>
      <c r="B132" s="2">
        <v>46085</v>
      </c>
      <c r="C132" t="s">
        <v>577</v>
      </c>
      <c r="D132" t="s">
        <v>70</v>
      </c>
      <c r="E132" t="s">
        <v>108</v>
      </c>
      <c r="F132">
        <v>2</v>
      </c>
      <c r="G132">
        <v>0.15</v>
      </c>
      <c r="H132">
        <v>7650</v>
      </c>
      <c r="I132">
        <v>1928.68</v>
      </c>
      <c r="J132" t="s">
        <v>39</v>
      </c>
      <c r="K132" t="s">
        <v>40</v>
      </c>
      <c r="L132">
        <v>3825</v>
      </c>
      <c r="M132">
        <v>25.21150326797386</v>
      </c>
      <c r="N132" t="s">
        <v>8</v>
      </c>
      <c r="O132" t="s">
        <v>578</v>
      </c>
      <c r="P132" t="s">
        <v>73</v>
      </c>
      <c r="Q132" t="s">
        <v>30</v>
      </c>
      <c r="R132" t="s">
        <v>98</v>
      </c>
      <c r="S132" t="s">
        <v>54</v>
      </c>
      <c r="T132" t="s">
        <v>579</v>
      </c>
      <c r="U132" t="s">
        <v>46</v>
      </c>
      <c r="V132">
        <v>964.34</v>
      </c>
    </row>
    <row r="133" spans="1:22" x14ac:dyDescent="0.3">
      <c r="A133" t="s">
        <v>580</v>
      </c>
      <c r="B133" s="2">
        <v>45847</v>
      </c>
      <c r="C133" t="s">
        <v>581</v>
      </c>
      <c r="D133" t="s">
        <v>24</v>
      </c>
      <c r="E133" t="s">
        <v>87</v>
      </c>
      <c r="F133">
        <v>2</v>
      </c>
      <c r="G133">
        <v>0.2</v>
      </c>
      <c r="H133">
        <v>560</v>
      </c>
      <c r="I133">
        <v>141.22999999999999</v>
      </c>
      <c r="J133" t="s">
        <v>65</v>
      </c>
      <c r="K133" t="s">
        <v>27</v>
      </c>
      <c r="L133">
        <v>280</v>
      </c>
      <c r="M133">
        <v>25.219642857142851</v>
      </c>
      <c r="N133" t="s">
        <v>8</v>
      </c>
      <c r="O133" t="s">
        <v>582</v>
      </c>
      <c r="P133" t="s">
        <v>73</v>
      </c>
      <c r="Q133" t="s">
        <v>131</v>
      </c>
      <c r="R133" t="s">
        <v>289</v>
      </c>
      <c r="S133" t="s">
        <v>290</v>
      </c>
      <c r="T133" t="s">
        <v>583</v>
      </c>
      <c r="U133" t="s">
        <v>46</v>
      </c>
      <c r="V133">
        <v>70.614999999999995</v>
      </c>
    </row>
    <row r="134" spans="1:22" x14ac:dyDescent="0.3">
      <c r="A134" t="s">
        <v>584</v>
      </c>
      <c r="B134" s="2">
        <v>46005</v>
      </c>
      <c r="C134" t="s">
        <v>585</v>
      </c>
      <c r="D134" t="s">
        <v>49</v>
      </c>
      <c r="E134" t="s">
        <v>50</v>
      </c>
      <c r="F134">
        <v>3</v>
      </c>
      <c r="G134">
        <v>0.1</v>
      </c>
      <c r="H134">
        <v>35100</v>
      </c>
      <c r="I134">
        <v>7685.33</v>
      </c>
      <c r="J134" t="s">
        <v>26</v>
      </c>
      <c r="K134" t="s">
        <v>27</v>
      </c>
      <c r="L134">
        <v>11700</v>
      </c>
      <c r="M134">
        <v>21.89552706552707</v>
      </c>
      <c r="N134" t="s">
        <v>8</v>
      </c>
      <c r="O134" t="s">
        <v>586</v>
      </c>
      <c r="P134" t="s">
        <v>73</v>
      </c>
      <c r="Q134" t="s">
        <v>30</v>
      </c>
      <c r="R134" t="s">
        <v>98</v>
      </c>
      <c r="S134" t="s">
        <v>54</v>
      </c>
      <c r="T134" t="s">
        <v>587</v>
      </c>
      <c r="U134" t="s">
        <v>46</v>
      </c>
      <c r="V134">
        <v>2561.7766666666671</v>
      </c>
    </row>
    <row r="135" spans="1:22" x14ac:dyDescent="0.3">
      <c r="A135" t="s">
        <v>588</v>
      </c>
      <c r="B135" s="2">
        <v>46250</v>
      </c>
      <c r="C135" t="s">
        <v>589</v>
      </c>
      <c r="D135" t="s">
        <v>70</v>
      </c>
      <c r="E135" t="s">
        <v>165</v>
      </c>
      <c r="F135">
        <v>1</v>
      </c>
      <c r="G135">
        <v>0.15</v>
      </c>
      <c r="H135">
        <v>2125</v>
      </c>
      <c r="I135">
        <v>-377.62</v>
      </c>
      <c r="J135" t="s">
        <v>51</v>
      </c>
      <c r="K135" t="s">
        <v>434</v>
      </c>
      <c r="L135">
        <v>2125</v>
      </c>
      <c r="M135">
        <v>-17.770352941176469</v>
      </c>
      <c r="N135" t="s">
        <v>81</v>
      </c>
      <c r="O135" t="s">
        <v>590</v>
      </c>
      <c r="P135" t="s">
        <v>83</v>
      </c>
      <c r="Q135" t="s">
        <v>74</v>
      </c>
      <c r="R135" t="s">
        <v>493</v>
      </c>
      <c r="S135" t="s">
        <v>494</v>
      </c>
      <c r="T135" t="s">
        <v>591</v>
      </c>
      <c r="U135" t="s">
        <v>100</v>
      </c>
      <c r="V135">
        <v>-377.62</v>
      </c>
    </row>
    <row r="136" spans="1:22" x14ac:dyDescent="0.3">
      <c r="A136" t="s">
        <v>592</v>
      </c>
      <c r="B136" s="2">
        <v>45923</v>
      </c>
      <c r="C136" t="s">
        <v>593</v>
      </c>
      <c r="D136" t="s">
        <v>49</v>
      </c>
      <c r="E136" t="s">
        <v>119</v>
      </c>
      <c r="F136">
        <v>1</v>
      </c>
      <c r="G136">
        <v>0</v>
      </c>
      <c r="H136">
        <v>9000</v>
      </c>
      <c r="I136">
        <v>2300</v>
      </c>
      <c r="J136" t="s">
        <v>65</v>
      </c>
      <c r="K136" t="s">
        <v>40</v>
      </c>
      <c r="L136">
        <v>9000</v>
      </c>
      <c r="M136">
        <v>25.55555555555555</v>
      </c>
      <c r="N136" t="s">
        <v>8</v>
      </c>
      <c r="O136" t="s">
        <v>594</v>
      </c>
      <c r="P136" t="s">
        <v>83</v>
      </c>
      <c r="Q136" t="s">
        <v>30</v>
      </c>
      <c r="R136" t="s">
        <v>31</v>
      </c>
      <c r="S136" t="s">
        <v>32</v>
      </c>
      <c r="T136" t="s">
        <v>595</v>
      </c>
      <c r="U136" t="s">
        <v>46</v>
      </c>
      <c r="V136">
        <v>2300</v>
      </c>
    </row>
    <row r="137" spans="1:22" x14ac:dyDescent="0.3">
      <c r="A137" t="s">
        <v>596</v>
      </c>
      <c r="B137" s="2">
        <v>46103</v>
      </c>
      <c r="C137" t="s">
        <v>417</v>
      </c>
      <c r="D137" t="s">
        <v>49</v>
      </c>
      <c r="E137" t="s">
        <v>58</v>
      </c>
      <c r="F137">
        <v>2</v>
      </c>
      <c r="G137">
        <v>0.15</v>
      </c>
      <c r="H137">
        <v>25500</v>
      </c>
      <c r="I137">
        <v>4674.0200000000004</v>
      </c>
      <c r="J137" t="s">
        <v>65</v>
      </c>
      <c r="K137" t="s">
        <v>40</v>
      </c>
      <c r="L137">
        <v>12750</v>
      </c>
      <c r="M137">
        <v>18.329490196078432</v>
      </c>
      <c r="N137" t="s">
        <v>8</v>
      </c>
      <c r="O137" t="s">
        <v>418</v>
      </c>
      <c r="P137" t="s">
        <v>29</v>
      </c>
      <c r="Q137" t="s">
        <v>30</v>
      </c>
      <c r="R137" t="s">
        <v>60</v>
      </c>
      <c r="S137" t="s">
        <v>61</v>
      </c>
      <c r="T137" t="s">
        <v>419</v>
      </c>
      <c r="U137" t="s">
        <v>34</v>
      </c>
      <c r="V137">
        <v>2337.0100000000002</v>
      </c>
    </row>
    <row r="138" spans="1:22" x14ac:dyDescent="0.3">
      <c r="A138" t="s">
        <v>597</v>
      </c>
      <c r="B138" s="2">
        <v>46139</v>
      </c>
      <c r="C138" t="s">
        <v>598</v>
      </c>
      <c r="D138" t="s">
        <v>70</v>
      </c>
      <c r="E138" t="s">
        <v>129</v>
      </c>
      <c r="F138">
        <v>3</v>
      </c>
      <c r="G138">
        <v>0.3</v>
      </c>
      <c r="H138">
        <v>115500</v>
      </c>
      <c r="I138">
        <v>-1549.37</v>
      </c>
      <c r="J138" t="s">
        <v>26</v>
      </c>
      <c r="K138" t="s">
        <v>40</v>
      </c>
      <c r="L138">
        <v>38500</v>
      </c>
      <c r="M138">
        <v>-1.341445887445887</v>
      </c>
      <c r="N138" t="s">
        <v>81</v>
      </c>
      <c r="O138" t="s">
        <v>599</v>
      </c>
      <c r="P138" t="s">
        <v>600</v>
      </c>
      <c r="Q138" t="s">
        <v>131</v>
      </c>
      <c r="R138" t="s">
        <v>200</v>
      </c>
      <c r="S138" t="s">
        <v>201</v>
      </c>
      <c r="T138" t="s">
        <v>601</v>
      </c>
      <c r="U138" t="s">
        <v>34</v>
      </c>
      <c r="V138">
        <v>-516.45666666666659</v>
      </c>
    </row>
    <row r="139" spans="1:22" x14ac:dyDescent="0.3">
      <c r="A139" t="s">
        <v>602</v>
      </c>
      <c r="B139" s="2">
        <v>45959</v>
      </c>
      <c r="C139" t="s">
        <v>603</v>
      </c>
      <c r="D139" t="s">
        <v>37</v>
      </c>
      <c r="E139" t="s">
        <v>38</v>
      </c>
      <c r="F139">
        <v>2</v>
      </c>
      <c r="G139">
        <v>0.3</v>
      </c>
      <c r="H139">
        <v>2520</v>
      </c>
      <c r="I139">
        <v>694.65</v>
      </c>
      <c r="J139" t="s">
        <v>26</v>
      </c>
      <c r="K139" t="s">
        <v>40</v>
      </c>
      <c r="L139">
        <v>1260</v>
      </c>
      <c r="M139">
        <v>27.56547619047619</v>
      </c>
      <c r="N139" t="s">
        <v>8</v>
      </c>
      <c r="O139" t="s">
        <v>153</v>
      </c>
      <c r="P139" t="s">
        <v>83</v>
      </c>
      <c r="Q139" t="s">
        <v>131</v>
      </c>
      <c r="R139" t="s">
        <v>200</v>
      </c>
      <c r="S139" t="s">
        <v>201</v>
      </c>
      <c r="T139" t="s">
        <v>604</v>
      </c>
      <c r="U139" t="s">
        <v>46</v>
      </c>
      <c r="V139">
        <v>347.32499999999999</v>
      </c>
    </row>
    <row r="140" spans="1:22" x14ac:dyDescent="0.3">
      <c r="A140" t="s">
        <v>605</v>
      </c>
      <c r="B140" s="2">
        <v>45856</v>
      </c>
      <c r="C140" t="s">
        <v>606</v>
      </c>
      <c r="D140" t="s">
        <v>24</v>
      </c>
      <c r="E140" t="s">
        <v>87</v>
      </c>
      <c r="F140">
        <v>6</v>
      </c>
      <c r="G140">
        <v>0</v>
      </c>
      <c r="H140">
        <v>2100</v>
      </c>
      <c r="I140">
        <v>720</v>
      </c>
      <c r="J140" t="s">
        <v>65</v>
      </c>
      <c r="K140" t="s">
        <v>40</v>
      </c>
      <c r="L140">
        <v>350</v>
      </c>
      <c r="M140">
        <v>34.285714285714278</v>
      </c>
      <c r="N140" t="s">
        <v>8</v>
      </c>
      <c r="O140" t="s">
        <v>607</v>
      </c>
      <c r="P140" t="s">
        <v>83</v>
      </c>
      <c r="Q140" t="s">
        <v>74</v>
      </c>
      <c r="R140" t="s">
        <v>115</v>
      </c>
      <c r="S140" t="s">
        <v>115</v>
      </c>
      <c r="T140" t="s">
        <v>608</v>
      </c>
      <c r="U140" t="s">
        <v>100</v>
      </c>
      <c r="V140">
        <v>120</v>
      </c>
    </row>
    <row r="141" spans="1:22" x14ac:dyDescent="0.3">
      <c r="A141" t="s">
        <v>609</v>
      </c>
      <c r="B141" s="2">
        <v>46190</v>
      </c>
      <c r="C141" t="s">
        <v>610</v>
      </c>
      <c r="D141" t="s">
        <v>70</v>
      </c>
      <c r="E141" t="s">
        <v>165</v>
      </c>
      <c r="F141">
        <v>3</v>
      </c>
      <c r="G141">
        <v>0</v>
      </c>
      <c r="H141">
        <v>7500</v>
      </c>
      <c r="I141">
        <v>2400</v>
      </c>
      <c r="J141" t="s">
        <v>51</v>
      </c>
      <c r="K141" t="s">
        <v>40</v>
      </c>
      <c r="L141">
        <v>2500</v>
      </c>
      <c r="M141">
        <v>32</v>
      </c>
      <c r="N141" t="s">
        <v>8</v>
      </c>
      <c r="O141" t="s">
        <v>611</v>
      </c>
      <c r="P141" t="s">
        <v>83</v>
      </c>
      <c r="Q141" t="s">
        <v>42</v>
      </c>
      <c r="R141" t="s">
        <v>110</v>
      </c>
      <c r="S141" t="s">
        <v>111</v>
      </c>
      <c r="T141" t="s">
        <v>612</v>
      </c>
      <c r="U141" t="s">
        <v>34</v>
      </c>
      <c r="V141">
        <v>800</v>
      </c>
    </row>
    <row r="142" spans="1:22" x14ac:dyDescent="0.3">
      <c r="A142" t="s">
        <v>613</v>
      </c>
      <c r="B142" s="2">
        <v>46149</v>
      </c>
      <c r="C142" t="s">
        <v>614</v>
      </c>
      <c r="D142" t="s">
        <v>49</v>
      </c>
      <c r="E142" t="s">
        <v>50</v>
      </c>
      <c r="F142">
        <v>1</v>
      </c>
      <c r="G142">
        <v>0.15</v>
      </c>
      <c r="H142">
        <v>11050</v>
      </c>
      <c r="I142">
        <v>2056.56</v>
      </c>
      <c r="J142" t="s">
        <v>39</v>
      </c>
      <c r="K142" t="s">
        <v>40</v>
      </c>
      <c r="L142">
        <v>11050</v>
      </c>
      <c r="M142">
        <v>18.611402714932129</v>
      </c>
      <c r="N142" t="s">
        <v>8</v>
      </c>
      <c r="O142" t="s">
        <v>259</v>
      </c>
      <c r="P142" t="s">
        <v>29</v>
      </c>
      <c r="Q142" t="s">
        <v>74</v>
      </c>
      <c r="R142" t="s">
        <v>75</v>
      </c>
      <c r="S142" t="s">
        <v>75</v>
      </c>
      <c r="T142" t="s">
        <v>615</v>
      </c>
      <c r="U142" t="s">
        <v>100</v>
      </c>
      <c r="V142">
        <v>2056.56</v>
      </c>
    </row>
    <row r="143" spans="1:22" x14ac:dyDescent="0.3">
      <c r="A143" t="s">
        <v>616</v>
      </c>
      <c r="B143" s="2">
        <v>45964</v>
      </c>
      <c r="C143" t="s">
        <v>617</v>
      </c>
      <c r="D143" t="s">
        <v>70</v>
      </c>
      <c r="E143" t="s">
        <v>71</v>
      </c>
      <c r="F143">
        <v>5</v>
      </c>
      <c r="G143">
        <v>0</v>
      </c>
      <c r="H143">
        <v>90000</v>
      </c>
      <c r="I143">
        <v>-22273.47</v>
      </c>
      <c r="J143" t="s">
        <v>26</v>
      </c>
      <c r="K143" t="s">
        <v>434</v>
      </c>
      <c r="L143">
        <v>18000</v>
      </c>
      <c r="M143">
        <v>-24.7483</v>
      </c>
      <c r="N143" t="s">
        <v>81</v>
      </c>
      <c r="O143" t="s">
        <v>618</v>
      </c>
      <c r="P143" t="s">
        <v>83</v>
      </c>
      <c r="Q143" t="s">
        <v>30</v>
      </c>
      <c r="R143" t="s">
        <v>98</v>
      </c>
      <c r="S143" t="s">
        <v>54</v>
      </c>
      <c r="T143" t="s">
        <v>619</v>
      </c>
      <c r="U143" t="s">
        <v>100</v>
      </c>
      <c r="V143">
        <v>-4454.6940000000004</v>
      </c>
    </row>
    <row r="144" spans="1:22" x14ac:dyDescent="0.3">
      <c r="A144" t="s">
        <v>620</v>
      </c>
      <c r="B144" s="2">
        <v>45955</v>
      </c>
      <c r="C144" t="s">
        <v>621</v>
      </c>
      <c r="D144" t="s">
        <v>24</v>
      </c>
      <c r="E144" t="s">
        <v>25</v>
      </c>
      <c r="F144">
        <v>3</v>
      </c>
      <c r="G144">
        <v>0.15</v>
      </c>
      <c r="H144">
        <v>35700</v>
      </c>
      <c r="I144">
        <v>-23780.61</v>
      </c>
      <c r="J144" t="s">
        <v>39</v>
      </c>
      <c r="K144" t="s">
        <v>434</v>
      </c>
      <c r="L144">
        <v>11900</v>
      </c>
      <c r="M144">
        <v>-66.612352941176468</v>
      </c>
      <c r="N144" t="s">
        <v>81</v>
      </c>
      <c r="O144" t="s">
        <v>622</v>
      </c>
      <c r="P144" t="s">
        <v>29</v>
      </c>
      <c r="Q144" t="s">
        <v>74</v>
      </c>
      <c r="R144" t="s">
        <v>115</v>
      </c>
      <c r="S144" t="s">
        <v>115</v>
      </c>
      <c r="T144" t="s">
        <v>623</v>
      </c>
      <c r="U144" t="s">
        <v>100</v>
      </c>
      <c r="V144">
        <v>-7926.87</v>
      </c>
    </row>
    <row r="145" spans="1:22" x14ac:dyDescent="0.3">
      <c r="A145" t="s">
        <v>624</v>
      </c>
      <c r="B145" s="2">
        <v>45928</v>
      </c>
      <c r="C145" t="s">
        <v>625</v>
      </c>
      <c r="D145" t="s">
        <v>37</v>
      </c>
      <c r="E145" t="s">
        <v>38</v>
      </c>
      <c r="F145">
        <v>1</v>
      </c>
      <c r="G145">
        <v>0.1</v>
      </c>
      <c r="H145">
        <v>1620</v>
      </c>
      <c r="I145">
        <v>553.86</v>
      </c>
      <c r="J145" t="s">
        <v>39</v>
      </c>
      <c r="K145" t="s">
        <v>40</v>
      </c>
      <c r="L145">
        <v>1620</v>
      </c>
      <c r="M145">
        <v>34.18888888888889</v>
      </c>
      <c r="N145" t="s">
        <v>8</v>
      </c>
      <c r="O145" t="s">
        <v>626</v>
      </c>
      <c r="P145" t="s">
        <v>29</v>
      </c>
      <c r="Q145" t="s">
        <v>30</v>
      </c>
      <c r="R145" t="s">
        <v>53</v>
      </c>
      <c r="S145" t="s">
        <v>54</v>
      </c>
      <c r="T145" t="s">
        <v>627</v>
      </c>
      <c r="U145" t="s">
        <v>105</v>
      </c>
      <c r="V145">
        <v>553.86</v>
      </c>
    </row>
    <row r="146" spans="1:22" x14ac:dyDescent="0.3">
      <c r="A146" t="s">
        <v>628</v>
      </c>
      <c r="B146" s="2">
        <v>46075</v>
      </c>
      <c r="C146" t="s">
        <v>189</v>
      </c>
      <c r="D146" t="s">
        <v>70</v>
      </c>
      <c r="E146" t="s">
        <v>108</v>
      </c>
      <c r="F146">
        <v>6</v>
      </c>
      <c r="G146">
        <v>0.15</v>
      </c>
      <c r="H146">
        <v>22950</v>
      </c>
      <c r="I146">
        <v>-6813.29</v>
      </c>
      <c r="J146" t="s">
        <v>39</v>
      </c>
      <c r="K146" t="s">
        <v>434</v>
      </c>
      <c r="L146">
        <v>3825</v>
      </c>
      <c r="M146">
        <v>-29.687538126361659</v>
      </c>
      <c r="N146" t="s">
        <v>81</v>
      </c>
      <c r="O146" t="s">
        <v>191</v>
      </c>
      <c r="P146" t="s">
        <v>29</v>
      </c>
      <c r="Q146" t="s">
        <v>30</v>
      </c>
      <c r="R146" t="s">
        <v>31</v>
      </c>
      <c r="S146" t="s">
        <v>32</v>
      </c>
      <c r="T146" t="s">
        <v>192</v>
      </c>
      <c r="U146" t="s">
        <v>34</v>
      </c>
      <c r="V146">
        <v>-1135.5483333333329</v>
      </c>
    </row>
    <row r="147" spans="1:22" x14ac:dyDescent="0.3">
      <c r="A147" t="s">
        <v>629</v>
      </c>
      <c r="B147" s="2">
        <v>46096</v>
      </c>
      <c r="C147" t="s">
        <v>241</v>
      </c>
      <c r="D147" t="s">
        <v>24</v>
      </c>
      <c r="E147" t="s">
        <v>25</v>
      </c>
      <c r="F147">
        <v>1</v>
      </c>
      <c r="G147">
        <v>0.15</v>
      </c>
      <c r="H147">
        <v>11900</v>
      </c>
      <c r="I147">
        <v>1282.1400000000001</v>
      </c>
      <c r="J147" t="s">
        <v>51</v>
      </c>
      <c r="K147" t="s">
        <v>27</v>
      </c>
      <c r="L147">
        <v>11900</v>
      </c>
      <c r="M147">
        <v>10.774285714285719</v>
      </c>
      <c r="N147" t="s">
        <v>8</v>
      </c>
      <c r="O147" t="s">
        <v>243</v>
      </c>
      <c r="P147" t="s">
        <v>73</v>
      </c>
      <c r="Q147" t="s">
        <v>74</v>
      </c>
      <c r="R147" t="s">
        <v>75</v>
      </c>
      <c r="S147" t="s">
        <v>75</v>
      </c>
      <c r="T147" t="s">
        <v>244</v>
      </c>
      <c r="U147" t="s">
        <v>34</v>
      </c>
      <c r="V147">
        <v>1282.1400000000001</v>
      </c>
    </row>
    <row r="148" spans="1:22" x14ac:dyDescent="0.3">
      <c r="A148" t="s">
        <v>630</v>
      </c>
      <c r="B148" s="2">
        <v>45996</v>
      </c>
      <c r="C148" t="s">
        <v>208</v>
      </c>
      <c r="D148" t="s">
        <v>37</v>
      </c>
      <c r="E148" t="s">
        <v>38</v>
      </c>
      <c r="F148">
        <v>1</v>
      </c>
      <c r="G148">
        <v>0.05</v>
      </c>
      <c r="H148">
        <v>1710</v>
      </c>
      <c r="I148">
        <v>583.88</v>
      </c>
      <c r="J148" t="s">
        <v>26</v>
      </c>
      <c r="K148" t="s">
        <v>40</v>
      </c>
      <c r="L148">
        <v>1710</v>
      </c>
      <c r="M148">
        <v>34.145029239766082</v>
      </c>
      <c r="N148" t="s">
        <v>8</v>
      </c>
      <c r="O148" t="s">
        <v>209</v>
      </c>
      <c r="P148" t="s">
        <v>29</v>
      </c>
      <c r="Q148" t="s">
        <v>30</v>
      </c>
      <c r="R148" t="s">
        <v>60</v>
      </c>
      <c r="S148" t="s">
        <v>61</v>
      </c>
      <c r="T148" t="s">
        <v>210</v>
      </c>
      <c r="U148" t="s">
        <v>46</v>
      </c>
      <c r="V148">
        <v>583.88</v>
      </c>
    </row>
    <row r="149" spans="1:22" x14ac:dyDescent="0.3">
      <c r="A149" t="s">
        <v>631</v>
      </c>
      <c r="B149" s="2">
        <v>46037</v>
      </c>
      <c r="C149" t="s">
        <v>632</v>
      </c>
      <c r="D149" t="s">
        <v>70</v>
      </c>
      <c r="E149" t="s">
        <v>108</v>
      </c>
      <c r="F149">
        <v>3</v>
      </c>
      <c r="G149">
        <v>0.15</v>
      </c>
      <c r="H149">
        <v>11475</v>
      </c>
      <c r="I149">
        <v>3134.31</v>
      </c>
      <c r="J149" t="s">
        <v>26</v>
      </c>
      <c r="K149" t="s">
        <v>40</v>
      </c>
      <c r="L149">
        <v>3825</v>
      </c>
      <c r="M149">
        <v>27.314248366013071</v>
      </c>
      <c r="N149" t="s">
        <v>8</v>
      </c>
      <c r="O149" t="s">
        <v>427</v>
      </c>
      <c r="P149" t="s">
        <v>29</v>
      </c>
      <c r="Q149" t="s">
        <v>42</v>
      </c>
      <c r="R149" t="s">
        <v>110</v>
      </c>
      <c r="S149" t="s">
        <v>111</v>
      </c>
      <c r="T149" t="s">
        <v>633</v>
      </c>
      <c r="U149" t="s">
        <v>100</v>
      </c>
      <c r="V149">
        <v>1044.77</v>
      </c>
    </row>
    <row r="150" spans="1:22" x14ac:dyDescent="0.3">
      <c r="A150" t="s">
        <v>634</v>
      </c>
      <c r="B150" s="2">
        <v>45842</v>
      </c>
      <c r="C150" t="s">
        <v>635</v>
      </c>
      <c r="D150" t="s">
        <v>37</v>
      </c>
      <c r="E150" t="s">
        <v>170</v>
      </c>
      <c r="F150">
        <v>2</v>
      </c>
      <c r="G150">
        <v>0.1</v>
      </c>
      <c r="H150">
        <v>2520</v>
      </c>
      <c r="I150">
        <v>848.36</v>
      </c>
      <c r="J150" t="s">
        <v>39</v>
      </c>
      <c r="K150" t="s">
        <v>40</v>
      </c>
      <c r="L150">
        <v>1260</v>
      </c>
      <c r="M150">
        <v>33.665079365079357</v>
      </c>
      <c r="N150" t="s">
        <v>8</v>
      </c>
      <c r="O150" t="s">
        <v>636</v>
      </c>
      <c r="P150" t="s">
        <v>29</v>
      </c>
      <c r="Q150" t="s">
        <v>42</v>
      </c>
      <c r="R150" t="s">
        <v>214</v>
      </c>
      <c r="S150" t="s">
        <v>111</v>
      </c>
      <c r="T150" t="s">
        <v>637</v>
      </c>
      <c r="U150" t="s">
        <v>100</v>
      </c>
      <c r="V150">
        <v>424.18</v>
      </c>
    </row>
    <row r="151" spans="1:22" x14ac:dyDescent="0.3">
      <c r="A151" t="s">
        <v>638</v>
      </c>
      <c r="B151" s="2">
        <v>45918</v>
      </c>
      <c r="C151" t="s">
        <v>603</v>
      </c>
      <c r="D151" t="s">
        <v>24</v>
      </c>
      <c r="E151" t="s">
        <v>25</v>
      </c>
      <c r="F151">
        <v>2</v>
      </c>
      <c r="G151">
        <v>0</v>
      </c>
      <c r="H151">
        <v>28000</v>
      </c>
      <c r="I151">
        <v>5600</v>
      </c>
      <c r="J151" t="s">
        <v>51</v>
      </c>
      <c r="K151" t="s">
        <v>40</v>
      </c>
      <c r="L151">
        <v>14000</v>
      </c>
      <c r="M151">
        <v>20</v>
      </c>
      <c r="N151" t="s">
        <v>8</v>
      </c>
      <c r="O151" t="s">
        <v>153</v>
      </c>
      <c r="P151" t="s">
        <v>83</v>
      </c>
      <c r="Q151" t="s">
        <v>131</v>
      </c>
      <c r="R151" t="s">
        <v>200</v>
      </c>
      <c r="S151" t="s">
        <v>201</v>
      </c>
      <c r="T151" t="s">
        <v>604</v>
      </c>
      <c r="U151" t="s">
        <v>46</v>
      </c>
      <c r="V151">
        <v>2800</v>
      </c>
    </row>
    <row r="152" spans="1:22" x14ac:dyDescent="0.3">
      <c r="A152" t="s">
        <v>639</v>
      </c>
      <c r="B152" s="2">
        <v>46020</v>
      </c>
      <c r="C152" t="s">
        <v>640</v>
      </c>
      <c r="D152" t="s">
        <v>24</v>
      </c>
      <c r="E152" t="s">
        <v>92</v>
      </c>
      <c r="F152">
        <v>1</v>
      </c>
      <c r="G152">
        <v>0.05</v>
      </c>
      <c r="H152">
        <v>855</v>
      </c>
      <c r="I152">
        <v>244.75</v>
      </c>
      <c r="J152" t="s">
        <v>26</v>
      </c>
      <c r="K152" t="s">
        <v>40</v>
      </c>
      <c r="L152">
        <v>855</v>
      </c>
      <c r="M152">
        <v>28.62573099415205</v>
      </c>
      <c r="N152" t="s">
        <v>8</v>
      </c>
      <c r="O152" t="s">
        <v>641</v>
      </c>
      <c r="P152" t="s">
        <v>29</v>
      </c>
      <c r="Q152" t="s">
        <v>30</v>
      </c>
      <c r="R152" t="s">
        <v>31</v>
      </c>
      <c r="S152" t="s">
        <v>32</v>
      </c>
      <c r="T152" t="s">
        <v>642</v>
      </c>
      <c r="U152" t="s">
        <v>34</v>
      </c>
      <c r="V152">
        <v>244.75</v>
      </c>
    </row>
    <row r="153" spans="1:22" x14ac:dyDescent="0.3">
      <c r="A153" t="s">
        <v>643</v>
      </c>
      <c r="B153" s="2">
        <v>46090</v>
      </c>
      <c r="C153" t="s">
        <v>644</v>
      </c>
      <c r="D153" t="s">
        <v>37</v>
      </c>
      <c r="E153" t="s">
        <v>38</v>
      </c>
      <c r="F153">
        <v>1</v>
      </c>
      <c r="G153">
        <v>0.2</v>
      </c>
      <c r="H153">
        <v>1440</v>
      </c>
      <c r="I153">
        <v>403.34</v>
      </c>
      <c r="J153" t="s">
        <v>39</v>
      </c>
      <c r="K153" t="s">
        <v>40</v>
      </c>
      <c r="L153">
        <v>1440</v>
      </c>
      <c r="M153">
        <v>28.009722222222219</v>
      </c>
      <c r="N153" t="s">
        <v>8</v>
      </c>
      <c r="O153" t="s">
        <v>213</v>
      </c>
      <c r="P153" t="s">
        <v>29</v>
      </c>
      <c r="Q153" t="s">
        <v>30</v>
      </c>
      <c r="R153" t="s">
        <v>31</v>
      </c>
      <c r="S153" t="s">
        <v>32</v>
      </c>
      <c r="T153" t="s">
        <v>645</v>
      </c>
      <c r="U153" t="s">
        <v>46</v>
      </c>
      <c r="V153">
        <v>403.34</v>
      </c>
    </row>
    <row r="154" spans="1:22" x14ac:dyDescent="0.3">
      <c r="A154" t="s">
        <v>646</v>
      </c>
      <c r="B154" s="2">
        <v>45968</v>
      </c>
      <c r="C154" t="s">
        <v>647</v>
      </c>
      <c r="D154" t="s">
        <v>37</v>
      </c>
      <c r="E154" t="s">
        <v>190</v>
      </c>
      <c r="F154">
        <v>2</v>
      </c>
      <c r="G154">
        <v>0.1</v>
      </c>
      <c r="H154">
        <v>7560</v>
      </c>
      <c r="I154">
        <v>1851.84</v>
      </c>
      <c r="J154" t="s">
        <v>39</v>
      </c>
      <c r="K154" t="s">
        <v>40</v>
      </c>
      <c r="L154">
        <v>3780</v>
      </c>
      <c r="M154">
        <v>24.49523809523809</v>
      </c>
      <c r="N154" t="s">
        <v>8</v>
      </c>
      <c r="O154" t="s">
        <v>648</v>
      </c>
      <c r="P154" t="s">
        <v>83</v>
      </c>
      <c r="Q154" t="s">
        <v>42</v>
      </c>
      <c r="R154" t="s">
        <v>43</v>
      </c>
      <c r="S154" t="s">
        <v>44</v>
      </c>
      <c r="T154" t="s">
        <v>649</v>
      </c>
      <c r="U154" t="s">
        <v>100</v>
      </c>
      <c r="V154">
        <v>925.92</v>
      </c>
    </row>
    <row r="155" spans="1:22" x14ac:dyDescent="0.3">
      <c r="A155" t="s">
        <v>650</v>
      </c>
      <c r="B155" s="2">
        <v>46029</v>
      </c>
      <c r="C155" t="s">
        <v>651</v>
      </c>
      <c r="D155" t="s">
        <v>49</v>
      </c>
      <c r="E155" t="s">
        <v>79</v>
      </c>
      <c r="F155">
        <v>4</v>
      </c>
      <c r="G155">
        <v>0.15</v>
      </c>
      <c r="H155">
        <v>37400</v>
      </c>
      <c r="I155">
        <v>4876.4799999999996</v>
      </c>
      <c r="J155" t="s">
        <v>65</v>
      </c>
      <c r="K155" t="s">
        <v>40</v>
      </c>
      <c r="L155">
        <v>9350</v>
      </c>
      <c r="M155">
        <v>13.038716577540111</v>
      </c>
      <c r="N155" t="s">
        <v>8</v>
      </c>
      <c r="O155" t="s">
        <v>652</v>
      </c>
      <c r="P155" t="s">
        <v>83</v>
      </c>
      <c r="Q155" t="s">
        <v>131</v>
      </c>
      <c r="R155" t="s">
        <v>200</v>
      </c>
      <c r="S155" t="s">
        <v>201</v>
      </c>
      <c r="T155" t="s">
        <v>653</v>
      </c>
      <c r="U155" t="s">
        <v>34</v>
      </c>
      <c r="V155">
        <v>1219.1199999999999</v>
      </c>
    </row>
    <row r="156" spans="1:22" x14ac:dyDescent="0.3">
      <c r="A156" t="s">
        <v>654</v>
      </c>
      <c r="B156" s="2">
        <v>46219</v>
      </c>
      <c r="C156" t="s">
        <v>513</v>
      </c>
      <c r="D156" t="s">
        <v>24</v>
      </c>
      <c r="E156" t="s">
        <v>25</v>
      </c>
      <c r="F156">
        <v>3</v>
      </c>
      <c r="G156">
        <v>0.15</v>
      </c>
      <c r="H156">
        <v>35700</v>
      </c>
      <c r="I156">
        <v>-15727.63</v>
      </c>
      <c r="J156" t="s">
        <v>39</v>
      </c>
      <c r="K156" t="s">
        <v>80</v>
      </c>
      <c r="L156">
        <v>11900</v>
      </c>
      <c r="M156">
        <v>-44.054985994397747</v>
      </c>
      <c r="N156" t="s">
        <v>81</v>
      </c>
      <c r="O156" t="s">
        <v>514</v>
      </c>
      <c r="P156" t="s">
        <v>73</v>
      </c>
      <c r="Q156" t="s">
        <v>131</v>
      </c>
      <c r="R156" t="s">
        <v>449</v>
      </c>
      <c r="S156" t="s">
        <v>450</v>
      </c>
      <c r="T156" t="s">
        <v>515</v>
      </c>
      <c r="U156" t="s">
        <v>100</v>
      </c>
      <c r="V156">
        <v>-5242.5433333333331</v>
      </c>
    </row>
    <row r="157" spans="1:22" x14ac:dyDescent="0.3">
      <c r="A157" t="s">
        <v>655</v>
      </c>
      <c r="B157" s="2">
        <v>45984</v>
      </c>
      <c r="C157" t="s">
        <v>656</v>
      </c>
      <c r="D157" t="s">
        <v>70</v>
      </c>
      <c r="E157" t="s">
        <v>129</v>
      </c>
      <c r="F157">
        <v>2</v>
      </c>
      <c r="G157">
        <v>0.2</v>
      </c>
      <c r="H157">
        <v>88000</v>
      </c>
      <c r="I157">
        <v>6846.08</v>
      </c>
      <c r="J157" t="s">
        <v>39</v>
      </c>
      <c r="K157" t="s">
        <v>40</v>
      </c>
      <c r="L157">
        <v>44000</v>
      </c>
      <c r="M157">
        <v>7.7796363636363637</v>
      </c>
      <c r="N157" t="s">
        <v>8</v>
      </c>
      <c r="O157" t="s">
        <v>657</v>
      </c>
      <c r="P157" t="s">
        <v>83</v>
      </c>
      <c r="Q157" t="s">
        <v>74</v>
      </c>
      <c r="R157" t="s">
        <v>115</v>
      </c>
      <c r="S157" t="s">
        <v>115</v>
      </c>
      <c r="T157" t="s">
        <v>76</v>
      </c>
      <c r="U157" t="s">
        <v>100</v>
      </c>
      <c r="V157">
        <v>3423.04</v>
      </c>
    </row>
    <row r="158" spans="1:22" x14ac:dyDescent="0.3">
      <c r="A158" t="s">
        <v>658</v>
      </c>
      <c r="B158" s="2">
        <v>46164</v>
      </c>
      <c r="C158" t="s">
        <v>659</v>
      </c>
      <c r="D158" t="s">
        <v>49</v>
      </c>
      <c r="E158" t="s">
        <v>50</v>
      </c>
      <c r="F158">
        <v>1</v>
      </c>
      <c r="G158">
        <v>0</v>
      </c>
      <c r="H158">
        <v>13000</v>
      </c>
      <c r="I158">
        <v>3200</v>
      </c>
      <c r="J158" t="s">
        <v>65</v>
      </c>
      <c r="K158" t="s">
        <v>40</v>
      </c>
      <c r="L158">
        <v>13000</v>
      </c>
      <c r="M158">
        <v>24.61538461538462</v>
      </c>
      <c r="N158" t="s">
        <v>8</v>
      </c>
      <c r="O158" t="s">
        <v>660</v>
      </c>
      <c r="P158" t="s">
        <v>83</v>
      </c>
      <c r="Q158" t="s">
        <v>30</v>
      </c>
      <c r="R158" t="s">
        <v>60</v>
      </c>
      <c r="S158" t="s">
        <v>61</v>
      </c>
      <c r="T158" t="s">
        <v>475</v>
      </c>
      <c r="U158" t="s">
        <v>46</v>
      </c>
      <c r="V158">
        <v>3200</v>
      </c>
    </row>
    <row r="159" spans="1:22" x14ac:dyDescent="0.3">
      <c r="A159" t="s">
        <v>661</v>
      </c>
      <c r="B159" s="2">
        <v>46143</v>
      </c>
      <c r="C159" t="s">
        <v>194</v>
      </c>
      <c r="D159" t="s">
        <v>49</v>
      </c>
      <c r="E159" t="s">
        <v>58</v>
      </c>
      <c r="F159">
        <v>3</v>
      </c>
      <c r="G159">
        <v>0.2</v>
      </c>
      <c r="H159">
        <v>36000</v>
      </c>
      <c r="I159">
        <v>5088.01</v>
      </c>
      <c r="J159" t="s">
        <v>65</v>
      </c>
      <c r="K159" t="s">
        <v>40</v>
      </c>
      <c r="L159">
        <v>12000</v>
      </c>
      <c r="M159">
        <v>14.13336111111111</v>
      </c>
      <c r="N159" t="s">
        <v>8</v>
      </c>
      <c r="O159" t="s">
        <v>195</v>
      </c>
      <c r="P159" t="s">
        <v>73</v>
      </c>
      <c r="Q159" t="s">
        <v>30</v>
      </c>
      <c r="R159" t="s">
        <v>98</v>
      </c>
      <c r="S159" t="s">
        <v>54</v>
      </c>
      <c r="T159" t="s">
        <v>196</v>
      </c>
      <c r="U159" t="s">
        <v>105</v>
      </c>
      <c r="V159">
        <v>1696.0033333333331</v>
      </c>
    </row>
    <row r="160" spans="1:22" x14ac:dyDescent="0.3">
      <c r="A160" t="s">
        <v>662</v>
      </c>
      <c r="B160" s="2">
        <v>45864</v>
      </c>
      <c r="C160" t="s">
        <v>517</v>
      </c>
      <c r="D160" t="s">
        <v>24</v>
      </c>
      <c r="E160" t="s">
        <v>87</v>
      </c>
      <c r="F160">
        <v>3</v>
      </c>
      <c r="G160">
        <v>0.2</v>
      </c>
      <c r="H160">
        <v>840</v>
      </c>
      <c r="I160">
        <v>243.17</v>
      </c>
      <c r="J160" t="s">
        <v>51</v>
      </c>
      <c r="K160" t="s">
        <v>40</v>
      </c>
      <c r="L160">
        <v>280</v>
      </c>
      <c r="M160">
        <v>28.948809523809519</v>
      </c>
      <c r="N160" t="s">
        <v>8</v>
      </c>
      <c r="O160" t="s">
        <v>518</v>
      </c>
      <c r="P160" t="s">
        <v>29</v>
      </c>
      <c r="Q160" t="s">
        <v>131</v>
      </c>
      <c r="R160" t="s">
        <v>200</v>
      </c>
      <c r="S160" t="s">
        <v>201</v>
      </c>
      <c r="T160" t="s">
        <v>519</v>
      </c>
      <c r="U160" t="s">
        <v>100</v>
      </c>
      <c r="V160">
        <v>81.056666666666658</v>
      </c>
    </row>
    <row r="161" spans="1:22" x14ac:dyDescent="0.3">
      <c r="A161" t="s">
        <v>663</v>
      </c>
      <c r="B161" s="2">
        <v>46009</v>
      </c>
      <c r="C161" t="s">
        <v>664</v>
      </c>
      <c r="D161" t="s">
        <v>24</v>
      </c>
      <c r="E161" t="s">
        <v>25</v>
      </c>
      <c r="F161">
        <v>2</v>
      </c>
      <c r="G161">
        <v>0</v>
      </c>
      <c r="H161">
        <v>28000</v>
      </c>
      <c r="I161">
        <v>5600</v>
      </c>
      <c r="J161" t="s">
        <v>51</v>
      </c>
      <c r="K161" t="s">
        <v>40</v>
      </c>
      <c r="L161">
        <v>14000</v>
      </c>
      <c r="M161">
        <v>20</v>
      </c>
      <c r="N161" t="s">
        <v>8</v>
      </c>
      <c r="O161" t="s">
        <v>665</v>
      </c>
      <c r="P161" t="s">
        <v>29</v>
      </c>
      <c r="Q161" t="s">
        <v>30</v>
      </c>
      <c r="R161" t="s">
        <v>31</v>
      </c>
      <c r="S161" t="s">
        <v>32</v>
      </c>
      <c r="T161" t="s">
        <v>256</v>
      </c>
      <c r="U161" t="s">
        <v>34</v>
      </c>
      <c r="V161">
        <v>2800</v>
      </c>
    </row>
    <row r="162" spans="1:22" x14ac:dyDescent="0.3">
      <c r="A162" t="s">
        <v>666</v>
      </c>
      <c r="B162" s="2">
        <v>46089</v>
      </c>
      <c r="C162" t="s">
        <v>667</v>
      </c>
      <c r="D162" t="s">
        <v>70</v>
      </c>
      <c r="E162" t="s">
        <v>165</v>
      </c>
      <c r="F162">
        <v>1</v>
      </c>
      <c r="G162">
        <v>0.1</v>
      </c>
      <c r="H162">
        <v>2250</v>
      </c>
      <c r="I162">
        <v>589.97</v>
      </c>
      <c r="J162" t="s">
        <v>26</v>
      </c>
      <c r="K162" t="s">
        <v>40</v>
      </c>
      <c r="L162">
        <v>2250</v>
      </c>
      <c r="M162">
        <v>26.22088888888889</v>
      </c>
      <c r="N162" t="s">
        <v>8</v>
      </c>
      <c r="O162" t="s">
        <v>668</v>
      </c>
      <c r="P162" t="s">
        <v>29</v>
      </c>
      <c r="Q162" t="s">
        <v>30</v>
      </c>
      <c r="R162" t="s">
        <v>31</v>
      </c>
      <c r="S162" t="s">
        <v>32</v>
      </c>
      <c r="T162" t="s">
        <v>669</v>
      </c>
      <c r="U162" t="s">
        <v>46</v>
      </c>
      <c r="V162">
        <v>589.97</v>
      </c>
    </row>
    <row r="163" spans="1:22" x14ac:dyDescent="0.3">
      <c r="A163" t="s">
        <v>670</v>
      </c>
      <c r="B163" s="2">
        <v>46156</v>
      </c>
      <c r="C163" t="s">
        <v>671</v>
      </c>
      <c r="D163" t="s">
        <v>24</v>
      </c>
      <c r="E163" t="s">
        <v>87</v>
      </c>
      <c r="F163">
        <v>3</v>
      </c>
      <c r="G163">
        <v>0</v>
      </c>
      <c r="H163">
        <v>1050</v>
      </c>
      <c r="I163">
        <v>360</v>
      </c>
      <c r="J163" t="s">
        <v>39</v>
      </c>
      <c r="K163" t="s">
        <v>40</v>
      </c>
      <c r="L163">
        <v>350</v>
      </c>
      <c r="M163">
        <v>34.285714285714278</v>
      </c>
      <c r="N163" t="s">
        <v>8</v>
      </c>
      <c r="O163" t="s">
        <v>582</v>
      </c>
      <c r="P163" t="s">
        <v>73</v>
      </c>
      <c r="Q163" t="s">
        <v>30</v>
      </c>
      <c r="R163" t="s">
        <v>53</v>
      </c>
      <c r="S163" t="s">
        <v>54</v>
      </c>
      <c r="T163" t="s">
        <v>672</v>
      </c>
      <c r="U163" t="s">
        <v>46</v>
      </c>
      <c r="V163">
        <v>120</v>
      </c>
    </row>
    <row r="164" spans="1:22" x14ac:dyDescent="0.3">
      <c r="A164" t="s">
        <v>673</v>
      </c>
      <c r="B164" s="2">
        <v>46257</v>
      </c>
      <c r="C164" t="s">
        <v>358</v>
      </c>
      <c r="D164" t="s">
        <v>49</v>
      </c>
      <c r="E164" t="s">
        <v>58</v>
      </c>
      <c r="F164">
        <v>3</v>
      </c>
      <c r="G164">
        <v>0.2</v>
      </c>
      <c r="H164">
        <v>36000</v>
      </c>
      <c r="I164">
        <v>-17877.89</v>
      </c>
      <c r="J164" t="s">
        <v>39</v>
      </c>
      <c r="K164" t="s">
        <v>434</v>
      </c>
      <c r="L164">
        <v>12000</v>
      </c>
      <c r="M164">
        <v>-49.660805555555562</v>
      </c>
      <c r="N164" t="s">
        <v>81</v>
      </c>
      <c r="O164" t="s">
        <v>359</v>
      </c>
      <c r="P164" t="s">
        <v>83</v>
      </c>
      <c r="Q164" t="s">
        <v>42</v>
      </c>
      <c r="R164" t="s">
        <v>214</v>
      </c>
      <c r="S164" t="s">
        <v>111</v>
      </c>
      <c r="T164" t="s">
        <v>256</v>
      </c>
      <c r="U164" t="s">
        <v>46</v>
      </c>
      <c r="V164">
        <v>-5959.2966666666662</v>
      </c>
    </row>
    <row r="165" spans="1:22" x14ac:dyDescent="0.3">
      <c r="A165" t="s">
        <v>674</v>
      </c>
      <c r="B165" s="2">
        <v>46045</v>
      </c>
      <c r="C165" t="s">
        <v>675</v>
      </c>
      <c r="D165" t="s">
        <v>37</v>
      </c>
      <c r="E165" t="s">
        <v>310</v>
      </c>
      <c r="F165">
        <v>4</v>
      </c>
      <c r="G165">
        <v>0.05</v>
      </c>
      <c r="H165">
        <v>8360</v>
      </c>
      <c r="I165">
        <v>2774.56</v>
      </c>
      <c r="J165" t="s">
        <v>65</v>
      </c>
      <c r="K165" t="s">
        <v>40</v>
      </c>
      <c r="L165">
        <v>2090</v>
      </c>
      <c r="M165">
        <v>33.188516746411487</v>
      </c>
      <c r="N165" t="s">
        <v>8</v>
      </c>
      <c r="O165" t="s">
        <v>255</v>
      </c>
      <c r="P165" t="s">
        <v>29</v>
      </c>
      <c r="Q165" t="s">
        <v>30</v>
      </c>
      <c r="R165" t="s">
        <v>60</v>
      </c>
      <c r="S165" t="s">
        <v>61</v>
      </c>
      <c r="T165" t="s">
        <v>676</v>
      </c>
      <c r="U165" t="s">
        <v>105</v>
      </c>
      <c r="V165">
        <v>693.64</v>
      </c>
    </row>
    <row r="166" spans="1:22" x14ac:dyDescent="0.3">
      <c r="A166" t="s">
        <v>677</v>
      </c>
      <c r="B166" s="2">
        <v>46059</v>
      </c>
      <c r="C166" t="s">
        <v>678</v>
      </c>
      <c r="D166" t="s">
        <v>24</v>
      </c>
      <c r="E166" t="s">
        <v>242</v>
      </c>
      <c r="F166">
        <v>4</v>
      </c>
      <c r="G166">
        <v>0.15</v>
      </c>
      <c r="H166">
        <v>1530</v>
      </c>
      <c r="I166">
        <v>257.68</v>
      </c>
      <c r="J166" t="s">
        <v>39</v>
      </c>
      <c r="K166" t="s">
        <v>40</v>
      </c>
      <c r="L166">
        <v>382.5</v>
      </c>
      <c r="M166">
        <v>16.841830065359481</v>
      </c>
      <c r="N166" t="s">
        <v>8</v>
      </c>
      <c r="O166" t="s">
        <v>657</v>
      </c>
      <c r="P166" t="s">
        <v>83</v>
      </c>
      <c r="Q166" t="s">
        <v>30</v>
      </c>
      <c r="R166" t="s">
        <v>31</v>
      </c>
      <c r="S166" t="s">
        <v>32</v>
      </c>
      <c r="T166" t="s">
        <v>679</v>
      </c>
      <c r="U166" t="s">
        <v>100</v>
      </c>
      <c r="V166">
        <v>64.42</v>
      </c>
    </row>
    <row r="167" spans="1:22" x14ac:dyDescent="0.3">
      <c r="A167" t="s">
        <v>680</v>
      </c>
      <c r="B167" s="2">
        <v>46060</v>
      </c>
      <c r="C167" t="s">
        <v>681</v>
      </c>
      <c r="D167" t="s">
        <v>49</v>
      </c>
      <c r="E167" t="s">
        <v>119</v>
      </c>
      <c r="F167">
        <v>6</v>
      </c>
      <c r="G167">
        <v>0.05</v>
      </c>
      <c r="H167">
        <v>51300</v>
      </c>
      <c r="I167">
        <v>12144.84</v>
      </c>
      <c r="J167" t="s">
        <v>65</v>
      </c>
      <c r="K167" t="s">
        <v>40</v>
      </c>
      <c r="L167">
        <v>8550</v>
      </c>
      <c r="M167">
        <v>23.674152046783629</v>
      </c>
      <c r="N167" t="s">
        <v>8</v>
      </c>
      <c r="O167" t="s">
        <v>682</v>
      </c>
      <c r="P167" t="s">
        <v>29</v>
      </c>
      <c r="Q167" t="s">
        <v>131</v>
      </c>
      <c r="R167" t="s">
        <v>200</v>
      </c>
      <c r="S167" t="s">
        <v>201</v>
      </c>
      <c r="T167" t="s">
        <v>683</v>
      </c>
      <c r="U167" t="s">
        <v>46</v>
      </c>
      <c r="V167">
        <v>2024.14</v>
      </c>
    </row>
    <row r="168" spans="1:22" x14ac:dyDescent="0.3">
      <c r="A168" t="s">
        <v>684</v>
      </c>
      <c r="B168" s="2">
        <v>45917</v>
      </c>
      <c r="C168" t="s">
        <v>685</v>
      </c>
      <c r="D168" t="s">
        <v>70</v>
      </c>
      <c r="E168" t="s">
        <v>71</v>
      </c>
      <c r="F168">
        <v>2</v>
      </c>
      <c r="G168">
        <v>0.15</v>
      </c>
      <c r="H168">
        <v>30600</v>
      </c>
      <c r="I168">
        <v>3374.87</v>
      </c>
      <c r="J168" t="s">
        <v>65</v>
      </c>
      <c r="K168" t="s">
        <v>40</v>
      </c>
      <c r="L168">
        <v>15300</v>
      </c>
      <c r="M168">
        <v>11.02898692810458</v>
      </c>
      <c r="N168" t="s">
        <v>8</v>
      </c>
      <c r="O168" t="s">
        <v>686</v>
      </c>
      <c r="P168" t="s">
        <v>29</v>
      </c>
      <c r="Q168" t="s">
        <v>42</v>
      </c>
      <c r="R168" t="s">
        <v>121</v>
      </c>
      <c r="S168" t="s">
        <v>44</v>
      </c>
      <c r="T168" t="s">
        <v>687</v>
      </c>
      <c r="U168" t="s">
        <v>105</v>
      </c>
      <c r="V168">
        <v>1687.4349999999999</v>
      </c>
    </row>
    <row r="169" spans="1:22" x14ac:dyDescent="0.3">
      <c r="A169" t="s">
        <v>688</v>
      </c>
      <c r="B169" s="2">
        <v>46075</v>
      </c>
      <c r="C169" t="s">
        <v>689</v>
      </c>
      <c r="D169" t="s">
        <v>24</v>
      </c>
      <c r="E169" t="s">
        <v>242</v>
      </c>
      <c r="F169">
        <v>2</v>
      </c>
      <c r="G169">
        <v>0.2</v>
      </c>
      <c r="H169">
        <v>720</v>
      </c>
      <c r="I169">
        <v>123.61</v>
      </c>
      <c r="J169" t="s">
        <v>51</v>
      </c>
      <c r="K169" t="s">
        <v>40</v>
      </c>
      <c r="L169">
        <v>360</v>
      </c>
      <c r="M169">
        <v>17.168055555555551</v>
      </c>
      <c r="N169" t="s">
        <v>8</v>
      </c>
      <c r="O169" t="s">
        <v>218</v>
      </c>
      <c r="P169" t="s">
        <v>73</v>
      </c>
      <c r="Q169" t="s">
        <v>131</v>
      </c>
      <c r="R169" t="s">
        <v>289</v>
      </c>
      <c r="S169" t="s">
        <v>290</v>
      </c>
      <c r="T169" t="s">
        <v>679</v>
      </c>
      <c r="U169" t="s">
        <v>46</v>
      </c>
      <c r="V169">
        <v>61.805</v>
      </c>
    </row>
    <row r="170" spans="1:22" x14ac:dyDescent="0.3">
      <c r="A170" t="s">
        <v>690</v>
      </c>
      <c r="B170" s="2">
        <v>45880</v>
      </c>
      <c r="C170" t="s">
        <v>691</v>
      </c>
      <c r="D170" t="s">
        <v>37</v>
      </c>
      <c r="E170" t="s">
        <v>170</v>
      </c>
      <c r="F170">
        <v>2</v>
      </c>
      <c r="G170">
        <v>0</v>
      </c>
      <c r="H170">
        <v>2800</v>
      </c>
      <c r="I170">
        <v>1000</v>
      </c>
      <c r="J170" t="s">
        <v>51</v>
      </c>
      <c r="K170" t="s">
        <v>40</v>
      </c>
      <c r="L170">
        <v>1400</v>
      </c>
      <c r="M170">
        <v>35.714285714285722</v>
      </c>
      <c r="N170" t="s">
        <v>8</v>
      </c>
      <c r="O170" t="s">
        <v>692</v>
      </c>
      <c r="P170" t="s">
        <v>73</v>
      </c>
      <c r="Q170" t="s">
        <v>131</v>
      </c>
      <c r="R170" t="s">
        <v>200</v>
      </c>
      <c r="S170" t="s">
        <v>201</v>
      </c>
      <c r="T170" t="s">
        <v>693</v>
      </c>
      <c r="U170" t="s">
        <v>34</v>
      </c>
      <c r="V170">
        <v>500</v>
      </c>
    </row>
    <row r="171" spans="1:22" x14ac:dyDescent="0.3">
      <c r="A171" t="s">
        <v>694</v>
      </c>
      <c r="B171" s="2">
        <v>46115</v>
      </c>
      <c r="C171" t="s">
        <v>570</v>
      </c>
      <c r="D171" t="s">
        <v>70</v>
      </c>
      <c r="E171" t="s">
        <v>71</v>
      </c>
      <c r="F171">
        <v>2</v>
      </c>
      <c r="G171">
        <v>0</v>
      </c>
      <c r="H171">
        <v>36000</v>
      </c>
      <c r="I171">
        <v>7000</v>
      </c>
      <c r="J171" t="s">
        <v>39</v>
      </c>
      <c r="K171" t="s">
        <v>40</v>
      </c>
      <c r="L171">
        <v>18000</v>
      </c>
      <c r="M171">
        <v>19.44444444444445</v>
      </c>
      <c r="N171" t="s">
        <v>8</v>
      </c>
      <c r="O171" t="s">
        <v>571</v>
      </c>
      <c r="P171" t="s">
        <v>29</v>
      </c>
      <c r="Q171" t="s">
        <v>30</v>
      </c>
      <c r="R171" t="s">
        <v>31</v>
      </c>
      <c r="S171" t="s">
        <v>32</v>
      </c>
      <c r="T171" t="s">
        <v>572</v>
      </c>
      <c r="U171" t="s">
        <v>100</v>
      </c>
      <c r="V171">
        <v>3500</v>
      </c>
    </row>
    <row r="172" spans="1:22" x14ac:dyDescent="0.3">
      <c r="A172" t="s">
        <v>695</v>
      </c>
      <c r="B172" s="2">
        <v>45864</v>
      </c>
      <c r="C172" t="s">
        <v>696</v>
      </c>
      <c r="D172" t="s">
        <v>24</v>
      </c>
      <c r="E172" t="s">
        <v>92</v>
      </c>
      <c r="F172">
        <v>3</v>
      </c>
      <c r="G172">
        <v>0</v>
      </c>
      <c r="H172">
        <v>2700</v>
      </c>
      <c r="I172">
        <v>-634.95000000000005</v>
      </c>
      <c r="J172" t="s">
        <v>51</v>
      </c>
      <c r="K172" t="s">
        <v>434</v>
      </c>
      <c r="L172">
        <v>900</v>
      </c>
      <c r="M172">
        <v>-23.516666666666669</v>
      </c>
      <c r="N172" t="s">
        <v>81</v>
      </c>
      <c r="O172" t="s">
        <v>697</v>
      </c>
      <c r="P172" t="s">
        <v>29</v>
      </c>
      <c r="Q172" t="s">
        <v>74</v>
      </c>
      <c r="R172" t="s">
        <v>237</v>
      </c>
      <c r="S172" t="s">
        <v>238</v>
      </c>
      <c r="T172" t="s">
        <v>698</v>
      </c>
      <c r="U172" t="s">
        <v>46</v>
      </c>
      <c r="V172">
        <v>-211.65</v>
      </c>
    </row>
    <row r="173" spans="1:22" x14ac:dyDescent="0.3">
      <c r="A173" t="s">
        <v>699</v>
      </c>
      <c r="B173" s="2">
        <v>46199</v>
      </c>
      <c r="C173" t="s">
        <v>700</v>
      </c>
      <c r="D173" t="s">
        <v>70</v>
      </c>
      <c r="E173" t="s">
        <v>71</v>
      </c>
      <c r="F173">
        <v>5</v>
      </c>
      <c r="G173">
        <v>0.15</v>
      </c>
      <c r="H173">
        <v>76500</v>
      </c>
      <c r="I173">
        <v>10364.719999999999</v>
      </c>
      <c r="J173" t="s">
        <v>65</v>
      </c>
      <c r="K173" t="s">
        <v>40</v>
      </c>
      <c r="L173">
        <v>15300</v>
      </c>
      <c r="M173">
        <v>13.54865359477124</v>
      </c>
      <c r="N173" t="s">
        <v>8</v>
      </c>
      <c r="O173" t="s">
        <v>701</v>
      </c>
      <c r="P173" t="s">
        <v>29</v>
      </c>
      <c r="Q173" t="s">
        <v>30</v>
      </c>
      <c r="R173" t="s">
        <v>60</v>
      </c>
      <c r="S173" t="s">
        <v>61</v>
      </c>
      <c r="T173" t="s">
        <v>702</v>
      </c>
      <c r="U173" t="s">
        <v>34</v>
      </c>
      <c r="V173">
        <v>2072.944</v>
      </c>
    </row>
    <row r="174" spans="1:22" x14ac:dyDescent="0.3">
      <c r="A174" t="s">
        <v>703</v>
      </c>
      <c r="B174" s="2">
        <v>45920</v>
      </c>
      <c r="C174" t="s">
        <v>704</v>
      </c>
      <c r="D174" t="s">
        <v>24</v>
      </c>
      <c r="E174" t="s">
        <v>92</v>
      </c>
      <c r="F174">
        <v>2</v>
      </c>
      <c r="G174">
        <v>0.05</v>
      </c>
      <c r="H174">
        <v>1710</v>
      </c>
      <c r="I174">
        <v>516.67999999999995</v>
      </c>
      <c r="J174" t="s">
        <v>26</v>
      </c>
      <c r="K174" t="s">
        <v>27</v>
      </c>
      <c r="L174">
        <v>855</v>
      </c>
      <c r="M174">
        <v>30.215204678362571</v>
      </c>
      <c r="N174" t="s">
        <v>8</v>
      </c>
      <c r="O174" t="s">
        <v>705</v>
      </c>
      <c r="P174" t="s">
        <v>83</v>
      </c>
      <c r="Q174" t="s">
        <v>42</v>
      </c>
      <c r="R174" t="s">
        <v>43</v>
      </c>
      <c r="S174" t="s">
        <v>44</v>
      </c>
      <c r="T174" t="s">
        <v>706</v>
      </c>
      <c r="U174" t="s">
        <v>34</v>
      </c>
      <c r="V174">
        <v>258.33999999999997</v>
      </c>
    </row>
    <row r="175" spans="1:22" x14ac:dyDescent="0.3">
      <c r="A175" t="s">
        <v>707</v>
      </c>
      <c r="B175" s="2">
        <v>45926</v>
      </c>
      <c r="C175" t="s">
        <v>664</v>
      </c>
      <c r="D175" t="s">
        <v>70</v>
      </c>
      <c r="E175" t="s">
        <v>71</v>
      </c>
      <c r="F175">
        <v>2</v>
      </c>
      <c r="G175">
        <v>0.2</v>
      </c>
      <c r="H175">
        <v>28800</v>
      </c>
      <c r="I175">
        <v>-11651.66</v>
      </c>
      <c r="J175" t="s">
        <v>39</v>
      </c>
      <c r="K175" t="s">
        <v>434</v>
      </c>
      <c r="L175">
        <v>14400</v>
      </c>
      <c r="M175">
        <v>-40.457152777777779</v>
      </c>
      <c r="N175" t="s">
        <v>81</v>
      </c>
      <c r="O175" t="s">
        <v>665</v>
      </c>
      <c r="P175" t="s">
        <v>29</v>
      </c>
      <c r="Q175" t="s">
        <v>30</v>
      </c>
      <c r="R175" t="s">
        <v>31</v>
      </c>
      <c r="S175" t="s">
        <v>32</v>
      </c>
      <c r="T175" t="s">
        <v>256</v>
      </c>
      <c r="U175" t="s">
        <v>34</v>
      </c>
      <c r="V175">
        <v>-5825.83</v>
      </c>
    </row>
    <row r="176" spans="1:22" x14ac:dyDescent="0.3">
      <c r="A176" t="s">
        <v>708</v>
      </c>
      <c r="B176" s="2">
        <v>45984</v>
      </c>
      <c r="C176" t="s">
        <v>488</v>
      </c>
      <c r="D176" t="s">
        <v>70</v>
      </c>
      <c r="E176" t="s">
        <v>71</v>
      </c>
      <c r="F176">
        <v>1</v>
      </c>
      <c r="G176">
        <v>0</v>
      </c>
      <c r="H176">
        <v>18000</v>
      </c>
      <c r="I176">
        <v>3500</v>
      </c>
      <c r="J176" t="s">
        <v>51</v>
      </c>
      <c r="K176" t="s">
        <v>40</v>
      </c>
      <c r="L176">
        <v>18000</v>
      </c>
      <c r="M176">
        <v>19.44444444444445</v>
      </c>
      <c r="N176" t="s">
        <v>8</v>
      </c>
      <c r="O176" t="s">
        <v>398</v>
      </c>
      <c r="P176" t="s">
        <v>29</v>
      </c>
      <c r="Q176" t="s">
        <v>30</v>
      </c>
      <c r="R176" t="s">
        <v>60</v>
      </c>
      <c r="S176" t="s">
        <v>61</v>
      </c>
      <c r="T176" t="s">
        <v>489</v>
      </c>
      <c r="U176" t="s">
        <v>105</v>
      </c>
      <c r="V176">
        <v>3500</v>
      </c>
    </row>
    <row r="177" spans="1:22" x14ac:dyDescent="0.3">
      <c r="A177" t="s">
        <v>709</v>
      </c>
      <c r="B177" s="2">
        <v>45937</v>
      </c>
      <c r="C177" t="s">
        <v>710</v>
      </c>
      <c r="D177" t="s">
        <v>70</v>
      </c>
      <c r="E177" t="s">
        <v>129</v>
      </c>
      <c r="F177">
        <v>2</v>
      </c>
      <c r="G177">
        <v>0.05</v>
      </c>
      <c r="H177">
        <v>104500</v>
      </c>
      <c r="I177">
        <v>-44526.93</v>
      </c>
      <c r="J177" t="s">
        <v>39</v>
      </c>
      <c r="K177" t="s">
        <v>80</v>
      </c>
      <c r="L177">
        <v>52250</v>
      </c>
      <c r="M177">
        <v>-42.609502392344503</v>
      </c>
      <c r="N177" t="s">
        <v>81</v>
      </c>
      <c r="O177" t="s">
        <v>711</v>
      </c>
      <c r="P177" t="s">
        <v>29</v>
      </c>
      <c r="Q177" t="s">
        <v>30</v>
      </c>
      <c r="R177" t="s">
        <v>53</v>
      </c>
      <c r="S177" t="s">
        <v>54</v>
      </c>
      <c r="T177" t="s">
        <v>712</v>
      </c>
      <c r="U177" t="s">
        <v>34</v>
      </c>
      <c r="V177">
        <v>-22263.465</v>
      </c>
    </row>
    <row r="178" spans="1:22" x14ac:dyDescent="0.3">
      <c r="A178" t="s">
        <v>713</v>
      </c>
      <c r="B178" s="2">
        <v>46002</v>
      </c>
      <c r="C178" t="s">
        <v>570</v>
      </c>
      <c r="D178" t="s">
        <v>24</v>
      </c>
      <c r="E178" t="s">
        <v>92</v>
      </c>
      <c r="F178">
        <v>2</v>
      </c>
      <c r="G178">
        <v>0.1</v>
      </c>
      <c r="H178">
        <v>1620</v>
      </c>
      <c r="I178">
        <v>457.05</v>
      </c>
      <c r="J178" t="s">
        <v>26</v>
      </c>
      <c r="K178" t="s">
        <v>40</v>
      </c>
      <c r="L178">
        <v>810</v>
      </c>
      <c r="M178">
        <v>28.212962962962958</v>
      </c>
      <c r="N178" t="s">
        <v>8</v>
      </c>
      <c r="O178" t="s">
        <v>571</v>
      </c>
      <c r="P178" t="s">
        <v>29</v>
      </c>
      <c r="Q178" t="s">
        <v>30</v>
      </c>
      <c r="R178" t="s">
        <v>31</v>
      </c>
      <c r="S178" t="s">
        <v>32</v>
      </c>
      <c r="T178" t="s">
        <v>572</v>
      </c>
      <c r="U178" t="s">
        <v>100</v>
      </c>
      <c r="V178">
        <v>228.52500000000001</v>
      </c>
    </row>
    <row r="179" spans="1:22" x14ac:dyDescent="0.3">
      <c r="A179" t="s">
        <v>714</v>
      </c>
      <c r="B179" s="2">
        <v>45986</v>
      </c>
      <c r="C179" t="s">
        <v>522</v>
      </c>
      <c r="D179" t="s">
        <v>24</v>
      </c>
      <c r="E179" t="s">
        <v>25</v>
      </c>
      <c r="F179">
        <v>5</v>
      </c>
      <c r="G179">
        <v>0.15</v>
      </c>
      <c r="H179">
        <v>59500</v>
      </c>
      <c r="I179">
        <v>6418.35</v>
      </c>
      <c r="J179" t="s">
        <v>26</v>
      </c>
      <c r="K179" t="s">
        <v>40</v>
      </c>
      <c r="L179">
        <v>11900</v>
      </c>
      <c r="M179">
        <v>10.787142857142859</v>
      </c>
      <c r="N179" t="s">
        <v>8</v>
      </c>
      <c r="O179" t="s">
        <v>523</v>
      </c>
      <c r="P179" t="s">
        <v>73</v>
      </c>
      <c r="Q179" t="s">
        <v>30</v>
      </c>
      <c r="R179" t="s">
        <v>98</v>
      </c>
      <c r="S179" t="s">
        <v>54</v>
      </c>
      <c r="T179" t="s">
        <v>62</v>
      </c>
      <c r="U179" t="s">
        <v>46</v>
      </c>
      <c r="V179">
        <v>1283.67</v>
      </c>
    </row>
    <row r="180" spans="1:22" x14ac:dyDescent="0.3">
      <c r="A180" t="s">
        <v>715</v>
      </c>
      <c r="B180" s="2">
        <v>45841</v>
      </c>
      <c r="C180" t="s">
        <v>716</v>
      </c>
      <c r="D180" t="s">
        <v>70</v>
      </c>
      <c r="E180" t="s">
        <v>71</v>
      </c>
      <c r="F180">
        <v>1</v>
      </c>
      <c r="G180">
        <v>0</v>
      </c>
      <c r="H180">
        <v>18000</v>
      </c>
      <c r="I180">
        <v>3500</v>
      </c>
      <c r="J180" t="s">
        <v>51</v>
      </c>
      <c r="K180" t="s">
        <v>27</v>
      </c>
      <c r="L180">
        <v>18000</v>
      </c>
      <c r="M180">
        <v>19.44444444444445</v>
      </c>
      <c r="N180" t="s">
        <v>8</v>
      </c>
      <c r="O180" t="s">
        <v>717</v>
      </c>
      <c r="P180" t="s">
        <v>73</v>
      </c>
      <c r="Q180" t="s">
        <v>74</v>
      </c>
      <c r="R180" t="s">
        <v>75</v>
      </c>
      <c r="S180" t="s">
        <v>75</v>
      </c>
      <c r="T180" t="s">
        <v>718</v>
      </c>
      <c r="U180" t="s">
        <v>46</v>
      </c>
      <c r="V180">
        <v>3500</v>
      </c>
    </row>
    <row r="181" spans="1:22" x14ac:dyDescent="0.3">
      <c r="A181" t="s">
        <v>719</v>
      </c>
      <c r="B181" s="2">
        <v>45868</v>
      </c>
      <c r="C181" t="s">
        <v>208</v>
      </c>
      <c r="D181" t="s">
        <v>24</v>
      </c>
      <c r="E181" t="s">
        <v>92</v>
      </c>
      <c r="F181">
        <v>4</v>
      </c>
      <c r="G181">
        <v>0.1</v>
      </c>
      <c r="H181">
        <v>3240</v>
      </c>
      <c r="I181">
        <v>850.6</v>
      </c>
      <c r="J181" t="s">
        <v>51</v>
      </c>
      <c r="K181" t="s">
        <v>40</v>
      </c>
      <c r="L181">
        <v>810</v>
      </c>
      <c r="M181">
        <v>26.253086419753089</v>
      </c>
      <c r="N181" t="s">
        <v>8</v>
      </c>
      <c r="O181" t="s">
        <v>209</v>
      </c>
      <c r="P181" t="s">
        <v>29</v>
      </c>
      <c r="Q181" t="s">
        <v>30</v>
      </c>
      <c r="R181" t="s">
        <v>60</v>
      </c>
      <c r="S181" t="s">
        <v>61</v>
      </c>
      <c r="T181" t="s">
        <v>210</v>
      </c>
      <c r="U181" t="s">
        <v>46</v>
      </c>
      <c r="V181">
        <v>212.65</v>
      </c>
    </row>
    <row r="182" spans="1:22" x14ac:dyDescent="0.3">
      <c r="A182" t="s">
        <v>720</v>
      </c>
      <c r="B182" s="2">
        <v>45932</v>
      </c>
      <c r="C182" t="s">
        <v>570</v>
      </c>
      <c r="D182" t="s">
        <v>70</v>
      </c>
      <c r="E182" t="s">
        <v>108</v>
      </c>
      <c r="F182">
        <v>3</v>
      </c>
      <c r="G182">
        <v>0</v>
      </c>
      <c r="H182">
        <v>13500</v>
      </c>
      <c r="I182">
        <v>4500</v>
      </c>
      <c r="J182" t="s">
        <v>65</v>
      </c>
      <c r="K182" t="s">
        <v>40</v>
      </c>
      <c r="L182">
        <v>4500</v>
      </c>
      <c r="M182">
        <v>33.333333333333329</v>
      </c>
      <c r="N182" t="s">
        <v>8</v>
      </c>
      <c r="O182" t="s">
        <v>571</v>
      </c>
      <c r="P182" t="s">
        <v>29</v>
      </c>
      <c r="Q182" t="s">
        <v>30</v>
      </c>
      <c r="R182" t="s">
        <v>31</v>
      </c>
      <c r="S182" t="s">
        <v>32</v>
      </c>
      <c r="T182" t="s">
        <v>572</v>
      </c>
      <c r="U182" t="s">
        <v>100</v>
      </c>
      <c r="V182">
        <v>1500</v>
      </c>
    </row>
    <row r="183" spans="1:22" x14ac:dyDescent="0.3">
      <c r="A183" t="s">
        <v>721</v>
      </c>
      <c r="B183" s="2">
        <v>45903</v>
      </c>
      <c r="C183" t="s">
        <v>722</v>
      </c>
      <c r="D183" t="s">
        <v>24</v>
      </c>
      <c r="E183" t="s">
        <v>87</v>
      </c>
      <c r="F183">
        <v>5</v>
      </c>
      <c r="G183">
        <v>0.05</v>
      </c>
      <c r="H183">
        <v>1662.5</v>
      </c>
      <c r="I183">
        <v>97.96</v>
      </c>
      <c r="J183" t="s">
        <v>65</v>
      </c>
      <c r="K183" t="s">
        <v>434</v>
      </c>
      <c r="L183">
        <v>332.5</v>
      </c>
      <c r="M183">
        <v>5.8923308270676689</v>
      </c>
      <c r="N183" t="s">
        <v>8</v>
      </c>
      <c r="O183" t="s">
        <v>723</v>
      </c>
      <c r="P183" t="s">
        <v>73</v>
      </c>
      <c r="Q183" t="s">
        <v>42</v>
      </c>
      <c r="R183" t="s">
        <v>121</v>
      </c>
      <c r="S183" t="s">
        <v>44</v>
      </c>
      <c r="T183" t="s">
        <v>138</v>
      </c>
      <c r="U183" t="s">
        <v>46</v>
      </c>
      <c r="V183">
        <v>19.591999999999999</v>
      </c>
    </row>
    <row r="184" spans="1:22" x14ac:dyDescent="0.3">
      <c r="A184" t="s">
        <v>724</v>
      </c>
      <c r="B184" s="2">
        <v>46157</v>
      </c>
      <c r="C184" t="s">
        <v>671</v>
      </c>
      <c r="D184" t="s">
        <v>70</v>
      </c>
      <c r="E184" t="s">
        <v>108</v>
      </c>
      <c r="F184">
        <v>6</v>
      </c>
      <c r="G184">
        <v>0.1</v>
      </c>
      <c r="H184">
        <v>24300</v>
      </c>
      <c r="I184">
        <v>7599.12</v>
      </c>
      <c r="J184" t="s">
        <v>26</v>
      </c>
      <c r="K184" t="s">
        <v>40</v>
      </c>
      <c r="L184">
        <v>4050</v>
      </c>
      <c r="M184">
        <v>31.272098765432101</v>
      </c>
      <c r="N184" t="s">
        <v>8</v>
      </c>
      <c r="O184" t="s">
        <v>582</v>
      </c>
      <c r="P184" t="s">
        <v>73</v>
      </c>
      <c r="Q184" t="s">
        <v>30</v>
      </c>
      <c r="R184" t="s">
        <v>53</v>
      </c>
      <c r="S184" t="s">
        <v>54</v>
      </c>
      <c r="T184" t="s">
        <v>672</v>
      </c>
      <c r="U184" t="s">
        <v>46</v>
      </c>
      <c r="V184">
        <v>1266.52</v>
      </c>
    </row>
    <row r="185" spans="1:22" x14ac:dyDescent="0.3">
      <c r="A185" t="s">
        <v>725</v>
      </c>
      <c r="B185" s="2">
        <v>46196</v>
      </c>
      <c r="C185" t="s">
        <v>726</v>
      </c>
      <c r="D185" t="s">
        <v>37</v>
      </c>
      <c r="E185" t="s">
        <v>170</v>
      </c>
      <c r="F185">
        <v>2</v>
      </c>
      <c r="G185">
        <v>0</v>
      </c>
      <c r="H185">
        <v>2800</v>
      </c>
      <c r="I185">
        <v>-45.23</v>
      </c>
      <c r="J185" t="s">
        <v>51</v>
      </c>
      <c r="K185" t="s">
        <v>80</v>
      </c>
      <c r="L185">
        <v>1400</v>
      </c>
      <c r="M185">
        <v>-1.6153571428571429</v>
      </c>
      <c r="N185" t="s">
        <v>81</v>
      </c>
      <c r="O185" t="s">
        <v>727</v>
      </c>
      <c r="P185" t="s">
        <v>29</v>
      </c>
      <c r="Q185" t="s">
        <v>30</v>
      </c>
      <c r="R185" t="s">
        <v>31</v>
      </c>
      <c r="S185" t="s">
        <v>32</v>
      </c>
      <c r="T185" t="s">
        <v>33</v>
      </c>
      <c r="U185" t="s">
        <v>34</v>
      </c>
      <c r="V185">
        <v>-22.614999999999998</v>
      </c>
    </row>
    <row r="186" spans="1:22" x14ac:dyDescent="0.3">
      <c r="A186" t="s">
        <v>728</v>
      </c>
      <c r="B186" s="2">
        <v>46202</v>
      </c>
      <c r="C186" t="s">
        <v>729</v>
      </c>
      <c r="D186" t="s">
        <v>70</v>
      </c>
      <c r="E186" t="s">
        <v>108</v>
      </c>
      <c r="F186">
        <v>1</v>
      </c>
      <c r="G186">
        <v>0</v>
      </c>
      <c r="H186">
        <v>4500</v>
      </c>
      <c r="I186">
        <v>-92.4</v>
      </c>
      <c r="J186" t="s">
        <v>65</v>
      </c>
      <c r="K186" t="s">
        <v>80</v>
      </c>
      <c r="L186">
        <v>4500</v>
      </c>
      <c r="M186">
        <v>-2.0533333333333328</v>
      </c>
      <c r="N186" t="s">
        <v>81</v>
      </c>
      <c r="O186" t="s">
        <v>730</v>
      </c>
      <c r="P186" t="s">
        <v>73</v>
      </c>
      <c r="Q186" t="s">
        <v>30</v>
      </c>
      <c r="R186" t="s">
        <v>31</v>
      </c>
      <c r="S186" t="s">
        <v>32</v>
      </c>
      <c r="T186" t="s">
        <v>215</v>
      </c>
      <c r="U186" t="s">
        <v>100</v>
      </c>
      <c r="V186">
        <v>-92.4</v>
      </c>
    </row>
    <row r="187" spans="1:22" x14ac:dyDescent="0.3">
      <c r="A187" t="s">
        <v>731</v>
      </c>
      <c r="B187" s="2">
        <v>45934</v>
      </c>
      <c r="C187" t="s">
        <v>732</v>
      </c>
      <c r="D187" t="s">
        <v>24</v>
      </c>
      <c r="E187" t="s">
        <v>87</v>
      </c>
      <c r="F187">
        <v>4</v>
      </c>
      <c r="G187">
        <v>0.2</v>
      </c>
      <c r="H187">
        <v>1120</v>
      </c>
      <c r="I187">
        <v>251.56</v>
      </c>
      <c r="J187" t="s">
        <v>26</v>
      </c>
      <c r="K187" t="s">
        <v>40</v>
      </c>
      <c r="L187">
        <v>280</v>
      </c>
      <c r="M187">
        <v>22.460714285714289</v>
      </c>
      <c r="N187" t="s">
        <v>8</v>
      </c>
      <c r="O187" t="s">
        <v>733</v>
      </c>
      <c r="P187" t="s">
        <v>29</v>
      </c>
      <c r="Q187" t="s">
        <v>131</v>
      </c>
      <c r="R187" t="s">
        <v>449</v>
      </c>
      <c r="S187" t="s">
        <v>450</v>
      </c>
      <c r="T187" t="s">
        <v>734</v>
      </c>
      <c r="U187" t="s">
        <v>34</v>
      </c>
      <c r="V187">
        <v>62.89</v>
      </c>
    </row>
    <row r="188" spans="1:22" x14ac:dyDescent="0.3">
      <c r="A188" t="s">
        <v>735</v>
      </c>
      <c r="B188" s="2">
        <v>45850</v>
      </c>
      <c r="C188" t="s">
        <v>736</v>
      </c>
      <c r="D188" t="s">
        <v>37</v>
      </c>
      <c r="E188" t="s">
        <v>310</v>
      </c>
      <c r="F188">
        <v>2</v>
      </c>
      <c r="G188">
        <v>0.15</v>
      </c>
      <c r="H188">
        <v>3740</v>
      </c>
      <c r="I188">
        <v>1174.08</v>
      </c>
      <c r="J188" t="s">
        <v>26</v>
      </c>
      <c r="K188" t="s">
        <v>40</v>
      </c>
      <c r="L188">
        <v>1870</v>
      </c>
      <c r="M188">
        <v>31.392513368983959</v>
      </c>
      <c r="N188" t="s">
        <v>8</v>
      </c>
      <c r="O188" t="s">
        <v>648</v>
      </c>
      <c r="P188" t="s">
        <v>29</v>
      </c>
      <c r="Q188" t="s">
        <v>30</v>
      </c>
      <c r="R188" t="s">
        <v>60</v>
      </c>
      <c r="S188" t="s">
        <v>61</v>
      </c>
      <c r="T188" t="s">
        <v>311</v>
      </c>
      <c r="U188" t="s">
        <v>34</v>
      </c>
      <c r="V188">
        <v>587.04</v>
      </c>
    </row>
    <row r="189" spans="1:22" x14ac:dyDescent="0.3">
      <c r="A189" t="s">
        <v>737</v>
      </c>
      <c r="B189" s="2">
        <v>46195</v>
      </c>
      <c r="C189" t="s">
        <v>738</v>
      </c>
      <c r="D189" t="s">
        <v>24</v>
      </c>
      <c r="E189" t="s">
        <v>87</v>
      </c>
      <c r="F189">
        <v>3</v>
      </c>
      <c r="G189">
        <v>0.1</v>
      </c>
      <c r="H189">
        <v>945</v>
      </c>
      <c r="I189">
        <v>299.12</v>
      </c>
      <c r="J189" t="s">
        <v>65</v>
      </c>
      <c r="K189" t="s">
        <v>40</v>
      </c>
      <c r="L189">
        <v>315</v>
      </c>
      <c r="M189">
        <v>31.652910052910059</v>
      </c>
      <c r="N189" t="s">
        <v>8</v>
      </c>
      <c r="O189" t="s">
        <v>739</v>
      </c>
      <c r="P189" t="s">
        <v>83</v>
      </c>
      <c r="Q189" t="s">
        <v>74</v>
      </c>
      <c r="R189" t="s">
        <v>493</v>
      </c>
      <c r="S189" t="s">
        <v>494</v>
      </c>
      <c r="T189" t="s">
        <v>615</v>
      </c>
      <c r="U189" t="s">
        <v>34</v>
      </c>
      <c r="V189">
        <v>99.706666666666663</v>
      </c>
    </row>
    <row r="190" spans="1:22" x14ac:dyDescent="0.3">
      <c r="A190" t="s">
        <v>740</v>
      </c>
      <c r="B190" s="2">
        <v>45895</v>
      </c>
      <c r="C190" t="s">
        <v>675</v>
      </c>
      <c r="D190" t="s">
        <v>70</v>
      </c>
      <c r="E190" t="s">
        <v>71</v>
      </c>
      <c r="F190">
        <v>3</v>
      </c>
      <c r="G190">
        <v>0.1</v>
      </c>
      <c r="H190">
        <v>48600</v>
      </c>
      <c r="I190">
        <v>6825.05</v>
      </c>
      <c r="J190" t="s">
        <v>39</v>
      </c>
      <c r="K190" t="s">
        <v>27</v>
      </c>
      <c r="L190">
        <v>16200</v>
      </c>
      <c r="M190">
        <v>14.043312757201649</v>
      </c>
      <c r="N190" t="s">
        <v>8</v>
      </c>
      <c r="O190" t="s">
        <v>255</v>
      </c>
      <c r="P190" t="s">
        <v>29</v>
      </c>
      <c r="Q190" t="s">
        <v>30</v>
      </c>
      <c r="R190" t="s">
        <v>60</v>
      </c>
      <c r="S190" t="s">
        <v>61</v>
      </c>
      <c r="T190" t="s">
        <v>676</v>
      </c>
      <c r="U190" t="s">
        <v>105</v>
      </c>
      <c r="V190">
        <v>2275.0166666666669</v>
      </c>
    </row>
    <row r="191" spans="1:22" x14ac:dyDescent="0.3">
      <c r="A191" t="s">
        <v>741</v>
      </c>
      <c r="B191" s="2">
        <v>46135</v>
      </c>
      <c r="C191" t="s">
        <v>675</v>
      </c>
      <c r="D191" t="s">
        <v>24</v>
      </c>
      <c r="E191" t="s">
        <v>25</v>
      </c>
      <c r="F191">
        <v>5</v>
      </c>
      <c r="G191">
        <v>0.2</v>
      </c>
      <c r="H191">
        <v>56000</v>
      </c>
      <c r="I191">
        <v>3152.77</v>
      </c>
      <c r="J191" t="s">
        <v>39</v>
      </c>
      <c r="K191" t="s">
        <v>27</v>
      </c>
      <c r="L191">
        <v>11200</v>
      </c>
      <c r="M191">
        <v>5.6299464285714276</v>
      </c>
      <c r="N191" t="s">
        <v>8</v>
      </c>
      <c r="O191" t="s">
        <v>255</v>
      </c>
      <c r="P191" t="s">
        <v>29</v>
      </c>
      <c r="Q191" t="s">
        <v>30</v>
      </c>
      <c r="R191" t="s">
        <v>60</v>
      </c>
      <c r="S191" t="s">
        <v>61</v>
      </c>
      <c r="T191" t="s">
        <v>676</v>
      </c>
      <c r="U191" t="s">
        <v>105</v>
      </c>
      <c r="V191">
        <v>630.55399999999997</v>
      </c>
    </row>
    <row r="192" spans="1:22" x14ac:dyDescent="0.3">
      <c r="A192" t="s">
        <v>742</v>
      </c>
      <c r="B192" s="2">
        <v>45896</v>
      </c>
      <c r="C192" t="s">
        <v>401</v>
      </c>
      <c r="D192" t="s">
        <v>49</v>
      </c>
      <c r="E192" t="s">
        <v>50</v>
      </c>
      <c r="F192">
        <v>2</v>
      </c>
      <c r="G192">
        <v>0.15</v>
      </c>
      <c r="H192">
        <v>22100</v>
      </c>
      <c r="I192">
        <v>3167.9</v>
      </c>
      <c r="J192" t="s">
        <v>65</v>
      </c>
      <c r="K192" t="s">
        <v>40</v>
      </c>
      <c r="L192">
        <v>11050</v>
      </c>
      <c r="M192">
        <v>14.33438914027149</v>
      </c>
      <c r="N192" t="s">
        <v>8</v>
      </c>
      <c r="O192" t="s">
        <v>402</v>
      </c>
      <c r="P192" t="s">
        <v>29</v>
      </c>
      <c r="Q192" t="s">
        <v>30</v>
      </c>
      <c r="R192" t="s">
        <v>60</v>
      </c>
      <c r="S192" t="s">
        <v>61</v>
      </c>
      <c r="T192" t="s">
        <v>403</v>
      </c>
      <c r="U192" t="s">
        <v>46</v>
      </c>
      <c r="V192">
        <v>1583.95</v>
      </c>
    </row>
    <row r="193" spans="1:22" x14ac:dyDescent="0.3">
      <c r="A193" t="s">
        <v>743</v>
      </c>
      <c r="B193" s="2">
        <v>45939</v>
      </c>
      <c r="C193" t="s">
        <v>744</v>
      </c>
      <c r="D193" t="s">
        <v>70</v>
      </c>
      <c r="E193" t="s">
        <v>129</v>
      </c>
      <c r="F193">
        <v>4</v>
      </c>
      <c r="G193">
        <v>0.05</v>
      </c>
      <c r="H193">
        <v>209000</v>
      </c>
      <c r="I193">
        <v>28313.81</v>
      </c>
      <c r="J193" t="s">
        <v>26</v>
      </c>
      <c r="K193" t="s">
        <v>40</v>
      </c>
      <c r="L193">
        <v>52250</v>
      </c>
      <c r="M193">
        <v>13.54727751196172</v>
      </c>
      <c r="N193" t="s">
        <v>8</v>
      </c>
      <c r="O193" t="s">
        <v>745</v>
      </c>
      <c r="P193" t="s">
        <v>29</v>
      </c>
      <c r="Q193" t="s">
        <v>131</v>
      </c>
      <c r="R193" t="s">
        <v>449</v>
      </c>
      <c r="S193" t="s">
        <v>450</v>
      </c>
      <c r="T193" t="s">
        <v>746</v>
      </c>
      <c r="U193" t="s">
        <v>46</v>
      </c>
      <c r="V193">
        <v>7078.4525000000003</v>
      </c>
    </row>
    <row r="194" spans="1:22" x14ac:dyDescent="0.3">
      <c r="A194" t="s">
        <v>747</v>
      </c>
      <c r="B194" s="2">
        <v>46101</v>
      </c>
      <c r="C194" t="s">
        <v>748</v>
      </c>
      <c r="D194" t="s">
        <v>49</v>
      </c>
      <c r="E194" t="s">
        <v>119</v>
      </c>
      <c r="F194">
        <v>5</v>
      </c>
      <c r="G194">
        <v>0</v>
      </c>
      <c r="H194">
        <v>45000</v>
      </c>
      <c r="I194">
        <v>11500</v>
      </c>
      <c r="J194" t="s">
        <v>39</v>
      </c>
      <c r="K194" t="s">
        <v>40</v>
      </c>
      <c r="L194">
        <v>9000</v>
      </c>
      <c r="M194">
        <v>25.55555555555555</v>
      </c>
      <c r="N194" t="s">
        <v>8</v>
      </c>
      <c r="O194" t="s">
        <v>749</v>
      </c>
      <c r="P194" t="s">
        <v>29</v>
      </c>
      <c r="Q194" t="s">
        <v>30</v>
      </c>
      <c r="R194" t="s">
        <v>60</v>
      </c>
      <c r="S194" t="s">
        <v>61</v>
      </c>
      <c r="T194" t="s">
        <v>750</v>
      </c>
      <c r="U194" t="s">
        <v>34</v>
      </c>
      <c r="V194">
        <v>2300</v>
      </c>
    </row>
    <row r="195" spans="1:22" x14ac:dyDescent="0.3">
      <c r="A195" t="s">
        <v>751</v>
      </c>
      <c r="B195" s="2">
        <v>45987</v>
      </c>
      <c r="C195" t="s">
        <v>225</v>
      </c>
      <c r="D195" t="s">
        <v>37</v>
      </c>
      <c r="E195" t="s">
        <v>170</v>
      </c>
      <c r="F195">
        <v>1</v>
      </c>
      <c r="G195">
        <v>0.1</v>
      </c>
      <c r="H195">
        <v>1260</v>
      </c>
      <c r="I195">
        <v>424.48</v>
      </c>
      <c r="J195" t="s">
        <v>51</v>
      </c>
      <c r="K195" t="s">
        <v>27</v>
      </c>
      <c r="L195">
        <v>1260</v>
      </c>
      <c r="M195">
        <v>33.68888888888889</v>
      </c>
      <c r="N195" t="s">
        <v>8</v>
      </c>
      <c r="O195" t="s">
        <v>226</v>
      </c>
      <c r="P195" t="s">
        <v>29</v>
      </c>
      <c r="Q195" t="s">
        <v>30</v>
      </c>
      <c r="R195" t="s">
        <v>31</v>
      </c>
      <c r="S195" t="s">
        <v>32</v>
      </c>
      <c r="T195" t="s">
        <v>227</v>
      </c>
      <c r="U195" t="s">
        <v>100</v>
      </c>
      <c r="V195">
        <v>424.48</v>
      </c>
    </row>
    <row r="196" spans="1:22" x14ac:dyDescent="0.3">
      <c r="A196" t="s">
        <v>752</v>
      </c>
      <c r="B196" s="2">
        <v>46131</v>
      </c>
      <c r="C196" t="s">
        <v>753</v>
      </c>
      <c r="D196" t="s">
        <v>24</v>
      </c>
      <c r="E196" t="s">
        <v>87</v>
      </c>
      <c r="F196">
        <v>6</v>
      </c>
      <c r="G196">
        <v>0.15</v>
      </c>
      <c r="H196">
        <v>1785</v>
      </c>
      <c r="I196">
        <v>471.67</v>
      </c>
      <c r="J196" t="s">
        <v>39</v>
      </c>
      <c r="K196" t="s">
        <v>40</v>
      </c>
      <c r="L196">
        <v>297.5</v>
      </c>
      <c r="M196">
        <v>26.42408963585434</v>
      </c>
      <c r="N196" t="s">
        <v>8</v>
      </c>
      <c r="O196" t="s">
        <v>754</v>
      </c>
      <c r="P196" t="s">
        <v>83</v>
      </c>
      <c r="Q196" t="s">
        <v>74</v>
      </c>
      <c r="R196" t="s">
        <v>237</v>
      </c>
      <c r="S196" t="s">
        <v>238</v>
      </c>
      <c r="T196" t="s">
        <v>755</v>
      </c>
      <c r="U196" t="s">
        <v>46</v>
      </c>
      <c r="V196">
        <v>78.611666666666665</v>
      </c>
    </row>
    <row r="197" spans="1:22" x14ac:dyDescent="0.3">
      <c r="A197" t="s">
        <v>756</v>
      </c>
      <c r="B197" s="2">
        <v>46059</v>
      </c>
      <c r="C197" t="s">
        <v>757</v>
      </c>
      <c r="D197" t="s">
        <v>70</v>
      </c>
      <c r="E197" t="s">
        <v>129</v>
      </c>
      <c r="F197">
        <v>3</v>
      </c>
      <c r="G197">
        <v>0.05</v>
      </c>
      <c r="H197">
        <v>156750</v>
      </c>
      <c r="I197">
        <v>21304.720000000001</v>
      </c>
      <c r="J197" t="s">
        <v>51</v>
      </c>
      <c r="K197" t="s">
        <v>40</v>
      </c>
      <c r="L197">
        <v>52250</v>
      </c>
      <c r="M197">
        <v>13.59152791068581</v>
      </c>
      <c r="N197" t="s">
        <v>8</v>
      </c>
      <c r="O197" t="s">
        <v>758</v>
      </c>
      <c r="P197" t="s">
        <v>83</v>
      </c>
      <c r="Q197" t="s">
        <v>74</v>
      </c>
      <c r="R197" t="s">
        <v>237</v>
      </c>
      <c r="S197" t="s">
        <v>238</v>
      </c>
      <c r="T197" t="s">
        <v>759</v>
      </c>
      <c r="U197" t="s">
        <v>34</v>
      </c>
      <c r="V197">
        <v>7101.5733333333337</v>
      </c>
    </row>
    <row r="198" spans="1:22" x14ac:dyDescent="0.3">
      <c r="A198" t="s">
        <v>760</v>
      </c>
      <c r="B198" s="2">
        <v>46092</v>
      </c>
      <c r="C198" t="s">
        <v>761</v>
      </c>
      <c r="D198" t="s">
        <v>37</v>
      </c>
      <c r="E198" t="s">
        <v>170</v>
      </c>
      <c r="F198">
        <v>1</v>
      </c>
      <c r="G198">
        <v>0.1</v>
      </c>
      <c r="H198">
        <v>1260</v>
      </c>
      <c r="I198">
        <v>394.45</v>
      </c>
      <c r="J198" t="s">
        <v>51</v>
      </c>
      <c r="K198" t="s">
        <v>40</v>
      </c>
      <c r="L198">
        <v>1260</v>
      </c>
      <c r="M198">
        <v>31.30555555555555</v>
      </c>
      <c r="N198" t="s">
        <v>8</v>
      </c>
      <c r="O198" t="s">
        <v>762</v>
      </c>
      <c r="P198" t="s">
        <v>29</v>
      </c>
      <c r="Q198" t="s">
        <v>131</v>
      </c>
      <c r="R198" t="s">
        <v>132</v>
      </c>
      <c r="S198" t="s">
        <v>133</v>
      </c>
      <c r="T198" t="s">
        <v>763</v>
      </c>
      <c r="U198" t="s">
        <v>105</v>
      </c>
      <c r="V198">
        <v>394.45</v>
      </c>
    </row>
    <row r="199" spans="1:22" x14ac:dyDescent="0.3">
      <c r="A199" t="s">
        <v>764</v>
      </c>
      <c r="B199" s="2">
        <v>45968</v>
      </c>
      <c r="C199" t="s">
        <v>102</v>
      </c>
      <c r="D199" t="s">
        <v>70</v>
      </c>
      <c r="E199" t="s">
        <v>71</v>
      </c>
      <c r="F199">
        <v>2</v>
      </c>
      <c r="G199">
        <v>0.1</v>
      </c>
      <c r="H199">
        <v>32400</v>
      </c>
      <c r="I199">
        <v>4270.58</v>
      </c>
      <c r="J199" t="s">
        <v>26</v>
      </c>
      <c r="K199" t="s">
        <v>40</v>
      </c>
      <c r="L199">
        <v>16200</v>
      </c>
      <c r="M199">
        <v>13.1808024691358</v>
      </c>
      <c r="N199" t="s">
        <v>8</v>
      </c>
      <c r="O199" t="s">
        <v>103</v>
      </c>
      <c r="P199" t="s">
        <v>29</v>
      </c>
      <c r="Q199" t="s">
        <v>30</v>
      </c>
      <c r="R199" t="s">
        <v>98</v>
      </c>
      <c r="S199" t="s">
        <v>54</v>
      </c>
      <c r="T199" t="s">
        <v>104</v>
      </c>
      <c r="U199" t="s">
        <v>105</v>
      </c>
      <c r="V199">
        <v>2135.29</v>
      </c>
    </row>
    <row r="200" spans="1:22" x14ac:dyDescent="0.3">
      <c r="A200" t="s">
        <v>765</v>
      </c>
      <c r="B200" s="2">
        <v>46014</v>
      </c>
      <c r="C200" t="s">
        <v>766</v>
      </c>
      <c r="D200" t="s">
        <v>24</v>
      </c>
      <c r="E200" t="s">
        <v>25</v>
      </c>
      <c r="F200">
        <v>3</v>
      </c>
      <c r="G200">
        <v>0</v>
      </c>
      <c r="H200">
        <v>42000</v>
      </c>
      <c r="I200">
        <v>8400</v>
      </c>
      <c r="J200" t="s">
        <v>51</v>
      </c>
      <c r="K200" t="s">
        <v>40</v>
      </c>
      <c r="L200">
        <v>14000</v>
      </c>
      <c r="M200">
        <v>20</v>
      </c>
      <c r="N200" t="s">
        <v>8</v>
      </c>
      <c r="O200" t="s">
        <v>195</v>
      </c>
      <c r="P200" t="s">
        <v>29</v>
      </c>
      <c r="Q200" t="s">
        <v>42</v>
      </c>
      <c r="R200" t="s">
        <v>43</v>
      </c>
      <c r="S200" t="s">
        <v>44</v>
      </c>
      <c r="T200" t="s">
        <v>767</v>
      </c>
      <c r="U200" t="s">
        <v>105</v>
      </c>
      <c r="V200">
        <v>2800</v>
      </c>
    </row>
    <row r="201" spans="1:22" x14ac:dyDescent="0.3">
      <c r="A201" t="s">
        <v>768</v>
      </c>
      <c r="B201" s="2">
        <v>45964</v>
      </c>
      <c r="C201" t="s">
        <v>769</v>
      </c>
      <c r="D201" t="s">
        <v>49</v>
      </c>
      <c r="E201" t="s">
        <v>119</v>
      </c>
      <c r="F201">
        <v>1</v>
      </c>
      <c r="G201">
        <v>0.05</v>
      </c>
      <c r="H201">
        <v>8550</v>
      </c>
      <c r="I201">
        <v>-1209.76</v>
      </c>
      <c r="J201" t="s">
        <v>65</v>
      </c>
      <c r="K201" t="s">
        <v>80</v>
      </c>
      <c r="L201">
        <v>8550</v>
      </c>
      <c r="M201">
        <v>-14.14923976608187</v>
      </c>
      <c r="N201" t="s">
        <v>81</v>
      </c>
      <c r="O201" t="s">
        <v>374</v>
      </c>
      <c r="P201" t="s">
        <v>29</v>
      </c>
      <c r="Q201" t="s">
        <v>42</v>
      </c>
      <c r="R201" t="s">
        <v>121</v>
      </c>
      <c r="S201" t="s">
        <v>44</v>
      </c>
      <c r="T201" t="s">
        <v>172</v>
      </c>
      <c r="U201" t="s">
        <v>46</v>
      </c>
      <c r="V201">
        <v>-1209.76</v>
      </c>
    </row>
    <row r="202" spans="1:22" x14ac:dyDescent="0.3">
      <c r="A202" t="s">
        <v>770</v>
      </c>
      <c r="B202" s="2">
        <v>46101</v>
      </c>
      <c r="C202" t="s">
        <v>140</v>
      </c>
      <c r="D202" t="s">
        <v>70</v>
      </c>
      <c r="E202" t="s">
        <v>129</v>
      </c>
      <c r="F202">
        <v>3</v>
      </c>
      <c r="G202">
        <v>0.15</v>
      </c>
      <c r="H202">
        <v>140250</v>
      </c>
      <c r="I202">
        <v>8694.6299999999992</v>
      </c>
      <c r="J202" t="s">
        <v>65</v>
      </c>
      <c r="K202" t="s">
        <v>40</v>
      </c>
      <c r="L202">
        <v>46750</v>
      </c>
      <c r="M202">
        <v>6.1993796791443847</v>
      </c>
      <c r="N202" t="s">
        <v>8</v>
      </c>
      <c r="O202" t="s">
        <v>141</v>
      </c>
      <c r="P202" t="s">
        <v>29</v>
      </c>
      <c r="Q202" t="s">
        <v>30</v>
      </c>
      <c r="R202" t="s">
        <v>53</v>
      </c>
      <c r="S202" t="s">
        <v>54</v>
      </c>
      <c r="T202" t="s">
        <v>142</v>
      </c>
      <c r="U202" t="s">
        <v>100</v>
      </c>
      <c r="V202">
        <v>2898.21</v>
      </c>
    </row>
    <row r="203" spans="1:22" x14ac:dyDescent="0.3">
      <c r="A203" t="s">
        <v>771</v>
      </c>
      <c r="B203" s="2">
        <v>46061</v>
      </c>
      <c r="C203" t="s">
        <v>772</v>
      </c>
      <c r="D203" t="s">
        <v>24</v>
      </c>
      <c r="E203" t="s">
        <v>87</v>
      </c>
      <c r="F203">
        <v>2</v>
      </c>
      <c r="G203">
        <v>0.1</v>
      </c>
      <c r="H203">
        <v>630</v>
      </c>
      <c r="I203">
        <v>-169.25</v>
      </c>
      <c r="J203" t="s">
        <v>65</v>
      </c>
      <c r="K203" t="s">
        <v>434</v>
      </c>
      <c r="L203">
        <v>315</v>
      </c>
      <c r="M203">
        <v>-26.86507936507936</v>
      </c>
      <c r="N203" t="s">
        <v>81</v>
      </c>
      <c r="O203" t="s">
        <v>773</v>
      </c>
      <c r="P203" t="s">
        <v>29</v>
      </c>
      <c r="Q203" t="s">
        <v>42</v>
      </c>
      <c r="R203" t="s">
        <v>121</v>
      </c>
      <c r="S203" t="s">
        <v>44</v>
      </c>
      <c r="T203" t="s">
        <v>774</v>
      </c>
      <c r="U203" t="s">
        <v>34</v>
      </c>
      <c r="V203">
        <v>-84.625</v>
      </c>
    </row>
    <row r="204" spans="1:22" x14ac:dyDescent="0.3">
      <c r="A204" t="s">
        <v>775</v>
      </c>
      <c r="B204" s="2">
        <v>45891</v>
      </c>
      <c r="C204" t="s">
        <v>776</v>
      </c>
      <c r="D204" t="s">
        <v>49</v>
      </c>
      <c r="E204" t="s">
        <v>119</v>
      </c>
      <c r="F204">
        <v>2</v>
      </c>
      <c r="G204">
        <v>0.1</v>
      </c>
      <c r="H204">
        <v>16200</v>
      </c>
      <c r="I204">
        <v>3349.72</v>
      </c>
      <c r="J204" t="s">
        <v>51</v>
      </c>
      <c r="K204" t="s">
        <v>27</v>
      </c>
      <c r="L204">
        <v>8100</v>
      </c>
      <c r="M204">
        <v>20.67728395061728</v>
      </c>
      <c r="N204" t="s">
        <v>8</v>
      </c>
      <c r="O204" t="s">
        <v>777</v>
      </c>
      <c r="P204" t="s">
        <v>29</v>
      </c>
      <c r="Q204" t="s">
        <v>74</v>
      </c>
      <c r="R204" t="s">
        <v>493</v>
      </c>
      <c r="S204" t="s">
        <v>494</v>
      </c>
      <c r="T204" t="s">
        <v>778</v>
      </c>
      <c r="U204" t="s">
        <v>100</v>
      </c>
      <c r="V204">
        <v>1674.86</v>
      </c>
    </row>
    <row r="205" spans="1:22" x14ac:dyDescent="0.3">
      <c r="A205" t="s">
        <v>779</v>
      </c>
      <c r="B205" s="2">
        <v>46201</v>
      </c>
      <c r="C205" t="s">
        <v>780</v>
      </c>
      <c r="D205" t="s">
        <v>37</v>
      </c>
      <c r="E205" t="s">
        <v>190</v>
      </c>
      <c r="F205">
        <v>6</v>
      </c>
      <c r="G205">
        <v>0.15</v>
      </c>
      <c r="H205">
        <v>21420</v>
      </c>
      <c r="I205">
        <v>4346.07</v>
      </c>
      <c r="J205" t="s">
        <v>51</v>
      </c>
      <c r="K205" t="s">
        <v>40</v>
      </c>
      <c r="L205">
        <v>3570</v>
      </c>
      <c r="M205">
        <v>20.289775910364149</v>
      </c>
      <c r="N205" t="s">
        <v>8</v>
      </c>
      <c r="O205" t="s">
        <v>781</v>
      </c>
      <c r="P205" t="s">
        <v>73</v>
      </c>
      <c r="Q205" t="s">
        <v>30</v>
      </c>
      <c r="R205" t="s">
        <v>31</v>
      </c>
      <c r="S205" t="s">
        <v>32</v>
      </c>
      <c r="T205" t="s">
        <v>572</v>
      </c>
      <c r="U205" t="s">
        <v>100</v>
      </c>
      <c r="V205">
        <v>724.34499999999991</v>
      </c>
    </row>
    <row r="206" spans="1:22" x14ac:dyDescent="0.3">
      <c r="A206" t="s">
        <v>782</v>
      </c>
      <c r="B206" s="2">
        <v>45839</v>
      </c>
      <c r="C206" t="s">
        <v>783</v>
      </c>
      <c r="D206" t="s">
        <v>24</v>
      </c>
      <c r="E206" t="s">
        <v>92</v>
      </c>
      <c r="F206">
        <v>1</v>
      </c>
      <c r="G206">
        <v>0.1</v>
      </c>
      <c r="H206">
        <v>810</v>
      </c>
      <c r="I206">
        <v>224.08</v>
      </c>
      <c r="J206" t="s">
        <v>26</v>
      </c>
      <c r="K206" t="s">
        <v>40</v>
      </c>
      <c r="L206">
        <v>810</v>
      </c>
      <c r="M206">
        <v>27.6641975308642</v>
      </c>
      <c r="N206" t="s">
        <v>8</v>
      </c>
      <c r="O206" t="s">
        <v>784</v>
      </c>
      <c r="P206" t="s">
        <v>73</v>
      </c>
      <c r="Q206" t="s">
        <v>74</v>
      </c>
      <c r="R206" t="s">
        <v>493</v>
      </c>
      <c r="S206" t="s">
        <v>494</v>
      </c>
      <c r="T206" t="s">
        <v>785</v>
      </c>
      <c r="U206" t="s">
        <v>46</v>
      </c>
      <c r="V206">
        <v>224.08</v>
      </c>
    </row>
    <row r="207" spans="1:22" x14ac:dyDescent="0.3">
      <c r="A207" t="s">
        <v>786</v>
      </c>
      <c r="B207" s="2">
        <v>46235</v>
      </c>
      <c r="C207" t="s">
        <v>598</v>
      </c>
      <c r="D207" t="s">
        <v>70</v>
      </c>
      <c r="E207" t="s">
        <v>71</v>
      </c>
      <c r="F207">
        <v>2</v>
      </c>
      <c r="G207">
        <v>0</v>
      </c>
      <c r="H207">
        <v>36000</v>
      </c>
      <c r="I207">
        <v>-2285.46</v>
      </c>
      <c r="J207" t="s">
        <v>39</v>
      </c>
      <c r="K207" t="s">
        <v>80</v>
      </c>
      <c r="L207">
        <v>18000</v>
      </c>
      <c r="M207">
        <v>-6.3484999999999996</v>
      </c>
      <c r="N207" t="s">
        <v>81</v>
      </c>
      <c r="O207" t="s">
        <v>599</v>
      </c>
      <c r="P207" t="s">
        <v>600</v>
      </c>
      <c r="Q207" t="s">
        <v>131</v>
      </c>
      <c r="R207" t="s">
        <v>200</v>
      </c>
      <c r="S207" t="s">
        <v>201</v>
      </c>
      <c r="T207" t="s">
        <v>601</v>
      </c>
      <c r="U207" t="s">
        <v>34</v>
      </c>
      <c r="V207">
        <v>-1142.73</v>
      </c>
    </row>
    <row r="208" spans="1:22" x14ac:dyDescent="0.3">
      <c r="A208" t="s">
        <v>787</v>
      </c>
      <c r="B208" s="2">
        <v>46111</v>
      </c>
      <c r="C208" t="s">
        <v>788</v>
      </c>
      <c r="D208" t="s">
        <v>24</v>
      </c>
      <c r="E208" t="s">
        <v>92</v>
      </c>
      <c r="F208">
        <v>3</v>
      </c>
      <c r="G208">
        <v>0</v>
      </c>
      <c r="H208">
        <v>2700</v>
      </c>
      <c r="I208">
        <v>840</v>
      </c>
      <c r="J208" t="s">
        <v>65</v>
      </c>
      <c r="K208" t="s">
        <v>40</v>
      </c>
      <c r="L208">
        <v>900</v>
      </c>
      <c r="M208">
        <v>31.111111111111111</v>
      </c>
      <c r="N208" t="s">
        <v>8</v>
      </c>
      <c r="O208" t="s">
        <v>789</v>
      </c>
      <c r="P208" t="s">
        <v>83</v>
      </c>
      <c r="Q208" t="s">
        <v>74</v>
      </c>
      <c r="R208" t="s">
        <v>75</v>
      </c>
      <c r="S208" t="s">
        <v>75</v>
      </c>
      <c r="T208" t="s">
        <v>790</v>
      </c>
      <c r="U208" t="s">
        <v>34</v>
      </c>
      <c r="V208">
        <v>280</v>
      </c>
    </row>
    <row r="209" spans="1:22" x14ac:dyDescent="0.3">
      <c r="A209" t="s">
        <v>791</v>
      </c>
      <c r="B209" s="2">
        <v>45965</v>
      </c>
      <c r="C209" t="s">
        <v>792</v>
      </c>
      <c r="D209" t="s">
        <v>70</v>
      </c>
      <c r="E209" t="s">
        <v>165</v>
      </c>
      <c r="F209">
        <v>3</v>
      </c>
      <c r="G209">
        <v>0.1</v>
      </c>
      <c r="H209">
        <v>6750</v>
      </c>
      <c r="I209">
        <v>1792.16</v>
      </c>
      <c r="J209" t="s">
        <v>51</v>
      </c>
      <c r="K209" t="s">
        <v>40</v>
      </c>
      <c r="L209">
        <v>2250</v>
      </c>
      <c r="M209">
        <v>26.550518518518519</v>
      </c>
      <c r="N209" t="s">
        <v>8</v>
      </c>
      <c r="O209" t="s">
        <v>359</v>
      </c>
      <c r="P209" t="s">
        <v>83</v>
      </c>
      <c r="Q209" t="s">
        <v>74</v>
      </c>
      <c r="R209" t="s">
        <v>237</v>
      </c>
      <c r="S209" t="s">
        <v>238</v>
      </c>
      <c r="T209" t="s">
        <v>793</v>
      </c>
      <c r="U209" t="s">
        <v>34</v>
      </c>
      <c r="V209">
        <v>597.38666666666666</v>
      </c>
    </row>
    <row r="210" spans="1:22" x14ac:dyDescent="0.3">
      <c r="A210" t="s">
        <v>794</v>
      </c>
      <c r="B210" s="2">
        <v>45956</v>
      </c>
      <c r="C210" t="s">
        <v>481</v>
      </c>
      <c r="D210" t="s">
        <v>37</v>
      </c>
      <c r="E210" t="s">
        <v>190</v>
      </c>
      <c r="F210">
        <v>2</v>
      </c>
      <c r="G210">
        <v>0.05</v>
      </c>
      <c r="H210">
        <v>7980</v>
      </c>
      <c r="I210">
        <v>2164.64</v>
      </c>
      <c r="J210" t="s">
        <v>26</v>
      </c>
      <c r="K210" t="s">
        <v>40</v>
      </c>
      <c r="L210">
        <v>3990</v>
      </c>
      <c r="M210">
        <v>27.125814536340851</v>
      </c>
      <c r="N210" t="s">
        <v>8</v>
      </c>
      <c r="O210" t="s">
        <v>482</v>
      </c>
      <c r="P210" t="s">
        <v>83</v>
      </c>
      <c r="Q210" t="s">
        <v>30</v>
      </c>
      <c r="R210" t="s">
        <v>31</v>
      </c>
      <c r="S210" t="s">
        <v>32</v>
      </c>
      <c r="T210" t="s">
        <v>483</v>
      </c>
      <c r="U210" t="s">
        <v>46</v>
      </c>
      <c r="V210">
        <v>1082.32</v>
      </c>
    </row>
    <row r="211" spans="1:22" x14ac:dyDescent="0.3">
      <c r="A211" t="s">
        <v>795</v>
      </c>
      <c r="B211" s="2">
        <v>45965</v>
      </c>
      <c r="C211" t="s">
        <v>562</v>
      </c>
      <c r="D211" t="s">
        <v>70</v>
      </c>
      <c r="E211" t="s">
        <v>108</v>
      </c>
      <c r="F211">
        <v>1</v>
      </c>
      <c r="G211">
        <v>0.2</v>
      </c>
      <c r="H211">
        <v>3600</v>
      </c>
      <c r="I211">
        <v>1017.49</v>
      </c>
      <c r="J211" t="s">
        <v>51</v>
      </c>
      <c r="K211" t="s">
        <v>40</v>
      </c>
      <c r="L211">
        <v>3600</v>
      </c>
      <c r="M211">
        <v>28.263611111111111</v>
      </c>
      <c r="N211" t="s">
        <v>8</v>
      </c>
      <c r="O211" t="s">
        <v>563</v>
      </c>
      <c r="P211" t="s">
        <v>29</v>
      </c>
      <c r="Q211" t="s">
        <v>30</v>
      </c>
      <c r="R211" t="s">
        <v>60</v>
      </c>
      <c r="S211" t="s">
        <v>61</v>
      </c>
      <c r="T211" t="s">
        <v>564</v>
      </c>
      <c r="U211" t="s">
        <v>100</v>
      </c>
      <c r="V211">
        <v>1017.49</v>
      </c>
    </row>
    <row r="212" spans="1:22" x14ac:dyDescent="0.3">
      <c r="A212" t="s">
        <v>796</v>
      </c>
      <c r="B212" s="2">
        <v>45840</v>
      </c>
      <c r="C212" t="s">
        <v>797</v>
      </c>
      <c r="D212" t="s">
        <v>37</v>
      </c>
      <c r="E212" t="s">
        <v>190</v>
      </c>
      <c r="F212">
        <v>1</v>
      </c>
      <c r="G212">
        <v>0.15</v>
      </c>
      <c r="H212">
        <v>3570</v>
      </c>
      <c r="I212">
        <v>900.58</v>
      </c>
      <c r="J212" t="s">
        <v>26</v>
      </c>
      <c r="K212" t="s">
        <v>40</v>
      </c>
      <c r="L212">
        <v>3570</v>
      </c>
      <c r="M212">
        <v>25.226330532212891</v>
      </c>
      <c r="N212" t="s">
        <v>8</v>
      </c>
      <c r="O212" t="s">
        <v>798</v>
      </c>
      <c r="P212" t="s">
        <v>73</v>
      </c>
      <c r="Q212" t="s">
        <v>42</v>
      </c>
      <c r="R212" t="s">
        <v>110</v>
      </c>
      <c r="S212" t="s">
        <v>111</v>
      </c>
      <c r="T212" t="s">
        <v>799</v>
      </c>
      <c r="U212" t="s">
        <v>34</v>
      </c>
      <c r="V212">
        <v>900.58</v>
      </c>
    </row>
    <row r="213" spans="1:22" x14ac:dyDescent="0.3">
      <c r="A213" t="s">
        <v>800</v>
      </c>
      <c r="B213" s="2">
        <v>46229</v>
      </c>
      <c r="C213" t="s">
        <v>801</v>
      </c>
      <c r="D213" t="s">
        <v>49</v>
      </c>
      <c r="E213" t="s">
        <v>58</v>
      </c>
      <c r="F213">
        <v>3</v>
      </c>
      <c r="G213">
        <v>0.05</v>
      </c>
      <c r="H213">
        <v>42750</v>
      </c>
      <c r="I213">
        <v>9411.1299999999992</v>
      </c>
      <c r="J213" t="s">
        <v>65</v>
      </c>
      <c r="K213" t="s">
        <v>40</v>
      </c>
      <c r="L213">
        <v>14250</v>
      </c>
      <c r="M213">
        <v>22.014339181286552</v>
      </c>
      <c r="N213" t="s">
        <v>8</v>
      </c>
      <c r="O213" t="s">
        <v>478</v>
      </c>
      <c r="P213" t="s">
        <v>29</v>
      </c>
      <c r="Q213" t="s">
        <v>30</v>
      </c>
      <c r="R213" t="s">
        <v>98</v>
      </c>
      <c r="S213" t="s">
        <v>54</v>
      </c>
      <c r="T213" t="s">
        <v>802</v>
      </c>
      <c r="U213" t="s">
        <v>34</v>
      </c>
      <c r="V213">
        <v>3137.0433333333331</v>
      </c>
    </row>
    <row r="214" spans="1:22" x14ac:dyDescent="0.3">
      <c r="A214" t="s">
        <v>803</v>
      </c>
      <c r="B214" s="2">
        <v>45881</v>
      </c>
      <c r="C214" t="s">
        <v>309</v>
      </c>
      <c r="D214" t="s">
        <v>70</v>
      </c>
      <c r="E214" t="s">
        <v>129</v>
      </c>
      <c r="F214">
        <v>2</v>
      </c>
      <c r="G214">
        <v>0.15</v>
      </c>
      <c r="H214">
        <v>93500</v>
      </c>
      <c r="I214">
        <v>10458</v>
      </c>
      <c r="J214" t="s">
        <v>65</v>
      </c>
      <c r="K214" t="s">
        <v>40</v>
      </c>
      <c r="L214">
        <v>46750</v>
      </c>
      <c r="M214">
        <v>11.18502673796791</v>
      </c>
      <c r="N214" t="s">
        <v>8</v>
      </c>
      <c r="O214" t="s">
        <v>59</v>
      </c>
      <c r="P214" t="s">
        <v>73</v>
      </c>
      <c r="Q214" t="s">
        <v>74</v>
      </c>
      <c r="R214" t="s">
        <v>237</v>
      </c>
      <c r="S214" t="s">
        <v>238</v>
      </c>
      <c r="T214" t="s">
        <v>311</v>
      </c>
      <c r="U214" t="s">
        <v>46</v>
      </c>
      <c r="V214">
        <v>5229</v>
      </c>
    </row>
    <row r="215" spans="1:22" x14ac:dyDescent="0.3">
      <c r="A215" t="s">
        <v>804</v>
      </c>
      <c r="B215" s="2">
        <v>46135</v>
      </c>
      <c r="C215" t="s">
        <v>430</v>
      </c>
      <c r="D215" t="s">
        <v>70</v>
      </c>
      <c r="E215" t="s">
        <v>71</v>
      </c>
      <c r="F215">
        <v>3</v>
      </c>
      <c r="G215">
        <v>0</v>
      </c>
      <c r="H215">
        <v>54000</v>
      </c>
      <c r="I215">
        <v>10500</v>
      </c>
      <c r="J215" t="s">
        <v>39</v>
      </c>
      <c r="K215" t="s">
        <v>27</v>
      </c>
      <c r="L215">
        <v>18000</v>
      </c>
      <c r="M215">
        <v>19.44444444444445</v>
      </c>
      <c r="N215" t="s">
        <v>8</v>
      </c>
      <c r="O215" t="s">
        <v>431</v>
      </c>
      <c r="P215" t="s">
        <v>29</v>
      </c>
      <c r="Q215" t="s">
        <v>30</v>
      </c>
      <c r="R215" t="s">
        <v>53</v>
      </c>
      <c r="S215" t="s">
        <v>54</v>
      </c>
      <c r="T215" t="s">
        <v>256</v>
      </c>
      <c r="U215" t="s">
        <v>46</v>
      </c>
      <c r="V215">
        <v>3500</v>
      </c>
    </row>
    <row r="216" spans="1:22" x14ac:dyDescent="0.3">
      <c r="A216" t="s">
        <v>805</v>
      </c>
      <c r="B216" s="2">
        <v>45902</v>
      </c>
      <c r="C216" t="s">
        <v>283</v>
      </c>
      <c r="D216" t="s">
        <v>37</v>
      </c>
      <c r="E216" t="s">
        <v>190</v>
      </c>
      <c r="F216">
        <v>1</v>
      </c>
      <c r="G216">
        <v>0</v>
      </c>
      <c r="H216">
        <v>4200</v>
      </c>
      <c r="I216">
        <v>-555.85</v>
      </c>
      <c r="J216" t="s">
        <v>26</v>
      </c>
      <c r="K216" t="s">
        <v>80</v>
      </c>
      <c r="L216">
        <v>4200</v>
      </c>
      <c r="M216">
        <v>-13.234523809523809</v>
      </c>
      <c r="N216" t="s">
        <v>81</v>
      </c>
      <c r="O216" t="s">
        <v>284</v>
      </c>
      <c r="P216" t="s">
        <v>29</v>
      </c>
      <c r="Q216" t="s">
        <v>30</v>
      </c>
      <c r="R216" t="s">
        <v>53</v>
      </c>
      <c r="S216" t="s">
        <v>54</v>
      </c>
      <c r="T216" t="s">
        <v>285</v>
      </c>
      <c r="U216" t="s">
        <v>34</v>
      </c>
      <c r="V216">
        <v>-555.85</v>
      </c>
    </row>
    <row r="217" spans="1:22" x14ac:dyDescent="0.3">
      <c r="A217" t="s">
        <v>806</v>
      </c>
      <c r="B217" s="2">
        <v>46161</v>
      </c>
      <c r="C217" t="s">
        <v>807</v>
      </c>
      <c r="D217" t="s">
        <v>70</v>
      </c>
      <c r="E217" t="s">
        <v>71</v>
      </c>
      <c r="F217">
        <v>2</v>
      </c>
      <c r="G217">
        <v>0</v>
      </c>
      <c r="H217">
        <v>36000</v>
      </c>
      <c r="I217">
        <v>7000</v>
      </c>
      <c r="J217" t="s">
        <v>26</v>
      </c>
      <c r="K217" t="s">
        <v>27</v>
      </c>
      <c r="L217">
        <v>18000</v>
      </c>
      <c r="M217">
        <v>19.44444444444445</v>
      </c>
      <c r="N217" t="s">
        <v>8</v>
      </c>
      <c r="O217" t="s">
        <v>545</v>
      </c>
      <c r="P217" t="s">
        <v>73</v>
      </c>
      <c r="Q217" t="s">
        <v>30</v>
      </c>
      <c r="R217" t="s">
        <v>31</v>
      </c>
      <c r="S217" t="s">
        <v>32</v>
      </c>
      <c r="T217" t="s">
        <v>808</v>
      </c>
      <c r="U217" t="s">
        <v>105</v>
      </c>
      <c r="V217">
        <v>3500</v>
      </c>
    </row>
    <row r="218" spans="1:22" x14ac:dyDescent="0.3">
      <c r="A218" t="s">
        <v>809</v>
      </c>
      <c r="B218" s="2">
        <v>46026</v>
      </c>
      <c r="C218" t="s">
        <v>810</v>
      </c>
      <c r="D218" t="s">
        <v>49</v>
      </c>
      <c r="E218" t="s">
        <v>79</v>
      </c>
      <c r="F218">
        <v>1</v>
      </c>
      <c r="G218">
        <v>0.05</v>
      </c>
      <c r="H218">
        <v>10450</v>
      </c>
      <c r="I218">
        <v>2158.36</v>
      </c>
      <c r="J218" t="s">
        <v>65</v>
      </c>
      <c r="K218" t="s">
        <v>40</v>
      </c>
      <c r="L218">
        <v>10450</v>
      </c>
      <c r="M218">
        <v>20.654162679425841</v>
      </c>
      <c r="N218" t="s">
        <v>8</v>
      </c>
      <c r="O218" t="s">
        <v>811</v>
      </c>
      <c r="P218" t="s">
        <v>73</v>
      </c>
      <c r="Q218" t="s">
        <v>30</v>
      </c>
      <c r="R218" t="s">
        <v>60</v>
      </c>
      <c r="S218" t="s">
        <v>61</v>
      </c>
      <c r="T218" t="s">
        <v>812</v>
      </c>
      <c r="U218" t="s">
        <v>34</v>
      </c>
      <c r="V218">
        <v>2158.36</v>
      </c>
    </row>
    <row r="219" spans="1:22" x14ac:dyDescent="0.3">
      <c r="A219" t="s">
        <v>813</v>
      </c>
      <c r="B219" s="2">
        <v>46180</v>
      </c>
      <c r="C219" t="s">
        <v>814</v>
      </c>
      <c r="D219" t="s">
        <v>49</v>
      </c>
      <c r="E219" t="s">
        <v>119</v>
      </c>
      <c r="F219">
        <v>3</v>
      </c>
      <c r="G219">
        <v>0.1</v>
      </c>
      <c r="H219">
        <v>24300</v>
      </c>
      <c r="I219">
        <v>5452.84</v>
      </c>
      <c r="J219" t="s">
        <v>26</v>
      </c>
      <c r="K219" t="s">
        <v>40</v>
      </c>
      <c r="L219">
        <v>8100</v>
      </c>
      <c r="M219">
        <v>22.439670781893</v>
      </c>
      <c r="N219" t="s">
        <v>8</v>
      </c>
      <c r="O219" t="s">
        <v>815</v>
      </c>
      <c r="P219" t="s">
        <v>73</v>
      </c>
      <c r="Q219" t="s">
        <v>42</v>
      </c>
      <c r="R219" t="s">
        <v>121</v>
      </c>
      <c r="S219" t="s">
        <v>44</v>
      </c>
      <c r="T219" t="s">
        <v>816</v>
      </c>
      <c r="U219" t="s">
        <v>46</v>
      </c>
      <c r="V219">
        <v>1817.613333333333</v>
      </c>
    </row>
    <row r="220" spans="1:22" x14ac:dyDescent="0.3">
      <c r="A220" t="s">
        <v>817</v>
      </c>
      <c r="B220" s="2">
        <v>46265</v>
      </c>
      <c r="C220" t="s">
        <v>818</v>
      </c>
      <c r="D220" t="s">
        <v>24</v>
      </c>
      <c r="E220" t="s">
        <v>25</v>
      </c>
      <c r="F220">
        <v>3</v>
      </c>
      <c r="G220">
        <v>0.1</v>
      </c>
      <c r="H220">
        <v>37800</v>
      </c>
      <c r="I220">
        <v>4849.01</v>
      </c>
      <c r="J220" t="s">
        <v>39</v>
      </c>
      <c r="K220" t="s">
        <v>40</v>
      </c>
      <c r="L220">
        <v>12600</v>
      </c>
      <c r="M220">
        <v>12.82806878306878</v>
      </c>
      <c r="N220" t="s">
        <v>8</v>
      </c>
      <c r="O220" t="s">
        <v>209</v>
      </c>
      <c r="P220" t="s">
        <v>29</v>
      </c>
      <c r="Q220" t="s">
        <v>42</v>
      </c>
      <c r="R220" t="s">
        <v>110</v>
      </c>
      <c r="S220" t="s">
        <v>111</v>
      </c>
      <c r="T220" t="s">
        <v>162</v>
      </c>
      <c r="U220" t="s">
        <v>105</v>
      </c>
      <c r="V220">
        <v>1616.336666666667</v>
      </c>
    </row>
    <row r="221" spans="1:22" x14ac:dyDescent="0.3">
      <c r="A221" t="s">
        <v>819</v>
      </c>
      <c r="B221" s="2">
        <v>46011</v>
      </c>
      <c r="C221" t="s">
        <v>820</v>
      </c>
      <c r="D221" t="s">
        <v>70</v>
      </c>
      <c r="E221" t="s">
        <v>129</v>
      </c>
      <c r="F221">
        <v>1</v>
      </c>
      <c r="G221">
        <v>0.2</v>
      </c>
      <c r="H221">
        <v>44000</v>
      </c>
      <c r="I221">
        <v>3765.11</v>
      </c>
      <c r="J221" t="s">
        <v>26</v>
      </c>
      <c r="K221" t="s">
        <v>27</v>
      </c>
      <c r="L221">
        <v>44000</v>
      </c>
      <c r="M221">
        <v>8.5570681818181829</v>
      </c>
      <c r="N221" t="s">
        <v>8</v>
      </c>
      <c r="O221" t="s">
        <v>821</v>
      </c>
      <c r="P221" t="s">
        <v>29</v>
      </c>
      <c r="Q221" t="s">
        <v>74</v>
      </c>
      <c r="R221" t="s">
        <v>237</v>
      </c>
      <c r="S221" t="s">
        <v>238</v>
      </c>
      <c r="T221" t="s">
        <v>822</v>
      </c>
      <c r="U221" t="s">
        <v>34</v>
      </c>
      <c r="V221">
        <v>3765.11</v>
      </c>
    </row>
    <row r="222" spans="1:22" x14ac:dyDescent="0.3">
      <c r="A222" t="s">
        <v>823</v>
      </c>
      <c r="B222" s="2">
        <v>46125</v>
      </c>
      <c r="C222" t="s">
        <v>824</v>
      </c>
      <c r="D222" t="s">
        <v>49</v>
      </c>
      <c r="E222" t="s">
        <v>119</v>
      </c>
      <c r="F222">
        <v>5</v>
      </c>
      <c r="G222">
        <v>0.15</v>
      </c>
      <c r="H222">
        <v>38250</v>
      </c>
      <c r="I222">
        <v>7717.88</v>
      </c>
      <c r="J222" t="s">
        <v>39</v>
      </c>
      <c r="K222" t="s">
        <v>40</v>
      </c>
      <c r="L222">
        <v>7650</v>
      </c>
      <c r="M222">
        <v>20.177464052287579</v>
      </c>
      <c r="N222" t="s">
        <v>8</v>
      </c>
      <c r="O222" t="s">
        <v>825</v>
      </c>
      <c r="P222" t="s">
        <v>29</v>
      </c>
      <c r="Q222" t="s">
        <v>30</v>
      </c>
      <c r="R222" t="s">
        <v>53</v>
      </c>
      <c r="S222" t="s">
        <v>54</v>
      </c>
      <c r="T222" t="s">
        <v>826</v>
      </c>
      <c r="U222" t="s">
        <v>105</v>
      </c>
      <c r="V222">
        <v>1543.576</v>
      </c>
    </row>
    <row r="223" spans="1:22" x14ac:dyDescent="0.3">
      <c r="A223" t="s">
        <v>827</v>
      </c>
      <c r="B223" s="2">
        <v>45982</v>
      </c>
      <c r="C223" t="s">
        <v>548</v>
      </c>
      <c r="D223" t="s">
        <v>70</v>
      </c>
      <c r="E223" t="s">
        <v>108</v>
      </c>
      <c r="F223">
        <v>5</v>
      </c>
      <c r="G223">
        <v>0.05</v>
      </c>
      <c r="H223">
        <v>21375</v>
      </c>
      <c r="I223">
        <v>6677.26</v>
      </c>
      <c r="J223" t="s">
        <v>51</v>
      </c>
      <c r="K223" t="s">
        <v>40</v>
      </c>
      <c r="L223">
        <v>4275</v>
      </c>
      <c r="M223">
        <v>31.2386432748538</v>
      </c>
      <c r="N223" t="s">
        <v>8</v>
      </c>
      <c r="O223" t="s">
        <v>549</v>
      </c>
      <c r="P223" t="s">
        <v>29</v>
      </c>
      <c r="Q223" t="s">
        <v>74</v>
      </c>
      <c r="R223" t="s">
        <v>115</v>
      </c>
      <c r="S223" t="s">
        <v>115</v>
      </c>
      <c r="T223" t="s">
        <v>550</v>
      </c>
      <c r="U223" t="s">
        <v>100</v>
      </c>
      <c r="V223">
        <v>1335.452</v>
      </c>
    </row>
    <row r="224" spans="1:22" x14ac:dyDescent="0.3">
      <c r="A224" t="s">
        <v>828</v>
      </c>
      <c r="B224" s="2">
        <v>46029</v>
      </c>
      <c r="C224" t="s">
        <v>829</v>
      </c>
      <c r="D224" t="s">
        <v>49</v>
      </c>
      <c r="E224" t="s">
        <v>119</v>
      </c>
      <c r="F224">
        <v>3</v>
      </c>
      <c r="G224">
        <v>0.1</v>
      </c>
      <c r="H224">
        <v>24300</v>
      </c>
      <c r="I224">
        <v>4815.6499999999996</v>
      </c>
      <c r="J224" t="s">
        <v>51</v>
      </c>
      <c r="K224" t="s">
        <v>40</v>
      </c>
      <c r="L224">
        <v>8100</v>
      </c>
      <c r="M224">
        <v>19.817489711934151</v>
      </c>
      <c r="N224" t="s">
        <v>8</v>
      </c>
      <c r="O224" t="s">
        <v>830</v>
      </c>
      <c r="P224" t="s">
        <v>29</v>
      </c>
      <c r="Q224" t="s">
        <v>74</v>
      </c>
      <c r="R224" t="s">
        <v>115</v>
      </c>
      <c r="S224" t="s">
        <v>115</v>
      </c>
      <c r="T224" t="s">
        <v>831</v>
      </c>
      <c r="U224" t="s">
        <v>46</v>
      </c>
      <c r="V224">
        <v>1605.216666666666</v>
      </c>
    </row>
    <row r="225" spans="1:22" x14ac:dyDescent="0.3">
      <c r="A225" t="s">
        <v>832</v>
      </c>
      <c r="B225" s="2">
        <v>45853</v>
      </c>
      <c r="C225" t="s">
        <v>533</v>
      </c>
      <c r="D225" t="s">
        <v>70</v>
      </c>
      <c r="E225" t="s">
        <v>129</v>
      </c>
      <c r="F225">
        <v>2</v>
      </c>
      <c r="G225">
        <v>0.2</v>
      </c>
      <c r="H225">
        <v>88000</v>
      </c>
      <c r="I225">
        <v>6733.96</v>
      </c>
      <c r="J225" t="s">
        <v>65</v>
      </c>
      <c r="K225" t="s">
        <v>40</v>
      </c>
      <c r="L225">
        <v>44000</v>
      </c>
      <c r="M225">
        <v>7.6522272727272727</v>
      </c>
      <c r="N225" t="s">
        <v>8</v>
      </c>
      <c r="O225" t="s">
        <v>306</v>
      </c>
      <c r="P225" t="s">
        <v>83</v>
      </c>
      <c r="Q225" t="s">
        <v>131</v>
      </c>
      <c r="R225" t="s">
        <v>132</v>
      </c>
      <c r="S225" t="s">
        <v>133</v>
      </c>
      <c r="T225" t="s">
        <v>534</v>
      </c>
      <c r="U225" t="s">
        <v>46</v>
      </c>
      <c r="V225">
        <v>3366.98</v>
      </c>
    </row>
    <row r="226" spans="1:22" x14ac:dyDescent="0.3">
      <c r="A226" t="s">
        <v>833</v>
      </c>
      <c r="B226" s="2">
        <v>46191</v>
      </c>
      <c r="C226" t="s">
        <v>834</v>
      </c>
      <c r="D226" t="s">
        <v>70</v>
      </c>
      <c r="E226" t="s">
        <v>165</v>
      </c>
      <c r="F226">
        <v>5</v>
      </c>
      <c r="G226">
        <v>0.2</v>
      </c>
      <c r="H226">
        <v>10000</v>
      </c>
      <c r="I226">
        <v>1895.09</v>
      </c>
      <c r="J226" t="s">
        <v>26</v>
      </c>
      <c r="K226" t="s">
        <v>40</v>
      </c>
      <c r="L226">
        <v>2000</v>
      </c>
      <c r="M226">
        <v>18.950900000000001</v>
      </c>
      <c r="N226" t="s">
        <v>8</v>
      </c>
      <c r="O226" t="s">
        <v>549</v>
      </c>
      <c r="P226" t="s">
        <v>29</v>
      </c>
      <c r="Q226" t="s">
        <v>74</v>
      </c>
      <c r="R226" t="s">
        <v>115</v>
      </c>
      <c r="S226" t="s">
        <v>115</v>
      </c>
      <c r="T226" t="s">
        <v>835</v>
      </c>
      <c r="U226" t="s">
        <v>34</v>
      </c>
      <c r="V226">
        <v>379.01799999999997</v>
      </c>
    </row>
    <row r="227" spans="1:22" x14ac:dyDescent="0.3">
      <c r="A227" t="s">
        <v>836</v>
      </c>
      <c r="B227" s="2">
        <v>45902</v>
      </c>
      <c r="C227" t="s">
        <v>780</v>
      </c>
      <c r="D227" t="s">
        <v>37</v>
      </c>
      <c r="E227" t="s">
        <v>38</v>
      </c>
      <c r="F227">
        <v>2</v>
      </c>
      <c r="G227">
        <v>0</v>
      </c>
      <c r="H227">
        <v>3600</v>
      </c>
      <c r="I227">
        <v>1300</v>
      </c>
      <c r="J227" t="s">
        <v>51</v>
      </c>
      <c r="K227" t="s">
        <v>40</v>
      </c>
      <c r="L227">
        <v>1800</v>
      </c>
      <c r="M227">
        <v>36.111111111111107</v>
      </c>
      <c r="N227" t="s">
        <v>8</v>
      </c>
      <c r="O227" t="s">
        <v>781</v>
      </c>
      <c r="P227" t="s">
        <v>73</v>
      </c>
      <c r="Q227" t="s">
        <v>30</v>
      </c>
      <c r="R227" t="s">
        <v>31</v>
      </c>
      <c r="S227" t="s">
        <v>32</v>
      </c>
      <c r="T227" t="s">
        <v>572</v>
      </c>
      <c r="U227" t="s">
        <v>100</v>
      </c>
      <c r="V227">
        <v>650</v>
      </c>
    </row>
    <row r="228" spans="1:22" x14ac:dyDescent="0.3">
      <c r="A228" t="s">
        <v>837</v>
      </c>
      <c r="B228" s="2">
        <v>46133</v>
      </c>
      <c r="C228" t="s">
        <v>838</v>
      </c>
      <c r="D228" t="s">
        <v>49</v>
      </c>
      <c r="E228" t="s">
        <v>119</v>
      </c>
      <c r="F228">
        <v>1</v>
      </c>
      <c r="G228">
        <v>0.2</v>
      </c>
      <c r="H228">
        <v>7200</v>
      </c>
      <c r="I228">
        <v>827.17</v>
      </c>
      <c r="J228" t="s">
        <v>39</v>
      </c>
      <c r="K228" t="s">
        <v>40</v>
      </c>
      <c r="L228">
        <v>7200</v>
      </c>
      <c r="M228">
        <v>11.488472222222221</v>
      </c>
      <c r="N228" t="s">
        <v>8</v>
      </c>
      <c r="O228" t="s">
        <v>839</v>
      </c>
      <c r="P228" t="s">
        <v>73</v>
      </c>
      <c r="Q228" t="s">
        <v>30</v>
      </c>
      <c r="R228" t="s">
        <v>31</v>
      </c>
      <c r="S228" t="s">
        <v>32</v>
      </c>
      <c r="T228" t="s">
        <v>840</v>
      </c>
      <c r="U228" t="s">
        <v>100</v>
      </c>
      <c r="V228">
        <v>827.17</v>
      </c>
    </row>
    <row r="229" spans="1:22" x14ac:dyDescent="0.3">
      <c r="A229" t="s">
        <v>841</v>
      </c>
      <c r="B229" s="2">
        <v>45845</v>
      </c>
      <c r="C229" t="s">
        <v>783</v>
      </c>
      <c r="D229" t="s">
        <v>24</v>
      </c>
      <c r="E229" t="s">
        <v>25</v>
      </c>
      <c r="F229">
        <v>2</v>
      </c>
      <c r="G229">
        <v>0</v>
      </c>
      <c r="H229">
        <v>28000</v>
      </c>
      <c r="I229">
        <v>5600</v>
      </c>
      <c r="J229" t="s">
        <v>65</v>
      </c>
      <c r="K229" t="s">
        <v>40</v>
      </c>
      <c r="L229">
        <v>14000</v>
      </c>
      <c r="M229">
        <v>20</v>
      </c>
      <c r="N229" t="s">
        <v>8</v>
      </c>
      <c r="O229" t="s">
        <v>784</v>
      </c>
      <c r="P229" t="s">
        <v>73</v>
      </c>
      <c r="Q229" t="s">
        <v>74</v>
      </c>
      <c r="R229" t="s">
        <v>493</v>
      </c>
      <c r="S229" t="s">
        <v>494</v>
      </c>
      <c r="T229" t="s">
        <v>785</v>
      </c>
      <c r="U229" t="s">
        <v>46</v>
      </c>
      <c r="V229">
        <v>2800</v>
      </c>
    </row>
    <row r="230" spans="1:22" x14ac:dyDescent="0.3">
      <c r="A230" t="s">
        <v>842</v>
      </c>
      <c r="B230" s="2">
        <v>46155</v>
      </c>
      <c r="C230" t="s">
        <v>843</v>
      </c>
      <c r="D230" t="s">
        <v>24</v>
      </c>
      <c r="E230" t="s">
        <v>25</v>
      </c>
      <c r="F230">
        <v>4</v>
      </c>
      <c r="G230">
        <v>0.1</v>
      </c>
      <c r="H230">
        <v>50400</v>
      </c>
      <c r="I230">
        <v>8257.7999999999993</v>
      </c>
      <c r="J230" t="s">
        <v>39</v>
      </c>
      <c r="K230" t="s">
        <v>40</v>
      </c>
      <c r="L230">
        <v>12600</v>
      </c>
      <c r="M230">
        <v>16.384523809523809</v>
      </c>
      <c r="N230" t="s">
        <v>8</v>
      </c>
      <c r="O230" t="s">
        <v>844</v>
      </c>
      <c r="P230" t="s">
        <v>29</v>
      </c>
      <c r="Q230" t="s">
        <v>42</v>
      </c>
      <c r="R230" t="s">
        <v>214</v>
      </c>
      <c r="S230" t="s">
        <v>111</v>
      </c>
      <c r="T230" t="s">
        <v>750</v>
      </c>
      <c r="U230" t="s">
        <v>100</v>
      </c>
      <c r="V230">
        <v>2064.4499999999998</v>
      </c>
    </row>
    <row r="231" spans="1:22" x14ac:dyDescent="0.3">
      <c r="A231" t="s">
        <v>845</v>
      </c>
      <c r="B231" s="2">
        <v>45986</v>
      </c>
      <c r="C231" t="s">
        <v>846</v>
      </c>
      <c r="D231" t="s">
        <v>37</v>
      </c>
      <c r="E231" t="s">
        <v>38</v>
      </c>
      <c r="F231">
        <v>2</v>
      </c>
      <c r="G231">
        <v>0.1</v>
      </c>
      <c r="H231">
        <v>3240</v>
      </c>
      <c r="I231">
        <v>1101.94</v>
      </c>
      <c r="J231" t="s">
        <v>51</v>
      </c>
      <c r="K231" t="s">
        <v>40</v>
      </c>
      <c r="L231">
        <v>1620</v>
      </c>
      <c r="M231">
        <v>34.010493827160502</v>
      </c>
      <c r="N231" t="s">
        <v>8</v>
      </c>
      <c r="O231" t="s">
        <v>847</v>
      </c>
      <c r="P231" t="s">
        <v>29</v>
      </c>
      <c r="Q231" t="s">
        <v>30</v>
      </c>
      <c r="R231" t="s">
        <v>53</v>
      </c>
      <c r="S231" t="s">
        <v>54</v>
      </c>
      <c r="T231" t="s">
        <v>848</v>
      </c>
      <c r="U231" t="s">
        <v>34</v>
      </c>
      <c r="V231">
        <v>550.97</v>
      </c>
    </row>
    <row r="232" spans="1:22" x14ac:dyDescent="0.3">
      <c r="A232" t="s">
        <v>849</v>
      </c>
      <c r="B232" s="2">
        <v>45944</v>
      </c>
      <c r="C232" t="s">
        <v>850</v>
      </c>
      <c r="D232" t="s">
        <v>24</v>
      </c>
      <c r="E232" t="s">
        <v>87</v>
      </c>
      <c r="F232">
        <v>2</v>
      </c>
      <c r="G232">
        <v>0</v>
      </c>
      <c r="H232">
        <v>700</v>
      </c>
      <c r="I232">
        <v>240</v>
      </c>
      <c r="J232" t="s">
        <v>26</v>
      </c>
      <c r="K232" t="s">
        <v>40</v>
      </c>
      <c r="L232">
        <v>350</v>
      </c>
      <c r="M232">
        <v>34.285714285714278</v>
      </c>
      <c r="N232" t="s">
        <v>8</v>
      </c>
      <c r="O232" t="s">
        <v>851</v>
      </c>
      <c r="P232" t="s">
        <v>29</v>
      </c>
      <c r="Q232" t="s">
        <v>30</v>
      </c>
      <c r="R232" t="s">
        <v>60</v>
      </c>
      <c r="S232" t="s">
        <v>61</v>
      </c>
      <c r="T232" t="s">
        <v>852</v>
      </c>
      <c r="U232" t="s">
        <v>46</v>
      </c>
      <c r="V232">
        <v>120</v>
      </c>
    </row>
    <row r="233" spans="1:22" x14ac:dyDescent="0.3">
      <c r="A233" t="s">
        <v>853</v>
      </c>
      <c r="B233" s="2">
        <v>46217</v>
      </c>
      <c r="C233" t="s">
        <v>854</v>
      </c>
      <c r="D233" t="s">
        <v>49</v>
      </c>
      <c r="E233" t="s">
        <v>50</v>
      </c>
      <c r="F233">
        <v>2</v>
      </c>
      <c r="G233">
        <v>0.1</v>
      </c>
      <c r="H233">
        <v>23400</v>
      </c>
      <c r="I233">
        <v>4691.91</v>
      </c>
      <c r="J233" t="s">
        <v>39</v>
      </c>
      <c r="K233" t="s">
        <v>40</v>
      </c>
      <c r="L233">
        <v>11700</v>
      </c>
      <c r="M233">
        <v>20.05089743589744</v>
      </c>
      <c r="N233" t="s">
        <v>8</v>
      </c>
      <c r="O233" t="s">
        <v>855</v>
      </c>
      <c r="P233" t="s">
        <v>29</v>
      </c>
      <c r="Q233" t="s">
        <v>74</v>
      </c>
      <c r="R233" t="s">
        <v>493</v>
      </c>
      <c r="S233" t="s">
        <v>494</v>
      </c>
      <c r="T233" t="s">
        <v>856</v>
      </c>
      <c r="U233" t="s">
        <v>100</v>
      </c>
      <c r="V233">
        <v>2345.9549999999999</v>
      </c>
    </row>
    <row r="234" spans="1:22" x14ac:dyDescent="0.3">
      <c r="A234" t="s">
        <v>857</v>
      </c>
      <c r="B234" s="2">
        <v>46141</v>
      </c>
      <c r="C234" t="s">
        <v>858</v>
      </c>
      <c r="D234" t="s">
        <v>70</v>
      </c>
      <c r="E234" t="s">
        <v>165</v>
      </c>
      <c r="F234">
        <v>1</v>
      </c>
      <c r="G234">
        <v>0.15</v>
      </c>
      <c r="H234">
        <v>2125</v>
      </c>
      <c r="I234">
        <v>628.84</v>
      </c>
      <c r="J234" t="s">
        <v>65</v>
      </c>
      <c r="K234" t="s">
        <v>40</v>
      </c>
      <c r="L234">
        <v>2125</v>
      </c>
      <c r="M234">
        <v>29.592470588235301</v>
      </c>
      <c r="N234" t="s">
        <v>8</v>
      </c>
      <c r="O234" t="s">
        <v>406</v>
      </c>
      <c r="P234" t="s">
        <v>73</v>
      </c>
      <c r="Q234" t="s">
        <v>30</v>
      </c>
      <c r="R234" t="s">
        <v>53</v>
      </c>
      <c r="S234" t="s">
        <v>54</v>
      </c>
      <c r="T234" t="s">
        <v>859</v>
      </c>
      <c r="U234" t="s">
        <v>105</v>
      </c>
      <c r="V234">
        <v>628.84</v>
      </c>
    </row>
    <row r="235" spans="1:22" x14ac:dyDescent="0.3">
      <c r="A235" t="s">
        <v>860</v>
      </c>
      <c r="B235" s="2">
        <v>46172</v>
      </c>
      <c r="C235" t="s">
        <v>861</v>
      </c>
      <c r="D235" t="s">
        <v>24</v>
      </c>
      <c r="E235" t="s">
        <v>92</v>
      </c>
      <c r="F235">
        <v>2</v>
      </c>
      <c r="G235">
        <v>0.1</v>
      </c>
      <c r="H235">
        <v>1620</v>
      </c>
      <c r="I235">
        <v>447.13</v>
      </c>
      <c r="J235" t="s">
        <v>26</v>
      </c>
      <c r="K235" t="s">
        <v>40</v>
      </c>
      <c r="L235">
        <v>810</v>
      </c>
      <c r="M235">
        <v>27.600617283950619</v>
      </c>
      <c r="N235" t="s">
        <v>8</v>
      </c>
      <c r="O235" t="s">
        <v>369</v>
      </c>
      <c r="P235" t="s">
        <v>29</v>
      </c>
      <c r="Q235" t="s">
        <v>74</v>
      </c>
      <c r="R235" t="s">
        <v>237</v>
      </c>
      <c r="S235" t="s">
        <v>238</v>
      </c>
      <c r="T235" t="s">
        <v>750</v>
      </c>
      <c r="U235" t="s">
        <v>105</v>
      </c>
      <c r="V235">
        <v>223.565</v>
      </c>
    </row>
    <row r="236" spans="1:22" x14ac:dyDescent="0.3">
      <c r="A236" t="s">
        <v>862</v>
      </c>
      <c r="B236" s="2">
        <v>46129</v>
      </c>
      <c r="C236" t="s">
        <v>863</v>
      </c>
      <c r="D236" t="s">
        <v>37</v>
      </c>
      <c r="E236" t="s">
        <v>310</v>
      </c>
      <c r="F236">
        <v>1</v>
      </c>
      <c r="G236">
        <v>0.1</v>
      </c>
      <c r="H236">
        <v>1980</v>
      </c>
      <c r="I236">
        <v>625.17999999999995</v>
      </c>
      <c r="J236" t="s">
        <v>26</v>
      </c>
      <c r="K236" t="s">
        <v>40</v>
      </c>
      <c r="L236">
        <v>1980</v>
      </c>
      <c r="M236">
        <v>31.574747474747468</v>
      </c>
      <c r="N236" t="s">
        <v>8</v>
      </c>
      <c r="O236" t="s">
        <v>187</v>
      </c>
      <c r="P236" t="s">
        <v>73</v>
      </c>
      <c r="Q236" t="s">
        <v>30</v>
      </c>
      <c r="R236" t="s">
        <v>53</v>
      </c>
      <c r="S236" t="s">
        <v>54</v>
      </c>
      <c r="T236" t="s">
        <v>864</v>
      </c>
      <c r="U236" t="s">
        <v>34</v>
      </c>
      <c r="V236">
        <v>625.17999999999995</v>
      </c>
    </row>
    <row r="237" spans="1:22" x14ac:dyDescent="0.3">
      <c r="A237" t="s">
        <v>865</v>
      </c>
      <c r="B237" s="2">
        <v>46239</v>
      </c>
      <c r="C237" t="s">
        <v>866</v>
      </c>
      <c r="D237" t="s">
        <v>49</v>
      </c>
      <c r="E237" t="s">
        <v>119</v>
      </c>
      <c r="F237">
        <v>2</v>
      </c>
      <c r="G237">
        <v>0.15</v>
      </c>
      <c r="H237">
        <v>15300</v>
      </c>
      <c r="I237">
        <v>2369.46</v>
      </c>
      <c r="J237" t="s">
        <v>39</v>
      </c>
      <c r="K237" t="s">
        <v>40</v>
      </c>
      <c r="L237">
        <v>7650</v>
      </c>
      <c r="M237">
        <v>15.48666666666667</v>
      </c>
      <c r="N237" t="s">
        <v>8</v>
      </c>
      <c r="O237" t="s">
        <v>247</v>
      </c>
      <c r="P237" t="s">
        <v>73</v>
      </c>
      <c r="Q237" t="s">
        <v>30</v>
      </c>
      <c r="R237" t="s">
        <v>98</v>
      </c>
      <c r="S237" t="s">
        <v>54</v>
      </c>
      <c r="T237" t="s">
        <v>319</v>
      </c>
      <c r="U237" t="s">
        <v>34</v>
      </c>
      <c r="V237">
        <v>1184.73</v>
      </c>
    </row>
    <row r="238" spans="1:22" x14ac:dyDescent="0.3">
      <c r="A238" t="s">
        <v>867</v>
      </c>
      <c r="B238" s="2">
        <v>45869</v>
      </c>
      <c r="C238" t="s">
        <v>336</v>
      </c>
      <c r="D238" t="s">
        <v>24</v>
      </c>
      <c r="E238" t="s">
        <v>87</v>
      </c>
      <c r="F238">
        <v>4</v>
      </c>
      <c r="G238">
        <v>0</v>
      </c>
      <c r="H238">
        <v>1400</v>
      </c>
      <c r="I238">
        <v>480</v>
      </c>
      <c r="J238" t="s">
        <v>51</v>
      </c>
      <c r="K238" t="s">
        <v>40</v>
      </c>
      <c r="L238">
        <v>350</v>
      </c>
      <c r="M238">
        <v>34.285714285714278</v>
      </c>
      <c r="N238" t="s">
        <v>8</v>
      </c>
      <c r="O238" t="s">
        <v>337</v>
      </c>
      <c r="P238" t="s">
        <v>83</v>
      </c>
      <c r="Q238" t="s">
        <v>74</v>
      </c>
      <c r="R238" t="s">
        <v>237</v>
      </c>
      <c r="S238" t="s">
        <v>238</v>
      </c>
      <c r="T238" t="s">
        <v>338</v>
      </c>
      <c r="U238" t="s">
        <v>34</v>
      </c>
      <c r="V238">
        <v>120</v>
      </c>
    </row>
    <row r="239" spans="1:22" x14ac:dyDescent="0.3">
      <c r="A239" t="s">
        <v>868</v>
      </c>
      <c r="B239" s="2">
        <v>46168</v>
      </c>
      <c r="C239" t="s">
        <v>869</v>
      </c>
      <c r="D239" t="s">
        <v>24</v>
      </c>
      <c r="E239" t="s">
        <v>92</v>
      </c>
      <c r="F239">
        <v>1</v>
      </c>
      <c r="G239">
        <v>0.3</v>
      </c>
      <c r="H239">
        <v>630</v>
      </c>
      <c r="I239">
        <v>137.69</v>
      </c>
      <c r="J239" t="s">
        <v>51</v>
      </c>
      <c r="K239" t="s">
        <v>40</v>
      </c>
      <c r="L239">
        <v>630</v>
      </c>
      <c r="M239">
        <v>21.855555555555551</v>
      </c>
      <c r="N239" t="s">
        <v>8</v>
      </c>
      <c r="O239" t="s">
        <v>870</v>
      </c>
      <c r="P239" t="s">
        <v>73</v>
      </c>
      <c r="Q239" t="s">
        <v>30</v>
      </c>
      <c r="R239" t="s">
        <v>98</v>
      </c>
      <c r="S239" t="s">
        <v>54</v>
      </c>
      <c r="T239" t="s">
        <v>859</v>
      </c>
      <c r="U239" t="s">
        <v>34</v>
      </c>
      <c r="V239">
        <v>137.69</v>
      </c>
    </row>
    <row r="240" spans="1:22" x14ac:dyDescent="0.3">
      <c r="A240" t="s">
        <v>871</v>
      </c>
      <c r="B240" s="2">
        <v>46207</v>
      </c>
      <c r="C240" t="s">
        <v>872</v>
      </c>
      <c r="D240" t="s">
        <v>49</v>
      </c>
      <c r="E240" t="s">
        <v>58</v>
      </c>
      <c r="F240">
        <v>4</v>
      </c>
      <c r="G240">
        <v>0.2</v>
      </c>
      <c r="H240">
        <v>48000</v>
      </c>
      <c r="I240">
        <v>5835.48</v>
      </c>
      <c r="J240" t="s">
        <v>39</v>
      </c>
      <c r="K240" t="s">
        <v>40</v>
      </c>
      <c r="L240">
        <v>12000</v>
      </c>
      <c r="M240">
        <v>12.157249999999999</v>
      </c>
      <c r="N240" t="s">
        <v>8</v>
      </c>
      <c r="O240" t="s">
        <v>492</v>
      </c>
      <c r="P240" t="s">
        <v>29</v>
      </c>
      <c r="Q240" t="s">
        <v>42</v>
      </c>
      <c r="R240" t="s">
        <v>121</v>
      </c>
      <c r="S240" t="s">
        <v>44</v>
      </c>
      <c r="T240" t="s">
        <v>873</v>
      </c>
      <c r="U240" t="s">
        <v>46</v>
      </c>
      <c r="V240">
        <v>1458.87</v>
      </c>
    </row>
    <row r="241" spans="1:22" x14ac:dyDescent="0.3">
      <c r="A241" t="s">
        <v>874</v>
      </c>
      <c r="B241" s="2">
        <v>46245</v>
      </c>
      <c r="C241" t="s">
        <v>875</v>
      </c>
      <c r="D241" t="s">
        <v>24</v>
      </c>
      <c r="E241" t="s">
        <v>92</v>
      </c>
      <c r="F241">
        <v>3</v>
      </c>
      <c r="G241">
        <v>0.05</v>
      </c>
      <c r="H241">
        <v>2565</v>
      </c>
      <c r="I241">
        <v>750.67</v>
      </c>
      <c r="J241" t="s">
        <v>26</v>
      </c>
      <c r="K241" t="s">
        <v>40</v>
      </c>
      <c r="L241">
        <v>855</v>
      </c>
      <c r="M241">
        <v>29.26588693957115</v>
      </c>
      <c r="N241" t="s">
        <v>8</v>
      </c>
      <c r="O241" t="s">
        <v>149</v>
      </c>
      <c r="P241" t="s">
        <v>73</v>
      </c>
      <c r="Q241" t="s">
        <v>42</v>
      </c>
      <c r="R241" t="s">
        <v>214</v>
      </c>
      <c r="S241" t="s">
        <v>111</v>
      </c>
      <c r="T241" t="s">
        <v>876</v>
      </c>
      <c r="U241" t="s">
        <v>100</v>
      </c>
      <c r="V241">
        <v>250.2233333333333</v>
      </c>
    </row>
    <row r="242" spans="1:22" x14ac:dyDescent="0.3">
      <c r="A242" t="s">
        <v>877</v>
      </c>
      <c r="B242" s="2">
        <v>45953</v>
      </c>
      <c r="C242" t="s">
        <v>878</v>
      </c>
      <c r="D242" t="s">
        <v>49</v>
      </c>
      <c r="E242" t="s">
        <v>119</v>
      </c>
      <c r="F242">
        <v>4</v>
      </c>
      <c r="G242">
        <v>0</v>
      </c>
      <c r="H242">
        <v>36000</v>
      </c>
      <c r="I242">
        <v>9200</v>
      </c>
      <c r="J242" t="s">
        <v>39</v>
      </c>
      <c r="K242" t="s">
        <v>40</v>
      </c>
      <c r="L242">
        <v>9000</v>
      </c>
      <c r="M242">
        <v>25.55555555555555</v>
      </c>
      <c r="N242" t="s">
        <v>8</v>
      </c>
      <c r="O242" t="s">
        <v>879</v>
      </c>
      <c r="P242" t="s">
        <v>83</v>
      </c>
      <c r="Q242" t="s">
        <v>30</v>
      </c>
      <c r="R242" t="s">
        <v>98</v>
      </c>
      <c r="S242" t="s">
        <v>54</v>
      </c>
      <c r="T242" t="s">
        <v>880</v>
      </c>
      <c r="U242" t="s">
        <v>46</v>
      </c>
      <c r="V242">
        <v>2300</v>
      </c>
    </row>
    <row r="243" spans="1:22" x14ac:dyDescent="0.3">
      <c r="A243" t="s">
        <v>881</v>
      </c>
      <c r="B243" s="2">
        <v>46252</v>
      </c>
      <c r="C243" t="s">
        <v>882</v>
      </c>
      <c r="D243" t="s">
        <v>70</v>
      </c>
      <c r="E243" t="s">
        <v>129</v>
      </c>
      <c r="F243">
        <v>3</v>
      </c>
      <c r="G243">
        <v>0.15</v>
      </c>
      <c r="H243">
        <v>140250</v>
      </c>
      <c r="I243">
        <v>14767.04</v>
      </c>
      <c r="J243" t="s">
        <v>51</v>
      </c>
      <c r="K243" t="s">
        <v>27</v>
      </c>
      <c r="L243">
        <v>46750</v>
      </c>
      <c r="M243">
        <v>10.529083778966131</v>
      </c>
      <c r="N243" t="s">
        <v>8</v>
      </c>
      <c r="O243" t="s">
        <v>883</v>
      </c>
      <c r="P243" t="s">
        <v>73</v>
      </c>
      <c r="Q243" t="s">
        <v>74</v>
      </c>
      <c r="R243" t="s">
        <v>115</v>
      </c>
      <c r="S243" t="s">
        <v>115</v>
      </c>
      <c r="T243" t="s">
        <v>884</v>
      </c>
      <c r="U243" t="s">
        <v>34</v>
      </c>
      <c r="V243">
        <v>4922.3466666666673</v>
      </c>
    </row>
    <row r="244" spans="1:22" x14ac:dyDescent="0.3">
      <c r="A244" t="s">
        <v>885</v>
      </c>
      <c r="B244" s="2">
        <v>46036</v>
      </c>
      <c r="C244" t="s">
        <v>258</v>
      </c>
      <c r="D244" t="s">
        <v>24</v>
      </c>
      <c r="E244" t="s">
        <v>87</v>
      </c>
      <c r="F244">
        <v>2</v>
      </c>
      <c r="G244">
        <v>0</v>
      </c>
      <c r="H244">
        <v>700</v>
      </c>
      <c r="I244">
        <v>240</v>
      </c>
      <c r="J244" t="s">
        <v>65</v>
      </c>
      <c r="K244" t="s">
        <v>40</v>
      </c>
      <c r="L244">
        <v>350</v>
      </c>
      <c r="M244">
        <v>34.285714285714278</v>
      </c>
      <c r="N244" t="s">
        <v>8</v>
      </c>
      <c r="O244" t="s">
        <v>259</v>
      </c>
      <c r="P244" t="s">
        <v>73</v>
      </c>
      <c r="Q244" t="s">
        <v>30</v>
      </c>
      <c r="R244" t="s">
        <v>60</v>
      </c>
      <c r="S244" t="s">
        <v>61</v>
      </c>
      <c r="T244" t="s">
        <v>260</v>
      </c>
      <c r="U244" t="s">
        <v>105</v>
      </c>
      <c r="V244">
        <v>120</v>
      </c>
    </row>
    <row r="245" spans="1:22" x14ac:dyDescent="0.3">
      <c r="A245" t="s">
        <v>886</v>
      </c>
      <c r="B245" s="2">
        <v>46017</v>
      </c>
      <c r="C245" t="s">
        <v>887</v>
      </c>
      <c r="D245" t="s">
        <v>49</v>
      </c>
      <c r="E245" t="s">
        <v>79</v>
      </c>
      <c r="F245">
        <v>4</v>
      </c>
      <c r="G245">
        <v>0.15</v>
      </c>
      <c r="H245">
        <v>37400</v>
      </c>
      <c r="I245">
        <v>5262.6</v>
      </c>
      <c r="J245" t="s">
        <v>39</v>
      </c>
      <c r="K245" t="s">
        <v>40</v>
      </c>
      <c r="L245">
        <v>9350</v>
      </c>
      <c r="M245">
        <v>14.071122994652409</v>
      </c>
      <c r="N245" t="s">
        <v>8</v>
      </c>
      <c r="O245" t="s">
        <v>888</v>
      </c>
      <c r="P245" t="s">
        <v>29</v>
      </c>
      <c r="Q245" t="s">
        <v>74</v>
      </c>
      <c r="R245" t="s">
        <v>115</v>
      </c>
      <c r="S245" t="s">
        <v>115</v>
      </c>
      <c r="T245" t="s">
        <v>889</v>
      </c>
      <c r="U245" t="s">
        <v>46</v>
      </c>
      <c r="V245">
        <v>1315.65</v>
      </c>
    </row>
    <row r="246" spans="1:22" x14ac:dyDescent="0.3">
      <c r="A246" t="s">
        <v>890</v>
      </c>
      <c r="B246" s="2">
        <v>46058</v>
      </c>
      <c r="C246" t="s">
        <v>891</v>
      </c>
      <c r="D246" t="s">
        <v>24</v>
      </c>
      <c r="E246" t="s">
        <v>119</v>
      </c>
      <c r="F246">
        <v>1</v>
      </c>
      <c r="G246">
        <v>0.1</v>
      </c>
      <c r="H246">
        <v>8100</v>
      </c>
      <c r="I246">
        <v>1668.51</v>
      </c>
      <c r="J246" t="s">
        <v>65</v>
      </c>
      <c r="K246" t="s">
        <v>40</v>
      </c>
      <c r="L246">
        <v>8100</v>
      </c>
      <c r="M246">
        <v>20.59888888888889</v>
      </c>
      <c r="N246" t="s">
        <v>8</v>
      </c>
      <c r="O246" t="s">
        <v>892</v>
      </c>
      <c r="P246" t="s">
        <v>29</v>
      </c>
      <c r="Q246" t="s">
        <v>30</v>
      </c>
      <c r="R246" t="s">
        <v>31</v>
      </c>
      <c r="S246" t="s">
        <v>32</v>
      </c>
      <c r="T246" t="s">
        <v>893</v>
      </c>
      <c r="U246" t="s">
        <v>34</v>
      </c>
      <c r="V246">
        <v>1668.51</v>
      </c>
    </row>
    <row r="247" spans="1:22" x14ac:dyDescent="0.3">
      <c r="A247" t="s">
        <v>894</v>
      </c>
      <c r="B247" s="2">
        <v>46013</v>
      </c>
      <c r="C247" t="s">
        <v>186</v>
      </c>
      <c r="D247" t="s">
        <v>24</v>
      </c>
      <c r="E247" t="s">
        <v>92</v>
      </c>
      <c r="F247">
        <v>3</v>
      </c>
      <c r="G247">
        <v>0.05</v>
      </c>
      <c r="H247">
        <v>2565</v>
      </c>
      <c r="I247">
        <v>61.4</v>
      </c>
      <c r="J247" t="s">
        <v>26</v>
      </c>
      <c r="K247" t="s">
        <v>80</v>
      </c>
      <c r="L247">
        <v>855</v>
      </c>
      <c r="M247">
        <v>2.393762183235868</v>
      </c>
      <c r="N247" t="s">
        <v>8</v>
      </c>
      <c r="O247" t="s">
        <v>187</v>
      </c>
      <c r="P247" t="s">
        <v>83</v>
      </c>
      <c r="Q247" t="s">
        <v>42</v>
      </c>
      <c r="R247" t="s">
        <v>43</v>
      </c>
      <c r="S247" t="s">
        <v>44</v>
      </c>
      <c r="T247" t="s">
        <v>122</v>
      </c>
      <c r="U247" t="s">
        <v>34</v>
      </c>
      <c r="V247">
        <v>20.466666666666669</v>
      </c>
    </row>
    <row r="248" spans="1:22" x14ac:dyDescent="0.3">
      <c r="A248" t="s">
        <v>895</v>
      </c>
      <c r="B248" s="2">
        <v>46021</v>
      </c>
      <c r="C248" t="s">
        <v>509</v>
      </c>
      <c r="D248" t="s">
        <v>49</v>
      </c>
      <c r="E248" t="s">
        <v>50</v>
      </c>
      <c r="F248">
        <v>2</v>
      </c>
      <c r="G248">
        <v>0</v>
      </c>
      <c r="H248">
        <v>26000</v>
      </c>
      <c r="I248">
        <v>6400</v>
      </c>
      <c r="J248" t="s">
        <v>65</v>
      </c>
      <c r="K248" t="s">
        <v>40</v>
      </c>
      <c r="L248">
        <v>13000</v>
      </c>
      <c r="M248">
        <v>24.61538461538462</v>
      </c>
      <c r="N248" t="s">
        <v>8</v>
      </c>
      <c r="O248" t="s">
        <v>510</v>
      </c>
      <c r="P248" t="s">
        <v>73</v>
      </c>
      <c r="Q248" t="s">
        <v>42</v>
      </c>
      <c r="R248" t="s">
        <v>110</v>
      </c>
      <c r="S248" t="s">
        <v>111</v>
      </c>
      <c r="T248" t="s">
        <v>511</v>
      </c>
      <c r="U248" t="s">
        <v>34</v>
      </c>
      <c r="V248">
        <v>3200</v>
      </c>
    </row>
    <row r="249" spans="1:22" x14ac:dyDescent="0.3">
      <c r="A249" t="s">
        <v>896</v>
      </c>
      <c r="B249" s="2">
        <v>46152</v>
      </c>
      <c r="C249" t="s">
        <v>897</v>
      </c>
      <c r="D249" t="s">
        <v>70</v>
      </c>
      <c r="E249" t="s">
        <v>108</v>
      </c>
      <c r="F249">
        <v>1</v>
      </c>
      <c r="G249">
        <v>0.1</v>
      </c>
      <c r="H249">
        <v>4050</v>
      </c>
      <c r="I249">
        <v>1142.8900000000001</v>
      </c>
      <c r="J249" t="s">
        <v>26</v>
      </c>
      <c r="K249" t="s">
        <v>40</v>
      </c>
      <c r="L249">
        <v>4050</v>
      </c>
      <c r="M249">
        <v>28.219506172839509</v>
      </c>
      <c r="N249" t="s">
        <v>8</v>
      </c>
      <c r="O249" t="s">
        <v>607</v>
      </c>
      <c r="P249" t="s">
        <v>73</v>
      </c>
      <c r="Q249" t="s">
        <v>30</v>
      </c>
      <c r="R249" t="s">
        <v>31</v>
      </c>
      <c r="S249" t="s">
        <v>32</v>
      </c>
      <c r="T249" t="s">
        <v>898</v>
      </c>
      <c r="U249" t="s">
        <v>34</v>
      </c>
      <c r="V249">
        <v>1142.8900000000001</v>
      </c>
    </row>
    <row r="250" spans="1:22" x14ac:dyDescent="0.3">
      <c r="A250" t="s">
        <v>899</v>
      </c>
      <c r="B250" s="2">
        <v>46164</v>
      </c>
      <c r="C250" t="s">
        <v>900</v>
      </c>
      <c r="D250" t="s">
        <v>70</v>
      </c>
      <c r="E250" t="s">
        <v>165</v>
      </c>
      <c r="F250">
        <v>2</v>
      </c>
      <c r="G250">
        <v>0.15</v>
      </c>
      <c r="H250">
        <v>4250</v>
      </c>
      <c r="I250">
        <v>1083.3</v>
      </c>
      <c r="J250" t="s">
        <v>65</v>
      </c>
      <c r="K250" t="s">
        <v>40</v>
      </c>
      <c r="L250">
        <v>2125</v>
      </c>
      <c r="M250">
        <v>25.489411764705881</v>
      </c>
      <c r="N250" t="s">
        <v>8</v>
      </c>
      <c r="O250" t="s">
        <v>901</v>
      </c>
      <c r="P250" t="s">
        <v>29</v>
      </c>
      <c r="Q250" t="s">
        <v>30</v>
      </c>
      <c r="R250" t="s">
        <v>31</v>
      </c>
      <c r="S250" t="s">
        <v>32</v>
      </c>
      <c r="T250" t="s">
        <v>902</v>
      </c>
      <c r="U250" t="s">
        <v>34</v>
      </c>
      <c r="V250">
        <v>541.65</v>
      </c>
    </row>
    <row r="251" spans="1:22" x14ac:dyDescent="0.3">
      <c r="A251" t="s">
        <v>903</v>
      </c>
      <c r="B251" s="2">
        <v>45862</v>
      </c>
      <c r="C251" t="s">
        <v>904</v>
      </c>
      <c r="D251" t="s">
        <v>70</v>
      </c>
      <c r="E251" t="s">
        <v>165</v>
      </c>
      <c r="F251">
        <v>3</v>
      </c>
      <c r="G251">
        <v>0.1</v>
      </c>
      <c r="H251">
        <v>6750</v>
      </c>
      <c r="I251">
        <v>1988.44</v>
      </c>
      <c r="J251" t="s">
        <v>65</v>
      </c>
      <c r="K251" t="s">
        <v>40</v>
      </c>
      <c r="L251">
        <v>2250</v>
      </c>
      <c r="M251">
        <v>29.458370370370371</v>
      </c>
      <c r="N251" t="s">
        <v>8</v>
      </c>
      <c r="O251" t="s">
        <v>578</v>
      </c>
      <c r="P251" t="s">
        <v>29</v>
      </c>
      <c r="Q251" t="s">
        <v>131</v>
      </c>
      <c r="R251" t="s">
        <v>289</v>
      </c>
      <c r="S251" t="s">
        <v>290</v>
      </c>
      <c r="T251" t="s">
        <v>905</v>
      </c>
      <c r="U251" t="s">
        <v>46</v>
      </c>
      <c r="V251">
        <v>662.81333333333339</v>
      </c>
    </row>
    <row r="252" spans="1:22" x14ac:dyDescent="0.3">
      <c r="A252" t="s">
        <v>906</v>
      </c>
      <c r="B252" s="2">
        <v>46228</v>
      </c>
      <c r="C252" t="s">
        <v>907</v>
      </c>
      <c r="D252" t="s">
        <v>24</v>
      </c>
      <c r="E252" t="s">
        <v>87</v>
      </c>
      <c r="F252">
        <v>1</v>
      </c>
      <c r="G252">
        <v>0.15</v>
      </c>
      <c r="H252">
        <v>297.5</v>
      </c>
      <c r="I252">
        <v>-140.85</v>
      </c>
      <c r="J252" t="s">
        <v>39</v>
      </c>
      <c r="K252" t="s">
        <v>434</v>
      </c>
      <c r="L252">
        <v>297.5</v>
      </c>
      <c r="M252">
        <v>-47.344537815126053</v>
      </c>
      <c r="N252" t="s">
        <v>81</v>
      </c>
      <c r="O252" t="s">
        <v>908</v>
      </c>
      <c r="P252" t="s">
        <v>29</v>
      </c>
      <c r="Q252" t="s">
        <v>30</v>
      </c>
      <c r="R252" t="s">
        <v>60</v>
      </c>
      <c r="S252" t="s">
        <v>61</v>
      </c>
      <c r="T252" t="s">
        <v>486</v>
      </c>
      <c r="U252" t="s">
        <v>34</v>
      </c>
      <c r="V252">
        <v>-140.85</v>
      </c>
    </row>
    <row r="253" spans="1:22" x14ac:dyDescent="0.3">
      <c r="A253" t="s">
        <v>909</v>
      </c>
      <c r="B253" s="2">
        <v>46254</v>
      </c>
      <c r="C253" t="s">
        <v>910</v>
      </c>
      <c r="D253" t="s">
        <v>70</v>
      </c>
      <c r="E253" t="s">
        <v>108</v>
      </c>
      <c r="F253">
        <v>3</v>
      </c>
      <c r="G253">
        <v>0.1</v>
      </c>
      <c r="H253">
        <v>12150</v>
      </c>
      <c r="I253">
        <v>3722.2</v>
      </c>
      <c r="J253" t="s">
        <v>51</v>
      </c>
      <c r="K253" t="s">
        <v>40</v>
      </c>
      <c r="L253">
        <v>4050</v>
      </c>
      <c r="M253">
        <v>30.63539094650206</v>
      </c>
      <c r="N253" t="s">
        <v>8</v>
      </c>
      <c r="O253" t="s">
        <v>911</v>
      </c>
      <c r="P253" t="s">
        <v>29</v>
      </c>
      <c r="Q253" t="s">
        <v>30</v>
      </c>
      <c r="R253" t="s">
        <v>31</v>
      </c>
      <c r="S253" t="s">
        <v>32</v>
      </c>
      <c r="T253" t="s">
        <v>912</v>
      </c>
      <c r="U253" t="s">
        <v>34</v>
      </c>
      <c r="V253">
        <v>1240.7333333333329</v>
      </c>
    </row>
    <row r="254" spans="1:22" x14ac:dyDescent="0.3">
      <c r="A254" t="s">
        <v>913</v>
      </c>
      <c r="B254" s="2">
        <v>46046</v>
      </c>
      <c r="C254" t="s">
        <v>761</v>
      </c>
      <c r="D254" t="s">
        <v>24</v>
      </c>
      <c r="E254" t="s">
        <v>242</v>
      </c>
      <c r="F254">
        <v>5</v>
      </c>
      <c r="G254">
        <v>0.15</v>
      </c>
      <c r="H254">
        <v>1912.5</v>
      </c>
      <c r="I254">
        <v>-534.57000000000005</v>
      </c>
      <c r="J254" t="s">
        <v>51</v>
      </c>
      <c r="K254" t="s">
        <v>434</v>
      </c>
      <c r="L254">
        <v>382.5</v>
      </c>
      <c r="M254">
        <v>-27.951372549019609</v>
      </c>
      <c r="N254" t="s">
        <v>81</v>
      </c>
      <c r="O254" t="s">
        <v>762</v>
      </c>
      <c r="P254" t="s">
        <v>29</v>
      </c>
      <c r="Q254" t="s">
        <v>131</v>
      </c>
      <c r="R254" t="s">
        <v>132</v>
      </c>
      <c r="S254" t="s">
        <v>133</v>
      </c>
      <c r="T254" t="s">
        <v>763</v>
      </c>
      <c r="U254" t="s">
        <v>105</v>
      </c>
      <c r="V254">
        <v>-106.914</v>
      </c>
    </row>
    <row r="255" spans="1:22" x14ac:dyDescent="0.3">
      <c r="A255" t="s">
        <v>914</v>
      </c>
      <c r="B255" s="2">
        <v>46175</v>
      </c>
      <c r="C255" t="s">
        <v>340</v>
      </c>
      <c r="D255" t="s">
        <v>24</v>
      </c>
      <c r="E255" t="s">
        <v>87</v>
      </c>
      <c r="F255">
        <v>2</v>
      </c>
      <c r="G255">
        <v>0.15</v>
      </c>
      <c r="H255">
        <v>595</v>
      </c>
      <c r="I255">
        <v>151.34</v>
      </c>
      <c r="J255" t="s">
        <v>65</v>
      </c>
      <c r="K255" t="s">
        <v>40</v>
      </c>
      <c r="L255">
        <v>297.5</v>
      </c>
      <c r="M255">
        <v>25.435294117647061</v>
      </c>
      <c r="N255" t="s">
        <v>8</v>
      </c>
      <c r="O255" t="s">
        <v>341</v>
      </c>
      <c r="P255" t="s">
        <v>29</v>
      </c>
      <c r="Q255" t="s">
        <v>30</v>
      </c>
      <c r="R255" t="s">
        <v>98</v>
      </c>
      <c r="S255" t="s">
        <v>54</v>
      </c>
      <c r="T255" t="s">
        <v>342</v>
      </c>
      <c r="U255" t="s">
        <v>100</v>
      </c>
      <c r="V255">
        <v>75.67</v>
      </c>
    </row>
    <row r="256" spans="1:22" x14ac:dyDescent="0.3">
      <c r="A256" t="s">
        <v>915</v>
      </c>
      <c r="B256" s="2">
        <v>46222</v>
      </c>
      <c r="C256" t="s">
        <v>916</v>
      </c>
      <c r="D256" t="s">
        <v>70</v>
      </c>
      <c r="E256" t="s">
        <v>71</v>
      </c>
      <c r="F256">
        <v>1</v>
      </c>
      <c r="G256">
        <v>0</v>
      </c>
      <c r="H256">
        <v>18000</v>
      </c>
      <c r="I256">
        <v>3500</v>
      </c>
      <c r="J256" t="s">
        <v>26</v>
      </c>
      <c r="K256" t="s">
        <v>40</v>
      </c>
      <c r="L256">
        <v>18000</v>
      </c>
      <c r="M256">
        <v>19.44444444444445</v>
      </c>
      <c r="N256" t="s">
        <v>8</v>
      </c>
      <c r="O256" t="s">
        <v>917</v>
      </c>
      <c r="P256" t="s">
        <v>29</v>
      </c>
      <c r="Q256" t="s">
        <v>42</v>
      </c>
      <c r="R256" t="s">
        <v>121</v>
      </c>
      <c r="S256" t="s">
        <v>44</v>
      </c>
      <c r="T256" t="s">
        <v>918</v>
      </c>
      <c r="U256" t="s">
        <v>34</v>
      </c>
      <c r="V256">
        <v>3500</v>
      </c>
    </row>
    <row r="257" spans="1:22" x14ac:dyDescent="0.3">
      <c r="A257" t="s">
        <v>919</v>
      </c>
      <c r="B257" s="2">
        <v>46132</v>
      </c>
      <c r="C257" t="s">
        <v>221</v>
      </c>
      <c r="D257" t="s">
        <v>24</v>
      </c>
      <c r="E257" t="s">
        <v>87</v>
      </c>
      <c r="F257">
        <v>1</v>
      </c>
      <c r="G257">
        <v>0.1</v>
      </c>
      <c r="H257">
        <v>315</v>
      </c>
      <c r="I257">
        <v>-94.76</v>
      </c>
      <c r="J257" t="s">
        <v>51</v>
      </c>
      <c r="K257" t="s">
        <v>434</v>
      </c>
      <c r="L257">
        <v>315</v>
      </c>
      <c r="M257">
        <v>-30.082539682539679</v>
      </c>
      <c r="N257" t="s">
        <v>81</v>
      </c>
      <c r="O257" t="s">
        <v>222</v>
      </c>
      <c r="P257" t="s">
        <v>29</v>
      </c>
      <c r="Q257" t="s">
        <v>30</v>
      </c>
      <c r="R257" t="s">
        <v>53</v>
      </c>
      <c r="S257" t="s">
        <v>54</v>
      </c>
      <c r="T257" t="s">
        <v>223</v>
      </c>
      <c r="U257" t="s">
        <v>100</v>
      </c>
      <c r="V257">
        <v>-94.76</v>
      </c>
    </row>
    <row r="258" spans="1:22" x14ac:dyDescent="0.3">
      <c r="A258" t="s">
        <v>920</v>
      </c>
      <c r="B258" s="2">
        <v>46249</v>
      </c>
      <c r="C258" t="s">
        <v>921</v>
      </c>
      <c r="D258" t="s">
        <v>70</v>
      </c>
      <c r="E258" t="s">
        <v>165</v>
      </c>
      <c r="F258">
        <v>1</v>
      </c>
      <c r="G258">
        <v>0.05</v>
      </c>
      <c r="H258">
        <v>2375</v>
      </c>
      <c r="I258">
        <v>706.44</v>
      </c>
      <c r="J258" t="s">
        <v>65</v>
      </c>
      <c r="K258" t="s">
        <v>40</v>
      </c>
      <c r="L258">
        <v>2375</v>
      </c>
      <c r="M258">
        <v>29.74484210526316</v>
      </c>
      <c r="N258" t="s">
        <v>8</v>
      </c>
      <c r="O258" t="s">
        <v>922</v>
      </c>
      <c r="P258" t="s">
        <v>29</v>
      </c>
      <c r="Q258" t="s">
        <v>30</v>
      </c>
      <c r="R258" t="s">
        <v>53</v>
      </c>
      <c r="S258" t="s">
        <v>54</v>
      </c>
      <c r="T258" t="s">
        <v>923</v>
      </c>
      <c r="U258" t="s">
        <v>105</v>
      </c>
      <c r="V258">
        <v>706.44</v>
      </c>
    </row>
    <row r="259" spans="1:22" x14ac:dyDescent="0.3">
      <c r="A259" t="s">
        <v>924</v>
      </c>
      <c r="B259" s="2">
        <v>46159</v>
      </c>
      <c r="C259" t="s">
        <v>925</v>
      </c>
      <c r="D259" t="s">
        <v>70</v>
      </c>
      <c r="E259" t="s">
        <v>165</v>
      </c>
      <c r="F259">
        <v>2</v>
      </c>
      <c r="G259">
        <v>0.05</v>
      </c>
      <c r="H259">
        <v>4750</v>
      </c>
      <c r="I259">
        <v>1452.71</v>
      </c>
      <c r="J259" t="s">
        <v>51</v>
      </c>
      <c r="K259" t="s">
        <v>40</v>
      </c>
      <c r="L259">
        <v>2375</v>
      </c>
      <c r="M259">
        <v>30.583368421052629</v>
      </c>
      <c r="N259" t="s">
        <v>8</v>
      </c>
      <c r="O259" t="s">
        <v>926</v>
      </c>
      <c r="P259" t="s">
        <v>83</v>
      </c>
      <c r="Q259" t="s">
        <v>74</v>
      </c>
      <c r="R259" t="s">
        <v>75</v>
      </c>
      <c r="S259" t="s">
        <v>75</v>
      </c>
      <c r="T259" t="s">
        <v>927</v>
      </c>
      <c r="U259" t="s">
        <v>34</v>
      </c>
      <c r="V259">
        <v>726.35500000000002</v>
      </c>
    </row>
    <row r="260" spans="1:22" x14ac:dyDescent="0.3">
      <c r="A260" t="s">
        <v>928</v>
      </c>
      <c r="B260" s="2">
        <v>45874</v>
      </c>
      <c r="C260" t="s">
        <v>929</v>
      </c>
      <c r="D260" t="s">
        <v>70</v>
      </c>
      <c r="E260" t="s">
        <v>71</v>
      </c>
      <c r="F260">
        <v>15</v>
      </c>
      <c r="G260">
        <v>0.15</v>
      </c>
      <c r="H260">
        <v>229500</v>
      </c>
      <c r="I260">
        <v>25411.94</v>
      </c>
      <c r="J260" t="s">
        <v>26</v>
      </c>
      <c r="K260" t="s">
        <v>40</v>
      </c>
      <c r="L260">
        <v>15300</v>
      </c>
      <c r="M260">
        <v>11.072740740740739</v>
      </c>
      <c r="N260" t="s">
        <v>8</v>
      </c>
      <c r="O260" t="s">
        <v>930</v>
      </c>
      <c r="P260" t="s">
        <v>83</v>
      </c>
      <c r="Q260" t="s">
        <v>74</v>
      </c>
      <c r="R260" t="s">
        <v>493</v>
      </c>
      <c r="S260" t="s">
        <v>494</v>
      </c>
      <c r="T260" t="s">
        <v>931</v>
      </c>
      <c r="U260" t="s">
        <v>46</v>
      </c>
      <c r="V260">
        <v>1694.1293333333331</v>
      </c>
    </row>
    <row r="261" spans="1:22" x14ac:dyDescent="0.3">
      <c r="A261" t="s">
        <v>932</v>
      </c>
      <c r="B261" s="2">
        <v>46092</v>
      </c>
      <c r="C261" t="s">
        <v>933</v>
      </c>
      <c r="D261" t="s">
        <v>24</v>
      </c>
      <c r="E261" t="s">
        <v>92</v>
      </c>
      <c r="F261">
        <v>1</v>
      </c>
      <c r="G261">
        <v>0.15</v>
      </c>
      <c r="H261">
        <v>765</v>
      </c>
      <c r="I261">
        <v>210.02</v>
      </c>
      <c r="J261" t="s">
        <v>39</v>
      </c>
      <c r="K261" t="s">
        <v>40</v>
      </c>
      <c r="L261">
        <v>765</v>
      </c>
      <c r="M261">
        <v>27.453594771241828</v>
      </c>
      <c r="N261" t="s">
        <v>8</v>
      </c>
      <c r="O261" t="s">
        <v>233</v>
      </c>
      <c r="P261" t="s">
        <v>29</v>
      </c>
      <c r="Q261" t="s">
        <v>30</v>
      </c>
      <c r="R261" t="s">
        <v>31</v>
      </c>
      <c r="S261" t="s">
        <v>32</v>
      </c>
      <c r="T261" t="s">
        <v>934</v>
      </c>
      <c r="U261" t="s">
        <v>34</v>
      </c>
      <c r="V261">
        <v>210.02</v>
      </c>
    </row>
    <row r="262" spans="1:22" x14ac:dyDescent="0.3">
      <c r="A262" t="s">
        <v>935</v>
      </c>
      <c r="B262" s="2">
        <v>46008</v>
      </c>
      <c r="C262" t="s">
        <v>936</v>
      </c>
      <c r="D262" t="s">
        <v>70</v>
      </c>
      <c r="E262" t="s">
        <v>129</v>
      </c>
      <c r="F262">
        <v>5</v>
      </c>
      <c r="G262">
        <v>0.05</v>
      </c>
      <c r="H262">
        <v>261250</v>
      </c>
      <c r="I262">
        <v>34600.300000000003</v>
      </c>
      <c r="J262" t="s">
        <v>26</v>
      </c>
      <c r="K262" t="s">
        <v>40</v>
      </c>
      <c r="L262">
        <v>52250</v>
      </c>
      <c r="M262">
        <v>13.24413397129187</v>
      </c>
      <c r="N262" t="s">
        <v>8</v>
      </c>
      <c r="O262" t="s">
        <v>937</v>
      </c>
      <c r="P262" t="s">
        <v>73</v>
      </c>
      <c r="Q262" t="s">
        <v>30</v>
      </c>
      <c r="R262" t="s">
        <v>53</v>
      </c>
      <c r="S262" t="s">
        <v>54</v>
      </c>
      <c r="T262" t="s">
        <v>938</v>
      </c>
      <c r="U262" t="s">
        <v>34</v>
      </c>
      <c r="V262">
        <v>6920.06</v>
      </c>
    </row>
    <row r="263" spans="1:22" x14ac:dyDescent="0.3">
      <c r="A263" t="s">
        <v>939</v>
      </c>
      <c r="B263" s="2">
        <v>46071</v>
      </c>
      <c r="C263" t="s">
        <v>838</v>
      </c>
      <c r="D263" t="s">
        <v>70</v>
      </c>
      <c r="E263" t="s">
        <v>108</v>
      </c>
      <c r="F263">
        <v>1</v>
      </c>
      <c r="G263">
        <v>0.05</v>
      </c>
      <c r="H263">
        <v>4275</v>
      </c>
      <c r="I263">
        <v>1388.47</v>
      </c>
      <c r="J263" t="s">
        <v>26</v>
      </c>
      <c r="K263" t="s">
        <v>40</v>
      </c>
      <c r="L263">
        <v>4275</v>
      </c>
      <c r="M263">
        <v>32.478830409356718</v>
      </c>
      <c r="N263" t="s">
        <v>8</v>
      </c>
      <c r="O263" t="s">
        <v>839</v>
      </c>
      <c r="P263" t="s">
        <v>73</v>
      </c>
      <c r="Q263" t="s">
        <v>30</v>
      </c>
      <c r="R263" t="s">
        <v>31</v>
      </c>
      <c r="S263" t="s">
        <v>32</v>
      </c>
      <c r="T263" t="s">
        <v>840</v>
      </c>
      <c r="U263" t="s">
        <v>100</v>
      </c>
      <c r="V263">
        <v>1388.47</v>
      </c>
    </row>
    <row r="264" spans="1:22" x14ac:dyDescent="0.3">
      <c r="A264" t="s">
        <v>940</v>
      </c>
      <c r="B264" s="2">
        <v>45842</v>
      </c>
      <c r="C264" t="s">
        <v>941</v>
      </c>
      <c r="D264" t="s">
        <v>37</v>
      </c>
      <c r="E264" t="s">
        <v>170</v>
      </c>
      <c r="F264">
        <v>3</v>
      </c>
      <c r="G264">
        <v>0.15</v>
      </c>
      <c r="H264">
        <v>3570</v>
      </c>
      <c r="I264">
        <v>241.94</v>
      </c>
      <c r="J264" t="s">
        <v>39</v>
      </c>
      <c r="K264" t="s">
        <v>80</v>
      </c>
      <c r="L264">
        <v>1190</v>
      </c>
      <c r="M264">
        <v>6.7770308123249299</v>
      </c>
      <c r="N264" t="s">
        <v>8</v>
      </c>
      <c r="O264" t="s">
        <v>942</v>
      </c>
      <c r="P264" t="s">
        <v>73</v>
      </c>
      <c r="Q264" t="s">
        <v>42</v>
      </c>
      <c r="R264" t="s">
        <v>110</v>
      </c>
      <c r="S264" t="s">
        <v>111</v>
      </c>
      <c r="T264" t="s">
        <v>943</v>
      </c>
      <c r="U264" t="s">
        <v>46</v>
      </c>
      <c r="V264">
        <v>80.646666666666661</v>
      </c>
    </row>
    <row r="265" spans="1:22" x14ac:dyDescent="0.3">
      <c r="A265" t="s">
        <v>944</v>
      </c>
      <c r="B265" s="2">
        <v>46077</v>
      </c>
      <c r="C265" t="s">
        <v>858</v>
      </c>
      <c r="D265" t="s">
        <v>49</v>
      </c>
      <c r="E265" t="s">
        <v>79</v>
      </c>
      <c r="F265">
        <v>2</v>
      </c>
      <c r="G265">
        <v>0.05</v>
      </c>
      <c r="H265">
        <v>20900</v>
      </c>
      <c r="I265">
        <v>-852.15</v>
      </c>
      <c r="J265" t="s">
        <v>26</v>
      </c>
      <c r="K265" t="s">
        <v>80</v>
      </c>
      <c r="L265">
        <v>10450</v>
      </c>
      <c r="M265">
        <v>-4.0772727272727272</v>
      </c>
      <c r="N265" t="s">
        <v>81</v>
      </c>
      <c r="O265" t="s">
        <v>406</v>
      </c>
      <c r="P265" t="s">
        <v>73</v>
      </c>
      <c r="Q265" t="s">
        <v>30</v>
      </c>
      <c r="R265" t="s">
        <v>53</v>
      </c>
      <c r="S265" t="s">
        <v>54</v>
      </c>
      <c r="T265" t="s">
        <v>859</v>
      </c>
      <c r="U265" t="s">
        <v>105</v>
      </c>
      <c r="V265">
        <v>-426.07499999999999</v>
      </c>
    </row>
    <row r="266" spans="1:22" x14ac:dyDescent="0.3">
      <c r="A266" t="s">
        <v>945</v>
      </c>
      <c r="B266" s="2">
        <v>46191</v>
      </c>
      <c r="C266" t="s">
        <v>946</v>
      </c>
      <c r="D266" t="s">
        <v>24</v>
      </c>
      <c r="E266" t="s">
        <v>25</v>
      </c>
      <c r="F266">
        <v>10</v>
      </c>
      <c r="G266">
        <v>0.1</v>
      </c>
      <c r="H266">
        <v>126000</v>
      </c>
      <c r="I266">
        <v>16576.04</v>
      </c>
      <c r="J266" t="s">
        <v>39</v>
      </c>
      <c r="K266" t="s">
        <v>40</v>
      </c>
      <c r="L266">
        <v>12600</v>
      </c>
      <c r="M266">
        <v>13.1555873015873</v>
      </c>
      <c r="N266" t="s">
        <v>8</v>
      </c>
      <c r="O266" t="s">
        <v>947</v>
      </c>
      <c r="P266" t="s">
        <v>73</v>
      </c>
      <c r="Q266" t="s">
        <v>74</v>
      </c>
      <c r="R266" t="s">
        <v>75</v>
      </c>
      <c r="S266" t="s">
        <v>75</v>
      </c>
      <c r="T266" t="s">
        <v>948</v>
      </c>
      <c r="U266" t="s">
        <v>100</v>
      </c>
      <c r="V266">
        <v>1657.604</v>
      </c>
    </row>
    <row r="267" spans="1:22" x14ac:dyDescent="0.3">
      <c r="A267" t="s">
        <v>949</v>
      </c>
      <c r="B267" s="2">
        <v>46092</v>
      </c>
      <c r="C267" t="s">
        <v>348</v>
      </c>
      <c r="D267" t="s">
        <v>37</v>
      </c>
      <c r="E267" t="s">
        <v>190</v>
      </c>
      <c r="F267">
        <v>3</v>
      </c>
      <c r="G267">
        <v>0.05</v>
      </c>
      <c r="H267">
        <v>11970</v>
      </c>
      <c r="I267">
        <v>3315</v>
      </c>
      <c r="J267" t="s">
        <v>39</v>
      </c>
      <c r="K267" t="s">
        <v>40</v>
      </c>
      <c r="L267">
        <v>3990</v>
      </c>
      <c r="M267">
        <v>27.694235588972429</v>
      </c>
      <c r="N267" t="s">
        <v>8</v>
      </c>
      <c r="O267" t="s">
        <v>349</v>
      </c>
      <c r="P267" t="s">
        <v>83</v>
      </c>
      <c r="Q267" t="s">
        <v>30</v>
      </c>
      <c r="R267" t="s">
        <v>31</v>
      </c>
      <c r="S267" t="s">
        <v>32</v>
      </c>
      <c r="T267" t="s">
        <v>307</v>
      </c>
      <c r="U267" t="s">
        <v>100</v>
      </c>
      <c r="V267">
        <v>1105</v>
      </c>
    </row>
    <row r="268" spans="1:22" x14ac:dyDescent="0.3">
      <c r="A268" t="s">
        <v>950</v>
      </c>
      <c r="B268" s="2">
        <v>46146</v>
      </c>
      <c r="C268" t="s">
        <v>397</v>
      </c>
      <c r="D268" t="s">
        <v>70</v>
      </c>
      <c r="E268" t="s">
        <v>165</v>
      </c>
      <c r="F268">
        <v>1</v>
      </c>
      <c r="G268">
        <v>0</v>
      </c>
      <c r="H268">
        <v>2500</v>
      </c>
      <c r="I268">
        <v>800</v>
      </c>
      <c r="J268" t="s">
        <v>51</v>
      </c>
      <c r="K268" t="s">
        <v>27</v>
      </c>
      <c r="L268">
        <v>2500</v>
      </c>
      <c r="M268">
        <v>32</v>
      </c>
      <c r="N268" t="s">
        <v>8</v>
      </c>
      <c r="O268" t="s">
        <v>398</v>
      </c>
      <c r="P268" t="s">
        <v>73</v>
      </c>
      <c r="Q268" t="s">
        <v>30</v>
      </c>
      <c r="R268" t="s">
        <v>98</v>
      </c>
      <c r="S268" t="s">
        <v>54</v>
      </c>
      <c r="T268" t="s">
        <v>399</v>
      </c>
      <c r="U268" t="s">
        <v>34</v>
      </c>
      <c r="V268">
        <v>800</v>
      </c>
    </row>
    <row r="269" spans="1:22" x14ac:dyDescent="0.3">
      <c r="A269" t="s">
        <v>951</v>
      </c>
      <c r="B269" s="2">
        <v>46198</v>
      </c>
      <c r="C269" t="s">
        <v>952</v>
      </c>
      <c r="D269" t="s">
        <v>49</v>
      </c>
      <c r="E269" t="s">
        <v>79</v>
      </c>
      <c r="F269">
        <v>4</v>
      </c>
      <c r="G269">
        <v>0.15</v>
      </c>
      <c r="H269">
        <v>37400</v>
      </c>
      <c r="I269">
        <v>5124.3500000000004</v>
      </c>
      <c r="J269" t="s">
        <v>39</v>
      </c>
      <c r="K269" t="s">
        <v>40</v>
      </c>
      <c r="L269">
        <v>9350</v>
      </c>
      <c r="M269">
        <v>13.701470588235299</v>
      </c>
      <c r="N269" t="s">
        <v>8</v>
      </c>
      <c r="O269" t="s">
        <v>953</v>
      </c>
      <c r="P269" t="s">
        <v>83</v>
      </c>
      <c r="Q269" t="s">
        <v>42</v>
      </c>
      <c r="R269" t="s">
        <v>110</v>
      </c>
      <c r="S269" t="s">
        <v>111</v>
      </c>
      <c r="T269" t="s">
        <v>954</v>
      </c>
      <c r="U269" t="s">
        <v>105</v>
      </c>
      <c r="V269">
        <v>1281.0875000000001</v>
      </c>
    </row>
    <row r="270" spans="1:22" x14ac:dyDescent="0.3">
      <c r="A270" t="s">
        <v>955</v>
      </c>
      <c r="B270" s="2">
        <v>45862</v>
      </c>
      <c r="C270" t="s">
        <v>305</v>
      </c>
      <c r="D270" t="s">
        <v>37</v>
      </c>
      <c r="E270" t="s">
        <v>310</v>
      </c>
      <c r="F270">
        <v>2</v>
      </c>
      <c r="G270">
        <v>0.15</v>
      </c>
      <c r="H270">
        <v>3740</v>
      </c>
      <c r="I270">
        <v>1103.53</v>
      </c>
      <c r="J270" t="s">
        <v>26</v>
      </c>
      <c r="K270" t="s">
        <v>40</v>
      </c>
      <c r="L270">
        <v>1870</v>
      </c>
      <c r="M270">
        <v>29.506149732620319</v>
      </c>
      <c r="N270" t="s">
        <v>8</v>
      </c>
      <c r="O270" t="s">
        <v>306</v>
      </c>
      <c r="P270" t="s">
        <v>29</v>
      </c>
      <c r="Q270" t="s">
        <v>30</v>
      </c>
      <c r="R270" t="s">
        <v>60</v>
      </c>
      <c r="S270" t="s">
        <v>61</v>
      </c>
      <c r="T270" t="s">
        <v>307</v>
      </c>
      <c r="U270" t="s">
        <v>34</v>
      </c>
      <c r="V270">
        <v>551.76499999999999</v>
      </c>
    </row>
    <row r="271" spans="1:22" x14ac:dyDescent="0.3">
      <c r="A271" t="s">
        <v>956</v>
      </c>
      <c r="B271" s="2">
        <v>45993</v>
      </c>
      <c r="C271" t="s">
        <v>340</v>
      </c>
      <c r="D271" t="s">
        <v>49</v>
      </c>
      <c r="E271" t="s">
        <v>79</v>
      </c>
      <c r="F271">
        <v>1</v>
      </c>
      <c r="G271">
        <v>0.1</v>
      </c>
      <c r="H271">
        <v>9900</v>
      </c>
      <c r="I271">
        <v>1899.68</v>
      </c>
      <c r="J271" t="s">
        <v>65</v>
      </c>
      <c r="K271" t="s">
        <v>40</v>
      </c>
      <c r="L271">
        <v>9900</v>
      </c>
      <c r="M271">
        <v>19.188686868686869</v>
      </c>
      <c r="N271" t="s">
        <v>8</v>
      </c>
      <c r="O271" t="s">
        <v>341</v>
      </c>
      <c r="P271" t="s">
        <v>29</v>
      </c>
      <c r="Q271" t="s">
        <v>30</v>
      </c>
      <c r="R271" t="s">
        <v>98</v>
      </c>
      <c r="S271" t="s">
        <v>54</v>
      </c>
      <c r="T271" t="s">
        <v>342</v>
      </c>
      <c r="U271" t="s">
        <v>100</v>
      </c>
      <c r="V271">
        <v>1899.68</v>
      </c>
    </row>
    <row r="272" spans="1:22" x14ac:dyDescent="0.3">
      <c r="A272" t="s">
        <v>957</v>
      </c>
      <c r="B272" s="2">
        <v>45916</v>
      </c>
      <c r="C272" t="s">
        <v>958</v>
      </c>
      <c r="D272" t="s">
        <v>70</v>
      </c>
      <c r="E272" t="s">
        <v>108</v>
      </c>
      <c r="F272">
        <v>3</v>
      </c>
      <c r="G272">
        <v>0.15</v>
      </c>
      <c r="H272">
        <v>11475</v>
      </c>
      <c r="I272">
        <v>3102.39</v>
      </c>
      <c r="J272" t="s">
        <v>65</v>
      </c>
      <c r="K272" t="s">
        <v>40</v>
      </c>
      <c r="L272">
        <v>3825</v>
      </c>
      <c r="M272">
        <v>27.036078431372541</v>
      </c>
      <c r="N272" t="s">
        <v>8</v>
      </c>
      <c r="O272" t="s">
        <v>959</v>
      </c>
      <c r="P272" t="s">
        <v>73</v>
      </c>
      <c r="Q272" t="s">
        <v>42</v>
      </c>
      <c r="R272" t="s">
        <v>43</v>
      </c>
      <c r="S272" t="s">
        <v>44</v>
      </c>
      <c r="T272" t="s">
        <v>960</v>
      </c>
      <c r="U272" t="s">
        <v>34</v>
      </c>
      <c r="V272">
        <v>1034.1300000000001</v>
      </c>
    </row>
    <row r="273" spans="1:22" x14ac:dyDescent="0.3">
      <c r="A273" t="s">
        <v>961</v>
      </c>
      <c r="B273" s="2">
        <v>45962</v>
      </c>
      <c r="C273" t="s">
        <v>962</v>
      </c>
      <c r="D273" t="s">
        <v>24</v>
      </c>
      <c r="E273" t="s">
        <v>242</v>
      </c>
      <c r="F273">
        <v>1</v>
      </c>
      <c r="G273">
        <v>0.1</v>
      </c>
      <c r="H273">
        <v>405</v>
      </c>
      <c r="I273">
        <v>79.650000000000006</v>
      </c>
      <c r="J273" t="s">
        <v>26</v>
      </c>
      <c r="K273" t="s">
        <v>40</v>
      </c>
      <c r="L273">
        <v>405</v>
      </c>
      <c r="M273">
        <v>19.666666666666671</v>
      </c>
      <c r="N273" t="s">
        <v>8</v>
      </c>
      <c r="O273" t="s">
        <v>963</v>
      </c>
      <c r="P273" t="s">
        <v>29</v>
      </c>
      <c r="Q273" t="s">
        <v>42</v>
      </c>
      <c r="R273" t="s">
        <v>214</v>
      </c>
      <c r="S273" t="s">
        <v>111</v>
      </c>
      <c r="T273" t="s">
        <v>964</v>
      </c>
      <c r="U273" t="s">
        <v>100</v>
      </c>
      <c r="V273">
        <v>79.650000000000006</v>
      </c>
    </row>
    <row r="274" spans="1:22" x14ac:dyDescent="0.3">
      <c r="A274" t="s">
        <v>965</v>
      </c>
      <c r="B274" s="2">
        <v>45901</v>
      </c>
      <c r="C274" t="s">
        <v>801</v>
      </c>
      <c r="D274" t="s">
        <v>70</v>
      </c>
      <c r="E274" t="s">
        <v>108</v>
      </c>
      <c r="F274">
        <v>2</v>
      </c>
      <c r="G274">
        <v>0.1</v>
      </c>
      <c r="H274">
        <v>8100</v>
      </c>
      <c r="I274">
        <v>2328.4299999999998</v>
      </c>
      <c r="J274" t="s">
        <v>26</v>
      </c>
      <c r="K274" t="s">
        <v>40</v>
      </c>
      <c r="L274">
        <v>4050</v>
      </c>
      <c r="M274">
        <v>28.746049382716048</v>
      </c>
      <c r="N274" t="s">
        <v>8</v>
      </c>
      <c r="O274" t="s">
        <v>478</v>
      </c>
      <c r="P274" t="s">
        <v>29</v>
      </c>
      <c r="Q274" t="s">
        <v>30</v>
      </c>
      <c r="R274" t="s">
        <v>98</v>
      </c>
      <c r="S274" t="s">
        <v>54</v>
      </c>
      <c r="T274" t="s">
        <v>802</v>
      </c>
      <c r="U274" t="s">
        <v>34</v>
      </c>
      <c r="V274">
        <v>1164.2149999999999</v>
      </c>
    </row>
    <row r="275" spans="1:22" x14ac:dyDescent="0.3">
      <c r="A275" t="s">
        <v>966</v>
      </c>
      <c r="B275" s="2">
        <v>45888</v>
      </c>
      <c r="C275" t="s">
        <v>640</v>
      </c>
      <c r="D275" t="s">
        <v>49</v>
      </c>
      <c r="E275" t="s">
        <v>79</v>
      </c>
      <c r="F275">
        <v>6</v>
      </c>
      <c r="G275">
        <v>0.15</v>
      </c>
      <c r="H275">
        <v>56100</v>
      </c>
      <c r="I275">
        <v>9805.2900000000009</v>
      </c>
      <c r="J275" t="s">
        <v>26</v>
      </c>
      <c r="K275" t="s">
        <v>40</v>
      </c>
      <c r="L275">
        <v>9350</v>
      </c>
      <c r="M275">
        <v>17.478235294117649</v>
      </c>
      <c r="N275" t="s">
        <v>8</v>
      </c>
      <c r="O275" t="s">
        <v>641</v>
      </c>
      <c r="P275" t="s">
        <v>29</v>
      </c>
      <c r="Q275" t="s">
        <v>30</v>
      </c>
      <c r="R275" t="s">
        <v>31</v>
      </c>
      <c r="S275" t="s">
        <v>32</v>
      </c>
      <c r="T275" t="s">
        <v>642</v>
      </c>
      <c r="U275" t="s">
        <v>34</v>
      </c>
      <c r="V275">
        <v>1634.2149999999999</v>
      </c>
    </row>
    <row r="276" spans="1:22" x14ac:dyDescent="0.3">
      <c r="A276" t="s">
        <v>967</v>
      </c>
      <c r="B276" s="2">
        <v>45882</v>
      </c>
      <c r="C276" t="s">
        <v>372</v>
      </c>
      <c r="D276" t="s">
        <v>49</v>
      </c>
      <c r="E276" t="s">
        <v>79</v>
      </c>
      <c r="F276">
        <v>2</v>
      </c>
      <c r="G276">
        <v>0</v>
      </c>
      <c r="H276">
        <v>22000</v>
      </c>
      <c r="I276">
        <v>5200</v>
      </c>
      <c r="J276" t="s">
        <v>39</v>
      </c>
      <c r="K276" t="s">
        <v>40</v>
      </c>
      <c r="L276">
        <v>11000</v>
      </c>
      <c r="M276">
        <v>23.63636363636364</v>
      </c>
      <c r="N276" t="s">
        <v>8</v>
      </c>
      <c r="O276" t="s">
        <v>374</v>
      </c>
      <c r="P276" t="s">
        <v>73</v>
      </c>
      <c r="Q276" t="s">
        <v>30</v>
      </c>
      <c r="R276" t="s">
        <v>53</v>
      </c>
      <c r="S276" t="s">
        <v>54</v>
      </c>
      <c r="T276" t="s">
        <v>375</v>
      </c>
      <c r="U276" t="s">
        <v>105</v>
      </c>
      <c r="V276">
        <v>2600</v>
      </c>
    </row>
    <row r="277" spans="1:22" x14ac:dyDescent="0.3">
      <c r="A277" t="s">
        <v>968</v>
      </c>
      <c r="B277" s="2">
        <v>46069</v>
      </c>
      <c r="C277" t="s">
        <v>465</v>
      </c>
      <c r="D277" t="s">
        <v>70</v>
      </c>
      <c r="E277" t="s">
        <v>108</v>
      </c>
      <c r="F277">
        <v>3</v>
      </c>
      <c r="G277">
        <v>0.15</v>
      </c>
      <c r="H277">
        <v>11475</v>
      </c>
      <c r="I277">
        <v>3148.55</v>
      </c>
      <c r="J277" t="s">
        <v>39</v>
      </c>
      <c r="K277" t="s">
        <v>40</v>
      </c>
      <c r="L277">
        <v>3825</v>
      </c>
      <c r="M277">
        <v>27.43834422657952</v>
      </c>
      <c r="N277" t="s">
        <v>8</v>
      </c>
      <c r="O277" t="s">
        <v>362</v>
      </c>
      <c r="P277" t="s">
        <v>29</v>
      </c>
      <c r="Q277" t="s">
        <v>42</v>
      </c>
      <c r="R277" t="s">
        <v>121</v>
      </c>
      <c r="S277" t="s">
        <v>44</v>
      </c>
      <c r="T277" t="s">
        <v>466</v>
      </c>
      <c r="U277" t="s">
        <v>100</v>
      </c>
      <c r="V277">
        <v>1049.5166666666671</v>
      </c>
    </row>
    <row r="278" spans="1:22" x14ac:dyDescent="0.3">
      <c r="A278" t="s">
        <v>969</v>
      </c>
      <c r="B278" s="2">
        <v>46062</v>
      </c>
      <c r="C278" t="s">
        <v>970</v>
      </c>
      <c r="D278" t="s">
        <v>70</v>
      </c>
      <c r="E278" t="s">
        <v>129</v>
      </c>
      <c r="F278">
        <v>6</v>
      </c>
      <c r="G278">
        <v>0.15</v>
      </c>
      <c r="H278">
        <v>280500</v>
      </c>
      <c r="I278">
        <v>21094.6</v>
      </c>
      <c r="J278" t="s">
        <v>26</v>
      </c>
      <c r="K278" t="s">
        <v>27</v>
      </c>
      <c r="L278">
        <v>46750</v>
      </c>
      <c r="M278">
        <v>7.5203565062388584</v>
      </c>
      <c r="N278" t="s">
        <v>8</v>
      </c>
      <c r="O278" t="s">
        <v>971</v>
      </c>
      <c r="P278" t="s">
        <v>83</v>
      </c>
      <c r="Q278" t="s">
        <v>30</v>
      </c>
      <c r="R278" t="s">
        <v>31</v>
      </c>
      <c r="S278" t="s">
        <v>32</v>
      </c>
      <c r="T278" t="s">
        <v>972</v>
      </c>
      <c r="U278" t="s">
        <v>34</v>
      </c>
      <c r="V278">
        <v>3515.766666666666</v>
      </c>
    </row>
    <row r="279" spans="1:22" x14ac:dyDescent="0.3">
      <c r="A279" t="s">
        <v>973</v>
      </c>
      <c r="B279" s="2">
        <v>46156</v>
      </c>
      <c r="C279" t="s">
        <v>974</v>
      </c>
      <c r="D279" t="s">
        <v>49</v>
      </c>
      <c r="E279" t="s">
        <v>58</v>
      </c>
      <c r="F279">
        <v>2</v>
      </c>
      <c r="G279">
        <v>0</v>
      </c>
      <c r="H279">
        <v>30000</v>
      </c>
      <c r="I279">
        <v>7000</v>
      </c>
      <c r="J279" t="s">
        <v>26</v>
      </c>
      <c r="K279" t="s">
        <v>40</v>
      </c>
      <c r="L279">
        <v>15000</v>
      </c>
      <c r="M279">
        <v>23.333333333333329</v>
      </c>
      <c r="N279" t="s">
        <v>8</v>
      </c>
      <c r="O279" t="s">
        <v>975</v>
      </c>
      <c r="P279" t="s">
        <v>73</v>
      </c>
      <c r="Q279" t="s">
        <v>42</v>
      </c>
      <c r="R279" t="s">
        <v>43</v>
      </c>
      <c r="S279" t="s">
        <v>44</v>
      </c>
      <c r="T279" t="s">
        <v>976</v>
      </c>
      <c r="U279" t="s">
        <v>100</v>
      </c>
      <c r="V279">
        <v>3500</v>
      </c>
    </row>
    <row r="280" spans="1:22" x14ac:dyDescent="0.3">
      <c r="A280" t="s">
        <v>977</v>
      </c>
      <c r="B280" s="2">
        <v>45968</v>
      </c>
      <c r="C280" t="s">
        <v>978</v>
      </c>
      <c r="D280" t="s">
        <v>70</v>
      </c>
      <c r="E280" t="s">
        <v>71</v>
      </c>
      <c r="F280">
        <v>1</v>
      </c>
      <c r="G280">
        <v>0</v>
      </c>
      <c r="H280">
        <v>18000</v>
      </c>
      <c r="I280">
        <v>3500</v>
      </c>
      <c r="J280" t="s">
        <v>65</v>
      </c>
      <c r="K280" t="s">
        <v>40</v>
      </c>
      <c r="L280">
        <v>18000</v>
      </c>
      <c r="M280">
        <v>19.44444444444445</v>
      </c>
      <c r="N280" t="s">
        <v>8</v>
      </c>
      <c r="O280" t="s">
        <v>979</v>
      </c>
      <c r="P280" t="s">
        <v>29</v>
      </c>
      <c r="Q280" t="s">
        <v>42</v>
      </c>
      <c r="R280" t="s">
        <v>121</v>
      </c>
      <c r="S280" t="s">
        <v>44</v>
      </c>
      <c r="T280" t="s">
        <v>415</v>
      </c>
      <c r="U280" t="s">
        <v>34</v>
      </c>
      <c r="V280">
        <v>3500</v>
      </c>
    </row>
    <row r="281" spans="1:22" x14ac:dyDescent="0.3">
      <c r="A281" t="s">
        <v>980</v>
      </c>
      <c r="B281" s="2">
        <v>45977</v>
      </c>
      <c r="C281" t="s">
        <v>204</v>
      </c>
      <c r="D281" t="s">
        <v>37</v>
      </c>
      <c r="E281" t="s">
        <v>310</v>
      </c>
      <c r="F281">
        <v>5</v>
      </c>
      <c r="G281">
        <v>0.15</v>
      </c>
      <c r="H281">
        <v>9350</v>
      </c>
      <c r="I281">
        <v>7.56</v>
      </c>
      <c r="J281" t="s">
        <v>26</v>
      </c>
      <c r="K281" t="s">
        <v>434</v>
      </c>
      <c r="L281">
        <v>1870</v>
      </c>
      <c r="M281">
        <v>8.0855614973262033E-2</v>
      </c>
      <c r="N281" t="s">
        <v>8</v>
      </c>
      <c r="O281" t="s">
        <v>205</v>
      </c>
      <c r="P281" t="s">
        <v>29</v>
      </c>
      <c r="Q281" t="s">
        <v>30</v>
      </c>
      <c r="R281" t="s">
        <v>98</v>
      </c>
      <c r="S281" t="s">
        <v>54</v>
      </c>
      <c r="T281" t="s">
        <v>206</v>
      </c>
      <c r="U281" t="s">
        <v>34</v>
      </c>
      <c r="V281">
        <v>1.512</v>
      </c>
    </row>
    <row r="282" spans="1:22" x14ac:dyDescent="0.3">
      <c r="A282" t="s">
        <v>981</v>
      </c>
      <c r="B282" s="2">
        <v>45853</v>
      </c>
      <c r="C282" t="s">
        <v>869</v>
      </c>
      <c r="D282" t="s">
        <v>24</v>
      </c>
      <c r="E282" t="s">
        <v>92</v>
      </c>
      <c r="F282">
        <v>3</v>
      </c>
      <c r="G282">
        <v>0.15</v>
      </c>
      <c r="H282">
        <v>2295</v>
      </c>
      <c r="I282">
        <v>557.67999999999995</v>
      </c>
      <c r="J282" t="s">
        <v>39</v>
      </c>
      <c r="K282" t="s">
        <v>40</v>
      </c>
      <c r="L282">
        <v>765</v>
      </c>
      <c r="M282">
        <v>24.299782135076249</v>
      </c>
      <c r="N282" t="s">
        <v>8</v>
      </c>
      <c r="O282" t="s">
        <v>870</v>
      </c>
      <c r="P282" t="s">
        <v>73</v>
      </c>
      <c r="Q282" t="s">
        <v>30</v>
      </c>
      <c r="R282" t="s">
        <v>98</v>
      </c>
      <c r="S282" t="s">
        <v>54</v>
      </c>
      <c r="T282" t="s">
        <v>859</v>
      </c>
      <c r="U282" t="s">
        <v>34</v>
      </c>
      <c r="V282">
        <v>185.89333333333329</v>
      </c>
    </row>
    <row r="283" spans="1:22" x14ac:dyDescent="0.3">
      <c r="A283" t="s">
        <v>982</v>
      </c>
      <c r="B283" s="2">
        <v>45927</v>
      </c>
      <c r="C283" t="s">
        <v>983</v>
      </c>
      <c r="D283" t="s">
        <v>49</v>
      </c>
      <c r="E283" t="s">
        <v>79</v>
      </c>
      <c r="F283">
        <v>1</v>
      </c>
      <c r="G283">
        <v>0.1</v>
      </c>
      <c r="H283">
        <v>9900</v>
      </c>
      <c r="I283">
        <v>1823.54</v>
      </c>
      <c r="J283" t="s">
        <v>51</v>
      </c>
      <c r="K283" t="s">
        <v>40</v>
      </c>
      <c r="L283">
        <v>9900</v>
      </c>
      <c r="M283">
        <v>18.419595959595959</v>
      </c>
      <c r="N283" t="s">
        <v>8</v>
      </c>
      <c r="O283" t="s">
        <v>984</v>
      </c>
      <c r="P283" t="s">
        <v>29</v>
      </c>
      <c r="Q283" t="s">
        <v>30</v>
      </c>
      <c r="R283" t="s">
        <v>31</v>
      </c>
      <c r="S283" t="s">
        <v>32</v>
      </c>
      <c r="T283" t="s">
        <v>985</v>
      </c>
      <c r="U283" t="s">
        <v>46</v>
      </c>
      <c r="V283">
        <v>1823.54</v>
      </c>
    </row>
    <row r="284" spans="1:22" x14ac:dyDescent="0.3">
      <c r="A284" t="s">
        <v>986</v>
      </c>
      <c r="B284" s="2">
        <v>46213</v>
      </c>
      <c r="C284" t="s">
        <v>625</v>
      </c>
      <c r="D284" t="s">
        <v>49</v>
      </c>
      <c r="E284" t="s">
        <v>79</v>
      </c>
      <c r="F284">
        <v>3</v>
      </c>
      <c r="G284">
        <v>0.1</v>
      </c>
      <c r="H284">
        <v>29700</v>
      </c>
      <c r="I284">
        <v>5554.7</v>
      </c>
      <c r="J284" t="s">
        <v>65</v>
      </c>
      <c r="K284" t="s">
        <v>40</v>
      </c>
      <c r="L284">
        <v>9900</v>
      </c>
      <c r="M284">
        <v>18.7026936026936</v>
      </c>
      <c r="N284" t="s">
        <v>8</v>
      </c>
      <c r="O284" t="s">
        <v>626</v>
      </c>
      <c r="P284" t="s">
        <v>29</v>
      </c>
      <c r="Q284" t="s">
        <v>30</v>
      </c>
      <c r="R284" t="s">
        <v>53</v>
      </c>
      <c r="S284" t="s">
        <v>54</v>
      </c>
      <c r="T284" t="s">
        <v>627</v>
      </c>
      <c r="U284" t="s">
        <v>105</v>
      </c>
      <c r="V284">
        <v>1851.5666666666671</v>
      </c>
    </row>
    <row r="285" spans="1:22" x14ac:dyDescent="0.3">
      <c r="A285" t="s">
        <v>987</v>
      </c>
      <c r="B285" s="2">
        <v>45940</v>
      </c>
      <c r="C285" t="s">
        <v>194</v>
      </c>
      <c r="D285" t="s">
        <v>24</v>
      </c>
      <c r="E285" t="s">
        <v>87</v>
      </c>
      <c r="F285">
        <v>1</v>
      </c>
      <c r="G285">
        <v>0.1</v>
      </c>
      <c r="H285">
        <v>315</v>
      </c>
      <c r="I285">
        <v>95.41</v>
      </c>
      <c r="J285" t="s">
        <v>39</v>
      </c>
      <c r="K285" t="s">
        <v>27</v>
      </c>
      <c r="L285">
        <v>315</v>
      </c>
      <c r="M285">
        <v>30.288888888888891</v>
      </c>
      <c r="N285" t="s">
        <v>8</v>
      </c>
      <c r="O285" t="s">
        <v>195</v>
      </c>
      <c r="P285" t="s">
        <v>73</v>
      </c>
      <c r="Q285" t="s">
        <v>30</v>
      </c>
      <c r="R285" t="s">
        <v>98</v>
      </c>
      <c r="S285" t="s">
        <v>54</v>
      </c>
      <c r="T285" t="s">
        <v>196</v>
      </c>
      <c r="U285" t="s">
        <v>105</v>
      </c>
      <c r="V285">
        <v>95.41</v>
      </c>
    </row>
    <row r="286" spans="1:22" x14ac:dyDescent="0.3">
      <c r="A286" t="s">
        <v>988</v>
      </c>
      <c r="B286" s="2">
        <v>46191</v>
      </c>
      <c r="C286" t="s">
        <v>377</v>
      </c>
      <c r="D286" t="s">
        <v>24</v>
      </c>
      <c r="E286" t="s">
        <v>25</v>
      </c>
      <c r="F286">
        <v>1</v>
      </c>
      <c r="G286">
        <v>0.1</v>
      </c>
      <c r="H286">
        <v>12600</v>
      </c>
      <c r="I286">
        <v>1883.38</v>
      </c>
      <c r="J286" t="s">
        <v>65</v>
      </c>
      <c r="K286" t="s">
        <v>40</v>
      </c>
      <c r="L286">
        <v>12600</v>
      </c>
      <c r="M286">
        <v>14.947460317460321</v>
      </c>
      <c r="N286" t="s">
        <v>8</v>
      </c>
      <c r="O286" t="s">
        <v>378</v>
      </c>
      <c r="P286" t="s">
        <v>29</v>
      </c>
      <c r="Q286" t="s">
        <v>30</v>
      </c>
      <c r="R286" t="s">
        <v>31</v>
      </c>
      <c r="S286" t="s">
        <v>32</v>
      </c>
      <c r="T286" t="s">
        <v>379</v>
      </c>
      <c r="U286" t="s">
        <v>34</v>
      </c>
      <c r="V286">
        <v>1883.38</v>
      </c>
    </row>
    <row r="287" spans="1:22" x14ac:dyDescent="0.3">
      <c r="A287" t="s">
        <v>989</v>
      </c>
      <c r="B287" s="2">
        <v>46232</v>
      </c>
      <c r="C287" t="s">
        <v>722</v>
      </c>
      <c r="D287" t="s">
        <v>37</v>
      </c>
      <c r="E287" t="s">
        <v>310</v>
      </c>
      <c r="F287">
        <v>4</v>
      </c>
      <c r="G287">
        <v>0.1</v>
      </c>
      <c r="H287">
        <v>7920</v>
      </c>
      <c r="I287">
        <v>2357.9</v>
      </c>
      <c r="J287" t="s">
        <v>51</v>
      </c>
      <c r="K287" t="s">
        <v>40</v>
      </c>
      <c r="L287">
        <v>1980</v>
      </c>
      <c r="M287">
        <v>29.771464646464651</v>
      </c>
      <c r="N287" t="s">
        <v>8</v>
      </c>
      <c r="O287" t="s">
        <v>723</v>
      </c>
      <c r="P287" t="s">
        <v>73</v>
      </c>
      <c r="Q287" t="s">
        <v>42</v>
      </c>
      <c r="R287" t="s">
        <v>121</v>
      </c>
      <c r="S287" t="s">
        <v>44</v>
      </c>
      <c r="T287" t="s">
        <v>138</v>
      </c>
      <c r="U287" t="s">
        <v>46</v>
      </c>
      <c r="V287">
        <v>589.47500000000002</v>
      </c>
    </row>
    <row r="288" spans="1:22" x14ac:dyDescent="0.3">
      <c r="A288" t="s">
        <v>990</v>
      </c>
      <c r="B288" s="2">
        <v>45986</v>
      </c>
      <c r="C288" t="s">
        <v>991</v>
      </c>
      <c r="D288" t="s">
        <v>37</v>
      </c>
      <c r="E288" t="s">
        <v>170</v>
      </c>
      <c r="F288">
        <v>1</v>
      </c>
      <c r="G288">
        <v>0.1</v>
      </c>
      <c r="H288">
        <v>1260</v>
      </c>
      <c r="I288">
        <v>382.85</v>
      </c>
      <c r="J288" t="s">
        <v>26</v>
      </c>
      <c r="K288" t="s">
        <v>40</v>
      </c>
      <c r="L288">
        <v>1260</v>
      </c>
      <c r="M288">
        <v>30.38492063492064</v>
      </c>
      <c r="N288" t="s">
        <v>8</v>
      </c>
      <c r="O288" t="s">
        <v>537</v>
      </c>
      <c r="P288" t="s">
        <v>29</v>
      </c>
      <c r="Q288" t="s">
        <v>74</v>
      </c>
      <c r="R288" t="s">
        <v>75</v>
      </c>
      <c r="S288" t="s">
        <v>75</v>
      </c>
      <c r="T288" t="s">
        <v>992</v>
      </c>
      <c r="U288" t="s">
        <v>34</v>
      </c>
      <c r="V288">
        <v>382.85</v>
      </c>
    </row>
    <row r="289" spans="1:22" x14ac:dyDescent="0.3">
      <c r="A289" t="s">
        <v>993</v>
      </c>
      <c r="B289" s="2">
        <v>46129</v>
      </c>
      <c r="C289" t="s">
        <v>994</v>
      </c>
      <c r="D289" t="s">
        <v>70</v>
      </c>
      <c r="E289" t="s">
        <v>108</v>
      </c>
      <c r="F289">
        <v>10</v>
      </c>
      <c r="G289">
        <v>0.15</v>
      </c>
      <c r="H289">
        <v>38250</v>
      </c>
      <c r="I289">
        <v>9863</v>
      </c>
      <c r="J289" t="s">
        <v>65</v>
      </c>
      <c r="K289" t="s">
        <v>40</v>
      </c>
      <c r="L289">
        <v>3825</v>
      </c>
      <c r="M289">
        <v>25.785620915032681</v>
      </c>
      <c r="N289" t="s">
        <v>8</v>
      </c>
      <c r="O289" t="s">
        <v>995</v>
      </c>
      <c r="P289" t="s">
        <v>29</v>
      </c>
      <c r="Q289" t="s">
        <v>131</v>
      </c>
      <c r="R289" t="s">
        <v>449</v>
      </c>
      <c r="S289" t="s">
        <v>450</v>
      </c>
      <c r="T289" t="s">
        <v>184</v>
      </c>
      <c r="U289" t="s">
        <v>105</v>
      </c>
      <c r="V289">
        <v>986.3</v>
      </c>
    </row>
    <row r="290" spans="1:22" x14ac:dyDescent="0.3">
      <c r="A290" t="s">
        <v>996</v>
      </c>
      <c r="B290" s="2">
        <v>46222</v>
      </c>
      <c r="C290" t="s">
        <v>997</v>
      </c>
      <c r="D290" t="s">
        <v>37</v>
      </c>
      <c r="E290" t="s">
        <v>170</v>
      </c>
      <c r="F290">
        <v>3</v>
      </c>
      <c r="G290">
        <v>0</v>
      </c>
      <c r="H290">
        <v>4200</v>
      </c>
      <c r="I290">
        <v>1500</v>
      </c>
      <c r="J290" t="s">
        <v>26</v>
      </c>
      <c r="K290" t="s">
        <v>40</v>
      </c>
      <c r="L290">
        <v>1400</v>
      </c>
      <c r="M290">
        <v>35.714285714285722</v>
      </c>
      <c r="N290" t="s">
        <v>8</v>
      </c>
      <c r="O290" t="s">
        <v>166</v>
      </c>
      <c r="P290" t="s">
        <v>73</v>
      </c>
      <c r="Q290" t="s">
        <v>131</v>
      </c>
      <c r="R290" t="s">
        <v>449</v>
      </c>
      <c r="S290" t="s">
        <v>450</v>
      </c>
      <c r="T290" t="s">
        <v>515</v>
      </c>
      <c r="U290" t="s">
        <v>46</v>
      </c>
      <c r="V290">
        <v>500</v>
      </c>
    </row>
    <row r="291" spans="1:22" x14ac:dyDescent="0.3">
      <c r="A291" t="s">
        <v>998</v>
      </c>
      <c r="B291" s="2">
        <v>46207</v>
      </c>
      <c r="C291" t="s">
        <v>36</v>
      </c>
      <c r="D291" t="s">
        <v>24</v>
      </c>
      <c r="E291" t="s">
        <v>25</v>
      </c>
      <c r="F291">
        <v>1</v>
      </c>
      <c r="G291">
        <v>0.1</v>
      </c>
      <c r="H291">
        <v>12600</v>
      </c>
      <c r="I291">
        <v>1766.21</v>
      </c>
      <c r="J291" t="s">
        <v>26</v>
      </c>
      <c r="K291" t="s">
        <v>40</v>
      </c>
      <c r="L291">
        <v>12600</v>
      </c>
      <c r="M291">
        <v>14.017539682539679</v>
      </c>
      <c r="N291" t="s">
        <v>8</v>
      </c>
      <c r="O291" t="s">
        <v>41</v>
      </c>
      <c r="P291" t="s">
        <v>29</v>
      </c>
      <c r="Q291" t="s">
        <v>42</v>
      </c>
      <c r="R291" t="s">
        <v>43</v>
      </c>
      <c r="S291" t="s">
        <v>44</v>
      </c>
      <c r="T291" t="s">
        <v>45</v>
      </c>
      <c r="U291" t="s">
        <v>46</v>
      </c>
      <c r="V291">
        <v>1766.21</v>
      </c>
    </row>
    <row r="292" spans="1:22" x14ac:dyDescent="0.3">
      <c r="A292" t="s">
        <v>999</v>
      </c>
      <c r="B292" s="2">
        <v>46045</v>
      </c>
      <c r="C292" t="s">
        <v>1000</v>
      </c>
      <c r="D292" t="s">
        <v>24</v>
      </c>
      <c r="E292" t="s">
        <v>87</v>
      </c>
      <c r="F292">
        <v>3</v>
      </c>
      <c r="G292">
        <v>0.15</v>
      </c>
      <c r="H292">
        <v>892.5</v>
      </c>
      <c r="I292">
        <v>239.35</v>
      </c>
      <c r="J292" t="s">
        <v>65</v>
      </c>
      <c r="K292" t="s">
        <v>40</v>
      </c>
      <c r="L292">
        <v>297.5</v>
      </c>
      <c r="M292">
        <v>26.817927170868341</v>
      </c>
      <c r="N292" t="s">
        <v>8</v>
      </c>
      <c r="O292" t="s">
        <v>1001</v>
      </c>
      <c r="P292" t="s">
        <v>29</v>
      </c>
      <c r="Q292" t="s">
        <v>30</v>
      </c>
      <c r="R292" t="s">
        <v>60</v>
      </c>
      <c r="S292" t="s">
        <v>61</v>
      </c>
      <c r="T292" t="s">
        <v>1002</v>
      </c>
      <c r="U292" t="s">
        <v>105</v>
      </c>
      <c r="V292">
        <v>79.783333333333331</v>
      </c>
    </row>
    <row r="293" spans="1:22" x14ac:dyDescent="0.3">
      <c r="A293" t="s">
        <v>1003</v>
      </c>
      <c r="B293" s="2">
        <v>46038</v>
      </c>
      <c r="C293" t="s">
        <v>1004</v>
      </c>
      <c r="D293" t="s">
        <v>70</v>
      </c>
      <c r="E293" t="s">
        <v>71</v>
      </c>
      <c r="F293">
        <v>3</v>
      </c>
      <c r="G293">
        <v>0.05</v>
      </c>
      <c r="H293">
        <v>51300</v>
      </c>
      <c r="I293">
        <v>-24366.53</v>
      </c>
      <c r="J293" t="s">
        <v>26</v>
      </c>
      <c r="K293" t="s">
        <v>434</v>
      </c>
      <c r="L293">
        <v>17100</v>
      </c>
      <c r="M293">
        <v>-47.498109161793373</v>
      </c>
      <c r="N293" t="s">
        <v>81</v>
      </c>
      <c r="O293" t="s">
        <v>1005</v>
      </c>
      <c r="P293" t="s">
        <v>29</v>
      </c>
      <c r="Q293" t="s">
        <v>30</v>
      </c>
      <c r="R293" t="s">
        <v>98</v>
      </c>
      <c r="S293" t="s">
        <v>54</v>
      </c>
      <c r="T293" t="s">
        <v>1006</v>
      </c>
      <c r="U293" t="s">
        <v>105</v>
      </c>
      <c r="V293">
        <v>-8122.1766666666663</v>
      </c>
    </row>
    <row r="294" spans="1:22" x14ac:dyDescent="0.3">
      <c r="A294" t="s">
        <v>1007</v>
      </c>
      <c r="B294" s="2">
        <v>46183</v>
      </c>
      <c r="C294" t="s">
        <v>1008</v>
      </c>
      <c r="D294" t="s">
        <v>37</v>
      </c>
      <c r="E294" t="s">
        <v>310</v>
      </c>
      <c r="F294">
        <v>3</v>
      </c>
      <c r="G294">
        <v>0</v>
      </c>
      <c r="H294">
        <v>6600</v>
      </c>
      <c r="I294">
        <v>2250</v>
      </c>
      <c r="J294" t="s">
        <v>65</v>
      </c>
      <c r="K294" t="s">
        <v>40</v>
      </c>
      <c r="L294">
        <v>2200</v>
      </c>
      <c r="M294">
        <v>34.090909090909093</v>
      </c>
      <c r="N294" t="s">
        <v>8</v>
      </c>
      <c r="O294" t="s">
        <v>1009</v>
      </c>
      <c r="P294" t="s">
        <v>83</v>
      </c>
      <c r="Q294" t="s">
        <v>42</v>
      </c>
      <c r="R294" t="s">
        <v>214</v>
      </c>
      <c r="S294" t="s">
        <v>111</v>
      </c>
      <c r="T294" t="s">
        <v>848</v>
      </c>
      <c r="U294" t="s">
        <v>100</v>
      </c>
      <c r="V294">
        <v>750</v>
      </c>
    </row>
    <row r="295" spans="1:22" x14ac:dyDescent="0.3">
      <c r="A295" t="s">
        <v>1010</v>
      </c>
      <c r="B295" s="2">
        <v>46140</v>
      </c>
      <c r="C295" t="s">
        <v>128</v>
      </c>
      <c r="D295" t="s">
        <v>70</v>
      </c>
      <c r="E295" t="s">
        <v>129</v>
      </c>
      <c r="F295">
        <v>4</v>
      </c>
      <c r="G295">
        <v>0.1</v>
      </c>
      <c r="H295">
        <v>198000</v>
      </c>
      <c r="I295">
        <v>20646.25</v>
      </c>
      <c r="J295" t="s">
        <v>39</v>
      </c>
      <c r="K295" t="s">
        <v>40</v>
      </c>
      <c r="L295">
        <v>49500</v>
      </c>
      <c r="M295">
        <v>10.42739898989899</v>
      </c>
      <c r="N295" t="s">
        <v>8</v>
      </c>
      <c r="O295" t="s">
        <v>130</v>
      </c>
      <c r="P295" t="s">
        <v>83</v>
      </c>
      <c r="Q295" t="s">
        <v>131</v>
      </c>
      <c r="R295" t="s">
        <v>132</v>
      </c>
      <c r="S295" t="s">
        <v>133</v>
      </c>
      <c r="T295" t="s">
        <v>134</v>
      </c>
      <c r="U295" t="s">
        <v>46</v>
      </c>
      <c r="V295">
        <v>5161.5625</v>
      </c>
    </row>
    <row r="296" spans="1:22" x14ac:dyDescent="0.3">
      <c r="A296" t="s">
        <v>1011</v>
      </c>
      <c r="B296" s="2">
        <v>46028</v>
      </c>
      <c r="C296" t="s">
        <v>570</v>
      </c>
      <c r="D296" t="s">
        <v>24</v>
      </c>
      <c r="E296" t="s">
        <v>242</v>
      </c>
      <c r="F296">
        <v>2</v>
      </c>
      <c r="G296">
        <v>0</v>
      </c>
      <c r="H296">
        <v>900</v>
      </c>
      <c r="I296">
        <v>220</v>
      </c>
      <c r="J296" t="s">
        <v>26</v>
      </c>
      <c r="K296" t="s">
        <v>40</v>
      </c>
      <c r="L296">
        <v>450</v>
      </c>
      <c r="M296">
        <v>24.444444444444439</v>
      </c>
      <c r="N296" t="s">
        <v>8</v>
      </c>
      <c r="O296" t="s">
        <v>571</v>
      </c>
      <c r="P296" t="s">
        <v>29</v>
      </c>
      <c r="Q296" t="s">
        <v>30</v>
      </c>
      <c r="R296" t="s">
        <v>31</v>
      </c>
      <c r="S296" t="s">
        <v>32</v>
      </c>
      <c r="T296" t="s">
        <v>572</v>
      </c>
      <c r="U296" t="s">
        <v>100</v>
      </c>
      <c r="V296">
        <v>110</v>
      </c>
    </row>
    <row r="297" spans="1:22" x14ac:dyDescent="0.3">
      <c r="A297" t="s">
        <v>1012</v>
      </c>
      <c r="B297" s="2">
        <v>46265</v>
      </c>
      <c r="C297" t="s">
        <v>481</v>
      </c>
      <c r="D297" t="s">
        <v>49</v>
      </c>
      <c r="E297" t="s">
        <v>50</v>
      </c>
      <c r="F297">
        <v>4</v>
      </c>
      <c r="G297">
        <v>0.15</v>
      </c>
      <c r="H297">
        <v>44200</v>
      </c>
      <c r="I297">
        <v>-7221.14</v>
      </c>
      <c r="J297" t="s">
        <v>26</v>
      </c>
      <c r="K297" t="s">
        <v>434</v>
      </c>
      <c r="L297">
        <v>11050</v>
      </c>
      <c r="M297">
        <v>-16.337420814479639</v>
      </c>
      <c r="N297" t="s">
        <v>81</v>
      </c>
      <c r="O297" t="s">
        <v>482</v>
      </c>
      <c r="P297" t="s">
        <v>83</v>
      </c>
      <c r="Q297" t="s">
        <v>30</v>
      </c>
      <c r="R297" t="s">
        <v>31</v>
      </c>
      <c r="S297" t="s">
        <v>32</v>
      </c>
      <c r="T297" t="s">
        <v>483</v>
      </c>
      <c r="U297" t="s">
        <v>46</v>
      </c>
      <c r="V297">
        <v>-1805.2850000000001</v>
      </c>
    </row>
    <row r="298" spans="1:22" x14ac:dyDescent="0.3">
      <c r="A298" t="s">
        <v>1013</v>
      </c>
      <c r="B298" s="2">
        <v>46092</v>
      </c>
      <c r="C298" t="s">
        <v>1014</v>
      </c>
      <c r="D298" t="s">
        <v>24</v>
      </c>
      <c r="E298" t="s">
        <v>25</v>
      </c>
      <c r="F298">
        <v>2</v>
      </c>
      <c r="G298">
        <v>0.1</v>
      </c>
      <c r="H298">
        <v>25200</v>
      </c>
      <c r="I298">
        <v>3492.42</v>
      </c>
      <c r="J298" t="s">
        <v>26</v>
      </c>
      <c r="K298" t="s">
        <v>40</v>
      </c>
      <c r="L298">
        <v>12600</v>
      </c>
      <c r="M298">
        <v>13.858809523809519</v>
      </c>
      <c r="N298" t="s">
        <v>8</v>
      </c>
      <c r="O298" t="s">
        <v>530</v>
      </c>
      <c r="P298" t="s">
        <v>73</v>
      </c>
      <c r="Q298" t="s">
        <v>42</v>
      </c>
      <c r="R298" t="s">
        <v>121</v>
      </c>
      <c r="S298" t="s">
        <v>44</v>
      </c>
      <c r="T298" t="s">
        <v>1015</v>
      </c>
      <c r="U298" t="s">
        <v>34</v>
      </c>
      <c r="V298">
        <v>1746.21</v>
      </c>
    </row>
    <row r="299" spans="1:22" x14ac:dyDescent="0.3">
      <c r="A299" t="s">
        <v>1016</v>
      </c>
      <c r="B299" s="2">
        <v>45970</v>
      </c>
      <c r="C299" t="s">
        <v>1017</v>
      </c>
      <c r="D299" t="s">
        <v>70</v>
      </c>
      <c r="E299" t="s">
        <v>71</v>
      </c>
      <c r="F299">
        <v>6</v>
      </c>
      <c r="G299">
        <v>0</v>
      </c>
      <c r="H299">
        <v>108000</v>
      </c>
      <c r="I299">
        <v>-31668.09</v>
      </c>
      <c r="J299" t="s">
        <v>65</v>
      </c>
      <c r="K299" t="s">
        <v>434</v>
      </c>
      <c r="L299">
        <v>18000</v>
      </c>
      <c r="M299">
        <v>-29.322305555555559</v>
      </c>
      <c r="N299" t="s">
        <v>81</v>
      </c>
      <c r="O299" t="s">
        <v>1018</v>
      </c>
      <c r="P299" t="s">
        <v>83</v>
      </c>
      <c r="Q299" t="s">
        <v>30</v>
      </c>
      <c r="R299" t="s">
        <v>98</v>
      </c>
      <c r="S299" t="s">
        <v>54</v>
      </c>
      <c r="T299" t="s">
        <v>1019</v>
      </c>
      <c r="U299" t="s">
        <v>46</v>
      </c>
      <c r="V299">
        <v>-5278.0150000000003</v>
      </c>
    </row>
    <row r="300" spans="1:22" x14ac:dyDescent="0.3">
      <c r="A300" t="s">
        <v>1020</v>
      </c>
      <c r="B300" s="2">
        <v>46002</v>
      </c>
      <c r="C300" t="s">
        <v>189</v>
      </c>
      <c r="D300" t="s">
        <v>70</v>
      </c>
      <c r="E300" t="s">
        <v>165</v>
      </c>
      <c r="F300">
        <v>3</v>
      </c>
      <c r="G300">
        <v>0</v>
      </c>
      <c r="H300">
        <v>7500</v>
      </c>
      <c r="I300">
        <v>2400</v>
      </c>
      <c r="J300" t="s">
        <v>51</v>
      </c>
      <c r="K300" t="s">
        <v>40</v>
      </c>
      <c r="L300">
        <v>2500</v>
      </c>
      <c r="M300">
        <v>32</v>
      </c>
      <c r="N300" t="s">
        <v>8</v>
      </c>
      <c r="O300" t="s">
        <v>191</v>
      </c>
      <c r="P300" t="s">
        <v>29</v>
      </c>
      <c r="Q300" t="s">
        <v>30</v>
      </c>
      <c r="R300" t="s">
        <v>31</v>
      </c>
      <c r="S300" t="s">
        <v>32</v>
      </c>
      <c r="T300" t="s">
        <v>192</v>
      </c>
      <c r="U300" t="s">
        <v>34</v>
      </c>
      <c r="V300">
        <v>800</v>
      </c>
    </row>
    <row r="301" spans="1:22" x14ac:dyDescent="0.3">
      <c r="A301" t="s">
        <v>1021</v>
      </c>
      <c r="B301" s="2">
        <v>45844</v>
      </c>
      <c r="C301" t="s">
        <v>365</v>
      </c>
      <c r="D301" t="s">
        <v>70</v>
      </c>
      <c r="E301" t="s">
        <v>165</v>
      </c>
      <c r="F301">
        <v>1</v>
      </c>
      <c r="G301">
        <v>0.15</v>
      </c>
      <c r="H301">
        <v>2125</v>
      </c>
      <c r="I301">
        <v>540</v>
      </c>
      <c r="J301" t="s">
        <v>65</v>
      </c>
      <c r="K301" t="s">
        <v>40</v>
      </c>
      <c r="L301">
        <v>2125</v>
      </c>
      <c r="M301">
        <v>25.411764705882351</v>
      </c>
      <c r="N301" t="s">
        <v>8</v>
      </c>
      <c r="O301" t="s">
        <v>318</v>
      </c>
      <c r="P301" t="s">
        <v>29</v>
      </c>
      <c r="Q301" t="s">
        <v>30</v>
      </c>
      <c r="R301" t="s">
        <v>31</v>
      </c>
      <c r="S301" t="s">
        <v>32</v>
      </c>
      <c r="T301" t="s">
        <v>366</v>
      </c>
      <c r="U301" t="s">
        <v>105</v>
      </c>
      <c r="V301">
        <v>540</v>
      </c>
    </row>
    <row r="302" spans="1:22" x14ac:dyDescent="0.3">
      <c r="A302" t="s">
        <v>1022</v>
      </c>
      <c r="B302" s="2">
        <v>45928</v>
      </c>
      <c r="C302" t="s">
        <v>644</v>
      </c>
      <c r="D302" t="s">
        <v>49</v>
      </c>
      <c r="E302" t="s">
        <v>79</v>
      </c>
      <c r="F302">
        <v>2</v>
      </c>
      <c r="G302">
        <v>0.15</v>
      </c>
      <c r="H302">
        <v>18700</v>
      </c>
      <c r="I302">
        <v>2762.17</v>
      </c>
      <c r="J302" t="s">
        <v>51</v>
      </c>
      <c r="K302" t="s">
        <v>40</v>
      </c>
      <c r="L302">
        <v>9350</v>
      </c>
      <c r="M302">
        <v>14.77096256684492</v>
      </c>
      <c r="N302" t="s">
        <v>8</v>
      </c>
      <c r="O302" t="s">
        <v>213</v>
      </c>
      <c r="P302" t="s">
        <v>29</v>
      </c>
      <c r="Q302" t="s">
        <v>30</v>
      </c>
      <c r="R302" t="s">
        <v>31</v>
      </c>
      <c r="S302" t="s">
        <v>32</v>
      </c>
      <c r="T302" t="s">
        <v>645</v>
      </c>
      <c r="U302" t="s">
        <v>46</v>
      </c>
      <c r="V302">
        <v>1381.085</v>
      </c>
    </row>
    <row r="303" spans="1:22" x14ac:dyDescent="0.3">
      <c r="A303" t="s">
        <v>1023</v>
      </c>
      <c r="B303" s="2">
        <v>45844</v>
      </c>
      <c r="C303" t="s">
        <v>1024</v>
      </c>
      <c r="D303" t="s">
        <v>24</v>
      </c>
      <c r="E303" t="s">
        <v>242</v>
      </c>
      <c r="F303">
        <v>5</v>
      </c>
      <c r="G303">
        <v>0.2</v>
      </c>
      <c r="H303">
        <v>1800</v>
      </c>
      <c r="I303">
        <v>191.59</v>
      </c>
      <c r="J303" t="s">
        <v>51</v>
      </c>
      <c r="K303" t="s">
        <v>27</v>
      </c>
      <c r="L303">
        <v>360</v>
      </c>
      <c r="M303">
        <v>10.64388888888889</v>
      </c>
      <c r="N303" t="s">
        <v>8</v>
      </c>
      <c r="O303" t="s">
        <v>1025</v>
      </c>
      <c r="P303" t="s">
        <v>29</v>
      </c>
      <c r="Q303" t="s">
        <v>74</v>
      </c>
      <c r="R303" t="s">
        <v>75</v>
      </c>
      <c r="S303" t="s">
        <v>75</v>
      </c>
      <c r="T303" t="s">
        <v>1026</v>
      </c>
      <c r="U303" t="s">
        <v>46</v>
      </c>
      <c r="V303">
        <v>38.317999999999998</v>
      </c>
    </row>
    <row r="304" spans="1:22" x14ac:dyDescent="0.3">
      <c r="A304" t="s">
        <v>1027</v>
      </c>
      <c r="B304" s="2">
        <v>46254</v>
      </c>
      <c r="C304" t="s">
        <v>1028</v>
      </c>
      <c r="D304" t="s">
        <v>49</v>
      </c>
      <c r="E304" t="s">
        <v>50</v>
      </c>
      <c r="F304">
        <v>3</v>
      </c>
      <c r="G304">
        <v>0.1</v>
      </c>
      <c r="H304">
        <v>35100</v>
      </c>
      <c r="I304">
        <v>6320.12</v>
      </c>
      <c r="J304" t="s">
        <v>39</v>
      </c>
      <c r="K304" t="s">
        <v>27</v>
      </c>
      <c r="L304">
        <v>11700</v>
      </c>
      <c r="M304">
        <v>18.00603988603989</v>
      </c>
      <c r="N304" t="s">
        <v>8</v>
      </c>
      <c r="O304" t="s">
        <v>390</v>
      </c>
      <c r="P304" t="s">
        <v>29</v>
      </c>
      <c r="Q304" t="s">
        <v>74</v>
      </c>
      <c r="R304" t="s">
        <v>237</v>
      </c>
      <c r="S304" t="s">
        <v>238</v>
      </c>
      <c r="T304" t="s">
        <v>1029</v>
      </c>
      <c r="U304" t="s">
        <v>46</v>
      </c>
      <c r="V304">
        <v>2106.706666666666</v>
      </c>
    </row>
    <row r="305" spans="1:22" x14ac:dyDescent="0.3">
      <c r="A305" t="s">
        <v>1030</v>
      </c>
      <c r="B305" s="2">
        <v>46145</v>
      </c>
      <c r="C305" t="s">
        <v>340</v>
      </c>
      <c r="D305" t="s">
        <v>70</v>
      </c>
      <c r="E305" t="s">
        <v>71</v>
      </c>
      <c r="F305">
        <v>1</v>
      </c>
      <c r="G305">
        <v>0</v>
      </c>
      <c r="H305">
        <v>18000</v>
      </c>
      <c r="I305">
        <v>3500</v>
      </c>
      <c r="J305" t="s">
        <v>65</v>
      </c>
      <c r="K305" t="s">
        <v>27</v>
      </c>
      <c r="L305">
        <v>18000</v>
      </c>
      <c r="M305">
        <v>19.44444444444445</v>
      </c>
      <c r="N305" t="s">
        <v>8</v>
      </c>
      <c r="O305" t="s">
        <v>341</v>
      </c>
      <c r="P305" t="s">
        <v>29</v>
      </c>
      <c r="Q305" t="s">
        <v>30</v>
      </c>
      <c r="R305" t="s">
        <v>98</v>
      </c>
      <c r="S305" t="s">
        <v>54</v>
      </c>
      <c r="T305" t="s">
        <v>342</v>
      </c>
      <c r="U305" t="s">
        <v>100</v>
      </c>
      <c r="V305">
        <v>3500</v>
      </c>
    </row>
    <row r="306" spans="1:22" x14ac:dyDescent="0.3">
      <c r="A306" t="s">
        <v>1031</v>
      </c>
      <c r="B306" s="2">
        <v>46083</v>
      </c>
      <c r="C306" t="s">
        <v>1032</v>
      </c>
      <c r="D306" t="s">
        <v>24</v>
      </c>
      <c r="E306" t="s">
        <v>242</v>
      </c>
      <c r="F306">
        <v>1</v>
      </c>
      <c r="G306">
        <v>0.05</v>
      </c>
      <c r="H306">
        <v>427.5</v>
      </c>
      <c r="I306">
        <v>99.43</v>
      </c>
      <c r="J306" t="s">
        <v>65</v>
      </c>
      <c r="K306" t="s">
        <v>40</v>
      </c>
      <c r="L306">
        <v>427.5</v>
      </c>
      <c r="M306">
        <v>23.25847953216374</v>
      </c>
      <c r="N306" t="s">
        <v>8</v>
      </c>
      <c r="O306" t="s">
        <v>1033</v>
      </c>
      <c r="P306" t="s">
        <v>73</v>
      </c>
      <c r="Q306" t="s">
        <v>131</v>
      </c>
      <c r="R306" t="s">
        <v>449</v>
      </c>
      <c r="S306" t="s">
        <v>450</v>
      </c>
      <c r="T306" t="s">
        <v>1034</v>
      </c>
      <c r="U306" t="s">
        <v>46</v>
      </c>
      <c r="V306">
        <v>99.43</v>
      </c>
    </row>
    <row r="307" spans="1:22" x14ac:dyDescent="0.3">
      <c r="A307" t="s">
        <v>1035</v>
      </c>
      <c r="B307" s="2">
        <v>45890</v>
      </c>
      <c r="C307" t="s">
        <v>1036</v>
      </c>
      <c r="D307" t="s">
        <v>70</v>
      </c>
      <c r="E307" t="s">
        <v>129</v>
      </c>
      <c r="F307">
        <v>1</v>
      </c>
      <c r="G307">
        <v>0.3</v>
      </c>
      <c r="H307">
        <v>38500</v>
      </c>
      <c r="I307">
        <v>632.82000000000005</v>
      </c>
      <c r="J307" t="s">
        <v>39</v>
      </c>
      <c r="K307" t="s">
        <v>40</v>
      </c>
      <c r="L307">
        <v>38500</v>
      </c>
      <c r="M307">
        <v>1.6436883116883121</v>
      </c>
      <c r="N307" t="s">
        <v>8</v>
      </c>
      <c r="O307" t="s">
        <v>149</v>
      </c>
      <c r="P307" t="s">
        <v>83</v>
      </c>
      <c r="Q307" t="s">
        <v>30</v>
      </c>
      <c r="R307" t="s">
        <v>53</v>
      </c>
      <c r="S307" t="s">
        <v>54</v>
      </c>
      <c r="T307" t="s">
        <v>1037</v>
      </c>
      <c r="U307" t="s">
        <v>46</v>
      </c>
      <c r="V307">
        <v>632.82000000000005</v>
      </c>
    </row>
    <row r="308" spans="1:22" x14ac:dyDescent="0.3">
      <c r="A308" t="s">
        <v>1038</v>
      </c>
      <c r="B308" s="2">
        <v>45839</v>
      </c>
      <c r="C308" t="s">
        <v>217</v>
      </c>
      <c r="D308" t="s">
        <v>70</v>
      </c>
      <c r="E308" t="s">
        <v>71</v>
      </c>
      <c r="F308">
        <v>6</v>
      </c>
      <c r="G308">
        <v>0</v>
      </c>
      <c r="H308">
        <v>108000</v>
      </c>
      <c r="I308">
        <v>21000</v>
      </c>
      <c r="J308" t="s">
        <v>65</v>
      </c>
      <c r="K308" t="s">
        <v>40</v>
      </c>
      <c r="L308">
        <v>18000</v>
      </c>
      <c r="M308">
        <v>19.44444444444445</v>
      </c>
      <c r="N308" t="s">
        <v>8</v>
      </c>
      <c r="O308" t="s">
        <v>218</v>
      </c>
      <c r="P308" t="s">
        <v>29</v>
      </c>
      <c r="Q308" t="s">
        <v>30</v>
      </c>
      <c r="R308" t="s">
        <v>31</v>
      </c>
      <c r="S308" t="s">
        <v>32</v>
      </c>
      <c r="T308" t="s">
        <v>219</v>
      </c>
      <c r="U308" t="s">
        <v>100</v>
      </c>
      <c r="V308">
        <v>3500</v>
      </c>
    </row>
    <row r="309" spans="1:22" x14ac:dyDescent="0.3">
      <c r="A309" t="s">
        <v>1039</v>
      </c>
      <c r="B309" s="2">
        <v>46023</v>
      </c>
      <c r="C309" t="s">
        <v>617</v>
      </c>
      <c r="D309" t="s">
        <v>49</v>
      </c>
      <c r="E309" t="s">
        <v>58</v>
      </c>
      <c r="F309">
        <v>2</v>
      </c>
      <c r="G309">
        <v>0.15</v>
      </c>
      <c r="H309">
        <v>25500</v>
      </c>
      <c r="I309">
        <v>4086.26</v>
      </c>
      <c r="J309" t="s">
        <v>51</v>
      </c>
      <c r="K309" t="s">
        <v>27</v>
      </c>
      <c r="L309">
        <v>12750</v>
      </c>
      <c r="M309">
        <v>16.02454901960785</v>
      </c>
      <c r="N309" t="s">
        <v>8</v>
      </c>
      <c r="O309" t="s">
        <v>618</v>
      </c>
      <c r="P309" t="s">
        <v>83</v>
      </c>
      <c r="Q309" t="s">
        <v>30</v>
      </c>
      <c r="R309" t="s">
        <v>98</v>
      </c>
      <c r="S309" t="s">
        <v>54</v>
      </c>
      <c r="T309" t="s">
        <v>619</v>
      </c>
      <c r="U309" t="s">
        <v>100</v>
      </c>
      <c r="V309">
        <v>2043.13</v>
      </c>
    </row>
    <row r="310" spans="1:22" x14ac:dyDescent="0.3">
      <c r="A310" t="s">
        <v>1040</v>
      </c>
      <c r="B310" s="2">
        <v>46054</v>
      </c>
      <c r="C310" t="s">
        <v>1041</v>
      </c>
      <c r="D310" t="s">
        <v>70</v>
      </c>
      <c r="E310" t="s">
        <v>165</v>
      </c>
      <c r="F310">
        <v>2</v>
      </c>
      <c r="G310">
        <v>0.1</v>
      </c>
      <c r="H310">
        <v>4500</v>
      </c>
      <c r="I310">
        <v>-1933.04</v>
      </c>
      <c r="J310" t="s">
        <v>65</v>
      </c>
      <c r="K310" t="s">
        <v>434</v>
      </c>
      <c r="L310">
        <v>2250</v>
      </c>
      <c r="M310">
        <v>-42.956444444444443</v>
      </c>
      <c r="N310" t="s">
        <v>81</v>
      </c>
      <c r="O310" t="s">
        <v>153</v>
      </c>
      <c r="P310" t="s">
        <v>83</v>
      </c>
      <c r="Q310" t="s">
        <v>74</v>
      </c>
      <c r="R310" t="s">
        <v>237</v>
      </c>
      <c r="S310" t="s">
        <v>238</v>
      </c>
      <c r="T310" t="s">
        <v>1042</v>
      </c>
      <c r="U310" t="s">
        <v>46</v>
      </c>
      <c r="V310">
        <v>-966.52</v>
      </c>
    </row>
    <row r="311" spans="1:22" x14ac:dyDescent="0.3">
      <c r="A311" t="s">
        <v>1043</v>
      </c>
      <c r="B311" s="2">
        <v>45943</v>
      </c>
      <c r="C311" t="s">
        <v>850</v>
      </c>
      <c r="D311" t="s">
        <v>24</v>
      </c>
      <c r="E311" t="s">
        <v>242</v>
      </c>
      <c r="F311">
        <v>2</v>
      </c>
      <c r="G311">
        <v>0</v>
      </c>
      <c r="H311">
        <v>900</v>
      </c>
      <c r="I311">
        <v>220</v>
      </c>
      <c r="J311" t="s">
        <v>1044</v>
      </c>
      <c r="K311" t="s">
        <v>40</v>
      </c>
      <c r="L311">
        <v>450</v>
      </c>
      <c r="M311">
        <v>24.444444444444439</v>
      </c>
      <c r="N311" t="s">
        <v>8</v>
      </c>
      <c r="O311" t="s">
        <v>851</v>
      </c>
      <c r="P311" t="s">
        <v>29</v>
      </c>
      <c r="Q311" t="s">
        <v>30</v>
      </c>
      <c r="R311" t="s">
        <v>60</v>
      </c>
      <c r="S311" t="s">
        <v>61</v>
      </c>
      <c r="T311" t="s">
        <v>852</v>
      </c>
      <c r="U311" t="s">
        <v>46</v>
      </c>
      <c r="V311">
        <v>110</v>
      </c>
    </row>
    <row r="312" spans="1:22" x14ac:dyDescent="0.3">
      <c r="A312" t="s">
        <v>1045</v>
      </c>
      <c r="B312" s="2">
        <v>46115</v>
      </c>
      <c r="C312" t="s">
        <v>1046</v>
      </c>
      <c r="D312" t="s">
        <v>70</v>
      </c>
      <c r="E312" t="s">
        <v>108</v>
      </c>
      <c r="F312">
        <v>1</v>
      </c>
      <c r="G312">
        <v>0.15</v>
      </c>
      <c r="H312">
        <v>3825</v>
      </c>
      <c r="I312">
        <v>1041.42</v>
      </c>
      <c r="J312" t="s">
        <v>65</v>
      </c>
      <c r="K312" t="s">
        <v>40</v>
      </c>
      <c r="L312">
        <v>3825</v>
      </c>
      <c r="M312">
        <v>27.22666666666667</v>
      </c>
      <c r="N312" t="s">
        <v>8</v>
      </c>
      <c r="O312" t="s">
        <v>1047</v>
      </c>
      <c r="P312" t="s">
        <v>29</v>
      </c>
      <c r="Q312" t="s">
        <v>42</v>
      </c>
      <c r="R312" t="s">
        <v>121</v>
      </c>
      <c r="S312" t="s">
        <v>44</v>
      </c>
      <c r="T312" t="s">
        <v>1048</v>
      </c>
      <c r="U312" t="s">
        <v>100</v>
      </c>
      <c r="V312">
        <v>1041.42</v>
      </c>
    </row>
    <row r="313" spans="1:22" x14ac:dyDescent="0.3">
      <c r="A313" t="s">
        <v>1049</v>
      </c>
      <c r="B313" s="2">
        <v>46070</v>
      </c>
      <c r="C313" t="s">
        <v>1050</v>
      </c>
      <c r="D313" t="s">
        <v>49</v>
      </c>
      <c r="E313" t="s">
        <v>79</v>
      </c>
      <c r="F313">
        <v>1</v>
      </c>
      <c r="G313">
        <v>0.1</v>
      </c>
      <c r="H313">
        <v>9900</v>
      </c>
      <c r="I313">
        <v>1970.22</v>
      </c>
      <c r="J313" t="s">
        <v>51</v>
      </c>
      <c r="K313" t="s">
        <v>40</v>
      </c>
      <c r="L313">
        <v>9900</v>
      </c>
      <c r="M313">
        <v>19.901212121212119</v>
      </c>
      <c r="N313" t="s">
        <v>8</v>
      </c>
      <c r="O313" t="s">
        <v>82</v>
      </c>
      <c r="P313" t="s">
        <v>73</v>
      </c>
      <c r="Q313" t="s">
        <v>42</v>
      </c>
      <c r="R313" t="s">
        <v>121</v>
      </c>
      <c r="S313" t="s">
        <v>44</v>
      </c>
      <c r="T313" t="s">
        <v>1051</v>
      </c>
      <c r="U313" t="s">
        <v>34</v>
      </c>
      <c r="V313">
        <v>1970.22</v>
      </c>
    </row>
    <row r="314" spans="1:22" x14ac:dyDescent="0.3">
      <c r="A314" t="s">
        <v>1052</v>
      </c>
      <c r="B314" s="2">
        <v>46259</v>
      </c>
      <c r="C314" t="s">
        <v>461</v>
      </c>
      <c r="D314" t="s">
        <v>49</v>
      </c>
      <c r="E314" t="s">
        <v>58</v>
      </c>
      <c r="F314">
        <v>3</v>
      </c>
      <c r="G314">
        <v>0.15</v>
      </c>
      <c r="H314">
        <v>38250</v>
      </c>
      <c r="I314">
        <v>7243.27</v>
      </c>
      <c r="J314" t="s">
        <v>65</v>
      </c>
      <c r="K314" t="s">
        <v>40</v>
      </c>
      <c r="L314">
        <v>12750</v>
      </c>
      <c r="M314">
        <v>18.93665359477124</v>
      </c>
      <c r="N314" t="s">
        <v>8</v>
      </c>
      <c r="O314" t="s">
        <v>462</v>
      </c>
      <c r="P314" t="s">
        <v>83</v>
      </c>
      <c r="Q314" t="s">
        <v>42</v>
      </c>
      <c r="R314" t="s">
        <v>214</v>
      </c>
      <c r="S314" t="s">
        <v>111</v>
      </c>
      <c r="T314" t="s">
        <v>463</v>
      </c>
      <c r="U314" t="s">
        <v>34</v>
      </c>
      <c r="V314">
        <v>2414.4233333333341</v>
      </c>
    </row>
    <row r="315" spans="1:22" x14ac:dyDescent="0.3">
      <c r="A315" t="s">
        <v>1053</v>
      </c>
      <c r="B315" s="2">
        <v>45926</v>
      </c>
      <c r="C315" t="s">
        <v>834</v>
      </c>
      <c r="D315" t="s">
        <v>24</v>
      </c>
      <c r="E315" t="s">
        <v>25</v>
      </c>
      <c r="F315">
        <v>2</v>
      </c>
      <c r="G315">
        <v>0.2</v>
      </c>
      <c r="H315">
        <v>22400</v>
      </c>
      <c r="I315">
        <v>2865.94</v>
      </c>
      <c r="J315" t="s">
        <v>51</v>
      </c>
      <c r="K315" t="s">
        <v>40</v>
      </c>
      <c r="L315">
        <v>11200</v>
      </c>
      <c r="M315">
        <v>12.794375</v>
      </c>
      <c r="N315" t="s">
        <v>8</v>
      </c>
      <c r="O315" t="s">
        <v>549</v>
      </c>
      <c r="P315" t="s">
        <v>29</v>
      </c>
      <c r="Q315" t="s">
        <v>74</v>
      </c>
      <c r="R315" t="s">
        <v>115</v>
      </c>
      <c r="S315" t="s">
        <v>115</v>
      </c>
      <c r="T315" t="s">
        <v>835</v>
      </c>
      <c r="U315" t="s">
        <v>34</v>
      </c>
      <c r="V315">
        <v>1432.97</v>
      </c>
    </row>
    <row r="316" spans="1:22" x14ac:dyDescent="0.3">
      <c r="A316" t="s">
        <v>1054</v>
      </c>
      <c r="B316" s="2">
        <v>45961</v>
      </c>
      <c r="C316" t="s">
        <v>644</v>
      </c>
      <c r="D316" t="s">
        <v>24</v>
      </c>
      <c r="E316" t="s">
        <v>87</v>
      </c>
      <c r="F316">
        <v>3</v>
      </c>
      <c r="G316">
        <v>0.05</v>
      </c>
      <c r="H316">
        <v>997.5</v>
      </c>
      <c r="I316">
        <v>333.83</v>
      </c>
      <c r="J316" t="s">
        <v>39</v>
      </c>
      <c r="K316" t="s">
        <v>27</v>
      </c>
      <c r="L316">
        <v>332.5</v>
      </c>
      <c r="M316">
        <v>33.466666666666669</v>
      </c>
      <c r="N316" t="s">
        <v>8</v>
      </c>
      <c r="O316" t="s">
        <v>213</v>
      </c>
      <c r="P316" t="s">
        <v>29</v>
      </c>
      <c r="Q316" t="s">
        <v>30</v>
      </c>
      <c r="R316" t="s">
        <v>31</v>
      </c>
      <c r="S316" t="s">
        <v>32</v>
      </c>
      <c r="T316" t="s">
        <v>645</v>
      </c>
      <c r="U316" t="s">
        <v>46</v>
      </c>
      <c r="V316">
        <v>111.2766666666667</v>
      </c>
    </row>
    <row r="317" spans="1:22" x14ac:dyDescent="0.3">
      <c r="A317" t="s">
        <v>1055</v>
      </c>
      <c r="B317" s="2">
        <v>46215</v>
      </c>
      <c r="C317" t="s">
        <v>1056</v>
      </c>
      <c r="D317" t="s">
        <v>24</v>
      </c>
      <c r="E317" t="s">
        <v>242</v>
      </c>
      <c r="F317">
        <v>4</v>
      </c>
      <c r="G317">
        <v>0.15</v>
      </c>
      <c r="H317">
        <v>1530</v>
      </c>
      <c r="I317">
        <v>272.26</v>
      </c>
      <c r="J317" t="s">
        <v>65</v>
      </c>
      <c r="K317" t="s">
        <v>40</v>
      </c>
      <c r="L317">
        <v>382.5</v>
      </c>
      <c r="M317">
        <v>17.79477124183007</v>
      </c>
      <c r="N317" t="s">
        <v>8</v>
      </c>
      <c r="O317" t="s">
        <v>1057</v>
      </c>
      <c r="P317" t="s">
        <v>29</v>
      </c>
      <c r="Q317" t="s">
        <v>30</v>
      </c>
      <c r="R317" t="s">
        <v>31</v>
      </c>
      <c r="S317" t="s">
        <v>32</v>
      </c>
      <c r="T317" t="s">
        <v>1058</v>
      </c>
      <c r="U317" t="s">
        <v>34</v>
      </c>
      <c r="V317">
        <v>68.064999999999998</v>
      </c>
    </row>
    <row r="318" spans="1:22" x14ac:dyDescent="0.3">
      <c r="A318" t="s">
        <v>1059</v>
      </c>
      <c r="B318" s="2">
        <v>46019</v>
      </c>
      <c r="C318" t="s">
        <v>1060</v>
      </c>
      <c r="D318" t="s">
        <v>70</v>
      </c>
      <c r="E318" t="s">
        <v>129</v>
      </c>
      <c r="F318">
        <v>2</v>
      </c>
      <c r="G318">
        <v>0.2</v>
      </c>
      <c r="H318">
        <v>88000</v>
      </c>
      <c r="I318">
        <v>-60094.92</v>
      </c>
      <c r="J318" t="s">
        <v>26</v>
      </c>
      <c r="K318" t="s">
        <v>80</v>
      </c>
      <c r="L318">
        <v>44000</v>
      </c>
      <c r="M318">
        <v>-68.289681818181819</v>
      </c>
      <c r="N318" t="s">
        <v>81</v>
      </c>
      <c r="O318" t="s">
        <v>1061</v>
      </c>
      <c r="P318" t="s">
        <v>73</v>
      </c>
      <c r="Q318" t="s">
        <v>30</v>
      </c>
      <c r="R318" t="s">
        <v>31</v>
      </c>
      <c r="S318" t="s">
        <v>32</v>
      </c>
      <c r="T318" t="s">
        <v>1062</v>
      </c>
      <c r="U318" t="s">
        <v>46</v>
      </c>
      <c r="V318">
        <v>-30047.46</v>
      </c>
    </row>
    <row r="319" spans="1:22" x14ac:dyDescent="0.3">
      <c r="A319" t="s">
        <v>1063</v>
      </c>
      <c r="B319" s="2">
        <v>46216</v>
      </c>
      <c r="C319" t="s">
        <v>559</v>
      </c>
      <c r="D319" t="s">
        <v>24</v>
      </c>
      <c r="E319" t="s">
        <v>87</v>
      </c>
      <c r="F319">
        <v>3</v>
      </c>
      <c r="G319">
        <v>0.1</v>
      </c>
      <c r="H319">
        <v>945</v>
      </c>
      <c r="I319">
        <v>296.91000000000003</v>
      </c>
      <c r="J319" t="s">
        <v>39</v>
      </c>
      <c r="K319" t="s">
        <v>40</v>
      </c>
      <c r="L319">
        <v>315</v>
      </c>
      <c r="M319">
        <v>31.419047619047621</v>
      </c>
      <c r="N319" t="s">
        <v>8</v>
      </c>
      <c r="O319" t="s">
        <v>478</v>
      </c>
      <c r="P319" t="s">
        <v>29</v>
      </c>
      <c r="Q319" t="s">
        <v>30</v>
      </c>
      <c r="R319" t="s">
        <v>53</v>
      </c>
      <c r="S319" t="s">
        <v>54</v>
      </c>
      <c r="T319" t="s">
        <v>560</v>
      </c>
      <c r="U319" t="s">
        <v>34</v>
      </c>
      <c r="V319">
        <v>98.970000000000013</v>
      </c>
    </row>
    <row r="320" spans="1:22" x14ac:dyDescent="0.3">
      <c r="A320" t="s">
        <v>1064</v>
      </c>
      <c r="B320" s="2">
        <v>46164</v>
      </c>
      <c r="C320" t="s">
        <v>236</v>
      </c>
      <c r="D320" t="s">
        <v>70</v>
      </c>
      <c r="E320" t="s">
        <v>129</v>
      </c>
      <c r="F320">
        <v>15</v>
      </c>
      <c r="G320">
        <v>0</v>
      </c>
      <c r="H320">
        <v>825000</v>
      </c>
      <c r="I320">
        <v>135000</v>
      </c>
      <c r="J320" t="s">
        <v>65</v>
      </c>
      <c r="K320" t="s">
        <v>40</v>
      </c>
      <c r="L320">
        <v>55000</v>
      </c>
      <c r="M320">
        <v>16.36363636363636</v>
      </c>
      <c r="N320" t="s">
        <v>8</v>
      </c>
      <c r="O320" t="s">
        <v>179</v>
      </c>
      <c r="P320" t="s">
        <v>29</v>
      </c>
      <c r="Q320" t="s">
        <v>74</v>
      </c>
      <c r="R320" t="s">
        <v>237</v>
      </c>
      <c r="S320" t="s">
        <v>238</v>
      </c>
      <c r="T320" t="s">
        <v>239</v>
      </c>
      <c r="U320" t="s">
        <v>34</v>
      </c>
      <c r="V320">
        <v>9000</v>
      </c>
    </row>
    <row r="321" spans="1:22" x14ac:dyDescent="0.3">
      <c r="A321" t="s">
        <v>1065</v>
      </c>
      <c r="B321" s="2">
        <v>45923</v>
      </c>
      <c r="C321" t="s">
        <v>866</v>
      </c>
      <c r="D321" t="s">
        <v>70</v>
      </c>
      <c r="E321" t="s">
        <v>108</v>
      </c>
      <c r="F321">
        <v>1</v>
      </c>
      <c r="G321">
        <v>0</v>
      </c>
      <c r="H321">
        <v>4500</v>
      </c>
      <c r="I321">
        <v>1500</v>
      </c>
      <c r="J321" t="s">
        <v>65</v>
      </c>
      <c r="K321" t="s">
        <v>27</v>
      </c>
      <c r="L321">
        <v>4500</v>
      </c>
      <c r="M321">
        <v>33.333333333333329</v>
      </c>
      <c r="N321" t="s">
        <v>8</v>
      </c>
      <c r="O321" t="s">
        <v>247</v>
      </c>
      <c r="P321" t="s">
        <v>73</v>
      </c>
      <c r="Q321" t="s">
        <v>30</v>
      </c>
      <c r="R321" t="s">
        <v>98</v>
      </c>
      <c r="S321" t="s">
        <v>54</v>
      </c>
      <c r="T321" t="s">
        <v>319</v>
      </c>
      <c r="U321" t="s">
        <v>34</v>
      </c>
      <c r="V321">
        <v>1500</v>
      </c>
    </row>
    <row r="322" spans="1:22" x14ac:dyDescent="0.3">
      <c r="A322" t="s">
        <v>1066</v>
      </c>
      <c r="B322" s="2">
        <v>46234</v>
      </c>
      <c r="C322" t="s">
        <v>236</v>
      </c>
      <c r="D322" t="s">
        <v>70</v>
      </c>
      <c r="E322" t="s">
        <v>71</v>
      </c>
      <c r="F322">
        <v>3</v>
      </c>
      <c r="G322">
        <v>0.1</v>
      </c>
      <c r="H322">
        <v>48600</v>
      </c>
      <c r="I322">
        <v>-24739.96</v>
      </c>
      <c r="J322" t="s">
        <v>39</v>
      </c>
      <c r="K322" t="s">
        <v>80</v>
      </c>
      <c r="L322">
        <v>16200</v>
      </c>
      <c r="M322">
        <v>-50.905267489711939</v>
      </c>
      <c r="N322" t="s">
        <v>81</v>
      </c>
      <c r="O322" t="s">
        <v>179</v>
      </c>
      <c r="P322" t="s">
        <v>29</v>
      </c>
      <c r="Q322" t="s">
        <v>74</v>
      </c>
      <c r="R322" t="s">
        <v>237</v>
      </c>
      <c r="S322" t="s">
        <v>238</v>
      </c>
      <c r="T322" t="s">
        <v>239</v>
      </c>
      <c r="U322" t="s">
        <v>34</v>
      </c>
      <c r="V322">
        <v>-8246.6533333333336</v>
      </c>
    </row>
    <row r="323" spans="1:22" x14ac:dyDescent="0.3">
      <c r="A323" t="s">
        <v>1067</v>
      </c>
      <c r="B323" s="2">
        <v>46031</v>
      </c>
      <c r="C323" t="s">
        <v>644</v>
      </c>
      <c r="D323" t="s">
        <v>24</v>
      </c>
      <c r="E323" t="s">
        <v>25</v>
      </c>
      <c r="F323">
        <v>3</v>
      </c>
      <c r="G323">
        <v>0.05</v>
      </c>
      <c r="H323">
        <v>39900</v>
      </c>
      <c r="I323">
        <v>7197.63</v>
      </c>
      <c r="J323" t="s">
        <v>26</v>
      </c>
      <c r="K323" t="s">
        <v>27</v>
      </c>
      <c r="L323">
        <v>13300</v>
      </c>
      <c r="M323">
        <v>18.039172932330828</v>
      </c>
      <c r="N323" t="s">
        <v>8</v>
      </c>
      <c r="O323" t="s">
        <v>213</v>
      </c>
      <c r="P323" t="s">
        <v>29</v>
      </c>
      <c r="Q323" t="s">
        <v>30</v>
      </c>
      <c r="R323" t="s">
        <v>31</v>
      </c>
      <c r="S323" t="s">
        <v>32</v>
      </c>
      <c r="T323" t="s">
        <v>645</v>
      </c>
      <c r="U323" t="s">
        <v>46</v>
      </c>
      <c r="V323">
        <v>2399.21</v>
      </c>
    </row>
    <row r="324" spans="1:22" x14ac:dyDescent="0.3">
      <c r="A324" t="s">
        <v>1068</v>
      </c>
      <c r="B324" s="2">
        <v>46004</v>
      </c>
      <c r="C324" t="s">
        <v>1069</v>
      </c>
      <c r="D324" t="s">
        <v>37</v>
      </c>
      <c r="E324" t="s">
        <v>310</v>
      </c>
      <c r="F324">
        <v>6</v>
      </c>
      <c r="G324">
        <v>0.1</v>
      </c>
      <c r="H324">
        <v>11880</v>
      </c>
      <c r="I324">
        <v>-249.63</v>
      </c>
      <c r="J324" t="s">
        <v>26</v>
      </c>
      <c r="K324" t="s">
        <v>80</v>
      </c>
      <c r="L324">
        <v>1980</v>
      </c>
      <c r="M324">
        <v>-2.1012626262626259</v>
      </c>
      <c r="N324" t="s">
        <v>81</v>
      </c>
      <c r="O324" t="s">
        <v>937</v>
      </c>
      <c r="P324" t="s">
        <v>29</v>
      </c>
      <c r="Q324" t="s">
        <v>42</v>
      </c>
      <c r="R324" t="s">
        <v>121</v>
      </c>
      <c r="S324" t="s">
        <v>44</v>
      </c>
      <c r="T324" t="s">
        <v>1070</v>
      </c>
      <c r="U324" t="s">
        <v>34</v>
      </c>
      <c r="V324">
        <v>-41.604999999999997</v>
      </c>
    </row>
    <row r="325" spans="1:22" x14ac:dyDescent="0.3">
      <c r="A325" t="s">
        <v>1071</v>
      </c>
      <c r="B325" s="2">
        <v>45975</v>
      </c>
      <c r="C325" t="s">
        <v>1072</v>
      </c>
      <c r="D325" t="s">
        <v>37</v>
      </c>
      <c r="E325" t="s">
        <v>38</v>
      </c>
      <c r="F325">
        <v>6</v>
      </c>
      <c r="G325">
        <v>0.3</v>
      </c>
      <c r="H325">
        <v>7560</v>
      </c>
      <c r="I325">
        <v>2376.11</v>
      </c>
      <c r="J325" t="s">
        <v>26</v>
      </c>
      <c r="K325" t="s">
        <v>40</v>
      </c>
      <c r="L325">
        <v>1260</v>
      </c>
      <c r="M325">
        <v>31.43002645502645</v>
      </c>
      <c r="N325" t="s">
        <v>8</v>
      </c>
      <c r="O325" t="s">
        <v>1073</v>
      </c>
      <c r="P325" t="s">
        <v>73</v>
      </c>
      <c r="Q325" t="s">
        <v>30</v>
      </c>
      <c r="R325" t="s">
        <v>60</v>
      </c>
      <c r="S325" t="s">
        <v>61</v>
      </c>
      <c r="T325" t="s">
        <v>1074</v>
      </c>
      <c r="U325" t="s">
        <v>34</v>
      </c>
      <c r="V325">
        <v>396.01833333333337</v>
      </c>
    </row>
    <row r="326" spans="1:22" x14ac:dyDescent="0.3">
      <c r="A326" t="s">
        <v>1075</v>
      </c>
      <c r="B326" s="2">
        <v>46230</v>
      </c>
      <c r="C326" t="s">
        <v>929</v>
      </c>
      <c r="D326" t="s">
        <v>70</v>
      </c>
      <c r="E326" t="s">
        <v>129</v>
      </c>
      <c r="F326">
        <v>1</v>
      </c>
      <c r="G326">
        <v>0.05</v>
      </c>
      <c r="H326">
        <v>52250</v>
      </c>
      <c r="I326">
        <v>7384.5</v>
      </c>
      <c r="J326" t="s">
        <v>51</v>
      </c>
      <c r="K326" t="s">
        <v>40</v>
      </c>
      <c r="L326">
        <v>52250</v>
      </c>
      <c r="M326">
        <v>14.13301435406699</v>
      </c>
      <c r="N326" t="s">
        <v>8</v>
      </c>
      <c r="O326" t="s">
        <v>930</v>
      </c>
      <c r="P326" t="s">
        <v>83</v>
      </c>
      <c r="Q326" t="s">
        <v>74</v>
      </c>
      <c r="R326" t="s">
        <v>493</v>
      </c>
      <c r="S326" t="s">
        <v>494</v>
      </c>
      <c r="T326" t="s">
        <v>931</v>
      </c>
      <c r="U326" t="s">
        <v>46</v>
      </c>
      <c r="V326">
        <v>7384.5</v>
      </c>
    </row>
    <row r="327" spans="1:22" x14ac:dyDescent="0.3">
      <c r="A327" t="s">
        <v>1076</v>
      </c>
      <c r="B327" s="2">
        <v>45976</v>
      </c>
      <c r="C327" t="s">
        <v>78</v>
      </c>
      <c r="D327" t="s">
        <v>24</v>
      </c>
      <c r="E327" t="s">
        <v>87</v>
      </c>
      <c r="F327">
        <v>2</v>
      </c>
      <c r="G327">
        <v>0.05</v>
      </c>
      <c r="H327">
        <v>665</v>
      </c>
      <c r="I327">
        <v>-114.29</v>
      </c>
      <c r="J327" t="s">
        <v>51</v>
      </c>
      <c r="K327" t="s">
        <v>80</v>
      </c>
      <c r="L327">
        <v>332.5</v>
      </c>
      <c r="M327">
        <v>-17.186466165413531</v>
      </c>
      <c r="N327" t="s">
        <v>81</v>
      </c>
      <c r="O327" t="s">
        <v>82</v>
      </c>
      <c r="P327" t="s">
        <v>83</v>
      </c>
      <c r="Q327" t="s">
        <v>74</v>
      </c>
      <c r="R327" t="s">
        <v>75</v>
      </c>
      <c r="S327" t="s">
        <v>75</v>
      </c>
      <c r="T327" t="s">
        <v>84</v>
      </c>
      <c r="U327" t="s">
        <v>34</v>
      </c>
      <c r="V327">
        <v>-57.145000000000003</v>
      </c>
    </row>
    <row r="328" spans="1:22" x14ac:dyDescent="0.3">
      <c r="A328" t="s">
        <v>1077</v>
      </c>
      <c r="B328" s="2">
        <v>45985</v>
      </c>
      <c r="C328" t="s">
        <v>1078</v>
      </c>
      <c r="D328" t="s">
        <v>70</v>
      </c>
      <c r="E328" t="s">
        <v>129</v>
      </c>
      <c r="F328">
        <v>2</v>
      </c>
      <c r="G328">
        <v>0.1</v>
      </c>
      <c r="H328">
        <v>99000</v>
      </c>
      <c r="I328">
        <v>-26422.9</v>
      </c>
      <c r="J328" t="s">
        <v>65</v>
      </c>
      <c r="K328" t="s">
        <v>80</v>
      </c>
      <c r="L328">
        <v>49500</v>
      </c>
      <c r="M328">
        <v>-26.68979797979798</v>
      </c>
      <c r="N328" t="s">
        <v>81</v>
      </c>
      <c r="O328" t="s">
        <v>1079</v>
      </c>
      <c r="P328" t="s">
        <v>83</v>
      </c>
      <c r="Q328" t="s">
        <v>30</v>
      </c>
      <c r="R328" t="s">
        <v>31</v>
      </c>
      <c r="S328" t="s">
        <v>32</v>
      </c>
      <c r="T328" t="s">
        <v>948</v>
      </c>
      <c r="U328" t="s">
        <v>34</v>
      </c>
      <c r="V328">
        <v>-13211.45</v>
      </c>
    </row>
    <row r="329" spans="1:22" x14ac:dyDescent="0.3">
      <c r="A329" t="s">
        <v>1080</v>
      </c>
      <c r="B329" s="2">
        <v>46213</v>
      </c>
      <c r="C329" t="s">
        <v>254</v>
      </c>
      <c r="D329" t="s">
        <v>37</v>
      </c>
      <c r="E329" t="s">
        <v>190</v>
      </c>
      <c r="F329">
        <v>1</v>
      </c>
      <c r="G329">
        <v>0</v>
      </c>
      <c r="H329">
        <v>4200</v>
      </c>
      <c r="I329">
        <v>-130.09</v>
      </c>
      <c r="J329" t="s">
        <v>39</v>
      </c>
      <c r="K329" t="s">
        <v>80</v>
      </c>
      <c r="L329">
        <v>4200</v>
      </c>
      <c r="M329">
        <v>-3.097380952380953</v>
      </c>
      <c r="N329" t="s">
        <v>81</v>
      </c>
      <c r="O329" t="s">
        <v>255</v>
      </c>
      <c r="P329" t="s">
        <v>29</v>
      </c>
      <c r="Q329" t="s">
        <v>30</v>
      </c>
      <c r="R329" t="s">
        <v>53</v>
      </c>
      <c r="S329" t="s">
        <v>54</v>
      </c>
      <c r="T329" t="s">
        <v>256</v>
      </c>
      <c r="U329" t="s">
        <v>46</v>
      </c>
      <c r="V329">
        <v>-130.09</v>
      </c>
    </row>
    <row r="330" spans="1:22" x14ac:dyDescent="0.3">
      <c r="A330" t="s">
        <v>1081</v>
      </c>
      <c r="B330" s="2">
        <v>45864</v>
      </c>
      <c r="C330" t="s">
        <v>1060</v>
      </c>
      <c r="D330" t="s">
        <v>49</v>
      </c>
      <c r="E330" t="s">
        <v>58</v>
      </c>
      <c r="F330">
        <v>1</v>
      </c>
      <c r="G330">
        <v>0</v>
      </c>
      <c r="H330">
        <v>15000</v>
      </c>
      <c r="I330">
        <v>3500</v>
      </c>
      <c r="J330" t="s">
        <v>51</v>
      </c>
      <c r="K330" t="s">
        <v>40</v>
      </c>
      <c r="L330">
        <v>15000</v>
      </c>
      <c r="M330">
        <v>23.333333333333329</v>
      </c>
      <c r="N330" t="s">
        <v>8</v>
      </c>
      <c r="O330" t="s">
        <v>1061</v>
      </c>
      <c r="P330" t="s">
        <v>73</v>
      </c>
      <c r="Q330" t="s">
        <v>30</v>
      </c>
      <c r="R330" t="s">
        <v>31</v>
      </c>
      <c r="S330" t="s">
        <v>32</v>
      </c>
      <c r="T330" t="s">
        <v>1062</v>
      </c>
      <c r="U330" t="s">
        <v>46</v>
      </c>
      <c r="V330">
        <v>3500</v>
      </c>
    </row>
    <row r="331" spans="1:22" x14ac:dyDescent="0.3">
      <c r="A331" t="s">
        <v>1082</v>
      </c>
      <c r="B331" s="2">
        <v>45883</v>
      </c>
      <c r="C331" t="s">
        <v>365</v>
      </c>
      <c r="D331" t="s">
        <v>70</v>
      </c>
      <c r="E331" t="s">
        <v>165</v>
      </c>
      <c r="F331">
        <v>1</v>
      </c>
      <c r="G331">
        <v>0.1</v>
      </c>
      <c r="H331">
        <v>2250</v>
      </c>
      <c r="I331">
        <v>595.33000000000004</v>
      </c>
      <c r="J331" t="s">
        <v>26</v>
      </c>
      <c r="K331" t="s">
        <v>40</v>
      </c>
      <c r="L331">
        <v>2250</v>
      </c>
      <c r="M331">
        <v>26.45911111111111</v>
      </c>
      <c r="N331" t="s">
        <v>8</v>
      </c>
      <c r="O331" t="s">
        <v>318</v>
      </c>
      <c r="P331" t="s">
        <v>29</v>
      </c>
      <c r="Q331" t="s">
        <v>30</v>
      </c>
      <c r="R331" t="s">
        <v>31</v>
      </c>
      <c r="S331" t="s">
        <v>32</v>
      </c>
      <c r="T331" t="s">
        <v>366</v>
      </c>
      <c r="U331" t="s">
        <v>105</v>
      </c>
      <c r="V331">
        <v>595.33000000000004</v>
      </c>
    </row>
    <row r="332" spans="1:22" x14ac:dyDescent="0.3">
      <c r="A332" t="s">
        <v>1083</v>
      </c>
      <c r="B332" s="2">
        <v>45956</v>
      </c>
      <c r="C332" t="s">
        <v>1004</v>
      </c>
      <c r="D332" t="s">
        <v>70</v>
      </c>
      <c r="E332" t="s">
        <v>108</v>
      </c>
      <c r="F332">
        <v>4</v>
      </c>
      <c r="G332">
        <v>0</v>
      </c>
      <c r="H332">
        <v>18000</v>
      </c>
      <c r="I332">
        <v>-191.98</v>
      </c>
      <c r="J332" t="s">
        <v>26</v>
      </c>
      <c r="K332" t="s">
        <v>80</v>
      </c>
      <c r="L332">
        <v>4500</v>
      </c>
      <c r="M332">
        <v>-1.066555555555555</v>
      </c>
      <c r="N332" t="s">
        <v>81</v>
      </c>
      <c r="O332" t="s">
        <v>1005</v>
      </c>
      <c r="P332" t="s">
        <v>29</v>
      </c>
      <c r="Q332" t="s">
        <v>30</v>
      </c>
      <c r="R332" t="s">
        <v>98</v>
      </c>
      <c r="S332" t="s">
        <v>54</v>
      </c>
      <c r="T332" t="s">
        <v>1006</v>
      </c>
      <c r="U332" t="s">
        <v>105</v>
      </c>
      <c r="V332">
        <v>-47.994999999999997</v>
      </c>
    </row>
    <row r="333" spans="1:22" x14ac:dyDescent="0.3">
      <c r="A333" t="s">
        <v>1084</v>
      </c>
      <c r="B333" s="2">
        <v>45865</v>
      </c>
      <c r="C333" t="s">
        <v>907</v>
      </c>
      <c r="D333" t="s">
        <v>24</v>
      </c>
      <c r="E333" t="s">
        <v>87</v>
      </c>
      <c r="F333">
        <v>2</v>
      </c>
      <c r="G333">
        <v>0</v>
      </c>
      <c r="H333">
        <v>700</v>
      </c>
      <c r="I333">
        <v>240</v>
      </c>
      <c r="J333" t="s">
        <v>65</v>
      </c>
      <c r="K333" t="s">
        <v>40</v>
      </c>
      <c r="L333">
        <v>350</v>
      </c>
      <c r="M333">
        <v>34.285714285714278</v>
      </c>
      <c r="N333" t="s">
        <v>8</v>
      </c>
      <c r="O333" t="s">
        <v>908</v>
      </c>
      <c r="P333" t="s">
        <v>29</v>
      </c>
      <c r="Q333" t="s">
        <v>30</v>
      </c>
      <c r="R333" t="s">
        <v>60</v>
      </c>
      <c r="S333" t="s">
        <v>61</v>
      </c>
      <c r="T333" t="s">
        <v>486</v>
      </c>
      <c r="U333" t="s">
        <v>34</v>
      </c>
      <c r="V333">
        <v>120</v>
      </c>
    </row>
    <row r="334" spans="1:22" x14ac:dyDescent="0.3">
      <c r="A334" t="s">
        <v>1085</v>
      </c>
      <c r="B334" s="2">
        <v>46241</v>
      </c>
      <c r="C334" t="s">
        <v>381</v>
      </c>
      <c r="D334" t="s">
        <v>37</v>
      </c>
      <c r="E334" t="s">
        <v>38</v>
      </c>
      <c r="F334">
        <v>4</v>
      </c>
      <c r="G334">
        <v>0.05</v>
      </c>
      <c r="H334">
        <v>6840</v>
      </c>
      <c r="I334">
        <v>2416.88</v>
      </c>
      <c r="J334" t="s">
        <v>51</v>
      </c>
      <c r="K334" t="s">
        <v>40</v>
      </c>
      <c r="L334">
        <v>1710</v>
      </c>
      <c r="M334">
        <v>35.334502923976608</v>
      </c>
      <c r="N334" t="s">
        <v>8</v>
      </c>
      <c r="O334" t="s">
        <v>382</v>
      </c>
      <c r="P334" t="s">
        <v>73</v>
      </c>
      <c r="Q334" t="s">
        <v>30</v>
      </c>
      <c r="R334" t="s">
        <v>98</v>
      </c>
      <c r="S334" t="s">
        <v>54</v>
      </c>
      <c r="T334" t="s">
        <v>383</v>
      </c>
      <c r="U334" t="s">
        <v>100</v>
      </c>
      <c r="V334">
        <v>604.22</v>
      </c>
    </row>
    <row r="335" spans="1:22" x14ac:dyDescent="0.3">
      <c r="A335" t="s">
        <v>1086</v>
      </c>
      <c r="B335" s="2">
        <v>46205</v>
      </c>
      <c r="C335" t="s">
        <v>1087</v>
      </c>
      <c r="D335" t="s">
        <v>70</v>
      </c>
      <c r="E335" t="s">
        <v>165</v>
      </c>
      <c r="F335">
        <v>5</v>
      </c>
      <c r="G335">
        <v>0.1</v>
      </c>
      <c r="H335">
        <v>11250</v>
      </c>
      <c r="I335">
        <v>-951.92</v>
      </c>
      <c r="J335" t="s">
        <v>65</v>
      </c>
      <c r="K335" t="s">
        <v>80</v>
      </c>
      <c r="L335">
        <v>2250</v>
      </c>
      <c r="M335">
        <v>-8.4615111111111112</v>
      </c>
      <c r="N335" t="s">
        <v>81</v>
      </c>
      <c r="O335" t="s">
        <v>1088</v>
      </c>
      <c r="P335" t="s">
        <v>73</v>
      </c>
      <c r="Q335" t="s">
        <v>131</v>
      </c>
      <c r="R335" t="s">
        <v>200</v>
      </c>
      <c r="S335" t="s">
        <v>201</v>
      </c>
      <c r="T335" t="s">
        <v>1089</v>
      </c>
      <c r="U335" t="s">
        <v>46</v>
      </c>
      <c r="V335">
        <v>-190.38399999999999</v>
      </c>
    </row>
    <row r="336" spans="1:22" x14ac:dyDescent="0.3">
      <c r="A336" t="s">
        <v>1090</v>
      </c>
      <c r="B336" s="2">
        <v>46199</v>
      </c>
      <c r="C336" t="s">
        <v>1091</v>
      </c>
      <c r="D336" t="s">
        <v>24</v>
      </c>
      <c r="E336" t="s">
        <v>87</v>
      </c>
      <c r="F336">
        <v>2</v>
      </c>
      <c r="G336">
        <v>0.1</v>
      </c>
      <c r="H336">
        <v>630</v>
      </c>
      <c r="I336">
        <v>195.42</v>
      </c>
      <c r="J336" t="s">
        <v>51</v>
      </c>
      <c r="K336" t="s">
        <v>40</v>
      </c>
      <c r="L336">
        <v>315</v>
      </c>
      <c r="M336">
        <v>31.019047619047619</v>
      </c>
      <c r="N336" t="s">
        <v>8</v>
      </c>
      <c r="O336" t="s">
        <v>1018</v>
      </c>
      <c r="P336" t="s">
        <v>83</v>
      </c>
      <c r="Q336" t="s">
        <v>30</v>
      </c>
      <c r="R336" t="s">
        <v>31</v>
      </c>
      <c r="S336" t="s">
        <v>32</v>
      </c>
      <c r="T336" t="s">
        <v>1092</v>
      </c>
      <c r="U336" t="s">
        <v>105</v>
      </c>
      <c r="V336">
        <v>97.71</v>
      </c>
    </row>
    <row r="337" spans="1:22" x14ac:dyDescent="0.3">
      <c r="A337" t="s">
        <v>1093</v>
      </c>
      <c r="B337" s="2">
        <v>45948</v>
      </c>
      <c r="C337" t="s">
        <v>1094</v>
      </c>
      <c r="D337" t="s">
        <v>37</v>
      </c>
      <c r="E337" t="s">
        <v>310</v>
      </c>
      <c r="F337">
        <v>5</v>
      </c>
      <c r="G337">
        <v>0.1</v>
      </c>
      <c r="H337">
        <v>9900</v>
      </c>
      <c r="I337">
        <v>-1806.34</v>
      </c>
      <c r="J337" t="s">
        <v>65</v>
      </c>
      <c r="K337" t="s">
        <v>80</v>
      </c>
      <c r="L337">
        <v>1980</v>
      </c>
      <c r="M337">
        <v>-18.245858585858581</v>
      </c>
      <c r="N337" t="s">
        <v>81</v>
      </c>
      <c r="O337" t="s">
        <v>183</v>
      </c>
      <c r="P337" t="s">
        <v>73</v>
      </c>
      <c r="Q337" t="s">
        <v>30</v>
      </c>
      <c r="R337" t="s">
        <v>31</v>
      </c>
      <c r="S337" t="s">
        <v>32</v>
      </c>
      <c r="T337" t="s">
        <v>1095</v>
      </c>
      <c r="U337" t="s">
        <v>105</v>
      </c>
      <c r="V337">
        <v>-361.26799999999997</v>
      </c>
    </row>
    <row r="338" spans="1:22" x14ac:dyDescent="0.3">
      <c r="A338" t="s">
        <v>1096</v>
      </c>
      <c r="B338" s="2">
        <v>45867</v>
      </c>
      <c r="C338" t="s">
        <v>1097</v>
      </c>
      <c r="D338" t="s">
        <v>70</v>
      </c>
      <c r="E338" t="s">
        <v>108</v>
      </c>
      <c r="F338">
        <v>3</v>
      </c>
      <c r="G338">
        <v>0.1</v>
      </c>
      <c r="H338">
        <v>12150</v>
      </c>
      <c r="I338">
        <v>3548.55</v>
      </c>
      <c r="J338" t="s">
        <v>51</v>
      </c>
      <c r="K338" t="s">
        <v>40</v>
      </c>
      <c r="L338">
        <v>4050</v>
      </c>
      <c r="M338">
        <v>29.20617283950617</v>
      </c>
      <c r="N338" t="s">
        <v>8</v>
      </c>
      <c r="O338" t="s">
        <v>1098</v>
      </c>
      <c r="P338" t="s">
        <v>73</v>
      </c>
      <c r="Q338" t="s">
        <v>74</v>
      </c>
      <c r="R338" t="s">
        <v>237</v>
      </c>
      <c r="S338" t="s">
        <v>238</v>
      </c>
      <c r="T338" t="s">
        <v>1099</v>
      </c>
      <c r="U338" t="s">
        <v>34</v>
      </c>
      <c r="V338">
        <v>1182.8499999999999</v>
      </c>
    </row>
    <row r="339" spans="1:22" x14ac:dyDescent="0.3">
      <c r="A339" t="s">
        <v>1100</v>
      </c>
      <c r="B339" s="2">
        <v>45912</v>
      </c>
      <c r="C339" t="s">
        <v>1101</v>
      </c>
      <c r="D339" t="s">
        <v>37</v>
      </c>
      <c r="E339" t="s">
        <v>38</v>
      </c>
      <c r="F339">
        <v>2</v>
      </c>
      <c r="G339">
        <v>0.1</v>
      </c>
      <c r="H339">
        <v>3240</v>
      </c>
      <c r="I339">
        <v>1028.49</v>
      </c>
      <c r="J339" t="s">
        <v>65</v>
      </c>
      <c r="K339" t="s">
        <v>40</v>
      </c>
      <c r="L339">
        <v>1620</v>
      </c>
      <c r="M339">
        <v>31.74351851851852</v>
      </c>
      <c r="N339" t="s">
        <v>8</v>
      </c>
      <c r="O339" t="s">
        <v>1102</v>
      </c>
      <c r="P339" t="s">
        <v>29</v>
      </c>
      <c r="Q339" t="s">
        <v>42</v>
      </c>
      <c r="R339" t="s">
        <v>110</v>
      </c>
      <c r="S339" t="s">
        <v>111</v>
      </c>
      <c r="T339" t="s">
        <v>1103</v>
      </c>
      <c r="U339" t="s">
        <v>100</v>
      </c>
      <c r="V339">
        <v>514.245</v>
      </c>
    </row>
    <row r="340" spans="1:22" x14ac:dyDescent="0.3">
      <c r="A340" t="s">
        <v>1104</v>
      </c>
      <c r="B340" s="2">
        <v>46115</v>
      </c>
      <c r="C340" t="s">
        <v>189</v>
      </c>
      <c r="D340" t="s">
        <v>49</v>
      </c>
      <c r="E340" t="s">
        <v>50</v>
      </c>
      <c r="F340">
        <v>1</v>
      </c>
      <c r="G340">
        <v>0.1</v>
      </c>
      <c r="H340">
        <v>11700</v>
      </c>
      <c r="I340">
        <v>2097.02</v>
      </c>
      <c r="J340" t="s">
        <v>26</v>
      </c>
      <c r="K340" t="s">
        <v>40</v>
      </c>
      <c r="L340">
        <v>11700</v>
      </c>
      <c r="M340">
        <v>17.923247863247859</v>
      </c>
      <c r="N340" t="s">
        <v>8</v>
      </c>
      <c r="O340" t="s">
        <v>191</v>
      </c>
      <c r="P340" t="s">
        <v>29</v>
      </c>
      <c r="Q340" t="s">
        <v>30</v>
      </c>
      <c r="R340" t="s">
        <v>31</v>
      </c>
      <c r="S340" t="s">
        <v>32</v>
      </c>
      <c r="T340" t="s">
        <v>192</v>
      </c>
      <c r="U340" t="s">
        <v>34</v>
      </c>
      <c r="V340">
        <v>2097.02</v>
      </c>
    </row>
    <row r="341" spans="1:22" x14ac:dyDescent="0.3">
      <c r="A341" t="s">
        <v>1105</v>
      </c>
      <c r="B341" s="2">
        <v>46160</v>
      </c>
      <c r="C341" t="s">
        <v>1106</v>
      </c>
      <c r="D341" t="s">
        <v>70</v>
      </c>
      <c r="E341" t="s">
        <v>165</v>
      </c>
      <c r="F341">
        <v>2</v>
      </c>
      <c r="G341">
        <v>0.05</v>
      </c>
      <c r="H341">
        <v>4750</v>
      </c>
      <c r="I341">
        <v>1455.15</v>
      </c>
      <c r="J341" t="s">
        <v>65</v>
      </c>
      <c r="K341" t="s">
        <v>27</v>
      </c>
      <c r="L341">
        <v>2375</v>
      </c>
      <c r="M341">
        <v>30.634736842105269</v>
      </c>
      <c r="N341" t="s">
        <v>8</v>
      </c>
      <c r="O341" t="s">
        <v>789</v>
      </c>
      <c r="P341" t="s">
        <v>29</v>
      </c>
      <c r="Q341" t="s">
        <v>74</v>
      </c>
      <c r="R341" t="s">
        <v>237</v>
      </c>
      <c r="S341" t="s">
        <v>238</v>
      </c>
      <c r="T341" t="s">
        <v>1107</v>
      </c>
      <c r="U341" t="s">
        <v>105</v>
      </c>
      <c r="V341">
        <v>727.57500000000005</v>
      </c>
    </row>
    <row r="342" spans="1:22" x14ac:dyDescent="0.3">
      <c r="A342" t="s">
        <v>1108</v>
      </c>
      <c r="B342" s="2">
        <v>46050</v>
      </c>
      <c r="C342" t="s">
        <v>426</v>
      </c>
      <c r="D342" t="s">
        <v>49</v>
      </c>
      <c r="E342" t="s">
        <v>58</v>
      </c>
      <c r="F342">
        <v>1</v>
      </c>
      <c r="G342">
        <v>0.15</v>
      </c>
      <c r="H342">
        <v>12750</v>
      </c>
      <c r="I342">
        <v>1662.15</v>
      </c>
      <c r="J342" t="s">
        <v>51</v>
      </c>
      <c r="K342" t="s">
        <v>40</v>
      </c>
      <c r="L342">
        <v>12750</v>
      </c>
      <c r="M342">
        <v>13.036470588235289</v>
      </c>
      <c r="N342" t="s">
        <v>8</v>
      </c>
      <c r="O342" t="s">
        <v>427</v>
      </c>
      <c r="P342" t="s">
        <v>73</v>
      </c>
      <c r="Q342" t="s">
        <v>30</v>
      </c>
      <c r="R342" t="s">
        <v>60</v>
      </c>
      <c r="S342" t="s">
        <v>61</v>
      </c>
      <c r="T342" t="s">
        <v>428</v>
      </c>
      <c r="U342" t="s">
        <v>34</v>
      </c>
      <c r="V342">
        <v>1662.15</v>
      </c>
    </row>
    <row r="343" spans="1:22" x14ac:dyDescent="0.3">
      <c r="A343" t="s">
        <v>1109</v>
      </c>
      <c r="B343" s="2">
        <v>45973</v>
      </c>
      <c r="C343" t="s">
        <v>1110</v>
      </c>
      <c r="D343" t="s">
        <v>70</v>
      </c>
      <c r="E343" t="s">
        <v>71</v>
      </c>
      <c r="F343">
        <v>1</v>
      </c>
      <c r="G343">
        <v>0.1</v>
      </c>
      <c r="H343">
        <v>16200</v>
      </c>
      <c r="I343">
        <v>2512.25</v>
      </c>
      <c r="J343" t="s">
        <v>39</v>
      </c>
      <c r="K343" t="s">
        <v>40</v>
      </c>
      <c r="L343">
        <v>16200</v>
      </c>
      <c r="M343">
        <v>15.50771604938272</v>
      </c>
      <c r="N343" t="s">
        <v>8</v>
      </c>
      <c r="O343" t="s">
        <v>1111</v>
      </c>
      <c r="P343" t="s">
        <v>29</v>
      </c>
      <c r="Q343" t="s">
        <v>42</v>
      </c>
      <c r="R343" t="s">
        <v>110</v>
      </c>
      <c r="S343" t="s">
        <v>111</v>
      </c>
      <c r="T343" t="s">
        <v>1112</v>
      </c>
      <c r="U343" t="s">
        <v>34</v>
      </c>
      <c r="V343">
        <v>2512.25</v>
      </c>
    </row>
    <row r="344" spans="1:22" x14ac:dyDescent="0.3">
      <c r="A344" t="s">
        <v>1113</v>
      </c>
      <c r="B344" s="2">
        <v>45896</v>
      </c>
      <c r="C344" t="s">
        <v>869</v>
      </c>
      <c r="D344" t="s">
        <v>24</v>
      </c>
      <c r="E344" t="s">
        <v>242</v>
      </c>
      <c r="F344">
        <v>1</v>
      </c>
      <c r="G344">
        <v>0.15</v>
      </c>
      <c r="H344">
        <v>382.5</v>
      </c>
      <c r="I344">
        <v>74.56</v>
      </c>
      <c r="J344" t="s">
        <v>65</v>
      </c>
      <c r="K344" t="s">
        <v>40</v>
      </c>
      <c r="L344">
        <v>382.5</v>
      </c>
      <c r="M344">
        <v>19.492810457516342</v>
      </c>
      <c r="N344" t="s">
        <v>8</v>
      </c>
      <c r="O344" t="s">
        <v>870</v>
      </c>
      <c r="P344" t="s">
        <v>73</v>
      </c>
      <c r="Q344" t="s">
        <v>30</v>
      </c>
      <c r="R344" t="s">
        <v>98</v>
      </c>
      <c r="S344" t="s">
        <v>54</v>
      </c>
      <c r="T344" t="s">
        <v>859</v>
      </c>
      <c r="U344" t="s">
        <v>34</v>
      </c>
      <c r="V344">
        <v>74.56</v>
      </c>
    </row>
    <row r="345" spans="1:22" x14ac:dyDescent="0.3">
      <c r="A345" t="s">
        <v>1114</v>
      </c>
      <c r="B345" s="2">
        <v>46159</v>
      </c>
      <c r="C345" t="s">
        <v>36</v>
      </c>
      <c r="D345" t="s">
        <v>70</v>
      </c>
      <c r="E345" t="s">
        <v>108</v>
      </c>
      <c r="F345">
        <v>6</v>
      </c>
      <c r="G345">
        <v>0</v>
      </c>
      <c r="H345">
        <v>27000</v>
      </c>
      <c r="I345">
        <v>9000</v>
      </c>
      <c r="J345" t="s">
        <v>26</v>
      </c>
      <c r="K345" t="s">
        <v>40</v>
      </c>
      <c r="L345">
        <v>4500</v>
      </c>
      <c r="M345">
        <v>33.333333333333329</v>
      </c>
      <c r="N345" t="s">
        <v>8</v>
      </c>
      <c r="O345" t="s">
        <v>41</v>
      </c>
      <c r="P345" t="s">
        <v>29</v>
      </c>
      <c r="Q345" t="s">
        <v>42</v>
      </c>
      <c r="R345" t="s">
        <v>43</v>
      </c>
      <c r="S345" t="s">
        <v>44</v>
      </c>
      <c r="T345" t="s">
        <v>45</v>
      </c>
      <c r="U345" t="s">
        <v>46</v>
      </c>
      <c r="V345">
        <v>1500</v>
      </c>
    </row>
    <row r="346" spans="1:22" x14ac:dyDescent="0.3">
      <c r="A346" t="s">
        <v>1115</v>
      </c>
      <c r="B346" s="2">
        <v>46027</v>
      </c>
      <c r="C346" t="s">
        <v>1116</v>
      </c>
      <c r="D346" t="s">
        <v>37</v>
      </c>
      <c r="E346" t="s">
        <v>170</v>
      </c>
      <c r="F346">
        <v>15</v>
      </c>
      <c r="G346">
        <v>0.15</v>
      </c>
      <c r="H346">
        <v>17850</v>
      </c>
      <c r="I346">
        <v>5579.16</v>
      </c>
      <c r="J346" t="s">
        <v>65</v>
      </c>
      <c r="K346" t="s">
        <v>40</v>
      </c>
      <c r="L346">
        <v>1190</v>
      </c>
      <c r="M346">
        <v>31.255798319327731</v>
      </c>
      <c r="N346" t="s">
        <v>8</v>
      </c>
      <c r="O346" t="s">
        <v>1117</v>
      </c>
      <c r="P346" t="s">
        <v>29</v>
      </c>
      <c r="Q346" t="s">
        <v>30</v>
      </c>
      <c r="R346" t="s">
        <v>98</v>
      </c>
      <c r="S346" t="s">
        <v>54</v>
      </c>
      <c r="T346" t="s">
        <v>1118</v>
      </c>
      <c r="U346" t="s">
        <v>34</v>
      </c>
      <c r="V346">
        <v>371.94400000000002</v>
      </c>
    </row>
    <row r="347" spans="1:22" x14ac:dyDescent="0.3">
      <c r="A347" t="s">
        <v>1119</v>
      </c>
      <c r="B347" s="2">
        <v>45918</v>
      </c>
      <c r="C347" t="s">
        <v>1120</v>
      </c>
      <c r="D347" t="s">
        <v>24</v>
      </c>
      <c r="E347" t="s">
        <v>25</v>
      </c>
      <c r="F347">
        <v>1</v>
      </c>
      <c r="G347">
        <v>0.15</v>
      </c>
      <c r="H347">
        <v>11900</v>
      </c>
      <c r="I347">
        <v>1118.8599999999999</v>
      </c>
      <c r="J347" t="s">
        <v>65</v>
      </c>
      <c r="K347" t="s">
        <v>40</v>
      </c>
      <c r="L347">
        <v>11900</v>
      </c>
      <c r="M347">
        <v>9.4021848739495795</v>
      </c>
      <c r="N347" t="s">
        <v>8</v>
      </c>
      <c r="O347" t="s">
        <v>1121</v>
      </c>
      <c r="P347" t="s">
        <v>73</v>
      </c>
      <c r="Q347" t="s">
        <v>74</v>
      </c>
      <c r="R347" t="s">
        <v>493</v>
      </c>
      <c r="S347" t="s">
        <v>494</v>
      </c>
      <c r="T347" t="s">
        <v>1122</v>
      </c>
      <c r="U347" t="s">
        <v>34</v>
      </c>
      <c r="V347">
        <v>1118.8599999999999</v>
      </c>
    </row>
    <row r="348" spans="1:22" x14ac:dyDescent="0.3">
      <c r="A348" t="s">
        <v>1123</v>
      </c>
      <c r="B348" s="2">
        <v>46202</v>
      </c>
      <c r="C348" t="s">
        <v>114</v>
      </c>
      <c r="D348" t="s">
        <v>49</v>
      </c>
      <c r="E348" t="s">
        <v>79</v>
      </c>
      <c r="F348">
        <v>4</v>
      </c>
      <c r="G348">
        <v>0.1</v>
      </c>
      <c r="H348">
        <v>39600</v>
      </c>
      <c r="I348">
        <v>7832.8</v>
      </c>
      <c r="J348" t="s">
        <v>65</v>
      </c>
      <c r="K348" t="s">
        <v>27</v>
      </c>
      <c r="L348">
        <v>9900</v>
      </c>
      <c r="M348">
        <v>19.77979797979798</v>
      </c>
      <c r="N348" t="s">
        <v>8</v>
      </c>
      <c r="O348" t="s">
        <v>88</v>
      </c>
      <c r="P348" t="s">
        <v>29</v>
      </c>
      <c r="Q348" t="s">
        <v>74</v>
      </c>
      <c r="R348" t="s">
        <v>115</v>
      </c>
      <c r="S348" t="s">
        <v>115</v>
      </c>
      <c r="T348" t="s">
        <v>116</v>
      </c>
      <c r="U348" t="s">
        <v>46</v>
      </c>
      <c r="V348">
        <v>1958.2</v>
      </c>
    </row>
    <row r="349" spans="1:22" x14ac:dyDescent="0.3">
      <c r="A349" t="s">
        <v>1124</v>
      </c>
      <c r="B349" s="2">
        <v>45960</v>
      </c>
      <c r="C349" t="s">
        <v>1125</v>
      </c>
      <c r="D349" t="s">
        <v>70</v>
      </c>
      <c r="E349" t="s">
        <v>129</v>
      </c>
      <c r="F349">
        <v>1</v>
      </c>
      <c r="G349">
        <v>0.2</v>
      </c>
      <c r="H349">
        <v>44000</v>
      </c>
      <c r="I349">
        <v>-26190.62</v>
      </c>
      <c r="J349" t="s">
        <v>26</v>
      </c>
      <c r="K349" t="s">
        <v>434</v>
      </c>
      <c r="L349">
        <v>44000</v>
      </c>
      <c r="M349">
        <v>-59.524136363636359</v>
      </c>
      <c r="N349" t="s">
        <v>81</v>
      </c>
      <c r="O349" t="s">
        <v>754</v>
      </c>
      <c r="P349" t="s">
        <v>83</v>
      </c>
      <c r="Q349" t="s">
        <v>74</v>
      </c>
      <c r="R349" t="s">
        <v>493</v>
      </c>
      <c r="S349" t="s">
        <v>494</v>
      </c>
      <c r="T349" t="s">
        <v>822</v>
      </c>
      <c r="U349" t="s">
        <v>46</v>
      </c>
      <c r="V349">
        <v>-26190.62</v>
      </c>
    </row>
    <row r="350" spans="1:22" x14ac:dyDescent="0.3">
      <c r="A350" t="s">
        <v>1126</v>
      </c>
      <c r="B350" s="2">
        <v>45871</v>
      </c>
      <c r="C350" t="s">
        <v>824</v>
      </c>
      <c r="D350" t="s">
        <v>49</v>
      </c>
      <c r="E350" t="s">
        <v>58</v>
      </c>
      <c r="F350">
        <v>1</v>
      </c>
      <c r="G350">
        <v>0</v>
      </c>
      <c r="H350">
        <v>15000</v>
      </c>
      <c r="I350">
        <v>3500</v>
      </c>
      <c r="J350" t="s">
        <v>65</v>
      </c>
      <c r="K350" t="s">
        <v>40</v>
      </c>
      <c r="L350">
        <v>15000</v>
      </c>
      <c r="M350">
        <v>23.333333333333329</v>
      </c>
      <c r="N350" t="s">
        <v>8</v>
      </c>
      <c r="O350" t="s">
        <v>825</v>
      </c>
      <c r="P350" t="s">
        <v>29</v>
      </c>
      <c r="Q350" t="s">
        <v>30</v>
      </c>
      <c r="R350" t="s">
        <v>53</v>
      </c>
      <c r="S350" t="s">
        <v>54</v>
      </c>
      <c r="T350" t="s">
        <v>826</v>
      </c>
      <c r="U350" t="s">
        <v>105</v>
      </c>
      <c r="V350">
        <v>3500</v>
      </c>
    </row>
    <row r="351" spans="1:22" x14ac:dyDescent="0.3">
      <c r="A351" t="s">
        <v>1127</v>
      </c>
      <c r="B351" s="2">
        <v>46076</v>
      </c>
      <c r="C351" t="s">
        <v>174</v>
      </c>
      <c r="D351" t="s">
        <v>70</v>
      </c>
      <c r="E351" t="s">
        <v>71</v>
      </c>
      <c r="F351">
        <v>4</v>
      </c>
      <c r="G351">
        <v>0.05</v>
      </c>
      <c r="H351">
        <v>68400</v>
      </c>
      <c r="I351">
        <v>11899.2</v>
      </c>
      <c r="J351" t="s">
        <v>26</v>
      </c>
      <c r="K351" t="s">
        <v>40</v>
      </c>
      <c r="L351">
        <v>17100</v>
      </c>
      <c r="M351">
        <v>17.396491228070179</v>
      </c>
      <c r="N351" t="s">
        <v>8</v>
      </c>
      <c r="O351" t="s">
        <v>175</v>
      </c>
      <c r="P351" t="s">
        <v>29</v>
      </c>
      <c r="Q351" t="s">
        <v>30</v>
      </c>
      <c r="R351" t="s">
        <v>53</v>
      </c>
      <c r="S351" t="s">
        <v>54</v>
      </c>
      <c r="T351" t="s">
        <v>176</v>
      </c>
      <c r="U351" t="s">
        <v>34</v>
      </c>
      <c r="V351">
        <v>2974.8</v>
      </c>
    </row>
    <row r="352" spans="1:22" x14ac:dyDescent="0.3">
      <c r="A352" t="s">
        <v>1128</v>
      </c>
      <c r="B352" s="2">
        <v>46145</v>
      </c>
      <c r="C352" t="s">
        <v>189</v>
      </c>
      <c r="D352" t="s">
        <v>49</v>
      </c>
      <c r="E352" t="s">
        <v>50</v>
      </c>
      <c r="F352">
        <v>6</v>
      </c>
      <c r="G352">
        <v>0.05</v>
      </c>
      <c r="H352">
        <v>74100</v>
      </c>
      <c r="I352">
        <v>16069.17</v>
      </c>
      <c r="J352" t="s">
        <v>39</v>
      </c>
      <c r="K352" t="s">
        <v>40</v>
      </c>
      <c r="L352">
        <v>12350</v>
      </c>
      <c r="M352">
        <v>21.68578947368421</v>
      </c>
      <c r="N352" t="s">
        <v>8</v>
      </c>
      <c r="O352" t="s">
        <v>191</v>
      </c>
      <c r="P352" t="s">
        <v>29</v>
      </c>
      <c r="Q352" t="s">
        <v>30</v>
      </c>
      <c r="R352" t="s">
        <v>31</v>
      </c>
      <c r="S352" t="s">
        <v>32</v>
      </c>
      <c r="T352" t="s">
        <v>192</v>
      </c>
      <c r="U352" t="s">
        <v>34</v>
      </c>
      <c r="V352">
        <v>2678.1950000000002</v>
      </c>
    </row>
    <row r="353" spans="1:22" x14ac:dyDescent="0.3">
      <c r="A353" t="s">
        <v>1129</v>
      </c>
      <c r="B353" s="2">
        <v>46217</v>
      </c>
      <c r="C353" t="s">
        <v>174</v>
      </c>
      <c r="D353" t="s">
        <v>49</v>
      </c>
      <c r="E353" t="s">
        <v>79</v>
      </c>
      <c r="F353">
        <v>3</v>
      </c>
      <c r="G353">
        <v>0</v>
      </c>
      <c r="H353">
        <v>33000</v>
      </c>
      <c r="I353">
        <v>7800</v>
      </c>
      <c r="J353" t="s">
        <v>65</v>
      </c>
      <c r="K353" t="s">
        <v>40</v>
      </c>
      <c r="L353">
        <v>11000</v>
      </c>
      <c r="M353">
        <v>23.63636363636364</v>
      </c>
      <c r="N353" t="s">
        <v>8</v>
      </c>
      <c r="O353" t="s">
        <v>175</v>
      </c>
      <c r="P353" t="s">
        <v>29</v>
      </c>
      <c r="Q353" t="s">
        <v>30</v>
      </c>
      <c r="R353" t="s">
        <v>53</v>
      </c>
      <c r="S353" t="s">
        <v>54</v>
      </c>
      <c r="T353" t="s">
        <v>176</v>
      </c>
      <c r="U353" t="s">
        <v>34</v>
      </c>
      <c r="V353">
        <v>2600</v>
      </c>
    </row>
    <row r="354" spans="1:22" x14ac:dyDescent="0.3">
      <c r="A354" t="s">
        <v>1130</v>
      </c>
      <c r="B354" s="2">
        <v>45839</v>
      </c>
      <c r="C354" t="s">
        <v>1131</v>
      </c>
      <c r="D354" t="s">
        <v>70</v>
      </c>
      <c r="E354" t="s">
        <v>108</v>
      </c>
      <c r="F354">
        <v>1</v>
      </c>
      <c r="G354">
        <v>0.05</v>
      </c>
      <c r="H354">
        <v>4275</v>
      </c>
      <c r="I354">
        <v>1309.93</v>
      </c>
      <c r="J354" t="s">
        <v>26</v>
      </c>
      <c r="K354" t="s">
        <v>40</v>
      </c>
      <c r="L354">
        <v>4275</v>
      </c>
      <c r="M354">
        <v>30.641637426900591</v>
      </c>
      <c r="N354" t="s">
        <v>8</v>
      </c>
      <c r="O354" t="s">
        <v>226</v>
      </c>
      <c r="P354" t="s">
        <v>73</v>
      </c>
      <c r="Q354" t="s">
        <v>74</v>
      </c>
      <c r="R354" t="s">
        <v>75</v>
      </c>
      <c r="S354" t="s">
        <v>75</v>
      </c>
      <c r="T354" t="s">
        <v>1132</v>
      </c>
      <c r="U354" t="s">
        <v>100</v>
      </c>
      <c r="V354">
        <v>1309.93</v>
      </c>
    </row>
    <row r="355" spans="1:22" x14ac:dyDescent="0.3">
      <c r="A355" t="s">
        <v>1133</v>
      </c>
      <c r="B355" s="2">
        <v>45880</v>
      </c>
      <c r="C355" t="s">
        <v>313</v>
      </c>
      <c r="D355" t="s">
        <v>70</v>
      </c>
      <c r="E355" t="s">
        <v>108</v>
      </c>
      <c r="F355">
        <v>3</v>
      </c>
      <c r="G355">
        <v>0.2</v>
      </c>
      <c r="H355">
        <v>10800</v>
      </c>
      <c r="I355">
        <v>3038.84</v>
      </c>
      <c r="J355" t="s">
        <v>39</v>
      </c>
      <c r="K355" t="s">
        <v>40</v>
      </c>
      <c r="L355">
        <v>3600</v>
      </c>
      <c r="M355">
        <v>28.137407407407409</v>
      </c>
      <c r="N355" t="s">
        <v>8</v>
      </c>
      <c r="O355" t="s">
        <v>314</v>
      </c>
      <c r="P355" t="s">
        <v>29</v>
      </c>
      <c r="Q355" t="s">
        <v>30</v>
      </c>
      <c r="R355" t="s">
        <v>98</v>
      </c>
      <c r="S355" t="s">
        <v>54</v>
      </c>
      <c r="T355" t="s">
        <v>315</v>
      </c>
      <c r="U355" t="s">
        <v>100</v>
      </c>
      <c r="V355">
        <v>1012.9466666666671</v>
      </c>
    </row>
    <row r="356" spans="1:22" x14ac:dyDescent="0.3">
      <c r="A356" t="s">
        <v>1134</v>
      </c>
      <c r="B356" s="2">
        <v>45884</v>
      </c>
      <c r="C356" t="s">
        <v>385</v>
      </c>
      <c r="D356" t="s">
        <v>49</v>
      </c>
      <c r="E356" t="s">
        <v>119</v>
      </c>
      <c r="F356">
        <v>2</v>
      </c>
      <c r="G356">
        <v>0</v>
      </c>
      <c r="H356">
        <v>18000</v>
      </c>
      <c r="I356">
        <v>4600</v>
      </c>
      <c r="J356" t="s">
        <v>65</v>
      </c>
      <c r="K356" t="s">
        <v>40</v>
      </c>
      <c r="L356">
        <v>9000</v>
      </c>
      <c r="M356">
        <v>25.55555555555555</v>
      </c>
      <c r="N356" t="s">
        <v>8</v>
      </c>
      <c r="O356" t="s">
        <v>386</v>
      </c>
      <c r="P356" t="s">
        <v>29</v>
      </c>
      <c r="Q356" t="s">
        <v>30</v>
      </c>
      <c r="R356" t="s">
        <v>60</v>
      </c>
      <c r="S356" t="s">
        <v>61</v>
      </c>
      <c r="T356" t="s">
        <v>387</v>
      </c>
      <c r="U356" t="s">
        <v>100</v>
      </c>
      <c r="V356">
        <v>2300</v>
      </c>
    </row>
    <row r="357" spans="1:22" x14ac:dyDescent="0.3">
      <c r="A357" t="s">
        <v>1135</v>
      </c>
      <c r="B357" s="2">
        <v>46236</v>
      </c>
      <c r="C357" t="s">
        <v>1136</v>
      </c>
      <c r="D357" t="s">
        <v>49</v>
      </c>
      <c r="E357" t="s">
        <v>119</v>
      </c>
      <c r="F357">
        <v>4</v>
      </c>
      <c r="G357">
        <v>0</v>
      </c>
      <c r="H357">
        <v>36000</v>
      </c>
      <c r="I357">
        <v>9200</v>
      </c>
      <c r="J357" t="s">
        <v>51</v>
      </c>
      <c r="K357" t="s">
        <v>40</v>
      </c>
      <c r="L357">
        <v>9000</v>
      </c>
      <c r="M357">
        <v>25.55555555555555</v>
      </c>
      <c r="N357" t="s">
        <v>8</v>
      </c>
      <c r="O357" t="s">
        <v>1137</v>
      </c>
      <c r="P357" t="s">
        <v>73</v>
      </c>
      <c r="Q357" t="s">
        <v>74</v>
      </c>
      <c r="R357" t="s">
        <v>75</v>
      </c>
      <c r="S357" t="s">
        <v>75</v>
      </c>
      <c r="T357" t="s">
        <v>1138</v>
      </c>
      <c r="U357" t="s">
        <v>46</v>
      </c>
      <c r="V357">
        <v>2300</v>
      </c>
    </row>
    <row r="358" spans="1:22" x14ac:dyDescent="0.3">
      <c r="A358" t="s">
        <v>1139</v>
      </c>
      <c r="B358" s="2">
        <v>46034</v>
      </c>
      <c r="C358" t="s">
        <v>1140</v>
      </c>
      <c r="D358" t="s">
        <v>70</v>
      </c>
      <c r="E358" t="s">
        <v>108</v>
      </c>
      <c r="F358">
        <v>1</v>
      </c>
      <c r="G358">
        <v>0.1</v>
      </c>
      <c r="H358">
        <v>4050</v>
      </c>
      <c r="I358">
        <v>1149.83</v>
      </c>
      <c r="J358" t="s">
        <v>26</v>
      </c>
      <c r="K358" t="s">
        <v>40</v>
      </c>
      <c r="L358">
        <v>4050</v>
      </c>
      <c r="M358">
        <v>28.39086419753086</v>
      </c>
      <c r="N358" t="s">
        <v>8</v>
      </c>
      <c r="O358" t="s">
        <v>1141</v>
      </c>
      <c r="P358" t="s">
        <v>29</v>
      </c>
      <c r="Q358" t="s">
        <v>42</v>
      </c>
      <c r="R358" t="s">
        <v>214</v>
      </c>
      <c r="S358" t="s">
        <v>111</v>
      </c>
      <c r="T358" t="s">
        <v>471</v>
      </c>
      <c r="U358" t="s">
        <v>105</v>
      </c>
      <c r="V358">
        <v>1149.83</v>
      </c>
    </row>
    <row r="359" spans="1:22" x14ac:dyDescent="0.3">
      <c r="A359" t="s">
        <v>1142</v>
      </c>
      <c r="B359" s="2">
        <v>46043</v>
      </c>
      <c r="C359" t="s">
        <v>1143</v>
      </c>
      <c r="D359" t="s">
        <v>24</v>
      </c>
      <c r="E359" t="s">
        <v>87</v>
      </c>
      <c r="F359">
        <v>3</v>
      </c>
      <c r="G359">
        <v>0.1</v>
      </c>
      <c r="H359">
        <v>945</v>
      </c>
      <c r="I359">
        <v>283.95999999999998</v>
      </c>
      <c r="J359" t="s">
        <v>65</v>
      </c>
      <c r="K359" t="s">
        <v>40</v>
      </c>
      <c r="L359">
        <v>315</v>
      </c>
      <c r="M359">
        <v>30.048677248677251</v>
      </c>
      <c r="N359" t="s">
        <v>8</v>
      </c>
      <c r="O359" t="s">
        <v>1144</v>
      </c>
      <c r="P359" t="s">
        <v>29</v>
      </c>
      <c r="Q359" t="s">
        <v>30</v>
      </c>
      <c r="R359" t="s">
        <v>31</v>
      </c>
      <c r="S359" t="s">
        <v>32</v>
      </c>
      <c r="T359" t="s">
        <v>1145</v>
      </c>
      <c r="U359" t="s">
        <v>100</v>
      </c>
      <c r="V359">
        <v>94.653333333333322</v>
      </c>
    </row>
    <row r="360" spans="1:22" x14ac:dyDescent="0.3">
      <c r="A360" t="s">
        <v>1146</v>
      </c>
      <c r="B360" s="2">
        <v>45928</v>
      </c>
      <c r="C360" t="s">
        <v>997</v>
      </c>
      <c r="D360" t="s">
        <v>37</v>
      </c>
      <c r="E360" t="s">
        <v>38</v>
      </c>
      <c r="F360">
        <v>3</v>
      </c>
      <c r="G360">
        <v>0</v>
      </c>
      <c r="H360">
        <v>5400</v>
      </c>
      <c r="I360">
        <v>1950</v>
      </c>
      <c r="J360" t="s">
        <v>65</v>
      </c>
      <c r="K360" t="s">
        <v>40</v>
      </c>
      <c r="L360">
        <v>1800</v>
      </c>
      <c r="M360">
        <v>36.111111111111107</v>
      </c>
      <c r="N360" t="s">
        <v>8</v>
      </c>
      <c r="O360" t="s">
        <v>166</v>
      </c>
      <c r="P360" t="s">
        <v>73</v>
      </c>
      <c r="Q360" t="s">
        <v>131</v>
      </c>
      <c r="R360" t="s">
        <v>449</v>
      </c>
      <c r="S360" t="s">
        <v>450</v>
      </c>
      <c r="T360" t="s">
        <v>515</v>
      </c>
      <c r="U360" t="s">
        <v>46</v>
      </c>
      <c r="V360">
        <v>650</v>
      </c>
    </row>
    <row r="361" spans="1:22" x14ac:dyDescent="0.3">
      <c r="A361" t="s">
        <v>1147</v>
      </c>
      <c r="B361" s="2">
        <v>46144</v>
      </c>
      <c r="C361" t="s">
        <v>1148</v>
      </c>
      <c r="D361" t="s">
        <v>37</v>
      </c>
      <c r="E361" t="s">
        <v>38</v>
      </c>
      <c r="F361">
        <v>3</v>
      </c>
      <c r="G361">
        <v>0.1</v>
      </c>
      <c r="H361">
        <v>4860</v>
      </c>
      <c r="I361">
        <v>1559.37</v>
      </c>
      <c r="J361" t="s">
        <v>65</v>
      </c>
      <c r="K361" t="s">
        <v>40</v>
      </c>
      <c r="L361">
        <v>1620</v>
      </c>
      <c r="M361">
        <v>32.0858024691358</v>
      </c>
      <c r="N361" t="s">
        <v>8</v>
      </c>
      <c r="O361" t="s">
        <v>302</v>
      </c>
      <c r="P361" t="s">
        <v>73</v>
      </c>
      <c r="Q361" t="s">
        <v>42</v>
      </c>
      <c r="R361" t="s">
        <v>214</v>
      </c>
      <c r="S361" t="s">
        <v>111</v>
      </c>
      <c r="T361" t="s">
        <v>1149</v>
      </c>
      <c r="U361" t="s">
        <v>34</v>
      </c>
      <c r="V361">
        <v>519.79</v>
      </c>
    </row>
    <row r="362" spans="1:22" x14ac:dyDescent="0.3">
      <c r="A362" t="s">
        <v>1150</v>
      </c>
      <c r="B362" s="2">
        <v>45853</v>
      </c>
      <c r="C362" t="s">
        <v>433</v>
      </c>
      <c r="D362" t="s">
        <v>70</v>
      </c>
      <c r="E362" t="s">
        <v>108</v>
      </c>
      <c r="F362">
        <v>2</v>
      </c>
      <c r="G362">
        <v>0.05</v>
      </c>
      <c r="H362">
        <v>8550</v>
      </c>
      <c r="I362">
        <v>2711.79</v>
      </c>
      <c r="J362" t="s">
        <v>65</v>
      </c>
      <c r="K362" t="s">
        <v>40</v>
      </c>
      <c r="L362">
        <v>4275</v>
      </c>
      <c r="M362">
        <v>31.716842105263161</v>
      </c>
      <c r="N362" t="s">
        <v>8</v>
      </c>
      <c r="O362" t="s">
        <v>435</v>
      </c>
      <c r="P362" t="s">
        <v>73</v>
      </c>
      <c r="Q362" t="s">
        <v>42</v>
      </c>
      <c r="R362" t="s">
        <v>214</v>
      </c>
      <c r="S362" t="s">
        <v>111</v>
      </c>
      <c r="T362" t="s">
        <v>436</v>
      </c>
      <c r="U362" t="s">
        <v>46</v>
      </c>
      <c r="V362">
        <v>1355.895</v>
      </c>
    </row>
    <row r="363" spans="1:22" x14ac:dyDescent="0.3">
      <c r="A363" t="s">
        <v>1151</v>
      </c>
      <c r="B363" s="2">
        <v>45918</v>
      </c>
      <c r="C363" t="s">
        <v>1152</v>
      </c>
      <c r="D363" t="s">
        <v>49</v>
      </c>
      <c r="E363" t="s">
        <v>50</v>
      </c>
      <c r="F363">
        <v>3</v>
      </c>
      <c r="G363">
        <v>0.05</v>
      </c>
      <c r="H363">
        <v>37050</v>
      </c>
      <c r="I363">
        <v>-20998.51</v>
      </c>
      <c r="J363" t="s">
        <v>39</v>
      </c>
      <c r="K363" t="s">
        <v>80</v>
      </c>
      <c r="L363">
        <v>12350</v>
      </c>
      <c r="M363">
        <v>-56.676140350877191</v>
      </c>
      <c r="N363" t="s">
        <v>81</v>
      </c>
      <c r="O363" t="s">
        <v>995</v>
      </c>
      <c r="P363" t="s">
        <v>29</v>
      </c>
      <c r="Q363" t="s">
        <v>30</v>
      </c>
      <c r="R363" t="s">
        <v>31</v>
      </c>
      <c r="S363" t="s">
        <v>32</v>
      </c>
      <c r="T363" t="s">
        <v>960</v>
      </c>
      <c r="U363" t="s">
        <v>100</v>
      </c>
      <c r="V363">
        <v>-6999.5033333333331</v>
      </c>
    </row>
    <row r="364" spans="1:22" x14ac:dyDescent="0.3">
      <c r="A364" t="s">
        <v>1153</v>
      </c>
      <c r="B364" s="2">
        <v>45888</v>
      </c>
      <c r="C364" t="s">
        <v>729</v>
      </c>
      <c r="D364" t="s">
        <v>49</v>
      </c>
      <c r="E364" t="s">
        <v>119</v>
      </c>
      <c r="F364">
        <v>6</v>
      </c>
      <c r="G364">
        <v>0.05</v>
      </c>
      <c r="H364">
        <v>51300</v>
      </c>
      <c r="I364">
        <v>11679.01</v>
      </c>
      <c r="J364" t="s">
        <v>26</v>
      </c>
      <c r="K364" t="s">
        <v>40</v>
      </c>
      <c r="L364">
        <v>8550</v>
      </c>
      <c r="M364">
        <v>22.76610136452242</v>
      </c>
      <c r="N364" t="s">
        <v>8</v>
      </c>
      <c r="O364" t="s">
        <v>730</v>
      </c>
      <c r="P364" t="s">
        <v>73</v>
      </c>
      <c r="Q364" t="s">
        <v>30</v>
      </c>
      <c r="R364" t="s">
        <v>31</v>
      </c>
      <c r="S364" t="s">
        <v>32</v>
      </c>
      <c r="T364" t="s">
        <v>215</v>
      </c>
      <c r="U364" t="s">
        <v>100</v>
      </c>
      <c r="V364">
        <v>1946.501666666667</v>
      </c>
    </row>
    <row r="365" spans="1:22" x14ac:dyDescent="0.3">
      <c r="A365" t="s">
        <v>1154</v>
      </c>
      <c r="B365" s="2">
        <v>46235</v>
      </c>
      <c r="C365" t="s">
        <v>1155</v>
      </c>
      <c r="D365" t="s">
        <v>70</v>
      </c>
      <c r="E365" t="s">
        <v>71</v>
      </c>
      <c r="F365">
        <v>4</v>
      </c>
      <c r="G365">
        <v>0.1</v>
      </c>
      <c r="H365">
        <v>64800</v>
      </c>
      <c r="I365">
        <v>8643.76</v>
      </c>
      <c r="J365" t="s">
        <v>39</v>
      </c>
      <c r="K365" t="s">
        <v>40</v>
      </c>
      <c r="L365">
        <v>16200</v>
      </c>
      <c r="M365">
        <v>13.339135802469141</v>
      </c>
      <c r="N365" t="s">
        <v>8</v>
      </c>
      <c r="O365" t="s">
        <v>975</v>
      </c>
      <c r="P365" t="s">
        <v>73</v>
      </c>
      <c r="Q365" t="s">
        <v>74</v>
      </c>
      <c r="R365" t="s">
        <v>75</v>
      </c>
      <c r="S365" t="s">
        <v>75</v>
      </c>
      <c r="T365" t="s">
        <v>1156</v>
      </c>
      <c r="U365" t="s">
        <v>100</v>
      </c>
      <c r="V365">
        <v>2160.94</v>
      </c>
    </row>
    <row r="366" spans="1:22" x14ac:dyDescent="0.3">
      <c r="A366" t="s">
        <v>1157</v>
      </c>
      <c r="B366" s="2">
        <v>46232</v>
      </c>
      <c r="C366" t="s">
        <v>1158</v>
      </c>
      <c r="D366" t="s">
        <v>24</v>
      </c>
      <c r="E366" t="s">
        <v>242</v>
      </c>
      <c r="F366">
        <v>1</v>
      </c>
      <c r="G366">
        <v>0.15</v>
      </c>
      <c r="H366">
        <v>382.5</v>
      </c>
      <c r="I366">
        <v>76.790000000000006</v>
      </c>
      <c r="J366" t="s">
        <v>39</v>
      </c>
      <c r="K366" t="s">
        <v>40</v>
      </c>
      <c r="L366">
        <v>382.5</v>
      </c>
      <c r="M366">
        <v>20.075816993464059</v>
      </c>
      <c r="N366" t="s">
        <v>8</v>
      </c>
      <c r="O366" t="s">
        <v>844</v>
      </c>
      <c r="P366" t="s">
        <v>29</v>
      </c>
      <c r="Q366" t="s">
        <v>42</v>
      </c>
      <c r="R366" t="s">
        <v>121</v>
      </c>
      <c r="S366" t="s">
        <v>44</v>
      </c>
      <c r="T366" t="s">
        <v>134</v>
      </c>
      <c r="U366" t="s">
        <v>100</v>
      </c>
      <c r="V366">
        <v>76.790000000000006</v>
      </c>
    </row>
    <row r="367" spans="1:22" x14ac:dyDescent="0.3">
      <c r="A367" t="s">
        <v>1159</v>
      </c>
      <c r="B367" s="2">
        <v>46248</v>
      </c>
      <c r="C367" t="s">
        <v>1160</v>
      </c>
      <c r="D367" t="s">
        <v>24</v>
      </c>
      <c r="E367" t="s">
        <v>87</v>
      </c>
      <c r="F367">
        <v>1</v>
      </c>
      <c r="G367">
        <v>0.1</v>
      </c>
      <c r="H367">
        <v>315</v>
      </c>
      <c r="I367">
        <v>101.25</v>
      </c>
      <c r="J367" t="s">
        <v>39</v>
      </c>
      <c r="K367" t="s">
        <v>40</v>
      </c>
      <c r="L367">
        <v>315</v>
      </c>
      <c r="M367">
        <v>32.142857142857153</v>
      </c>
      <c r="N367" t="s">
        <v>8</v>
      </c>
      <c r="O367" t="s">
        <v>269</v>
      </c>
      <c r="P367" t="s">
        <v>29</v>
      </c>
      <c r="Q367" t="s">
        <v>74</v>
      </c>
      <c r="R367" t="s">
        <v>493</v>
      </c>
      <c r="S367" t="s">
        <v>494</v>
      </c>
      <c r="T367" t="s">
        <v>1161</v>
      </c>
      <c r="U367" t="s">
        <v>34</v>
      </c>
      <c r="V367">
        <v>101.25</v>
      </c>
    </row>
    <row r="368" spans="1:22" x14ac:dyDescent="0.3">
      <c r="A368" t="s">
        <v>1162</v>
      </c>
      <c r="B368" s="2">
        <v>45881</v>
      </c>
      <c r="C368" t="s">
        <v>1069</v>
      </c>
      <c r="D368" t="s">
        <v>49</v>
      </c>
      <c r="E368" t="s">
        <v>79</v>
      </c>
      <c r="F368">
        <v>1</v>
      </c>
      <c r="G368">
        <v>0.15</v>
      </c>
      <c r="H368">
        <v>9350</v>
      </c>
      <c r="I368">
        <v>1694.44</v>
      </c>
      <c r="J368" t="s">
        <v>26</v>
      </c>
      <c r="K368" t="s">
        <v>40</v>
      </c>
      <c r="L368">
        <v>9350</v>
      </c>
      <c r="M368">
        <v>18.122352941176469</v>
      </c>
      <c r="N368" t="s">
        <v>8</v>
      </c>
      <c r="O368" t="s">
        <v>937</v>
      </c>
      <c r="P368" t="s">
        <v>29</v>
      </c>
      <c r="Q368" t="s">
        <v>42</v>
      </c>
      <c r="R368" t="s">
        <v>121</v>
      </c>
      <c r="S368" t="s">
        <v>44</v>
      </c>
      <c r="T368" t="s">
        <v>1070</v>
      </c>
      <c r="U368" t="s">
        <v>34</v>
      </c>
      <c r="V368">
        <v>1694.44</v>
      </c>
    </row>
    <row r="369" spans="1:22" x14ac:dyDescent="0.3">
      <c r="A369" t="s">
        <v>1163</v>
      </c>
      <c r="B369" s="2">
        <v>45938</v>
      </c>
      <c r="C369" t="s">
        <v>1164</v>
      </c>
      <c r="D369" t="s">
        <v>24</v>
      </c>
      <c r="E369" t="s">
        <v>242</v>
      </c>
      <c r="F369">
        <v>10</v>
      </c>
      <c r="G369">
        <v>0.3</v>
      </c>
      <c r="H369">
        <v>3150</v>
      </c>
      <c r="I369">
        <v>483.1</v>
      </c>
      <c r="J369" t="s">
        <v>51</v>
      </c>
      <c r="K369" t="s">
        <v>27</v>
      </c>
      <c r="L369">
        <v>315</v>
      </c>
      <c r="M369">
        <v>15.336507936507941</v>
      </c>
      <c r="N369" t="s">
        <v>8</v>
      </c>
      <c r="O369" t="s">
        <v>284</v>
      </c>
      <c r="P369" t="s">
        <v>29</v>
      </c>
      <c r="Q369" t="s">
        <v>30</v>
      </c>
      <c r="R369" t="s">
        <v>98</v>
      </c>
      <c r="S369" t="s">
        <v>54</v>
      </c>
      <c r="T369" t="s">
        <v>1165</v>
      </c>
      <c r="U369" t="s">
        <v>105</v>
      </c>
      <c r="V369">
        <v>48.31</v>
      </c>
    </row>
    <row r="370" spans="1:22" x14ac:dyDescent="0.3">
      <c r="A370" t="s">
        <v>1166</v>
      </c>
      <c r="B370" s="2">
        <v>45858</v>
      </c>
      <c r="C370" t="s">
        <v>272</v>
      </c>
      <c r="D370" t="s">
        <v>49</v>
      </c>
      <c r="E370" t="s">
        <v>79</v>
      </c>
      <c r="F370">
        <v>3</v>
      </c>
      <c r="G370">
        <v>0.2</v>
      </c>
      <c r="H370">
        <v>26400</v>
      </c>
      <c r="I370">
        <v>3248.42</v>
      </c>
      <c r="J370" t="s">
        <v>65</v>
      </c>
      <c r="K370" t="s">
        <v>40</v>
      </c>
      <c r="L370">
        <v>8800</v>
      </c>
      <c r="M370">
        <v>12.30462121212121</v>
      </c>
      <c r="N370" t="s">
        <v>8</v>
      </c>
      <c r="O370" t="s">
        <v>166</v>
      </c>
      <c r="P370" t="s">
        <v>73</v>
      </c>
      <c r="Q370" t="s">
        <v>30</v>
      </c>
      <c r="R370" t="s">
        <v>98</v>
      </c>
      <c r="S370" t="s">
        <v>54</v>
      </c>
      <c r="T370" t="s">
        <v>273</v>
      </c>
      <c r="U370" t="s">
        <v>105</v>
      </c>
      <c r="V370">
        <v>1082.8066666666671</v>
      </c>
    </row>
    <row r="371" spans="1:22" x14ac:dyDescent="0.3">
      <c r="A371" t="s">
        <v>1167</v>
      </c>
      <c r="B371" s="2">
        <v>46207</v>
      </c>
      <c r="C371" t="s">
        <v>1168</v>
      </c>
      <c r="D371" t="s">
        <v>70</v>
      </c>
      <c r="E371" t="s">
        <v>165</v>
      </c>
      <c r="F371">
        <v>5</v>
      </c>
      <c r="G371">
        <v>0.15</v>
      </c>
      <c r="H371">
        <v>10625</v>
      </c>
      <c r="I371">
        <v>3032.38</v>
      </c>
      <c r="J371" t="s">
        <v>26</v>
      </c>
      <c r="K371" t="s">
        <v>40</v>
      </c>
      <c r="L371">
        <v>2125</v>
      </c>
      <c r="M371">
        <v>28.540047058823529</v>
      </c>
      <c r="N371" t="s">
        <v>8</v>
      </c>
      <c r="O371" t="s">
        <v>1169</v>
      </c>
      <c r="P371" t="s">
        <v>83</v>
      </c>
      <c r="Q371" t="s">
        <v>131</v>
      </c>
      <c r="R371" t="s">
        <v>289</v>
      </c>
      <c r="S371" t="s">
        <v>290</v>
      </c>
      <c r="T371" t="s">
        <v>1170</v>
      </c>
      <c r="U371" t="s">
        <v>34</v>
      </c>
      <c r="V371">
        <v>606.476</v>
      </c>
    </row>
    <row r="372" spans="1:22" x14ac:dyDescent="0.3">
      <c r="A372" t="s">
        <v>1171</v>
      </c>
      <c r="B372" s="2">
        <v>45959</v>
      </c>
      <c r="C372" t="s">
        <v>263</v>
      </c>
      <c r="D372" t="s">
        <v>24</v>
      </c>
      <c r="E372" t="s">
        <v>25</v>
      </c>
      <c r="F372">
        <v>2</v>
      </c>
      <c r="G372">
        <v>0.1</v>
      </c>
      <c r="H372">
        <v>25200</v>
      </c>
      <c r="I372">
        <v>3410.72</v>
      </c>
      <c r="J372" t="s">
        <v>26</v>
      </c>
      <c r="K372" t="s">
        <v>27</v>
      </c>
      <c r="L372">
        <v>12600</v>
      </c>
      <c r="M372">
        <v>13.53460317460317</v>
      </c>
      <c r="N372" t="s">
        <v>8</v>
      </c>
      <c r="O372" t="s">
        <v>265</v>
      </c>
      <c r="P372" t="s">
        <v>73</v>
      </c>
      <c r="Q372" t="s">
        <v>30</v>
      </c>
      <c r="R372" t="s">
        <v>31</v>
      </c>
      <c r="S372" t="s">
        <v>32</v>
      </c>
      <c r="T372" t="s">
        <v>266</v>
      </c>
      <c r="U372" t="s">
        <v>46</v>
      </c>
      <c r="V372">
        <v>1705.36</v>
      </c>
    </row>
    <row r="373" spans="1:22" x14ac:dyDescent="0.3">
      <c r="A373" t="s">
        <v>1172</v>
      </c>
      <c r="B373" s="2">
        <v>45871</v>
      </c>
      <c r="C373" t="s">
        <v>1173</v>
      </c>
      <c r="D373" t="s">
        <v>49</v>
      </c>
      <c r="E373" t="s">
        <v>119</v>
      </c>
      <c r="F373">
        <v>2</v>
      </c>
      <c r="G373">
        <v>0</v>
      </c>
      <c r="H373">
        <v>18000</v>
      </c>
      <c r="I373">
        <v>4600</v>
      </c>
      <c r="J373" t="s">
        <v>51</v>
      </c>
      <c r="K373" t="s">
        <v>40</v>
      </c>
      <c r="L373">
        <v>9000</v>
      </c>
      <c r="M373">
        <v>25.55555555555555</v>
      </c>
      <c r="N373" t="s">
        <v>8</v>
      </c>
      <c r="O373" t="s">
        <v>406</v>
      </c>
      <c r="P373" t="s">
        <v>83</v>
      </c>
      <c r="Q373" t="s">
        <v>131</v>
      </c>
      <c r="R373" t="s">
        <v>289</v>
      </c>
      <c r="S373" t="s">
        <v>290</v>
      </c>
      <c r="T373" t="s">
        <v>1174</v>
      </c>
      <c r="U373" t="s">
        <v>34</v>
      </c>
      <c r="V373">
        <v>2300</v>
      </c>
    </row>
    <row r="374" spans="1:22" x14ac:dyDescent="0.3">
      <c r="A374" t="s">
        <v>1175</v>
      </c>
      <c r="B374" s="2">
        <v>46083</v>
      </c>
      <c r="C374" t="s">
        <v>562</v>
      </c>
      <c r="D374" t="s">
        <v>70</v>
      </c>
      <c r="E374" t="s">
        <v>71</v>
      </c>
      <c r="F374">
        <v>2</v>
      </c>
      <c r="G374">
        <v>0.1</v>
      </c>
      <c r="H374">
        <v>32400</v>
      </c>
      <c r="I374">
        <v>4464.7</v>
      </c>
      <c r="J374" t="s">
        <v>26</v>
      </c>
      <c r="K374" t="s">
        <v>40</v>
      </c>
      <c r="L374">
        <v>16200</v>
      </c>
      <c r="M374">
        <v>13.779938271604941</v>
      </c>
      <c r="N374" t="s">
        <v>8</v>
      </c>
      <c r="O374" t="s">
        <v>563</v>
      </c>
      <c r="P374" t="s">
        <v>29</v>
      </c>
      <c r="Q374" t="s">
        <v>30</v>
      </c>
      <c r="R374" t="s">
        <v>60</v>
      </c>
      <c r="S374" t="s">
        <v>61</v>
      </c>
      <c r="T374" t="s">
        <v>564</v>
      </c>
      <c r="U374" t="s">
        <v>100</v>
      </c>
      <c r="V374">
        <v>2232.35</v>
      </c>
    </row>
    <row r="375" spans="1:22" x14ac:dyDescent="0.3">
      <c r="A375" t="s">
        <v>1176</v>
      </c>
      <c r="B375" s="2">
        <v>46092</v>
      </c>
      <c r="C375" t="s">
        <v>1177</v>
      </c>
      <c r="D375" t="s">
        <v>37</v>
      </c>
      <c r="E375" t="s">
        <v>310</v>
      </c>
      <c r="F375">
        <v>2</v>
      </c>
      <c r="G375">
        <v>0</v>
      </c>
      <c r="H375">
        <v>4400</v>
      </c>
      <c r="I375">
        <v>1500</v>
      </c>
      <c r="J375" t="s">
        <v>26</v>
      </c>
      <c r="K375" t="s">
        <v>27</v>
      </c>
      <c r="L375">
        <v>2200</v>
      </c>
      <c r="M375">
        <v>34.090909090909093</v>
      </c>
      <c r="N375" t="s">
        <v>8</v>
      </c>
      <c r="O375" t="s">
        <v>984</v>
      </c>
      <c r="P375" t="s">
        <v>29</v>
      </c>
      <c r="Q375" t="s">
        <v>74</v>
      </c>
      <c r="R375" t="s">
        <v>237</v>
      </c>
      <c r="S375" t="s">
        <v>238</v>
      </c>
      <c r="T375" t="s">
        <v>1178</v>
      </c>
      <c r="U375" t="s">
        <v>46</v>
      </c>
      <c r="V375">
        <v>750</v>
      </c>
    </row>
    <row r="376" spans="1:22" x14ac:dyDescent="0.3">
      <c r="A376" t="s">
        <v>1179</v>
      </c>
      <c r="B376" s="2">
        <v>46205</v>
      </c>
      <c r="C376" t="s">
        <v>513</v>
      </c>
      <c r="D376" t="s">
        <v>70</v>
      </c>
      <c r="E376" t="s">
        <v>129</v>
      </c>
      <c r="F376">
        <v>1</v>
      </c>
      <c r="G376">
        <v>0.1</v>
      </c>
      <c r="H376">
        <v>49500</v>
      </c>
      <c r="I376">
        <v>-21459.22</v>
      </c>
      <c r="J376" t="s">
        <v>51</v>
      </c>
      <c r="K376" t="s">
        <v>80</v>
      </c>
      <c r="L376">
        <v>49500</v>
      </c>
      <c r="M376">
        <v>-43.351959595959599</v>
      </c>
      <c r="N376" t="s">
        <v>81</v>
      </c>
      <c r="O376" t="s">
        <v>514</v>
      </c>
      <c r="P376" t="s">
        <v>73</v>
      </c>
      <c r="Q376" t="s">
        <v>131</v>
      </c>
      <c r="R376" t="s">
        <v>449</v>
      </c>
      <c r="S376" t="s">
        <v>450</v>
      </c>
      <c r="T376" t="s">
        <v>515</v>
      </c>
      <c r="U376" t="s">
        <v>100</v>
      </c>
      <c r="V376">
        <v>-21459.22</v>
      </c>
    </row>
    <row r="377" spans="1:22" x14ac:dyDescent="0.3">
      <c r="A377" t="s">
        <v>1180</v>
      </c>
      <c r="B377" s="2">
        <v>46174</v>
      </c>
      <c r="C377" t="s">
        <v>1181</v>
      </c>
      <c r="D377" t="s">
        <v>37</v>
      </c>
      <c r="E377" t="s">
        <v>170</v>
      </c>
      <c r="F377">
        <v>6</v>
      </c>
      <c r="G377">
        <v>0.1</v>
      </c>
      <c r="H377">
        <v>7560</v>
      </c>
      <c r="I377">
        <v>2524.65</v>
      </c>
      <c r="J377" t="s">
        <v>39</v>
      </c>
      <c r="K377" t="s">
        <v>40</v>
      </c>
      <c r="L377">
        <v>1260</v>
      </c>
      <c r="M377">
        <v>33.394841269841272</v>
      </c>
      <c r="N377" t="s">
        <v>8</v>
      </c>
      <c r="O377" t="s">
        <v>1182</v>
      </c>
      <c r="P377" t="s">
        <v>29</v>
      </c>
      <c r="Q377" t="s">
        <v>30</v>
      </c>
      <c r="R377" t="s">
        <v>31</v>
      </c>
      <c r="S377" t="s">
        <v>32</v>
      </c>
      <c r="T377" t="s">
        <v>206</v>
      </c>
      <c r="U377" t="s">
        <v>46</v>
      </c>
      <c r="V377">
        <v>420.77499999999998</v>
      </c>
    </row>
    <row r="378" spans="1:22" x14ac:dyDescent="0.3">
      <c r="A378" t="s">
        <v>1183</v>
      </c>
      <c r="B378" s="2">
        <v>46017</v>
      </c>
      <c r="C378" t="s">
        <v>417</v>
      </c>
      <c r="D378" t="s">
        <v>37</v>
      </c>
      <c r="E378" t="s">
        <v>38</v>
      </c>
      <c r="F378">
        <v>2</v>
      </c>
      <c r="G378">
        <v>0.15</v>
      </c>
      <c r="H378">
        <v>3060</v>
      </c>
      <c r="I378">
        <v>949.44</v>
      </c>
      <c r="J378" t="s">
        <v>39</v>
      </c>
      <c r="K378" t="s">
        <v>40</v>
      </c>
      <c r="L378">
        <v>1530</v>
      </c>
      <c r="M378">
        <v>31.02745098039216</v>
      </c>
      <c r="N378" t="s">
        <v>8</v>
      </c>
      <c r="O378" t="s">
        <v>418</v>
      </c>
      <c r="P378" t="s">
        <v>29</v>
      </c>
      <c r="Q378" t="s">
        <v>30</v>
      </c>
      <c r="R378" t="s">
        <v>60</v>
      </c>
      <c r="S378" t="s">
        <v>61</v>
      </c>
      <c r="T378" t="s">
        <v>419</v>
      </c>
      <c r="U378" t="s">
        <v>34</v>
      </c>
      <c r="V378">
        <v>474.72</v>
      </c>
    </row>
    <row r="379" spans="1:22" x14ac:dyDescent="0.3">
      <c r="A379" t="s">
        <v>1184</v>
      </c>
      <c r="B379" s="2">
        <v>46263</v>
      </c>
      <c r="C379" t="s">
        <v>1185</v>
      </c>
      <c r="D379" t="s">
        <v>37</v>
      </c>
      <c r="E379" t="s">
        <v>190</v>
      </c>
      <c r="F379">
        <v>1</v>
      </c>
      <c r="G379">
        <v>0.05</v>
      </c>
      <c r="H379">
        <v>3990</v>
      </c>
      <c r="I379">
        <v>1062.95</v>
      </c>
      <c r="J379" t="s">
        <v>65</v>
      </c>
      <c r="K379" t="s">
        <v>27</v>
      </c>
      <c r="L379">
        <v>3990</v>
      </c>
      <c r="M379">
        <v>26.640350877192979</v>
      </c>
      <c r="N379" t="s">
        <v>8</v>
      </c>
      <c r="O379" t="s">
        <v>280</v>
      </c>
      <c r="P379" t="s">
        <v>83</v>
      </c>
      <c r="Q379" t="s">
        <v>131</v>
      </c>
      <c r="R379" t="s">
        <v>200</v>
      </c>
      <c r="S379" t="s">
        <v>201</v>
      </c>
      <c r="T379" t="s">
        <v>319</v>
      </c>
      <c r="U379" t="s">
        <v>46</v>
      </c>
      <c r="V379">
        <v>1062.95</v>
      </c>
    </row>
    <row r="380" spans="1:22" x14ac:dyDescent="0.3">
      <c r="A380" t="s">
        <v>1186</v>
      </c>
      <c r="B380" s="2">
        <v>46220</v>
      </c>
      <c r="C380" t="s">
        <v>107</v>
      </c>
      <c r="D380" t="s">
        <v>49</v>
      </c>
      <c r="E380" t="s">
        <v>119</v>
      </c>
      <c r="F380">
        <v>4</v>
      </c>
      <c r="G380">
        <v>0.1</v>
      </c>
      <c r="H380">
        <v>32400</v>
      </c>
      <c r="I380">
        <v>6598.81</v>
      </c>
      <c r="J380" t="s">
        <v>26</v>
      </c>
      <c r="K380" t="s">
        <v>40</v>
      </c>
      <c r="L380">
        <v>8100</v>
      </c>
      <c r="M380">
        <v>20.366697530864201</v>
      </c>
      <c r="N380" t="s">
        <v>8</v>
      </c>
      <c r="O380" t="s">
        <v>109</v>
      </c>
      <c r="P380" t="s">
        <v>29</v>
      </c>
      <c r="Q380" t="s">
        <v>42</v>
      </c>
      <c r="R380" t="s">
        <v>110</v>
      </c>
      <c r="S380" t="s">
        <v>111</v>
      </c>
      <c r="T380" t="s">
        <v>112</v>
      </c>
      <c r="U380" t="s">
        <v>100</v>
      </c>
      <c r="V380">
        <v>1649.7025000000001</v>
      </c>
    </row>
    <row r="381" spans="1:22" x14ac:dyDescent="0.3">
      <c r="A381" t="s">
        <v>1187</v>
      </c>
      <c r="B381" s="2">
        <v>46149</v>
      </c>
      <c r="C381" t="s">
        <v>164</v>
      </c>
      <c r="D381" t="s">
        <v>24</v>
      </c>
      <c r="E381" t="s">
        <v>92</v>
      </c>
      <c r="F381">
        <v>3</v>
      </c>
      <c r="G381">
        <v>0.1</v>
      </c>
      <c r="H381">
        <v>2430</v>
      </c>
      <c r="I381">
        <v>666.86</v>
      </c>
      <c r="J381" t="s">
        <v>65</v>
      </c>
      <c r="K381" t="s">
        <v>40</v>
      </c>
      <c r="L381">
        <v>810</v>
      </c>
      <c r="M381">
        <v>27.44279835390946</v>
      </c>
      <c r="N381" t="s">
        <v>8</v>
      </c>
      <c r="O381" t="s">
        <v>166</v>
      </c>
      <c r="P381" t="s">
        <v>73</v>
      </c>
      <c r="Q381" t="s">
        <v>30</v>
      </c>
      <c r="R381" t="s">
        <v>53</v>
      </c>
      <c r="S381" t="s">
        <v>54</v>
      </c>
      <c r="T381" t="s">
        <v>167</v>
      </c>
      <c r="U381" t="s">
        <v>46</v>
      </c>
      <c r="V381">
        <v>222.28666666666669</v>
      </c>
    </row>
    <row r="382" spans="1:22" x14ac:dyDescent="0.3">
      <c r="A382" t="s">
        <v>1188</v>
      </c>
      <c r="B382" s="2">
        <v>46223</v>
      </c>
      <c r="C382" t="s">
        <v>1189</v>
      </c>
      <c r="D382" t="s">
        <v>70</v>
      </c>
      <c r="E382" t="s">
        <v>108</v>
      </c>
      <c r="F382">
        <v>2</v>
      </c>
      <c r="G382">
        <v>0.1</v>
      </c>
      <c r="H382">
        <v>8100</v>
      </c>
      <c r="I382">
        <v>2467.38</v>
      </c>
      <c r="J382" t="s">
        <v>26</v>
      </c>
      <c r="K382" t="s">
        <v>27</v>
      </c>
      <c r="L382">
        <v>4050</v>
      </c>
      <c r="M382">
        <v>30.461481481481481</v>
      </c>
      <c r="N382" t="s">
        <v>8</v>
      </c>
      <c r="O382" t="s">
        <v>1190</v>
      </c>
      <c r="P382" t="s">
        <v>83</v>
      </c>
      <c r="Q382" t="s">
        <v>30</v>
      </c>
      <c r="R382" t="s">
        <v>53</v>
      </c>
      <c r="S382" t="s">
        <v>54</v>
      </c>
      <c r="T382" t="s">
        <v>1191</v>
      </c>
      <c r="U382" t="s">
        <v>34</v>
      </c>
      <c r="V382">
        <v>1233.69</v>
      </c>
    </row>
    <row r="383" spans="1:22" x14ac:dyDescent="0.3">
      <c r="A383" t="s">
        <v>1192</v>
      </c>
      <c r="B383" s="2">
        <v>45855</v>
      </c>
      <c r="C383" t="s">
        <v>1193</v>
      </c>
      <c r="D383" t="s">
        <v>49</v>
      </c>
      <c r="E383" t="s">
        <v>119</v>
      </c>
      <c r="F383">
        <v>2</v>
      </c>
      <c r="G383">
        <v>0.15</v>
      </c>
      <c r="H383">
        <v>15300</v>
      </c>
      <c r="I383">
        <v>3370.34</v>
      </c>
      <c r="J383" t="s">
        <v>51</v>
      </c>
      <c r="K383" t="s">
        <v>27</v>
      </c>
      <c r="L383">
        <v>7650</v>
      </c>
      <c r="M383">
        <v>22.028366013071899</v>
      </c>
      <c r="N383" t="s">
        <v>8</v>
      </c>
      <c r="O383" t="s">
        <v>781</v>
      </c>
      <c r="P383" t="s">
        <v>29</v>
      </c>
      <c r="Q383" t="s">
        <v>30</v>
      </c>
      <c r="R383" t="s">
        <v>31</v>
      </c>
      <c r="S383" t="s">
        <v>32</v>
      </c>
      <c r="T383" t="s">
        <v>1194</v>
      </c>
      <c r="U383" t="s">
        <v>46</v>
      </c>
      <c r="V383">
        <v>1685.17</v>
      </c>
    </row>
    <row r="384" spans="1:22" x14ac:dyDescent="0.3">
      <c r="A384" t="s">
        <v>1195</v>
      </c>
      <c r="B384" s="2">
        <v>46046</v>
      </c>
      <c r="C384" t="s">
        <v>1196</v>
      </c>
      <c r="D384" t="s">
        <v>37</v>
      </c>
      <c r="E384" t="s">
        <v>38</v>
      </c>
      <c r="F384">
        <v>2</v>
      </c>
      <c r="G384">
        <v>0.05</v>
      </c>
      <c r="H384">
        <v>3420</v>
      </c>
      <c r="I384">
        <v>1173.8599999999999</v>
      </c>
      <c r="J384" t="s">
        <v>65</v>
      </c>
      <c r="K384" t="s">
        <v>40</v>
      </c>
      <c r="L384">
        <v>1710</v>
      </c>
      <c r="M384">
        <v>34.323391812865488</v>
      </c>
      <c r="N384" t="s">
        <v>8</v>
      </c>
      <c r="O384" t="s">
        <v>686</v>
      </c>
      <c r="P384" t="s">
        <v>73</v>
      </c>
      <c r="Q384" t="s">
        <v>30</v>
      </c>
      <c r="R384" t="s">
        <v>53</v>
      </c>
      <c r="S384" t="s">
        <v>54</v>
      </c>
      <c r="T384" t="s">
        <v>1197</v>
      </c>
      <c r="U384" t="s">
        <v>100</v>
      </c>
      <c r="V384">
        <v>586.92999999999995</v>
      </c>
    </row>
    <row r="385" spans="1:22" x14ac:dyDescent="0.3">
      <c r="A385" t="s">
        <v>1198</v>
      </c>
      <c r="B385" s="2">
        <v>46166</v>
      </c>
      <c r="C385" t="s">
        <v>124</v>
      </c>
      <c r="D385" t="s">
        <v>70</v>
      </c>
      <c r="E385" t="s">
        <v>108</v>
      </c>
      <c r="F385">
        <v>1</v>
      </c>
      <c r="G385">
        <v>0</v>
      </c>
      <c r="H385">
        <v>4500</v>
      </c>
      <c r="I385">
        <v>1500</v>
      </c>
      <c r="J385" t="s">
        <v>65</v>
      </c>
      <c r="K385" t="s">
        <v>40</v>
      </c>
      <c r="L385">
        <v>4500</v>
      </c>
      <c r="M385">
        <v>33.333333333333329</v>
      </c>
      <c r="N385" t="s">
        <v>8</v>
      </c>
      <c r="O385" t="s">
        <v>125</v>
      </c>
      <c r="P385" t="s">
        <v>83</v>
      </c>
      <c r="Q385" t="s">
        <v>74</v>
      </c>
      <c r="R385" t="s">
        <v>115</v>
      </c>
      <c r="S385" t="s">
        <v>115</v>
      </c>
      <c r="T385" t="s">
        <v>126</v>
      </c>
      <c r="U385" t="s">
        <v>46</v>
      </c>
      <c r="V385">
        <v>1500</v>
      </c>
    </row>
    <row r="386" spans="1:22" x14ac:dyDescent="0.3">
      <c r="A386" t="s">
        <v>1199</v>
      </c>
      <c r="B386" s="2">
        <v>45885</v>
      </c>
      <c r="C386" t="s">
        <v>556</v>
      </c>
      <c r="D386" t="s">
        <v>24</v>
      </c>
      <c r="E386" t="s">
        <v>87</v>
      </c>
      <c r="F386">
        <v>3</v>
      </c>
      <c r="G386">
        <v>0.2</v>
      </c>
      <c r="H386">
        <v>840</v>
      </c>
      <c r="I386">
        <v>219.32</v>
      </c>
      <c r="J386" t="s">
        <v>26</v>
      </c>
      <c r="K386" t="s">
        <v>40</v>
      </c>
      <c r="L386">
        <v>280</v>
      </c>
      <c r="M386">
        <v>26.109523809523811</v>
      </c>
      <c r="N386" t="s">
        <v>8</v>
      </c>
      <c r="O386" t="s">
        <v>161</v>
      </c>
      <c r="P386" t="s">
        <v>29</v>
      </c>
      <c r="Q386" t="s">
        <v>30</v>
      </c>
      <c r="R386" t="s">
        <v>53</v>
      </c>
      <c r="S386" t="s">
        <v>54</v>
      </c>
      <c r="T386" t="s">
        <v>557</v>
      </c>
      <c r="U386" t="s">
        <v>34</v>
      </c>
      <c r="V386">
        <v>73.106666666666669</v>
      </c>
    </row>
    <row r="387" spans="1:22" x14ac:dyDescent="0.3">
      <c r="A387" t="s">
        <v>1200</v>
      </c>
      <c r="B387" s="2">
        <v>46258</v>
      </c>
      <c r="C387" t="s">
        <v>361</v>
      </c>
      <c r="D387" t="s">
        <v>70</v>
      </c>
      <c r="E387" t="s">
        <v>71</v>
      </c>
      <c r="F387">
        <v>1</v>
      </c>
      <c r="G387">
        <v>0.2</v>
      </c>
      <c r="H387">
        <v>14400</v>
      </c>
      <c r="I387">
        <v>-10792.44</v>
      </c>
      <c r="J387" t="s">
        <v>51</v>
      </c>
      <c r="K387" t="s">
        <v>80</v>
      </c>
      <c r="L387">
        <v>14400</v>
      </c>
      <c r="M387">
        <v>-74.947500000000005</v>
      </c>
      <c r="N387" t="s">
        <v>81</v>
      </c>
      <c r="O387" t="s">
        <v>362</v>
      </c>
      <c r="P387" t="s">
        <v>73</v>
      </c>
      <c r="Q387" t="s">
        <v>42</v>
      </c>
      <c r="R387" t="s">
        <v>43</v>
      </c>
      <c r="S387" t="s">
        <v>44</v>
      </c>
      <c r="T387" t="s">
        <v>363</v>
      </c>
      <c r="U387" t="s">
        <v>105</v>
      </c>
      <c r="V387">
        <v>-10792.44</v>
      </c>
    </row>
    <row r="388" spans="1:22" x14ac:dyDescent="0.3">
      <c r="A388" t="s">
        <v>1201</v>
      </c>
      <c r="B388" s="2">
        <v>45962</v>
      </c>
      <c r="C388" t="s">
        <v>1202</v>
      </c>
      <c r="D388" t="s">
        <v>70</v>
      </c>
      <c r="E388" t="s">
        <v>129</v>
      </c>
      <c r="F388">
        <v>1</v>
      </c>
      <c r="G388">
        <v>0.1</v>
      </c>
      <c r="H388">
        <v>49500</v>
      </c>
      <c r="I388">
        <v>5028.3999999999996</v>
      </c>
      <c r="J388" t="s">
        <v>51</v>
      </c>
      <c r="K388" t="s">
        <v>40</v>
      </c>
      <c r="L388">
        <v>49500</v>
      </c>
      <c r="M388">
        <v>10.158383838383839</v>
      </c>
      <c r="N388" t="s">
        <v>8</v>
      </c>
      <c r="O388" t="s">
        <v>251</v>
      </c>
      <c r="P388" t="s">
        <v>29</v>
      </c>
      <c r="Q388" t="s">
        <v>131</v>
      </c>
      <c r="R388" t="s">
        <v>132</v>
      </c>
      <c r="S388" t="s">
        <v>133</v>
      </c>
      <c r="T388" t="s">
        <v>1203</v>
      </c>
      <c r="U388" t="s">
        <v>34</v>
      </c>
      <c r="V388">
        <v>5028.3999999999996</v>
      </c>
    </row>
    <row r="389" spans="1:22" x14ac:dyDescent="0.3">
      <c r="A389" t="s">
        <v>1204</v>
      </c>
      <c r="B389" s="2">
        <v>46027</v>
      </c>
      <c r="C389" t="s">
        <v>64</v>
      </c>
      <c r="D389" t="s">
        <v>49</v>
      </c>
      <c r="E389" t="s">
        <v>50</v>
      </c>
      <c r="F389">
        <v>3</v>
      </c>
      <c r="G389">
        <v>0.2</v>
      </c>
      <c r="H389">
        <v>31200</v>
      </c>
      <c r="I389">
        <v>3827.91</v>
      </c>
      <c r="J389" t="s">
        <v>51</v>
      </c>
      <c r="K389" t="s">
        <v>40</v>
      </c>
      <c r="L389">
        <v>10400</v>
      </c>
      <c r="M389">
        <v>12.26894230769231</v>
      </c>
      <c r="N389" t="s">
        <v>8</v>
      </c>
      <c r="O389" t="s">
        <v>66</v>
      </c>
      <c r="P389" t="s">
        <v>29</v>
      </c>
      <c r="Q389" t="s">
        <v>42</v>
      </c>
      <c r="R389" t="s">
        <v>43</v>
      </c>
      <c r="S389" t="s">
        <v>44</v>
      </c>
      <c r="T389" t="s">
        <v>67</v>
      </c>
      <c r="U389" t="s">
        <v>34</v>
      </c>
      <c r="V389">
        <v>1275.97</v>
      </c>
    </row>
    <row r="390" spans="1:22" x14ac:dyDescent="0.3">
      <c r="A390" t="s">
        <v>1205</v>
      </c>
      <c r="B390" s="2">
        <v>45982</v>
      </c>
      <c r="C390" t="s">
        <v>1116</v>
      </c>
      <c r="D390" t="s">
        <v>49</v>
      </c>
      <c r="E390" t="s">
        <v>50</v>
      </c>
      <c r="F390">
        <v>1</v>
      </c>
      <c r="G390">
        <v>0.15</v>
      </c>
      <c r="H390">
        <v>11050</v>
      </c>
      <c r="I390">
        <v>1634.96</v>
      </c>
      <c r="J390" t="s">
        <v>51</v>
      </c>
      <c r="K390" t="s">
        <v>40</v>
      </c>
      <c r="L390">
        <v>11050</v>
      </c>
      <c r="M390">
        <v>14.79601809954751</v>
      </c>
      <c r="N390" t="s">
        <v>8</v>
      </c>
      <c r="O390" t="s">
        <v>1117</v>
      </c>
      <c r="P390" t="s">
        <v>29</v>
      </c>
      <c r="Q390" t="s">
        <v>30</v>
      </c>
      <c r="R390" t="s">
        <v>98</v>
      </c>
      <c r="S390" t="s">
        <v>54</v>
      </c>
      <c r="T390" t="s">
        <v>1118</v>
      </c>
      <c r="U390" t="s">
        <v>34</v>
      </c>
      <c r="V390">
        <v>1634.96</v>
      </c>
    </row>
    <row r="391" spans="1:22" x14ac:dyDescent="0.3">
      <c r="A391" t="s">
        <v>1206</v>
      </c>
      <c r="B391" s="2">
        <v>45912</v>
      </c>
      <c r="C391" t="s">
        <v>522</v>
      </c>
      <c r="D391" t="s">
        <v>37</v>
      </c>
      <c r="E391" t="s">
        <v>1207</v>
      </c>
      <c r="F391">
        <v>1</v>
      </c>
      <c r="G391">
        <v>0</v>
      </c>
      <c r="H391">
        <v>1800</v>
      </c>
      <c r="I391">
        <v>650</v>
      </c>
      <c r="J391" t="s">
        <v>51</v>
      </c>
      <c r="K391" t="s">
        <v>40</v>
      </c>
      <c r="L391">
        <v>1800</v>
      </c>
      <c r="M391">
        <v>36.111111111111107</v>
      </c>
      <c r="N391" t="s">
        <v>8</v>
      </c>
      <c r="O391" t="s">
        <v>523</v>
      </c>
      <c r="P391" t="s">
        <v>73</v>
      </c>
      <c r="Q391" t="s">
        <v>30</v>
      </c>
      <c r="R391" t="s">
        <v>98</v>
      </c>
      <c r="S391" t="s">
        <v>54</v>
      </c>
      <c r="T391" t="s">
        <v>62</v>
      </c>
      <c r="U391" t="s">
        <v>46</v>
      </c>
      <c r="V391">
        <v>650</v>
      </c>
    </row>
    <row r="392" spans="1:22" x14ac:dyDescent="0.3">
      <c r="A392" t="s">
        <v>1208</v>
      </c>
      <c r="B392" s="2">
        <v>45944</v>
      </c>
      <c r="C392" t="s">
        <v>850</v>
      </c>
      <c r="D392" t="s">
        <v>70</v>
      </c>
      <c r="E392" t="s">
        <v>165</v>
      </c>
      <c r="F392">
        <v>3</v>
      </c>
      <c r="G392">
        <v>0</v>
      </c>
      <c r="H392">
        <v>7500</v>
      </c>
      <c r="I392">
        <v>2400</v>
      </c>
      <c r="J392" t="s">
        <v>26</v>
      </c>
      <c r="K392" t="s">
        <v>40</v>
      </c>
      <c r="L392">
        <v>2500</v>
      </c>
      <c r="M392">
        <v>32</v>
      </c>
      <c r="N392" t="s">
        <v>8</v>
      </c>
      <c r="O392" t="s">
        <v>851</v>
      </c>
      <c r="P392" t="s">
        <v>29</v>
      </c>
      <c r="Q392" t="s">
        <v>30</v>
      </c>
      <c r="R392" t="s">
        <v>60</v>
      </c>
      <c r="S392" t="s">
        <v>61</v>
      </c>
      <c r="T392" t="s">
        <v>852</v>
      </c>
      <c r="U392" t="s">
        <v>46</v>
      </c>
      <c r="V392">
        <v>800</v>
      </c>
    </row>
    <row r="393" spans="1:22" x14ac:dyDescent="0.3">
      <c r="A393" t="s">
        <v>1209</v>
      </c>
      <c r="B393" s="2">
        <v>46195</v>
      </c>
      <c r="C393" t="s">
        <v>1210</v>
      </c>
      <c r="D393" t="s">
        <v>70</v>
      </c>
      <c r="E393" t="s">
        <v>71</v>
      </c>
      <c r="F393">
        <v>5</v>
      </c>
      <c r="G393">
        <v>0</v>
      </c>
      <c r="H393">
        <v>90000</v>
      </c>
      <c r="I393">
        <v>17500</v>
      </c>
      <c r="J393" t="s">
        <v>26</v>
      </c>
      <c r="K393" t="s">
        <v>40</v>
      </c>
      <c r="L393">
        <v>18000</v>
      </c>
      <c r="M393">
        <v>19.44444444444445</v>
      </c>
      <c r="N393" t="s">
        <v>8</v>
      </c>
      <c r="O393" t="s">
        <v>1190</v>
      </c>
      <c r="P393" t="s">
        <v>73</v>
      </c>
      <c r="Q393" t="s">
        <v>30</v>
      </c>
      <c r="R393" t="s">
        <v>31</v>
      </c>
      <c r="S393" t="s">
        <v>32</v>
      </c>
      <c r="T393" t="s">
        <v>1211</v>
      </c>
      <c r="U393" t="s">
        <v>46</v>
      </c>
      <c r="V393">
        <v>3500</v>
      </c>
    </row>
    <row r="394" spans="1:22" x14ac:dyDescent="0.3">
      <c r="A394" t="s">
        <v>1212</v>
      </c>
      <c r="B394" s="2">
        <v>45942</v>
      </c>
      <c r="C394" t="s">
        <v>297</v>
      </c>
      <c r="D394" t="s">
        <v>70</v>
      </c>
      <c r="E394" t="s">
        <v>165</v>
      </c>
      <c r="F394">
        <v>4</v>
      </c>
      <c r="G394">
        <v>0.1</v>
      </c>
      <c r="H394">
        <v>9000</v>
      </c>
      <c r="I394">
        <v>-914.54</v>
      </c>
      <c r="J394" t="s">
        <v>51</v>
      </c>
      <c r="K394" t="s">
        <v>80</v>
      </c>
      <c r="L394">
        <v>2250</v>
      </c>
      <c r="M394">
        <v>-10.161555555555561</v>
      </c>
      <c r="N394" t="s">
        <v>81</v>
      </c>
      <c r="O394" t="s">
        <v>298</v>
      </c>
      <c r="P394" t="s">
        <v>83</v>
      </c>
      <c r="Q394" t="s">
        <v>30</v>
      </c>
      <c r="R394" t="s">
        <v>60</v>
      </c>
      <c r="S394" t="s">
        <v>61</v>
      </c>
      <c r="T394" t="s">
        <v>299</v>
      </c>
      <c r="U394" t="s">
        <v>46</v>
      </c>
      <c r="V394">
        <v>-228.63499999999999</v>
      </c>
    </row>
    <row r="395" spans="1:22" x14ac:dyDescent="0.3">
      <c r="A395" t="s">
        <v>1213</v>
      </c>
      <c r="B395" s="2">
        <v>45915</v>
      </c>
      <c r="C395" t="s">
        <v>1214</v>
      </c>
      <c r="D395" t="s">
        <v>70</v>
      </c>
      <c r="E395" t="s">
        <v>71</v>
      </c>
      <c r="F395">
        <v>1</v>
      </c>
      <c r="G395">
        <v>0.1</v>
      </c>
      <c r="H395">
        <v>16200</v>
      </c>
      <c r="I395">
        <v>-8357.6200000000008</v>
      </c>
      <c r="J395" t="s">
        <v>65</v>
      </c>
      <c r="K395" t="s">
        <v>434</v>
      </c>
      <c r="L395">
        <v>16200</v>
      </c>
      <c r="M395">
        <v>-51.590246913580252</v>
      </c>
      <c r="N395" t="s">
        <v>81</v>
      </c>
      <c r="O395" t="s">
        <v>1215</v>
      </c>
      <c r="P395" t="s">
        <v>29</v>
      </c>
      <c r="Q395" t="s">
        <v>74</v>
      </c>
      <c r="R395" t="s">
        <v>493</v>
      </c>
      <c r="S395" t="s">
        <v>494</v>
      </c>
      <c r="T395" t="s">
        <v>1216</v>
      </c>
      <c r="U395" t="s">
        <v>34</v>
      </c>
      <c r="V395">
        <v>-8357.6200000000008</v>
      </c>
    </row>
    <row r="396" spans="1:22" x14ac:dyDescent="0.3">
      <c r="A396" t="s">
        <v>1217</v>
      </c>
      <c r="B396" s="2">
        <v>46177</v>
      </c>
      <c r="C396" t="s">
        <v>651</v>
      </c>
      <c r="D396" t="s">
        <v>37</v>
      </c>
      <c r="E396" t="s">
        <v>38</v>
      </c>
      <c r="F396">
        <v>1</v>
      </c>
      <c r="G396">
        <v>0</v>
      </c>
      <c r="H396">
        <v>1800</v>
      </c>
      <c r="I396">
        <v>650</v>
      </c>
      <c r="J396" t="s">
        <v>39</v>
      </c>
      <c r="K396" t="s">
        <v>27</v>
      </c>
      <c r="L396">
        <v>1800</v>
      </c>
      <c r="M396">
        <v>36.111111111111107</v>
      </c>
      <c r="N396" t="s">
        <v>8</v>
      </c>
      <c r="O396" t="s">
        <v>652</v>
      </c>
      <c r="P396" t="s">
        <v>83</v>
      </c>
      <c r="Q396" t="s">
        <v>131</v>
      </c>
      <c r="R396" t="s">
        <v>200</v>
      </c>
      <c r="S396" t="s">
        <v>201</v>
      </c>
      <c r="T396" t="s">
        <v>653</v>
      </c>
      <c r="U396" t="s">
        <v>34</v>
      </c>
      <c r="V396">
        <v>650</v>
      </c>
    </row>
    <row r="397" spans="1:22" x14ac:dyDescent="0.3">
      <c r="A397" t="s">
        <v>1218</v>
      </c>
      <c r="B397" s="2">
        <v>46118</v>
      </c>
      <c r="C397" t="s">
        <v>156</v>
      </c>
      <c r="D397" t="s">
        <v>49</v>
      </c>
      <c r="E397" t="s">
        <v>58</v>
      </c>
      <c r="F397">
        <v>6</v>
      </c>
      <c r="G397">
        <v>0.15</v>
      </c>
      <c r="H397">
        <v>76500</v>
      </c>
      <c r="I397">
        <v>11902.95</v>
      </c>
      <c r="J397" t="s">
        <v>51</v>
      </c>
      <c r="K397" t="s">
        <v>40</v>
      </c>
      <c r="L397">
        <v>12750</v>
      </c>
      <c r="M397">
        <v>15.55941176470588</v>
      </c>
      <c r="N397" t="s">
        <v>8</v>
      </c>
      <c r="O397" t="s">
        <v>157</v>
      </c>
      <c r="P397" t="s">
        <v>83</v>
      </c>
      <c r="Q397" t="s">
        <v>30</v>
      </c>
      <c r="R397" t="s">
        <v>31</v>
      </c>
      <c r="S397" t="s">
        <v>32</v>
      </c>
      <c r="T397" t="s">
        <v>158</v>
      </c>
      <c r="U397" t="s">
        <v>34</v>
      </c>
      <c r="V397">
        <v>1983.825</v>
      </c>
    </row>
    <row r="398" spans="1:22" x14ac:dyDescent="0.3">
      <c r="A398" t="s">
        <v>1219</v>
      </c>
      <c r="B398" s="2">
        <v>45960</v>
      </c>
      <c r="C398" t="s">
        <v>1220</v>
      </c>
      <c r="D398" t="s">
        <v>49</v>
      </c>
      <c r="E398" t="s">
        <v>79</v>
      </c>
      <c r="F398">
        <v>1</v>
      </c>
      <c r="G398">
        <v>0.05</v>
      </c>
      <c r="H398">
        <v>10450</v>
      </c>
      <c r="I398">
        <v>2188.42</v>
      </c>
      <c r="J398" t="s">
        <v>39</v>
      </c>
      <c r="K398" t="s">
        <v>40</v>
      </c>
      <c r="L398">
        <v>10450</v>
      </c>
      <c r="M398">
        <v>20.941818181818181</v>
      </c>
      <c r="N398" t="s">
        <v>8</v>
      </c>
      <c r="O398" t="s">
        <v>333</v>
      </c>
      <c r="P398" t="s">
        <v>29</v>
      </c>
      <c r="Q398" t="s">
        <v>74</v>
      </c>
      <c r="R398" t="s">
        <v>75</v>
      </c>
      <c r="S398" t="s">
        <v>75</v>
      </c>
      <c r="T398" t="s">
        <v>1221</v>
      </c>
      <c r="U398" t="s">
        <v>105</v>
      </c>
      <c r="V398">
        <v>2188.42</v>
      </c>
    </row>
    <row r="399" spans="1:22" x14ac:dyDescent="0.3">
      <c r="A399" t="s">
        <v>1222</v>
      </c>
      <c r="B399" s="2">
        <v>45926</v>
      </c>
      <c r="C399" t="s">
        <v>726</v>
      </c>
      <c r="D399" t="s">
        <v>49</v>
      </c>
      <c r="E399" t="s">
        <v>119</v>
      </c>
      <c r="F399">
        <v>3</v>
      </c>
      <c r="G399">
        <v>0.1</v>
      </c>
      <c r="H399">
        <v>24300</v>
      </c>
      <c r="I399">
        <v>4652.3500000000004</v>
      </c>
      <c r="J399" t="s">
        <v>51</v>
      </c>
      <c r="K399" t="s">
        <v>40</v>
      </c>
      <c r="L399">
        <v>8100</v>
      </c>
      <c r="M399">
        <v>19.145473251028811</v>
      </c>
      <c r="N399" t="s">
        <v>8</v>
      </c>
      <c r="O399" t="s">
        <v>727</v>
      </c>
      <c r="P399" t="s">
        <v>29</v>
      </c>
      <c r="Q399" t="s">
        <v>30</v>
      </c>
      <c r="R399" t="s">
        <v>31</v>
      </c>
      <c r="S399" t="s">
        <v>32</v>
      </c>
      <c r="T399" t="s">
        <v>33</v>
      </c>
      <c r="U399" t="s">
        <v>34</v>
      </c>
      <c r="V399">
        <v>1550.783333333334</v>
      </c>
    </row>
    <row r="400" spans="1:22" x14ac:dyDescent="0.3">
      <c r="A400" t="s">
        <v>1223</v>
      </c>
      <c r="B400" s="2">
        <v>46165</v>
      </c>
      <c r="C400" t="s">
        <v>1224</v>
      </c>
      <c r="D400" t="s">
        <v>24</v>
      </c>
      <c r="E400" t="s">
        <v>87</v>
      </c>
      <c r="F400">
        <v>1</v>
      </c>
      <c r="G400">
        <v>0.05</v>
      </c>
      <c r="H400">
        <v>332.5</v>
      </c>
      <c r="I400">
        <v>105.46</v>
      </c>
      <c r="J400" t="s">
        <v>51</v>
      </c>
      <c r="K400" t="s">
        <v>40</v>
      </c>
      <c r="L400">
        <v>332.5</v>
      </c>
      <c r="M400">
        <v>31.71729323308271</v>
      </c>
      <c r="N400" t="s">
        <v>8</v>
      </c>
      <c r="O400" t="s">
        <v>1225</v>
      </c>
      <c r="P400" t="s">
        <v>29</v>
      </c>
      <c r="Q400" t="s">
        <v>74</v>
      </c>
      <c r="R400" t="s">
        <v>75</v>
      </c>
      <c r="S400" t="s">
        <v>75</v>
      </c>
      <c r="T400" t="s">
        <v>342</v>
      </c>
      <c r="U400" t="s">
        <v>34</v>
      </c>
      <c r="V400">
        <v>105.46</v>
      </c>
    </row>
    <row r="401" spans="1:22" x14ac:dyDescent="0.3">
      <c r="A401" t="s">
        <v>1226</v>
      </c>
      <c r="B401" s="2">
        <v>46195</v>
      </c>
      <c r="C401" t="s">
        <v>753</v>
      </c>
      <c r="D401" t="s">
        <v>24</v>
      </c>
      <c r="E401" t="s">
        <v>92</v>
      </c>
      <c r="F401">
        <v>4</v>
      </c>
      <c r="G401">
        <v>0.05</v>
      </c>
      <c r="H401">
        <v>3420</v>
      </c>
      <c r="I401">
        <v>1000.26</v>
      </c>
      <c r="J401" t="s">
        <v>26</v>
      </c>
      <c r="K401" t="s">
        <v>40</v>
      </c>
      <c r="L401">
        <v>855</v>
      </c>
      <c r="M401">
        <v>29.247368421052631</v>
      </c>
      <c r="N401" t="s">
        <v>8</v>
      </c>
      <c r="O401" t="s">
        <v>754</v>
      </c>
      <c r="P401" t="s">
        <v>83</v>
      </c>
      <c r="Q401" t="s">
        <v>74</v>
      </c>
      <c r="R401" t="s">
        <v>237</v>
      </c>
      <c r="S401" t="s">
        <v>238</v>
      </c>
      <c r="T401" t="s">
        <v>755</v>
      </c>
      <c r="U401" t="s">
        <v>46</v>
      </c>
      <c r="V401">
        <v>250.065</v>
      </c>
    </row>
    <row r="402" spans="1:22" x14ac:dyDescent="0.3">
      <c r="A402" t="s">
        <v>1227</v>
      </c>
      <c r="B402" s="2">
        <v>46006</v>
      </c>
      <c r="C402" t="s">
        <v>1036</v>
      </c>
      <c r="D402" t="s">
        <v>37</v>
      </c>
      <c r="E402" t="s">
        <v>190</v>
      </c>
      <c r="F402">
        <v>2</v>
      </c>
      <c r="G402">
        <v>0</v>
      </c>
      <c r="H402">
        <v>8400</v>
      </c>
      <c r="I402">
        <v>2400</v>
      </c>
      <c r="J402" t="s">
        <v>65</v>
      </c>
      <c r="K402" t="s">
        <v>40</v>
      </c>
      <c r="L402">
        <v>4200</v>
      </c>
      <c r="M402">
        <v>28.571428571428569</v>
      </c>
      <c r="N402" t="s">
        <v>8</v>
      </c>
      <c r="O402" t="s">
        <v>149</v>
      </c>
      <c r="P402" t="s">
        <v>83</v>
      </c>
      <c r="Q402" t="s">
        <v>30</v>
      </c>
      <c r="R402" t="s">
        <v>53</v>
      </c>
      <c r="S402" t="s">
        <v>54</v>
      </c>
      <c r="T402" t="s">
        <v>1037</v>
      </c>
      <c r="U402" t="s">
        <v>46</v>
      </c>
      <c r="V402">
        <v>1200</v>
      </c>
    </row>
    <row r="403" spans="1:22" x14ac:dyDescent="0.3">
      <c r="A403" t="s">
        <v>1228</v>
      </c>
      <c r="B403" s="2">
        <v>46178</v>
      </c>
      <c r="C403" t="s">
        <v>1229</v>
      </c>
      <c r="D403" t="s">
        <v>24</v>
      </c>
      <c r="E403" t="s">
        <v>25</v>
      </c>
      <c r="F403">
        <v>2</v>
      </c>
      <c r="G403">
        <v>0.1</v>
      </c>
      <c r="H403">
        <v>25200</v>
      </c>
      <c r="I403">
        <v>4042.56</v>
      </c>
      <c r="J403" t="s">
        <v>26</v>
      </c>
      <c r="K403" t="s">
        <v>40</v>
      </c>
      <c r="L403">
        <v>12600</v>
      </c>
      <c r="M403">
        <v>16.04190476190476</v>
      </c>
      <c r="N403" t="s">
        <v>8</v>
      </c>
      <c r="O403" t="s">
        <v>1102</v>
      </c>
      <c r="P403" t="s">
        <v>83</v>
      </c>
      <c r="Q403" t="s">
        <v>42</v>
      </c>
      <c r="R403" t="s">
        <v>110</v>
      </c>
      <c r="S403" t="s">
        <v>111</v>
      </c>
      <c r="T403" t="s">
        <v>912</v>
      </c>
      <c r="U403" t="s">
        <v>46</v>
      </c>
      <c r="V403">
        <v>2021.28</v>
      </c>
    </row>
    <row r="404" spans="1:22" x14ac:dyDescent="0.3">
      <c r="A404" t="s">
        <v>1230</v>
      </c>
      <c r="B404" s="2">
        <v>46142</v>
      </c>
      <c r="C404" t="s">
        <v>1072</v>
      </c>
      <c r="D404" t="s">
        <v>24</v>
      </c>
      <c r="E404" t="s">
        <v>87</v>
      </c>
      <c r="F404">
        <v>4</v>
      </c>
      <c r="G404">
        <v>0.05</v>
      </c>
      <c r="H404">
        <v>1330</v>
      </c>
      <c r="I404">
        <v>444.75</v>
      </c>
      <c r="J404" t="s">
        <v>65</v>
      </c>
      <c r="K404" t="s">
        <v>40</v>
      </c>
      <c r="L404">
        <v>332.5</v>
      </c>
      <c r="M404">
        <v>33.439849624060152</v>
      </c>
      <c r="N404" t="s">
        <v>8</v>
      </c>
      <c r="O404" t="s">
        <v>1073</v>
      </c>
      <c r="P404" t="s">
        <v>73</v>
      </c>
      <c r="Q404" t="s">
        <v>30</v>
      </c>
      <c r="R404" t="s">
        <v>60</v>
      </c>
      <c r="S404" t="s">
        <v>61</v>
      </c>
      <c r="T404" t="s">
        <v>1074</v>
      </c>
      <c r="U404" t="s">
        <v>34</v>
      </c>
      <c r="V404">
        <v>111.1875</v>
      </c>
    </row>
    <row r="405" spans="1:22" x14ac:dyDescent="0.3">
      <c r="A405" t="s">
        <v>1231</v>
      </c>
      <c r="B405" s="2">
        <v>45940</v>
      </c>
      <c r="C405" t="s">
        <v>1232</v>
      </c>
      <c r="D405" t="s">
        <v>37</v>
      </c>
      <c r="E405" t="s">
        <v>170</v>
      </c>
      <c r="F405">
        <v>3</v>
      </c>
      <c r="G405">
        <v>0.1</v>
      </c>
      <c r="H405">
        <v>3780</v>
      </c>
      <c r="I405">
        <v>1150.1199999999999</v>
      </c>
      <c r="J405" t="s">
        <v>51</v>
      </c>
      <c r="K405" t="s">
        <v>27</v>
      </c>
      <c r="L405">
        <v>1260</v>
      </c>
      <c r="M405">
        <v>30.42645502645502</v>
      </c>
      <c r="N405" t="s">
        <v>8</v>
      </c>
      <c r="O405" t="s">
        <v>1233</v>
      </c>
      <c r="P405" t="s">
        <v>29</v>
      </c>
      <c r="Q405" t="s">
        <v>74</v>
      </c>
      <c r="R405" t="s">
        <v>237</v>
      </c>
      <c r="S405" t="s">
        <v>238</v>
      </c>
      <c r="T405" t="s">
        <v>1234</v>
      </c>
      <c r="U405" t="s">
        <v>100</v>
      </c>
      <c r="V405">
        <v>383.37333333333328</v>
      </c>
    </row>
    <row r="406" spans="1:22" x14ac:dyDescent="0.3">
      <c r="A406" t="s">
        <v>1235</v>
      </c>
      <c r="B406" s="2">
        <v>45877</v>
      </c>
      <c r="C406" t="s">
        <v>1236</v>
      </c>
      <c r="D406" t="s">
        <v>37</v>
      </c>
      <c r="E406" t="s">
        <v>310</v>
      </c>
      <c r="F406">
        <v>1</v>
      </c>
      <c r="G406">
        <v>0.2</v>
      </c>
      <c r="H406">
        <v>1760</v>
      </c>
      <c r="I406">
        <v>500.01</v>
      </c>
      <c r="J406" t="s">
        <v>39</v>
      </c>
      <c r="K406" t="s">
        <v>40</v>
      </c>
      <c r="L406">
        <v>1760</v>
      </c>
      <c r="M406">
        <v>28.409659090909091</v>
      </c>
      <c r="N406" t="s">
        <v>8</v>
      </c>
      <c r="O406" t="s">
        <v>1237</v>
      </c>
      <c r="P406" t="s">
        <v>29</v>
      </c>
      <c r="Q406" t="s">
        <v>74</v>
      </c>
      <c r="R406" t="s">
        <v>493</v>
      </c>
      <c r="S406" t="s">
        <v>494</v>
      </c>
      <c r="T406" t="s">
        <v>679</v>
      </c>
      <c r="U406" t="s">
        <v>46</v>
      </c>
      <c r="V406">
        <v>500.01</v>
      </c>
    </row>
    <row r="407" spans="1:22" x14ac:dyDescent="0.3">
      <c r="A407" t="s">
        <v>1238</v>
      </c>
      <c r="B407" s="2">
        <v>46151</v>
      </c>
      <c r="C407" t="s">
        <v>1168</v>
      </c>
      <c r="D407" t="s">
        <v>37</v>
      </c>
      <c r="E407" t="s">
        <v>170</v>
      </c>
      <c r="F407">
        <v>2</v>
      </c>
      <c r="G407">
        <v>0</v>
      </c>
      <c r="H407">
        <v>2800</v>
      </c>
      <c r="I407">
        <v>1000</v>
      </c>
      <c r="J407" t="s">
        <v>65</v>
      </c>
      <c r="K407" t="s">
        <v>27</v>
      </c>
      <c r="L407">
        <v>1400</v>
      </c>
      <c r="M407">
        <v>35.714285714285722</v>
      </c>
      <c r="N407" t="s">
        <v>8</v>
      </c>
      <c r="O407" t="s">
        <v>1169</v>
      </c>
      <c r="P407" t="s">
        <v>83</v>
      </c>
      <c r="Q407" t="s">
        <v>131</v>
      </c>
      <c r="R407" t="s">
        <v>289</v>
      </c>
      <c r="S407" t="s">
        <v>290</v>
      </c>
      <c r="T407" t="s">
        <v>1170</v>
      </c>
      <c r="U407" t="s">
        <v>34</v>
      </c>
      <c r="V407">
        <v>500</v>
      </c>
    </row>
    <row r="408" spans="1:22" x14ac:dyDescent="0.3">
      <c r="A408" t="s">
        <v>1239</v>
      </c>
      <c r="B408" s="2">
        <v>46194</v>
      </c>
      <c r="C408" t="s">
        <v>263</v>
      </c>
      <c r="D408" t="s">
        <v>70</v>
      </c>
      <c r="E408" t="s">
        <v>129</v>
      </c>
      <c r="F408">
        <v>1</v>
      </c>
      <c r="G408">
        <v>0</v>
      </c>
      <c r="H408">
        <v>55000</v>
      </c>
      <c r="I408">
        <v>9000</v>
      </c>
      <c r="J408" t="s">
        <v>65</v>
      </c>
      <c r="K408" t="s">
        <v>40</v>
      </c>
      <c r="L408">
        <v>55000</v>
      </c>
      <c r="M408">
        <v>16.36363636363636</v>
      </c>
      <c r="N408" t="s">
        <v>8</v>
      </c>
      <c r="O408" t="s">
        <v>265</v>
      </c>
      <c r="P408" t="s">
        <v>73</v>
      </c>
      <c r="Q408" t="s">
        <v>30</v>
      </c>
      <c r="R408" t="s">
        <v>31</v>
      </c>
      <c r="S408" t="s">
        <v>32</v>
      </c>
      <c r="T408" t="s">
        <v>266</v>
      </c>
      <c r="U408" t="s">
        <v>46</v>
      </c>
      <c r="V408">
        <v>9000</v>
      </c>
    </row>
    <row r="409" spans="1:22" x14ac:dyDescent="0.3">
      <c r="A409" t="s">
        <v>1240</v>
      </c>
      <c r="B409" s="2">
        <v>45964</v>
      </c>
      <c r="C409" t="s">
        <v>144</v>
      </c>
      <c r="D409" t="s">
        <v>70</v>
      </c>
      <c r="E409" t="s">
        <v>129</v>
      </c>
      <c r="F409">
        <v>3</v>
      </c>
      <c r="G409">
        <v>0.05</v>
      </c>
      <c r="H409">
        <v>156750</v>
      </c>
      <c r="I409">
        <v>-64087.53</v>
      </c>
      <c r="J409" t="s">
        <v>39</v>
      </c>
      <c r="K409" t="s">
        <v>434</v>
      </c>
      <c r="L409">
        <v>52250</v>
      </c>
      <c r="M409">
        <v>-40.88518660287081</v>
      </c>
      <c r="N409" t="s">
        <v>81</v>
      </c>
      <c r="O409" t="s">
        <v>145</v>
      </c>
      <c r="P409" t="s">
        <v>83</v>
      </c>
      <c r="Q409" t="s">
        <v>30</v>
      </c>
      <c r="R409" t="s">
        <v>60</v>
      </c>
      <c r="S409" t="s">
        <v>61</v>
      </c>
      <c r="T409" t="s">
        <v>146</v>
      </c>
      <c r="U409" t="s">
        <v>105</v>
      </c>
      <c r="V409">
        <v>-21362.51</v>
      </c>
    </row>
    <row r="410" spans="1:22" x14ac:dyDescent="0.3">
      <c r="A410" t="s">
        <v>1241</v>
      </c>
      <c r="B410" s="2">
        <v>46044</v>
      </c>
      <c r="C410" t="s">
        <v>866</v>
      </c>
      <c r="D410" t="s">
        <v>70</v>
      </c>
      <c r="E410" t="s">
        <v>71</v>
      </c>
      <c r="F410">
        <v>1</v>
      </c>
      <c r="G410">
        <v>0.15</v>
      </c>
      <c r="H410">
        <v>15300</v>
      </c>
      <c r="I410">
        <v>2072.46</v>
      </c>
      <c r="J410" t="s">
        <v>51</v>
      </c>
      <c r="K410" t="s">
        <v>40</v>
      </c>
      <c r="L410">
        <v>15300</v>
      </c>
      <c r="M410">
        <v>13.545490196078431</v>
      </c>
      <c r="N410" t="s">
        <v>8</v>
      </c>
      <c r="O410" t="s">
        <v>247</v>
      </c>
      <c r="P410" t="s">
        <v>73</v>
      </c>
      <c r="Q410" t="s">
        <v>30</v>
      </c>
      <c r="R410" t="s">
        <v>98</v>
      </c>
      <c r="S410" t="s">
        <v>54</v>
      </c>
      <c r="T410" t="s">
        <v>319</v>
      </c>
      <c r="U410" t="s">
        <v>34</v>
      </c>
      <c r="V410">
        <v>2072.46</v>
      </c>
    </row>
    <row r="411" spans="1:22" x14ac:dyDescent="0.3">
      <c r="A411" t="s">
        <v>1242</v>
      </c>
      <c r="B411" s="2">
        <v>45857</v>
      </c>
      <c r="C411" t="s">
        <v>1243</v>
      </c>
      <c r="D411" t="s">
        <v>24</v>
      </c>
      <c r="E411" t="s">
        <v>242</v>
      </c>
      <c r="F411">
        <v>2</v>
      </c>
      <c r="G411">
        <v>0</v>
      </c>
      <c r="H411">
        <v>900</v>
      </c>
      <c r="I411">
        <v>220</v>
      </c>
      <c r="J411" t="s">
        <v>51</v>
      </c>
      <c r="K411" t="s">
        <v>40</v>
      </c>
      <c r="L411">
        <v>450</v>
      </c>
      <c r="M411">
        <v>24.444444444444439</v>
      </c>
      <c r="N411" t="s">
        <v>8</v>
      </c>
      <c r="O411" t="s">
        <v>754</v>
      </c>
      <c r="P411" t="s">
        <v>73</v>
      </c>
      <c r="Q411" t="s">
        <v>42</v>
      </c>
      <c r="R411" t="s">
        <v>110</v>
      </c>
      <c r="S411" t="s">
        <v>111</v>
      </c>
      <c r="T411" t="s">
        <v>1244</v>
      </c>
      <c r="U411" t="s">
        <v>105</v>
      </c>
      <c r="V411">
        <v>110</v>
      </c>
    </row>
    <row r="412" spans="1:22" x14ac:dyDescent="0.3">
      <c r="A412" t="s">
        <v>1245</v>
      </c>
      <c r="B412" s="2">
        <v>46079</v>
      </c>
      <c r="C412" t="s">
        <v>1246</v>
      </c>
      <c r="D412" t="s">
        <v>70</v>
      </c>
      <c r="E412" t="s">
        <v>71</v>
      </c>
      <c r="F412">
        <v>3</v>
      </c>
      <c r="G412">
        <v>0.1</v>
      </c>
      <c r="H412">
        <v>48600</v>
      </c>
      <c r="I412">
        <v>6875.92</v>
      </c>
      <c r="J412" t="s">
        <v>65</v>
      </c>
      <c r="K412" t="s">
        <v>40</v>
      </c>
      <c r="L412">
        <v>16200</v>
      </c>
      <c r="M412">
        <v>14.14798353909465</v>
      </c>
      <c r="N412" t="s">
        <v>8</v>
      </c>
      <c r="O412" t="s">
        <v>917</v>
      </c>
      <c r="P412" t="s">
        <v>29</v>
      </c>
      <c r="Q412" t="s">
        <v>131</v>
      </c>
      <c r="R412" t="s">
        <v>289</v>
      </c>
      <c r="S412" t="s">
        <v>290</v>
      </c>
      <c r="T412" t="s">
        <v>1247</v>
      </c>
      <c r="U412" t="s">
        <v>46</v>
      </c>
      <c r="V412">
        <v>2291.9733333333329</v>
      </c>
    </row>
    <row r="413" spans="1:22" x14ac:dyDescent="0.3">
      <c r="A413" t="s">
        <v>1248</v>
      </c>
      <c r="B413" s="2">
        <v>46161</v>
      </c>
      <c r="C413" t="s">
        <v>340</v>
      </c>
      <c r="D413" t="s">
        <v>24</v>
      </c>
      <c r="E413" t="s">
        <v>87</v>
      </c>
      <c r="F413">
        <v>2</v>
      </c>
      <c r="G413">
        <v>0.1</v>
      </c>
      <c r="H413">
        <v>630</v>
      </c>
      <c r="I413">
        <v>196.59</v>
      </c>
      <c r="J413" t="s">
        <v>26</v>
      </c>
      <c r="K413" t="s">
        <v>27</v>
      </c>
      <c r="L413">
        <v>315</v>
      </c>
      <c r="M413">
        <v>31.204761904761909</v>
      </c>
      <c r="N413" t="s">
        <v>8</v>
      </c>
      <c r="O413" t="s">
        <v>341</v>
      </c>
      <c r="P413" t="s">
        <v>29</v>
      </c>
      <c r="Q413" t="s">
        <v>30</v>
      </c>
      <c r="R413" t="s">
        <v>98</v>
      </c>
      <c r="S413" t="s">
        <v>54</v>
      </c>
      <c r="T413" t="s">
        <v>342</v>
      </c>
      <c r="U413" t="s">
        <v>100</v>
      </c>
      <c r="V413">
        <v>98.295000000000002</v>
      </c>
    </row>
    <row r="414" spans="1:22" x14ac:dyDescent="0.3">
      <c r="A414" t="s">
        <v>1249</v>
      </c>
      <c r="B414" s="2">
        <v>45991</v>
      </c>
      <c r="C414" t="s">
        <v>1250</v>
      </c>
      <c r="D414" t="s">
        <v>24</v>
      </c>
      <c r="E414" t="s">
        <v>87</v>
      </c>
      <c r="F414">
        <v>4</v>
      </c>
      <c r="G414">
        <v>0.2</v>
      </c>
      <c r="H414">
        <v>1120</v>
      </c>
      <c r="I414">
        <v>-502.77</v>
      </c>
      <c r="J414" t="s">
        <v>39</v>
      </c>
      <c r="K414" t="s">
        <v>80</v>
      </c>
      <c r="L414">
        <v>280</v>
      </c>
      <c r="M414">
        <v>-44.890178571428571</v>
      </c>
      <c r="N414" t="s">
        <v>81</v>
      </c>
      <c r="O414" t="s">
        <v>1251</v>
      </c>
      <c r="P414" t="s">
        <v>29</v>
      </c>
      <c r="Q414" t="s">
        <v>42</v>
      </c>
      <c r="R414" t="s">
        <v>43</v>
      </c>
      <c r="S414" t="s">
        <v>44</v>
      </c>
      <c r="T414" t="s">
        <v>1252</v>
      </c>
      <c r="U414" t="s">
        <v>105</v>
      </c>
      <c r="V414">
        <v>-125.6925</v>
      </c>
    </row>
    <row r="415" spans="1:22" x14ac:dyDescent="0.3">
      <c r="A415" t="s">
        <v>1253</v>
      </c>
      <c r="B415" s="2">
        <v>46186</v>
      </c>
      <c r="C415" t="s">
        <v>863</v>
      </c>
      <c r="D415" t="s">
        <v>49</v>
      </c>
      <c r="E415" t="s">
        <v>58</v>
      </c>
      <c r="F415">
        <v>2</v>
      </c>
      <c r="G415">
        <v>0</v>
      </c>
      <c r="H415">
        <v>30000</v>
      </c>
      <c r="I415">
        <v>-688.63</v>
      </c>
      <c r="J415" t="s">
        <v>51</v>
      </c>
      <c r="K415" t="s">
        <v>80</v>
      </c>
      <c r="L415">
        <v>15000</v>
      </c>
      <c r="M415">
        <v>-2.295433333333333</v>
      </c>
      <c r="N415" t="s">
        <v>81</v>
      </c>
      <c r="O415" t="s">
        <v>187</v>
      </c>
      <c r="P415" t="s">
        <v>73</v>
      </c>
      <c r="Q415" t="s">
        <v>30</v>
      </c>
      <c r="R415" t="s">
        <v>53</v>
      </c>
      <c r="S415" t="s">
        <v>54</v>
      </c>
      <c r="T415" t="s">
        <v>864</v>
      </c>
      <c r="U415" t="s">
        <v>34</v>
      </c>
      <c r="V415">
        <v>-344.315</v>
      </c>
    </row>
    <row r="416" spans="1:22" x14ac:dyDescent="0.3">
      <c r="A416" t="s">
        <v>1254</v>
      </c>
      <c r="B416" s="2">
        <v>46253</v>
      </c>
      <c r="C416" t="s">
        <v>1255</v>
      </c>
      <c r="D416" t="s">
        <v>70</v>
      </c>
      <c r="E416" t="s">
        <v>108</v>
      </c>
      <c r="F416">
        <v>2</v>
      </c>
      <c r="G416">
        <v>0.15</v>
      </c>
      <c r="H416">
        <v>7650</v>
      </c>
      <c r="I416">
        <v>1919.19</v>
      </c>
      <c r="J416" t="s">
        <v>65</v>
      </c>
      <c r="K416" t="s">
        <v>27</v>
      </c>
      <c r="L416">
        <v>3825</v>
      </c>
      <c r="M416">
        <v>25.087450980392159</v>
      </c>
      <c r="N416" t="s">
        <v>8</v>
      </c>
      <c r="O416" t="s">
        <v>1256</v>
      </c>
      <c r="P416" t="s">
        <v>73</v>
      </c>
      <c r="Q416" t="s">
        <v>131</v>
      </c>
      <c r="R416" t="s">
        <v>289</v>
      </c>
      <c r="S416" t="s">
        <v>290</v>
      </c>
      <c r="T416" t="s">
        <v>1257</v>
      </c>
      <c r="U416" t="s">
        <v>105</v>
      </c>
      <c r="V416">
        <v>959.59500000000003</v>
      </c>
    </row>
    <row r="417" spans="1:22" x14ac:dyDescent="0.3">
      <c r="A417" t="s">
        <v>1258</v>
      </c>
      <c r="B417" s="2">
        <v>46177</v>
      </c>
      <c r="C417" t="s">
        <v>891</v>
      </c>
      <c r="D417" t="s">
        <v>24</v>
      </c>
      <c r="E417" t="s">
        <v>25</v>
      </c>
      <c r="F417">
        <v>2</v>
      </c>
      <c r="G417">
        <v>0.15</v>
      </c>
      <c r="H417">
        <v>23800</v>
      </c>
      <c r="I417">
        <v>-9932.1</v>
      </c>
      <c r="J417" t="s">
        <v>65</v>
      </c>
      <c r="K417" t="s">
        <v>434</v>
      </c>
      <c r="L417">
        <v>11900</v>
      </c>
      <c r="M417">
        <v>-41.73151260504202</v>
      </c>
      <c r="N417" t="s">
        <v>81</v>
      </c>
      <c r="O417" t="s">
        <v>892</v>
      </c>
      <c r="P417" t="s">
        <v>29</v>
      </c>
      <c r="Q417" t="s">
        <v>30</v>
      </c>
      <c r="R417" t="s">
        <v>31</v>
      </c>
      <c r="S417" t="s">
        <v>32</v>
      </c>
      <c r="T417" t="s">
        <v>893</v>
      </c>
      <c r="U417" t="s">
        <v>34</v>
      </c>
      <c r="V417">
        <v>-4966.05</v>
      </c>
    </row>
    <row r="418" spans="1:22" x14ac:dyDescent="0.3">
      <c r="A418" t="s">
        <v>1259</v>
      </c>
      <c r="B418" s="2">
        <v>46247</v>
      </c>
      <c r="C418" t="s">
        <v>710</v>
      </c>
      <c r="D418" t="s">
        <v>24</v>
      </c>
      <c r="E418" t="s">
        <v>242</v>
      </c>
      <c r="F418">
        <v>1</v>
      </c>
      <c r="G418">
        <v>0.1</v>
      </c>
      <c r="H418">
        <v>405</v>
      </c>
      <c r="I418">
        <v>74.78</v>
      </c>
      <c r="J418" t="s">
        <v>39</v>
      </c>
      <c r="K418" t="s">
        <v>40</v>
      </c>
      <c r="L418">
        <v>405</v>
      </c>
      <c r="M418">
        <v>18.464197530864201</v>
      </c>
      <c r="N418" t="s">
        <v>8</v>
      </c>
      <c r="O418" t="s">
        <v>711</v>
      </c>
      <c r="P418" t="s">
        <v>29</v>
      </c>
      <c r="Q418" t="s">
        <v>30</v>
      </c>
      <c r="R418" t="s">
        <v>53</v>
      </c>
      <c r="S418" t="s">
        <v>54</v>
      </c>
      <c r="T418" t="s">
        <v>712</v>
      </c>
      <c r="U418" t="s">
        <v>34</v>
      </c>
      <c r="V418">
        <v>74.78</v>
      </c>
    </row>
    <row r="419" spans="1:22" x14ac:dyDescent="0.3">
      <c r="A419" t="s">
        <v>1260</v>
      </c>
      <c r="B419" s="2">
        <v>45848</v>
      </c>
      <c r="C419" t="s">
        <v>1152</v>
      </c>
      <c r="D419" t="s">
        <v>49</v>
      </c>
      <c r="E419" t="s">
        <v>79</v>
      </c>
      <c r="F419">
        <v>4</v>
      </c>
      <c r="G419">
        <v>0.15</v>
      </c>
      <c r="H419">
        <v>37400</v>
      </c>
      <c r="I419">
        <v>5101.57</v>
      </c>
      <c r="J419" t="s">
        <v>51</v>
      </c>
      <c r="K419" t="s">
        <v>40</v>
      </c>
      <c r="L419">
        <v>9350</v>
      </c>
      <c r="M419">
        <v>13.6405614973262</v>
      </c>
      <c r="N419" t="s">
        <v>8</v>
      </c>
      <c r="O419" t="s">
        <v>995</v>
      </c>
      <c r="P419" t="s">
        <v>29</v>
      </c>
      <c r="Q419" t="s">
        <v>30</v>
      </c>
      <c r="R419" t="s">
        <v>31</v>
      </c>
      <c r="S419" t="s">
        <v>32</v>
      </c>
      <c r="T419" t="s">
        <v>960</v>
      </c>
      <c r="U419" t="s">
        <v>100</v>
      </c>
      <c r="V419">
        <v>1275.3924999999999</v>
      </c>
    </row>
    <row r="420" spans="1:22" x14ac:dyDescent="0.3">
      <c r="A420" t="s">
        <v>1261</v>
      </c>
      <c r="B420" s="2">
        <v>46070</v>
      </c>
      <c r="C420" t="s">
        <v>1262</v>
      </c>
      <c r="D420" t="s">
        <v>49</v>
      </c>
      <c r="E420" t="s">
        <v>58</v>
      </c>
      <c r="F420">
        <v>4</v>
      </c>
      <c r="G420">
        <v>0.05</v>
      </c>
      <c r="H420">
        <v>57000</v>
      </c>
      <c r="I420">
        <v>12611.84</v>
      </c>
      <c r="J420" t="s">
        <v>39</v>
      </c>
      <c r="K420" t="s">
        <v>40</v>
      </c>
      <c r="L420">
        <v>14250</v>
      </c>
      <c r="M420">
        <v>22.126035087719298</v>
      </c>
      <c r="N420" t="s">
        <v>8</v>
      </c>
      <c r="O420" t="s">
        <v>1263</v>
      </c>
      <c r="P420" t="s">
        <v>83</v>
      </c>
      <c r="Q420" t="s">
        <v>30</v>
      </c>
      <c r="R420" t="s">
        <v>53</v>
      </c>
      <c r="S420" t="s">
        <v>54</v>
      </c>
      <c r="T420" t="s">
        <v>1264</v>
      </c>
      <c r="U420" t="s">
        <v>46</v>
      </c>
      <c r="V420">
        <v>3152.96</v>
      </c>
    </row>
    <row r="421" spans="1:22" x14ac:dyDescent="0.3">
      <c r="A421" t="s">
        <v>1265</v>
      </c>
      <c r="B421" s="2">
        <v>45984</v>
      </c>
      <c r="C421" t="s">
        <v>1266</v>
      </c>
      <c r="D421" t="s">
        <v>70</v>
      </c>
      <c r="E421" t="s">
        <v>129</v>
      </c>
      <c r="F421">
        <v>2</v>
      </c>
      <c r="G421">
        <v>0.05</v>
      </c>
      <c r="H421">
        <v>104500</v>
      </c>
      <c r="I421">
        <v>-51722.05</v>
      </c>
      <c r="J421" t="s">
        <v>39</v>
      </c>
      <c r="K421" t="s">
        <v>434</v>
      </c>
      <c r="L421">
        <v>52250</v>
      </c>
      <c r="M421">
        <v>-49.494784688995217</v>
      </c>
      <c r="N421" t="s">
        <v>81</v>
      </c>
      <c r="O421" t="s">
        <v>518</v>
      </c>
      <c r="P421" t="s">
        <v>29</v>
      </c>
      <c r="Q421" t="s">
        <v>74</v>
      </c>
      <c r="R421" t="s">
        <v>115</v>
      </c>
      <c r="S421" t="s">
        <v>115</v>
      </c>
      <c r="T421" t="s">
        <v>1267</v>
      </c>
      <c r="U421" t="s">
        <v>100</v>
      </c>
      <c r="V421">
        <v>-25861.025000000001</v>
      </c>
    </row>
    <row r="422" spans="1:22" x14ac:dyDescent="0.3">
      <c r="A422" t="s">
        <v>1268</v>
      </c>
      <c r="B422" s="2">
        <v>46103</v>
      </c>
      <c r="C422" t="s">
        <v>1189</v>
      </c>
      <c r="D422" t="s">
        <v>70</v>
      </c>
      <c r="E422" t="s">
        <v>71</v>
      </c>
      <c r="F422">
        <v>1</v>
      </c>
      <c r="G422">
        <v>0</v>
      </c>
      <c r="H422">
        <v>18000</v>
      </c>
      <c r="I422">
        <v>3500</v>
      </c>
      <c r="J422" t="s">
        <v>39</v>
      </c>
      <c r="K422" t="s">
        <v>40</v>
      </c>
      <c r="L422">
        <v>18000</v>
      </c>
      <c r="M422">
        <v>19.44444444444445</v>
      </c>
      <c r="N422" t="s">
        <v>8</v>
      </c>
      <c r="O422" t="s">
        <v>1190</v>
      </c>
      <c r="P422" t="s">
        <v>83</v>
      </c>
      <c r="Q422" t="s">
        <v>30</v>
      </c>
      <c r="R422" t="s">
        <v>53</v>
      </c>
      <c r="S422" t="s">
        <v>54</v>
      </c>
      <c r="T422" t="s">
        <v>1191</v>
      </c>
      <c r="U422" t="s">
        <v>34</v>
      </c>
      <c r="V422">
        <v>3500</v>
      </c>
    </row>
    <row r="423" spans="1:22" x14ac:dyDescent="0.3">
      <c r="A423" t="s">
        <v>1269</v>
      </c>
      <c r="B423" s="2">
        <v>46058</v>
      </c>
      <c r="C423" t="s">
        <v>1270</v>
      </c>
      <c r="D423" t="s">
        <v>37</v>
      </c>
      <c r="E423" t="s">
        <v>190</v>
      </c>
      <c r="F423">
        <v>2</v>
      </c>
      <c r="G423">
        <v>0.05</v>
      </c>
      <c r="H423">
        <v>7980</v>
      </c>
      <c r="I423">
        <v>-1875.3</v>
      </c>
      <c r="J423" t="s">
        <v>51</v>
      </c>
      <c r="K423" t="s">
        <v>80</v>
      </c>
      <c r="L423">
        <v>3990</v>
      </c>
      <c r="M423">
        <v>-23.5</v>
      </c>
      <c r="N423" t="s">
        <v>81</v>
      </c>
      <c r="O423" t="s">
        <v>306</v>
      </c>
      <c r="P423" t="s">
        <v>29</v>
      </c>
      <c r="Q423" t="s">
        <v>74</v>
      </c>
      <c r="R423" t="s">
        <v>493</v>
      </c>
      <c r="S423" t="s">
        <v>494</v>
      </c>
      <c r="T423" t="s">
        <v>1271</v>
      </c>
      <c r="U423" t="s">
        <v>34</v>
      </c>
      <c r="V423">
        <v>-937.65</v>
      </c>
    </row>
    <row r="424" spans="1:22" x14ac:dyDescent="0.3">
      <c r="A424" t="s">
        <v>1272</v>
      </c>
      <c r="B424" s="2">
        <v>45839</v>
      </c>
      <c r="C424" t="s">
        <v>1273</v>
      </c>
      <c r="D424" t="s">
        <v>70</v>
      </c>
      <c r="E424" t="s">
        <v>71</v>
      </c>
      <c r="F424">
        <v>4</v>
      </c>
      <c r="G424">
        <v>0.15</v>
      </c>
      <c r="H424">
        <v>61200</v>
      </c>
      <c r="I424">
        <v>8843.77</v>
      </c>
      <c r="J424" t="s">
        <v>26</v>
      </c>
      <c r="K424" t="s">
        <v>40</v>
      </c>
      <c r="L424">
        <v>15300</v>
      </c>
      <c r="M424">
        <v>14.4506045751634</v>
      </c>
      <c r="N424" t="s">
        <v>8</v>
      </c>
      <c r="O424" t="s">
        <v>618</v>
      </c>
      <c r="P424" t="s">
        <v>83</v>
      </c>
      <c r="Q424" t="s">
        <v>74</v>
      </c>
      <c r="R424" t="s">
        <v>237</v>
      </c>
      <c r="S424" t="s">
        <v>238</v>
      </c>
      <c r="T424" t="s">
        <v>1274</v>
      </c>
      <c r="U424" t="s">
        <v>100</v>
      </c>
      <c r="V424">
        <v>2210.9425000000001</v>
      </c>
    </row>
    <row r="425" spans="1:22" x14ac:dyDescent="0.3">
      <c r="A425" t="s">
        <v>1275</v>
      </c>
      <c r="B425" s="2">
        <v>46128</v>
      </c>
      <c r="C425" t="s">
        <v>1276</v>
      </c>
      <c r="D425" t="s">
        <v>49</v>
      </c>
      <c r="E425" t="s">
        <v>119</v>
      </c>
      <c r="F425">
        <v>1</v>
      </c>
      <c r="G425">
        <v>0.2</v>
      </c>
      <c r="H425">
        <v>7200</v>
      </c>
      <c r="I425">
        <v>1393.87</v>
      </c>
      <c r="J425" t="s">
        <v>65</v>
      </c>
      <c r="K425" t="s">
        <v>40</v>
      </c>
      <c r="L425">
        <v>7200</v>
      </c>
      <c r="M425">
        <v>19.359305555555551</v>
      </c>
      <c r="N425" t="s">
        <v>8</v>
      </c>
      <c r="O425" t="s">
        <v>1277</v>
      </c>
      <c r="P425" t="s">
        <v>73</v>
      </c>
      <c r="Q425" t="s">
        <v>74</v>
      </c>
      <c r="R425" t="s">
        <v>75</v>
      </c>
      <c r="S425" t="s">
        <v>75</v>
      </c>
      <c r="T425" t="s">
        <v>1278</v>
      </c>
      <c r="U425" t="s">
        <v>34</v>
      </c>
      <c r="V425">
        <v>1393.87</v>
      </c>
    </row>
    <row r="426" spans="1:22" x14ac:dyDescent="0.3">
      <c r="A426" t="s">
        <v>1279</v>
      </c>
      <c r="B426" s="2">
        <v>46228</v>
      </c>
      <c r="C426" t="s">
        <v>328</v>
      </c>
      <c r="D426" t="s">
        <v>70</v>
      </c>
      <c r="E426" t="s">
        <v>71</v>
      </c>
      <c r="F426">
        <v>5</v>
      </c>
      <c r="G426">
        <v>0.15</v>
      </c>
      <c r="H426">
        <v>76500</v>
      </c>
      <c r="I426">
        <v>6983.7</v>
      </c>
      <c r="J426" t="s">
        <v>65</v>
      </c>
      <c r="K426" t="s">
        <v>40</v>
      </c>
      <c r="L426">
        <v>15300</v>
      </c>
      <c r="M426">
        <v>9.1290196078431372</v>
      </c>
      <c r="N426" t="s">
        <v>8</v>
      </c>
      <c r="O426" t="s">
        <v>329</v>
      </c>
      <c r="P426" t="s">
        <v>83</v>
      </c>
      <c r="Q426" t="s">
        <v>74</v>
      </c>
      <c r="R426" t="s">
        <v>75</v>
      </c>
      <c r="S426" t="s">
        <v>75</v>
      </c>
      <c r="T426" t="s">
        <v>330</v>
      </c>
      <c r="U426" t="s">
        <v>34</v>
      </c>
      <c r="V426">
        <v>1396.74</v>
      </c>
    </row>
    <row r="427" spans="1:22" x14ac:dyDescent="0.3">
      <c r="A427" t="s">
        <v>1280</v>
      </c>
      <c r="B427" s="2">
        <v>45988</v>
      </c>
      <c r="C427" t="s">
        <v>1281</v>
      </c>
      <c r="D427" t="s">
        <v>49</v>
      </c>
      <c r="E427" t="s">
        <v>79</v>
      </c>
      <c r="F427">
        <v>2</v>
      </c>
      <c r="G427">
        <v>0.05</v>
      </c>
      <c r="H427">
        <v>20900</v>
      </c>
      <c r="I427">
        <v>4460.49</v>
      </c>
      <c r="J427" t="s">
        <v>39</v>
      </c>
      <c r="K427" t="s">
        <v>40</v>
      </c>
      <c r="L427">
        <v>10450</v>
      </c>
      <c r="M427">
        <v>21.342057416267942</v>
      </c>
      <c r="N427" t="s">
        <v>8</v>
      </c>
      <c r="O427" t="s">
        <v>1282</v>
      </c>
      <c r="P427" t="s">
        <v>29</v>
      </c>
      <c r="Q427" t="s">
        <v>74</v>
      </c>
      <c r="R427" t="s">
        <v>237</v>
      </c>
      <c r="S427" t="s">
        <v>238</v>
      </c>
      <c r="T427" t="s">
        <v>1283</v>
      </c>
      <c r="U427" t="s">
        <v>34</v>
      </c>
      <c r="V427">
        <v>2230.2449999999999</v>
      </c>
    </row>
    <row r="428" spans="1:22" x14ac:dyDescent="0.3">
      <c r="A428" t="s">
        <v>1284</v>
      </c>
      <c r="B428" s="2">
        <v>45911</v>
      </c>
      <c r="C428" t="s">
        <v>1285</v>
      </c>
      <c r="D428" t="s">
        <v>70</v>
      </c>
      <c r="E428" t="s">
        <v>165</v>
      </c>
      <c r="F428">
        <v>3</v>
      </c>
      <c r="G428">
        <v>0.05</v>
      </c>
      <c r="H428">
        <v>7125</v>
      </c>
      <c r="I428">
        <v>2094.0100000000002</v>
      </c>
      <c r="J428" t="s">
        <v>51</v>
      </c>
      <c r="K428" t="s">
        <v>27</v>
      </c>
      <c r="L428">
        <v>2375</v>
      </c>
      <c r="M428">
        <v>29.389614035087721</v>
      </c>
      <c r="N428" t="s">
        <v>8</v>
      </c>
      <c r="O428" t="s">
        <v>1286</v>
      </c>
      <c r="P428" t="s">
        <v>29</v>
      </c>
      <c r="Q428" t="s">
        <v>74</v>
      </c>
      <c r="R428" t="s">
        <v>493</v>
      </c>
      <c r="S428" t="s">
        <v>494</v>
      </c>
      <c r="T428" t="s">
        <v>1287</v>
      </c>
      <c r="U428" t="s">
        <v>46</v>
      </c>
      <c r="V428">
        <v>698.00333333333344</v>
      </c>
    </row>
    <row r="429" spans="1:22" x14ac:dyDescent="0.3">
      <c r="A429" t="s">
        <v>1288</v>
      </c>
      <c r="B429" s="2">
        <v>46205</v>
      </c>
      <c r="C429" t="s">
        <v>1289</v>
      </c>
      <c r="D429" t="s">
        <v>49</v>
      </c>
      <c r="E429" t="s">
        <v>119</v>
      </c>
      <c r="F429">
        <v>2</v>
      </c>
      <c r="G429">
        <v>0.2</v>
      </c>
      <c r="H429">
        <v>14400</v>
      </c>
      <c r="I429">
        <v>1704.79</v>
      </c>
      <c r="J429" t="s">
        <v>51</v>
      </c>
      <c r="K429" t="s">
        <v>27</v>
      </c>
      <c r="L429">
        <v>7200</v>
      </c>
      <c r="M429">
        <v>11.838819444444439</v>
      </c>
      <c r="N429" t="s">
        <v>8</v>
      </c>
      <c r="O429" t="s">
        <v>879</v>
      </c>
      <c r="P429" t="s">
        <v>83</v>
      </c>
      <c r="Q429" t="s">
        <v>30</v>
      </c>
      <c r="R429" t="s">
        <v>493</v>
      </c>
      <c r="S429" t="s">
        <v>494</v>
      </c>
      <c r="T429" t="s">
        <v>1290</v>
      </c>
      <c r="U429" t="s">
        <v>34</v>
      </c>
      <c r="V429">
        <v>852.39499999999998</v>
      </c>
    </row>
    <row r="430" spans="1:22" x14ac:dyDescent="0.3">
      <c r="A430" t="s">
        <v>1291</v>
      </c>
      <c r="B430" s="2">
        <v>46086</v>
      </c>
      <c r="C430" t="s">
        <v>469</v>
      </c>
      <c r="D430" t="s">
        <v>49</v>
      </c>
      <c r="E430" t="s">
        <v>50</v>
      </c>
      <c r="F430">
        <v>3</v>
      </c>
      <c r="G430">
        <v>0</v>
      </c>
      <c r="H430">
        <v>39000</v>
      </c>
      <c r="I430">
        <v>-17825.11</v>
      </c>
      <c r="J430" t="s">
        <v>39</v>
      </c>
      <c r="K430" t="s">
        <v>434</v>
      </c>
      <c r="L430">
        <v>13000</v>
      </c>
      <c r="M430">
        <v>-45.705410256410246</v>
      </c>
      <c r="N430" t="s">
        <v>81</v>
      </c>
      <c r="O430" t="s">
        <v>470</v>
      </c>
      <c r="P430" t="s">
        <v>83</v>
      </c>
      <c r="Q430" t="s">
        <v>30</v>
      </c>
      <c r="R430" t="s">
        <v>31</v>
      </c>
      <c r="S430" t="s">
        <v>32</v>
      </c>
      <c r="T430" t="s">
        <v>471</v>
      </c>
      <c r="U430" t="s">
        <v>100</v>
      </c>
      <c r="V430">
        <v>-5941.7033333333338</v>
      </c>
    </row>
    <row r="431" spans="1:22" x14ac:dyDescent="0.3">
      <c r="A431" t="s">
        <v>1292</v>
      </c>
      <c r="B431" s="2">
        <v>45996</v>
      </c>
      <c r="C431" t="s">
        <v>1293</v>
      </c>
      <c r="D431" t="s">
        <v>70</v>
      </c>
      <c r="E431" t="s">
        <v>71</v>
      </c>
      <c r="F431">
        <v>6</v>
      </c>
      <c r="G431">
        <v>0.05</v>
      </c>
      <c r="H431">
        <v>102600</v>
      </c>
      <c r="I431">
        <v>18105.73</v>
      </c>
      <c r="J431" t="s">
        <v>65</v>
      </c>
      <c r="K431" t="s">
        <v>40</v>
      </c>
      <c r="L431">
        <v>17100</v>
      </c>
      <c r="M431">
        <v>17.646910331384021</v>
      </c>
      <c r="N431" t="s">
        <v>8</v>
      </c>
      <c r="O431" t="s">
        <v>1294</v>
      </c>
      <c r="P431" t="s">
        <v>83</v>
      </c>
      <c r="Q431" t="s">
        <v>74</v>
      </c>
      <c r="R431" t="s">
        <v>115</v>
      </c>
      <c r="S431" t="s">
        <v>115</v>
      </c>
      <c r="T431" t="s">
        <v>1295</v>
      </c>
      <c r="U431" t="s">
        <v>46</v>
      </c>
      <c r="V431">
        <v>3017.621666666666</v>
      </c>
    </row>
    <row r="432" spans="1:22" x14ac:dyDescent="0.3">
      <c r="A432" t="s">
        <v>1296</v>
      </c>
      <c r="B432" s="2">
        <v>45913</v>
      </c>
      <c r="C432" t="s">
        <v>1297</v>
      </c>
      <c r="D432" t="s">
        <v>37</v>
      </c>
      <c r="E432" t="s">
        <v>190</v>
      </c>
      <c r="F432">
        <v>2</v>
      </c>
      <c r="G432">
        <v>0.05</v>
      </c>
      <c r="H432">
        <v>7980</v>
      </c>
      <c r="I432">
        <v>2131.48</v>
      </c>
      <c r="J432" t="s">
        <v>39</v>
      </c>
      <c r="K432" t="s">
        <v>40</v>
      </c>
      <c r="L432">
        <v>3990</v>
      </c>
      <c r="M432">
        <v>26.71027568922306</v>
      </c>
      <c r="N432" t="s">
        <v>8</v>
      </c>
      <c r="O432" t="s">
        <v>781</v>
      </c>
      <c r="P432" t="s">
        <v>29</v>
      </c>
      <c r="Q432" t="s">
        <v>30</v>
      </c>
      <c r="R432" t="s">
        <v>31</v>
      </c>
      <c r="S432" t="s">
        <v>32</v>
      </c>
      <c r="T432" t="s">
        <v>1298</v>
      </c>
      <c r="U432" t="s">
        <v>100</v>
      </c>
      <c r="V432">
        <v>1065.74</v>
      </c>
    </row>
    <row r="433" spans="1:22" x14ac:dyDescent="0.3">
      <c r="A433" t="s">
        <v>1299</v>
      </c>
      <c r="B433" s="2">
        <v>46106</v>
      </c>
      <c r="C433" t="s">
        <v>1300</v>
      </c>
      <c r="D433" t="s">
        <v>70</v>
      </c>
      <c r="E433" t="s">
        <v>71</v>
      </c>
      <c r="F433">
        <v>2</v>
      </c>
      <c r="G433">
        <v>0.2</v>
      </c>
      <c r="H433">
        <v>28800</v>
      </c>
      <c r="I433">
        <v>2872.09</v>
      </c>
      <c r="J433" t="s">
        <v>26</v>
      </c>
      <c r="K433" t="s">
        <v>27</v>
      </c>
      <c r="L433">
        <v>14400</v>
      </c>
      <c r="M433">
        <v>9.9725347222222229</v>
      </c>
      <c r="N433" t="s">
        <v>8</v>
      </c>
      <c r="O433" t="s">
        <v>1301</v>
      </c>
      <c r="P433" t="s">
        <v>29</v>
      </c>
      <c r="Q433" t="s">
        <v>42</v>
      </c>
      <c r="R433" t="s">
        <v>121</v>
      </c>
      <c r="S433" t="s">
        <v>44</v>
      </c>
      <c r="T433" t="s">
        <v>1302</v>
      </c>
      <c r="U433" t="s">
        <v>100</v>
      </c>
      <c r="V433">
        <v>1436.0450000000001</v>
      </c>
    </row>
    <row r="434" spans="1:22" x14ac:dyDescent="0.3">
      <c r="A434" t="s">
        <v>1303</v>
      </c>
      <c r="B434" s="2">
        <v>46240</v>
      </c>
      <c r="C434" t="s">
        <v>1304</v>
      </c>
      <c r="D434" t="s">
        <v>70</v>
      </c>
      <c r="E434" t="s">
        <v>165</v>
      </c>
      <c r="F434">
        <v>4</v>
      </c>
      <c r="G434">
        <v>0</v>
      </c>
      <c r="H434">
        <v>10000</v>
      </c>
      <c r="I434">
        <v>3200</v>
      </c>
      <c r="J434" t="s">
        <v>26</v>
      </c>
      <c r="K434" t="s">
        <v>27</v>
      </c>
      <c r="L434">
        <v>2500</v>
      </c>
      <c r="M434">
        <v>32</v>
      </c>
      <c r="N434" t="s">
        <v>8</v>
      </c>
      <c r="O434" t="s">
        <v>1305</v>
      </c>
      <c r="P434" t="s">
        <v>29</v>
      </c>
      <c r="Q434" t="s">
        <v>30</v>
      </c>
      <c r="R434" t="s">
        <v>53</v>
      </c>
      <c r="S434" t="s">
        <v>54</v>
      </c>
      <c r="T434" t="s">
        <v>1306</v>
      </c>
      <c r="U434" t="s">
        <v>34</v>
      </c>
      <c r="V434">
        <v>800</v>
      </c>
    </row>
    <row r="435" spans="1:22" x14ac:dyDescent="0.3">
      <c r="A435" t="s">
        <v>1307</v>
      </c>
      <c r="B435" s="2">
        <v>45948</v>
      </c>
      <c r="C435" t="s">
        <v>1308</v>
      </c>
      <c r="D435" t="s">
        <v>49</v>
      </c>
      <c r="E435" t="s">
        <v>119</v>
      </c>
      <c r="F435">
        <v>4</v>
      </c>
      <c r="G435">
        <v>0.05</v>
      </c>
      <c r="H435">
        <v>34200</v>
      </c>
      <c r="I435">
        <v>-13623.62</v>
      </c>
      <c r="J435" t="s">
        <v>26</v>
      </c>
      <c r="K435" t="s">
        <v>434</v>
      </c>
      <c r="L435">
        <v>8550</v>
      </c>
      <c r="M435">
        <v>-39.835146198830422</v>
      </c>
      <c r="N435" t="s">
        <v>81</v>
      </c>
      <c r="O435" t="s">
        <v>1309</v>
      </c>
      <c r="P435" t="s">
        <v>29</v>
      </c>
      <c r="Q435" t="s">
        <v>131</v>
      </c>
      <c r="R435" t="s">
        <v>132</v>
      </c>
      <c r="S435" t="s">
        <v>133</v>
      </c>
      <c r="T435" t="s">
        <v>1310</v>
      </c>
      <c r="U435" t="s">
        <v>46</v>
      </c>
      <c r="V435">
        <v>-3405.9050000000002</v>
      </c>
    </row>
    <row r="436" spans="1:22" x14ac:dyDescent="0.3">
      <c r="A436" t="s">
        <v>1311</v>
      </c>
      <c r="B436" s="2">
        <v>45955</v>
      </c>
      <c r="C436" t="s">
        <v>1000</v>
      </c>
      <c r="D436" t="s">
        <v>70</v>
      </c>
      <c r="E436" t="s">
        <v>165</v>
      </c>
      <c r="F436">
        <v>1</v>
      </c>
      <c r="G436">
        <v>0.05</v>
      </c>
      <c r="H436">
        <v>2375</v>
      </c>
      <c r="I436">
        <v>740.55</v>
      </c>
      <c r="J436" t="s">
        <v>51</v>
      </c>
      <c r="K436" t="s">
        <v>40</v>
      </c>
      <c r="L436">
        <v>2375</v>
      </c>
      <c r="M436">
        <v>31.18105263157894</v>
      </c>
      <c r="N436" t="s">
        <v>8</v>
      </c>
      <c r="O436" t="s">
        <v>1001</v>
      </c>
      <c r="P436" t="s">
        <v>29</v>
      </c>
      <c r="Q436" t="s">
        <v>30</v>
      </c>
      <c r="R436" t="s">
        <v>60</v>
      </c>
      <c r="S436" t="s">
        <v>61</v>
      </c>
      <c r="T436" t="s">
        <v>1002</v>
      </c>
      <c r="U436" t="s">
        <v>105</v>
      </c>
      <c r="V436">
        <v>740.55</v>
      </c>
    </row>
    <row r="437" spans="1:22" x14ac:dyDescent="0.3">
      <c r="A437" t="s">
        <v>1312</v>
      </c>
      <c r="B437" s="2">
        <v>46152</v>
      </c>
      <c r="C437" t="s">
        <v>1313</v>
      </c>
      <c r="D437" t="s">
        <v>24</v>
      </c>
      <c r="E437" t="s">
        <v>25</v>
      </c>
      <c r="F437">
        <v>1</v>
      </c>
      <c r="G437">
        <v>0</v>
      </c>
      <c r="H437">
        <v>14000</v>
      </c>
      <c r="I437">
        <v>-6824.88</v>
      </c>
      <c r="J437" t="s">
        <v>65</v>
      </c>
      <c r="K437" t="s">
        <v>434</v>
      </c>
      <c r="L437">
        <v>14000</v>
      </c>
      <c r="M437">
        <v>-48.749142857142857</v>
      </c>
      <c r="N437" t="s">
        <v>81</v>
      </c>
      <c r="O437" t="s">
        <v>1314</v>
      </c>
      <c r="P437" t="s">
        <v>73</v>
      </c>
      <c r="Q437" t="s">
        <v>131</v>
      </c>
      <c r="R437" t="s">
        <v>289</v>
      </c>
      <c r="S437" t="s">
        <v>290</v>
      </c>
      <c r="T437" t="s">
        <v>1161</v>
      </c>
      <c r="U437" t="s">
        <v>105</v>
      </c>
      <c r="V437">
        <v>-6824.88</v>
      </c>
    </row>
    <row r="438" spans="1:22" x14ac:dyDescent="0.3">
      <c r="A438" t="s">
        <v>1315</v>
      </c>
      <c r="B438" s="2">
        <v>46263</v>
      </c>
      <c r="C438" t="s">
        <v>348</v>
      </c>
      <c r="D438" t="s">
        <v>70</v>
      </c>
      <c r="E438" t="s">
        <v>129</v>
      </c>
      <c r="F438">
        <v>1</v>
      </c>
      <c r="G438">
        <v>0.15</v>
      </c>
      <c r="H438">
        <v>46750</v>
      </c>
      <c r="I438">
        <v>4614.74</v>
      </c>
      <c r="J438" t="s">
        <v>65</v>
      </c>
      <c r="K438" t="s">
        <v>40</v>
      </c>
      <c r="L438">
        <v>46750</v>
      </c>
      <c r="M438">
        <v>9.8711016042780741</v>
      </c>
      <c r="N438" t="s">
        <v>8</v>
      </c>
      <c r="O438" t="s">
        <v>349</v>
      </c>
      <c r="P438" t="s">
        <v>83</v>
      </c>
      <c r="Q438" t="s">
        <v>30</v>
      </c>
      <c r="R438" t="s">
        <v>31</v>
      </c>
      <c r="S438" t="s">
        <v>32</v>
      </c>
      <c r="T438" t="s">
        <v>307</v>
      </c>
      <c r="U438" t="s">
        <v>100</v>
      </c>
      <c r="V438">
        <v>4614.74</v>
      </c>
    </row>
    <row r="439" spans="1:22" x14ac:dyDescent="0.3">
      <c r="A439" t="s">
        <v>1316</v>
      </c>
      <c r="B439" s="2">
        <v>45999</v>
      </c>
      <c r="C439" t="s">
        <v>317</v>
      </c>
      <c r="D439" t="s">
        <v>37</v>
      </c>
      <c r="E439" t="s">
        <v>310</v>
      </c>
      <c r="F439">
        <v>1</v>
      </c>
      <c r="G439">
        <v>0.05</v>
      </c>
      <c r="H439">
        <v>2090</v>
      </c>
      <c r="I439">
        <v>677.16</v>
      </c>
      <c r="J439" t="s">
        <v>51</v>
      </c>
      <c r="K439" t="s">
        <v>40</v>
      </c>
      <c r="L439">
        <v>2090</v>
      </c>
      <c r="M439">
        <v>32.4</v>
      </c>
      <c r="N439" t="s">
        <v>8</v>
      </c>
      <c r="O439" t="s">
        <v>318</v>
      </c>
      <c r="P439" t="s">
        <v>29</v>
      </c>
      <c r="Q439" t="s">
        <v>42</v>
      </c>
      <c r="R439" t="s">
        <v>121</v>
      </c>
      <c r="S439" t="s">
        <v>44</v>
      </c>
      <c r="T439" t="s">
        <v>319</v>
      </c>
      <c r="U439" t="s">
        <v>34</v>
      </c>
      <c r="V439">
        <v>677.16</v>
      </c>
    </row>
    <row r="440" spans="1:22" x14ac:dyDescent="0.3">
      <c r="A440" t="s">
        <v>1317</v>
      </c>
      <c r="B440" s="2">
        <v>46172</v>
      </c>
      <c r="C440" t="s">
        <v>194</v>
      </c>
      <c r="D440" t="s">
        <v>24</v>
      </c>
      <c r="E440" t="s">
        <v>87</v>
      </c>
      <c r="F440">
        <v>2</v>
      </c>
      <c r="G440">
        <v>0.15</v>
      </c>
      <c r="H440">
        <v>595</v>
      </c>
      <c r="I440">
        <v>-211.8</v>
      </c>
      <c r="J440" t="s">
        <v>51</v>
      </c>
      <c r="K440" t="s">
        <v>434</v>
      </c>
      <c r="L440">
        <v>297.5</v>
      </c>
      <c r="M440">
        <v>-35.596638655462193</v>
      </c>
      <c r="N440" t="s">
        <v>81</v>
      </c>
      <c r="O440" t="s">
        <v>195</v>
      </c>
      <c r="P440" t="s">
        <v>73</v>
      </c>
      <c r="Q440" t="s">
        <v>30</v>
      </c>
      <c r="R440" t="s">
        <v>98</v>
      </c>
      <c r="S440" t="s">
        <v>54</v>
      </c>
      <c r="T440" t="s">
        <v>196</v>
      </c>
      <c r="U440" t="s">
        <v>105</v>
      </c>
      <c r="V440">
        <v>-105.9</v>
      </c>
    </row>
    <row r="441" spans="1:22" x14ac:dyDescent="0.3">
      <c r="A441" t="s">
        <v>1318</v>
      </c>
      <c r="B441" s="2">
        <v>46008</v>
      </c>
      <c r="C441" t="s">
        <v>1319</v>
      </c>
      <c r="D441" t="s">
        <v>49</v>
      </c>
      <c r="E441" t="s">
        <v>50</v>
      </c>
      <c r="F441">
        <v>1</v>
      </c>
      <c r="G441">
        <v>0.05</v>
      </c>
      <c r="H441">
        <v>12350</v>
      </c>
      <c r="I441">
        <v>2771.37</v>
      </c>
      <c r="J441" t="s">
        <v>51</v>
      </c>
      <c r="K441" t="s">
        <v>27</v>
      </c>
      <c r="L441">
        <v>12350</v>
      </c>
      <c r="M441">
        <v>22.440242914979759</v>
      </c>
      <c r="N441" t="s">
        <v>8</v>
      </c>
      <c r="O441" t="s">
        <v>166</v>
      </c>
      <c r="P441" t="s">
        <v>83</v>
      </c>
      <c r="Q441" t="s">
        <v>42</v>
      </c>
      <c r="R441" t="s">
        <v>110</v>
      </c>
      <c r="S441" t="s">
        <v>111</v>
      </c>
      <c r="T441" t="s">
        <v>1320</v>
      </c>
      <c r="U441" t="s">
        <v>34</v>
      </c>
      <c r="V441">
        <v>2771.37</v>
      </c>
    </row>
    <row r="442" spans="1:22" x14ac:dyDescent="0.3">
      <c r="A442" t="s">
        <v>1321</v>
      </c>
      <c r="B442" s="2">
        <v>46227</v>
      </c>
      <c r="C442" t="s">
        <v>801</v>
      </c>
      <c r="D442" t="s">
        <v>70</v>
      </c>
      <c r="E442" t="s">
        <v>71</v>
      </c>
      <c r="F442">
        <v>1</v>
      </c>
      <c r="G442">
        <v>0.3</v>
      </c>
      <c r="H442">
        <v>12600</v>
      </c>
      <c r="I442">
        <v>-552.54</v>
      </c>
      <c r="J442" t="s">
        <v>39</v>
      </c>
      <c r="K442" t="s">
        <v>40</v>
      </c>
      <c r="L442">
        <v>12600</v>
      </c>
      <c r="M442">
        <v>-4.3852380952380949</v>
      </c>
      <c r="N442" t="s">
        <v>81</v>
      </c>
      <c r="O442" t="s">
        <v>478</v>
      </c>
      <c r="P442" t="s">
        <v>29</v>
      </c>
      <c r="Q442" t="s">
        <v>30</v>
      </c>
      <c r="R442" t="s">
        <v>98</v>
      </c>
      <c r="S442" t="s">
        <v>54</v>
      </c>
      <c r="T442" t="s">
        <v>802</v>
      </c>
      <c r="U442" t="s">
        <v>34</v>
      </c>
      <c r="V442">
        <v>-552.54</v>
      </c>
    </row>
    <row r="443" spans="1:22" x14ac:dyDescent="0.3">
      <c r="A443" t="s">
        <v>1322</v>
      </c>
      <c r="B443" s="2">
        <v>45994</v>
      </c>
      <c r="C443" t="s">
        <v>152</v>
      </c>
      <c r="D443" t="s">
        <v>70</v>
      </c>
      <c r="E443" t="s">
        <v>165</v>
      </c>
      <c r="F443">
        <v>1</v>
      </c>
      <c r="G443">
        <v>0.05</v>
      </c>
      <c r="H443">
        <v>2375</v>
      </c>
      <c r="I443">
        <v>725.07</v>
      </c>
      <c r="J443" t="s">
        <v>51</v>
      </c>
      <c r="K443" t="s">
        <v>40</v>
      </c>
      <c r="L443">
        <v>2375</v>
      </c>
      <c r="M443">
        <v>30.529263157894739</v>
      </c>
      <c r="N443" t="s">
        <v>8</v>
      </c>
      <c r="O443" t="s">
        <v>153</v>
      </c>
      <c r="P443" t="s">
        <v>83</v>
      </c>
      <c r="Q443" t="s">
        <v>30</v>
      </c>
      <c r="R443" t="s">
        <v>53</v>
      </c>
      <c r="S443" t="s">
        <v>54</v>
      </c>
      <c r="T443" t="s">
        <v>154</v>
      </c>
      <c r="U443" t="s">
        <v>100</v>
      </c>
      <c r="V443">
        <v>725.07</v>
      </c>
    </row>
    <row r="444" spans="1:22" x14ac:dyDescent="0.3">
      <c r="A444" t="s">
        <v>1323</v>
      </c>
      <c r="B444" s="2">
        <v>45955</v>
      </c>
      <c r="C444" t="s">
        <v>1324</v>
      </c>
      <c r="D444" t="s">
        <v>70</v>
      </c>
      <c r="E444" t="s">
        <v>129</v>
      </c>
      <c r="F444">
        <v>4</v>
      </c>
      <c r="G444">
        <v>0.1</v>
      </c>
      <c r="H444">
        <v>198000</v>
      </c>
      <c r="I444">
        <v>-54115.05</v>
      </c>
      <c r="J444" t="s">
        <v>26</v>
      </c>
      <c r="K444" t="s">
        <v>80</v>
      </c>
      <c r="L444">
        <v>49500</v>
      </c>
      <c r="M444">
        <v>-27.330833333333342</v>
      </c>
      <c r="N444" t="s">
        <v>81</v>
      </c>
      <c r="O444" t="s">
        <v>1325</v>
      </c>
      <c r="P444" t="s">
        <v>83</v>
      </c>
      <c r="Q444" t="s">
        <v>74</v>
      </c>
      <c r="R444" t="s">
        <v>115</v>
      </c>
      <c r="S444" t="s">
        <v>115</v>
      </c>
      <c r="T444" t="s">
        <v>1326</v>
      </c>
      <c r="U444" t="s">
        <v>34</v>
      </c>
      <c r="V444">
        <v>-13528.762500000001</v>
      </c>
    </row>
    <row r="445" spans="1:22" x14ac:dyDescent="0.3">
      <c r="A445" t="s">
        <v>1327</v>
      </c>
      <c r="B445" s="2">
        <v>45865</v>
      </c>
      <c r="C445" t="s">
        <v>1328</v>
      </c>
      <c r="D445" t="s">
        <v>49</v>
      </c>
      <c r="E445" t="s">
        <v>79</v>
      </c>
      <c r="F445">
        <v>2</v>
      </c>
      <c r="G445">
        <v>0.1</v>
      </c>
      <c r="H445">
        <v>19800</v>
      </c>
      <c r="I445">
        <v>3949.64</v>
      </c>
      <c r="J445" t="s">
        <v>26</v>
      </c>
      <c r="K445" t="s">
        <v>40</v>
      </c>
      <c r="L445">
        <v>9900</v>
      </c>
      <c r="M445">
        <v>19.947676767676771</v>
      </c>
      <c r="N445" t="s">
        <v>8</v>
      </c>
      <c r="O445" t="s">
        <v>1329</v>
      </c>
      <c r="P445" t="s">
        <v>29</v>
      </c>
      <c r="Q445" t="s">
        <v>74</v>
      </c>
      <c r="R445" t="s">
        <v>237</v>
      </c>
      <c r="S445" t="s">
        <v>238</v>
      </c>
      <c r="T445" t="s">
        <v>934</v>
      </c>
      <c r="U445" t="s">
        <v>34</v>
      </c>
      <c r="V445">
        <v>1974.82</v>
      </c>
    </row>
    <row r="446" spans="1:22" x14ac:dyDescent="0.3">
      <c r="A446" t="s">
        <v>1330</v>
      </c>
      <c r="B446" s="2">
        <v>46013</v>
      </c>
      <c r="C446" t="s">
        <v>1331</v>
      </c>
      <c r="D446" t="s">
        <v>70</v>
      </c>
      <c r="E446" t="s">
        <v>71</v>
      </c>
      <c r="F446">
        <v>6</v>
      </c>
      <c r="G446">
        <v>0</v>
      </c>
      <c r="H446">
        <v>108000</v>
      </c>
      <c r="I446">
        <v>21000</v>
      </c>
      <c r="J446" t="s">
        <v>39</v>
      </c>
      <c r="K446" t="s">
        <v>27</v>
      </c>
      <c r="L446">
        <v>18000</v>
      </c>
      <c r="M446">
        <v>19.44444444444445</v>
      </c>
      <c r="N446" t="s">
        <v>8</v>
      </c>
      <c r="O446" t="s">
        <v>553</v>
      </c>
      <c r="P446" t="s">
        <v>29</v>
      </c>
      <c r="Q446" t="s">
        <v>30</v>
      </c>
      <c r="R446" t="s">
        <v>31</v>
      </c>
      <c r="S446" t="s">
        <v>32</v>
      </c>
      <c r="T446" t="s">
        <v>1332</v>
      </c>
      <c r="U446" t="s">
        <v>46</v>
      </c>
      <c r="V446">
        <v>3500</v>
      </c>
    </row>
    <row r="447" spans="1:22" x14ac:dyDescent="0.3">
      <c r="A447" t="s">
        <v>1333</v>
      </c>
      <c r="B447" s="2">
        <v>46241</v>
      </c>
      <c r="C447" t="s">
        <v>1334</v>
      </c>
      <c r="D447" t="s">
        <v>24</v>
      </c>
      <c r="E447" t="s">
        <v>25</v>
      </c>
      <c r="F447">
        <v>5</v>
      </c>
      <c r="G447">
        <v>0.05</v>
      </c>
      <c r="H447">
        <v>66500</v>
      </c>
      <c r="I447">
        <v>12261.38</v>
      </c>
      <c r="J447" t="s">
        <v>26</v>
      </c>
      <c r="K447" t="s">
        <v>40</v>
      </c>
      <c r="L447">
        <v>13300</v>
      </c>
      <c r="M447">
        <v>18.438165413533831</v>
      </c>
      <c r="N447" t="s">
        <v>8</v>
      </c>
      <c r="O447" t="s">
        <v>1335</v>
      </c>
      <c r="P447" t="s">
        <v>29</v>
      </c>
      <c r="Q447" t="s">
        <v>131</v>
      </c>
      <c r="R447" t="s">
        <v>289</v>
      </c>
      <c r="S447" t="s">
        <v>290</v>
      </c>
      <c r="T447" t="s">
        <v>1336</v>
      </c>
      <c r="U447" t="s">
        <v>46</v>
      </c>
      <c r="V447">
        <v>2452.2759999999998</v>
      </c>
    </row>
    <row r="448" spans="1:22" x14ac:dyDescent="0.3">
      <c r="A448" t="s">
        <v>1337</v>
      </c>
      <c r="B448" s="2">
        <v>46017</v>
      </c>
      <c r="C448" t="s">
        <v>1338</v>
      </c>
      <c r="D448" t="s">
        <v>24</v>
      </c>
      <c r="E448" t="s">
        <v>92</v>
      </c>
      <c r="F448">
        <v>5</v>
      </c>
      <c r="G448">
        <v>0</v>
      </c>
      <c r="H448">
        <v>4500</v>
      </c>
      <c r="I448">
        <v>1400</v>
      </c>
      <c r="J448" t="s">
        <v>65</v>
      </c>
      <c r="K448" t="s">
        <v>40</v>
      </c>
      <c r="L448">
        <v>900</v>
      </c>
      <c r="M448">
        <v>31.111111111111111</v>
      </c>
      <c r="N448" t="s">
        <v>8</v>
      </c>
      <c r="O448" t="s">
        <v>82</v>
      </c>
      <c r="P448" t="s">
        <v>29</v>
      </c>
      <c r="Q448" t="s">
        <v>74</v>
      </c>
      <c r="R448" t="s">
        <v>75</v>
      </c>
      <c r="S448" t="s">
        <v>75</v>
      </c>
      <c r="T448" t="s">
        <v>1339</v>
      </c>
      <c r="U448" t="s">
        <v>100</v>
      </c>
      <c r="V448">
        <v>280</v>
      </c>
    </row>
    <row r="449" spans="1:22" x14ac:dyDescent="0.3">
      <c r="A449" t="s">
        <v>1340</v>
      </c>
      <c r="B449" s="2">
        <v>46195</v>
      </c>
      <c r="C449" t="s">
        <v>729</v>
      </c>
      <c r="D449" t="s">
        <v>37</v>
      </c>
      <c r="E449" t="s">
        <v>310</v>
      </c>
      <c r="F449">
        <v>4</v>
      </c>
      <c r="G449">
        <v>0.2</v>
      </c>
      <c r="H449">
        <v>7040</v>
      </c>
      <c r="I449">
        <v>1868.4</v>
      </c>
      <c r="J449" t="s">
        <v>26</v>
      </c>
      <c r="K449" t="s">
        <v>40</v>
      </c>
      <c r="L449">
        <v>1760</v>
      </c>
      <c r="M449">
        <v>26.53977272727273</v>
      </c>
      <c r="N449" t="s">
        <v>8</v>
      </c>
      <c r="O449" t="s">
        <v>730</v>
      </c>
      <c r="P449" t="s">
        <v>73</v>
      </c>
      <c r="Q449" t="s">
        <v>30</v>
      </c>
      <c r="R449" t="s">
        <v>31</v>
      </c>
      <c r="S449" t="s">
        <v>32</v>
      </c>
      <c r="T449" t="s">
        <v>215</v>
      </c>
      <c r="U449" t="s">
        <v>100</v>
      </c>
      <c r="V449">
        <v>467.1</v>
      </c>
    </row>
    <row r="450" spans="1:22" x14ac:dyDescent="0.3">
      <c r="A450" t="s">
        <v>1341</v>
      </c>
      <c r="B450" s="2">
        <v>46261</v>
      </c>
      <c r="C450" t="s">
        <v>644</v>
      </c>
      <c r="D450" t="s">
        <v>24</v>
      </c>
      <c r="E450" t="s">
        <v>92</v>
      </c>
      <c r="F450">
        <v>2</v>
      </c>
      <c r="G450">
        <v>0</v>
      </c>
      <c r="H450">
        <v>1800</v>
      </c>
      <c r="I450">
        <v>75.349999999999994</v>
      </c>
      <c r="J450" t="s">
        <v>39</v>
      </c>
      <c r="K450" t="s">
        <v>80</v>
      </c>
      <c r="L450">
        <v>900</v>
      </c>
      <c r="M450">
        <v>4.1861111111111109</v>
      </c>
      <c r="N450" t="s">
        <v>8</v>
      </c>
      <c r="O450" t="s">
        <v>213</v>
      </c>
      <c r="P450" t="s">
        <v>29</v>
      </c>
      <c r="Q450" t="s">
        <v>30</v>
      </c>
      <c r="R450" t="s">
        <v>31</v>
      </c>
      <c r="S450" t="s">
        <v>32</v>
      </c>
      <c r="T450" t="s">
        <v>645</v>
      </c>
      <c r="U450" t="s">
        <v>46</v>
      </c>
      <c r="V450">
        <v>37.674999999999997</v>
      </c>
    </row>
    <row r="451" spans="1:22" x14ac:dyDescent="0.3">
      <c r="A451" t="s">
        <v>1342</v>
      </c>
      <c r="B451" s="2">
        <v>46096</v>
      </c>
      <c r="C451" t="s">
        <v>1343</v>
      </c>
      <c r="D451" t="s">
        <v>24</v>
      </c>
      <c r="E451" t="s">
        <v>92</v>
      </c>
      <c r="F451">
        <v>1</v>
      </c>
      <c r="G451">
        <v>0.15</v>
      </c>
      <c r="H451">
        <v>765</v>
      </c>
      <c r="I451">
        <v>-63.32</v>
      </c>
      <c r="J451" t="s">
        <v>39</v>
      </c>
      <c r="K451" t="s">
        <v>80</v>
      </c>
      <c r="L451">
        <v>765</v>
      </c>
      <c r="M451">
        <v>-8.2771241830065367</v>
      </c>
      <c r="N451" t="s">
        <v>81</v>
      </c>
      <c r="O451" t="s">
        <v>1057</v>
      </c>
      <c r="P451" t="s">
        <v>29</v>
      </c>
      <c r="Q451" t="s">
        <v>42</v>
      </c>
      <c r="R451" t="s">
        <v>110</v>
      </c>
      <c r="S451" t="s">
        <v>111</v>
      </c>
      <c r="T451" t="s">
        <v>1344</v>
      </c>
      <c r="U451" t="s">
        <v>46</v>
      </c>
      <c r="V451">
        <v>-63.32</v>
      </c>
    </row>
    <row r="452" spans="1:22" x14ac:dyDescent="0.3">
      <c r="A452" t="s">
        <v>1345</v>
      </c>
      <c r="B452" s="2">
        <v>46255</v>
      </c>
      <c r="C452" t="s">
        <v>1346</v>
      </c>
      <c r="D452" t="s">
        <v>24</v>
      </c>
      <c r="E452" t="s">
        <v>87</v>
      </c>
      <c r="F452">
        <v>2</v>
      </c>
      <c r="G452">
        <v>0.1</v>
      </c>
      <c r="H452">
        <v>630</v>
      </c>
      <c r="I452">
        <v>-244.17</v>
      </c>
      <c r="J452" t="s">
        <v>51</v>
      </c>
      <c r="K452" t="s">
        <v>434</v>
      </c>
      <c r="L452">
        <v>315</v>
      </c>
      <c r="M452">
        <v>-38.75714285714286</v>
      </c>
      <c r="N452" t="s">
        <v>81</v>
      </c>
      <c r="O452" t="s">
        <v>825</v>
      </c>
      <c r="P452" t="s">
        <v>73</v>
      </c>
      <c r="Q452" t="s">
        <v>30</v>
      </c>
      <c r="R452" t="s">
        <v>98</v>
      </c>
      <c r="S452" t="s">
        <v>54</v>
      </c>
      <c r="T452" t="s">
        <v>1347</v>
      </c>
      <c r="U452" t="s">
        <v>34</v>
      </c>
      <c r="V452">
        <v>-122.08499999999999</v>
      </c>
    </row>
    <row r="453" spans="1:22" x14ac:dyDescent="0.3">
      <c r="A453" t="s">
        <v>1348</v>
      </c>
      <c r="B453" s="2">
        <v>45990</v>
      </c>
      <c r="C453" t="s">
        <v>1193</v>
      </c>
      <c r="D453" t="s">
        <v>49</v>
      </c>
      <c r="E453" t="s">
        <v>50</v>
      </c>
      <c r="F453">
        <v>1</v>
      </c>
      <c r="G453">
        <v>0.05</v>
      </c>
      <c r="H453">
        <v>12350</v>
      </c>
      <c r="I453">
        <v>-2086.61</v>
      </c>
      <c r="J453" t="s">
        <v>39</v>
      </c>
      <c r="K453" t="s">
        <v>434</v>
      </c>
      <c r="L453">
        <v>12350</v>
      </c>
      <c r="M453">
        <v>-16.895627530364369</v>
      </c>
      <c r="N453" t="s">
        <v>81</v>
      </c>
      <c r="O453" t="s">
        <v>781</v>
      </c>
      <c r="P453" t="s">
        <v>29</v>
      </c>
      <c r="Q453" t="s">
        <v>30</v>
      </c>
      <c r="R453" t="s">
        <v>31</v>
      </c>
      <c r="S453" t="s">
        <v>32</v>
      </c>
      <c r="T453" t="s">
        <v>1194</v>
      </c>
      <c r="U453" t="s">
        <v>46</v>
      </c>
      <c r="V453">
        <v>-2086.61</v>
      </c>
    </row>
    <row r="454" spans="1:22" x14ac:dyDescent="0.3">
      <c r="A454" t="s">
        <v>1349</v>
      </c>
      <c r="B454" s="2">
        <v>46213</v>
      </c>
      <c r="C454" t="s">
        <v>488</v>
      </c>
      <c r="D454" t="s">
        <v>49</v>
      </c>
      <c r="E454" t="s">
        <v>119</v>
      </c>
      <c r="F454">
        <v>3</v>
      </c>
      <c r="G454">
        <v>0.1</v>
      </c>
      <c r="H454">
        <v>24300</v>
      </c>
      <c r="I454">
        <v>5489.87</v>
      </c>
      <c r="J454" t="s">
        <v>65</v>
      </c>
      <c r="K454" t="s">
        <v>27</v>
      </c>
      <c r="L454">
        <v>8100</v>
      </c>
      <c r="M454">
        <v>22.59205761316872</v>
      </c>
      <c r="N454" t="s">
        <v>8</v>
      </c>
      <c r="O454" t="s">
        <v>398</v>
      </c>
      <c r="P454" t="s">
        <v>29</v>
      </c>
      <c r="Q454" t="s">
        <v>30</v>
      </c>
      <c r="R454" t="s">
        <v>60</v>
      </c>
      <c r="S454" t="s">
        <v>61</v>
      </c>
      <c r="T454" t="s">
        <v>489</v>
      </c>
      <c r="U454" t="s">
        <v>105</v>
      </c>
      <c r="V454">
        <v>1829.9566666666669</v>
      </c>
    </row>
    <row r="455" spans="1:22" x14ac:dyDescent="0.3">
      <c r="A455" t="s">
        <v>1350</v>
      </c>
      <c r="B455" s="2">
        <v>46164</v>
      </c>
      <c r="C455" t="s">
        <v>625</v>
      </c>
      <c r="D455" t="s">
        <v>70</v>
      </c>
      <c r="E455" t="s">
        <v>165</v>
      </c>
      <c r="F455">
        <v>6</v>
      </c>
      <c r="G455">
        <v>0.05</v>
      </c>
      <c r="H455">
        <v>14250</v>
      </c>
      <c r="I455">
        <v>4217.91</v>
      </c>
      <c r="J455" t="s">
        <v>51</v>
      </c>
      <c r="K455" t="s">
        <v>40</v>
      </c>
      <c r="L455">
        <v>2375</v>
      </c>
      <c r="M455">
        <v>29.599368421052631</v>
      </c>
      <c r="N455" t="s">
        <v>8</v>
      </c>
      <c r="O455" t="s">
        <v>626</v>
      </c>
      <c r="P455" t="s">
        <v>29</v>
      </c>
      <c r="Q455" t="s">
        <v>30</v>
      </c>
      <c r="R455" t="s">
        <v>53</v>
      </c>
      <c r="S455" t="s">
        <v>54</v>
      </c>
      <c r="T455" t="s">
        <v>627</v>
      </c>
      <c r="U455" t="s">
        <v>105</v>
      </c>
      <c r="V455">
        <v>702.98500000000001</v>
      </c>
    </row>
    <row r="456" spans="1:22" x14ac:dyDescent="0.3">
      <c r="A456" t="s">
        <v>1351</v>
      </c>
      <c r="B456" s="2">
        <v>46227</v>
      </c>
      <c r="C456" t="s">
        <v>1352</v>
      </c>
      <c r="D456" t="s">
        <v>70</v>
      </c>
      <c r="E456" t="s">
        <v>71</v>
      </c>
      <c r="F456">
        <v>3</v>
      </c>
      <c r="G456">
        <v>0</v>
      </c>
      <c r="H456">
        <v>54000</v>
      </c>
      <c r="I456">
        <v>10500</v>
      </c>
      <c r="J456" t="s">
        <v>65</v>
      </c>
      <c r="K456" t="s">
        <v>40</v>
      </c>
      <c r="L456">
        <v>18000</v>
      </c>
      <c r="M456">
        <v>19.44444444444445</v>
      </c>
      <c r="N456" t="s">
        <v>8</v>
      </c>
      <c r="O456" t="s">
        <v>1353</v>
      </c>
      <c r="P456" t="s">
        <v>29</v>
      </c>
      <c r="Q456" t="s">
        <v>42</v>
      </c>
      <c r="R456" t="s">
        <v>214</v>
      </c>
      <c r="S456" t="s">
        <v>111</v>
      </c>
      <c r="T456" t="s">
        <v>1354</v>
      </c>
      <c r="U456" t="s">
        <v>34</v>
      </c>
      <c r="V456">
        <v>3500</v>
      </c>
    </row>
    <row r="457" spans="1:22" x14ac:dyDescent="0.3">
      <c r="A457" t="s">
        <v>1355</v>
      </c>
      <c r="B457" s="2">
        <v>46147</v>
      </c>
      <c r="C457" t="s">
        <v>1356</v>
      </c>
      <c r="D457" t="s">
        <v>49</v>
      </c>
      <c r="E457" t="s">
        <v>50</v>
      </c>
      <c r="F457">
        <v>1</v>
      </c>
      <c r="G457">
        <v>0.05</v>
      </c>
      <c r="H457">
        <v>12350</v>
      </c>
      <c r="I457">
        <v>-3530.41</v>
      </c>
      <c r="J457" t="s">
        <v>65</v>
      </c>
      <c r="K457" t="s">
        <v>434</v>
      </c>
      <c r="L457">
        <v>12350</v>
      </c>
      <c r="M457">
        <v>-28.58631578947368</v>
      </c>
      <c r="N457" t="s">
        <v>81</v>
      </c>
      <c r="O457" t="s">
        <v>1357</v>
      </c>
      <c r="P457" t="s">
        <v>83</v>
      </c>
      <c r="Q457" t="s">
        <v>74</v>
      </c>
      <c r="R457" t="s">
        <v>237</v>
      </c>
      <c r="S457" t="s">
        <v>238</v>
      </c>
      <c r="T457" t="s">
        <v>1358</v>
      </c>
      <c r="U457" t="s">
        <v>46</v>
      </c>
      <c r="V457">
        <v>-3530.41</v>
      </c>
    </row>
    <row r="458" spans="1:22" x14ac:dyDescent="0.3">
      <c r="A458" t="s">
        <v>1359</v>
      </c>
      <c r="B458" s="2">
        <v>45978</v>
      </c>
      <c r="C458" t="s">
        <v>1360</v>
      </c>
      <c r="D458" t="s">
        <v>49</v>
      </c>
      <c r="E458" t="s">
        <v>79</v>
      </c>
      <c r="F458">
        <v>2</v>
      </c>
      <c r="G458">
        <v>0.2</v>
      </c>
      <c r="H458">
        <v>17600</v>
      </c>
      <c r="I458">
        <v>2501.79</v>
      </c>
      <c r="J458" t="s">
        <v>65</v>
      </c>
      <c r="K458" t="s">
        <v>40</v>
      </c>
      <c r="L458">
        <v>8800</v>
      </c>
      <c r="M458">
        <v>14.214715909090909</v>
      </c>
      <c r="N458" t="s">
        <v>8</v>
      </c>
      <c r="O458" t="s">
        <v>553</v>
      </c>
      <c r="P458" t="s">
        <v>83</v>
      </c>
      <c r="Q458" t="s">
        <v>30</v>
      </c>
      <c r="R458" t="s">
        <v>31</v>
      </c>
      <c r="S458" t="s">
        <v>32</v>
      </c>
      <c r="T458" t="s">
        <v>1361</v>
      </c>
      <c r="U458" t="s">
        <v>34</v>
      </c>
      <c r="V458">
        <v>1250.895</v>
      </c>
    </row>
    <row r="459" spans="1:22" x14ac:dyDescent="0.3">
      <c r="A459" t="s">
        <v>1362</v>
      </c>
      <c r="B459" s="2">
        <v>45902</v>
      </c>
      <c r="C459" t="s">
        <v>1363</v>
      </c>
      <c r="D459" t="s">
        <v>70</v>
      </c>
      <c r="E459" t="s">
        <v>108</v>
      </c>
      <c r="F459">
        <v>3</v>
      </c>
      <c r="G459">
        <v>0.1</v>
      </c>
      <c r="H459">
        <v>12150</v>
      </c>
      <c r="I459">
        <v>-5352.05</v>
      </c>
      <c r="J459" t="s">
        <v>39</v>
      </c>
      <c r="K459" t="s">
        <v>80</v>
      </c>
      <c r="L459">
        <v>4050</v>
      </c>
      <c r="M459">
        <v>-44.049794238683127</v>
      </c>
      <c r="N459" t="s">
        <v>81</v>
      </c>
      <c r="O459" t="s">
        <v>1364</v>
      </c>
      <c r="P459" t="s">
        <v>73</v>
      </c>
      <c r="Q459" t="s">
        <v>30</v>
      </c>
      <c r="R459" t="s">
        <v>98</v>
      </c>
      <c r="S459" t="s">
        <v>54</v>
      </c>
      <c r="T459" t="s">
        <v>1365</v>
      </c>
      <c r="U459" t="s">
        <v>105</v>
      </c>
      <c r="V459">
        <v>-1784.0166666666671</v>
      </c>
    </row>
    <row r="460" spans="1:22" x14ac:dyDescent="0.3">
      <c r="A460" t="s">
        <v>1366</v>
      </c>
      <c r="B460" s="2">
        <v>45908</v>
      </c>
      <c r="C460" t="s">
        <v>1367</v>
      </c>
      <c r="D460" t="s">
        <v>70</v>
      </c>
      <c r="E460" t="s">
        <v>71</v>
      </c>
      <c r="F460">
        <v>10</v>
      </c>
      <c r="G460">
        <v>0.2</v>
      </c>
      <c r="H460">
        <v>144000</v>
      </c>
      <c r="I460">
        <v>9693.25</v>
      </c>
      <c r="J460" t="s">
        <v>39</v>
      </c>
      <c r="K460" t="s">
        <v>40</v>
      </c>
      <c r="L460">
        <v>14400</v>
      </c>
      <c r="M460">
        <v>6.7314236111111114</v>
      </c>
      <c r="N460" t="s">
        <v>8</v>
      </c>
      <c r="O460" t="s">
        <v>1329</v>
      </c>
      <c r="P460" t="s">
        <v>29</v>
      </c>
      <c r="Q460" t="s">
        <v>131</v>
      </c>
      <c r="R460" t="s">
        <v>132</v>
      </c>
      <c r="S460" t="s">
        <v>133</v>
      </c>
      <c r="T460" t="s">
        <v>1368</v>
      </c>
      <c r="U460" t="s">
        <v>34</v>
      </c>
      <c r="V460">
        <v>969.32500000000005</v>
      </c>
    </row>
    <row r="461" spans="1:22" x14ac:dyDescent="0.3">
      <c r="A461" t="s">
        <v>1369</v>
      </c>
      <c r="B461" s="2">
        <v>46081</v>
      </c>
      <c r="C461" t="s">
        <v>144</v>
      </c>
      <c r="D461" t="s">
        <v>24</v>
      </c>
      <c r="E461" t="s">
        <v>242</v>
      </c>
      <c r="F461">
        <v>2</v>
      </c>
      <c r="G461">
        <v>0.15</v>
      </c>
      <c r="H461">
        <v>765</v>
      </c>
      <c r="I461">
        <v>132.97999999999999</v>
      </c>
      <c r="J461" t="s">
        <v>26</v>
      </c>
      <c r="K461" t="s">
        <v>40</v>
      </c>
      <c r="L461">
        <v>382.5</v>
      </c>
      <c r="M461">
        <v>17.383006535947711</v>
      </c>
      <c r="N461" t="s">
        <v>8</v>
      </c>
      <c r="O461" t="s">
        <v>145</v>
      </c>
      <c r="P461" t="s">
        <v>83</v>
      </c>
      <c r="Q461" t="s">
        <v>30</v>
      </c>
      <c r="R461" t="s">
        <v>60</v>
      </c>
      <c r="S461" t="s">
        <v>61</v>
      </c>
      <c r="T461" t="s">
        <v>146</v>
      </c>
      <c r="U461" t="s">
        <v>105</v>
      </c>
      <c r="V461">
        <v>66.489999999999995</v>
      </c>
    </row>
    <row r="462" spans="1:22" x14ac:dyDescent="0.3">
      <c r="A462" t="s">
        <v>1370</v>
      </c>
      <c r="B462" s="2">
        <v>46231</v>
      </c>
      <c r="C462" t="s">
        <v>1371</v>
      </c>
      <c r="D462" t="s">
        <v>37</v>
      </c>
      <c r="E462" t="s">
        <v>310</v>
      </c>
      <c r="F462">
        <v>2</v>
      </c>
      <c r="G462">
        <v>0</v>
      </c>
      <c r="H462">
        <v>4400</v>
      </c>
      <c r="I462">
        <v>1500</v>
      </c>
      <c r="J462" t="s">
        <v>51</v>
      </c>
      <c r="K462" t="s">
        <v>40</v>
      </c>
      <c r="L462">
        <v>2200</v>
      </c>
      <c r="M462">
        <v>34.090909090909093</v>
      </c>
      <c r="N462" t="s">
        <v>8</v>
      </c>
      <c r="O462" t="s">
        <v>641</v>
      </c>
      <c r="P462" t="s">
        <v>29</v>
      </c>
      <c r="Q462" t="s">
        <v>131</v>
      </c>
      <c r="R462" t="s">
        <v>200</v>
      </c>
      <c r="S462" t="s">
        <v>201</v>
      </c>
      <c r="T462" t="s">
        <v>1372</v>
      </c>
      <c r="U462" t="s">
        <v>100</v>
      </c>
      <c r="V462">
        <v>750</v>
      </c>
    </row>
    <row r="463" spans="1:22" x14ac:dyDescent="0.3">
      <c r="A463" t="s">
        <v>1373</v>
      </c>
      <c r="B463" s="2">
        <v>45952</v>
      </c>
      <c r="C463" t="s">
        <v>1060</v>
      </c>
      <c r="D463" t="s">
        <v>37</v>
      </c>
      <c r="E463" t="s">
        <v>310</v>
      </c>
      <c r="F463">
        <v>3</v>
      </c>
      <c r="G463">
        <v>0</v>
      </c>
      <c r="H463">
        <v>6600</v>
      </c>
      <c r="I463">
        <v>2250</v>
      </c>
      <c r="J463" t="s">
        <v>65</v>
      </c>
      <c r="K463" t="s">
        <v>40</v>
      </c>
      <c r="L463">
        <v>2200</v>
      </c>
      <c r="M463">
        <v>34.090909090909093</v>
      </c>
      <c r="N463" t="s">
        <v>8</v>
      </c>
      <c r="O463" t="s">
        <v>1061</v>
      </c>
      <c r="P463" t="s">
        <v>73</v>
      </c>
      <c r="Q463" t="s">
        <v>30</v>
      </c>
      <c r="R463" t="s">
        <v>31</v>
      </c>
      <c r="S463" t="s">
        <v>32</v>
      </c>
      <c r="T463" t="s">
        <v>1062</v>
      </c>
      <c r="U463" t="s">
        <v>46</v>
      </c>
      <c r="V463">
        <v>750</v>
      </c>
    </row>
    <row r="464" spans="1:22" x14ac:dyDescent="0.3">
      <c r="A464" t="s">
        <v>1374</v>
      </c>
      <c r="B464" s="2">
        <v>46029</v>
      </c>
      <c r="C464" t="s">
        <v>761</v>
      </c>
      <c r="D464" t="s">
        <v>49</v>
      </c>
      <c r="E464" t="s">
        <v>50</v>
      </c>
      <c r="F464">
        <v>2</v>
      </c>
      <c r="G464">
        <v>0</v>
      </c>
      <c r="H464">
        <v>26000</v>
      </c>
      <c r="I464">
        <v>6400</v>
      </c>
      <c r="J464" t="s">
        <v>39</v>
      </c>
      <c r="K464" t="s">
        <v>40</v>
      </c>
      <c r="L464">
        <v>13000</v>
      </c>
      <c r="M464">
        <v>24.61538461538462</v>
      </c>
      <c r="N464" t="s">
        <v>8</v>
      </c>
      <c r="O464" t="s">
        <v>762</v>
      </c>
      <c r="P464" t="s">
        <v>29</v>
      </c>
      <c r="Q464" t="s">
        <v>131</v>
      </c>
      <c r="R464" t="s">
        <v>132</v>
      </c>
      <c r="S464" t="s">
        <v>133</v>
      </c>
      <c r="T464" t="s">
        <v>763</v>
      </c>
      <c r="U464" t="s">
        <v>105</v>
      </c>
      <c r="V464">
        <v>3200</v>
      </c>
    </row>
    <row r="465" spans="1:22" x14ac:dyDescent="0.3">
      <c r="A465" t="s">
        <v>1375</v>
      </c>
      <c r="B465" s="2">
        <v>46177</v>
      </c>
      <c r="C465" t="s">
        <v>1091</v>
      </c>
      <c r="D465" t="s">
        <v>70</v>
      </c>
      <c r="E465" t="s">
        <v>71</v>
      </c>
      <c r="F465">
        <v>1</v>
      </c>
      <c r="G465">
        <v>0</v>
      </c>
      <c r="H465">
        <v>18000</v>
      </c>
      <c r="I465">
        <v>3500</v>
      </c>
      <c r="J465" t="s">
        <v>39</v>
      </c>
      <c r="K465" t="s">
        <v>40</v>
      </c>
      <c r="L465">
        <v>18000</v>
      </c>
      <c r="M465">
        <v>19.44444444444445</v>
      </c>
      <c r="N465" t="s">
        <v>8</v>
      </c>
      <c r="O465" t="s">
        <v>1018</v>
      </c>
      <c r="P465" t="s">
        <v>83</v>
      </c>
      <c r="Q465" t="s">
        <v>30</v>
      </c>
      <c r="R465" t="s">
        <v>31</v>
      </c>
      <c r="S465" t="s">
        <v>32</v>
      </c>
      <c r="T465" t="s">
        <v>1092</v>
      </c>
      <c r="U465" t="s">
        <v>105</v>
      </c>
      <c r="V465">
        <v>3500</v>
      </c>
    </row>
    <row r="466" spans="1:22" x14ac:dyDescent="0.3">
      <c r="A466" t="s">
        <v>1376</v>
      </c>
      <c r="B466" s="2">
        <v>45937</v>
      </c>
      <c r="C466" t="s">
        <v>1377</v>
      </c>
      <c r="D466" t="s">
        <v>70</v>
      </c>
      <c r="E466" t="s">
        <v>129</v>
      </c>
      <c r="F466">
        <v>1</v>
      </c>
      <c r="G466">
        <v>0.1</v>
      </c>
      <c r="H466">
        <v>49500</v>
      </c>
      <c r="I466">
        <v>5611.4</v>
      </c>
      <c r="J466" t="s">
        <v>26</v>
      </c>
      <c r="K466" t="s">
        <v>40</v>
      </c>
      <c r="L466">
        <v>49500</v>
      </c>
      <c r="M466">
        <v>11.336161616161609</v>
      </c>
      <c r="N466" t="s">
        <v>8</v>
      </c>
      <c r="O466" t="s">
        <v>1378</v>
      </c>
      <c r="P466" t="s">
        <v>29</v>
      </c>
      <c r="Q466" t="s">
        <v>30</v>
      </c>
      <c r="R466" t="s">
        <v>53</v>
      </c>
      <c r="S466" t="s">
        <v>54</v>
      </c>
      <c r="T466" t="s">
        <v>1379</v>
      </c>
      <c r="U466" t="s">
        <v>100</v>
      </c>
      <c r="V466">
        <v>5611.4</v>
      </c>
    </row>
    <row r="467" spans="1:22" x14ac:dyDescent="0.3">
      <c r="A467" t="s">
        <v>1380</v>
      </c>
      <c r="B467" s="2">
        <v>46095</v>
      </c>
      <c r="C467" t="s">
        <v>465</v>
      </c>
      <c r="D467" t="s">
        <v>70</v>
      </c>
      <c r="E467" t="s">
        <v>129</v>
      </c>
      <c r="F467">
        <v>1</v>
      </c>
      <c r="G467">
        <v>0.1</v>
      </c>
      <c r="H467">
        <v>49500</v>
      </c>
      <c r="I467">
        <v>5016.67</v>
      </c>
      <c r="J467" t="s">
        <v>65</v>
      </c>
      <c r="K467" t="s">
        <v>40</v>
      </c>
      <c r="L467">
        <v>49500</v>
      </c>
      <c r="M467">
        <v>10.13468686868687</v>
      </c>
      <c r="N467" t="s">
        <v>8</v>
      </c>
      <c r="O467" t="s">
        <v>362</v>
      </c>
      <c r="P467" t="s">
        <v>29</v>
      </c>
      <c r="Q467" t="s">
        <v>42</v>
      </c>
      <c r="R467" t="s">
        <v>121</v>
      </c>
      <c r="S467" t="s">
        <v>44</v>
      </c>
      <c r="T467" t="s">
        <v>466</v>
      </c>
      <c r="U467" t="s">
        <v>100</v>
      </c>
      <c r="V467">
        <v>5016.67</v>
      </c>
    </row>
    <row r="468" spans="1:22" x14ac:dyDescent="0.3">
      <c r="A468" t="s">
        <v>1381</v>
      </c>
      <c r="B468" s="2">
        <v>46215</v>
      </c>
      <c r="C468" t="s">
        <v>1382</v>
      </c>
      <c r="D468" t="s">
        <v>49</v>
      </c>
      <c r="E468" t="s">
        <v>50</v>
      </c>
      <c r="F468">
        <v>5</v>
      </c>
      <c r="G468">
        <v>0</v>
      </c>
      <c r="H468">
        <v>65000</v>
      </c>
      <c r="I468">
        <v>16000</v>
      </c>
      <c r="J468" t="s">
        <v>65</v>
      </c>
      <c r="K468" t="s">
        <v>27</v>
      </c>
      <c r="L468">
        <v>13000</v>
      </c>
      <c r="M468">
        <v>24.61538461538462</v>
      </c>
      <c r="N468" t="s">
        <v>8</v>
      </c>
      <c r="O468" t="s">
        <v>1383</v>
      </c>
      <c r="P468" t="s">
        <v>83</v>
      </c>
      <c r="Q468" t="s">
        <v>30</v>
      </c>
      <c r="R468" t="s">
        <v>60</v>
      </c>
      <c r="S468" t="s">
        <v>61</v>
      </c>
      <c r="T468" t="s">
        <v>227</v>
      </c>
      <c r="U468" t="s">
        <v>46</v>
      </c>
      <c r="V468">
        <v>3200</v>
      </c>
    </row>
    <row r="469" spans="1:22" x14ac:dyDescent="0.3">
      <c r="A469" t="s">
        <v>1384</v>
      </c>
      <c r="B469" s="2">
        <v>46244</v>
      </c>
      <c r="C469" t="s">
        <v>236</v>
      </c>
      <c r="D469" t="s">
        <v>24</v>
      </c>
      <c r="E469" t="s">
        <v>25</v>
      </c>
      <c r="F469">
        <v>5</v>
      </c>
      <c r="G469">
        <v>0.1</v>
      </c>
      <c r="H469">
        <v>63000</v>
      </c>
      <c r="I469">
        <v>10318.73</v>
      </c>
      <c r="J469" t="s">
        <v>51</v>
      </c>
      <c r="K469" t="s">
        <v>40</v>
      </c>
      <c r="L469">
        <v>12600</v>
      </c>
      <c r="M469">
        <v>16.378936507936501</v>
      </c>
      <c r="N469" t="s">
        <v>8</v>
      </c>
      <c r="O469" t="s">
        <v>179</v>
      </c>
      <c r="P469" t="s">
        <v>29</v>
      </c>
      <c r="Q469" t="s">
        <v>74</v>
      </c>
      <c r="R469" t="s">
        <v>237</v>
      </c>
      <c r="S469" t="s">
        <v>238</v>
      </c>
      <c r="T469" t="s">
        <v>239</v>
      </c>
      <c r="U469" t="s">
        <v>34</v>
      </c>
      <c r="V469">
        <v>2063.7460000000001</v>
      </c>
    </row>
    <row r="470" spans="1:22" x14ac:dyDescent="0.3">
      <c r="A470" t="s">
        <v>1385</v>
      </c>
      <c r="B470" s="2">
        <v>46050</v>
      </c>
      <c r="C470" t="s">
        <v>729</v>
      </c>
      <c r="D470" t="s">
        <v>24</v>
      </c>
      <c r="E470" t="s">
        <v>242</v>
      </c>
      <c r="F470">
        <v>5</v>
      </c>
      <c r="G470">
        <v>0.1</v>
      </c>
      <c r="H470">
        <v>2025</v>
      </c>
      <c r="I470">
        <v>419.86</v>
      </c>
      <c r="J470" t="s">
        <v>51</v>
      </c>
      <c r="K470" t="s">
        <v>40</v>
      </c>
      <c r="L470">
        <v>405</v>
      </c>
      <c r="M470">
        <v>20.733827160493831</v>
      </c>
      <c r="N470" t="s">
        <v>8</v>
      </c>
      <c r="O470" t="s">
        <v>730</v>
      </c>
      <c r="P470" t="s">
        <v>73</v>
      </c>
      <c r="Q470" t="s">
        <v>30</v>
      </c>
      <c r="R470" t="s">
        <v>31</v>
      </c>
      <c r="S470" t="s">
        <v>32</v>
      </c>
      <c r="T470" t="s">
        <v>215</v>
      </c>
      <c r="U470" t="s">
        <v>100</v>
      </c>
      <c r="V470">
        <v>83.972000000000008</v>
      </c>
    </row>
    <row r="471" spans="1:22" x14ac:dyDescent="0.3">
      <c r="A471" t="s">
        <v>1386</v>
      </c>
      <c r="B471" s="2">
        <v>46008</v>
      </c>
      <c r="C471" t="s">
        <v>1387</v>
      </c>
      <c r="D471" t="s">
        <v>49</v>
      </c>
      <c r="E471" t="s">
        <v>50</v>
      </c>
      <c r="F471">
        <v>1</v>
      </c>
      <c r="G471">
        <v>0.1</v>
      </c>
      <c r="H471">
        <v>11700</v>
      </c>
      <c r="I471">
        <v>2344.5100000000002</v>
      </c>
      <c r="J471" t="s">
        <v>51</v>
      </c>
      <c r="K471" t="s">
        <v>1388</v>
      </c>
      <c r="L471">
        <v>11700</v>
      </c>
      <c r="M471">
        <v>20.03854700854701</v>
      </c>
      <c r="N471" t="s">
        <v>8</v>
      </c>
      <c r="O471" t="s">
        <v>482</v>
      </c>
      <c r="P471" t="s">
        <v>29</v>
      </c>
      <c r="Q471" t="s">
        <v>131</v>
      </c>
      <c r="R471" t="s">
        <v>200</v>
      </c>
      <c r="S471" t="s">
        <v>201</v>
      </c>
      <c r="T471" t="s">
        <v>1389</v>
      </c>
      <c r="U471" t="s">
        <v>34</v>
      </c>
      <c r="V471">
        <v>2344.5100000000002</v>
      </c>
    </row>
    <row r="472" spans="1:22" x14ac:dyDescent="0.3">
      <c r="A472" t="s">
        <v>1390</v>
      </c>
      <c r="B472" s="2">
        <v>46174</v>
      </c>
      <c r="C472" t="s">
        <v>1391</v>
      </c>
      <c r="D472" t="s">
        <v>37</v>
      </c>
      <c r="E472" t="s">
        <v>310</v>
      </c>
      <c r="F472">
        <v>4</v>
      </c>
      <c r="G472">
        <v>0.1</v>
      </c>
      <c r="H472">
        <v>7920</v>
      </c>
      <c r="I472">
        <v>2574.15</v>
      </c>
      <c r="J472" t="s">
        <v>39</v>
      </c>
      <c r="K472" t="s">
        <v>40</v>
      </c>
      <c r="L472">
        <v>1980</v>
      </c>
      <c r="M472">
        <v>32.501893939393938</v>
      </c>
      <c r="N472" t="s">
        <v>8</v>
      </c>
      <c r="O472" t="s">
        <v>844</v>
      </c>
      <c r="P472" t="s">
        <v>29</v>
      </c>
      <c r="Q472" t="s">
        <v>30</v>
      </c>
      <c r="R472" t="s">
        <v>60</v>
      </c>
      <c r="S472" t="s">
        <v>61</v>
      </c>
      <c r="T472" t="s">
        <v>1392</v>
      </c>
      <c r="U472" t="s">
        <v>34</v>
      </c>
      <c r="V472">
        <v>643.53750000000002</v>
      </c>
    </row>
    <row r="473" spans="1:22" x14ac:dyDescent="0.3">
      <c r="A473" t="s">
        <v>1393</v>
      </c>
      <c r="B473" s="2">
        <v>45992</v>
      </c>
      <c r="C473" t="s">
        <v>606</v>
      </c>
      <c r="D473" t="s">
        <v>24</v>
      </c>
      <c r="E473" t="s">
        <v>92</v>
      </c>
      <c r="F473">
        <v>1</v>
      </c>
      <c r="G473">
        <v>0</v>
      </c>
      <c r="H473">
        <v>900</v>
      </c>
      <c r="I473">
        <v>280</v>
      </c>
      <c r="J473" t="s">
        <v>26</v>
      </c>
      <c r="K473" t="s">
        <v>40</v>
      </c>
      <c r="L473">
        <v>900</v>
      </c>
      <c r="M473">
        <v>31.111111111111111</v>
      </c>
      <c r="N473" t="s">
        <v>8</v>
      </c>
      <c r="O473" t="s">
        <v>607</v>
      </c>
      <c r="P473" t="s">
        <v>83</v>
      </c>
      <c r="Q473" t="s">
        <v>74</v>
      </c>
      <c r="R473" t="s">
        <v>115</v>
      </c>
      <c r="S473" t="s">
        <v>115</v>
      </c>
      <c r="T473" t="s">
        <v>608</v>
      </c>
      <c r="U473" t="s">
        <v>100</v>
      </c>
      <c r="V473">
        <v>280</v>
      </c>
    </row>
    <row r="474" spans="1:22" x14ac:dyDescent="0.3">
      <c r="A474" t="s">
        <v>1394</v>
      </c>
      <c r="B474" s="2">
        <v>46200</v>
      </c>
      <c r="C474" t="s">
        <v>313</v>
      </c>
      <c r="D474" t="s">
        <v>37</v>
      </c>
      <c r="E474" t="s">
        <v>190</v>
      </c>
      <c r="F474">
        <v>10</v>
      </c>
      <c r="G474">
        <v>0.05</v>
      </c>
      <c r="H474">
        <v>39900</v>
      </c>
      <c r="I474">
        <v>10531.78</v>
      </c>
      <c r="J474" t="s">
        <v>39</v>
      </c>
      <c r="K474" t="s">
        <v>40</v>
      </c>
      <c r="L474">
        <v>3990</v>
      </c>
      <c r="M474">
        <v>26.395438596491228</v>
      </c>
      <c r="N474" t="s">
        <v>8</v>
      </c>
      <c r="O474" t="s">
        <v>314</v>
      </c>
      <c r="P474" t="s">
        <v>29</v>
      </c>
      <c r="Q474" t="s">
        <v>30</v>
      </c>
      <c r="R474" t="s">
        <v>98</v>
      </c>
      <c r="S474" t="s">
        <v>54</v>
      </c>
      <c r="T474" t="s">
        <v>315</v>
      </c>
      <c r="U474" t="s">
        <v>100</v>
      </c>
      <c r="V474">
        <v>1053.1780000000001</v>
      </c>
    </row>
    <row r="475" spans="1:22" x14ac:dyDescent="0.3">
      <c r="A475" t="s">
        <v>1395</v>
      </c>
      <c r="B475" s="2">
        <v>46100</v>
      </c>
      <c r="C475" t="s">
        <v>1304</v>
      </c>
      <c r="D475" t="s">
        <v>70</v>
      </c>
      <c r="E475" t="s">
        <v>71</v>
      </c>
      <c r="F475">
        <v>3</v>
      </c>
      <c r="G475">
        <v>0.05</v>
      </c>
      <c r="H475">
        <v>51300</v>
      </c>
      <c r="I475">
        <v>8936.11</v>
      </c>
      <c r="J475" t="s">
        <v>65</v>
      </c>
      <c r="K475" t="s">
        <v>40</v>
      </c>
      <c r="L475">
        <v>17100</v>
      </c>
      <c r="M475">
        <v>17.41931773879142</v>
      </c>
      <c r="N475" t="s">
        <v>8</v>
      </c>
      <c r="O475" t="s">
        <v>1305</v>
      </c>
      <c r="P475" t="s">
        <v>29</v>
      </c>
      <c r="Q475" t="s">
        <v>30</v>
      </c>
      <c r="R475" t="s">
        <v>53</v>
      </c>
      <c r="S475" t="s">
        <v>54</v>
      </c>
      <c r="T475" t="s">
        <v>1306</v>
      </c>
      <c r="U475" t="s">
        <v>34</v>
      </c>
      <c r="V475">
        <v>2978.7033333333329</v>
      </c>
    </row>
    <row r="476" spans="1:22" x14ac:dyDescent="0.3">
      <c r="A476" t="s">
        <v>1396</v>
      </c>
      <c r="B476" s="2">
        <v>46115</v>
      </c>
      <c r="C476" t="s">
        <v>614</v>
      </c>
      <c r="D476" t="s">
        <v>49</v>
      </c>
      <c r="E476" t="s">
        <v>50</v>
      </c>
      <c r="F476">
        <v>5</v>
      </c>
      <c r="G476">
        <v>0.05</v>
      </c>
      <c r="H476">
        <v>61750</v>
      </c>
      <c r="I476">
        <v>13423.6</v>
      </c>
      <c r="J476" t="s">
        <v>39</v>
      </c>
      <c r="K476" t="s">
        <v>40</v>
      </c>
      <c r="L476">
        <v>12350</v>
      </c>
      <c r="M476">
        <v>21.738623481781381</v>
      </c>
      <c r="N476" t="s">
        <v>8</v>
      </c>
      <c r="O476" t="s">
        <v>259</v>
      </c>
      <c r="P476" t="s">
        <v>29</v>
      </c>
      <c r="Q476" t="s">
        <v>74</v>
      </c>
      <c r="R476" t="s">
        <v>75</v>
      </c>
      <c r="S476" t="s">
        <v>75</v>
      </c>
      <c r="T476" t="s">
        <v>615</v>
      </c>
      <c r="U476" t="s">
        <v>100</v>
      </c>
      <c r="V476">
        <v>2684.72</v>
      </c>
    </row>
    <row r="477" spans="1:22" x14ac:dyDescent="0.3">
      <c r="A477" t="s">
        <v>1397</v>
      </c>
      <c r="B477" s="2">
        <v>45983</v>
      </c>
      <c r="C477" t="s">
        <v>1398</v>
      </c>
      <c r="D477" t="s">
        <v>49</v>
      </c>
      <c r="E477" t="s">
        <v>119</v>
      </c>
      <c r="F477">
        <v>1</v>
      </c>
      <c r="G477">
        <v>0.1</v>
      </c>
      <c r="H477">
        <v>8100</v>
      </c>
      <c r="I477">
        <v>1878.32</v>
      </c>
      <c r="J477" t="s">
        <v>39</v>
      </c>
      <c r="K477" t="s">
        <v>40</v>
      </c>
      <c r="L477">
        <v>8100</v>
      </c>
      <c r="M477">
        <v>23.189135802469131</v>
      </c>
      <c r="N477" t="s">
        <v>8</v>
      </c>
      <c r="O477" t="s">
        <v>153</v>
      </c>
      <c r="P477" t="s">
        <v>83</v>
      </c>
      <c r="Q477" t="s">
        <v>30</v>
      </c>
      <c r="R477" t="s">
        <v>53</v>
      </c>
      <c r="S477" t="s">
        <v>54</v>
      </c>
      <c r="T477" t="s">
        <v>734</v>
      </c>
      <c r="U477" t="s">
        <v>46</v>
      </c>
      <c r="V477">
        <v>1878.32</v>
      </c>
    </row>
    <row r="478" spans="1:22" x14ac:dyDescent="0.3">
      <c r="A478" t="s">
        <v>1399</v>
      </c>
      <c r="B478" s="2">
        <v>46057</v>
      </c>
      <c r="C478" t="s">
        <v>351</v>
      </c>
      <c r="D478" t="s">
        <v>24</v>
      </c>
      <c r="E478" t="s">
        <v>242</v>
      </c>
      <c r="F478">
        <v>4</v>
      </c>
      <c r="G478">
        <v>0</v>
      </c>
      <c r="H478">
        <v>1800</v>
      </c>
      <c r="I478">
        <v>440</v>
      </c>
      <c r="J478" t="s">
        <v>65</v>
      </c>
      <c r="K478" t="s">
        <v>27</v>
      </c>
      <c r="L478">
        <v>450</v>
      </c>
      <c r="M478">
        <v>24.444444444444439</v>
      </c>
      <c r="N478" t="s">
        <v>8</v>
      </c>
      <c r="O478" t="s">
        <v>352</v>
      </c>
      <c r="P478" t="s">
        <v>73</v>
      </c>
      <c r="Q478" t="s">
        <v>30</v>
      </c>
      <c r="R478" t="s">
        <v>31</v>
      </c>
      <c r="S478" t="s">
        <v>32</v>
      </c>
      <c r="T478" t="s">
        <v>338</v>
      </c>
      <c r="U478" t="s">
        <v>100</v>
      </c>
      <c r="V478">
        <v>110</v>
      </c>
    </row>
    <row r="479" spans="1:22" x14ac:dyDescent="0.3">
      <c r="A479" t="s">
        <v>1400</v>
      </c>
      <c r="B479" s="2">
        <v>45895</v>
      </c>
      <c r="C479" t="s">
        <v>577</v>
      </c>
      <c r="D479" t="s">
        <v>70</v>
      </c>
      <c r="E479" t="s">
        <v>165</v>
      </c>
      <c r="F479">
        <v>6</v>
      </c>
      <c r="G479">
        <v>0.05</v>
      </c>
      <c r="H479">
        <v>14250</v>
      </c>
      <c r="I479">
        <v>4256.16</v>
      </c>
      <c r="J479" t="s">
        <v>51</v>
      </c>
      <c r="K479" t="s">
        <v>40</v>
      </c>
      <c r="L479">
        <v>2375</v>
      </c>
      <c r="M479">
        <v>29.867789473684208</v>
      </c>
      <c r="N479" t="s">
        <v>8</v>
      </c>
      <c r="O479" t="s">
        <v>578</v>
      </c>
      <c r="P479" t="s">
        <v>73</v>
      </c>
      <c r="Q479" t="s">
        <v>30</v>
      </c>
      <c r="R479" t="s">
        <v>98</v>
      </c>
      <c r="S479" t="s">
        <v>54</v>
      </c>
      <c r="T479" t="s">
        <v>579</v>
      </c>
      <c r="U479" t="s">
        <v>46</v>
      </c>
      <c r="V479">
        <v>709.36</v>
      </c>
    </row>
    <row r="480" spans="1:22" x14ac:dyDescent="0.3">
      <c r="A480" t="s">
        <v>1401</v>
      </c>
      <c r="B480" s="2">
        <v>46180</v>
      </c>
      <c r="C480" t="s">
        <v>1097</v>
      </c>
      <c r="D480" t="s">
        <v>37</v>
      </c>
      <c r="E480" t="s">
        <v>190</v>
      </c>
      <c r="F480">
        <v>1</v>
      </c>
      <c r="G480">
        <v>0.2</v>
      </c>
      <c r="H480">
        <v>3360</v>
      </c>
      <c r="I480">
        <v>788.8</v>
      </c>
      <c r="J480" t="s">
        <v>51</v>
      </c>
      <c r="K480" t="s">
        <v>40</v>
      </c>
      <c r="L480">
        <v>3360</v>
      </c>
      <c r="M480">
        <v>23.476190476190471</v>
      </c>
      <c r="N480" t="s">
        <v>8</v>
      </c>
      <c r="O480" t="s">
        <v>1098</v>
      </c>
      <c r="P480" t="s">
        <v>73</v>
      </c>
      <c r="Q480" t="s">
        <v>74</v>
      </c>
      <c r="R480" t="s">
        <v>237</v>
      </c>
      <c r="S480" t="s">
        <v>238</v>
      </c>
      <c r="T480" t="s">
        <v>1099</v>
      </c>
      <c r="U480" t="s">
        <v>34</v>
      </c>
      <c r="V480">
        <v>788.8</v>
      </c>
    </row>
    <row r="481" spans="1:22" x14ac:dyDescent="0.3">
      <c r="A481" t="s">
        <v>1402</v>
      </c>
      <c r="B481" s="2">
        <v>46038</v>
      </c>
      <c r="C481" t="s">
        <v>1403</v>
      </c>
      <c r="D481" t="s">
        <v>24</v>
      </c>
      <c r="E481" t="s">
        <v>87</v>
      </c>
      <c r="F481">
        <v>2</v>
      </c>
      <c r="G481">
        <v>0</v>
      </c>
      <c r="H481">
        <v>700</v>
      </c>
      <c r="I481">
        <v>240</v>
      </c>
      <c r="J481" t="s">
        <v>26</v>
      </c>
      <c r="K481" t="s">
        <v>40</v>
      </c>
      <c r="L481">
        <v>350</v>
      </c>
      <c r="M481">
        <v>34.285714285714278</v>
      </c>
      <c r="N481" t="s">
        <v>8</v>
      </c>
      <c r="O481" t="s">
        <v>723</v>
      </c>
      <c r="P481" t="s">
        <v>73</v>
      </c>
      <c r="Q481" t="s">
        <v>42</v>
      </c>
      <c r="R481" t="s">
        <v>43</v>
      </c>
      <c r="S481" t="s">
        <v>44</v>
      </c>
      <c r="T481" t="s">
        <v>1404</v>
      </c>
      <c r="U481" t="s">
        <v>46</v>
      </c>
      <c r="V481">
        <v>120</v>
      </c>
    </row>
    <row r="482" spans="1:22" x14ac:dyDescent="0.3">
      <c r="A482" t="s">
        <v>1405</v>
      </c>
      <c r="B482" s="2">
        <v>46211</v>
      </c>
      <c r="C482" t="s">
        <v>1289</v>
      </c>
      <c r="D482" t="s">
        <v>70</v>
      </c>
      <c r="E482" t="s">
        <v>71</v>
      </c>
      <c r="F482">
        <v>1</v>
      </c>
      <c r="G482">
        <v>0.1</v>
      </c>
      <c r="H482">
        <v>16200</v>
      </c>
      <c r="I482">
        <v>-8142.82</v>
      </c>
      <c r="J482" t="s">
        <v>65</v>
      </c>
      <c r="K482" t="s">
        <v>434</v>
      </c>
      <c r="L482">
        <v>16200</v>
      </c>
      <c r="M482">
        <v>-50.264320987654322</v>
      </c>
      <c r="N482" t="s">
        <v>81</v>
      </c>
      <c r="O482" t="s">
        <v>879</v>
      </c>
      <c r="P482" t="s">
        <v>83</v>
      </c>
      <c r="Q482" t="s">
        <v>30</v>
      </c>
      <c r="R482" t="s">
        <v>493</v>
      </c>
      <c r="S482" t="s">
        <v>494</v>
      </c>
      <c r="T482" t="s">
        <v>1290</v>
      </c>
      <c r="U482" t="s">
        <v>34</v>
      </c>
      <c r="V482">
        <v>-8142.82</v>
      </c>
    </row>
    <row r="483" spans="1:22" x14ac:dyDescent="0.3">
      <c r="A483" t="s">
        <v>1406</v>
      </c>
      <c r="B483" s="2">
        <v>45885</v>
      </c>
      <c r="C483" t="s">
        <v>348</v>
      </c>
      <c r="D483" t="s">
        <v>49</v>
      </c>
      <c r="E483" t="s">
        <v>79</v>
      </c>
      <c r="F483">
        <v>4</v>
      </c>
      <c r="G483">
        <v>0</v>
      </c>
      <c r="H483">
        <v>44000</v>
      </c>
      <c r="I483">
        <v>10400</v>
      </c>
      <c r="J483" t="s">
        <v>51</v>
      </c>
      <c r="K483" t="s">
        <v>40</v>
      </c>
      <c r="L483">
        <v>11000</v>
      </c>
      <c r="M483">
        <v>23.63636363636364</v>
      </c>
      <c r="N483" t="s">
        <v>8</v>
      </c>
      <c r="O483" t="s">
        <v>349</v>
      </c>
      <c r="P483" t="s">
        <v>83</v>
      </c>
      <c r="Q483" t="s">
        <v>30</v>
      </c>
      <c r="R483" t="s">
        <v>31</v>
      </c>
      <c r="S483" t="s">
        <v>32</v>
      </c>
      <c r="T483" t="s">
        <v>307</v>
      </c>
      <c r="U483" t="s">
        <v>100</v>
      </c>
      <c r="V483">
        <v>2600</v>
      </c>
    </row>
    <row r="484" spans="1:22" x14ac:dyDescent="0.3">
      <c r="A484" t="s">
        <v>1407</v>
      </c>
      <c r="B484" s="2">
        <v>45858</v>
      </c>
      <c r="C484" t="s">
        <v>1181</v>
      </c>
      <c r="D484" t="s">
        <v>70</v>
      </c>
      <c r="E484" t="s">
        <v>129</v>
      </c>
      <c r="F484">
        <v>3</v>
      </c>
      <c r="G484">
        <v>0.05</v>
      </c>
      <c r="H484">
        <v>156750</v>
      </c>
      <c r="I484">
        <v>21231.32</v>
      </c>
      <c r="J484" t="s">
        <v>51</v>
      </c>
      <c r="K484" t="s">
        <v>40</v>
      </c>
      <c r="L484">
        <v>52250</v>
      </c>
      <c r="M484">
        <v>13.54470175438597</v>
      </c>
      <c r="N484" t="s">
        <v>8</v>
      </c>
      <c r="O484" t="s">
        <v>1182</v>
      </c>
      <c r="P484" t="s">
        <v>29</v>
      </c>
      <c r="Q484" t="s">
        <v>30</v>
      </c>
      <c r="R484" t="s">
        <v>31</v>
      </c>
      <c r="S484" t="s">
        <v>32</v>
      </c>
      <c r="T484" t="s">
        <v>206</v>
      </c>
      <c r="U484" t="s">
        <v>46</v>
      </c>
      <c r="V484">
        <v>7077.1066666666666</v>
      </c>
    </row>
    <row r="485" spans="1:22" x14ac:dyDescent="0.3">
      <c r="A485" t="s">
        <v>1408</v>
      </c>
      <c r="B485" s="2">
        <v>46196</v>
      </c>
      <c r="C485" t="s">
        <v>1391</v>
      </c>
      <c r="D485" t="s">
        <v>70</v>
      </c>
      <c r="E485" t="s">
        <v>129</v>
      </c>
      <c r="F485">
        <v>15</v>
      </c>
      <c r="G485">
        <v>0.05</v>
      </c>
      <c r="H485">
        <v>783750</v>
      </c>
      <c r="I485">
        <v>110045.41</v>
      </c>
      <c r="J485" t="s">
        <v>65</v>
      </c>
      <c r="K485" t="s">
        <v>40</v>
      </c>
      <c r="L485">
        <v>52250</v>
      </c>
      <c r="M485">
        <v>14.040881658692189</v>
      </c>
      <c r="N485" t="s">
        <v>8</v>
      </c>
      <c r="O485" t="s">
        <v>844</v>
      </c>
      <c r="P485" t="s">
        <v>29</v>
      </c>
      <c r="Q485" t="s">
        <v>30</v>
      </c>
      <c r="R485" t="s">
        <v>60</v>
      </c>
      <c r="S485" t="s">
        <v>61</v>
      </c>
      <c r="T485" t="s">
        <v>1392</v>
      </c>
      <c r="U485" t="s">
        <v>34</v>
      </c>
      <c r="V485">
        <v>7336.3606666666656</v>
      </c>
    </row>
    <row r="486" spans="1:22" x14ac:dyDescent="0.3">
      <c r="A486" t="s">
        <v>1409</v>
      </c>
      <c r="B486" s="2">
        <v>45890</v>
      </c>
      <c r="C486" t="s">
        <v>1410</v>
      </c>
      <c r="D486" t="s">
        <v>49</v>
      </c>
      <c r="E486" t="s">
        <v>58</v>
      </c>
      <c r="F486">
        <v>2</v>
      </c>
      <c r="G486">
        <v>0.05</v>
      </c>
      <c r="H486">
        <v>28500</v>
      </c>
      <c r="I486">
        <v>6031.46</v>
      </c>
      <c r="J486" t="s">
        <v>39</v>
      </c>
      <c r="K486" t="s">
        <v>40</v>
      </c>
      <c r="L486">
        <v>14250</v>
      </c>
      <c r="M486">
        <v>21.163017543859649</v>
      </c>
      <c r="N486" t="s">
        <v>8</v>
      </c>
      <c r="O486" t="s">
        <v>995</v>
      </c>
      <c r="P486" t="s">
        <v>73</v>
      </c>
      <c r="Q486" t="s">
        <v>30</v>
      </c>
      <c r="R486" t="s">
        <v>60</v>
      </c>
      <c r="S486" t="s">
        <v>61</v>
      </c>
      <c r="T486" t="s">
        <v>1411</v>
      </c>
      <c r="U486" t="s">
        <v>34</v>
      </c>
      <c r="V486">
        <v>3015.73</v>
      </c>
    </row>
    <row r="487" spans="1:22" x14ac:dyDescent="0.3">
      <c r="A487" t="s">
        <v>1412</v>
      </c>
      <c r="B487" s="2">
        <v>46137</v>
      </c>
      <c r="C487" t="s">
        <v>801</v>
      </c>
      <c r="D487" t="s">
        <v>37</v>
      </c>
      <c r="E487" t="s">
        <v>38</v>
      </c>
      <c r="F487">
        <v>5</v>
      </c>
      <c r="G487">
        <v>0.15</v>
      </c>
      <c r="H487">
        <v>7650</v>
      </c>
      <c r="I487">
        <v>2103.88</v>
      </c>
      <c r="J487" t="s">
        <v>26</v>
      </c>
      <c r="K487" t="s">
        <v>40</v>
      </c>
      <c r="L487">
        <v>1530</v>
      </c>
      <c r="M487">
        <v>27.501699346405228</v>
      </c>
      <c r="N487" t="s">
        <v>8</v>
      </c>
      <c r="O487" t="s">
        <v>478</v>
      </c>
      <c r="P487" t="s">
        <v>29</v>
      </c>
      <c r="Q487" t="s">
        <v>30</v>
      </c>
      <c r="R487" t="s">
        <v>98</v>
      </c>
      <c r="S487" t="s">
        <v>54</v>
      </c>
      <c r="T487" t="s">
        <v>802</v>
      </c>
      <c r="U487" t="s">
        <v>34</v>
      </c>
      <c r="V487">
        <v>420.77600000000001</v>
      </c>
    </row>
    <row r="488" spans="1:22" x14ac:dyDescent="0.3">
      <c r="A488" t="s">
        <v>1413</v>
      </c>
      <c r="B488" s="2">
        <v>46254</v>
      </c>
      <c r="C488" t="s">
        <v>1414</v>
      </c>
      <c r="D488" t="s">
        <v>70</v>
      </c>
      <c r="E488" t="s">
        <v>129</v>
      </c>
      <c r="F488">
        <v>4</v>
      </c>
      <c r="G488">
        <v>0</v>
      </c>
      <c r="H488">
        <v>220000</v>
      </c>
      <c r="I488">
        <v>36000</v>
      </c>
      <c r="J488" t="s">
        <v>39</v>
      </c>
      <c r="K488" t="s">
        <v>40</v>
      </c>
      <c r="L488">
        <v>55000</v>
      </c>
      <c r="M488">
        <v>16.36363636363636</v>
      </c>
      <c r="N488" t="s">
        <v>8</v>
      </c>
      <c r="O488" t="s">
        <v>166</v>
      </c>
      <c r="P488" t="s">
        <v>29</v>
      </c>
      <c r="Q488" t="s">
        <v>30</v>
      </c>
      <c r="R488" t="s">
        <v>31</v>
      </c>
      <c r="S488" t="s">
        <v>32</v>
      </c>
      <c r="T488" t="s">
        <v>1415</v>
      </c>
      <c r="U488" t="s">
        <v>46</v>
      </c>
      <c r="V488">
        <v>9000</v>
      </c>
    </row>
    <row r="489" spans="1:22" x14ac:dyDescent="0.3">
      <c r="A489" t="s">
        <v>1416</v>
      </c>
      <c r="B489" s="2">
        <v>46078</v>
      </c>
      <c r="C489" t="s">
        <v>1417</v>
      </c>
      <c r="D489" t="s">
        <v>70</v>
      </c>
      <c r="E489" t="s">
        <v>108</v>
      </c>
      <c r="F489">
        <v>3</v>
      </c>
      <c r="G489">
        <v>0</v>
      </c>
      <c r="H489">
        <v>13500</v>
      </c>
      <c r="I489">
        <v>4500</v>
      </c>
      <c r="J489" t="s">
        <v>26</v>
      </c>
      <c r="K489" t="s">
        <v>27</v>
      </c>
      <c r="L489">
        <v>4500</v>
      </c>
      <c r="M489">
        <v>33.333333333333329</v>
      </c>
      <c r="N489" t="s">
        <v>8</v>
      </c>
      <c r="O489" t="s">
        <v>448</v>
      </c>
      <c r="P489" t="s">
        <v>83</v>
      </c>
      <c r="Q489" t="s">
        <v>131</v>
      </c>
      <c r="R489" t="s">
        <v>449</v>
      </c>
      <c r="S489" t="s">
        <v>450</v>
      </c>
      <c r="T489" t="s">
        <v>1418</v>
      </c>
      <c r="U489" t="s">
        <v>34</v>
      </c>
      <c r="V489">
        <v>1500</v>
      </c>
    </row>
    <row r="490" spans="1:22" x14ac:dyDescent="0.3">
      <c r="A490" t="s">
        <v>1419</v>
      </c>
      <c r="B490" s="2">
        <v>46060</v>
      </c>
      <c r="C490" t="s">
        <v>1420</v>
      </c>
      <c r="D490" t="s">
        <v>37</v>
      </c>
      <c r="E490" t="s">
        <v>190</v>
      </c>
      <c r="F490">
        <v>3</v>
      </c>
      <c r="G490">
        <v>0.1</v>
      </c>
      <c r="H490">
        <v>11340</v>
      </c>
      <c r="I490">
        <v>2782.79</v>
      </c>
      <c r="J490" t="s">
        <v>65</v>
      </c>
      <c r="K490" t="s">
        <v>40</v>
      </c>
      <c r="L490">
        <v>3780</v>
      </c>
      <c r="M490">
        <v>24.53959435626102</v>
      </c>
      <c r="N490" t="s">
        <v>8</v>
      </c>
      <c r="O490" t="s">
        <v>369</v>
      </c>
      <c r="P490" t="s">
        <v>73</v>
      </c>
      <c r="Q490" t="s">
        <v>30</v>
      </c>
      <c r="R490" t="s">
        <v>98</v>
      </c>
      <c r="S490" t="s">
        <v>54</v>
      </c>
      <c r="T490" t="s">
        <v>1421</v>
      </c>
      <c r="U490" t="s">
        <v>46</v>
      </c>
      <c r="V490">
        <v>927.59666666666669</v>
      </c>
    </row>
    <row r="491" spans="1:22" x14ac:dyDescent="0.3">
      <c r="A491" t="s">
        <v>1422</v>
      </c>
      <c r="B491" s="2">
        <v>45867</v>
      </c>
      <c r="C491" t="s">
        <v>1423</v>
      </c>
      <c r="D491" t="s">
        <v>70</v>
      </c>
      <c r="E491" t="s">
        <v>108</v>
      </c>
      <c r="F491">
        <v>1</v>
      </c>
      <c r="G491">
        <v>0.05</v>
      </c>
      <c r="H491">
        <v>4275</v>
      </c>
      <c r="I491">
        <v>-1020.33</v>
      </c>
      <c r="J491" t="s">
        <v>26</v>
      </c>
      <c r="K491" t="s">
        <v>80</v>
      </c>
      <c r="L491">
        <v>4275</v>
      </c>
      <c r="M491">
        <v>-23.867368421052628</v>
      </c>
      <c r="N491" t="s">
        <v>81</v>
      </c>
      <c r="O491" t="s">
        <v>1424</v>
      </c>
      <c r="P491" t="s">
        <v>29</v>
      </c>
      <c r="Q491" t="s">
        <v>74</v>
      </c>
      <c r="R491" t="s">
        <v>75</v>
      </c>
      <c r="S491" t="s">
        <v>75</v>
      </c>
      <c r="T491" t="s">
        <v>1425</v>
      </c>
      <c r="U491" t="s">
        <v>34</v>
      </c>
      <c r="V491">
        <v>-1020.33</v>
      </c>
    </row>
    <row r="492" spans="1:22" x14ac:dyDescent="0.3">
      <c r="A492" t="s">
        <v>1426</v>
      </c>
      <c r="B492" s="2">
        <v>45908</v>
      </c>
      <c r="C492" t="s">
        <v>1427</v>
      </c>
      <c r="D492" t="s">
        <v>70</v>
      </c>
      <c r="E492" t="s">
        <v>129</v>
      </c>
      <c r="F492">
        <v>2</v>
      </c>
      <c r="G492">
        <v>0.15</v>
      </c>
      <c r="H492">
        <v>93500</v>
      </c>
      <c r="I492">
        <v>10020.549999999999</v>
      </c>
      <c r="J492" t="s">
        <v>26</v>
      </c>
      <c r="K492" t="s">
        <v>40</v>
      </c>
      <c r="L492">
        <v>46750</v>
      </c>
      <c r="M492">
        <v>10.717165775401069</v>
      </c>
      <c r="N492" t="s">
        <v>8</v>
      </c>
      <c r="O492" t="s">
        <v>1102</v>
      </c>
      <c r="P492" t="s">
        <v>83</v>
      </c>
      <c r="Q492" t="s">
        <v>74</v>
      </c>
      <c r="R492" t="s">
        <v>493</v>
      </c>
      <c r="S492" t="s">
        <v>494</v>
      </c>
      <c r="T492" t="s">
        <v>1428</v>
      </c>
      <c r="U492" t="s">
        <v>46</v>
      </c>
      <c r="V492">
        <v>5010.2749999999996</v>
      </c>
    </row>
    <row r="493" spans="1:22" x14ac:dyDescent="0.3">
      <c r="A493" t="s">
        <v>1429</v>
      </c>
      <c r="B493" s="2">
        <v>46010</v>
      </c>
      <c r="C493" t="s">
        <v>1036</v>
      </c>
      <c r="D493" t="s">
        <v>24</v>
      </c>
      <c r="E493" t="s">
        <v>87</v>
      </c>
      <c r="F493">
        <v>2</v>
      </c>
      <c r="G493">
        <v>0.3</v>
      </c>
      <c r="H493">
        <v>490</v>
      </c>
      <c r="I493">
        <v>79.349999999999994</v>
      </c>
      <c r="J493" t="s">
        <v>39</v>
      </c>
      <c r="K493" t="s">
        <v>40</v>
      </c>
      <c r="L493">
        <v>245</v>
      </c>
      <c r="M493">
        <v>16.19387755102041</v>
      </c>
      <c r="N493" t="s">
        <v>8</v>
      </c>
      <c r="O493" t="s">
        <v>149</v>
      </c>
      <c r="P493" t="s">
        <v>83</v>
      </c>
      <c r="Q493" t="s">
        <v>30</v>
      </c>
      <c r="R493" t="s">
        <v>53</v>
      </c>
      <c r="S493" t="s">
        <v>54</v>
      </c>
      <c r="T493" t="s">
        <v>1037</v>
      </c>
      <c r="U493" t="s">
        <v>46</v>
      </c>
      <c r="V493">
        <v>39.674999999999997</v>
      </c>
    </row>
    <row r="494" spans="1:22" x14ac:dyDescent="0.3">
      <c r="A494" t="s">
        <v>1430</v>
      </c>
      <c r="B494" s="2">
        <v>46053</v>
      </c>
      <c r="C494" t="s">
        <v>1297</v>
      </c>
      <c r="D494" t="s">
        <v>49</v>
      </c>
      <c r="E494" t="s">
        <v>58</v>
      </c>
      <c r="F494">
        <v>3</v>
      </c>
      <c r="G494">
        <v>0.05</v>
      </c>
      <c r="H494">
        <v>42750</v>
      </c>
      <c r="I494">
        <v>9184.94</v>
      </c>
      <c r="J494" t="s">
        <v>51</v>
      </c>
      <c r="K494" t="s">
        <v>40</v>
      </c>
      <c r="L494">
        <v>14250</v>
      </c>
      <c r="M494">
        <v>21.485239766081872</v>
      </c>
      <c r="N494" t="s">
        <v>8</v>
      </c>
      <c r="O494" t="s">
        <v>781</v>
      </c>
      <c r="P494" t="s">
        <v>29</v>
      </c>
      <c r="Q494" t="s">
        <v>30</v>
      </c>
      <c r="R494" t="s">
        <v>31</v>
      </c>
      <c r="S494" t="s">
        <v>32</v>
      </c>
      <c r="T494" t="s">
        <v>1298</v>
      </c>
      <c r="U494" t="s">
        <v>100</v>
      </c>
      <c r="V494">
        <v>3061.646666666667</v>
      </c>
    </row>
    <row r="495" spans="1:22" x14ac:dyDescent="0.3">
      <c r="A495" t="s">
        <v>1431</v>
      </c>
      <c r="B495" s="2">
        <v>46157</v>
      </c>
      <c r="C495" t="s">
        <v>368</v>
      </c>
      <c r="D495" t="s">
        <v>37</v>
      </c>
      <c r="E495" t="s">
        <v>38</v>
      </c>
      <c r="F495">
        <v>2</v>
      </c>
      <c r="G495">
        <v>0</v>
      </c>
      <c r="H495">
        <v>3600</v>
      </c>
      <c r="I495">
        <v>1300</v>
      </c>
      <c r="J495" t="s">
        <v>39</v>
      </c>
      <c r="K495" t="s">
        <v>40</v>
      </c>
      <c r="L495">
        <v>1800</v>
      </c>
      <c r="M495">
        <v>36.111111111111107</v>
      </c>
      <c r="N495" t="s">
        <v>8</v>
      </c>
      <c r="O495" t="s">
        <v>369</v>
      </c>
      <c r="P495" t="s">
        <v>83</v>
      </c>
      <c r="Q495" t="s">
        <v>42</v>
      </c>
      <c r="R495" t="s">
        <v>121</v>
      </c>
      <c r="S495" t="s">
        <v>44</v>
      </c>
      <c r="T495" t="s">
        <v>370</v>
      </c>
      <c r="U495" t="s">
        <v>105</v>
      </c>
      <c r="V495">
        <v>650</v>
      </c>
    </row>
    <row r="496" spans="1:22" x14ac:dyDescent="0.3">
      <c r="A496" t="s">
        <v>1432</v>
      </c>
      <c r="B496" s="2">
        <v>46062</v>
      </c>
      <c r="C496" t="s">
        <v>1433</v>
      </c>
      <c r="D496" t="s">
        <v>24</v>
      </c>
      <c r="E496" t="s">
        <v>242</v>
      </c>
      <c r="F496">
        <v>3</v>
      </c>
      <c r="G496">
        <v>0.05</v>
      </c>
      <c r="H496">
        <v>1282.5</v>
      </c>
      <c r="I496">
        <v>287.51</v>
      </c>
      <c r="J496" t="s">
        <v>26</v>
      </c>
      <c r="K496" t="s">
        <v>40</v>
      </c>
      <c r="L496">
        <v>427.5</v>
      </c>
      <c r="M496">
        <v>22.417933723196882</v>
      </c>
      <c r="N496" t="s">
        <v>8</v>
      </c>
      <c r="O496" t="s">
        <v>318</v>
      </c>
      <c r="P496" t="s">
        <v>73</v>
      </c>
      <c r="Q496" t="s">
        <v>30</v>
      </c>
      <c r="R496" t="s">
        <v>53</v>
      </c>
      <c r="S496" t="s">
        <v>54</v>
      </c>
      <c r="T496" t="s">
        <v>1434</v>
      </c>
      <c r="U496" t="s">
        <v>34</v>
      </c>
      <c r="V496">
        <v>95.836666666666659</v>
      </c>
    </row>
    <row r="497" spans="1:22" x14ac:dyDescent="0.3">
      <c r="A497" t="s">
        <v>1435</v>
      </c>
      <c r="B497" s="2">
        <v>46031</v>
      </c>
      <c r="C497" t="s">
        <v>1436</v>
      </c>
      <c r="D497" t="s">
        <v>24</v>
      </c>
      <c r="E497" t="s">
        <v>25</v>
      </c>
      <c r="F497">
        <v>3</v>
      </c>
      <c r="G497">
        <v>0.05</v>
      </c>
      <c r="H497">
        <v>39900</v>
      </c>
      <c r="I497">
        <v>7438.88</v>
      </c>
      <c r="J497" t="s">
        <v>39</v>
      </c>
      <c r="K497" t="s">
        <v>40</v>
      </c>
      <c r="L497">
        <v>13300</v>
      </c>
      <c r="M497">
        <v>18.643809523809519</v>
      </c>
      <c r="N497" t="s">
        <v>8</v>
      </c>
      <c r="O497" t="s">
        <v>697</v>
      </c>
      <c r="P497" t="s">
        <v>83</v>
      </c>
      <c r="Q497" t="s">
        <v>30</v>
      </c>
      <c r="R497" t="s">
        <v>60</v>
      </c>
      <c r="S497" t="s">
        <v>61</v>
      </c>
      <c r="T497" t="s">
        <v>1437</v>
      </c>
      <c r="U497" t="s">
        <v>46</v>
      </c>
      <c r="V497">
        <v>2479.626666666667</v>
      </c>
    </row>
    <row r="498" spans="1:22" x14ac:dyDescent="0.3">
      <c r="A498" t="s">
        <v>1438</v>
      </c>
      <c r="B498" s="2">
        <v>46011</v>
      </c>
      <c r="C498" t="s">
        <v>726</v>
      </c>
      <c r="D498" t="s">
        <v>49</v>
      </c>
      <c r="E498" t="s">
        <v>58</v>
      </c>
      <c r="F498">
        <v>2</v>
      </c>
      <c r="G498">
        <v>0.15</v>
      </c>
      <c r="H498">
        <v>25500</v>
      </c>
      <c r="I498">
        <v>3648.54</v>
      </c>
      <c r="J498" t="s">
        <v>65</v>
      </c>
      <c r="K498" t="s">
        <v>40</v>
      </c>
      <c r="L498">
        <v>12750</v>
      </c>
      <c r="M498">
        <v>14.308</v>
      </c>
      <c r="N498" t="s">
        <v>8</v>
      </c>
      <c r="O498" t="s">
        <v>727</v>
      </c>
      <c r="P498" t="s">
        <v>29</v>
      </c>
      <c r="Q498" t="s">
        <v>30</v>
      </c>
      <c r="R498" t="s">
        <v>31</v>
      </c>
      <c r="S498" t="s">
        <v>32</v>
      </c>
      <c r="T498" t="s">
        <v>33</v>
      </c>
      <c r="U498" t="s">
        <v>34</v>
      </c>
      <c r="V498">
        <v>1824.27</v>
      </c>
    </row>
    <row r="499" spans="1:22" x14ac:dyDescent="0.3">
      <c r="A499" t="s">
        <v>1439</v>
      </c>
      <c r="B499" s="2">
        <v>46033</v>
      </c>
      <c r="C499" t="s">
        <v>473</v>
      </c>
      <c r="D499" t="s">
        <v>70</v>
      </c>
      <c r="E499" t="s">
        <v>129</v>
      </c>
      <c r="F499">
        <v>4</v>
      </c>
      <c r="G499">
        <v>0.1</v>
      </c>
      <c r="H499">
        <v>198000</v>
      </c>
      <c r="I499">
        <v>-44039.61</v>
      </c>
      <c r="J499" t="s">
        <v>26</v>
      </c>
      <c r="K499" t="s">
        <v>80</v>
      </c>
      <c r="L499">
        <v>49500</v>
      </c>
      <c r="M499">
        <v>-22.24222727272727</v>
      </c>
      <c r="N499" t="s">
        <v>81</v>
      </c>
      <c r="O499" t="s">
        <v>474</v>
      </c>
      <c r="P499" t="s">
        <v>73</v>
      </c>
      <c r="Q499" t="s">
        <v>131</v>
      </c>
      <c r="R499" t="s">
        <v>289</v>
      </c>
      <c r="S499" t="s">
        <v>290</v>
      </c>
      <c r="T499" t="s">
        <v>475</v>
      </c>
      <c r="U499" t="s">
        <v>46</v>
      </c>
      <c r="V499">
        <v>-11009.9025</v>
      </c>
    </row>
    <row r="500" spans="1:22" x14ac:dyDescent="0.3">
      <c r="A500" t="s">
        <v>1440</v>
      </c>
      <c r="B500" s="2">
        <v>45865</v>
      </c>
      <c r="C500" t="s">
        <v>810</v>
      </c>
      <c r="D500" t="s">
        <v>37</v>
      </c>
      <c r="E500" t="s">
        <v>170</v>
      </c>
      <c r="F500">
        <v>3</v>
      </c>
      <c r="G500">
        <v>0.15</v>
      </c>
      <c r="H500">
        <v>3570</v>
      </c>
      <c r="I500">
        <v>1074.1400000000001</v>
      </c>
      <c r="J500" t="s">
        <v>26</v>
      </c>
      <c r="K500" t="s">
        <v>40</v>
      </c>
      <c r="L500">
        <v>1190</v>
      </c>
      <c r="M500">
        <v>30.087955182072829</v>
      </c>
      <c r="N500" t="s">
        <v>8</v>
      </c>
      <c r="O500" t="s">
        <v>811</v>
      </c>
      <c r="P500" t="s">
        <v>73</v>
      </c>
      <c r="Q500" t="s">
        <v>30</v>
      </c>
      <c r="R500" t="s">
        <v>60</v>
      </c>
      <c r="S500" t="s">
        <v>61</v>
      </c>
      <c r="T500" t="s">
        <v>812</v>
      </c>
      <c r="U500" t="s">
        <v>34</v>
      </c>
      <c r="V500">
        <v>358.04666666666668</v>
      </c>
    </row>
    <row r="501" spans="1:22" x14ac:dyDescent="0.3">
      <c r="A501" t="s">
        <v>1441</v>
      </c>
      <c r="B501" s="2">
        <v>45872</v>
      </c>
      <c r="C501" t="s">
        <v>469</v>
      </c>
      <c r="D501" t="s">
        <v>24</v>
      </c>
      <c r="E501" t="s">
        <v>25</v>
      </c>
      <c r="F501">
        <v>1</v>
      </c>
      <c r="G501">
        <v>0</v>
      </c>
      <c r="H501">
        <v>14000</v>
      </c>
      <c r="I501">
        <v>-6237.65</v>
      </c>
      <c r="J501" t="s">
        <v>51</v>
      </c>
      <c r="K501" t="s">
        <v>434</v>
      </c>
      <c r="L501">
        <v>14000</v>
      </c>
      <c r="M501">
        <v>-44.554642857142859</v>
      </c>
      <c r="N501" t="s">
        <v>81</v>
      </c>
      <c r="O501" t="s">
        <v>470</v>
      </c>
      <c r="P501" t="s">
        <v>83</v>
      </c>
      <c r="Q501" t="s">
        <v>30</v>
      </c>
      <c r="R501" t="s">
        <v>31</v>
      </c>
      <c r="S501" t="s">
        <v>32</v>
      </c>
      <c r="T501" t="s">
        <v>471</v>
      </c>
      <c r="U501" t="s">
        <v>100</v>
      </c>
      <c r="V501">
        <v>-6237.65</v>
      </c>
    </row>
    <row r="502" spans="1:22" x14ac:dyDescent="0.3">
      <c r="A502" t="s">
        <v>1442</v>
      </c>
      <c r="B502" s="2">
        <v>46118</v>
      </c>
      <c r="C502" t="s">
        <v>846</v>
      </c>
      <c r="D502" t="s">
        <v>24</v>
      </c>
      <c r="F502">
        <v>2</v>
      </c>
      <c r="G502">
        <v>0</v>
      </c>
      <c r="H502">
        <v>900</v>
      </c>
      <c r="I502">
        <v>220</v>
      </c>
      <c r="J502" t="s">
        <v>65</v>
      </c>
      <c r="K502" t="s">
        <v>40</v>
      </c>
      <c r="L502">
        <v>450</v>
      </c>
      <c r="M502">
        <v>24.444444444444439</v>
      </c>
      <c r="N502" t="s">
        <v>8</v>
      </c>
      <c r="O502" t="s">
        <v>847</v>
      </c>
      <c r="P502" t="s">
        <v>29</v>
      </c>
      <c r="Q502" t="s">
        <v>30</v>
      </c>
      <c r="R502" t="s">
        <v>53</v>
      </c>
      <c r="S502" t="s">
        <v>54</v>
      </c>
      <c r="T502" t="s">
        <v>848</v>
      </c>
      <c r="U502" t="s">
        <v>34</v>
      </c>
      <c r="V502">
        <v>110</v>
      </c>
    </row>
    <row r="503" spans="1:22" x14ac:dyDescent="0.3">
      <c r="A503" t="s">
        <v>1443</v>
      </c>
      <c r="B503" s="2">
        <v>46211</v>
      </c>
      <c r="C503" t="s">
        <v>1444</v>
      </c>
      <c r="D503" t="s">
        <v>24</v>
      </c>
      <c r="E503" t="s">
        <v>25</v>
      </c>
      <c r="F503">
        <v>3</v>
      </c>
      <c r="G503">
        <v>0</v>
      </c>
      <c r="H503">
        <v>42000</v>
      </c>
      <c r="I503">
        <v>8400</v>
      </c>
      <c r="J503" t="s">
        <v>51</v>
      </c>
      <c r="K503" t="s">
        <v>27</v>
      </c>
      <c r="L503">
        <v>14000</v>
      </c>
      <c r="M503">
        <v>20</v>
      </c>
      <c r="N503" t="s">
        <v>8</v>
      </c>
      <c r="O503" t="s">
        <v>839</v>
      </c>
      <c r="P503" t="s">
        <v>29</v>
      </c>
      <c r="Q503" t="s">
        <v>42</v>
      </c>
      <c r="R503" t="s">
        <v>121</v>
      </c>
      <c r="S503" t="s">
        <v>44</v>
      </c>
      <c r="T503" t="s">
        <v>1445</v>
      </c>
      <c r="U503" t="s">
        <v>34</v>
      </c>
      <c r="V503">
        <v>2800</v>
      </c>
    </row>
    <row r="504" spans="1:22" x14ac:dyDescent="0.3">
      <c r="A504" t="s">
        <v>1446</v>
      </c>
      <c r="B504" s="2">
        <v>45922</v>
      </c>
      <c r="C504" t="s">
        <v>1447</v>
      </c>
      <c r="D504" t="s">
        <v>24</v>
      </c>
      <c r="E504" t="s">
        <v>87</v>
      </c>
      <c r="F504">
        <v>3</v>
      </c>
      <c r="G504">
        <v>0.05</v>
      </c>
      <c r="H504">
        <v>997.5</v>
      </c>
      <c r="I504">
        <v>316.12</v>
      </c>
      <c r="J504" t="s">
        <v>39</v>
      </c>
      <c r="K504" t="s">
        <v>40</v>
      </c>
      <c r="L504">
        <v>332.5</v>
      </c>
      <c r="M504">
        <v>31.691228070175441</v>
      </c>
      <c r="N504" t="s">
        <v>8</v>
      </c>
      <c r="O504" t="s">
        <v>636</v>
      </c>
      <c r="P504" t="s">
        <v>29</v>
      </c>
      <c r="Q504" t="s">
        <v>74</v>
      </c>
      <c r="R504" t="s">
        <v>115</v>
      </c>
      <c r="S504" t="s">
        <v>115</v>
      </c>
      <c r="T504" t="s">
        <v>1448</v>
      </c>
      <c r="U504" t="s">
        <v>34</v>
      </c>
      <c r="V504">
        <v>105.37333333333331</v>
      </c>
    </row>
    <row r="505" spans="1:22" x14ac:dyDescent="0.3">
      <c r="A505" t="s">
        <v>1449</v>
      </c>
      <c r="B505" s="2">
        <v>45920</v>
      </c>
      <c r="C505" t="s">
        <v>1229</v>
      </c>
      <c r="D505" t="s">
        <v>70</v>
      </c>
      <c r="E505" t="s">
        <v>71</v>
      </c>
      <c r="F505">
        <v>3</v>
      </c>
      <c r="G505">
        <v>0.05</v>
      </c>
      <c r="H505">
        <v>51300</v>
      </c>
      <c r="I505">
        <v>8908.73</v>
      </c>
      <c r="J505" t="s">
        <v>39</v>
      </c>
      <c r="K505" t="s">
        <v>40</v>
      </c>
      <c r="L505">
        <v>17100</v>
      </c>
      <c r="M505">
        <v>17.365945419103308</v>
      </c>
      <c r="N505" t="s">
        <v>8</v>
      </c>
      <c r="O505" t="s">
        <v>1102</v>
      </c>
      <c r="P505" t="s">
        <v>83</v>
      </c>
      <c r="Q505" t="s">
        <v>42</v>
      </c>
      <c r="R505" t="s">
        <v>110</v>
      </c>
      <c r="S505" t="s">
        <v>111</v>
      </c>
      <c r="T505" t="s">
        <v>912</v>
      </c>
      <c r="U505" t="s">
        <v>46</v>
      </c>
      <c r="V505">
        <v>2969.5766666666659</v>
      </c>
    </row>
    <row r="506" spans="1:22" x14ac:dyDescent="0.3">
      <c r="A506" t="s">
        <v>1450</v>
      </c>
      <c r="B506" s="2">
        <v>45888</v>
      </c>
      <c r="C506" t="s">
        <v>1304</v>
      </c>
      <c r="D506" t="s">
        <v>70</v>
      </c>
      <c r="E506" t="s">
        <v>71</v>
      </c>
      <c r="F506">
        <v>1</v>
      </c>
      <c r="G506">
        <v>0.1</v>
      </c>
      <c r="H506">
        <v>16200</v>
      </c>
      <c r="I506">
        <v>2503.96</v>
      </c>
      <c r="J506" t="s">
        <v>39</v>
      </c>
      <c r="K506" t="s">
        <v>40</v>
      </c>
      <c r="L506">
        <v>16200</v>
      </c>
      <c r="M506">
        <v>15.456543209876539</v>
      </c>
      <c r="N506" t="s">
        <v>8</v>
      </c>
      <c r="O506" t="s">
        <v>1305</v>
      </c>
      <c r="P506" t="s">
        <v>29</v>
      </c>
      <c r="Q506" t="s">
        <v>30</v>
      </c>
      <c r="R506" t="s">
        <v>53</v>
      </c>
      <c r="S506" t="s">
        <v>54</v>
      </c>
      <c r="T506" t="s">
        <v>1306</v>
      </c>
      <c r="U506" t="s">
        <v>34</v>
      </c>
      <c r="V506">
        <v>2503.96</v>
      </c>
    </row>
    <row r="507" spans="1:22" x14ac:dyDescent="0.3">
      <c r="A507" t="s">
        <v>1451</v>
      </c>
      <c r="B507" s="2">
        <v>45874</v>
      </c>
      <c r="C507" t="s">
        <v>1420</v>
      </c>
      <c r="D507" t="s">
        <v>49</v>
      </c>
      <c r="E507" t="s">
        <v>79</v>
      </c>
      <c r="F507">
        <v>1</v>
      </c>
      <c r="G507">
        <v>0.05</v>
      </c>
      <c r="H507">
        <v>10450</v>
      </c>
      <c r="I507">
        <v>2141.36</v>
      </c>
      <c r="J507" t="s">
        <v>65</v>
      </c>
      <c r="K507" t="s">
        <v>27</v>
      </c>
      <c r="L507">
        <v>10450</v>
      </c>
      <c r="M507">
        <v>20.49148325358852</v>
      </c>
      <c r="N507" t="s">
        <v>8</v>
      </c>
      <c r="O507" t="s">
        <v>369</v>
      </c>
      <c r="P507" t="s">
        <v>73</v>
      </c>
      <c r="Q507" t="s">
        <v>30</v>
      </c>
      <c r="R507" t="s">
        <v>98</v>
      </c>
      <c r="S507" t="s">
        <v>54</v>
      </c>
      <c r="T507" t="s">
        <v>1421</v>
      </c>
      <c r="U507" t="s">
        <v>46</v>
      </c>
      <c r="V507">
        <v>2141.36</v>
      </c>
    </row>
    <row r="508" spans="1:22" x14ac:dyDescent="0.3">
      <c r="A508" t="s">
        <v>1452</v>
      </c>
      <c r="B508" s="2">
        <v>46002</v>
      </c>
      <c r="C508" t="s">
        <v>1453</v>
      </c>
      <c r="D508" t="s">
        <v>70</v>
      </c>
      <c r="E508" t="s">
        <v>71</v>
      </c>
      <c r="F508">
        <v>4</v>
      </c>
      <c r="G508">
        <v>0.1</v>
      </c>
      <c r="H508">
        <v>64800</v>
      </c>
      <c r="I508">
        <v>8623.65</v>
      </c>
      <c r="J508" t="s">
        <v>26</v>
      </c>
      <c r="K508" t="s">
        <v>40</v>
      </c>
      <c r="L508">
        <v>16200</v>
      </c>
      <c r="M508">
        <v>13.30810185185185</v>
      </c>
      <c r="N508" t="s">
        <v>8</v>
      </c>
      <c r="O508" t="s">
        <v>302</v>
      </c>
      <c r="P508" t="s">
        <v>29</v>
      </c>
      <c r="Q508" t="s">
        <v>74</v>
      </c>
      <c r="R508" t="s">
        <v>115</v>
      </c>
      <c r="S508" t="s">
        <v>115</v>
      </c>
      <c r="T508" t="s">
        <v>277</v>
      </c>
      <c r="U508" t="s">
        <v>46</v>
      </c>
      <c r="V508">
        <v>2155.9124999999999</v>
      </c>
    </row>
    <row r="509" spans="1:22" x14ac:dyDescent="0.3">
      <c r="A509" t="s">
        <v>1454</v>
      </c>
      <c r="B509" s="2">
        <v>45995</v>
      </c>
      <c r="C509" t="s">
        <v>1455</v>
      </c>
      <c r="D509" t="s">
        <v>49</v>
      </c>
      <c r="E509" t="s">
        <v>58</v>
      </c>
      <c r="F509">
        <v>1</v>
      </c>
      <c r="G509">
        <v>0</v>
      </c>
      <c r="H509">
        <v>15000</v>
      </c>
      <c r="I509">
        <v>3500</v>
      </c>
      <c r="J509" t="s">
        <v>51</v>
      </c>
      <c r="K509" t="s">
        <v>40</v>
      </c>
      <c r="L509">
        <v>15000</v>
      </c>
      <c r="M509">
        <v>23.333333333333329</v>
      </c>
      <c r="N509" t="s">
        <v>8</v>
      </c>
      <c r="O509" t="s">
        <v>1009</v>
      </c>
      <c r="P509" t="s">
        <v>83</v>
      </c>
      <c r="Q509" t="s">
        <v>74</v>
      </c>
      <c r="R509" t="s">
        <v>493</v>
      </c>
      <c r="S509" t="s">
        <v>494</v>
      </c>
      <c r="T509" t="s">
        <v>273</v>
      </c>
      <c r="U509" t="s">
        <v>46</v>
      </c>
      <c r="V509">
        <v>3500</v>
      </c>
    </row>
    <row r="510" spans="1:22" x14ac:dyDescent="0.3">
      <c r="A510" t="s">
        <v>1456</v>
      </c>
      <c r="B510" s="2">
        <v>45908</v>
      </c>
      <c r="C510" t="s">
        <v>1168</v>
      </c>
      <c r="D510" t="s">
        <v>70</v>
      </c>
      <c r="E510" t="s">
        <v>129</v>
      </c>
      <c r="F510">
        <v>2</v>
      </c>
      <c r="G510">
        <v>0</v>
      </c>
      <c r="H510">
        <v>110000</v>
      </c>
      <c r="I510">
        <v>18000</v>
      </c>
      <c r="J510" t="s">
        <v>51</v>
      </c>
      <c r="K510" t="s">
        <v>27</v>
      </c>
      <c r="L510">
        <v>55000</v>
      </c>
      <c r="M510">
        <v>16.36363636363636</v>
      </c>
      <c r="N510" t="s">
        <v>8</v>
      </c>
      <c r="O510" t="s">
        <v>1169</v>
      </c>
      <c r="P510" t="s">
        <v>83</v>
      </c>
      <c r="Q510" t="s">
        <v>131</v>
      </c>
      <c r="R510" t="s">
        <v>289</v>
      </c>
      <c r="S510" t="s">
        <v>290</v>
      </c>
      <c r="T510" t="s">
        <v>1170</v>
      </c>
      <c r="U510" t="s">
        <v>34</v>
      </c>
      <c r="V510">
        <v>9000</v>
      </c>
    </row>
    <row r="511" spans="1:22" x14ac:dyDescent="0.3">
      <c r="A511" t="s">
        <v>1457</v>
      </c>
      <c r="B511" s="2">
        <v>45921</v>
      </c>
      <c r="C511" t="s">
        <v>301</v>
      </c>
      <c r="D511" t="s">
        <v>70</v>
      </c>
      <c r="E511" t="s">
        <v>108</v>
      </c>
      <c r="F511">
        <v>6</v>
      </c>
      <c r="G511">
        <v>0.05</v>
      </c>
      <c r="H511">
        <v>25650</v>
      </c>
      <c r="I511">
        <v>8224.7900000000009</v>
      </c>
      <c r="J511" t="s">
        <v>51</v>
      </c>
      <c r="K511" t="s">
        <v>40</v>
      </c>
      <c r="L511">
        <v>4275</v>
      </c>
      <c r="M511">
        <v>32.065458089668617</v>
      </c>
      <c r="N511" t="s">
        <v>8</v>
      </c>
      <c r="O511" t="s">
        <v>302</v>
      </c>
      <c r="P511" t="s">
        <v>29</v>
      </c>
      <c r="Q511" t="s">
        <v>42</v>
      </c>
      <c r="R511" t="s">
        <v>110</v>
      </c>
      <c r="S511" t="s">
        <v>111</v>
      </c>
      <c r="T511" t="s">
        <v>303</v>
      </c>
      <c r="U511" t="s">
        <v>46</v>
      </c>
      <c r="V511">
        <v>1370.7983333333329</v>
      </c>
    </row>
    <row r="512" spans="1:22" x14ac:dyDescent="0.3">
      <c r="A512" t="s">
        <v>1458</v>
      </c>
      <c r="B512" s="2">
        <v>46233</v>
      </c>
      <c r="C512" t="s">
        <v>377</v>
      </c>
      <c r="D512" t="s">
        <v>70</v>
      </c>
      <c r="E512" t="s">
        <v>165</v>
      </c>
      <c r="F512">
        <v>4</v>
      </c>
      <c r="G512">
        <v>0.1</v>
      </c>
      <c r="H512">
        <v>9000</v>
      </c>
      <c r="I512">
        <v>2735.29</v>
      </c>
      <c r="J512" t="s">
        <v>51</v>
      </c>
      <c r="K512" t="s">
        <v>40</v>
      </c>
      <c r="L512">
        <v>2250</v>
      </c>
      <c r="M512">
        <v>30.39211111111111</v>
      </c>
      <c r="N512" t="s">
        <v>8</v>
      </c>
      <c r="O512" t="s">
        <v>378</v>
      </c>
      <c r="P512" t="s">
        <v>29</v>
      </c>
      <c r="Q512" t="s">
        <v>30</v>
      </c>
      <c r="R512" t="s">
        <v>31</v>
      </c>
      <c r="S512" t="s">
        <v>32</v>
      </c>
      <c r="T512" t="s">
        <v>379</v>
      </c>
      <c r="U512" t="s">
        <v>34</v>
      </c>
      <c r="V512">
        <v>683.82249999999999</v>
      </c>
    </row>
    <row r="513" spans="1:22" x14ac:dyDescent="0.3">
      <c r="A513" t="s">
        <v>1459</v>
      </c>
      <c r="B513" s="2">
        <v>46231</v>
      </c>
      <c r="C513" t="s">
        <v>1460</v>
      </c>
      <c r="D513" t="s">
        <v>37</v>
      </c>
      <c r="E513" t="s">
        <v>190</v>
      </c>
      <c r="F513">
        <v>15</v>
      </c>
      <c r="G513">
        <v>0.05</v>
      </c>
      <c r="H513">
        <v>59850</v>
      </c>
      <c r="I513">
        <v>15789.27</v>
      </c>
      <c r="J513" t="s">
        <v>39</v>
      </c>
      <c r="K513" t="s">
        <v>40</v>
      </c>
      <c r="L513">
        <v>3990</v>
      </c>
      <c r="M513">
        <v>26.381403508771928</v>
      </c>
      <c r="N513" t="s">
        <v>8</v>
      </c>
      <c r="O513" t="s">
        <v>1461</v>
      </c>
      <c r="P513" t="s">
        <v>29</v>
      </c>
      <c r="Q513" t="s">
        <v>42</v>
      </c>
      <c r="R513" t="s">
        <v>110</v>
      </c>
      <c r="S513" t="s">
        <v>111</v>
      </c>
      <c r="T513" t="s">
        <v>1462</v>
      </c>
      <c r="U513" t="s">
        <v>105</v>
      </c>
      <c r="V513">
        <v>1052.6179999999999</v>
      </c>
    </row>
    <row r="514" spans="1:22" x14ac:dyDescent="0.3">
      <c r="A514" t="s">
        <v>1463</v>
      </c>
      <c r="B514" s="2">
        <v>45896</v>
      </c>
      <c r="C514" t="s">
        <v>1276</v>
      </c>
      <c r="D514" t="s">
        <v>24</v>
      </c>
      <c r="E514" t="s">
        <v>87</v>
      </c>
      <c r="F514">
        <v>3</v>
      </c>
      <c r="G514">
        <v>0.1</v>
      </c>
      <c r="H514">
        <v>945</v>
      </c>
      <c r="I514">
        <v>281.86</v>
      </c>
      <c r="J514" t="s">
        <v>65</v>
      </c>
      <c r="K514" t="s">
        <v>40</v>
      </c>
      <c r="L514">
        <v>315</v>
      </c>
      <c r="M514">
        <v>29.826455026455029</v>
      </c>
      <c r="N514" t="s">
        <v>8</v>
      </c>
      <c r="O514" t="s">
        <v>1277</v>
      </c>
      <c r="P514" t="s">
        <v>73</v>
      </c>
      <c r="Q514" t="s">
        <v>74</v>
      </c>
      <c r="R514" t="s">
        <v>75</v>
      </c>
      <c r="S514" t="s">
        <v>75</v>
      </c>
      <c r="T514" t="s">
        <v>1278</v>
      </c>
      <c r="U514" t="s">
        <v>34</v>
      </c>
      <c r="V514">
        <v>93.953333333333333</v>
      </c>
    </row>
    <row r="515" spans="1:22" x14ac:dyDescent="0.3">
      <c r="A515" t="s">
        <v>1464</v>
      </c>
      <c r="B515" s="2">
        <v>46224</v>
      </c>
      <c r="C515" t="s">
        <v>1465</v>
      </c>
      <c r="D515" t="s">
        <v>70</v>
      </c>
      <c r="E515" t="s">
        <v>129</v>
      </c>
      <c r="F515">
        <v>1</v>
      </c>
      <c r="G515">
        <v>0.05</v>
      </c>
      <c r="H515">
        <v>52250</v>
      </c>
      <c r="I515">
        <v>7677.2</v>
      </c>
      <c r="J515" t="s">
        <v>26</v>
      </c>
      <c r="K515" t="s">
        <v>40</v>
      </c>
      <c r="L515">
        <v>52250</v>
      </c>
      <c r="M515">
        <v>14.693205741626789</v>
      </c>
      <c r="N515" t="s">
        <v>8</v>
      </c>
      <c r="O515" t="s">
        <v>1466</v>
      </c>
      <c r="P515" t="s">
        <v>73</v>
      </c>
      <c r="Q515" t="s">
        <v>74</v>
      </c>
      <c r="R515" t="s">
        <v>237</v>
      </c>
      <c r="S515" t="s">
        <v>238</v>
      </c>
      <c r="T515" t="s">
        <v>831</v>
      </c>
      <c r="U515" t="s">
        <v>34</v>
      </c>
      <c r="V515">
        <v>7677.2</v>
      </c>
    </row>
    <row r="516" spans="1:22" x14ac:dyDescent="0.3">
      <c r="A516" t="s">
        <v>1467</v>
      </c>
      <c r="B516" s="2">
        <v>46193</v>
      </c>
      <c r="C516" t="s">
        <v>1468</v>
      </c>
      <c r="D516" t="s">
        <v>49</v>
      </c>
      <c r="E516" t="s">
        <v>50</v>
      </c>
      <c r="F516">
        <v>3</v>
      </c>
      <c r="G516">
        <v>0.15</v>
      </c>
      <c r="H516">
        <v>33150</v>
      </c>
      <c r="I516">
        <v>5652.11</v>
      </c>
      <c r="J516" t="s">
        <v>65</v>
      </c>
      <c r="K516" t="s">
        <v>40</v>
      </c>
      <c r="L516">
        <v>11050</v>
      </c>
      <c r="M516">
        <v>17.05010558069381</v>
      </c>
      <c r="N516" t="s">
        <v>8</v>
      </c>
      <c r="O516" t="s">
        <v>345</v>
      </c>
      <c r="P516" t="s">
        <v>83</v>
      </c>
      <c r="Q516" t="s">
        <v>30</v>
      </c>
      <c r="R516" t="s">
        <v>98</v>
      </c>
      <c r="S516" t="s">
        <v>54</v>
      </c>
      <c r="T516" t="s">
        <v>1469</v>
      </c>
      <c r="U516" t="s">
        <v>34</v>
      </c>
      <c r="V516">
        <v>1884.0366666666671</v>
      </c>
    </row>
    <row r="517" spans="1:22" x14ac:dyDescent="0.3">
      <c r="A517" t="s">
        <v>1470</v>
      </c>
      <c r="B517" s="2">
        <v>45938</v>
      </c>
      <c r="C517" t="s">
        <v>221</v>
      </c>
      <c r="D517" t="s">
        <v>70</v>
      </c>
      <c r="E517" t="s">
        <v>71</v>
      </c>
      <c r="F517">
        <v>2</v>
      </c>
      <c r="G517">
        <v>0.05</v>
      </c>
      <c r="H517">
        <v>34200</v>
      </c>
      <c r="I517">
        <v>-11599.72</v>
      </c>
      <c r="J517" t="s">
        <v>51</v>
      </c>
      <c r="K517" t="s">
        <v>80</v>
      </c>
      <c r="L517">
        <v>17100</v>
      </c>
      <c r="M517">
        <v>-33.917309941520472</v>
      </c>
      <c r="N517" t="s">
        <v>81</v>
      </c>
      <c r="O517" t="s">
        <v>222</v>
      </c>
      <c r="P517" t="s">
        <v>29</v>
      </c>
      <c r="Q517" t="s">
        <v>30</v>
      </c>
      <c r="R517" t="s">
        <v>53</v>
      </c>
      <c r="S517" t="s">
        <v>54</v>
      </c>
      <c r="T517" t="s">
        <v>223</v>
      </c>
      <c r="U517" t="s">
        <v>100</v>
      </c>
      <c r="V517">
        <v>-5799.86</v>
      </c>
    </row>
    <row r="518" spans="1:22" x14ac:dyDescent="0.3">
      <c r="A518" t="s">
        <v>1471</v>
      </c>
      <c r="B518" s="2">
        <v>46178</v>
      </c>
      <c r="C518" t="s">
        <v>91</v>
      </c>
      <c r="D518" t="s">
        <v>49</v>
      </c>
      <c r="E518" t="s">
        <v>119</v>
      </c>
      <c r="F518">
        <v>3</v>
      </c>
      <c r="G518">
        <v>0.15</v>
      </c>
      <c r="H518">
        <v>22950</v>
      </c>
      <c r="I518">
        <v>3998.81</v>
      </c>
      <c r="J518" t="s">
        <v>26</v>
      </c>
      <c r="K518" t="s">
        <v>40</v>
      </c>
      <c r="L518">
        <v>7650</v>
      </c>
      <c r="M518">
        <v>17.424008714596951</v>
      </c>
      <c r="N518" t="s">
        <v>8</v>
      </c>
      <c r="O518" t="s">
        <v>93</v>
      </c>
      <c r="P518" t="s">
        <v>73</v>
      </c>
      <c r="Q518" t="s">
        <v>30</v>
      </c>
      <c r="R518" t="s">
        <v>60</v>
      </c>
      <c r="S518" t="s">
        <v>61</v>
      </c>
      <c r="T518" t="s">
        <v>94</v>
      </c>
      <c r="U518" t="s">
        <v>34</v>
      </c>
      <c r="V518">
        <v>1332.936666666667</v>
      </c>
    </row>
    <row r="519" spans="1:22" x14ac:dyDescent="0.3">
      <c r="A519" t="s">
        <v>1472</v>
      </c>
      <c r="B519" s="2">
        <v>45862</v>
      </c>
      <c r="C519" t="s">
        <v>1131</v>
      </c>
      <c r="D519" t="s">
        <v>37</v>
      </c>
      <c r="E519" t="s">
        <v>170</v>
      </c>
      <c r="F519">
        <v>10</v>
      </c>
      <c r="G519">
        <v>0.2</v>
      </c>
      <c r="H519">
        <v>11200</v>
      </c>
      <c r="I519">
        <v>3502.39</v>
      </c>
      <c r="J519" t="s">
        <v>39</v>
      </c>
      <c r="K519" t="s">
        <v>40</v>
      </c>
      <c r="L519">
        <v>1120</v>
      </c>
      <c r="M519">
        <v>31.27133928571428</v>
      </c>
      <c r="N519" t="s">
        <v>8</v>
      </c>
      <c r="O519" t="s">
        <v>226</v>
      </c>
      <c r="P519" t="s">
        <v>73</v>
      </c>
      <c r="Q519" t="s">
        <v>74</v>
      </c>
      <c r="R519" t="s">
        <v>75</v>
      </c>
      <c r="S519" t="s">
        <v>75</v>
      </c>
      <c r="T519" t="s">
        <v>1132</v>
      </c>
      <c r="U519" t="s">
        <v>100</v>
      </c>
      <c r="V519">
        <v>350.23899999999998</v>
      </c>
    </row>
    <row r="520" spans="1:22" x14ac:dyDescent="0.3">
      <c r="A520" t="s">
        <v>1473</v>
      </c>
      <c r="B520" s="2">
        <v>45878</v>
      </c>
      <c r="C520" t="s">
        <v>1474</v>
      </c>
      <c r="D520" t="s">
        <v>24</v>
      </c>
      <c r="E520" t="s">
        <v>87</v>
      </c>
      <c r="F520">
        <v>5</v>
      </c>
      <c r="G520">
        <v>0.15</v>
      </c>
      <c r="H520">
        <v>1487.5</v>
      </c>
      <c r="I520">
        <v>394.1</v>
      </c>
      <c r="J520" t="s">
        <v>65</v>
      </c>
      <c r="K520" t="s">
        <v>40</v>
      </c>
      <c r="L520">
        <v>297.5</v>
      </c>
      <c r="M520">
        <v>26.494117647058822</v>
      </c>
      <c r="N520" t="s">
        <v>8</v>
      </c>
      <c r="O520" t="s">
        <v>1475</v>
      </c>
      <c r="P520" t="s">
        <v>73</v>
      </c>
      <c r="Q520" t="s">
        <v>30</v>
      </c>
      <c r="R520" t="s">
        <v>98</v>
      </c>
      <c r="S520" t="s">
        <v>54</v>
      </c>
      <c r="T520" t="s">
        <v>1476</v>
      </c>
      <c r="U520" t="s">
        <v>100</v>
      </c>
      <c r="V520">
        <v>78.820000000000007</v>
      </c>
    </row>
    <row r="521" spans="1:22" x14ac:dyDescent="0.3">
      <c r="A521" t="s">
        <v>1477</v>
      </c>
      <c r="B521" s="2">
        <v>45929</v>
      </c>
      <c r="C521" t="s">
        <v>417</v>
      </c>
      <c r="D521" t="s">
        <v>49</v>
      </c>
      <c r="E521" t="s">
        <v>58</v>
      </c>
      <c r="F521">
        <v>1</v>
      </c>
      <c r="G521">
        <v>0.2</v>
      </c>
      <c r="H521">
        <v>12000</v>
      </c>
      <c r="I521">
        <v>-7967.41</v>
      </c>
      <c r="J521" t="s">
        <v>39</v>
      </c>
      <c r="K521" t="s">
        <v>434</v>
      </c>
      <c r="L521">
        <v>12000</v>
      </c>
      <c r="M521">
        <v>-66.395083333333332</v>
      </c>
      <c r="N521" t="s">
        <v>81</v>
      </c>
      <c r="O521" t="s">
        <v>418</v>
      </c>
      <c r="P521" t="s">
        <v>29</v>
      </c>
      <c r="Q521" t="s">
        <v>30</v>
      </c>
      <c r="R521" t="s">
        <v>60</v>
      </c>
      <c r="S521" t="s">
        <v>61</v>
      </c>
      <c r="T521" t="s">
        <v>419</v>
      </c>
      <c r="U521" t="s">
        <v>34</v>
      </c>
      <c r="V521">
        <v>-7967.41</v>
      </c>
    </row>
    <row r="522" spans="1:22" x14ac:dyDescent="0.3">
      <c r="A522" t="s">
        <v>1478</v>
      </c>
      <c r="B522" s="2">
        <v>45967</v>
      </c>
      <c r="C522" t="s">
        <v>617</v>
      </c>
      <c r="D522" t="s">
        <v>70</v>
      </c>
      <c r="E522" t="s">
        <v>129</v>
      </c>
      <c r="F522">
        <v>5</v>
      </c>
      <c r="G522">
        <v>0.1</v>
      </c>
      <c r="H522">
        <v>247500</v>
      </c>
      <c r="I522">
        <v>31519.439999999999</v>
      </c>
      <c r="J522" t="s">
        <v>39</v>
      </c>
      <c r="K522" t="s">
        <v>40</v>
      </c>
      <c r="L522">
        <v>49500</v>
      </c>
      <c r="M522">
        <v>12.73512727272727</v>
      </c>
      <c r="N522" t="s">
        <v>8</v>
      </c>
      <c r="O522" t="s">
        <v>618</v>
      </c>
      <c r="P522" t="s">
        <v>83</v>
      </c>
      <c r="Q522" t="s">
        <v>30</v>
      </c>
      <c r="R522" t="s">
        <v>98</v>
      </c>
      <c r="S522" t="s">
        <v>54</v>
      </c>
      <c r="T522" t="s">
        <v>619</v>
      </c>
      <c r="U522" t="s">
        <v>100</v>
      </c>
      <c r="V522">
        <v>6303.8879999999999</v>
      </c>
    </row>
    <row r="523" spans="1:22" x14ac:dyDescent="0.3">
      <c r="A523" t="s">
        <v>1479</v>
      </c>
      <c r="B523" s="2">
        <v>46064</v>
      </c>
      <c r="C523" t="s">
        <v>1480</v>
      </c>
      <c r="D523" t="s">
        <v>24</v>
      </c>
      <c r="E523" t="s">
        <v>92</v>
      </c>
      <c r="F523">
        <v>3</v>
      </c>
      <c r="G523">
        <v>0.05</v>
      </c>
      <c r="H523">
        <v>2565</v>
      </c>
      <c r="I523">
        <v>763.44</v>
      </c>
      <c r="J523" t="s">
        <v>65</v>
      </c>
      <c r="K523" t="s">
        <v>40</v>
      </c>
      <c r="L523">
        <v>855</v>
      </c>
      <c r="M523">
        <v>29.763742690058479</v>
      </c>
      <c r="N523" t="s">
        <v>8</v>
      </c>
      <c r="O523" t="s">
        <v>66</v>
      </c>
      <c r="P523" t="s">
        <v>73</v>
      </c>
      <c r="Q523" t="s">
        <v>30</v>
      </c>
      <c r="R523" t="s">
        <v>98</v>
      </c>
      <c r="S523" t="s">
        <v>54</v>
      </c>
      <c r="T523" t="s">
        <v>1481</v>
      </c>
      <c r="U523" t="s">
        <v>46</v>
      </c>
      <c r="V523">
        <v>254.48</v>
      </c>
    </row>
    <row r="524" spans="1:22" x14ac:dyDescent="0.3">
      <c r="A524" t="s">
        <v>1482</v>
      </c>
      <c r="B524" s="2">
        <v>45852</v>
      </c>
      <c r="C524" t="s">
        <v>1017</v>
      </c>
      <c r="D524" t="s">
        <v>49</v>
      </c>
      <c r="E524" t="s">
        <v>79</v>
      </c>
      <c r="F524">
        <v>2</v>
      </c>
      <c r="G524">
        <v>0.15</v>
      </c>
      <c r="H524">
        <v>18700</v>
      </c>
      <c r="I524">
        <v>2458.5100000000002</v>
      </c>
      <c r="J524" t="s">
        <v>65</v>
      </c>
      <c r="K524" t="s">
        <v>40</v>
      </c>
      <c r="L524">
        <v>9350</v>
      </c>
      <c r="M524">
        <v>13.14711229946524</v>
      </c>
      <c r="N524" t="s">
        <v>8</v>
      </c>
      <c r="O524" t="s">
        <v>1018</v>
      </c>
      <c r="P524" t="s">
        <v>83</v>
      </c>
      <c r="Q524" t="s">
        <v>30</v>
      </c>
      <c r="R524" t="s">
        <v>98</v>
      </c>
      <c r="S524" t="s">
        <v>54</v>
      </c>
      <c r="T524" t="s">
        <v>1019</v>
      </c>
      <c r="U524" t="s">
        <v>46</v>
      </c>
      <c r="V524">
        <v>1229.2550000000001</v>
      </c>
    </row>
    <row r="525" spans="1:22" x14ac:dyDescent="0.3">
      <c r="A525" t="s">
        <v>1483</v>
      </c>
      <c r="B525" s="2">
        <v>46258</v>
      </c>
      <c r="C525" t="s">
        <v>1484</v>
      </c>
      <c r="D525" t="s">
        <v>70</v>
      </c>
      <c r="E525" t="s">
        <v>129</v>
      </c>
      <c r="F525">
        <v>4</v>
      </c>
      <c r="G525">
        <v>0.2</v>
      </c>
      <c r="H525">
        <v>176000</v>
      </c>
      <c r="I525">
        <v>11064.01</v>
      </c>
      <c r="J525" t="s">
        <v>26</v>
      </c>
      <c r="K525" t="s">
        <v>27</v>
      </c>
      <c r="L525">
        <v>44000</v>
      </c>
      <c r="M525">
        <v>6.2863693181818183</v>
      </c>
      <c r="N525" t="s">
        <v>8</v>
      </c>
      <c r="O525" t="s">
        <v>1485</v>
      </c>
      <c r="P525" t="s">
        <v>83</v>
      </c>
      <c r="Q525" t="s">
        <v>42</v>
      </c>
      <c r="R525" t="s">
        <v>214</v>
      </c>
      <c r="S525" t="s">
        <v>111</v>
      </c>
      <c r="T525" t="s">
        <v>1029</v>
      </c>
      <c r="U525" t="s">
        <v>100</v>
      </c>
      <c r="V525">
        <v>2766.0025000000001</v>
      </c>
    </row>
    <row r="526" spans="1:22" x14ac:dyDescent="0.3">
      <c r="A526" t="s">
        <v>1486</v>
      </c>
      <c r="B526" s="2">
        <v>46009</v>
      </c>
      <c r="C526" t="s">
        <v>854</v>
      </c>
      <c r="D526" t="s">
        <v>37</v>
      </c>
      <c r="E526" t="s">
        <v>170</v>
      </c>
      <c r="F526">
        <v>1</v>
      </c>
      <c r="G526">
        <v>0.1</v>
      </c>
      <c r="H526">
        <v>1260</v>
      </c>
      <c r="I526">
        <v>435.7</v>
      </c>
      <c r="J526" t="s">
        <v>51</v>
      </c>
      <c r="K526" t="s">
        <v>40</v>
      </c>
      <c r="L526">
        <v>1260</v>
      </c>
      <c r="M526">
        <v>34.579365079365083</v>
      </c>
      <c r="N526" t="s">
        <v>8</v>
      </c>
      <c r="O526" t="s">
        <v>855</v>
      </c>
      <c r="P526" t="s">
        <v>29</v>
      </c>
      <c r="Q526" t="s">
        <v>74</v>
      </c>
      <c r="R526" t="s">
        <v>493</v>
      </c>
      <c r="S526" t="s">
        <v>494</v>
      </c>
      <c r="T526" t="s">
        <v>856</v>
      </c>
      <c r="U526" t="s">
        <v>100</v>
      </c>
      <c r="V526">
        <v>435.7</v>
      </c>
    </row>
    <row r="527" spans="1:22" x14ac:dyDescent="0.3">
      <c r="A527" t="s">
        <v>1487</v>
      </c>
      <c r="B527" s="2">
        <v>46220</v>
      </c>
      <c r="C527" t="s">
        <v>1185</v>
      </c>
      <c r="D527" t="s">
        <v>24</v>
      </c>
      <c r="E527" t="s">
        <v>92</v>
      </c>
      <c r="F527">
        <v>4</v>
      </c>
      <c r="G527">
        <v>0</v>
      </c>
      <c r="H527">
        <v>3600</v>
      </c>
      <c r="I527">
        <v>1120</v>
      </c>
      <c r="J527" t="s">
        <v>65</v>
      </c>
      <c r="K527" t="s">
        <v>40</v>
      </c>
      <c r="L527">
        <v>900</v>
      </c>
      <c r="M527">
        <v>31.111111111111111</v>
      </c>
      <c r="N527" t="s">
        <v>8</v>
      </c>
      <c r="O527" t="s">
        <v>280</v>
      </c>
      <c r="P527" t="s">
        <v>83</v>
      </c>
      <c r="Q527" t="s">
        <v>131</v>
      </c>
      <c r="R527" t="s">
        <v>200</v>
      </c>
      <c r="S527" t="s">
        <v>201</v>
      </c>
      <c r="T527" t="s">
        <v>319</v>
      </c>
      <c r="U527" t="s">
        <v>46</v>
      </c>
      <c r="V527">
        <v>280</v>
      </c>
    </row>
    <row r="528" spans="1:22" x14ac:dyDescent="0.3">
      <c r="A528" t="s">
        <v>1488</v>
      </c>
      <c r="B528" s="2">
        <v>45968</v>
      </c>
      <c r="C528" t="s">
        <v>1489</v>
      </c>
      <c r="D528" t="s">
        <v>24</v>
      </c>
      <c r="E528" t="s">
        <v>242</v>
      </c>
      <c r="F528">
        <v>4</v>
      </c>
      <c r="G528">
        <v>0.2</v>
      </c>
      <c r="H528">
        <v>1440</v>
      </c>
      <c r="I528">
        <v>186.24</v>
      </c>
      <c r="J528" t="s">
        <v>51</v>
      </c>
      <c r="K528" t="s">
        <v>40</v>
      </c>
      <c r="L528">
        <v>360</v>
      </c>
      <c r="M528">
        <v>12.93333333333333</v>
      </c>
      <c r="N528" t="s">
        <v>8</v>
      </c>
      <c r="O528" t="s">
        <v>1286</v>
      </c>
      <c r="P528" t="s">
        <v>83</v>
      </c>
      <c r="Q528" t="s">
        <v>42</v>
      </c>
      <c r="R528" t="s">
        <v>110</v>
      </c>
      <c r="S528" t="s">
        <v>111</v>
      </c>
      <c r="T528" t="s">
        <v>1490</v>
      </c>
      <c r="U528" t="s">
        <v>100</v>
      </c>
      <c r="V528">
        <v>46.56</v>
      </c>
    </row>
    <row r="529" spans="1:22" x14ac:dyDescent="0.3">
      <c r="A529" t="s">
        <v>1491</v>
      </c>
      <c r="B529" s="2">
        <v>46134</v>
      </c>
      <c r="C529" t="s">
        <v>136</v>
      </c>
      <c r="D529" t="s">
        <v>70</v>
      </c>
      <c r="E529" t="s">
        <v>165</v>
      </c>
      <c r="F529">
        <v>2</v>
      </c>
      <c r="G529">
        <v>0.05</v>
      </c>
      <c r="H529">
        <v>4750</v>
      </c>
      <c r="I529">
        <v>213.18</v>
      </c>
      <c r="J529" t="s">
        <v>51</v>
      </c>
      <c r="K529" t="s">
        <v>434</v>
      </c>
      <c r="L529">
        <v>2375</v>
      </c>
      <c r="M529">
        <v>4.4880000000000004</v>
      </c>
      <c r="N529" t="s">
        <v>8</v>
      </c>
      <c r="O529" t="s">
        <v>137</v>
      </c>
      <c r="P529" t="s">
        <v>83</v>
      </c>
      <c r="Q529" t="s">
        <v>42</v>
      </c>
      <c r="R529" t="s">
        <v>110</v>
      </c>
      <c r="S529" t="s">
        <v>111</v>
      </c>
      <c r="T529" t="s">
        <v>138</v>
      </c>
      <c r="U529" t="s">
        <v>34</v>
      </c>
      <c r="V529">
        <v>106.59</v>
      </c>
    </row>
    <row r="530" spans="1:22" x14ac:dyDescent="0.3">
      <c r="A530" t="s">
        <v>1492</v>
      </c>
      <c r="B530" s="2">
        <v>45851</v>
      </c>
      <c r="C530" t="s">
        <v>1493</v>
      </c>
      <c r="D530" t="s">
        <v>37</v>
      </c>
      <c r="E530" t="s">
        <v>170</v>
      </c>
      <c r="F530">
        <v>3</v>
      </c>
      <c r="G530">
        <v>0</v>
      </c>
      <c r="H530">
        <v>4200</v>
      </c>
      <c r="I530">
        <v>-176.18</v>
      </c>
      <c r="J530" t="s">
        <v>51</v>
      </c>
      <c r="K530" t="s">
        <v>80</v>
      </c>
      <c r="L530">
        <v>1400</v>
      </c>
      <c r="M530">
        <v>-4.1947619047619042</v>
      </c>
      <c r="N530" t="s">
        <v>81</v>
      </c>
      <c r="O530" t="s">
        <v>1494</v>
      </c>
      <c r="P530" t="s">
        <v>73</v>
      </c>
      <c r="Q530" t="s">
        <v>131</v>
      </c>
      <c r="R530" t="s">
        <v>449</v>
      </c>
      <c r="S530" t="s">
        <v>450</v>
      </c>
      <c r="T530" t="s">
        <v>1495</v>
      </c>
      <c r="U530" t="s">
        <v>34</v>
      </c>
      <c r="V530">
        <v>-58.726666666666667</v>
      </c>
    </row>
    <row r="531" spans="1:22" x14ac:dyDescent="0.3">
      <c r="A531" t="s">
        <v>1496</v>
      </c>
      <c r="B531" s="2">
        <v>46103</v>
      </c>
      <c r="C531" t="s">
        <v>1497</v>
      </c>
      <c r="D531" t="s">
        <v>24</v>
      </c>
      <c r="E531" t="s">
        <v>92</v>
      </c>
      <c r="F531">
        <v>1</v>
      </c>
      <c r="G531">
        <v>0.1</v>
      </c>
      <c r="H531">
        <v>810</v>
      </c>
      <c r="I531">
        <v>221.85</v>
      </c>
      <c r="J531" t="s">
        <v>26</v>
      </c>
      <c r="K531" t="s">
        <v>27</v>
      </c>
      <c r="L531">
        <v>810</v>
      </c>
      <c r="M531">
        <v>27.388888888888889</v>
      </c>
      <c r="N531" t="s">
        <v>8</v>
      </c>
      <c r="O531" t="s">
        <v>88</v>
      </c>
      <c r="P531" t="s">
        <v>73</v>
      </c>
      <c r="Q531" t="s">
        <v>30</v>
      </c>
      <c r="R531" t="s">
        <v>31</v>
      </c>
      <c r="S531" t="s">
        <v>32</v>
      </c>
      <c r="T531" t="s">
        <v>1498</v>
      </c>
      <c r="U531" t="s">
        <v>46</v>
      </c>
      <c r="V531">
        <v>221.85</v>
      </c>
    </row>
    <row r="532" spans="1:22" x14ac:dyDescent="0.3">
      <c r="A532" t="s">
        <v>1499</v>
      </c>
      <c r="B532" s="2">
        <v>46020</v>
      </c>
      <c r="C532" t="s">
        <v>465</v>
      </c>
      <c r="D532" t="s">
        <v>70</v>
      </c>
      <c r="E532" t="s">
        <v>108</v>
      </c>
      <c r="F532">
        <v>2</v>
      </c>
      <c r="G532">
        <v>0</v>
      </c>
      <c r="H532">
        <v>9000</v>
      </c>
      <c r="I532">
        <v>-3830.26</v>
      </c>
      <c r="J532" t="s">
        <v>26</v>
      </c>
      <c r="K532" t="s">
        <v>80</v>
      </c>
      <c r="L532">
        <v>4500</v>
      </c>
      <c r="M532">
        <v>-42.558444444444447</v>
      </c>
      <c r="N532" t="s">
        <v>81</v>
      </c>
      <c r="O532" t="s">
        <v>362</v>
      </c>
      <c r="P532" t="s">
        <v>29</v>
      </c>
      <c r="Q532" t="s">
        <v>42</v>
      </c>
      <c r="R532" t="s">
        <v>121</v>
      </c>
      <c r="S532" t="s">
        <v>44</v>
      </c>
      <c r="T532" t="s">
        <v>466</v>
      </c>
      <c r="U532" t="s">
        <v>100</v>
      </c>
      <c r="V532">
        <v>-1915.13</v>
      </c>
    </row>
    <row r="533" spans="1:22" x14ac:dyDescent="0.3">
      <c r="A533" t="s">
        <v>1500</v>
      </c>
      <c r="B533" s="2">
        <v>46034</v>
      </c>
      <c r="C533" t="s">
        <v>1377</v>
      </c>
      <c r="D533" t="s">
        <v>70</v>
      </c>
      <c r="E533" t="s">
        <v>71</v>
      </c>
      <c r="F533">
        <v>2</v>
      </c>
      <c r="G533">
        <v>0</v>
      </c>
      <c r="H533">
        <v>36000</v>
      </c>
      <c r="I533">
        <v>7000</v>
      </c>
      <c r="J533" t="s">
        <v>26</v>
      </c>
      <c r="K533" t="s">
        <v>40</v>
      </c>
      <c r="L533">
        <v>18000</v>
      </c>
      <c r="M533">
        <v>19.44444444444445</v>
      </c>
      <c r="N533" t="s">
        <v>8</v>
      </c>
      <c r="O533" t="s">
        <v>1378</v>
      </c>
      <c r="P533" t="s">
        <v>29</v>
      </c>
      <c r="Q533" t="s">
        <v>30</v>
      </c>
      <c r="R533" t="s">
        <v>53</v>
      </c>
      <c r="S533" t="s">
        <v>54</v>
      </c>
      <c r="T533" t="s">
        <v>1379</v>
      </c>
      <c r="U533" t="s">
        <v>100</v>
      </c>
      <c r="V533">
        <v>3500</v>
      </c>
    </row>
    <row r="534" spans="1:22" x14ac:dyDescent="0.3">
      <c r="A534" t="s">
        <v>1501</v>
      </c>
      <c r="B534" s="2">
        <v>46224</v>
      </c>
      <c r="C534" t="s">
        <v>1502</v>
      </c>
      <c r="D534" t="s">
        <v>70</v>
      </c>
      <c r="E534" t="s">
        <v>129</v>
      </c>
      <c r="F534">
        <v>6</v>
      </c>
      <c r="G534">
        <v>0.1</v>
      </c>
      <c r="H534">
        <v>297000</v>
      </c>
      <c r="I534">
        <v>26359.51</v>
      </c>
      <c r="J534" t="s">
        <v>65</v>
      </c>
      <c r="K534" t="s">
        <v>40</v>
      </c>
      <c r="L534">
        <v>49500</v>
      </c>
      <c r="M534">
        <v>8.8752558922558915</v>
      </c>
      <c r="N534" t="s">
        <v>8</v>
      </c>
      <c r="O534" t="s">
        <v>1057</v>
      </c>
      <c r="P534" t="s">
        <v>73</v>
      </c>
      <c r="Q534" t="s">
        <v>42</v>
      </c>
      <c r="R534" t="s">
        <v>43</v>
      </c>
      <c r="S534" t="s">
        <v>44</v>
      </c>
      <c r="T534" t="s">
        <v>1503</v>
      </c>
      <c r="U534" t="s">
        <v>100</v>
      </c>
      <c r="V534">
        <v>4393.2516666666661</v>
      </c>
    </row>
    <row r="535" spans="1:22" x14ac:dyDescent="0.3">
      <c r="A535" t="s">
        <v>1504</v>
      </c>
      <c r="B535" s="2">
        <v>46249</v>
      </c>
      <c r="C535" t="s">
        <v>1505</v>
      </c>
      <c r="D535" t="s">
        <v>70</v>
      </c>
      <c r="E535" t="s">
        <v>108</v>
      </c>
      <c r="F535">
        <v>3</v>
      </c>
      <c r="G535">
        <v>0.1</v>
      </c>
      <c r="H535">
        <v>12150</v>
      </c>
      <c r="I535">
        <v>3798.12</v>
      </c>
      <c r="J535" t="s">
        <v>51</v>
      </c>
      <c r="K535" t="s">
        <v>27</v>
      </c>
      <c r="L535">
        <v>4050</v>
      </c>
      <c r="M535">
        <v>31.26024691358025</v>
      </c>
      <c r="N535" t="s">
        <v>8</v>
      </c>
      <c r="O535" t="s">
        <v>382</v>
      </c>
      <c r="P535" t="s">
        <v>73</v>
      </c>
      <c r="Q535" t="s">
        <v>131</v>
      </c>
      <c r="R535" t="s">
        <v>200</v>
      </c>
      <c r="S535" t="s">
        <v>201</v>
      </c>
      <c r="T535" t="s">
        <v>1506</v>
      </c>
      <c r="U535" t="s">
        <v>105</v>
      </c>
      <c r="V535">
        <v>1266.04</v>
      </c>
    </row>
    <row r="536" spans="1:22" x14ac:dyDescent="0.3">
      <c r="A536" t="s">
        <v>1507</v>
      </c>
      <c r="B536" s="2">
        <v>46012</v>
      </c>
      <c r="C536" t="s">
        <v>1069</v>
      </c>
      <c r="D536" t="s">
        <v>49</v>
      </c>
      <c r="E536" t="s">
        <v>58</v>
      </c>
      <c r="F536">
        <v>3</v>
      </c>
      <c r="G536">
        <v>0.1</v>
      </c>
      <c r="H536">
        <v>40500</v>
      </c>
      <c r="I536">
        <v>7729.72</v>
      </c>
      <c r="J536" t="s">
        <v>65</v>
      </c>
      <c r="K536" t="s">
        <v>27</v>
      </c>
      <c r="L536">
        <v>13500</v>
      </c>
      <c r="M536">
        <v>19.085728395061729</v>
      </c>
      <c r="N536" t="s">
        <v>8</v>
      </c>
      <c r="O536" t="s">
        <v>937</v>
      </c>
      <c r="P536" t="s">
        <v>29</v>
      </c>
      <c r="Q536" t="s">
        <v>42</v>
      </c>
      <c r="R536" t="s">
        <v>121</v>
      </c>
      <c r="S536" t="s">
        <v>44</v>
      </c>
      <c r="T536" t="s">
        <v>1070</v>
      </c>
      <c r="U536" t="s">
        <v>34</v>
      </c>
      <c r="V536">
        <v>2576.5733333333328</v>
      </c>
    </row>
    <row r="537" spans="1:22" x14ac:dyDescent="0.3">
      <c r="A537" t="s">
        <v>1508</v>
      </c>
      <c r="B537" s="2">
        <v>46182</v>
      </c>
      <c r="C537" t="s">
        <v>1509</v>
      </c>
      <c r="D537" t="s">
        <v>49</v>
      </c>
      <c r="E537" t="s">
        <v>79</v>
      </c>
      <c r="F537">
        <v>1</v>
      </c>
      <c r="G537">
        <v>0</v>
      </c>
      <c r="H537">
        <v>11000</v>
      </c>
      <c r="I537">
        <v>2600</v>
      </c>
      <c r="J537" t="s">
        <v>51</v>
      </c>
      <c r="K537" t="s">
        <v>27</v>
      </c>
      <c r="L537">
        <v>11000</v>
      </c>
      <c r="M537">
        <v>23.63636363636364</v>
      </c>
      <c r="N537" t="s">
        <v>8</v>
      </c>
      <c r="O537" t="s">
        <v>1510</v>
      </c>
      <c r="P537" t="s">
        <v>73</v>
      </c>
      <c r="Q537" t="s">
        <v>74</v>
      </c>
      <c r="R537" t="s">
        <v>75</v>
      </c>
      <c r="S537" t="s">
        <v>75</v>
      </c>
      <c r="T537" t="s">
        <v>1511</v>
      </c>
      <c r="U537" t="s">
        <v>46</v>
      </c>
      <c r="V537">
        <v>2600</v>
      </c>
    </row>
    <row r="538" spans="1:22" x14ac:dyDescent="0.3">
      <c r="A538" t="s">
        <v>1512</v>
      </c>
      <c r="B538" s="2">
        <v>46001</v>
      </c>
      <c r="C538" t="s">
        <v>1513</v>
      </c>
      <c r="D538" t="s">
        <v>70</v>
      </c>
      <c r="E538" t="s">
        <v>71</v>
      </c>
      <c r="F538">
        <v>1</v>
      </c>
      <c r="G538">
        <v>0.1</v>
      </c>
      <c r="H538">
        <v>16200</v>
      </c>
      <c r="I538">
        <v>2491.94</v>
      </c>
      <c r="J538" t="s">
        <v>39</v>
      </c>
      <c r="K538" t="s">
        <v>40</v>
      </c>
      <c r="L538">
        <v>16200</v>
      </c>
      <c r="M538">
        <v>15.382345679012349</v>
      </c>
      <c r="N538" t="s">
        <v>8</v>
      </c>
      <c r="O538" t="s">
        <v>1514</v>
      </c>
      <c r="P538" t="s">
        <v>29</v>
      </c>
      <c r="Q538" t="s">
        <v>74</v>
      </c>
      <c r="R538" t="s">
        <v>115</v>
      </c>
      <c r="S538" t="s">
        <v>115</v>
      </c>
      <c r="T538" t="s">
        <v>1515</v>
      </c>
      <c r="U538" t="s">
        <v>46</v>
      </c>
      <c r="V538">
        <v>2491.94</v>
      </c>
    </row>
    <row r="539" spans="1:22" x14ac:dyDescent="0.3">
      <c r="A539" t="s">
        <v>1516</v>
      </c>
      <c r="B539" s="2">
        <v>46136</v>
      </c>
      <c r="C539" t="s">
        <v>925</v>
      </c>
      <c r="D539" t="s">
        <v>24</v>
      </c>
      <c r="E539" t="s">
        <v>25</v>
      </c>
      <c r="F539">
        <v>1</v>
      </c>
      <c r="G539">
        <v>0</v>
      </c>
      <c r="H539">
        <v>14000</v>
      </c>
      <c r="I539">
        <v>2800</v>
      </c>
      <c r="J539" t="s">
        <v>65</v>
      </c>
      <c r="K539" t="s">
        <v>40</v>
      </c>
      <c r="L539">
        <v>14000</v>
      </c>
      <c r="M539">
        <v>20</v>
      </c>
      <c r="N539" t="s">
        <v>8</v>
      </c>
      <c r="O539" t="s">
        <v>926</v>
      </c>
      <c r="P539" t="s">
        <v>83</v>
      </c>
      <c r="Q539" t="s">
        <v>74</v>
      </c>
      <c r="R539" t="s">
        <v>75</v>
      </c>
      <c r="S539" t="s">
        <v>75</v>
      </c>
      <c r="T539" t="s">
        <v>927</v>
      </c>
      <c r="U539" t="s">
        <v>34</v>
      </c>
      <c r="V539">
        <v>2800</v>
      </c>
    </row>
    <row r="540" spans="1:22" x14ac:dyDescent="0.3">
      <c r="A540" t="s">
        <v>1517</v>
      </c>
      <c r="B540" s="2">
        <v>46174</v>
      </c>
      <c r="C540" t="s">
        <v>1410</v>
      </c>
      <c r="D540" t="s">
        <v>37</v>
      </c>
      <c r="E540" t="s">
        <v>190</v>
      </c>
      <c r="F540">
        <v>5</v>
      </c>
      <c r="G540">
        <v>0</v>
      </c>
      <c r="H540">
        <v>21000</v>
      </c>
      <c r="I540">
        <v>6000</v>
      </c>
      <c r="J540" t="s">
        <v>26</v>
      </c>
      <c r="K540" t="s">
        <v>40</v>
      </c>
      <c r="L540">
        <v>4200</v>
      </c>
      <c r="M540">
        <v>28.571428571428569</v>
      </c>
      <c r="N540" t="s">
        <v>8</v>
      </c>
      <c r="O540" t="s">
        <v>995</v>
      </c>
      <c r="P540" t="s">
        <v>73</v>
      </c>
      <c r="Q540" t="s">
        <v>30</v>
      </c>
      <c r="R540" t="s">
        <v>60</v>
      </c>
      <c r="S540" t="s">
        <v>61</v>
      </c>
      <c r="T540" t="s">
        <v>1411</v>
      </c>
      <c r="U540" t="s">
        <v>34</v>
      </c>
      <c r="V540">
        <v>1200</v>
      </c>
    </row>
    <row r="541" spans="1:22" x14ac:dyDescent="0.3">
      <c r="A541" t="s">
        <v>1518</v>
      </c>
      <c r="B541" s="2">
        <v>45849</v>
      </c>
      <c r="C541" t="s">
        <v>1519</v>
      </c>
      <c r="D541" t="s">
        <v>37</v>
      </c>
      <c r="E541" t="s">
        <v>170</v>
      </c>
      <c r="F541">
        <v>1</v>
      </c>
      <c r="G541">
        <v>0</v>
      </c>
      <c r="H541">
        <v>1400</v>
      </c>
      <c r="I541">
        <v>-582.52</v>
      </c>
      <c r="J541" t="s">
        <v>65</v>
      </c>
      <c r="K541" t="s">
        <v>434</v>
      </c>
      <c r="L541">
        <v>1400</v>
      </c>
      <c r="M541">
        <v>-41.60857142857143</v>
      </c>
      <c r="N541" t="s">
        <v>81</v>
      </c>
      <c r="O541" t="s">
        <v>1520</v>
      </c>
      <c r="P541" t="s">
        <v>83</v>
      </c>
      <c r="Q541" t="s">
        <v>30</v>
      </c>
      <c r="R541" t="s">
        <v>31</v>
      </c>
      <c r="S541" t="s">
        <v>32</v>
      </c>
      <c r="T541" t="s">
        <v>1521</v>
      </c>
      <c r="U541" t="s">
        <v>105</v>
      </c>
      <c r="V541">
        <v>-582.52</v>
      </c>
    </row>
    <row r="542" spans="1:22" x14ac:dyDescent="0.3">
      <c r="A542" t="s">
        <v>1522</v>
      </c>
      <c r="B542" s="2">
        <v>45915</v>
      </c>
      <c r="C542" t="s">
        <v>556</v>
      </c>
      <c r="D542" t="s">
        <v>70</v>
      </c>
      <c r="E542" t="s">
        <v>165</v>
      </c>
      <c r="F542">
        <v>4</v>
      </c>
      <c r="G542">
        <v>0.1</v>
      </c>
      <c r="H542">
        <v>9000</v>
      </c>
      <c r="I542">
        <v>2539.13</v>
      </c>
      <c r="J542" t="s">
        <v>39</v>
      </c>
      <c r="K542" t="s">
        <v>40</v>
      </c>
      <c r="L542">
        <v>2250</v>
      </c>
      <c r="M542">
        <v>28.212555555555561</v>
      </c>
      <c r="N542" t="s">
        <v>8</v>
      </c>
      <c r="O542" t="s">
        <v>161</v>
      </c>
      <c r="P542" t="s">
        <v>29</v>
      </c>
      <c r="Q542" t="s">
        <v>30</v>
      </c>
      <c r="R542" t="s">
        <v>53</v>
      </c>
      <c r="S542" t="s">
        <v>54</v>
      </c>
      <c r="T542" t="s">
        <v>557</v>
      </c>
      <c r="U542" t="s">
        <v>34</v>
      </c>
      <c r="V542">
        <v>634.78250000000003</v>
      </c>
    </row>
    <row r="543" spans="1:22" x14ac:dyDescent="0.3">
      <c r="A543" t="s">
        <v>1523</v>
      </c>
      <c r="B543" s="2">
        <v>46014</v>
      </c>
      <c r="C543" t="s">
        <v>1524</v>
      </c>
      <c r="D543" t="s">
        <v>49</v>
      </c>
      <c r="E543" t="s">
        <v>79</v>
      </c>
      <c r="F543">
        <v>2</v>
      </c>
      <c r="G543">
        <v>0.2</v>
      </c>
      <c r="H543">
        <v>17600</v>
      </c>
      <c r="I543">
        <v>2582.94</v>
      </c>
      <c r="J543" t="s">
        <v>39</v>
      </c>
      <c r="K543" t="s">
        <v>40</v>
      </c>
      <c r="L543">
        <v>8800</v>
      </c>
      <c r="M543">
        <v>14.675795454545449</v>
      </c>
      <c r="N543" t="s">
        <v>8</v>
      </c>
      <c r="O543" t="s">
        <v>243</v>
      </c>
      <c r="P543" t="s">
        <v>73</v>
      </c>
      <c r="Q543" t="s">
        <v>74</v>
      </c>
      <c r="R543" t="s">
        <v>493</v>
      </c>
      <c r="S543" t="s">
        <v>494</v>
      </c>
      <c r="T543" t="s">
        <v>1525</v>
      </c>
      <c r="U543" t="s">
        <v>34</v>
      </c>
      <c r="V543">
        <v>1291.47</v>
      </c>
    </row>
    <row r="544" spans="1:22" x14ac:dyDescent="0.3">
      <c r="A544" t="s">
        <v>1526</v>
      </c>
      <c r="B544" s="2">
        <v>46228</v>
      </c>
      <c r="C544" t="s">
        <v>1036</v>
      </c>
      <c r="D544" t="s">
        <v>37</v>
      </c>
      <c r="E544" t="s">
        <v>190</v>
      </c>
      <c r="F544">
        <v>1</v>
      </c>
      <c r="G544">
        <v>0.15</v>
      </c>
      <c r="H544">
        <v>3570</v>
      </c>
      <c r="I544">
        <v>857.15</v>
      </c>
      <c r="J544" t="s">
        <v>51</v>
      </c>
      <c r="K544" t="s">
        <v>27</v>
      </c>
      <c r="L544">
        <v>3570</v>
      </c>
      <c r="M544">
        <v>24.009803921568629</v>
      </c>
      <c r="N544" t="s">
        <v>8</v>
      </c>
      <c r="O544" t="s">
        <v>149</v>
      </c>
      <c r="P544" t="s">
        <v>83</v>
      </c>
      <c r="Q544" t="s">
        <v>30</v>
      </c>
      <c r="R544" t="s">
        <v>53</v>
      </c>
      <c r="S544" t="s">
        <v>54</v>
      </c>
      <c r="T544" t="s">
        <v>1037</v>
      </c>
      <c r="U544" t="s">
        <v>46</v>
      </c>
      <c r="V544">
        <v>857.15</v>
      </c>
    </row>
    <row r="545" spans="1:22" x14ac:dyDescent="0.3">
      <c r="A545" t="s">
        <v>1527</v>
      </c>
      <c r="B545" s="2">
        <v>45872</v>
      </c>
      <c r="C545" t="s">
        <v>685</v>
      </c>
      <c r="D545" t="s">
        <v>70</v>
      </c>
      <c r="E545" t="s">
        <v>129</v>
      </c>
      <c r="F545">
        <v>6</v>
      </c>
      <c r="G545">
        <v>0.1</v>
      </c>
      <c r="H545">
        <v>297000</v>
      </c>
      <c r="I545">
        <v>-207952.52</v>
      </c>
      <c r="J545" t="s">
        <v>26</v>
      </c>
      <c r="K545" t="s">
        <v>80</v>
      </c>
      <c r="L545">
        <v>49500</v>
      </c>
      <c r="M545">
        <v>-70.017683501683507</v>
      </c>
      <c r="N545" t="s">
        <v>81</v>
      </c>
      <c r="O545" t="s">
        <v>686</v>
      </c>
      <c r="P545" t="s">
        <v>29</v>
      </c>
      <c r="Q545" t="s">
        <v>42</v>
      </c>
      <c r="R545" t="s">
        <v>121</v>
      </c>
      <c r="S545" t="s">
        <v>44</v>
      </c>
      <c r="T545" t="s">
        <v>687</v>
      </c>
      <c r="U545" t="s">
        <v>105</v>
      </c>
      <c r="V545">
        <v>-34658.753333333327</v>
      </c>
    </row>
    <row r="546" spans="1:22" x14ac:dyDescent="0.3">
      <c r="A546" t="s">
        <v>1528</v>
      </c>
      <c r="B546" s="2">
        <v>46218</v>
      </c>
      <c r="C546" t="s">
        <v>1529</v>
      </c>
      <c r="D546" t="s">
        <v>70</v>
      </c>
      <c r="E546" t="s">
        <v>71</v>
      </c>
      <c r="F546">
        <v>2</v>
      </c>
      <c r="G546">
        <v>0.05</v>
      </c>
      <c r="H546">
        <v>34200</v>
      </c>
      <c r="I546">
        <v>6020.64</v>
      </c>
      <c r="J546" t="s">
        <v>51</v>
      </c>
      <c r="K546" t="s">
        <v>40</v>
      </c>
      <c r="L546">
        <v>17100</v>
      </c>
      <c r="M546">
        <v>17.604210526315789</v>
      </c>
      <c r="N546" t="s">
        <v>8</v>
      </c>
      <c r="O546" t="s">
        <v>717</v>
      </c>
      <c r="P546" t="s">
        <v>73</v>
      </c>
      <c r="Q546" t="s">
        <v>131</v>
      </c>
      <c r="R546" t="s">
        <v>132</v>
      </c>
      <c r="S546" t="s">
        <v>133</v>
      </c>
      <c r="T546" t="s">
        <v>1530</v>
      </c>
      <c r="U546" t="s">
        <v>46</v>
      </c>
      <c r="V546">
        <v>3010.32</v>
      </c>
    </row>
    <row r="547" spans="1:22" x14ac:dyDescent="0.3">
      <c r="A547" t="s">
        <v>1531</v>
      </c>
      <c r="B547" s="2">
        <v>45982</v>
      </c>
      <c r="C547" t="s">
        <v>354</v>
      </c>
      <c r="D547" t="s">
        <v>49</v>
      </c>
      <c r="E547" t="s">
        <v>119</v>
      </c>
      <c r="F547">
        <v>2</v>
      </c>
      <c r="G547">
        <v>0.15</v>
      </c>
      <c r="H547">
        <v>15300</v>
      </c>
      <c r="I547">
        <v>3327.02</v>
      </c>
      <c r="J547" t="s">
        <v>51</v>
      </c>
      <c r="K547" t="s">
        <v>40</v>
      </c>
      <c r="L547">
        <v>7650</v>
      </c>
      <c r="M547">
        <v>21.74522875816994</v>
      </c>
      <c r="N547" t="s">
        <v>8</v>
      </c>
      <c r="O547" t="s">
        <v>355</v>
      </c>
      <c r="P547" t="s">
        <v>83</v>
      </c>
      <c r="Q547" t="s">
        <v>131</v>
      </c>
      <c r="R547" t="s">
        <v>200</v>
      </c>
      <c r="S547" t="s">
        <v>201</v>
      </c>
      <c r="T547" t="s">
        <v>356</v>
      </c>
      <c r="U547" t="s">
        <v>34</v>
      </c>
      <c r="V547">
        <v>1663.51</v>
      </c>
    </row>
    <row r="548" spans="1:22" x14ac:dyDescent="0.3">
      <c r="A548" t="s">
        <v>1532</v>
      </c>
      <c r="B548" s="2">
        <v>46010</v>
      </c>
      <c r="C548" t="s">
        <v>1533</v>
      </c>
      <c r="D548" t="s">
        <v>70</v>
      </c>
      <c r="E548" t="s">
        <v>165</v>
      </c>
      <c r="F548">
        <v>2</v>
      </c>
      <c r="G548">
        <v>0.15</v>
      </c>
      <c r="H548">
        <v>4250</v>
      </c>
      <c r="I548">
        <v>989.97</v>
      </c>
      <c r="J548" t="s">
        <v>65</v>
      </c>
      <c r="K548" t="s">
        <v>40</v>
      </c>
      <c r="L548">
        <v>2125</v>
      </c>
      <c r="M548">
        <v>23.29341176470588</v>
      </c>
      <c r="N548" t="s">
        <v>8</v>
      </c>
      <c r="O548" t="s">
        <v>1534</v>
      </c>
      <c r="P548" t="s">
        <v>83</v>
      </c>
      <c r="Q548" t="s">
        <v>42</v>
      </c>
      <c r="R548" t="s">
        <v>110</v>
      </c>
      <c r="S548" t="s">
        <v>111</v>
      </c>
      <c r="T548" t="s">
        <v>503</v>
      </c>
      <c r="U548" t="s">
        <v>46</v>
      </c>
      <c r="V548">
        <v>494.98500000000001</v>
      </c>
    </row>
    <row r="549" spans="1:22" x14ac:dyDescent="0.3">
      <c r="A549" t="s">
        <v>1535</v>
      </c>
      <c r="B549" s="2">
        <v>46174</v>
      </c>
      <c r="C549" t="s">
        <v>1236</v>
      </c>
      <c r="D549" t="s">
        <v>24</v>
      </c>
      <c r="E549" t="s">
        <v>242</v>
      </c>
      <c r="F549">
        <v>4</v>
      </c>
      <c r="G549">
        <v>0.1</v>
      </c>
      <c r="H549">
        <v>1620</v>
      </c>
      <c r="I549">
        <v>327.84</v>
      </c>
      <c r="J549" t="s">
        <v>51</v>
      </c>
      <c r="K549" t="s">
        <v>27</v>
      </c>
      <c r="L549">
        <v>405</v>
      </c>
      <c r="M549">
        <v>20.237037037037041</v>
      </c>
      <c r="N549" t="s">
        <v>8</v>
      </c>
      <c r="O549" t="s">
        <v>1237</v>
      </c>
      <c r="P549" t="s">
        <v>29</v>
      </c>
      <c r="Q549" t="s">
        <v>74</v>
      </c>
      <c r="R549" t="s">
        <v>493</v>
      </c>
      <c r="S549" t="s">
        <v>494</v>
      </c>
      <c r="T549" t="s">
        <v>679</v>
      </c>
      <c r="U549" t="s">
        <v>46</v>
      </c>
      <c r="V549">
        <v>81.96</v>
      </c>
    </row>
    <row r="550" spans="1:22" x14ac:dyDescent="0.3">
      <c r="A550" t="s">
        <v>1536</v>
      </c>
      <c r="B550" s="2">
        <v>46208</v>
      </c>
      <c r="C550" t="s">
        <v>1537</v>
      </c>
      <c r="D550" t="s">
        <v>37</v>
      </c>
      <c r="E550" t="s">
        <v>310</v>
      </c>
      <c r="F550">
        <v>6</v>
      </c>
      <c r="G550">
        <v>0.15</v>
      </c>
      <c r="H550">
        <v>11220</v>
      </c>
      <c r="I550">
        <v>3512.45</v>
      </c>
      <c r="J550" t="s">
        <v>51</v>
      </c>
      <c r="K550" t="s">
        <v>40</v>
      </c>
      <c r="L550">
        <v>1870</v>
      </c>
      <c r="M550">
        <v>31.305258467023169</v>
      </c>
      <c r="N550" t="s">
        <v>8</v>
      </c>
      <c r="O550" t="s">
        <v>1538</v>
      </c>
      <c r="P550" t="s">
        <v>73</v>
      </c>
      <c r="Q550" t="s">
        <v>131</v>
      </c>
      <c r="R550" t="s">
        <v>289</v>
      </c>
      <c r="S550" t="s">
        <v>290</v>
      </c>
      <c r="T550" t="s">
        <v>1539</v>
      </c>
      <c r="U550" t="s">
        <v>34</v>
      </c>
      <c r="V550">
        <v>585.4083333333333</v>
      </c>
    </row>
    <row r="551" spans="1:22" x14ac:dyDescent="0.3">
      <c r="A551" t="s">
        <v>1540</v>
      </c>
      <c r="B551" s="2">
        <v>45944</v>
      </c>
      <c r="C551" t="s">
        <v>1436</v>
      </c>
      <c r="D551" t="s">
        <v>49</v>
      </c>
      <c r="E551" t="s">
        <v>79</v>
      </c>
      <c r="F551">
        <v>1</v>
      </c>
      <c r="G551">
        <v>0.1</v>
      </c>
      <c r="H551">
        <v>9900</v>
      </c>
      <c r="I551">
        <v>1852.76</v>
      </c>
      <c r="J551" t="s">
        <v>65</v>
      </c>
      <c r="K551" t="s">
        <v>40</v>
      </c>
      <c r="L551">
        <v>9900</v>
      </c>
      <c r="M551">
        <v>18.71474747474748</v>
      </c>
      <c r="N551" t="s">
        <v>8</v>
      </c>
      <c r="O551" t="s">
        <v>697</v>
      </c>
      <c r="P551" t="s">
        <v>83</v>
      </c>
      <c r="Q551" t="s">
        <v>30</v>
      </c>
      <c r="R551" t="s">
        <v>60</v>
      </c>
      <c r="S551" t="s">
        <v>61</v>
      </c>
      <c r="T551" t="s">
        <v>1437</v>
      </c>
      <c r="U551" t="s">
        <v>46</v>
      </c>
      <c r="V551">
        <v>1852.76</v>
      </c>
    </row>
    <row r="552" spans="1:22" x14ac:dyDescent="0.3">
      <c r="A552" t="s">
        <v>1541</v>
      </c>
      <c r="B552" s="2">
        <v>46140</v>
      </c>
      <c r="C552" t="s">
        <v>1542</v>
      </c>
      <c r="D552" t="s">
        <v>70</v>
      </c>
      <c r="E552" t="s">
        <v>71</v>
      </c>
      <c r="F552">
        <v>2</v>
      </c>
      <c r="G552">
        <v>0.1</v>
      </c>
      <c r="H552">
        <v>32400</v>
      </c>
      <c r="I552">
        <v>4633.43</v>
      </c>
      <c r="J552" t="s">
        <v>65</v>
      </c>
      <c r="K552" t="s">
        <v>27</v>
      </c>
      <c r="L552">
        <v>16200</v>
      </c>
      <c r="M552">
        <v>14.300709876543211</v>
      </c>
      <c r="N552" t="s">
        <v>8</v>
      </c>
      <c r="O552" t="s">
        <v>141</v>
      </c>
      <c r="P552" t="s">
        <v>29</v>
      </c>
      <c r="Q552" t="s">
        <v>74</v>
      </c>
      <c r="R552" t="s">
        <v>75</v>
      </c>
      <c r="S552" t="s">
        <v>75</v>
      </c>
      <c r="T552" t="s">
        <v>1543</v>
      </c>
      <c r="U552" t="s">
        <v>100</v>
      </c>
      <c r="V552">
        <v>2316.7150000000001</v>
      </c>
    </row>
    <row r="553" spans="1:22" x14ac:dyDescent="0.3">
      <c r="A553" t="s">
        <v>1544</v>
      </c>
      <c r="B553" s="2">
        <v>45942</v>
      </c>
      <c r="C553" t="s">
        <v>640</v>
      </c>
      <c r="D553" t="s">
        <v>24</v>
      </c>
      <c r="E553" t="s">
        <v>87</v>
      </c>
      <c r="F553">
        <v>6</v>
      </c>
      <c r="G553">
        <v>0</v>
      </c>
      <c r="H553">
        <v>2100</v>
      </c>
      <c r="I553">
        <v>720</v>
      </c>
      <c r="J553" t="s">
        <v>39</v>
      </c>
      <c r="K553" t="s">
        <v>40</v>
      </c>
      <c r="L553">
        <v>350</v>
      </c>
      <c r="M553">
        <v>34.285714285714278</v>
      </c>
      <c r="N553" t="s">
        <v>8</v>
      </c>
      <c r="O553" t="s">
        <v>641</v>
      </c>
      <c r="P553" t="s">
        <v>29</v>
      </c>
      <c r="Q553" t="s">
        <v>30</v>
      </c>
      <c r="R553" t="s">
        <v>31</v>
      </c>
      <c r="S553" t="s">
        <v>32</v>
      </c>
      <c r="T553" t="s">
        <v>642</v>
      </c>
      <c r="U553" t="s">
        <v>34</v>
      </c>
      <c r="V553">
        <v>120</v>
      </c>
    </row>
    <row r="554" spans="1:22" x14ac:dyDescent="0.3">
      <c r="A554" t="s">
        <v>1545</v>
      </c>
      <c r="B554" s="2">
        <v>45839</v>
      </c>
      <c r="C554" t="s">
        <v>1097</v>
      </c>
      <c r="D554" t="s">
        <v>37</v>
      </c>
      <c r="E554" t="s">
        <v>190</v>
      </c>
      <c r="F554">
        <v>4</v>
      </c>
      <c r="G554">
        <v>0.1</v>
      </c>
      <c r="H554">
        <v>15120</v>
      </c>
      <c r="I554">
        <v>4015.96</v>
      </c>
      <c r="J554" t="s">
        <v>65</v>
      </c>
      <c r="K554" t="s">
        <v>40</v>
      </c>
      <c r="L554">
        <v>3780</v>
      </c>
      <c r="M554">
        <v>26.56058201058201</v>
      </c>
      <c r="N554" t="s">
        <v>8</v>
      </c>
      <c r="O554" t="s">
        <v>1098</v>
      </c>
      <c r="P554" t="s">
        <v>73</v>
      </c>
      <c r="Q554" t="s">
        <v>74</v>
      </c>
      <c r="R554" t="s">
        <v>237</v>
      </c>
      <c r="S554" t="s">
        <v>238</v>
      </c>
      <c r="T554" t="s">
        <v>1099</v>
      </c>
      <c r="U554" t="s">
        <v>34</v>
      </c>
      <c r="V554">
        <v>1003.99</v>
      </c>
    </row>
    <row r="555" spans="1:22" x14ac:dyDescent="0.3">
      <c r="A555" t="s">
        <v>1546</v>
      </c>
      <c r="B555" s="2">
        <v>46217</v>
      </c>
      <c r="C555" t="s">
        <v>1120</v>
      </c>
      <c r="D555" t="s">
        <v>70</v>
      </c>
      <c r="E555" t="s">
        <v>71</v>
      </c>
      <c r="F555">
        <v>1</v>
      </c>
      <c r="G555">
        <v>0</v>
      </c>
      <c r="H555">
        <v>18000</v>
      </c>
      <c r="I555">
        <v>3500</v>
      </c>
      <c r="J555" t="s">
        <v>51</v>
      </c>
      <c r="K555" t="s">
        <v>40</v>
      </c>
      <c r="L555">
        <v>18000</v>
      </c>
      <c r="M555">
        <v>19.44444444444445</v>
      </c>
      <c r="N555" t="s">
        <v>8</v>
      </c>
      <c r="O555" t="s">
        <v>1121</v>
      </c>
      <c r="P555" t="s">
        <v>73</v>
      </c>
      <c r="Q555" t="s">
        <v>74</v>
      </c>
      <c r="R555" t="s">
        <v>493</v>
      </c>
      <c r="S555" t="s">
        <v>494</v>
      </c>
      <c r="T555" t="s">
        <v>1122</v>
      </c>
      <c r="U555" t="s">
        <v>34</v>
      </c>
      <c r="V555">
        <v>3500</v>
      </c>
    </row>
    <row r="556" spans="1:22" x14ac:dyDescent="0.3">
      <c r="A556" t="s">
        <v>1547</v>
      </c>
      <c r="B556" s="2">
        <v>46200</v>
      </c>
      <c r="C556" t="s">
        <v>1548</v>
      </c>
      <c r="D556" t="s">
        <v>37</v>
      </c>
      <c r="E556" t="s">
        <v>190</v>
      </c>
      <c r="F556">
        <v>3</v>
      </c>
      <c r="G556">
        <v>0</v>
      </c>
      <c r="H556">
        <v>12600</v>
      </c>
      <c r="I556">
        <v>3600</v>
      </c>
      <c r="J556" t="s">
        <v>39</v>
      </c>
      <c r="K556" t="s">
        <v>40</v>
      </c>
      <c r="L556">
        <v>4200</v>
      </c>
      <c r="M556">
        <v>28.571428571428569</v>
      </c>
      <c r="N556" t="s">
        <v>8</v>
      </c>
      <c r="O556" t="s">
        <v>825</v>
      </c>
      <c r="P556" t="s">
        <v>83</v>
      </c>
      <c r="Q556" t="s">
        <v>30</v>
      </c>
      <c r="R556" t="s">
        <v>98</v>
      </c>
      <c r="S556" t="s">
        <v>54</v>
      </c>
      <c r="T556" t="s">
        <v>1549</v>
      </c>
      <c r="U556" t="s">
        <v>34</v>
      </c>
      <c r="V556">
        <v>1200</v>
      </c>
    </row>
    <row r="557" spans="1:22" x14ac:dyDescent="0.3">
      <c r="A557" t="s">
        <v>1550</v>
      </c>
      <c r="B557" s="2">
        <v>45944</v>
      </c>
      <c r="C557" t="s">
        <v>1468</v>
      </c>
      <c r="D557" t="s">
        <v>24</v>
      </c>
      <c r="E557" t="s">
        <v>25</v>
      </c>
      <c r="F557">
        <v>5</v>
      </c>
      <c r="G557">
        <v>0.05</v>
      </c>
      <c r="H557">
        <v>66500</v>
      </c>
      <c r="I557">
        <v>11831.33</v>
      </c>
      <c r="J557" t="s">
        <v>39</v>
      </c>
      <c r="K557" t="s">
        <v>40</v>
      </c>
      <c r="L557">
        <v>13300</v>
      </c>
      <c r="M557">
        <v>17.79147368421053</v>
      </c>
      <c r="N557" t="s">
        <v>8</v>
      </c>
      <c r="O557" t="s">
        <v>345</v>
      </c>
      <c r="P557" t="s">
        <v>83</v>
      </c>
      <c r="Q557" t="s">
        <v>30</v>
      </c>
      <c r="R557" t="s">
        <v>98</v>
      </c>
      <c r="S557" t="s">
        <v>54</v>
      </c>
      <c r="T557" t="s">
        <v>1469</v>
      </c>
      <c r="U557" t="s">
        <v>34</v>
      </c>
      <c r="V557">
        <v>2366.2660000000001</v>
      </c>
    </row>
    <row r="558" spans="1:22" x14ac:dyDescent="0.3">
      <c r="A558" t="s">
        <v>1551</v>
      </c>
      <c r="B558" s="2">
        <v>46251</v>
      </c>
      <c r="C558" t="s">
        <v>1078</v>
      </c>
      <c r="D558" t="s">
        <v>70</v>
      </c>
      <c r="E558" t="s">
        <v>108</v>
      </c>
      <c r="F558">
        <v>3</v>
      </c>
      <c r="G558">
        <v>0.1</v>
      </c>
      <c r="H558">
        <v>12150</v>
      </c>
      <c r="I558">
        <v>1.59</v>
      </c>
      <c r="J558" t="s">
        <v>39</v>
      </c>
      <c r="K558" t="s">
        <v>80</v>
      </c>
      <c r="L558">
        <v>4050</v>
      </c>
      <c r="M558">
        <v>1.308641975308642E-2</v>
      </c>
      <c r="N558" t="s">
        <v>8</v>
      </c>
      <c r="O558" t="s">
        <v>1079</v>
      </c>
      <c r="P558" t="s">
        <v>83</v>
      </c>
      <c r="Q558" t="s">
        <v>30</v>
      </c>
      <c r="R558" t="s">
        <v>31</v>
      </c>
      <c r="S558" t="s">
        <v>32</v>
      </c>
      <c r="T558" t="s">
        <v>948</v>
      </c>
      <c r="U558" t="s">
        <v>34</v>
      </c>
      <c r="V558">
        <v>0.53</v>
      </c>
    </row>
    <row r="559" spans="1:22" x14ac:dyDescent="0.3">
      <c r="A559" t="s">
        <v>1552</v>
      </c>
      <c r="B559" s="2">
        <v>46094</v>
      </c>
      <c r="C559" t="s">
        <v>1297</v>
      </c>
      <c r="D559" t="s">
        <v>49</v>
      </c>
      <c r="E559" t="s">
        <v>58</v>
      </c>
      <c r="F559">
        <v>3</v>
      </c>
      <c r="G559">
        <v>0.1</v>
      </c>
      <c r="H559">
        <v>40500</v>
      </c>
      <c r="I559">
        <v>7641.43</v>
      </c>
      <c r="J559" t="s">
        <v>39</v>
      </c>
      <c r="K559" t="s">
        <v>40</v>
      </c>
      <c r="L559">
        <v>13500</v>
      </c>
      <c r="M559">
        <v>18.867728395061729</v>
      </c>
      <c r="N559" t="s">
        <v>8</v>
      </c>
      <c r="O559" t="s">
        <v>781</v>
      </c>
      <c r="P559" t="s">
        <v>29</v>
      </c>
      <c r="Q559" t="s">
        <v>30</v>
      </c>
      <c r="R559" t="s">
        <v>31</v>
      </c>
      <c r="S559" t="s">
        <v>32</v>
      </c>
      <c r="T559" t="s">
        <v>1298</v>
      </c>
      <c r="U559" t="s">
        <v>100</v>
      </c>
      <c r="V559">
        <v>2547.143333333333</v>
      </c>
    </row>
    <row r="560" spans="1:22" x14ac:dyDescent="0.3">
      <c r="A560" t="s">
        <v>1553</v>
      </c>
      <c r="B560" s="2">
        <v>45958</v>
      </c>
      <c r="C560" t="s">
        <v>96</v>
      </c>
      <c r="D560" t="s">
        <v>24</v>
      </c>
      <c r="E560" t="s">
        <v>242</v>
      </c>
      <c r="F560">
        <v>3</v>
      </c>
      <c r="G560">
        <v>0.2</v>
      </c>
      <c r="H560">
        <v>1080</v>
      </c>
      <c r="I560">
        <v>-207.23</v>
      </c>
      <c r="J560" t="s">
        <v>26</v>
      </c>
      <c r="K560" t="s">
        <v>434</v>
      </c>
      <c r="L560">
        <v>360</v>
      </c>
      <c r="M560">
        <v>-19.18796296296296</v>
      </c>
      <c r="N560" t="s">
        <v>81</v>
      </c>
      <c r="O560" t="s">
        <v>97</v>
      </c>
      <c r="P560" t="s">
        <v>73</v>
      </c>
      <c r="Q560" t="s">
        <v>30</v>
      </c>
      <c r="R560" t="s">
        <v>98</v>
      </c>
      <c r="S560" t="s">
        <v>54</v>
      </c>
      <c r="T560" t="s">
        <v>99</v>
      </c>
      <c r="U560" t="s">
        <v>100</v>
      </c>
      <c r="V560">
        <v>-69.076666666666668</v>
      </c>
    </row>
    <row r="561" spans="1:22" x14ac:dyDescent="0.3">
      <c r="A561" t="s">
        <v>1554</v>
      </c>
      <c r="B561" s="2">
        <v>46127</v>
      </c>
      <c r="C561" t="s">
        <v>748</v>
      </c>
      <c r="D561" t="s">
        <v>49</v>
      </c>
      <c r="E561" t="s">
        <v>119</v>
      </c>
      <c r="F561">
        <v>1</v>
      </c>
      <c r="G561">
        <v>0.1</v>
      </c>
      <c r="H561">
        <v>8100</v>
      </c>
      <c r="I561">
        <v>1795.95</v>
      </c>
      <c r="J561" t="s">
        <v>26</v>
      </c>
      <c r="K561" t="s">
        <v>40</v>
      </c>
      <c r="L561">
        <v>8100</v>
      </c>
      <c r="M561">
        <v>22.172222222222221</v>
      </c>
      <c r="N561" t="s">
        <v>8</v>
      </c>
      <c r="O561" t="s">
        <v>749</v>
      </c>
      <c r="P561" t="s">
        <v>29</v>
      </c>
      <c r="Q561" t="s">
        <v>30</v>
      </c>
      <c r="R561" t="s">
        <v>60</v>
      </c>
      <c r="S561" t="s">
        <v>61</v>
      </c>
      <c r="T561" t="s">
        <v>750</v>
      </c>
      <c r="U561" t="s">
        <v>34</v>
      </c>
      <c r="V561">
        <v>1795.95</v>
      </c>
    </row>
    <row r="562" spans="1:22" x14ac:dyDescent="0.3">
      <c r="A562" t="s">
        <v>1555</v>
      </c>
      <c r="B562" s="2">
        <v>45977</v>
      </c>
      <c r="C562" t="s">
        <v>1447</v>
      </c>
      <c r="D562" t="s">
        <v>24</v>
      </c>
      <c r="E562" t="s">
        <v>92</v>
      </c>
      <c r="F562">
        <v>4</v>
      </c>
      <c r="G562">
        <v>0.05</v>
      </c>
      <c r="H562">
        <v>3420</v>
      </c>
      <c r="I562">
        <v>974.25</v>
      </c>
      <c r="J562" t="s">
        <v>65</v>
      </c>
      <c r="K562" t="s">
        <v>40</v>
      </c>
      <c r="L562">
        <v>855</v>
      </c>
      <c r="M562">
        <v>28.486842105263161</v>
      </c>
      <c r="N562" t="s">
        <v>8</v>
      </c>
      <c r="O562" t="s">
        <v>636</v>
      </c>
      <c r="P562" t="s">
        <v>29</v>
      </c>
      <c r="Q562" t="s">
        <v>74</v>
      </c>
      <c r="R562" t="s">
        <v>115</v>
      </c>
      <c r="S562" t="s">
        <v>115</v>
      </c>
      <c r="T562" t="s">
        <v>1448</v>
      </c>
      <c r="U562" t="s">
        <v>34</v>
      </c>
      <c r="V562">
        <v>243.5625</v>
      </c>
    </row>
    <row r="563" spans="1:22" x14ac:dyDescent="0.3">
      <c r="A563" t="s">
        <v>1556</v>
      </c>
      <c r="B563" s="2">
        <v>46126</v>
      </c>
      <c r="C563" t="s">
        <v>1557</v>
      </c>
      <c r="D563" t="s">
        <v>70</v>
      </c>
      <c r="E563" t="s">
        <v>108</v>
      </c>
      <c r="F563">
        <v>6</v>
      </c>
      <c r="G563">
        <v>0.05</v>
      </c>
      <c r="H563">
        <v>25650</v>
      </c>
      <c r="I563">
        <v>7986.74</v>
      </c>
      <c r="J563" t="s">
        <v>51</v>
      </c>
      <c r="K563" t="s">
        <v>40</v>
      </c>
      <c r="L563">
        <v>4275</v>
      </c>
      <c r="M563">
        <v>31.137387914230018</v>
      </c>
      <c r="N563" t="s">
        <v>8</v>
      </c>
      <c r="O563" t="s">
        <v>821</v>
      </c>
      <c r="P563" t="s">
        <v>73</v>
      </c>
      <c r="Q563" t="s">
        <v>42</v>
      </c>
      <c r="R563" t="s">
        <v>121</v>
      </c>
      <c r="S563" t="s">
        <v>44</v>
      </c>
      <c r="T563" t="s">
        <v>1558</v>
      </c>
      <c r="U563" t="s">
        <v>105</v>
      </c>
      <c r="V563">
        <v>1331.123333333333</v>
      </c>
    </row>
    <row r="564" spans="1:22" x14ac:dyDescent="0.3">
      <c r="A564" t="s">
        <v>1559</v>
      </c>
      <c r="B564" s="2">
        <v>46264</v>
      </c>
      <c r="C564" t="s">
        <v>1560</v>
      </c>
      <c r="D564" t="s">
        <v>24</v>
      </c>
      <c r="E564" t="s">
        <v>25</v>
      </c>
      <c r="F564">
        <v>4</v>
      </c>
      <c r="G564">
        <v>0.05</v>
      </c>
      <c r="H564">
        <v>53200</v>
      </c>
      <c r="I564">
        <v>-7951.38</v>
      </c>
      <c r="J564" t="s">
        <v>65</v>
      </c>
      <c r="K564" t="s">
        <v>80</v>
      </c>
      <c r="L564">
        <v>13300</v>
      </c>
      <c r="M564">
        <v>-14.9462030075188</v>
      </c>
      <c r="N564" t="s">
        <v>81</v>
      </c>
      <c r="O564" t="s">
        <v>161</v>
      </c>
      <c r="P564" t="s">
        <v>29</v>
      </c>
      <c r="Q564" t="s">
        <v>42</v>
      </c>
      <c r="R564" t="s">
        <v>110</v>
      </c>
      <c r="S564" t="s">
        <v>111</v>
      </c>
      <c r="T564" t="s">
        <v>1561</v>
      </c>
      <c r="U564" t="s">
        <v>46</v>
      </c>
      <c r="V564">
        <v>-1987.845</v>
      </c>
    </row>
    <row r="565" spans="1:22" x14ac:dyDescent="0.3">
      <c r="A565" t="s">
        <v>1562</v>
      </c>
      <c r="B565" s="2">
        <v>46087</v>
      </c>
      <c r="C565" t="s">
        <v>293</v>
      </c>
      <c r="D565" t="s">
        <v>49</v>
      </c>
      <c r="E565" t="s">
        <v>119</v>
      </c>
      <c r="F565">
        <v>2</v>
      </c>
      <c r="G565">
        <v>0.2</v>
      </c>
      <c r="H565">
        <v>14400</v>
      </c>
      <c r="I565">
        <v>1822.24</v>
      </c>
      <c r="J565" t="s">
        <v>65</v>
      </c>
      <c r="K565" t="s">
        <v>27</v>
      </c>
      <c r="L565">
        <v>7200</v>
      </c>
      <c r="M565">
        <v>12.65444444444444</v>
      </c>
      <c r="N565" t="s">
        <v>8</v>
      </c>
      <c r="O565" t="s">
        <v>294</v>
      </c>
      <c r="P565" t="s">
        <v>73</v>
      </c>
      <c r="Q565" t="s">
        <v>74</v>
      </c>
      <c r="R565" t="s">
        <v>115</v>
      </c>
      <c r="S565" t="s">
        <v>115</v>
      </c>
      <c r="T565" t="s">
        <v>295</v>
      </c>
      <c r="U565" t="s">
        <v>100</v>
      </c>
      <c r="V565">
        <v>911.12</v>
      </c>
    </row>
    <row r="566" spans="1:22" x14ac:dyDescent="0.3">
      <c r="A566" t="s">
        <v>1563</v>
      </c>
      <c r="B566" s="2">
        <v>45963</v>
      </c>
      <c r="C566" t="s">
        <v>144</v>
      </c>
      <c r="D566" t="s">
        <v>24</v>
      </c>
      <c r="E566" t="s">
        <v>25</v>
      </c>
      <c r="F566">
        <v>1</v>
      </c>
      <c r="G566">
        <v>0.1</v>
      </c>
      <c r="H566">
        <v>12600</v>
      </c>
      <c r="I566">
        <v>1639.14</v>
      </c>
      <c r="J566" t="s">
        <v>65</v>
      </c>
      <c r="K566" t="s">
        <v>40</v>
      </c>
      <c r="L566">
        <v>12600</v>
      </c>
      <c r="M566">
        <v>13.009047619047619</v>
      </c>
      <c r="N566" t="s">
        <v>8</v>
      </c>
      <c r="O566" t="s">
        <v>145</v>
      </c>
      <c r="P566" t="s">
        <v>83</v>
      </c>
      <c r="Q566" t="s">
        <v>30</v>
      </c>
      <c r="R566" t="s">
        <v>60</v>
      </c>
      <c r="S566" t="s">
        <v>61</v>
      </c>
      <c r="T566" t="s">
        <v>146</v>
      </c>
      <c r="U566" t="s">
        <v>105</v>
      </c>
      <c r="V566">
        <v>1639.14</v>
      </c>
    </row>
    <row r="567" spans="1:22" x14ac:dyDescent="0.3">
      <c r="A567" t="s">
        <v>1564</v>
      </c>
      <c r="B567" s="2">
        <v>45942</v>
      </c>
      <c r="C567" t="s">
        <v>1565</v>
      </c>
      <c r="D567" t="s">
        <v>24</v>
      </c>
      <c r="E567" t="s">
        <v>92</v>
      </c>
      <c r="F567">
        <v>4</v>
      </c>
      <c r="G567">
        <v>0.1</v>
      </c>
      <c r="H567">
        <v>3240</v>
      </c>
      <c r="I567">
        <v>818.33</v>
      </c>
      <c r="J567" t="s">
        <v>51</v>
      </c>
      <c r="K567" t="s">
        <v>40</v>
      </c>
      <c r="L567">
        <v>810</v>
      </c>
      <c r="M567">
        <v>25.257098765432101</v>
      </c>
      <c r="N567" t="s">
        <v>8</v>
      </c>
      <c r="O567" t="s">
        <v>1566</v>
      </c>
      <c r="P567" t="s">
        <v>83</v>
      </c>
      <c r="Q567" t="s">
        <v>42</v>
      </c>
      <c r="R567" t="s">
        <v>43</v>
      </c>
      <c r="S567" t="s">
        <v>44</v>
      </c>
      <c r="T567" t="s">
        <v>146</v>
      </c>
      <c r="U567" t="s">
        <v>34</v>
      </c>
      <c r="V567">
        <v>204.58250000000001</v>
      </c>
    </row>
    <row r="568" spans="1:22" x14ac:dyDescent="0.3">
      <c r="A568" t="s">
        <v>1567</v>
      </c>
      <c r="B568" s="2">
        <v>45988</v>
      </c>
      <c r="C568" t="s">
        <v>1568</v>
      </c>
      <c r="D568" t="s">
        <v>24</v>
      </c>
      <c r="E568" t="s">
        <v>92</v>
      </c>
      <c r="F568">
        <v>1</v>
      </c>
      <c r="G568">
        <v>0.15</v>
      </c>
      <c r="H568">
        <v>765</v>
      </c>
      <c r="I568">
        <v>190.59</v>
      </c>
      <c r="J568" t="s">
        <v>65</v>
      </c>
      <c r="K568" t="s">
        <v>40</v>
      </c>
      <c r="L568">
        <v>765</v>
      </c>
      <c r="M568">
        <v>24.913725490196079</v>
      </c>
      <c r="N568" t="s">
        <v>8</v>
      </c>
      <c r="O568" t="s">
        <v>1569</v>
      </c>
      <c r="P568" t="s">
        <v>83</v>
      </c>
      <c r="Q568" t="s">
        <v>42</v>
      </c>
      <c r="R568" t="s">
        <v>121</v>
      </c>
      <c r="S568" t="s">
        <v>44</v>
      </c>
      <c r="T568" t="s">
        <v>1570</v>
      </c>
      <c r="U568" t="s">
        <v>46</v>
      </c>
      <c r="V568">
        <v>190.59</v>
      </c>
    </row>
    <row r="569" spans="1:22" x14ac:dyDescent="0.3">
      <c r="A569" t="s">
        <v>1571</v>
      </c>
      <c r="B569" s="2">
        <v>45913</v>
      </c>
      <c r="C569" t="s">
        <v>1152</v>
      </c>
      <c r="D569" t="s">
        <v>49</v>
      </c>
      <c r="E569" t="s">
        <v>79</v>
      </c>
      <c r="F569">
        <v>1</v>
      </c>
      <c r="G569">
        <v>0.1</v>
      </c>
      <c r="H569">
        <v>9900</v>
      </c>
      <c r="I569">
        <v>1809.31</v>
      </c>
      <c r="J569" t="s">
        <v>26</v>
      </c>
      <c r="K569" t="s">
        <v>40</v>
      </c>
      <c r="L569">
        <v>9900</v>
      </c>
      <c r="M569">
        <v>18.27585858585859</v>
      </c>
      <c r="N569" t="s">
        <v>8</v>
      </c>
      <c r="O569" t="s">
        <v>995</v>
      </c>
      <c r="P569" t="s">
        <v>29</v>
      </c>
      <c r="Q569" t="s">
        <v>30</v>
      </c>
      <c r="R569" t="s">
        <v>31</v>
      </c>
      <c r="S569" t="s">
        <v>32</v>
      </c>
      <c r="T569" t="s">
        <v>960</v>
      </c>
      <c r="U569" t="s">
        <v>100</v>
      </c>
      <c r="V569">
        <v>1809.31</v>
      </c>
    </row>
    <row r="570" spans="1:22" x14ac:dyDescent="0.3">
      <c r="A570" t="s">
        <v>1572</v>
      </c>
      <c r="B570" s="2">
        <v>46167</v>
      </c>
      <c r="C570" t="s">
        <v>540</v>
      </c>
      <c r="D570" t="s">
        <v>24</v>
      </c>
      <c r="E570" t="s">
        <v>25</v>
      </c>
      <c r="F570">
        <v>3</v>
      </c>
      <c r="G570">
        <v>0.1</v>
      </c>
      <c r="H570">
        <v>37800</v>
      </c>
      <c r="I570">
        <v>5315.48</v>
      </c>
      <c r="J570" t="s">
        <v>39</v>
      </c>
      <c r="K570" t="s">
        <v>40</v>
      </c>
      <c r="L570">
        <v>12600</v>
      </c>
      <c r="M570">
        <v>14.0621164021164</v>
      </c>
      <c r="N570" t="s">
        <v>8</v>
      </c>
      <c r="O570" t="s">
        <v>435</v>
      </c>
      <c r="P570" t="s">
        <v>83</v>
      </c>
      <c r="Q570" t="s">
        <v>74</v>
      </c>
      <c r="R570" t="s">
        <v>237</v>
      </c>
      <c r="S570" t="s">
        <v>238</v>
      </c>
      <c r="T570" t="s">
        <v>541</v>
      </c>
      <c r="U570" t="s">
        <v>100</v>
      </c>
      <c r="V570">
        <v>1771.8266666666671</v>
      </c>
    </row>
    <row r="571" spans="1:22" x14ac:dyDescent="0.3">
      <c r="A571" t="s">
        <v>1573</v>
      </c>
      <c r="B571" s="2">
        <v>46057</v>
      </c>
      <c r="C571" t="s">
        <v>1140</v>
      </c>
      <c r="D571" t="s">
        <v>24</v>
      </c>
      <c r="E571" t="s">
        <v>87</v>
      </c>
      <c r="F571">
        <v>5</v>
      </c>
      <c r="G571">
        <v>0</v>
      </c>
      <c r="H571">
        <v>1750</v>
      </c>
      <c r="I571">
        <v>600</v>
      </c>
      <c r="J571" t="s">
        <v>39</v>
      </c>
      <c r="K571" t="s">
        <v>40</v>
      </c>
      <c r="L571">
        <v>350</v>
      </c>
      <c r="M571">
        <v>34.285714285714278</v>
      </c>
      <c r="N571" t="s">
        <v>8</v>
      </c>
      <c r="O571" t="s">
        <v>1141</v>
      </c>
      <c r="P571" t="s">
        <v>29</v>
      </c>
      <c r="Q571" t="s">
        <v>42</v>
      </c>
      <c r="R571" t="s">
        <v>214</v>
      </c>
      <c r="S571" t="s">
        <v>111</v>
      </c>
      <c r="T571" t="s">
        <v>471</v>
      </c>
      <c r="U571" t="s">
        <v>105</v>
      </c>
      <c r="V571">
        <v>120</v>
      </c>
    </row>
    <row r="572" spans="1:22" x14ac:dyDescent="0.3">
      <c r="A572" t="s">
        <v>1574</v>
      </c>
      <c r="B572" s="2">
        <v>46120</v>
      </c>
      <c r="C572" t="s">
        <v>1575</v>
      </c>
      <c r="D572" t="s">
        <v>24</v>
      </c>
      <c r="E572" t="s">
        <v>92</v>
      </c>
      <c r="F572">
        <v>2</v>
      </c>
      <c r="G572">
        <v>0.1</v>
      </c>
      <c r="H572">
        <v>1620</v>
      </c>
      <c r="I572">
        <v>443.7</v>
      </c>
      <c r="J572" t="s">
        <v>39</v>
      </c>
      <c r="K572" t="s">
        <v>40</v>
      </c>
      <c r="L572">
        <v>810</v>
      </c>
      <c r="M572">
        <v>27.388888888888889</v>
      </c>
      <c r="N572" t="s">
        <v>8</v>
      </c>
      <c r="O572" t="s">
        <v>349</v>
      </c>
      <c r="P572" t="s">
        <v>83</v>
      </c>
      <c r="Q572" t="s">
        <v>74</v>
      </c>
      <c r="R572" t="s">
        <v>75</v>
      </c>
      <c r="S572" t="s">
        <v>75</v>
      </c>
      <c r="T572" t="s">
        <v>1576</v>
      </c>
      <c r="U572" t="s">
        <v>34</v>
      </c>
      <c r="V572">
        <v>221.85</v>
      </c>
    </row>
    <row r="573" spans="1:22" x14ac:dyDescent="0.3">
      <c r="A573" t="s">
        <v>1577</v>
      </c>
      <c r="B573" s="2">
        <v>45925</v>
      </c>
      <c r="C573" t="s">
        <v>1578</v>
      </c>
      <c r="D573" t="s">
        <v>24</v>
      </c>
      <c r="E573" t="s">
        <v>25</v>
      </c>
      <c r="F573">
        <v>1</v>
      </c>
      <c r="G573">
        <v>0.1</v>
      </c>
      <c r="H573">
        <v>12600</v>
      </c>
      <c r="I573">
        <v>2014.56</v>
      </c>
      <c r="J573" t="s">
        <v>65</v>
      </c>
      <c r="K573" t="s">
        <v>40</v>
      </c>
      <c r="L573">
        <v>12600</v>
      </c>
      <c r="M573">
        <v>15.988571428571429</v>
      </c>
      <c r="N573" t="s">
        <v>8</v>
      </c>
      <c r="O573" t="s">
        <v>1579</v>
      </c>
      <c r="P573" t="s">
        <v>29</v>
      </c>
      <c r="Q573" t="s">
        <v>74</v>
      </c>
      <c r="R573" t="s">
        <v>115</v>
      </c>
      <c r="S573" t="s">
        <v>115</v>
      </c>
      <c r="T573" t="s">
        <v>1580</v>
      </c>
      <c r="U573" t="s">
        <v>100</v>
      </c>
      <c r="V573">
        <v>2014.56</v>
      </c>
    </row>
    <row r="574" spans="1:22" x14ac:dyDescent="0.3">
      <c r="A574" t="s">
        <v>1581</v>
      </c>
      <c r="B574" s="2">
        <v>46217</v>
      </c>
      <c r="C574" t="s">
        <v>1582</v>
      </c>
      <c r="D574" t="s">
        <v>37</v>
      </c>
      <c r="E574" t="s">
        <v>38</v>
      </c>
      <c r="F574">
        <v>4</v>
      </c>
      <c r="G574">
        <v>0.2</v>
      </c>
      <c r="H574">
        <v>5760</v>
      </c>
      <c r="I574">
        <v>1455.88</v>
      </c>
      <c r="J574" t="s">
        <v>26</v>
      </c>
      <c r="K574" t="s">
        <v>40</v>
      </c>
      <c r="L574">
        <v>1440</v>
      </c>
      <c r="M574">
        <v>25.275694444444451</v>
      </c>
      <c r="N574" t="s">
        <v>8</v>
      </c>
      <c r="O574" t="s">
        <v>1583</v>
      </c>
      <c r="P574" t="s">
        <v>73</v>
      </c>
      <c r="Q574" t="s">
        <v>30</v>
      </c>
      <c r="R574" t="s">
        <v>53</v>
      </c>
      <c r="S574" t="s">
        <v>54</v>
      </c>
      <c r="T574" t="s">
        <v>370</v>
      </c>
      <c r="U574" t="s">
        <v>105</v>
      </c>
      <c r="V574">
        <v>363.97</v>
      </c>
    </row>
    <row r="575" spans="1:22" x14ac:dyDescent="0.3">
      <c r="A575" t="s">
        <v>1584</v>
      </c>
      <c r="B575" s="2">
        <v>45881</v>
      </c>
      <c r="C575" t="s">
        <v>1585</v>
      </c>
      <c r="D575" t="s">
        <v>49</v>
      </c>
      <c r="E575" t="s">
        <v>50</v>
      </c>
      <c r="F575">
        <v>3</v>
      </c>
      <c r="G575">
        <v>0.1</v>
      </c>
      <c r="H575">
        <v>35100</v>
      </c>
      <c r="I575">
        <v>7627.83</v>
      </c>
      <c r="J575" t="s">
        <v>26</v>
      </c>
      <c r="K575" t="s">
        <v>27</v>
      </c>
      <c r="L575">
        <v>11700</v>
      </c>
      <c r="M575">
        <v>21.731709401709399</v>
      </c>
      <c r="N575" t="s">
        <v>8</v>
      </c>
      <c r="O575" t="s">
        <v>1586</v>
      </c>
      <c r="P575" t="s">
        <v>29</v>
      </c>
      <c r="Q575" t="s">
        <v>74</v>
      </c>
      <c r="R575" t="s">
        <v>493</v>
      </c>
      <c r="S575" t="s">
        <v>494</v>
      </c>
      <c r="T575" t="s">
        <v>876</v>
      </c>
      <c r="U575" t="s">
        <v>34</v>
      </c>
      <c r="V575">
        <v>2542.61</v>
      </c>
    </row>
    <row r="576" spans="1:22" x14ac:dyDescent="0.3">
      <c r="A576" t="s">
        <v>1587</v>
      </c>
      <c r="B576" s="2">
        <v>45931</v>
      </c>
      <c r="C576" t="s">
        <v>217</v>
      </c>
      <c r="D576" t="s">
        <v>70</v>
      </c>
      <c r="E576" t="s">
        <v>108</v>
      </c>
      <c r="F576">
        <v>3</v>
      </c>
      <c r="G576">
        <v>0</v>
      </c>
      <c r="H576">
        <v>13500</v>
      </c>
      <c r="I576">
        <v>4500</v>
      </c>
      <c r="J576" t="s">
        <v>39</v>
      </c>
      <c r="K576" t="s">
        <v>40</v>
      </c>
      <c r="L576">
        <v>4500</v>
      </c>
      <c r="M576">
        <v>33.333333333333329</v>
      </c>
      <c r="N576" t="s">
        <v>8</v>
      </c>
      <c r="O576" t="s">
        <v>218</v>
      </c>
      <c r="P576" t="s">
        <v>29</v>
      </c>
      <c r="Q576" t="s">
        <v>30</v>
      </c>
      <c r="R576" t="s">
        <v>31</v>
      </c>
      <c r="S576" t="s">
        <v>32</v>
      </c>
      <c r="T576" t="s">
        <v>219</v>
      </c>
      <c r="U576" t="s">
        <v>100</v>
      </c>
      <c r="V576">
        <v>1500</v>
      </c>
    </row>
    <row r="577" spans="1:22" x14ac:dyDescent="0.3">
      <c r="A577" t="s">
        <v>1588</v>
      </c>
      <c r="B577" s="2">
        <v>46076</v>
      </c>
      <c r="C577" t="s">
        <v>1589</v>
      </c>
      <c r="D577" t="s">
        <v>70</v>
      </c>
      <c r="E577" t="s">
        <v>129</v>
      </c>
      <c r="F577">
        <v>3</v>
      </c>
      <c r="G577">
        <v>0</v>
      </c>
      <c r="H577">
        <v>165000</v>
      </c>
      <c r="I577">
        <v>27000</v>
      </c>
      <c r="J577" t="s">
        <v>65</v>
      </c>
      <c r="K577" t="s">
        <v>40</v>
      </c>
      <c r="L577">
        <v>55000</v>
      </c>
      <c r="M577">
        <v>16.36363636363636</v>
      </c>
      <c r="N577" t="s">
        <v>8</v>
      </c>
      <c r="O577" t="s">
        <v>984</v>
      </c>
      <c r="P577" t="s">
        <v>29</v>
      </c>
      <c r="Q577" t="s">
        <v>131</v>
      </c>
      <c r="R577" t="s">
        <v>132</v>
      </c>
      <c r="S577" t="s">
        <v>133</v>
      </c>
      <c r="T577" t="s">
        <v>1590</v>
      </c>
      <c r="U577" t="s">
        <v>34</v>
      </c>
      <c r="V577">
        <v>9000</v>
      </c>
    </row>
    <row r="578" spans="1:22" x14ac:dyDescent="0.3">
      <c r="A578" t="s">
        <v>1591</v>
      </c>
      <c r="B578" s="2">
        <v>46143</v>
      </c>
      <c r="C578" t="s">
        <v>598</v>
      </c>
      <c r="D578" t="s">
        <v>49</v>
      </c>
      <c r="E578" t="s">
        <v>79</v>
      </c>
      <c r="F578">
        <v>2</v>
      </c>
      <c r="G578">
        <v>0.1</v>
      </c>
      <c r="H578">
        <v>19800</v>
      </c>
      <c r="I578">
        <v>3632.73</v>
      </c>
      <c r="J578" t="s">
        <v>51</v>
      </c>
      <c r="K578" t="s">
        <v>40</v>
      </c>
      <c r="L578">
        <v>9900</v>
      </c>
      <c r="M578">
        <v>18.347121212121209</v>
      </c>
      <c r="N578" t="s">
        <v>8</v>
      </c>
      <c r="O578" t="s">
        <v>599</v>
      </c>
      <c r="P578" t="s">
        <v>600</v>
      </c>
      <c r="Q578" t="s">
        <v>131</v>
      </c>
      <c r="R578" t="s">
        <v>200</v>
      </c>
      <c r="S578" t="s">
        <v>201</v>
      </c>
      <c r="T578" t="s">
        <v>601</v>
      </c>
      <c r="U578" t="s">
        <v>34</v>
      </c>
      <c r="V578">
        <v>1816.365</v>
      </c>
    </row>
    <row r="579" spans="1:22" x14ac:dyDescent="0.3">
      <c r="A579" t="s">
        <v>1592</v>
      </c>
      <c r="B579" s="2">
        <v>46177</v>
      </c>
      <c r="C579" t="s">
        <v>810</v>
      </c>
      <c r="D579" t="s">
        <v>70</v>
      </c>
      <c r="E579" t="s">
        <v>129</v>
      </c>
      <c r="F579">
        <v>1</v>
      </c>
      <c r="G579">
        <v>0.15</v>
      </c>
      <c r="H579">
        <v>46750</v>
      </c>
      <c r="I579">
        <v>-25389.09</v>
      </c>
      <c r="J579" t="s">
        <v>39</v>
      </c>
      <c r="K579" t="s">
        <v>434</v>
      </c>
      <c r="L579">
        <v>46750</v>
      </c>
      <c r="M579">
        <v>-54.308213903743322</v>
      </c>
      <c r="N579" t="s">
        <v>81</v>
      </c>
      <c r="O579" t="s">
        <v>811</v>
      </c>
      <c r="P579" t="s">
        <v>73</v>
      </c>
      <c r="Q579" t="s">
        <v>30</v>
      </c>
      <c r="R579" t="s">
        <v>60</v>
      </c>
      <c r="S579" t="s">
        <v>61</v>
      </c>
      <c r="T579" t="s">
        <v>812</v>
      </c>
      <c r="U579" t="s">
        <v>34</v>
      </c>
      <c r="V579">
        <v>-25389.09</v>
      </c>
    </row>
    <row r="580" spans="1:22" x14ac:dyDescent="0.3">
      <c r="A580" t="s">
        <v>1593</v>
      </c>
      <c r="B580" s="2">
        <v>46225</v>
      </c>
      <c r="C580" t="s">
        <v>1594</v>
      </c>
      <c r="D580" t="s">
        <v>24</v>
      </c>
      <c r="E580" t="s">
        <v>92</v>
      </c>
      <c r="F580">
        <v>10</v>
      </c>
      <c r="G580">
        <v>0.1</v>
      </c>
      <c r="H580">
        <v>8100</v>
      </c>
      <c r="I580">
        <v>2137.08</v>
      </c>
      <c r="J580" t="s">
        <v>39</v>
      </c>
      <c r="K580" t="s">
        <v>40</v>
      </c>
      <c r="L580">
        <v>810</v>
      </c>
      <c r="M580">
        <v>26.383703703703699</v>
      </c>
      <c r="N580" t="s">
        <v>8</v>
      </c>
      <c r="O580" t="s">
        <v>523</v>
      </c>
      <c r="P580" t="s">
        <v>83</v>
      </c>
      <c r="Q580" t="s">
        <v>30</v>
      </c>
      <c r="R580" t="s">
        <v>31</v>
      </c>
      <c r="S580" t="s">
        <v>32</v>
      </c>
      <c r="T580" t="s">
        <v>767</v>
      </c>
      <c r="U580" t="s">
        <v>105</v>
      </c>
      <c r="V580">
        <v>213.708</v>
      </c>
    </row>
    <row r="581" spans="1:22" x14ac:dyDescent="0.3">
      <c r="A581" t="s">
        <v>1595</v>
      </c>
      <c r="B581" s="2">
        <v>46013</v>
      </c>
      <c r="C581" t="s">
        <v>102</v>
      </c>
      <c r="D581" t="s">
        <v>37</v>
      </c>
      <c r="E581" t="s">
        <v>170</v>
      </c>
      <c r="F581">
        <v>1</v>
      </c>
      <c r="G581">
        <v>0.15</v>
      </c>
      <c r="H581">
        <v>1190</v>
      </c>
      <c r="I581">
        <v>-25.65</v>
      </c>
      <c r="J581" t="s">
        <v>39</v>
      </c>
      <c r="K581" t="s">
        <v>434</v>
      </c>
      <c r="L581">
        <v>1190</v>
      </c>
      <c r="M581">
        <v>-2.155462184873949</v>
      </c>
      <c r="N581" t="s">
        <v>81</v>
      </c>
      <c r="O581" t="s">
        <v>103</v>
      </c>
      <c r="P581" t="s">
        <v>29</v>
      </c>
      <c r="Q581" t="s">
        <v>30</v>
      </c>
      <c r="R581" t="s">
        <v>98</v>
      </c>
      <c r="S581" t="s">
        <v>54</v>
      </c>
      <c r="T581" t="s">
        <v>104</v>
      </c>
      <c r="U581" t="s">
        <v>105</v>
      </c>
      <c r="V581">
        <v>-25.65</v>
      </c>
    </row>
    <row r="582" spans="1:22" x14ac:dyDescent="0.3">
      <c r="A582" t="s">
        <v>1596</v>
      </c>
      <c r="B582" s="2">
        <v>45844</v>
      </c>
      <c r="C582" t="s">
        <v>1597</v>
      </c>
      <c r="D582" t="s">
        <v>70</v>
      </c>
      <c r="E582" t="s">
        <v>71</v>
      </c>
      <c r="F582">
        <v>1</v>
      </c>
      <c r="G582">
        <v>0.05</v>
      </c>
      <c r="H582">
        <v>17100</v>
      </c>
      <c r="I582">
        <v>3063.36</v>
      </c>
      <c r="J582" t="s">
        <v>65</v>
      </c>
      <c r="K582" t="s">
        <v>40</v>
      </c>
      <c r="L582">
        <v>17100</v>
      </c>
      <c r="M582">
        <v>17.914385964912281</v>
      </c>
      <c r="N582" t="s">
        <v>8</v>
      </c>
      <c r="O582" t="s">
        <v>1383</v>
      </c>
      <c r="P582" t="s">
        <v>29</v>
      </c>
      <c r="Q582" t="s">
        <v>42</v>
      </c>
      <c r="R582" t="s">
        <v>43</v>
      </c>
      <c r="S582" t="s">
        <v>44</v>
      </c>
      <c r="T582" t="s">
        <v>407</v>
      </c>
      <c r="U582" t="s">
        <v>46</v>
      </c>
      <c r="V582">
        <v>3063.36</v>
      </c>
    </row>
    <row r="583" spans="1:22" x14ac:dyDescent="0.3">
      <c r="A583" t="s">
        <v>1598</v>
      </c>
      <c r="B583" s="2">
        <v>46153</v>
      </c>
      <c r="C583" t="s">
        <v>1599</v>
      </c>
      <c r="D583" t="s">
        <v>24</v>
      </c>
      <c r="E583" t="s">
        <v>242</v>
      </c>
      <c r="F583">
        <v>2</v>
      </c>
      <c r="G583">
        <v>0</v>
      </c>
      <c r="H583">
        <v>900</v>
      </c>
      <c r="I583">
        <v>220</v>
      </c>
      <c r="J583" t="s">
        <v>51</v>
      </c>
      <c r="K583" t="s">
        <v>40</v>
      </c>
      <c r="L583">
        <v>450</v>
      </c>
      <c r="M583">
        <v>24.444444444444439</v>
      </c>
      <c r="N583" t="s">
        <v>8</v>
      </c>
      <c r="O583" t="s">
        <v>259</v>
      </c>
      <c r="P583" t="s">
        <v>29</v>
      </c>
      <c r="Q583" t="s">
        <v>42</v>
      </c>
      <c r="R583" t="s">
        <v>121</v>
      </c>
      <c r="S583" t="s">
        <v>44</v>
      </c>
      <c r="T583" t="s">
        <v>1062</v>
      </c>
      <c r="U583" t="s">
        <v>100</v>
      </c>
      <c r="V583">
        <v>110</v>
      </c>
    </row>
    <row r="584" spans="1:22" x14ac:dyDescent="0.3">
      <c r="A584" t="s">
        <v>1600</v>
      </c>
      <c r="B584" s="2">
        <v>46242</v>
      </c>
      <c r="C584" t="s">
        <v>164</v>
      </c>
      <c r="D584" t="s">
        <v>24</v>
      </c>
      <c r="E584" t="s">
        <v>92</v>
      </c>
      <c r="F584">
        <v>1</v>
      </c>
      <c r="G584">
        <v>0</v>
      </c>
      <c r="H584">
        <v>900</v>
      </c>
      <c r="I584">
        <v>280</v>
      </c>
      <c r="J584" t="s">
        <v>51</v>
      </c>
      <c r="K584" t="s">
        <v>40</v>
      </c>
      <c r="L584">
        <v>900</v>
      </c>
      <c r="M584">
        <v>31.111111111111111</v>
      </c>
      <c r="N584" t="s">
        <v>8</v>
      </c>
      <c r="O584" t="s">
        <v>166</v>
      </c>
      <c r="P584" t="s">
        <v>73</v>
      </c>
      <c r="Q584" t="s">
        <v>30</v>
      </c>
      <c r="R584" t="s">
        <v>53</v>
      </c>
      <c r="S584" t="s">
        <v>54</v>
      </c>
      <c r="T584" t="s">
        <v>167</v>
      </c>
      <c r="U584" t="s">
        <v>46</v>
      </c>
      <c r="V584">
        <v>280</v>
      </c>
    </row>
    <row r="585" spans="1:22" x14ac:dyDescent="0.3">
      <c r="A585" t="s">
        <v>1601</v>
      </c>
      <c r="B585" s="2">
        <v>45842</v>
      </c>
      <c r="C585" t="s">
        <v>1602</v>
      </c>
      <c r="D585" t="s">
        <v>49</v>
      </c>
      <c r="E585" t="s">
        <v>79</v>
      </c>
      <c r="F585">
        <v>3</v>
      </c>
      <c r="G585">
        <v>0.1</v>
      </c>
      <c r="H585">
        <v>29700</v>
      </c>
      <c r="I585">
        <v>6108.03</v>
      </c>
      <c r="J585" t="s">
        <v>65</v>
      </c>
      <c r="K585" t="s">
        <v>40</v>
      </c>
      <c r="L585">
        <v>9900</v>
      </c>
      <c r="M585">
        <v>20.56575757575758</v>
      </c>
      <c r="N585" t="s">
        <v>8</v>
      </c>
      <c r="O585" t="s">
        <v>1237</v>
      </c>
      <c r="P585" t="s">
        <v>73</v>
      </c>
      <c r="Q585" t="s">
        <v>131</v>
      </c>
      <c r="R585" t="s">
        <v>449</v>
      </c>
      <c r="S585" t="s">
        <v>450</v>
      </c>
      <c r="T585" t="s">
        <v>880</v>
      </c>
      <c r="U585" t="s">
        <v>105</v>
      </c>
      <c r="V585">
        <v>2036.01</v>
      </c>
    </row>
    <row r="586" spans="1:22" x14ac:dyDescent="0.3">
      <c r="A586" t="s">
        <v>1603</v>
      </c>
      <c r="B586" s="2">
        <v>46186</v>
      </c>
      <c r="C586" t="s">
        <v>321</v>
      </c>
      <c r="D586" t="s">
        <v>24</v>
      </c>
      <c r="E586" t="s">
        <v>25</v>
      </c>
      <c r="F586">
        <v>2</v>
      </c>
      <c r="G586">
        <v>0.05</v>
      </c>
      <c r="H586">
        <v>26600</v>
      </c>
      <c r="I586">
        <v>4421.34</v>
      </c>
      <c r="J586" t="s">
        <v>51</v>
      </c>
      <c r="K586" t="s">
        <v>40</v>
      </c>
      <c r="L586">
        <v>13300</v>
      </c>
      <c r="M586">
        <v>16.62157894736842</v>
      </c>
      <c r="N586" t="s">
        <v>8</v>
      </c>
      <c r="O586" t="s">
        <v>322</v>
      </c>
      <c r="P586" t="s">
        <v>29</v>
      </c>
      <c r="Q586" t="s">
        <v>30</v>
      </c>
      <c r="R586" t="s">
        <v>31</v>
      </c>
      <c r="S586" t="s">
        <v>32</v>
      </c>
      <c r="T586" t="s">
        <v>323</v>
      </c>
      <c r="U586" t="s">
        <v>34</v>
      </c>
      <c r="V586">
        <v>2210.67</v>
      </c>
    </row>
    <row r="587" spans="1:22" x14ac:dyDescent="0.3">
      <c r="A587" t="s">
        <v>1604</v>
      </c>
      <c r="B587" s="2">
        <v>46070</v>
      </c>
      <c r="C587" t="s">
        <v>1605</v>
      </c>
      <c r="D587" t="s">
        <v>49</v>
      </c>
      <c r="E587" t="s">
        <v>50</v>
      </c>
      <c r="F587">
        <v>1</v>
      </c>
      <c r="G587">
        <v>0.1</v>
      </c>
      <c r="H587">
        <v>11700</v>
      </c>
      <c r="I587">
        <v>2332.7399999999998</v>
      </c>
      <c r="J587" t="s">
        <v>65</v>
      </c>
      <c r="K587" t="s">
        <v>40</v>
      </c>
      <c r="L587">
        <v>11700</v>
      </c>
      <c r="M587">
        <v>19.937948717948721</v>
      </c>
      <c r="N587" t="s">
        <v>8</v>
      </c>
      <c r="O587" t="s">
        <v>1606</v>
      </c>
      <c r="P587" t="s">
        <v>73</v>
      </c>
      <c r="Q587" t="s">
        <v>30</v>
      </c>
      <c r="R587" t="s">
        <v>53</v>
      </c>
      <c r="S587" t="s">
        <v>54</v>
      </c>
      <c r="T587" t="s">
        <v>1607</v>
      </c>
      <c r="U587" t="s">
        <v>34</v>
      </c>
      <c r="V587">
        <v>2332.7399999999998</v>
      </c>
    </row>
    <row r="588" spans="1:22" x14ac:dyDescent="0.3">
      <c r="A588" t="s">
        <v>1608</v>
      </c>
      <c r="B588" s="2">
        <v>45945</v>
      </c>
      <c r="C588" t="s">
        <v>1116</v>
      </c>
      <c r="D588" t="s">
        <v>37</v>
      </c>
      <c r="E588" t="s">
        <v>170</v>
      </c>
      <c r="F588">
        <v>1</v>
      </c>
      <c r="G588">
        <v>0.2</v>
      </c>
      <c r="H588">
        <v>1120</v>
      </c>
      <c r="I588">
        <v>364.85</v>
      </c>
      <c r="J588" t="s">
        <v>39</v>
      </c>
      <c r="K588" t="s">
        <v>40</v>
      </c>
      <c r="L588">
        <v>1120</v>
      </c>
      <c r="M588">
        <v>32.575892857142847</v>
      </c>
      <c r="N588" t="s">
        <v>8</v>
      </c>
      <c r="O588" t="s">
        <v>1117</v>
      </c>
      <c r="P588" t="s">
        <v>29</v>
      </c>
      <c r="Q588" t="s">
        <v>30</v>
      </c>
      <c r="R588" t="s">
        <v>98</v>
      </c>
      <c r="S588" t="s">
        <v>54</v>
      </c>
      <c r="T588" t="s">
        <v>1118</v>
      </c>
      <c r="U588" t="s">
        <v>34</v>
      </c>
      <c r="V588">
        <v>364.85</v>
      </c>
    </row>
    <row r="589" spans="1:22" x14ac:dyDescent="0.3">
      <c r="A589" t="s">
        <v>1609</v>
      </c>
      <c r="B589" s="2">
        <v>45848</v>
      </c>
      <c r="C589" t="s">
        <v>1610</v>
      </c>
      <c r="D589" t="s">
        <v>49</v>
      </c>
      <c r="E589" t="s">
        <v>119</v>
      </c>
      <c r="F589">
        <v>3</v>
      </c>
      <c r="G589">
        <v>0.2</v>
      </c>
      <c r="H589">
        <v>21600</v>
      </c>
      <c r="I589">
        <v>4109.97</v>
      </c>
      <c r="J589" t="s">
        <v>51</v>
      </c>
      <c r="K589" t="s">
        <v>40</v>
      </c>
      <c r="L589">
        <v>7200</v>
      </c>
      <c r="M589">
        <v>19.027638888888891</v>
      </c>
      <c r="N589" t="s">
        <v>8</v>
      </c>
      <c r="O589" t="s">
        <v>1611</v>
      </c>
      <c r="P589" t="s">
        <v>29</v>
      </c>
      <c r="Q589" t="s">
        <v>131</v>
      </c>
      <c r="R589" t="s">
        <v>289</v>
      </c>
      <c r="S589" t="s">
        <v>290</v>
      </c>
      <c r="T589" t="s">
        <v>1612</v>
      </c>
      <c r="U589" t="s">
        <v>100</v>
      </c>
      <c r="V589">
        <v>1369.99</v>
      </c>
    </row>
    <row r="590" spans="1:22" x14ac:dyDescent="0.3">
      <c r="A590" t="s">
        <v>1613</v>
      </c>
      <c r="B590" s="2">
        <v>45995</v>
      </c>
      <c r="C590" t="s">
        <v>562</v>
      </c>
      <c r="D590" t="s">
        <v>70</v>
      </c>
      <c r="E590" t="s">
        <v>165</v>
      </c>
      <c r="F590">
        <v>1</v>
      </c>
      <c r="G590">
        <v>0</v>
      </c>
      <c r="H590">
        <v>2500</v>
      </c>
      <c r="I590">
        <v>800</v>
      </c>
      <c r="J590" t="s">
        <v>39</v>
      </c>
      <c r="K590" t="s">
        <v>40</v>
      </c>
      <c r="L590">
        <v>2500</v>
      </c>
      <c r="M590">
        <v>32</v>
      </c>
      <c r="N590" t="s">
        <v>8</v>
      </c>
      <c r="O590" t="s">
        <v>563</v>
      </c>
      <c r="P590" t="s">
        <v>29</v>
      </c>
      <c r="Q590" t="s">
        <v>30</v>
      </c>
      <c r="R590" t="s">
        <v>60</v>
      </c>
      <c r="S590" t="s">
        <v>61</v>
      </c>
      <c r="T590" t="s">
        <v>564</v>
      </c>
      <c r="U590" t="s">
        <v>100</v>
      </c>
      <c r="V590">
        <v>800</v>
      </c>
    </row>
    <row r="591" spans="1:22" x14ac:dyDescent="0.3">
      <c r="A591" t="s">
        <v>1614</v>
      </c>
      <c r="B591" s="2">
        <v>46058</v>
      </c>
      <c r="C591" t="s">
        <v>1615</v>
      </c>
      <c r="D591" t="s">
        <v>49</v>
      </c>
      <c r="E591" t="s">
        <v>119</v>
      </c>
      <c r="F591">
        <v>1</v>
      </c>
      <c r="G591">
        <v>0.1</v>
      </c>
      <c r="H591">
        <v>8100</v>
      </c>
      <c r="I591">
        <v>1543.95</v>
      </c>
      <c r="J591" t="s">
        <v>51</v>
      </c>
      <c r="K591" t="s">
        <v>40</v>
      </c>
      <c r="L591">
        <v>8100</v>
      </c>
      <c r="M591">
        <v>19.06111111111111</v>
      </c>
      <c r="N591" t="s">
        <v>8</v>
      </c>
      <c r="O591" t="s">
        <v>398</v>
      </c>
      <c r="P591" t="s">
        <v>73</v>
      </c>
      <c r="Q591" t="s">
        <v>131</v>
      </c>
      <c r="R591" t="s">
        <v>449</v>
      </c>
      <c r="S591" t="s">
        <v>450</v>
      </c>
      <c r="T591" t="s">
        <v>1616</v>
      </c>
      <c r="U591" t="s">
        <v>100</v>
      </c>
      <c r="V591">
        <v>1543.95</v>
      </c>
    </row>
    <row r="592" spans="1:22" x14ac:dyDescent="0.3">
      <c r="A592" t="s">
        <v>1617</v>
      </c>
      <c r="B592" s="2">
        <v>46009</v>
      </c>
      <c r="C592" t="s">
        <v>1618</v>
      </c>
      <c r="D592" t="s">
        <v>37</v>
      </c>
      <c r="E592" t="s">
        <v>190</v>
      </c>
      <c r="F592">
        <v>1</v>
      </c>
      <c r="G592">
        <v>0.1</v>
      </c>
      <c r="H592">
        <v>3780</v>
      </c>
      <c r="I592">
        <v>869.68</v>
      </c>
      <c r="J592" t="s">
        <v>39</v>
      </c>
      <c r="K592" t="s">
        <v>40</v>
      </c>
      <c r="L592">
        <v>3780</v>
      </c>
      <c r="M592">
        <v>23.00740740740741</v>
      </c>
      <c r="N592" t="s">
        <v>8</v>
      </c>
      <c r="O592" t="s">
        <v>847</v>
      </c>
      <c r="P592" t="s">
        <v>29</v>
      </c>
      <c r="Q592" t="s">
        <v>42</v>
      </c>
      <c r="R592" t="s">
        <v>214</v>
      </c>
      <c r="S592" t="s">
        <v>111</v>
      </c>
      <c r="T592" t="s">
        <v>1619</v>
      </c>
      <c r="U592" t="s">
        <v>46</v>
      </c>
      <c r="V592">
        <v>869.68</v>
      </c>
    </row>
    <row r="593" spans="1:22" x14ac:dyDescent="0.3">
      <c r="A593" t="s">
        <v>1620</v>
      </c>
      <c r="B593" s="2">
        <v>45945</v>
      </c>
      <c r="C593" t="s">
        <v>1004</v>
      </c>
      <c r="D593" t="s">
        <v>70</v>
      </c>
      <c r="E593" t="s">
        <v>71</v>
      </c>
      <c r="F593">
        <v>5</v>
      </c>
      <c r="G593">
        <v>0</v>
      </c>
      <c r="H593">
        <v>90000</v>
      </c>
      <c r="I593">
        <v>17500</v>
      </c>
      <c r="J593" t="s">
        <v>65</v>
      </c>
      <c r="K593" t="s">
        <v>40</v>
      </c>
      <c r="L593">
        <v>18000</v>
      </c>
      <c r="M593">
        <v>19.44444444444445</v>
      </c>
      <c r="N593" t="s">
        <v>8</v>
      </c>
      <c r="O593" t="s">
        <v>1005</v>
      </c>
      <c r="P593" t="s">
        <v>29</v>
      </c>
      <c r="Q593" t="s">
        <v>30</v>
      </c>
      <c r="R593" t="s">
        <v>98</v>
      </c>
      <c r="S593" t="s">
        <v>54</v>
      </c>
      <c r="T593" t="s">
        <v>1006</v>
      </c>
      <c r="U593" t="s">
        <v>105</v>
      </c>
      <c r="V593">
        <v>3500</v>
      </c>
    </row>
    <row r="594" spans="1:22" x14ac:dyDescent="0.3">
      <c r="A594" t="s">
        <v>1621</v>
      </c>
      <c r="B594" s="2">
        <v>45933</v>
      </c>
      <c r="C594" t="s">
        <v>217</v>
      </c>
      <c r="D594" t="s">
        <v>70</v>
      </c>
      <c r="E594" t="s">
        <v>129</v>
      </c>
      <c r="F594">
        <v>4</v>
      </c>
      <c r="G594">
        <v>0.05</v>
      </c>
      <c r="H594">
        <v>209000</v>
      </c>
      <c r="I594">
        <v>28668.28</v>
      </c>
      <c r="J594" t="s">
        <v>65</v>
      </c>
      <c r="K594" t="s">
        <v>40</v>
      </c>
      <c r="L594">
        <v>52250</v>
      </c>
      <c r="M594">
        <v>13.71688038277512</v>
      </c>
      <c r="N594" t="s">
        <v>8</v>
      </c>
      <c r="O594" t="s">
        <v>218</v>
      </c>
      <c r="P594" t="s">
        <v>29</v>
      </c>
      <c r="Q594" t="s">
        <v>30</v>
      </c>
      <c r="R594" t="s">
        <v>31</v>
      </c>
      <c r="S594" t="s">
        <v>32</v>
      </c>
      <c r="T594" t="s">
        <v>219</v>
      </c>
      <c r="U594" t="s">
        <v>100</v>
      </c>
      <c r="V594">
        <v>7167.07</v>
      </c>
    </row>
    <row r="595" spans="1:22" x14ac:dyDescent="0.3">
      <c r="A595" t="s">
        <v>1622</v>
      </c>
      <c r="B595" s="2">
        <v>46262</v>
      </c>
      <c r="C595" t="s">
        <v>878</v>
      </c>
      <c r="D595" t="s">
        <v>49</v>
      </c>
      <c r="E595" t="s">
        <v>50</v>
      </c>
      <c r="F595">
        <v>3</v>
      </c>
      <c r="G595">
        <v>0</v>
      </c>
      <c r="H595">
        <v>39000</v>
      </c>
      <c r="I595">
        <v>9600</v>
      </c>
      <c r="J595" t="s">
        <v>26</v>
      </c>
      <c r="K595" t="s">
        <v>40</v>
      </c>
      <c r="L595">
        <v>13000</v>
      </c>
      <c r="M595">
        <v>24.61538461538462</v>
      </c>
      <c r="N595" t="s">
        <v>8</v>
      </c>
      <c r="O595" t="s">
        <v>879</v>
      </c>
      <c r="P595" t="s">
        <v>83</v>
      </c>
      <c r="Q595" t="s">
        <v>30</v>
      </c>
      <c r="R595" t="s">
        <v>98</v>
      </c>
      <c r="S595" t="s">
        <v>54</v>
      </c>
      <c r="T595" t="s">
        <v>880</v>
      </c>
      <c r="U595" t="s">
        <v>46</v>
      </c>
      <c r="V595">
        <v>3200</v>
      </c>
    </row>
    <row r="596" spans="1:22" x14ac:dyDescent="0.3">
      <c r="A596" t="s">
        <v>1623</v>
      </c>
      <c r="B596" s="2">
        <v>46176</v>
      </c>
      <c r="C596" t="s">
        <v>283</v>
      </c>
      <c r="D596" t="s">
        <v>49</v>
      </c>
      <c r="E596" t="s">
        <v>119</v>
      </c>
      <c r="F596">
        <v>6</v>
      </c>
      <c r="G596">
        <v>0.05</v>
      </c>
      <c r="H596">
        <v>51300</v>
      </c>
      <c r="I596">
        <v>-11212.54</v>
      </c>
      <c r="J596" t="s">
        <v>51</v>
      </c>
      <c r="K596" t="s">
        <v>434</v>
      </c>
      <c r="L596">
        <v>8550</v>
      </c>
      <c r="M596">
        <v>-21.856803118908381</v>
      </c>
      <c r="N596" t="s">
        <v>81</v>
      </c>
      <c r="O596" t="s">
        <v>284</v>
      </c>
      <c r="P596" t="s">
        <v>29</v>
      </c>
      <c r="Q596" t="s">
        <v>30</v>
      </c>
      <c r="R596" t="s">
        <v>53</v>
      </c>
      <c r="S596" t="s">
        <v>54</v>
      </c>
      <c r="T596" t="s">
        <v>285</v>
      </c>
      <c r="U596" t="s">
        <v>34</v>
      </c>
      <c r="V596">
        <v>-1868.7566666666669</v>
      </c>
    </row>
    <row r="597" spans="1:22" x14ac:dyDescent="0.3">
      <c r="A597" t="s">
        <v>1624</v>
      </c>
      <c r="B597" s="2">
        <v>46079</v>
      </c>
      <c r="C597" t="s">
        <v>540</v>
      </c>
      <c r="D597" t="s">
        <v>24</v>
      </c>
      <c r="E597" t="s">
        <v>87</v>
      </c>
      <c r="F597">
        <v>1</v>
      </c>
      <c r="G597">
        <v>0.2</v>
      </c>
      <c r="H597">
        <v>280</v>
      </c>
      <c r="I597">
        <v>81.98</v>
      </c>
      <c r="J597" t="s">
        <v>39</v>
      </c>
      <c r="K597" t="s">
        <v>40</v>
      </c>
      <c r="L597">
        <v>280</v>
      </c>
      <c r="M597">
        <v>29.278571428571428</v>
      </c>
      <c r="N597" t="s">
        <v>8</v>
      </c>
      <c r="O597" t="s">
        <v>435</v>
      </c>
      <c r="P597" t="s">
        <v>83</v>
      </c>
      <c r="Q597" t="s">
        <v>74</v>
      </c>
      <c r="R597" t="s">
        <v>237</v>
      </c>
      <c r="S597" t="s">
        <v>238</v>
      </c>
      <c r="T597" t="s">
        <v>541</v>
      </c>
      <c r="U597" t="s">
        <v>100</v>
      </c>
      <c r="V597">
        <v>81.98</v>
      </c>
    </row>
    <row r="598" spans="1:22" x14ac:dyDescent="0.3">
      <c r="A598" t="s">
        <v>1625</v>
      </c>
      <c r="B598" s="2">
        <v>46137</v>
      </c>
      <c r="C598" t="s">
        <v>936</v>
      </c>
      <c r="D598" t="s">
        <v>24</v>
      </c>
      <c r="E598" t="s">
        <v>25</v>
      </c>
      <c r="F598">
        <v>5</v>
      </c>
      <c r="G598">
        <v>0.05</v>
      </c>
      <c r="H598">
        <v>66500</v>
      </c>
      <c r="I598">
        <v>11295.4</v>
      </c>
      <c r="J598" t="s">
        <v>51</v>
      </c>
      <c r="K598" t="s">
        <v>40</v>
      </c>
      <c r="L598">
        <v>13300</v>
      </c>
      <c r="M598">
        <v>16.985563909774431</v>
      </c>
      <c r="N598" t="s">
        <v>8</v>
      </c>
      <c r="O598" t="s">
        <v>937</v>
      </c>
      <c r="P598" t="s">
        <v>73</v>
      </c>
      <c r="Q598" t="s">
        <v>30</v>
      </c>
      <c r="R598" t="s">
        <v>53</v>
      </c>
      <c r="S598" t="s">
        <v>54</v>
      </c>
      <c r="T598" t="s">
        <v>938</v>
      </c>
      <c r="U598" t="s">
        <v>34</v>
      </c>
      <c r="V598">
        <v>2259.08</v>
      </c>
    </row>
    <row r="599" spans="1:22" x14ac:dyDescent="0.3">
      <c r="A599" t="s">
        <v>1626</v>
      </c>
      <c r="B599" s="2">
        <v>46041</v>
      </c>
      <c r="C599" t="s">
        <v>438</v>
      </c>
      <c r="D599" t="s">
        <v>70</v>
      </c>
      <c r="E599" t="s">
        <v>108</v>
      </c>
      <c r="F599">
        <v>15</v>
      </c>
      <c r="G599">
        <v>0.05</v>
      </c>
      <c r="H599">
        <v>64125</v>
      </c>
      <c r="I599">
        <v>20078.18</v>
      </c>
      <c r="J599" t="s">
        <v>39</v>
      </c>
      <c r="K599" t="s">
        <v>27</v>
      </c>
      <c r="L599">
        <v>4275</v>
      </c>
      <c r="M599">
        <v>31.311001949317738</v>
      </c>
      <c r="N599" t="s">
        <v>8</v>
      </c>
      <c r="O599" t="s">
        <v>439</v>
      </c>
      <c r="P599" t="s">
        <v>83</v>
      </c>
      <c r="Q599" t="s">
        <v>30</v>
      </c>
      <c r="R599" t="s">
        <v>98</v>
      </c>
      <c r="S599" t="s">
        <v>54</v>
      </c>
      <c r="T599" t="s">
        <v>440</v>
      </c>
      <c r="U599" t="s">
        <v>34</v>
      </c>
      <c r="V599">
        <v>1338.545333333333</v>
      </c>
    </row>
    <row r="600" spans="1:22" x14ac:dyDescent="0.3">
      <c r="A600" t="s">
        <v>1627</v>
      </c>
      <c r="B600" s="2">
        <v>45933</v>
      </c>
      <c r="C600" t="s">
        <v>651</v>
      </c>
      <c r="D600" t="s">
        <v>24</v>
      </c>
      <c r="E600" t="s">
        <v>92</v>
      </c>
      <c r="F600">
        <v>2</v>
      </c>
      <c r="G600">
        <v>0.1</v>
      </c>
      <c r="H600">
        <v>1620</v>
      </c>
      <c r="I600">
        <v>431.21</v>
      </c>
      <c r="J600" t="s">
        <v>51</v>
      </c>
      <c r="K600" t="s">
        <v>40</v>
      </c>
      <c r="L600">
        <v>810</v>
      </c>
      <c r="M600">
        <v>26.617901234567899</v>
      </c>
      <c r="N600" t="s">
        <v>8</v>
      </c>
      <c r="O600" t="s">
        <v>652</v>
      </c>
      <c r="P600" t="s">
        <v>83</v>
      </c>
      <c r="Q600" t="s">
        <v>131</v>
      </c>
      <c r="R600" t="s">
        <v>200</v>
      </c>
      <c r="S600" t="s">
        <v>201</v>
      </c>
      <c r="T600" t="s">
        <v>653</v>
      </c>
      <c r="U600" t="s">
        <v>34</v>
      </c>
      <c r="V600">
        <v>215.60499999999999</v>
      </c>
    </row>
    <row r="601" spans="1:22" x14ac:dyDescent="0.3">
      <c r="A601" t="s">
        <v>1628</v>
      </c>
      <c r="B601" s="2">
        <v>46098</v>
      </c>
      <c r="C601" t="s">
        <v>1629</v>
      </c>
      <c r="D601" t="s">
        <v>49</v>
      </c>
      <c r="E601" t="s">
        <v>79</v>
      </c>
      <c r="F601">
        <v>2</v>
      </c>
      <c r="G601">
        <v>0.1</v>
      </c>
      <c r="H601">
        <v>19800</v>
      </c>
      <c r="I601">
        <v>3774.01</v>
      </c>
      <c r="J601" t="s">
        <v>26</v>
      </c>
      <c r="K601" t="s">
        <v>40</v>
      </c>
      <c r="L601">
        <v>9900</v>
      </c>
      <c r="M601">
        <v>19.060656565656569</v>
      </c>
      <c r="N601" t="s">
        <v>8</v>
      </c>
      <c r="O601" t="s">
        <v>1630</v>
      </c>
      <c r="P601" t="s">
        <v>83</v>
      </c>
      <c r="Q601" t="s">
        <v>42</v>
      </c>
      <c r="R601" t="s">
        <v>121</v>
      </c>
      <c r="S601" t="s">
        <v>44</v>
      </c>
      <c r="T601" t="s">
        <v>1631</v>
      </c>
      <c r="U601" t="s">
        <v>46</v>
      </c>
      <c r="V601">
        <v>1887.0050000000001</v>
      </c>
    </row>
    <row r="602" spans="1:22" x14ac:dyDescent="0.3">
      <c r="A602" t="s">
        <v>1632</v>
      </c>
      <c r="B602" s="2">
        <v>45856</v>
      </c>
      <c r="C602" t="s">
        <v>1276</v>
      </c>
      <c r="D602" t="s">
        <v>37</v>
      </c>
      <c r="E602" t="s">
        <v>310</v>
      </c>
      <c r="F602">
        <v>3</v>
      </c>
      <c r="G602">
        <v>0.2</v>
      </c>
      <c r="H602">
        <v>5280</v>
      </c>
      <c r="I602">
        <v>1647.38</v>
      </c>
      <c r="J602" t="s">
        <v>26</v>
      </c>
      <c r="K602" t="s">
        <v>40</v>
      </c>
      <c r="L602">
        <v>1760</v>
      </c>
      <c r="M602">
        <v>31.20037878787879</v>
      </c>
      <c r="N602" t="s">
        <v>8</v>
      </c>
      <c r="O602" t="s">
        <v>1277</v>
      </c>
      <c r="P602" t="s">
        <v>73</v>
      </c>
      <c r="Q602" t="s">
        <v>74</v>
      </c>
      <c r="R602" t="s">
        <v>75</v>
      </c>
      <c r="S602" t="s">
        <v>75</v>
      </c>
      <c r="T602" t="s">
        <v>1278</v>
      </c>
      <c r="U602" t="s">
        <v>34</v>
      </c>
      <c r="V602">
        <v>549.12666666666667</v>
      </c>
    </row>
    <row r="603" spans="1:22" x14ac:dyDescent="0.3">
      <c r="A603" t="s">
        <v>1633</v>
      </c>
      <c r="B603" s="2">
        <v>45908</v>
      </c>
      <c r="C603" t="s">
        <v>1634</v>
      </c>
      <c r="D603" t="s">
        <v>24</v>
      </c>
      <c r="E603" t="s">
        <v>242</v>
      </c>
      <c r="F603">
        <v>10</v>
      </c>
      <c r="G603">
        <v>0.1</v>
      </c>
      <c r="H603">
        <v>4050</v>
      </c>
      <c r="I603">
        <v>747.66</v>
      </c>
      <c r="J603" t="s">
        <v>39</v>
      </c>
      <c r="K603" t="s">
        <v>27</v>
      </c>
      <c r="L603">
        <v>405</v>
      </c>
      <c r="M603">
        <v>18.460740740740739</v>
      </c>
      <c r="N603" t="s">
        <v>8</v>
      </c>
      <c r="O603" t="s">
        <v>233</v>
      </c>
      <c r="P603" t="s">
        <v>29</v>
      </c>
      <c r="Q603" t="s">
        <v>600</v>
      </c>
      <c r="R603" t="s">
        <v>237</v>
      </c>
      <c r="S603" t="s">
        <v>238</v>
      </c>
      <c r="T603" t="s">
        <v>1635</v>
      </c>
      <c r="U603" t="s">
        <v>34</v>
      </c>
      <c r="V603">
        <v>74.765999999999991</v>
      </c>
    </row>
    <row r="604" spans="1:22" x14ac:dyDescent="0.3">
      <c r="A604" t="s">
        <v>1636</v>
      </c>
      <c r="B604" s="2">
        <v>45932</v>
      </c>
      <c r="C604" t="s">
        <v>1637</v>
      </c>
      <c r="D604" t="s">
        <v>24</v>
      </c>
      <c r="E604" t="s">
        <v>25</v>
      </c>
      <c r="F604">
        <v>5</v>
      </c>
      <c r="G604">
        <v>0.2</v>
      </c>
      <c r="H604">
        <v>56000</v>
      </c>
      <c r="I604">
        <v>4207.96</v>
      </c>
      <c r="J604" t="s">
        <v>51</v>
      </c>
      <c r="K604" t="s">
        <v>40</v>
      </c>
      <c r="L604">
        <v>11200</v>
      </c>
      <c r="M604">
        <v>7.5142142857142851</v>
      </c>
      <c r="N604" t="s">
        <v>8</v>
      </c>
      <c r="O604" t="s">
        <v>697</v>
      </c>
      <c r="P604" t="s">
        <v>29</v>
      </c>
      <c r="Q604" t="s">
        <v>30</v>
      </c>
      <c r="R604" t="s">
        <v>31</v>
      </c>
      <c r="S604" t="s">
        <v>32</v>
      </c>
      <c r="T604" t="s">
        <v>1638</v>
      </c>
      <c r="U604" t="s">
        <v>46</v>
      </c>
      <c r="V604">
        <v>841.59199999999998</v>
      </c>
    </row>
    <row r="605" spans="1:22" x14ac:dyDescent="0.3">
      <c r="A605" t="s">
        <v>1639</v>
      </c>
      <c r="B605" s="2">
        <v>45930</v>
      </c>
      <c r="C605" t="s">
        <v>1640</v>
      </c>
      <c r="D605" t="s">
        <v>49</v>
      </c>
      <c r="E605" t="s">
        <v>50</v>
      </c>
      <c r="F605">
        <v>2</v>
      </c>
      <c r="G605">
        <v>0</v>
      </c>
      <c r="H605">
        <v>26000</v>
      </c>
      <c r="I605">
        <v>6400</v>
      </c>
      <c r="J605" t="s">
        <v>26</v>
      </c>
      <c r="K605" t="s">
        <v>27</v>
      </c>
      <c r="L605">
        <v>13000</v>
      </c>
      <c r="M605">
        <v>24.61538461538462</v>
      </c>
      <c r="N605" t="s">
        <v>8</v>
      </c>
      <c r="O605" t="s">
        <v>1641</v>
      </c>
      <c r="P605" t="s">
        <v>29</v>
      </c>
      <c r="Q605" t="s">
        <v>42</v>
      </c>
      <c r="R605" t="s">
        <v>121</v>
      </c>
      <c r="S605" t="s">
        <v>44</v>
      </c>
      <c r="T605" t="s">
        <v>790</v>
      </c>
      <c r="U605" t="s">
        <v>46</v>
      </c>
      <c r="V605">
        <v>3200</v>
      </c>
    </row>
    <row r="606" spans="1:22" x14ac:dyDescent="0.3">
      <c r="A606" t="s">
        <v>1642</v>
      </c>
      <c r="B606" s="2">
        <v>46185</v>
      </c>
      <c r="C606" t="s">
        <v>1420</v>
      </c>
      <c r="D606" t="s">
        <v>70</v>
      </c>
      <c r="E606" t="s">
        <v>71</v>
      </c>
      <c r="F606">
        <v>1</v>
      </c>
      <c r="G606">
        <v>0.05</v>
      </c>
      <c r="H606">
        <v>17100</v>
      </c>
      <c r="I606">
        <v>2851.14</v>
      </c>
      <c r="J606" t="s">
        <v>26</v>
      </c>
      <c r="K606" t="s">
        <v>40</v>
      </c>
      <c r="L606">
        <v>17100</v>
      </c>
      <c r="M606">
        <v>16.673333333333328</v>
      </c>
      <c r="N606" t="s">
        <v>8</v>
      </c>
      <c r="O606" t="s">
        <v>369</v>
      </c>
      <c r="P606" t="s">
        <v>73</v>
      </c>
      <c r="Q606" t="s">
        <v>30</v>
      </c>
      <c r="R606" t="s">
        <v>98</v>
      </c>
      <c r="S606" t="s">
        <v>54</v>
      </c>
      <c r="T606" t="s">
        <v>1421</v>
      </c>
      <c r="U606" t="s">
        <v>46</v>
      </c>
      <c r="V606">
        <v>2851.14</v>
      </c>
    </row>
    <row r="607" spans="1:22" x14ac:dyDescent="0.3">
      <c r="A607" t="s">
        <v>1643</v>
      </c>
      <c r="B607" s="2">
        <v>46195</v>
      </c>
      <c r="C607" t="s">
        <v>208</v>
      </c>
      <c r="D607" t="s">
        <v>24</v>
      </c>
      <c r="E607" t="s">
        <v>87</v>
      </c>
      <c r="F607">
        <v>2</v>
      </c>
      <c r="G607">
        <v>0.1</v>
      </c>
      <c r="H607">
        <v>630</v>
      </c>
      <c r="I607">
        <v>184.68</v>
      </c>
      <c r="J607" t="s">
        <v>26</v>
      </c>
      <c r="K607" t="s">
        <v>40</v>
      </c>
      <c r="L607">
        <v>315</v>
      </c>
      <c r="M607">
        <v>29.31428571428572</v>
      </c>
      <c r="N607" t="s">
        <v>8</v>
      </c>
      <c r="O607" t="s">
        <v>209</v>
      </c>
      <c r="P607" t="s">
        <v>29</v>
      </c>
      <c r="Q607" t="s">
        <v>30</v>
      </c>
      <c r="R607" t="s">
        <v>60</v>
      </c>
      <c r="S607" t="s">
        <v>61</v>
      </c>
      <c r="T607" t="s">
        <v>210</v>
      </c>
      <c r="U607" t="s">
        <v>46</v>
      </c>
      <c r="V607">
        <v>92.34</v>
      </c>
    </row>
    <row r="608" spans="1:22" x14ac:dyDescent="0.3">
      <c r="A608" t="s">
        <v>1644</v>
      </c>
      <c r="B608" s="2">
        <v>46085</v>
      </c>
      <c r="C608" t="s">
        <v>1645</v>
      </c>
      <c r="D608" t="s">
        <v>49</v>
      </c>
      <c r="E608" t="s">
        <v>79</v>
      </c>
      <c r="F608">
        <v>2</v>
      </c>
      <c r="G608">
        <v>0.15</v>
      </c>
      <c r="H608">
        <v>18700</v>
      </c>
      <c r="I608">
        <v>2640.99</v>
      </c>
      <c r="J608" t="s">
        <v>51</v>
      </c>
      <c r="K608" t="s">
        <v>40</v>
      </c>
      <c r="L608">
        <v>9350</v>
      </c>
      <c r="M608">
        <v>14.12294117647059</v>
      </c>
      <c r="N608" t="s">
        <v>8</v>
      </c>
      <c r="O608" t="s">
        <v>984</v>
      </c>
      <c r="P608" t="s">
        <v>29</v>
      </c>
      <c r="Q608" t="s">
        <v>131</v>
      </c>
      <c r="R608" t="s">
        <v>132</v>
      </c>
      <c r="S608" t="s">
        <v>133</v>
      </c>
      <c r="T608" t="s">
        <v>1646</v>
      </c>
      <c r="U608" t="s">
        <v>34</v>
      </c>
      <c r="V608">
        <v>1320.4949999999999</v>
      </c>
    </row>
    <row r="609" spans="1:22" x14ac:dyDescent="0.3">
      <c r="A609" t="s">
        <v>1647</v>
      </c>
      <c r="B609" s="2">
        <v>45886</v>
      </c>
      <c r="C609" t="s">
        <v>1648</v>
      </c>
      <c r="D609" t="s">
        <v>49</v>
      </c>
      <c r="E609" t="s">
        <v>79</v>
      </c>
      <c r="F609">
        <v>5</v>
      </c>
      <c r="G609">
        <v>0.1</v>
      </c>
      <c r="H609">
        <v>49500</v>
      </c>
      <c r="I609">
        <v>9490.06</v>
      </c>
      <c r="J609" t="s">
        <v>65</v>
      </c>
      <c r="K609" t="s">
        <v>40</v>
      </c>
      <c r="L609">
        <v>9900</v>
      </c>
      <c r="M609">
        <v>19.171838383838381</v>
      </c>
      <c r="N609" t="s">
        <v>8</v>
      </c>
      <c r="O609" t="s">
        <v>1649</v>
      </c>
      <c r="P609" t="s">
        <v>73</v>
      </c>
      <c r="Q609" t="s">
        <v>30</v>
      </c>
      <c r="R609" t="s">
        <v>98</v>
      </c>
      <c r="S609" t="s">
        <v>54</v>
      </c>
      <c r="T609" t="s">
        <v>1650</v>
      </c>
      <c r="U609" t="s">
        <v>34</v>
      </c>
      <c r="V609">
        <v>1898.0119999999999</v>
      </c>
    </row>
    <row r="610" spans="1:22" x14ac:dyDescent="0.3">
      <c r="A610" t="s">
        <v>1651</v>
      </c>
      <c r="B610" s="2">
        <v>46131</v>
      </c>
      <c r="C610" t="s">
        <v>659</v>
      </c>
      <c r="D610" t="s">
        <v>37</v>
      </c>
      <c r="E610" t="s">
        <v>38</v>
      </c>
      <c r="F610">
        <v>6</v>
      </c>
      <c r="G610">
        <v>0.1</v>
      </c>
      <c r="H610">
        <v>9720</v>
      </c>
      <c r="I610">
        <v>3278.41</v>
      </c>
      <c r="J610" t="s">
        <v>26</v>
      </c>
      <c r="K610" t="s">
        <v>40</v>
      </c>
      <c r="L610">
        <v>1620</v>
      </c>
      <c r="M610">
        <v>33.728497942386831</v>
      </c>
      <c r="N610" t="s">
        <v>8</v>
      </c>
      <c r="O610" t="s">
        <v>660</v>
      </c>
      <c r="P610" t="s">
        <v>83</v>
      </c>
      <c r="Q610" t="s">
        <v>30</v>
      </c>
      <c r="R610" t="s">
        <v>60</v>
      </c>
      <c r="S610" t="s">
        <v>61</v>
      </c>
      <c r="T610" t="s">
        <v>475</v>
      </c>
      <c r="U610" t="s">
        <v>46</v>
      </c>
      <c r="V610">
        <v>546.40166666666664</v>
      </c>
    </row>
    <row r="611" spans="1:22" x14ac:dyDescent="0.3">
      <c r="A611" t="s">
        <v>1652</v>
      </c>
      <c r="B611" s="2">
        <v>45949</v>
      </c>
      <c r="C611" t="s">
        <v>952</v>
      </c>
      <c r="D611" t="s">
        <v>37</v>
      </c>
      <c r="E611" t="s">
        <v>310</v>
      </c>
      <c r="F611">
        <v>3</v>
      </c>
      <c r="G611">
        <v>0.05</v>
      </c>
      <c r="H611">
        <v>6270</v>
      </c>
      <c r="I611">
        <v>1987.46</v>
      </c>
      <c r="J611" t="s">
        <v>26</v>
      </c>
      <c r="K611" t="s">
        <v>27</v>
      </c>
      <c r="L611">
        <v>2090</v>
      </c>
      <c r="M611">
        <v>31.697926634768741</v>
      </c>
      <c r="N611" t="s">
        <v>8</v>
      </c>
      <c r="O611" t="s">
        <v>953</v>
      </c>
      <c r="P611" t="s">
        <v>83</v>
      </c>
      <c r="Q611" t="s">
        <v>42</v>
      </c>
      <c r="R611" t="s">
        <v>110</v>
      </c>
      <c r="S611" t="s">
        <v>111</v>
      </c>
      <c r="T611" t="s">
        <v>954</v>
      </c>
      <c r="U611" t="s">
        <v>105</v>
      </c>
      <c r="V611">
        <v>662.48666666666668</v>
      </c>
    </row>
    <row r="612" spans="1:22" x14ac:dyDescent="0.3">
      <c r="A612" t="s">
        <v>1653</v>
      </c>
      <c r="B612" s="2">
        <v>46196</v>
      </c>
      <c r="C612" t="s">
        <v>1120</v>
      </c>
      <c r="D612" t="s">
        <v>37</v>
      </c>
      <c r="E612" t="s">
        <v>190</v>
      </c>
      <c r="F612">
        <v>2</v>
      </c>
      <c r="G612">
        <v>0</v>
      </c>
      <c r="H612">
        <v>8400</v>
      </c>
      <c r="I612">
        <v>2400</v>
      </c>
      <c r="J612" t="s">
        <v>65</v>
      </c>
      <c r="K612" t="s">
        <v>40</v>
      </c>
      <c r="L612">
        <v>4200</v>
      </c>
      <c r="M612">
        <v>28.571428571428569</v>
      </c>
      <c r="N612" t="s">
        <v>8</v>
      </c>
      <c r="O612" t="s">
        <v>1121</v>
      </c>
      <c r="P612" t="s">
        <v>73</v>
      </c>
      <c r="Q612" t="s">
        <v>74</v>
      </c>
      <c r="R612" t="s">
        <v>493</v>
      </c>
      <c r="S612" t="s">
        <v>494</v>
      </c>
      <c r="T612" t="s">
        <v>1122</v>
      </c>
      <c r="U612" t="s">
        <v>34</v>
      </c>
      <c r="V612">
        <v>1200</v>
      </c>
    </row>
    <row r="613" spans="1:22" x14ac:dyDescent="0.3">
      <c r="A613" t="s">
        <v>1654</v>
      </c>
      <c r="B613" s="2">
        <v>46103</v>
      </c>
      <c r="C613" t="s">
        <v>1655</v>
      </c>
      <c r="D613" t="s">
        <v>37</v>
      </c>
      <c r="E613" t="s">
        <v>310</v>
      </c>
      <c r="F613">
        <v>3</v>
      </c>
      <c r="G613">
        <v>0.1</v>
      </c>
      <c r="H613">
        <v>5940</v>
      </c>
      <c r="I613">
        <v>1937.1</v>
      </c>
      <c r="J613" t="s">
        <v>26</v>
      </c>
      <c r="K613" t="s">
        <v>40</v>
      </c>
      <c r="L613">
        <v>1980</v>
      </c>
      <c r="M613">
        <v>32.611111111111107</v>
      </c>
      <c r="N613" t="s">
        <v>8</v>
      </c>
      <c r="O613" t="s">
        <v>1656</v>
      </c>
      <c r="P613" t="s">
        <v>29</v>
      </c>
      <c r="Q613" t="s">
        <v>30</v>
      </c>
      <c r="R613" t="s">
        <v>53</v>
      </c>
      <c r="S613" t="s">
        <v>54</v>
      </c>
      <c r="T613" t="s">
        <v>1657</v>
      </c>
      <c r="U613" t="s">
        <v>34</v>
      </c>
      <c r="V613">
        <v>645.69999999999993</v>
      </c>
    </row>
    <row r="614" spans="1:22" x14ac:dyDescent="0.3">
      <c r="A614" t="s">
        <v>1658</v>
      </c>
      <c r="B614" s="2">
        <v>45894</v>
      </c>
      <c r="C614" t="s">
        <v>1659</v>
      </c>
      <c r="D614" t="s">
        <v>24</v>
      </c>
      <c r="E614" t="s">
        <v>25</v>
      </c>
      <c r="F614">
        <v>3</v>
      </c>
      <c r="G614">
        <v>0.15</v>
      </c>
      <c r="H614">
        <v>35700</v>
      </c>
      <c r="I614">
        <v>5516.62</v>
      </c>
      <c r="J614" t="s">
        <v>39</v>
      </c>
      <c r="K614" t="s">
        <v>40</v>
      </c>
      <c r="L614">
        <v>11900</v>
      </c>
      <c r="M614">
        <v>15.452717086834729</v>
      </c>
      <c r="N614" t="s">
        <v>8</v>
      </c>
      <c r="O614" t="s">
        <v>166</v>
      </c>
      <c r="P614" t="s">
        <v>83</v>
      </c>
      <c r="Q614" t="s">
        <v>42</v>
      </c>
      <c r="R614" t="s">
        <v>121</v>
      </c>
      <c r="S614" t="s">
        <v>44</v>
      </c>
      <c r="T614" t="s">
        <v>1660</v>
      </c>
      <c r="U614" t="s">
        <v>100</v>
      </c>
      <c r="V614">
        <v>1838.873333333333</v>
      </c>
    </row>
    <row r="615" spans="1:22" x14ac:dyDescent="0.3">
      <c r="A615" t="s">
        <v>1661</v>
      </c>
      <c r="B615" s="2">
        <v>46062</v>
      </c>
      <c r="C615" t="s">
        <v>1662</v>
      </c>
      <c r="D615" t="s">
        <v>70</v>
      </c>
      <c r="E615" t="s">
        <v>108</v>
      </c>
      <c r="F615">
        <v>10</v>
      </c>
      <c r="G615">
        <v>0.1</v>
      </c>
      <c r="H615">
        <v>40500</v>
      </c>
      <c r="I615">
        <v>12242.37</v>
      </c>
      <c r="J615" t="s">
        <v>51</v>
      </c>
      <c r="K615" t="s">
        <v>40</v>
      </c>
      <c r="L615">
        <v>4050</v>
      </c>
      <c r="M615">
        <v>30.228074074074069</v>
      </c>
      <c r="N615" t="s">
        <v>8</v>
      </c>
      <c r="O615" t="s">
        <v>1663</v>
      </c>
      <c r="P615" t="s">
        <v>29</v>
      </c>
      <c r="Q615" t="s">
        <v>131</v>
      </c>
      <c r="R615" t="s">
        <v>200</v>
      </c>
      <c r="S615" t="s">
        <v>201</v>
      </c>
      <c r="T615" t="s">
        <v>1664</v>
      </c>
      <c r="U615" t="s">
        <v>34</v>
      </c>
      <c r="V615">
        <v>1224.2370000000001</v>
      </c>
    </row>
    <row r="616" spans="1:22" x14ac:dyDescent="0.3">
      <c r="A616" t="s">
        <v>1665</v>
      </c>
      <c r="B616" s="2">
        <v>46186</v>
      </c>
      <c r="C616" t="s">
        <v>1202</v>
      </c>
      <c r="D616" t="s">
        <v>49</v>
      </c>
      <c r="E616" t="s">
        <v>79</v>
      </c>
      <c r="F616">
        <v>4</v>
      </c>
      <c r="G616">
        <v>0.1</v>
      </c>
      <c r="H616">
        <v>39600</v>
      </c>
      <c r="I616">
        <v>7179.85</v>
      </c>
      <c r="J616" t="s">
        <v>26</v>
      </c>
      <c r="K616" t="s">
        <v>27</v>
      </c>
      <c r="L616">
        <v>9900</v>
      </c>
      <c r="M616">
        <v>18.13093434343434</v>
      </c>
      <c r="N616" t="s">
        <v>8</v>
      </c>
      <c r="O616" t="s">
        <v>251</v>
      </c>
      <c r="P616" t="s">
        <v>29</v>
      </c>
      <c r="Q616" t="s">
        <v>131</v>
      </c>
      <c r="R616" t="s">
        <v>132</v>
      </c>
      <c r="S616" t="s">
        <v>133</v>
      </c>
      <c r="T616" t="s">
        <v>1203</v>
      </c>
      <c r="U616" t="s">
        <v>34</v>
      </c>
      <c r="V616">
        <v>1794.9625000000001</v>
      </c>
    </row>
    <row r="617" spans="1:22" x14ac:dyDescent="0.3">
      <c r="A617" t="s">
        <v>1666</v>
      </c>
      <c r="B617" s="2">
        <v>46103</v>
      </c>
      <c r="C617" t="s">
        <v>1667</v>
      </c>
      <c r="D617" t="s">
        <v>37</v>
      </c>
      <c r="E617" t="s">
        <v>38</v>
      </c>
      <c r="F617">
        <v>5</v>
      </c>
      <c r="G617">
        <v>0.1</v>
      </c>
      <c r="H617">
        <v>8100</v>
      </c>
      <c r="I617">
        <v>2672.59</v>
      </c>
      <c r="J617" t="s">
        <v>39</v>
      </c>
      <c r="K617" t="s">
        <v>40</v>
      </c>
      <c r="L617">
        <v>1620</v>
      </c>
      <c r="M617">
        <v>32.994938271604937</v>
      </c>
      <c r="N617" t="s">
        <v>8</v>
      </c>
      <c r="O617" t="s">
        <v>1668</v>
      </c>
      <c r="P617" t="s">
        <v>73</v>
      </c>
      <c r="Q617" t="s">
        <v>74</v>
      </c>
      <c r="R617" t="s">
        <v>493</v>
      </c>
      <c r="S617" t="s">
        <v>494</v>
      </c>
      <c r="T617" t="s">
        <v>608</v>
      </c>
      <c r="U617" t="s">
        <v>46</v>
      </c>
      <c r="V617">
        <v>534.51800000000003</v>
      </c>
    </row>
    <row r="618" spans="1:22" x14ac:dyDescent="0.3">
      <c r="A618" t="s">
        <v>1669</v>
      </c>
      <c r="B618" s="2">
        <v>45856</v>
      </c>
      <c r="C618" t="s">
        <v>1670</v>
      </c>
      <c r="D618" t="s">
        <v>70</v>
      </c>
      <c r="E618" t="s">
        <v>71</v>
      </c>
      <c r="F618">
        <v>3</v>
      </c>
      <c r="G618">
        <v>0.1</v>
      </c>
      <c r="H618">
        <v>48600</v>
      </c>
      <c r="I618">
        <v>7697.35</v>
      </c>
      <c r="J618" t="s">
        <v>65</v>
      </c>
      <c r="K618" t="s">
        <v>40</v>
      </c>
      <c r="L618">
        <v>16200</v>
      </c>
      <c r="M618">
        <v>15.838168724279839</v>
      </c>
      <c r="N618" t="s">
        <v>8</v>
      </c>
      <c r="O618" t="s">
        <v>1383</v>
      </c>
      <c r="P618" t="s">
        <v>29</v>
      </c>
      <c r="Q618" t="s">
        <v>42</v>
      </c>
      <c r="R618" t="s">
        <v>121</v>
      </c>
      <c r="S618" t="s">
        <v>44</v>
      </c>
      <c r="T618" t="s">
        <v>1671</v>
      </c>
      <c r="U618" t="s">
        <v>34</v>
      </c>
      <c r="V618">
        <v>2565.7833333333328</v>
      </c>
    </row>
    <row r="619" spans="1:22" x14ac:dyDescent="0.3">
      <c r="A619" t="s">
        <v>1672</v>
      </c>
      <c r="B619" s="2">
        <v>46070</v>
      </c>
      <c r="C619" t="s">
        <v>1377</v>
      </c>
      <c r="D619" t="s">
        <v>37</v>
      </c>
      <c r="E619" t="s">
        <v>170</v>
      </c>
      <c r="F619">
        <v>3</v>
      </c>
      <c r="G619">
        <v>0.15</v>
      </c>
      <c r="H619">
        <v>3570</v>
      </c>
      <c r="I619">
        <v>1202.6300000000001</v>
      </c>
      <c r="J619" t="s">
        <v>39</v>
      </c>
      <c r="K619" t="s">
        <v>40</v>
      </c>
      <c r="L619">
        <v>1190</v>
      </c>
      <c r="M619">
        <v>33.687114845938368</v>
      </c>
      <c r="N619" t="s">
        <v>8</v>
      </c>
      <c r="O619" t="s">
        <v>1378</v>
      </c>
      <c r="P619" t="s">
        <v>29</v>
      </c>
      <c r="Q619" t="s">
        <v>30</v>
      </c>
      <c r="R619" t="s">
        <v>53</v>
      </c>
      <c r="S619" t="s">
        <v>54</v>
      </c>
      <c r="T619" t="s">
        <v>1379</v>
      </c>
      <c r="U619" t="s">
        <v>100</v>
      </c>
      <c r="V619">
        <v>400.87666666666672</v>
      </c>
    </row>
    <row r="620" spans="1:22" x14ac:dyDescent="0.3">
      <c r="A620" t="s">
        <v>1673</v>
      </c>
      <c r="B620" s="2">
        <v>46137</v>
      </c>
      <c r="C620" t="s">
        <v>700</v>
      </c>
      <c r="D620" t="s">
        <v>37</v>
      </c>
      <c r="E620" t="s">
        <v>38</v>
      </c>
      <c r="F620">
        <v>6</v>
      </c>
      <c r="G620">
        <v>0</v>
      </c>
      <c r="H620">
        <v>10800</v>
      </c>
      <c r="I620">
        <v>3900</v>
      </c>
      <c r="J620" t="s">
        <v>26</v>
      </c>
      <c r="K620" t="s">
        <v>40</v>
      </c>
      <c r="L620">
        <v>1800</v>
      </c>
      <c r="M620">
        <v>36.111111111111107</v>
      </c>
      <c r="N620" t="s">
        <v>8</v>
      </c>
      <c r="O620" t="s">
        <v>701</v>
      </c>
      <c r="P620" t="s">
        <v>29</v>
      </c>
      <c r="Q620" t="s">
        <v>30</v>
      </c>
      <c r="R620" t="s">
        <v>60</v>
      </c>
      <c r="S620" t="s">
        <v>61</v>
      </c>
      <c r="T620" t="s">
        <v>702</v>
      </c>
      <c r="U620" t="s">
        <v>34</v>
      </c>
      <c r="V620">
        <v>650</v>
      </c>
    </row>
    <row r="621" spans="1:22" x14ac:dyDescent="0.3">
      <c r="A621" t="s">
        <v>1674</v>
      </c>
      <c r="B621" s="2">
        <v>46026</v>
      </c>
      <c r="C621" t="s">
        <v>1420</v>
      </c>
      <c r="D621" t="s">
        <v>24</v>
      </c>
      <c r="E621" t="s">
        <v>25</v>
      </c>
      <c r="F621">
        <v>3</v>
      </c>
      <c r="G621">
        <v>0.15</v>
      </c>
      <c r="H621">
        <v>35700</v>
      </c>
      <c r="I621">
        <v>3869.78</v>
      </c>
      <c r="K621" t="s">
        <v>40</v>
      </c>
      <c r="L621">
        <v>11900</v>
      </c>
      <c r="M621">
        <v>10.83971988795518</v>
      </c>
      <c r="N621" t="s">
        <v>8</v>
      </c>
      <c r="O621" t="s">
        <v>369</v>
      </c>
      <c r="P621" t="s">
        <v>73</v>
      </c>
      <c r="Q621" t="s">
        <v>30</v>
      </c>
      <c r="R621" t="s">
        <v>98</v>
      </c>
      <c r="S621" t="s">
        <v>54</v>
      </c>
      <c r="T621" t="s">
        <v>1421</v>
      </c>
      <c r="U621" t="s">
        <v>46</v>
      </c>
      <c r="V621">
        <v>1289.926666666667</v>
      </c>
    </row>
    <row r="622" spans="1:22" x14ac:dyDescent="0.3">
      <c r="A622" t="s">
        <v>1675</v>
      </c>
      <c r="B622" s="2">
        <v>45940</v>
      </c>
      <c r="C622" t="s">
        <v>1676</v>
      </c>
      <c r="D622" t="s">
        <v>49</v>
      </c>
      <c r="E622" t="s">
        <v>119</v>
      </c>
      <c r="F622">
        <v>6</v>
      </c>
      <c r="G622">
        <v>0.15</v>
      </c>
      <c r="H622">
        <v>45900</v>
      </c>
      <c r="I622">
        <v>-18627.03</v>
      </c>
      <c r="J622" t="s">
        <v>51</v>
      </c>
      <c r="K622" t="s">
        <v>434</v>
      </c>
      <c r="L622">
        <v>7650</v>
      </c>
      <c r="M622">
        <v>-40.58176470588235</v>
      </c>
      <c r="N622" t="s">
        <v>81</v>
      </c>
      <c r="O622" t="s">
        <v>1649</v>
      </c>
      <c r="P622" t="s">
        <v>73</v>
      </c>
      <c r="Q622" t="s">
        <v>30</v>
      </c>
      <c r="R622" t="s">
        <v>31</v>
      </c>
      <c r="S622" t="s">
        <v>32</v>
      </c>
      <c r="T622" t="s">
        <v>1677</v>
      </c>
      <c r="U622" t="s">
        <v>46</v>
      </c>
      <c r="V622">
        <v>-3104.5050000000001</v>
      </c>
    </row>
    <row r="623" spans="1:22" x14ac:dyDescent="0.3">
      <c r="A623" t="s">
        <v>1678</v>
      </c>
      <c r="B623" s="2">
        <v>45886</v>
      </c>
      <c r="C623" t="s">
        <v>1679</v>
      </c>
      <c r="D623" t="s">
        <v>70</v>
      </c>
      <c r="E623" t="s">
        <v>71</v>
      </c>
      <c r="F623">
        <v>1</v>
      </c>
      <c r="G623">
        <v>0.05</v>
      </c>
      <c r="H623">
        <v>17100</v>
      </c>
      <c r="I623">
        <v>2837.97</v>
      </c>
      <c r="J623" t="s">
        <v>26</v>
      </c>
      <c r="K623" t="s">
        <v>40</v>
      </c>
      <c r="L623">
        <v>17100</v>
      </c>
      <c r="M623">
        <v>16.596315789473689</v>
      </c>
      <c r="N623" t="s">
        <v>8</v>
      </c>
      <c r="O623" t="s">
        <v>199</v>
      </c>
      <c r="P623" t="s">
        <v>29</v>
      </c>
      <c r="Q623" t="s">
        <v>131</v>
      </c>
      <c r="R623" t="s">
        <v>289</v>
      </c>
      <c r="S623" t="s">
        <v>290</v>
      </c>
      <c r="T623" t="s">
        <v>1271</v>
      </c>
      <c r="U623" t="s">
        <v>105</v>
      </c>
      <c r="V623">
        <v>2837.97</v>
      </c>
    </row>
    <row r="624" spans="1:22" x14ac:dyDescent="0.3">
      <c r="A624" t="s">
        <v>1680</v>
      </c>
      <c r="B624" s="2">
        <v>46197</v>
      </c>
      <c r="C624" t="s">
        <v>814</v>
      </c>
      <c r="D624" t="s">
        <v>49</v>
      </c>
      <c r="E624" t="s">
        <v>50</v>
      </c>
      <c r="F624">
        <v>6</v>
      </c>
      <c r="G624">
        <v>0.05</v>
      </c>
      <c r="H624">
        <v>74100</v>
      </c>
      <c r="I624">
        <v>17101.169999999998</v>
      </c>
      <c r="J624" t="s">
        <v>26</v>
      </c>
      <c r="K624" t="s">
        <v>40</v>
      </c>
      <c r="L624">
        <v>12350</v>
      </c>
      <c r="M624">
        <v>23.078502024291499</v>
      </c>
      <c r="N624" t="s">
        <v>8</v>
      </c>
      <c r="O624" t="s">
        <v>815</v>
      </c>
      <c r="P624" t="s">
        <v>73</v>
      </c>
      <c r="Q624" t="s">
        <v>42</v>
      </c>
      <c r="R624" t="s">
        <v>121</v>
      </c>
      <c r="S624" t="s">
        <v>44</v>
      </c>
      <c r="T624" t="s">
        <v>816</v>
      </c>
      <c r="U624" t="s">
        <v>46</v>
      </c>
      <c r="V624">
        <v>2850.1950000000002</v>
      </c>
    </row>
    <row r="625" spans="1:22" x14ac:dyDescent="0.3">
      <c r="A625" t="s">
        <v>1681</v>
      </c>
      <c r="B625" s="2">
        <v>45944</v>
      </c>
      <c r="C625" t="s">
        <v>1682</v>
      </c>
      <c r="D625" t="s">
        <v>49</v>
      </c>
      <c r="E625" t="s">
        <v>79</v>
      </c>
      <c r="F625">
        <v>5</v>
      </c>
      <c r="G625">
        <v>0.15</v>
      </c>
      <c r="H625">
        <v>46750</v>
      </c>
      <c r="I625">
        <v>9124.07</v>
      </c>
      <c r="J625" t="s">
        <v>65</v>
      </c>
      <c r="K625" t="s">
        <v>27</v>
      </c>
      <c r="L625">
        <v>9350</v>
      </c>
      <c r="M625">
        <v>19.51672727272727</v>
      </c>
      <c r="N625" t="s">
        <v>8</v>
      </c>
      <c r="O625" t="s">
        <v>648</v>
      </c>
      <c r="P625" t="s">
        <v>73</v>
      </c>
      <c r="Q625" t="s">
        <v>131</v>
      </c>
      <c r="R625" t="s">
        <v>449</v>
      </c>
      <c r="S625" t="s">
        <v>450</v>
      </c>
      <c r="T625" t="s">
        <v>912</v>
      </c>
      <c r="U625" t="s">
        <v>46</v>
      </c>
      <c r="V625">
        <v>1824.8140000000001</v>
      </c>
    </row>
    <row r="626" spans="1:22" x14ac:dyDescent="0.3">
      <c r="A626" t="s">
        <v>1683</v>
      </c>
      <c r="B626" s="2">
        <v>46096</v>
      </c>
      <c r="C626" t="s">
        <v>1078</v>
      </c>
      <c r="D626" t="s">
        <v>49</v>
      </c>
      <c r="E626" t="s">
        <v>50</v>
      </c>
      <c r="F626">
        <v>2</v>
      </c>
      <c r="G626">
        <v>0.15</v>
      </c>
      <c r="H626">
        <v>22100</v>
      </c>
      <c r="I626">
        <v>4146.4399999999996</v>
      </c>
      <c r="J626" t="s">
        <v>39</v>
      </c>
      <c r="K626" t="s">
        <v>40</v>
      </c>
      <c r="L626">
        <v>11050</v>
      </c>
      <c r="M626">
        <v>18.76217194570135</v>
      </c>
      <c r="N626" t="s">
        <v>8</v>
      </c>
      <c r="O626" t="s">
        <v>1079</v>
      </c>
      <c r="P626" t="s">
        <v>83</v>
      </c>
      <c r="Q626" t="s">
        <v>30</v>
      </c>
      <c r="R626" t="s">
        <v>31</v>
      </c>
      <c r="S626" t="s">
        <v>32</v>
      </c>
      <c r="T626" t="s">
        <v>948</v>
      </c>
      <c r="U626" t="s">
        <v>34</v>
      </c>
      <c r="V626">
        <v>2073.2199999999998</v>
      </c>
    </row>
    <row r="627" spans="1:22" x14ac:dyDescent="0.3">
      <c r="A627" t="s">
        <v>1684</v>
      </c>
      <c r="B627" s="2">
        <v>45866</v>
      </c>
      <c r="C627" t="s">
        <v>1685</v>
      </c>
      <c r="D627" t="s">
        <v>49</v>
      </c>
      <c r="E627" t="s">
        <v>58</v>
      </c>
      <c r="F627">
        <v>2</v>
      </c>
      <c r="G627">
        <v>0.15</v>
      </c>
      <c r="H627">
        <v>25500</v>
      </c>
      <c r="I627">
        <v>3530.78</v>
      </c>
      <c r="J627" t="s">
        <v>51</v>
      </c>
      <c r="K627" t="s">
        <v>40</v>
      </c>
      <c r="L627">
        <v>12750</v>
      </c>
      <c r="M627">
        <v>13.846196078431371</v>
      </c>
      <c r="N627" t="s">
        <v>8</v>
      </c>
      <c r="O627" t="s">
        <v>1215</v>
      </c>
      <c r="P627" t="s">
        <v>29</v>
      </c>
      <c r="Q627" t="s">
        <v>131</v>
      </c>
      <c r="R627" t="s">
        <v>132</v>
      </c>
      <c r="S627" t="s">
        <v>133</v>
      </c>
      <c r="T627" t="s">
        <v>1686</v>
      </c>
      <c r="U627" t="s">
        <v>105</v>
      </c>
      <c r="V627">
        <v>1765.39</v>
      </c>
    </row>
    <row r="628" spans="1:22" x14ac:dyDescent="0.3">
      <c r="A628" t="s">
        <v>1687</v>
      </c>
      <c r="B628" s="2">
        <v>46175</v>
      </c>
      <c r="C628" t="s">
        <v>1688</v>
      </c>
      <c r="D628" t="s">
        <v>24</v>
      </c>
      <c r="E628" t="s">
        <v>25</v>
      </c>
      <c r="F628">
        <v>1</v>
      </c>
      <c r="G628">
        <v>0.05</v>
      </c>
      <c r="H628">
        <v>13300</v>
      </c>
      <c r="I628">
        <v>2467.23</v>
      </c>
      <c r="J628" t="s">
        <v>26</v>
      </c>
      <c r="K628" t="s">
        <v>27</v>
      </c>
      <c r="L628">
        <v>13300</v>
      </c>
      <c r="M628">
        <v>18.550601503759399</v>
      </c>
      <c r="N628" t="s">
        <v>8</v>
      </c>
      <c r="O628" t="s">
        <v>883</v>
      </c>
      <c r="P628" t="s">
        <v>73</v>
      </c>
      <c r="Q628" t="s">
        <v>30</v>
      </c>
      <c r="R628" t="s">
        <v>31</v>
      </c>
      <c r="S628" t="s">
        <v>32</v>
      </c>
      <c r="T628" t="s">
        <v>575</v>
      </c>
      <c r="U628" t="s">
        <v>34</v>
      </c>
      <c r="V628">
        <v>2467.23</v>
      </c>
    </row>
    <row r="629" spans="1:22" x14ac:dyDescent="0.3">
      <c r="A629" t="s">
        <v>1689</v>
      </c>
      <c r="B629" s="2">
        <v>45902</v>
      </c>
      <c r="C629" t="s">
        <v>1690</v>
      </c>
      <c r="D629" t="s">
        <v>24</v>
      </c>
      <c r="E629" t="s">
        <v>92</v>
      </c>
      <c r="F629">
        <v>1</v>
      </c>
      <c r="G629">
        <v>0.15</v>
      </c>
      <c r="H629">
        <v>765</v>
      </c>
      <c r="I629">
        <v>205.66</v>
      </c>
      <c r="J629" t="s">
        <v>65</v>
      </c>
      <c r="K629" t="s">
        <v>40</v>
      </c>
      <c r="L629">
        <v>765</v>
      </c>
      <c r="M629">
        <v>26.883660130718951</v>
      </c>
      <c r="N629" t="s">
        <v>8</v>
      </c>
      <c r="O629" t="s">
        <v>1566</v>
      </c>
      <c r="P629" t="s">
        <v>73</v>
      </c>
      <c r="Q629" t="s">
        <v>30</v>
      </c>
      <c r="R629" t="s">
        <v>53</v>
      </c>
      <c r="S629" t="s">
        <v>54</v>
      </c>
      <c r="T629" t="s">
        <v>1691</v>
      </c>
      <c r="U629" t="s">
        <v>105</v>
      </c>
      <c r="V629">
        <v>205.66</v>
      </c>
    </row>
    <row r="630" spans="1:22" x14ac:dyDescent="0.3">
      <c r="A630" t="s">
        <v>1692</v>
      </c>
      <c r="B630" s="2">
        <v>45909</v>
      </c>
      <c r="C630" t="s">
        <v>907</v>
      </c>
      <c r="D630" t="s">
        <v>70</v>
      </c>
      <c r="E630" t="s">
        <v>165</v>
      </c>
      <c r="F630">
        <v>1</v>
      </c>
      <c r="G630">
        <v>0.05</v>
      </c>
      <c r="H630">
        <v>2375</v>
      </c>
      <c r="I630">
        <v>697.36</v>
      </c>
      <c r="J630" t="s">
        <v>26</v>
      </c>
      <c r="K630" t="s">
        <v>40</v>
      </c>
      <c r="L630">
        <v>2375</v>
      </c>
      <c r="M630">
        <v>29.36252631578947</v>
      </c>
      <c r="N630" t="s">
        <v>8</v>
      </c>
      <c r="O630" t="s">
        <v>908</v>
      </c>
      <c r="P630" t="s">
        <v>29</v>
      </c>
      <c r="Q630" t="s">
        <v>30</v>
      </c>
      <c r="R630" t="s">
        <v>60</v>
      </c>
      <c r="S630" t="s">
        <v>61</v>
      </c>
      <c r="T630" t="s">
        <v>486</v>
      </c>
      <c r="U630" t="s">
        <v>34</v>
      </c>
      <c r="V630">
        <v>697.36</v>
      </c>
    </row>
    <row r="631" spans="1:22" x14ac:dyDescent="0.3">
      <c r="A631" t="s">
        <v>1693</v>
      </c>
      <c r="B631" s="2">
        <v>45842</v>
      </c>
      <c r="C631" t="s">
        <v>1694</v>
      </c>
      <c r="D631" t="s">
        <v>70</v>
      </c>
      <c r="E631" t="s">
        <v>165</v>
      </c>
      <c r="F631">
        <v>4</v>
      </c>
      <c r="G631">
        <v>0</v>
      </c>
      <c r="H631">
        <v>10000</v>
      </c>
      <c r="I631">
        <v>3200</v>
      </c>
      <c r="J631" t="s">
        <v>65</v>
      </c>
      <c r="K631" t="s">
        <v>40</v>
      </c>
      <c r="L631">
        <v>2500</v>
      </c>
      <c r="M631">
        <v>32</v>
      </c>
      <c r="N631" t="s">
        <v>8</v>
      </c>
      <c r="O631" t="s">
        <v>1695</v>
      </c>
      <c r="P631" t="s">
        <v>73</v>
      </c>
      <c r="Q631" t="s">
        <v>30</v>
      </c>
      <c r="R631" t="s">
        <v>60</v>
      </c>
      <c r="S631" t="s">
        <v>61</v>
      </c>
      <c r="T631" t="s">
        <v>1696</v>
      </c>
      <c r="U631" t="s">
        <v>100</v>
      </c>
      <c r="V631">
        <v>800</v>
      </c>
    </row>
    <row r="632" spans="1:22" x14ac:dyDescent="0.3">
      <c r="A632" t="s">
        <v>1697</v>
      </c>
      <c r="B632" s="2">
        <v>45986</v>
      </c>
      <c r="C632" t="s">
        <v>1360</v>
      </c>
      <c r="D632" t="s">
        <v>24</v>
      </c>
      <c r="E632" t="s">
        <v>242</v>
      </c>
      <c r="F632">
        <v>3</v>
      </c>
      <c r="G632">
        <v>0.15</v>
      </c>
      <c r="H632">
        <v>1147.5</v>
      </c>
      <c r="I632">
        <v>197.11</v>
      </c>
      <c r="J632" t="s">
        <v>26</v>
      </c>
      <c r="K632" t="s">
        <v>40</v>
      </c>
      <c r="L632">
        <v>382.5</v>
      </c>
      <c r="M632">
        <v>17.177342047930281</v>
      </c>
      <c r="N632" t="s">
        <v>8</v>
      </c>
      <c r="O632" t="s">
        <v>553</v>
      </c>
      <c r="P632" t="s">
        <v>83</v>
      </c>
      <c r="Q632" t="s">
        <v>30</v>
      </c>
      <c r="R632" t="s">
        <v>31</v>
      </c>
      <c r="S632" t="s">
        <v>32</v>
      </c>
      <c r="T632" t="s">
        <v>1361</v>
      </c>
      <c r="U632" t="s">
        <v>34</v>
      </c>
      <c r="V632">
        <v>65.703333333333333</v>
      </c>
    </row>
    <row r="633" spans="1:22" x14ac:dyDescent="0.3">
      <c r="A633" t="s">
        <v>1698</v>
      </c>
      <c r="B633" s="2">
        <v>45941</v>
      </c>
      <c r="C633" t="s">
        <v>1391</v>
      </c>
      <c r="D633" t="s">
        <v>70</v>
      </c>
      <c r="E633" t="s">
        <v>129</v>
      </c>
      <c r="F633">
        <v>2</v>
      </c>
      <c r="G633">
        <v>0.2</v>
      </c>
      <c r="H633">
        <v>88000</v>
      </c>
      <c r="I633">
        <v>2679.99</v>
      </c>
      <c r="J633" t="s">
        <v>26</v>
      </c>
      <c r="K633" t="s">
        <v>40</v>
      </c>
      <c r="L633">
        <v>44000</v>
      </c>
      <c r="M633">
        <v>3.045443181818182</v>
      </c>
      <c r="N633" t="s">
        <v>8</v>
      </c>
      <c r="O633" t="s">
        <v>844</v>
      </c>
      <c r="P633" t="s">
        <v>29</v>
      </c>
      <c r="Q633" t="s">
        <v>30</v>
      </c>
      <c r="R633" t="s">
        <v>60</v>
      </c>
      <c r="S633" t="s">
        <v>61</v>
      </c>
      <c r="T633" t="s">
        <v>1392</v>
      </c>
      <c r="U633" t="s">
        <v>34</v>
      </c>
      <c r="V633">
        <v>1339.9949999999999</v>
      </c>
    </row>
    <row r="634" spans="1:22" x14ac:dyDescent="0.3">
      <c r="A634" t="s">
        <v>1699</v>
      </c>
      <c r="B634" s="2">
        <v>46080</v>
      </c>
      <c r="C634" t="s">
        <v>1700</v>
      </c>
      <c r="D634" t="s">
        <v>37</v>
      </c>
      <c r="E634" t="s">
        <v>38</v>
      </c>
      <c r="F634">
        <v>6</v>
      </c>
      <c r="G634">
        <v>0</v>
      </c>
      <c r="H634">
        <v>10800</v>
      </c>
      <c r="I634">
        <v>3900</v>
      </c>
      <c r="J634" t="s">
        <v>26</v>
      </c>
      <c r="K634" t="s">
        <v>40</v>
      </c>
      <c r="L634">
        <v>1800</v>
      </c>
      <c r="M634">
        <v>36.111111111111107</v>
      </c>
      <c r="N634" t="s">
        <v>8</v>
      </c>
      <c r="O634" t="s">
        <v>1009</v>
      </c>
      <c r="P634" t="s">
        <v>73</v>
      </c>
      <c r="Q634" t="s">
        <v>30</v>
      </c>
      <c r="R634" t="s">
        <v>53</v>
      </c>
      <c r="S634" t="s">
        <v>54</v>
      </c>
      <c r="T634" t="s">
        <v>172</v>
      </c>
      <c r="U634" t="s">
        <v>34</v>
      </c>
      <c r="V634">
        <v>650</v>
      </c>
    </row>
    <row r="635" spans="1:22" x14ac:dyDescent="0.3">
      <c r="A635" t="s">
        <v>1701</v>
      </c>
      <c r="B635" s="2">
        <v>46013</v>
      </c>
      <c r="C635" t="s">
        <v>1702</v>
      </c>
      <c r="D635" t="s">
        <v>24</v>
      </c>
      <c r="E635" t="s">
        <v>242</v>
      </c>
      <c r="F635">
        <v>4</v>
      </c>
      <c r="G635">
        <v>0.15</v>
      </c>
      <c r="H635">
        <v>1530</v>
      </c>
      <c r="I635">
        <v>313.24</v>
      </c>
      <c r="J635" t="s">
        <v>65</v>
      </c>
      <c r="K635" t="s">
        <v>40</v>
      </c>
      <c r="L635">
        <v>382.5</v>
      </c>
      <c r="M635">
        <v>20.47320261437909</v>
      </c>
      <c r="N635" t="s">
        <v>8</v>
      </c>
      <c r="O635" t="s">
        <v>314</v>
      </c>
      <c r="P635" t="s">
        <v>29</v>
      </c>
      <c r="Q635" t="s">
        <v>42</v>
      </c>
      <c r="R635" t="s">
        <v>214</v>
      </c>
      <c r="S635" t="s">
        <v>111</v>
      </c>
      <c r="T635" t="s">
        <v>568</v>
      </c>
      <c r="U635" t="s">
        <v>34</v>
      </c>
      <c r="V635">
        <v>78.31</v>
      </c>
    </row>
    <row r="636" spans="1:22" x14ac:dyDescent="0.3">
      <c r="A636" t="s">
        <v>1703</v>
      </c>
      <c r="B636" s="2">
        <v>45900</v>
      </c>
      <c r="C636" t="s">
        <v>1704</v>
      </c>
      <c r="D636" t="s">
        <v>37</v>
      </c>
      <c r="E636" t="s">
        <v>310</v>
      </c>
      <c r="F636">
        <v>3</v>
      </c>
      <c r="G636">
        <v>0.15</v>
      </c>
      <c r="H636">
        <v>5610</v>
      </c>
      <c r="I636">
        <v>1414.02</v>
      </c>
      <c r="J636" t="s">
        <v>39</v>
      </c>
      <c r="K636" t="s">
        <v>27</v>
      </c>
      <c r="L636">
        <v>1870</v>
      </c>
      <c r="M636">
        <v>25.205347593582889</v>
      </c>
      <c r="N636" t="s">
        <v>8</v>
      </c>
      <c r="O636" t="s">
        <v>636</v>
      </c>
      <c r="P636" t="s">
        <v>29</v>
      </c>
      <c r="Q636" t="s">
        <v>30</v>
      </c>
      <c r="R636" t="s">
        <v>53</v>
      </c>
      <c r="S636" t="s">
        <v>54</v>
      </c>
      <c r="T636" t="s">
        <v>1705</v>
      </c>
      <c r="U636" t="s">
        <v>34</v>
      </c>
      <c r="V636">
        <v>471.34</v>
      </c>
    </row>
    <row r="637" spans="1:22" x14ac:dyDescent="0.3">
      <c r="A637" t="s">
        <v>1706</v>
      </c>
      <c r="B637" s="2">
        <v>46124</v>
      </c>
      <c r="C637" t="s">
        <v>447</v>
      </c>
      <c r="D637" t="s">
        <v>49</v>
      </c>
      <c r="E637" t="s">
        <v>79</v>
      </c>
      <c r="F637">
        <v>4</v>
      </c>
      <c r="G637">
        <v>0.1</v>
      </c>
      <c r="H637">
        <v>39600</v>
      </c>
      <c r="I637">
        <v>-13063.28</v>
      </c>
      <c r="J637" t="s">
        <v>65</v>
      </c>
      <c r="K637" t="s">
        <v>434</v>
      </c>
      <c r="L637">
        <v>9900</v>
      </c>
      <c r="M637">
        <v>-32.988080808080809</v>
      </c>
      <c r="N637" t="s">
        <v>81</v>
      </c>
      <c r="O637" t="s">
        <v>448</v>
      </c>
      <c r="P637" t="s">
        <v>29</v>
      </c>
      <c r="Q637" t="s">
        <v>131</v>
      </c>
      <c r="R637" t="s">
        <v>449</v>
      </c>
      <c r="S637" t="s">
        <v>450</v>
      </c>
      <c r="T637" t="s">
        <v>451</v>
      </c>
      <c r="U637" t="s">
        <v>34</v>
      </c>
      <c r="V637">
        <v>-3265.82</v>
      </c>
    </row>
    <row r="638" spans="1:22" x14ac:dyDescent="0.3">
      <c r="A638" t="s">
        <v>1707</v>
      </c>
      <c r="B638" s="2">
        <v>46157</v>
      </c>
      <c r="C638" t="s">
        <v>297</v>
      </c>
      <c r="D638" t="s">
        <v>37</v>
      </c>
      <c r="E638" t="s">
        <v>190</v>
      </c>
      <c r="F638">
        <v>3</v>
      </c>
      <c r="G638">
        <v>0.1</v>
      </c>
      <c r="H638">
        <v>11340</v>
      </c>
      <c r="I638">
        <v>-5006.32</v>
      </c>
      <c r="J638" t="s">
        <v>51</v>
      </c>
      <c r="K638" t="s">
        <v>434</v>
      </c>
      <c r="L638">
        <v>3780</v>
      </c>
      <c r="M638">
        <v>-44.14744268077601</v>
      </c>
      <c r="N638" t="s">
        <v>81</v>
      </c>
      <c r="O638" t="s">
        <v>298</v>
      </c>
      <c r="P638" t="s">
        <v>83</v>
      </c>
      <c r="Q638" t="s">
        <v>30</v>
      </c>
      <c r="R638" t="s">
        <v>60</v>
      </c>
      <c r="S638" t="s">
        <v>61</v>
      </c>
      <c r="T638" t="s">
        <v>299</v>
      </c>
      <c r="U638" t="s">
        <v>46</v>
      </c>
      <c r="V638">
        <v>-1668.7733333333331</v>
      </c>
    </row>
    <row r="639" spans="1:22" x14ac:dyDescent="0.3">
      <c r="A639" t="s">
        <v>1708</v>
      </c>
      <c r="B639" s="2">
        <v>45955</v>
      </c>
      <c r="C639" t="s">
        <v>589</v>
      </c>
      <c r="D639" t="s">
        <v>49</v>
      </c>
      <c r="E639" t="s">
        <v>79</v>
      </c>
      <c r="F639">
        <v>6</v>
      </c>
      <c r="G639">
        <v>0</v>
      </c>
      <c r="H639">
        <v>66000</v>
      </c>
      <c r="I639">
        <v>15600</v>
      </c>
      <c r="J639" t="s">
        <v>39</v>
      </c>
      <c r="K639" t="s">
        <v>40</v>
      </c>
      <c r="L639">
        <v>11000</v>
      </c>
      <c r="M639">
        <v>23.63636363636364</v>
      </c>
      <c r="N639" t="s">
        <v>8</v>
      </c>
      <c r="O639" t="s">
        <v>590</v>
      </c>
      <c r="P639" t="s">
        <v>83</v>
      </c>
      <c r="Q639" t="s">
        <v>74</v>
      </c>
      <c r="R639" t="s">
        <v>493</v>
      </c>
      <c r="S639" t="s">
        <v>494</v>
      </c>
      <c r="T639" t="s">
        <v>591</v>
      </c>
      <c r="U639" t="s">
        <v>100</v>
      </c>
      <c r="V639">
        <v>2600</v>
      </c>
    </row>
    <row r="640" spans="1:22" x14ac:dyDescent="0.3">
      <c r="A640" t="s">
        <v>1709</v>
      </c>
      <c r="B640" s="2">
        <v>46200</v>
      </c>
      <c r="C640" t="s">
        <v>1648</v>
      </c>
      <c r="D640" t="s">
        <v>24</v>
      </c>
      <c r="E640" t="s">
        <v>92</v>
      </c>
      <c r="F640">
        <v>5</v>
      </c>
      <c r="G640">
        <v>0.05</v>
      </c>
      <c r="H640">
        <v>4275</v>
      </c>
      <c r="I640">
        <v>1215.6099999999999</v>
      </c>
      <c r="J640" t="s">
        <v>65</v>
      </c>
      <c r="K640" t="s">
        <v>27</v>
      </c>
      <c r="L640">
        <v>855</v>
      </c>
      <c r="M640">
        <v>28.435321637426899</v>
      </c>
      <c r="N640" t="s">
        <v>8</v>
      </c>
      <c r="O640" t="s">
        <v>1649</v>
      </c>
      <c r="P640" t="s">
        <v>73</v>
      </c>
      <c r="Q640" t="s">
        <v>30</v>
      </c>
      <c r="R640" t="s">
        <v>98</v>
      </c>
      <c r="S640" t="s">
        <v>54</v>
      </c>
      <c r="T640" t="s">
        <v>1650</v>
      </c>
      <c r="U640" t="s">
        <v>34</v>
      </c>
      <c r="V640">
        <v>243.12200000000001</v>
      </c>
    </row>
    <row r="641" spans="1:22" x14ac:dyDescent="0.3">
      <c r="A641" t="s">
        <v>1710</v>
      </c>
      <c r="B641" s="2">
        <v>45882</v>
      </c>
      <c r="C641" t="s">
        <v>1152</v>
      </c>
      <c r="D641" t="s">
        <v>37</v>
      </c>
      <c r="E641" t="s">
        <v>310</v>
      </c>
      <c r="F641">
        <v>10</v>
      </c>
      <c r="G641">
        <v>0</v>
      </c>
      <c r="H641">
        <v>22000</v>
      </c>
      <c r="I641">
        <v>7500</v>
      </c>
      <c r="J641" t="s">
        <v>39</v>
      </c>
      <c r="K641" t="s">
        <v>27</v>
      </c>
      <c r="L641">
        <v>2200</v>
      </c>
      <c r="M641">
        <v>34.090909090909093</v>
      </c>
      <c r="N641" t="s">
        <v>8</v>
      </c>
      <c r="O641" t="s">
        <v>995</v>
      </c>
      <c r="P641" t="s">
        <v>29</v>
      </c>
      <c r="Q641" t="s">
        <v>30</v>
      </c>
      <c r="R641" t="s">
        <v>31</v>
      </c>
      <c r="S641" t="s">
        <v>32</v>
      </c>
      <c r="T641" t="s">
        <v>960</v>
      </c>
      <c r="U641" t="s">
        <v>100</v>
      </c>
      <c r="V641">
        <v>750</v>
      </c>
    </row>
    <row r="642" spans="1:22" x14ac:dyDescent="0.3">
      <c r="A642" t="s">
        <v>1711</v>
      </c>
      <c r="B642" s="2">
        <v>46140</v>
      </c>
      <c r="C642" t="s">
        <v>1712</v>
      </c>
      <c r="D642" t="s">
        <v>70</v>
      </c>
      <c r="E642" t="s">
        <v>165</v>
      </c>
      <c r="F642">
        <v>2</v>
      </c>
      <c r="G642">
        <v>0.15</v>
      </c>
      <c r="H642">
        <v>4250</v>
      </c>
      <c r="I642">
        <v>1067.45</v>
      </c>
      <c r="J642" t="s">
        <v>51</v>
      </c>
      <c r="K642" t="s">
        <v>40</v>
      </c>
      <c r="L642">
        <v>2125</v>
      </c>
      <c r="M642">
        <v>25.116470588235291</v>
      </c>
      <c r="N642" t="s">
        <v>8</v>
      </c>
      <c r="O642" t="s">
        <v>390</v>
      </c>
      <c r="P642" t="s">
        <v>29</v>
      </c>
      <c r="Q642" t="s">
        <v>42</v>
      </c>
      <c r="R642" t="s">
        <v>43</v>
      </c>
      <c r="S642" t="s">
        <v>44</v>
      </c>
      <c r="T642" t="s">
        <v>1713</v>
      </c>
      <c r="U642" t="s">
        <v>46</v>
      </c>
      <c r="V642">
        <v>533.72500000000002</v>
      </c>
    </row>
    <row r="643" spans="1:22" x14ac:dyDescent="0.3">
      <c r="A643" t="s">
        <v>1714</v>
      </c>
      <c r="B643" s="2">
        <v>46012</v>
      </c>
      <c r="C643" t="s">
        <v>283</v>
      </c>
      <c r="D643" t="s">
        <v>70</v>
      </c>
      <c r="E643" t="s">
        <v>108</v>
      </c>
      <c r="F643">
        <v>1</v>
      </c>
      <c r="G643">
        <v>0.15</v>
      </c>
      <c r="H643">
        <v>3825</v>
      </c>
      <c r="I643">
        <v>986.39</v>
      </c>
      <c r="J643" t="s">
        <v>65</v>
      </c>
      <c r="K643" t="s">
        <v>40</v>
      </c>
      <c r="L643">
        <v>3825</v>
      </c>
      <c r="M643">
        <v>25.787973856209149</v>
      </c>
      <c r="N643" t="s">
        <v>8</v>
      </c>
      <c r="O643" t="s">
        <v>284</v>
      </c>
      <c r="P643" t="s">
        <v>29</v>
      </c>
      <c r="Q643" t="s">
        <v>30</v>
      </c>
      <c r="R643" t="s">
        <v>53</v>
      </c>
      <c r="S643" t="s">
        <v>54</v>
      </c>
      <c r="T643" t="s">
        <v>285</v>
      </c>
      <c r="U643" t="s">
        <v>34</v>
      </c>
      <c r="V643">
        <v>986.39</v>
      </c>
    </row>
    <row r="644" spans="1:22" x14ac:dyDescent="0.3">
      <c r="A644" t="s">
        <v>1715</v>
      </c>
      <c r="B644" s="2">
        <v>45874</v>
      </c>
      <c r="C644" t="s">
        <v>543</v>
      </c>
      <c r="D644" t="s">
        <v>70</v>
      </c>
      <c r="E644" t="s">
        <v>165</v>
      </c>
      <c r="F644">
        <v>1</v>
      </c>
      <c r="G644">
        <v>0</v>
      </c>
      <c r="H644">
        <v>2500</v>
      </c>
      <c r="I644">
        <v>800</v>
      </c>
      <c r="J644" t="s">
        <v>26</v>
      </c>
      <c r="K644" t="s">
        <v>40</v>
      </c>
      <c r="L644">
        <v>2500</v>
      </c>
      <c r="M644">
        <v>32</v>
      </c>
      <c r="N644" t="s">
        <v>8</v>
      </c>
      <c r="O644" t="s">
        <v>545</v>
      </c>
      <c r="P644" t="s">
        <v>83</v>
      </c>
      <c r="Q644" t="s">
        <v>74</v>
      </c>
      <c r="R644" t="s">
        <v>75</v>
      </c>
      <c r="S644" t="s">
        <v>75</v>
      </c>
      <c r="T644" t="s">
        <v>546</v>
      </c>
      <c r="U644" t="s">
        <v>34</v>
      </c>
      <c r="V644">
        <v>800</v>
      </c>
    </row>
    <row r="645" spans="1:22" x14ac:dyDescent="0.3">
      <c r="A645" t="s">
        <v>1716</v>
      </c>
      <c r="B645" s="2">
        <v>45926</v>
      </c>
      <c r="C645" t="s">
        <v>872</v>
      </c>
      <c r="D645" t="s">
        <v>49</v>
      </c>
      <c r="E645" t="s">
        <v>119</v>
      </c>
      <c r="F645">
        <v>1</v>
      </c>
      <c r="G645">
        <v>0.05</v>
      </c>
      <c r="H645">
        <v>8550</v>
      </c>
      <c r="I645">
        <v>2084.02</v>
      </c>
      <c r="J645" t="s">
        <v>65</v>
      </c>
      <c r="K645" t="s">
        <v>40</v>
      </c>
      <c r="L645">
        <v>8550</v>
      </c>
      <c r="M645">
        <v>24.37450292397661</v>
      </c>
      <c r="N645" t="s">
        <v>8</v>
      </c>
      <c r="O645" t="s">
        <v>492</v>
      </c>
      <c r="P645" t="s">
        <v>29</v>
      </c>
      <c r="Q645" t="s">
        <v>42</v>
      </c>
      <c r="R645" t="s">
        <v>121</v>
      </c>
      <c r="S645" t="s">
        <v>44</v>
      </c>
      <c r="T645" t="s">
        <v>873</v>
      </c>
      <c r="U645" t="s">
        <v>46</v>
      </c>
      <c r="V645">
        <v>2084.02</v>
      </c>
    </row>
    <row r="646" spans="1:22" x14ac:dyDescent="0.3">
      <c r="A646" t="s">
        <v>1717</v>
      </c>
      <c r="B646" s="2">
        <v>45977</v>
      </c>
      <c r="C646" t="s">
        <v>1391</v>
      </c>
      <c r="D646" t="s">
        <v>49</v>
      </c>
      <c r="E646" t="s">
        <v>79</v>
      </c>
      <c r="F646">
        <v>2</v>
      </c>
      <c r="G646">
        <v>0.15</v>
      </c>
      <c r="H646">
        <v>18700</v>
      </c>
      <c r="I646">
        <v>3465.64</v>
      </c>
      <c r="J646" t="s">
        <v>26</v>
      </c>
      <c r="K646" t="s">
        <v>40</v>
      </c>
      <c r="L646">
        <v>9350</v>
      </c>
      <c r="M646">
        <v>18.532834224598929</v>
      </c>
      <c r="N646" t="s">
        <v>8</v>
      </c>
      <c r="O646" t="s">
        <v>844</v>
      </c>
      <c r="P646" t="s">
        <v>29</v>
      </c>
      <c r="Q646" t="s">
        <v>30</v>
      </c>
      <c r="R646" t="s">
        <v>60</v>
      </c>
      <c r="S646" t="s">
        <v>61</v>
      </c>
      <c r="T646" t="s">
        <v>1392</v>
      </c>
      <c r="U646" t="s">
        <v>34</v>
      </c>
      <c r="V646">
        <v>1732.82</v>
      </c>
    </row>
    <row r="647" spans="1:22" x14ac:dyDescent="0.3">
      <c r="A647" t="s">
        <v>1718</v>
      </c>
      <c r="B647" s="2">
        <v>45981</v>
      </c>
      <c r="C647" t="s">
        <v>426</v>
      </c>
      <c r="D647" t="s">
        <v>37</v>
      </c>
      <c r="E647" t="s">
        <v>170</v>
      </c>
      <c r="F647">
        <v>5</v>
      </c>
      <c r="G647">
        <v>0</v>
      </c>
      <c r="H647">
        <v>7000</v>
      </c>
      <c r="I647">
        <v>2500</v>
      </c>
      <c r="J647" t="s">
        <v>51</v>
      </c>
      <c r="K647" t="s">
        <v>27</v>
      </c>
      <c r="L647">
        <v>1400</v>
      </c>
      <c r="M647">
        <v>35.714285714285722</v>
      </c>
      <c r="N647" t="s">
        <v>8</v>
      </c>
      <c r="O647" t="s">
        <v>427</v>
      </c>
      <c r="P647" t="s">
        <v>73</v>
      </c>
      <c r="Q647" t="s">
        <v>30</v>
      </c>
      <c r="R647" t="s">
        <v>60</v>
      </c>
      <c r="S647" t="s">
        <v>61</v>
      </c>
      <c r="T647" t="s">
        <v>428</v>
      </c>
      <c r="U647" t="s">
        <v>34</v>
      </c>
      <c r="V647">
        <v>500</v>
      </c>
    </row>
    <row r="648" spans="1:22" x14ac:dyDescent="0.3">
      <c r="A648" t="s">
        <v>1719</v>
      </c>
      <c r="B648" s="2">
        <v>46167</v>
      </c>
      <c r="C648" t="s">
        <v>272</v>
      </c>
      <c r="D648" t="s">
        <v>70</v>
      </c>
      <c r="E648" t="s">
        <v>165</v>
      </c>
      <c r="F648">
        <v>4</v>
      </c>
      <c r="G648">
        <v>0.2</v>
      </c>
      <c r="H648">
        <v>8000</v>
      </c>
      <c r="I648">
        <v>2073.5100000000002</v>
      </c>
      <c r="J648" t="s">
        <v>51</v>
      </c>
      <c r="K648" t="s">
        <v>40</v>
      </c>
      <c r="L648">
        <v>2000</v>
      </c>
      <c r="M648">
        <v>25.918875</v>
      </c>
      <c r="N648" t="s">
        <v>8</v>
      </c>
      <c r="O648" t="s">
        <v>166</v>
      </c>
      <c r="P648" t="s">
        <v>73</v>
      </c>
      <c r="Q648" t="s">
        <v>30</v>
      </c>
      <c r="R648" t="s">
        <v>98</v>
      </c>
      <c r="S648" t="s">
        <v>54</v>
      </c>
      <c r="T648" t="s">
        <v>273</v>
      </c>
      <c r="U648" t="s">
        <v>105</v>
      </c>
      <c r="V648">
        <v>518.37750000000005</v>
      </c>
    </row>
    <row r="649" spans="1:22" x14ac:dyDescent="0.3">
      <c r="A649" t="s">
        <v>1720</v>
      </c>
      <c r="B649" s="2">
        <v>46191</v>
      </c>
      <c r="C649" t="s">
        <v>229</v>
      </c>
      <c r="D649" t="s">
        <v>70</v>
      </c>
      <c r="E649" t="s">
        <v>71</v>
      </c>
      <c r="F649">
        <v>3</v>
      </c>
      <c r="G649">
        <v>0</v>
      </c>
      <c r="H649">
        <v>54000</v>
      </c>
      <c r="I649">
        <v>10500</v>
      </c>
      <c r="J649" t="s">
        <v>51</v>
      </c>
      <c r="K649" t="s">
        <v>40</v>
      </c>
      <c r="L649">
        <v>18000</v>
      </c>
      <c r="M649">
        <v>19.44444444444445</v>
      </c>
      <c r="N649" t="s">
        <v>8</v>
      </c>
      <c r="O649" t="s">
        <v>103</v>
      </c>
      <c r="P649" t="s">
        <v>29</v>
      </c>
      <c r="Q649" t="s">
        <v>30</v>
      </c>
      <c r="R649" t="s">
        <v>60</v>
      </c>
      <c r="S649" t="s">
        <v>61</v>
      </c>
      <c r="T649" t="s">
        <v>230</v>
      </c>
      <c r="U649" t="s">
        <v>105</v>
      </c>
      <c r="V649">
        <v>3500</v>
      </c>
    </row>
    <row r="650" spans="1:22" x14ac:dyDescent="0.3">
      <c r="A650" t="s">
        <v>1721</v>
      </c>
      <c r="B650" s="2">
        <v>46118</v>
      </c>
      <c r="C650" t="s">
        <v>866</v>
      </c>
      <c r="D650" t="s">
        <v>70</v>
      </c>
      <c r="E650" t="s">
        <v>129</v>
      </c>
      <c r="F650">
        <v>1</v>
      </c>
      <c r="G650">
        <v>0.05</v>
      </c>
      <c r="H650">
        <v>52250</v>
      </c>
      <c r="I650">
        <v>7405.35</v>
      </c>
      <c r="J650" t="s">
        <v>39</v>
      </c>
      <c r="K650" t="s">
        <v>40</v>
      </c>
      <c r="L650">
        <v>52250</v>
      </c>
      <c r="M650">
        <v>14.172918660287079</v>
      </c>
      <c r="N650" t="s">
        <v>8</v>
      </c>
      <c r="O650" t="s">
        <v>247</v>
      </c>
      <c r="P650" t="s">
        <v>73</v>
      </c>
      <c r="Q650" t="s">
        <v>30</v>
      </c>
      <c r="R650" t="s">
        <v>98</v>
      </c>
      <c r="S650" t="s">
        <v>54</v>
      </c>
      <c r="T650" t="s">
        <v>319</v>
      </c>
      <c r="U650" t="s">
        <v>34</v>
      </c>
      <c r="V650">
        <v>7405.35</v>
      </c>
    </row>
    <row r="651" spans="1:22" x14ac:dyDescent="0.3">
      <c r="A651" t="s">
        <v>1722</v>
      </c>
      <c r="B651" s="2">
        <v>45876</v>
      </c>
      <c r="C651" t="s">
        <v>1723</v>
      </c>
      <c r="D651" t="s">
        <v>24</v>
      </c>
      <c r="E651" t="s">
        <v>92</v>
      </c>
      <c r="F651">
        <v>1</v>
      </c>
      <c r="G651">
        <v>0.2</v>
      </c>
      <c r="H651">
        <v>720</v>
      </c>
      <c r="I651">
        <v>164.81</v>
      </c>
      <c r="J651" t="s">
        <v>65</v>
      </c>
      <c r="K651" t="s">
        <v>27</v>
      </c>
      <c r="L651">
        <v>720</v>
      </c>
      <c r="M651">
        <v>22.890277777777779</v>
      </c>
      <c r="N651" t="s">
        <v>8</v>
      </c>
      <c r="O651" t="s">
        <v>398</v>
      </c>
      <c r="P651" t="s">
        <v>83</v>
      </c>
      <c r="Q651" t="s">
        <v>30</v>
      </c>
      <c r="R651" t="s">
        <v>98</v>
      </c>
      <c r="S651" t="s">
        <v>54</v>
      </c>
      <c r="T651" t="s">
        <v>1724</v>
      </c>
      <c r="U651" t="s">
        <v>46</v>
      </c>
      <c r="V651">
        <v>164.81</v>
      </c>
    </row>
    <row r="652" spans="1:22" x14ac:dyDescent="0.3">
      <c r="A652" t="s">
        <v>1725</v>
      </c>
      <c r="B652" s="2">
        <v>46093</v>
      </c>
      <c r="C652" t="s">
        <v>1704</v>
      </c>
      <c r="D652" t="s">
        <v>70</v>
      </c>
      <c r="E652" t="s">
        <v>165</v>
      </c>
      <c r="F652">
        <v>2</v>
      </c>
      <c r="G652">
        <v>0</v>
      </c>
      <c r="H652">
        <v>5000</v>
      </c>
      <c r="I652">
        <v>1600</v>
      </c>
      <c r="J652" t="s">
        <v>51</v>
      </c>
      <c r="K652" t="s">
        <v>40</v>
      </c>
      <c r="L652">
        <v>2500</v>
      </c>
      <c r="M652">
        <v>32</v>
      </c>
      <c r="N652" t="s">
        <v>8</v>
      </c>
      <c r="O652" t="s">
        <v>636</v>
      </c>
      <c r="P652" t="s">
        <v>29</v>
      </c>
      <c r="Q652" t="s">
        <v>30</v>
      </c>
      <c r="R652" t="s">
        <v>53</v>
      </c>
      <c r="S652" t="s">
        <v>54</v>
      </c>
      <c r="T652" t="s">
        <v>1705</v>
      </c>
      <c r="U652" t="s">
        <v>34</v>
      </c>
      <c r="V652">
        <v>800</v>
      </c>
    </row>
    <row r="653" spans="1:22" x14ac:dyDescent="0.3">
      <c r="A653" t="s">
        <v>1726</v>
      </c>
      <c r="B653" s="2">
        <v>46084</v>
      </c>
      <c r="C653" t="s">
        <v>1690</v>
      </c>
      <c r="D653" t="s">
        <v>70</v>
      </c>
      <c r="E653" t="s">
        <v>129</v>
      </c>
      <c r="F653">
        <v>4</v>
      </c>
      <c r="G653">
        <v>0.1</v>
      </c>
      <c r="H653">
        <v>198000</v>
      </c>
      <c r="I653">
        <v>19501.830000000002</v>
      </c>
      <c r="J653" t="s">
        <v>26</v>
      </c>
      <c r="K653" t="s">
        <v>40</v>
      </c>
      <c r="L653">
        <v>49500</v>
      </c>
      <c r="M653">
        <v>9.8494090909090914</v>
      </c>
      <c r="N653" t="s">
        <v>8</v>
      </c>
      <c r="O653" t="s">
        <v>1566</v>
      </c>
      <c r="P653" t="s">
        <v>73</v>
      </c>
      <c r="Q653" t="s">
        <v>30</v>
      </c>
      <c r="R653" t="s">
        <v>53</v>
      </c>
      <c r="S653" t="s">
        <v>54</v>
      </c>
      <c r="T653" t="s">
        <v>1691</v>
      </c>
      <c r="U653" t="s">
        <v>105</v>
      </c>
      <c r="V653">
        <v>4875.4575000000004</v>
      </c>
    </row>
    <row r="654" spans="1:22" x14ac:dyDescent="0.3">
      <c r="A654" t="s">
        <v>1727</v>
      </c>
      <c r="B654" s="2">
        <v>46077</v>
      </c>
      <c r="C654" t="s">
        <v>675</v>
      </c>
      <c r="D654" t="s">
        <v>70</v>
      </c>
      <c r="E654" t="s">
        <v>108</v>
      </c>
      <c r="F654">
        <v>3</v>
      </c>
      <c r="G654">
        <v>0.1</v>
      </c>
      <c r="H654">
        <v>12150</v>
      </c>
      <c r="I654">
        <v>-5367.55</v>
      </c>
      <c r="J654" t="s">
        <v>39</v>
      </c>
      <c r="K654" t="s">
        <v>434</v>
      </c>
      <c r="L654">
        <v>4050</v>
      </c>
      <c r="M654">
        <v>-44.177366255144037</v>
      </c>
      <c r="N654" t="s">
        <v>81</v>
      </c>
      <c r="O654" t="s">
        <v>255</v>
      </c>
      <c r="P654" t="s">
        <v>29</v>
      </c>
      <c r="Q654" t="s">
        <v>30</v>
      </c>
      <c r="R654" t="s">
        <v>60</v>
      </c>
      <c r="S654" t="s">
        <v>61</v>
      </c>
      <c r="T654" t="s">
        <v>676</v>
      </c>
      <c r="U654" t="s">
        <v>105</v>
      </c>
      <c r="V654">
        <v>-1789.1833333333329</v>
      </c>
    </row>
    <row r="655" spans="1:22" x14ac:dyDescent="0.3">
      <c r="A655" t="s">
        <v>1728</v>
      </c>
      <c r="B655" s="2">
        <v>46094</v>
      </c>
      <c r="C655" t="s">
        <v>365</v>
      </c>
      <c r="D655" t="s">
        <v>70</v>
      </c>
      <c r="E655" t="s">
        <v>129</v>
      </c>
      <c r="F655">
        <v>5</v>
      </c>
      <c r="G655">
        <v>0.15</v>
      </c>
      <c r="H655">
        <v>233750</v>
      </c>
      <c r="I655">
        <v>18676.47</v>
      </c>
      <c r="J655" t="s">
        <v>26</v>
      </c>
      <c r="K655" t="s">
        <v>40</v>
      </c>
      <c r="L655">
        <v>46750</v>
      </c>
      <c r="M655">
        <v>7.9899336898395719</v>
      </c>
      <c r="N655" t="s">
        <v>8</v>
      </c>
      <c r="O655" t="s">
        <v>318</v>
      </c>
      <c r="P655" t="s">
        <v>29</v>
      </c>
      <c r="Q655" t="s">
        <v>30</v>
      </c>
      <c r="R655" t="s">
        <v>31</v>
      </c>
      <c r="S655" t="s">
        <v>32</v>
      </c>
      <c r="T655" t="s">
        <v>366</v>
      </c>
      <c r="U655" t="s">
        <v>105</v>
      </c>
      <c r="V655">
        <v>3735.2939999999999</v>
      </c>
    </row>
    <row r="656" spans="1:22" x14ac:dyDescent="0.3">
      <c r="A656" t="s">
        <v>1729</v>
      </c>
      <c r="B656" s="2">
        <v>45966</v>
      </c>
      <c r="C656" t="s">
        <v>1164</v>
      </c>
      <c r="D656" t="s">
        <v>70</v>
      </c>
      <c r="E656" t="s">
        <v>165</v>
      </c>
      <c r="F656">
        <v>1</v>
      </c>
      <c r="G656">
        <v>0.1</v>
      </c>
      <c r="H656">
        <v>2250</v>
      </c>
      <c r="I656">
        <v>623.54</v>
      </c>
      <c r="J656" t="s">
        <v>51</v>
      </c>
      <c r="K656" t="s">
        <v>40</v>
      </c>
      <c r="L656">
        <v>2250</v>
      </c>
      <c r="M656">
        <v>27.712888888888891</v>
      </c>
      <c r="N656" t="s">
        <v>8</v>
      </c>
      <c r="O656" t="s">
        <v>284</v>
      </c>
      <c r="P656" t="s">
        <v>29</v>
      </c>
      <c r="Q656" t="s">
        <v>30</v>
      </c>
      <c r="R656" t="s">
        <v>98</v>
      </c>
      <c r="S656" t="s">
        <v>54</v>
      </c>
      <c r="T656" t="s">
        <v>1165</v>
      </c>
      <c r="U656" t="s">
        <v>105</v>
      </c>
      <c r="V656">
        <v>623.54</v>
      </c>
    </row>
    <row r="657" spans="1:22" x14ac:dyDescent="0.3">
      <c r="A657" t="s">
        <v>1730</v>
      </c>
      <c r="B657" s="2">
        <v>45953</v>
      </c>
      <c r="C657" t="s">
        <v>1196</v>
      </c>
      <c r="D657" t="s">
        <v>70</v>
      </c>
      <c r="E657" t="s">
        <v>71</v>
      </c>
      <c r="F657">
        <v>2</v>
      </c>
      <c r="G657">
        <v>0.15</v>
      </c>
      <c r="H657">
        <v>30600</v>
      </c>
      <c r="I657">
        <v>4492.49</v>
      </c>
      <c r="J657" t="s">
        <v>65</v>
      </c>
      <c r="K657" t="s">
        <v>27</v>
      </c>
      <c r="L657">
        <v>15300</v>
      </c>
      <c r="M657">
        <v>14.68133986928105</v>
      </c>
      <c r="N657" t="s">
        <v>8</v>
      </c>
      <c r="O657" t="s">
        <v>686</v>
      </c>
      <c r="P657" t="s">
        <v>73</v>
      </c>
      <c r="Q657" t="s">
        <v>30</v>
      </c>
      <c r="R657" t="s">
        <v>53</v>
      </c>
      <c r="S657" t="s">
        <v>54</v>
      </c>
      <c r="T657" t="s">
        <v>1197</v>
      </c>
      <c r="U657" t="s">
        <v>100</v>
      </c>
      <c r="V657">
        <v>2246.2449999999999</v>
      </c>
    </row>
    <row r="658" spans="1:22" x14ac:dyDescent="0.3">
      <c r="A658" t="s">
        <v>1731</v>
      </c>
      <c r="B658" s="2">
        <v>46061</v>
      </c>
      <c r="C658" t="s">
        <v>792</v>
      </c>
      <c r="D658" t="s">
        <v>70</v>
      </c>
      <c r="E658" t="s">
        <v>108</v>
      </c>
      <c r="F658">
        <v>3</v>
      </c>
      <c r="G658">
        <v>0.15</v>
      </c>
      <c r="H658">
        <v>11475</v>
      </c>
      <c r="I658">
        <v>-2479.0500000000002</v>
      </c>
      <c r="J658" t="s">
        <v>26</v>
      </c>
      <c r="K658" t="s">
        <v>434</v>
      </c>
      <c r="L658">
        <v>3825</v>
      </c>
      <c r="M658">
        <v>-21.603921568627449</v>
      </c>
      <c r="N658" t="s">
        <v>81</v>
      </c>
      <c r="O658" t="s">
        <v>359</v>
      </c>
      <c r="P658" t="s">
        <v>83</v>
      </c>
      <c r="Q658" t="s">
        <v>74</v>
      </c>
      <c r="R658" t="s">
        <v>237</v>
      </c>
      <c r="S658" t="s">
        <v>238</v>
      </c>
      <c r="T658" t="s">
        <v>793</v>
      </c>
      <c r="U658" t="s">
        <v>34</v>
      </c>
      <c r="V658">
        <v>-826.35</v>
      </c>
    </row>
    <row r="659" spans="1:22" x14ac:dyDescent="0.3">
      <c r="A659" t="s">
        <v>1732</v>
      </c>
      <c r="B659" s="2">
        <v>46059</v>
      </c>
      <c r="C659" t="s">
        <v>664</v>
      </c>
      <c r="D659" t="s">
        <v>37</v>
      </c>
      <c r="E659" t="s">
        <v>170</v>
      </c>
      <c r="F659">
        <v>1</v>
      </c>
      <c r="G659">
        <v>0.1</v>
      </c>
      <c r="H659">
        <v>1260</v>
      </c>
      <c r="I659">
        <v>384.12</v>
      </c>
      <c r="J659" t="s">
        <v>26</v>
      </c>
      <c r="K659" t="s">
        <v>40</v>
      </c>
      <c r="L659">
        <v>1260</v>
      </c>
      <c r="M659">
        <v>30.485714285714291</v>
      </c>
      <c r="N659" t="s">
        <v>8</v>
      </c>
      <c r="O659" t="s">
        <v>665</v>
      </c>
      <c r="P659" t="s">
        <v>29</v>
      </c>
      <c r="Q659" t="s">
        <v>30</v>
      </c>
      <c r="R659" t="s">
        <v>31</v>
      </c>
      <c r="S659" t="s">
        <v>32</v>
      </c>
      <c r="T659" t="s">
        <v>256</v>
      </c>
      <c r="U659" t="s">
        <v>34</v>
      </c>
      <c r="V659">
        <v>384.12</v>
      </c>
    </row>
    <row r="660" spans="1:22" x14ac:dyDescent="0.3">
      <c r="A660" t="s">
        <v>1733</v>
      </c>
      <c r="B660" s="2">
        <v>46202</v>
      </c>
      <c r="C660" t="s">
        <v>1734</v>
      </c>
      <c r="D660" t="s">
        <v>70</v>
      </c>
      <c r="E660" t="s">
        <v>129</v>
      </c>
      <c r="F660">
        <v>2</v>
      </c>
      <c r="G660">
        <v>0.1</v>
      </c>
      <c r="H660">
        <v>99000</v>
      </c>
      <c r="I660">
        <v>10438.049999999999</v>
      </c>
      <c r="J660" t="s">
        <v>65</v>
      </c>
      <c r="K660" t="s">
        <v>40</v>
      </c>
      <c r="L660">
        <v>49500</v>
      </c>
      <c r="M660">
        <v>10.54348484848485</v>
      </c>
      <c r="N660" t="s">
        <v>8</v>
      </c>
      <c r="O660" t="s">
        <v>1735</v>
      </c>
      <c r="P660" t="s">
        <v>29</v>
      </c>
      <c r="Q660" t="s">
        <v>74</v>
      </c>
      <c r="R660" t="s">
        <v>237</v>
      </c>
      <c r="S660" t="s">
        <v>238</v>
      </c>
      <c r="T660" t="s">
        <v>1736</v>
      </c>
      <c r="U660" t="s">
        <v>34</v>
      </c>
      <c r="V660">
        <v>5219.0249999999996</v>
      </c>
    </row>
    <row r="661" spans="1:22" x14ac:dyDescent="0.3">
      <c r="A661" t="s">
        <v>1737</v>
      </c>
      <c r="B661" s="2">
        <v>46117</v>
      </c>
      <c r="C661" t="s">
        <v>189</v>
      </c>
      <c r="D661" t="s">
        <v>49</v>
      </c>
      <c r="E661" t="s">
        <v>50</v>
      </c>
      <c r="F661">
        <v>4</v>
      </c>
      <c r="G661">
        <v>0.1</v>
      </c>
      <c r="H661">
        <v>46800</v>
      </c>
      <c r="I661">
        <v>-12680.53</v>
      </c>
      <c r="J661" t="s">
        <v>51</v>
      </c>
      <c r="K661" t="s">
        <v>80</v>
      </c>
      <c r="L661">
        <v>11700</v>
      </c>
      <c r="M661">
        <v>-27.095149572649579</v>
      </c>
      <c r="N661" t="s">
        <v>81</v>
      </c>
      <c r="O661" t="s">
        <v>191</v>
      </c>
      <c r="P661" t="s">
        <v>29</v>
      </c>
      <c r="Q661" t="s">
        <v>30</v>
      </c>
      <c r="R661" t="s">
        <v>31</v>
      </c>
      <c r="S661" t="s">
        <v>32</v>
      </c>
      <c r="T661" t="s">
        <v>192</v>
      </c>
      <c r="U661" t="s">
        <v>34</v>
      </c>
      <c r="V661">
        <v>-3170.1325000000002</v>
      </c>
    </row>
    <row r="662" spans="1:22" x14ac:dyDescent="0.3">
      <c r="A662" t="s">
        <v>1738</v>
      </c>
      <c r="B662" s="2">
        <v>46174</v>
      </c>
      <c r="C662" t="s">
        <v>525</v>
      </c>
      <c r="D662" t="s">
        <v>70</v>
      </c>
      <c r="E662" t="s">
        <v>71</v>
      </c>
      <c r="F662">
        <v>1</v>
      </c>
      <c r="G662">
        <v>0.05</v>
      </c>
      <c r="H662">
        <v>17100</v>
      </c>
      <c r="I662">
        <v>2966.48</v>
      </c>
      <c r="J662" t="s">
        <v>51</v>
      </c>
      <c r="K662" t="s">
        <v>40</v>
      </c>
      <c r="L662">
        <v>17100</v>
      </c>
      <c r="M662">
        <v>17.34783625730994</v>
      </c>
      <c r="N662" t="s">
        <v>8</v>
      </c>
      <c r="O662" t="s">
        <v>526</v>
      </c>
      <c r="P662" t="s">
        <v>29</v>
      </c>
      <c r="Q662" t="s">
        <v>30</v>
      </c>
      <c r="R662" t="s">
        <v>98</v>
      </c>
      <c r="S662" t="s">
        <v>54</v>
      </c>
      <c r="T662" t="s">
        <v>527</v>
      </c>
      <c r="U662" t="s">
        <v>34</v>
      </c>
      <c r="V662">
        <v>2966.48</v>
      </c>
    </row>
    <row r="663" spans="1:22" x14ac:dyDescent="0.3">
      <c r="A663" t="s">
        <v>1739</v>
      </c>
      <c r="B663" s="2">
        <v>46247</v>
      </c>
      <c r="C663" t="s">
        <v>417</v>
      </c>
      <c r="D663" t="s">
        <v>70</v>
      </c>
      <c r="E663" t="s">
        <v>129</v>
      </c>
      <c r="F663">
        <v>3</v>
      </c>
      <c r="G663">
        <v>0.1</v>
      </c>
      <c r="H663">
        <v>148500</v>
      </c>
      <c r="I663">
        <v>17526.02</v>
      </c>
      <c r="J663" t="s">
        <v>39</v>
      </c>
      <c r="K663" t="s">
        <v>27</v>
      </c>
      <c r="L663">
        <v>49500</v>
      </c>
      <c r="M663">
        <v>11.802033670033669</v>
      </c>
      <c r="N663" t="s">
        <v>8</v>
      </c>
      <c r="O663" t="s">
        <v>418</v>
      </c>
      <c r="P663" t="s">
        <v>29</v>
      </c>
      <c r="Q663" t="s">
        <v>30</v>
      </c>
      <c r="R663" t="s">
        <v>60</v>
      </c>
      <c r="S663" t="s">
        <v>61</v>
      </c>
      <c r="T663" t="s">
        <v>419</v>
      </c>
      <c r="U663" t="s">
        <v>34</v>
      </c>
      <c r="V663">
        <v>5842.0066666666671</v>
      </c>
    </row>
    <row r="664" spans="1:22" x14ac:dyDescent="0.3">
      <c r="A664" t="s">
        <v>1740</v>
      </c>
      <c r="B664" s="2">
        <v>46131</v>
      </c>
      <c r="C664" t="s">
        <v>385</v>
      </c>
      <c r="D664" t="s">
        <v>70</v>
      </c>
      <c r="E664" t="s">
        <v>129</v>
      </c>
      <c r="F664">
        <v>1</v>
      </c>
      <c r="G664">
        <v>0</v>
      </c>
      <c r="H664">
        <v>55000</v>
      </c>
      <c r="I664">
        <v>9000</v>
      </c>
      <c r="J664" t="s">
        <v>26</v>
      </c>
      <c r="K664" t="s">
        <v>40</v>
      </c>
      <c r="L664">
        <v>55000</v>
      </c>
      <c r="M664">
        <v>16.36363636363636</v>
      </c>
      <c r="N664" t="s">
        <v>8</v>
      </c>
      <c r="O664" t="s">
        <v>386</v>
      </c>
      <c r="P664" t="s">
        <v>29</v>
      </c>
      <c r="Q664" t="s">
        <v>30</v>
      </c>
      <c r="R664" t="s">
        <v>60</v>
      </c>
      <c r="S664" t="s">
        <v>61</v>
      </c>
      <c r="T664" t="s">
        <v>387</v>
      </c>
      <c r="U664" t="s">
        <v>100</v>
      </c>
      <c r="V664">
        <v>9000</v>
      </c>
    </row>
    <row r="665" spans="1:22" x14ac:dyDescent="0.3">
      <c r="A665" t="s">
        <v>1741</v>
      </c>
      <c r="B665" s="2">
        <v>46079</v>
      </c>
      <c r="C665" t="s">
        <v>878</v>
      </c>
      <c r="D665" t="s">
        <v>70</v>
      </c>
      <c r="E665" t="s">
        <v>108</v>
      </c>
      <c r="F665">
        <v>3</v>
      </c>
      <c r="G665">
        <v>0</v>
      </c>
      <c r="H665">
        <v>13500</v>
      </c>
      <c r="I665">
        <v>4500</v>
      </c>
      <c r="J665" t="s">
        <v>39</v>
      </c>
      <c r="K665" t="s">
        <v>40</v>
      </c>
      <c r="L665">
        <v>4500</v>
      </c>
      <c r="M665">
        <v>33.333333333333329</v>
      </c>
      <c r="N665" t="s">
        <v>8</v>
      </c>
      <c r="O665" t="s">
        <v>879</v>
      </c>
      <c r="P665" t="s">
        <v>83</v>
      </c>
      <c r="Q665" t="s">
        <v>30</v>
      </c>
      <c r="R665" t="s">
        <v>98</v>
      </c>
      <c r="S665" t="s">
        <v>54</v>
      </c>
      <c r="T665" t="s">
        <v>880</v>
      </c>
      <c r="U665" t="s">
        <v>46</v>
      </c>
      <c r="V665">
        <v>1500</v>
      </c>
    </row>
    <row r="666" spans="1:22" x14ac:dyDescent="0.3">
      <c r="A666" t="s">
        <v>1742</v>
      </c>
      <c r="B666" s="2">
        <v>46162</v>
      </c>
      <c r="C666" t="s">
        <v>581</v>
      </c>
      <c r="D666" t="s">
        <v>70</v>
      </c>
      <c r="E666" t="s">
        <v>129</v>
      </c>
      <c r="F666">
        <v>4</v>
      </c>
      <c r="G666">
        <v>0</v>
      </c>
      <c r="H666">
        <v>220000</v>
      </c>
      <c r="I666">
        <v>36000</v>
      </c>
      <c r="J666" t="s">
        <v>65</v>
      </c>
      <c r="K666" t="s">
        <v>40</v>
      </c>
      <c r="L666">
        <v>55000</v>
      </c>
      <c r="M666">
        <v>16.36363636363636</v>
      </c>
      <c r="N666" t="s">
        <v>8</v>
      </c>
      <c r="O666" t="s">
        <v>582</v>
      </c>
      <c r="P666" t="s">
        <v>73</v>
      </c>
      <c r="Q666" t="s">
        <v>131</v>
      </c>
      <c r="R666" t="s">
        <v>289</v>
      </c>
      <c r="S666" t="s">
        <v>290</v>
      </c>
      <c r="T666" t="s">
        <v>583</v>
      </c>
      <c r="U666" t="s">
        <v>46</v>
      </c>
      <c r="V666">
        <v>9000</v>
      </c>
    </row>
    <row r="667" spans="1:22" x14ac:dyDescent="0.3">
      <c r="A667" t="s">
        <v>1743</v>
      </c>
      <c r="B667" s="2">
        <v>46246</v>
      </c>
      <c r="C667" t="s">
        <v>1744</v>
      </c>
      <c r="D667" t="s">
        <v>24</v>
      </c>
      <c r="E667" t="s">
        <v>87</v>
      </c>
      <c r="F667">
        <v>2</v>
      </c>
      <c r="G667">
        <v>0</v>
      </c>
      <c r="H667">
        <v>700</v>
      </c>
      <c r="I667">
        <v>240</v>
      </c>
      <c r="J667" t="s">
        <v>26</v>
      </c>
      <c r="K667" t="s">
        <v>40</v>
      </c>
      <c r="L667">
        <v>350</v>
      </c>
      <c r="M667">
        <v>34.285714285714278</v>
      </c>
      <c r="N667" t="s">
        <v>8</v>
      </c>
      <c r="O667" t="s">
        <v>922</v>
      </c>
      <c r="P667" t="s">
        <v>29</v>
      </c>
      <c r="Q667" t="s">
        <v>74</v>
      </c>
      <c r="R667" t="s">
        <v>237</v>
      </c>
      <c r="S667" t="s">
        <v>238</v>
      </c>
      <c r="T667" t="s">
        <v>1745</v>
      </c>
      <c r="U667" t="s">
        <v>105</v>
      </c>
      <c r="V667">
        <v>120</v>
      </c>
    </row>
    <row r="668" spans="1:22" x14ac:dyDescent="0.3">
      <c r="A668" t="s">
        <v>1746</v>
      </c>
      <c r="B668" s="2">
        <v>46009</v>
      </c>
      <c r="C668" t="s">
        <v>1262</v>
      </c>
      <c r="D668" t="s">
        <v>49</v>
      </c>
      <c r="E668" t="s">
        <v>79</v>
      </c>
      <c r="F668">
        <v>3</v>
      </c>
      <c r="G668">
        <v>0</v>
      </c>
      <c r="H668">
        <v>33000</v>
      </c>
      <c r="I668">
        <v>7800</v>
      </c>
      <c r="J668" t="s">
        <v>51</v>
      </c>
      <c r="K668" t="s">
        <v>27</v>
      </c>
      <c r="L668">
        <v>11000</v>
      </c>
      <c r="M668">
        <v>23.63636363636364</v>
      </c>
      <c r="N668" t="s">
        <v>8</v>
      </c>
      <c r="O668" t="s">
        <v>1263</v>
      </c>
      <c r="P668" t="s">
        <v>83</v>
      </c>
      <c r="Q668" t="s">
        <v>30</v>
      </c>
      <c r="R668" t="s">
        <v>53</v>
      </c>
      <c r="S668" t="s">
        <v>54</v>
      </c>
      <c r="T668" t="s">
        <v>1264</v>
      </c>
      <c r="U668" t="s">
        <v>46</v>
      </c>
      <c r="V668">
        <v>2600</v>
      </c>
    </row>
    <row r="669" spans="1:22" x14ac:dyDescent="0.3">
      <c r="A669" t="s">
        <v>1747</v>
      </c>
      <c r="B669" s="2">
        <v>46251</v>
      </c>
      <c r="C669" t="s">
        <v>1748</v>
      </c>
      <c r="D669" t="s">
        <v>37</v>
      </c>
      <c r="E669" t="s">
        <v>170</v>
      </c>
      <c r="F669">
        <v>1</v>
      </c>
      <c r="G669">
        <v>0.15</v>
      </c>
      <c r="H669">
        <v>1190</v>
      </c>
      <c r="I669">
        <v>386.07</v>
      </c>
      <c r="J669" t="s">
        <v>26</v>
      </c>
      <c r="K669" t="s">
        <v>40</v>
      </c>
      <c r="L669">
        <v>1190</v>
      </c>
      <c r="M669">
        <v>32.442857142857143</v>
      </c>
      <c r="N669" t="s">
        <v>8</v>
      </c>
      <c r="O669" t="s">
        <v>1749</v>
      </c>
      <c r="P669" t="s">
        <v>83</v>
      </c>
      <c r="Q669" t="s">
        <v>42</v>
      </c>
      <c r="R669" t="s">
        <v>121</v>
      </c>
      <c r="S669" t="s">
        <v>44</v>
      </c>
      <c r="T669" t="s">
        <v>1221</v>
      </c>
      <c r="U669" t="s">
        <v>34</v>
      </c>
      <c r="V669">
        <v>386.07</v>
      </c>
    </row>
    <row r="670" spans="1:22" x14ac:dyDescent="0.3">
      <c r="A670" t="s">
        <v>1750</v>
      </c>
      <c r="B670" s="2">
        <v>46087</v>
      </c>
      <c r="C670" t="s">
        <v>1751</v>
      </c>
      <c r="D670" t="s">
        <v>37</v>
      </c>
      <c r="E670" t="s">
        <v>170</v>
      </c>
      <c r="F670">
        <v>3</v>
      </c>
      <c r="G670">
        <v>0</v>
      </c>
      <c r="H670">
        <v>4200</v>
      </c>
      <c r="I670">
        <v>1500</v>
      </c>
      <c r="J670" t="s">
        <v>26</v>
      </c>
      <c r="K670" t="s">
        <v>40</v>
      </c>
      <c r="L670">
        <v>1400</v>
      </c>
      <c r="M670">
        <v>35.714285714285722</v>
      </c>
      <c r="N670" t="s">
        <v>8</v>
      </c>
      <c r="O670" t="s">
        <v>537</v>
      </c>
      <c r="P670" t="s">
        <v>83</v>
      </c>
      <c r="Q670" t="s">
        <v>74</v>
      </c>
      <c r="R670" t="s">
        <v>115</v>
      </c>
      <c r="S670" t="s">
        <v>115</v>
      </c>
      <c r="T670" t="s">
        <v>1752</v>
      </c>
      <c r="U670" t="s">
        <v>46</v>
      </c>
      <c r="V670">
        <v>500</v>
      </c>
    </row>
    <row r="671" spans="1:22" x14ac:dyDescent="0.3">
      <c r="A671" t="s">
        <v>1753</v>
      </c>
      <c r="B671" s="2">
        <v>46092</v>
      </c>
      <c r="C671" t="s">
        <v>23</v>
      </c>
      <c r="D671" t="s">
        <v>24</v>
      </c>
      <c r="E671" t="s">
        <v>87</v>
      </c>
      <c r="F671">
        <v>4</v>
      </c>
      <c r="G671">
        <v>0.05</v>
      </c>
      <c r="H671">
        <v>1330</v>
      </c>
      <c r="I671">
        <v>440.73</v>
      </c>
      <c r="J671" t="s">
        <v>39</v>
      </c>
      <c r="K671" t="s">
        <v>40</v>
      </c>
      <c r="L671">
        <v>332.5</v>
      </c>
      <c r="M671">
        <v>33.137593984962407</v>
      </c>
      <c r="N671" t="s">
        <v>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 t="s">
        <v>33</v>
      </c>
      <c r="U671" t="s">
        <v>34</v>
      </c>
      <c r="V671">
        <v>110.1825</v>
      </c>
    </row>
    <row r="672" spans="1:22" x14ac:dyDescent="0.3">
      <c r="A672" t="s">
        <v>1754</v>
      </c>
      <c r="B672" s="2">
        <v>46182</v>
      </c>
      <c r="C672" t="s">
        <v>1343</v>
      </c>
      <c r="D672" t="s">
        <v>24</v>
      </c>
      <c r="E672" t="s">
        <v>87</v>
      </c>
      <c r="F672">
        <v>1</v>
      </c>
      <c r="G672">
        <v>0</v>
      </c>
      <c r="H672">
        <v>350</v>
      </c>
      <c r="I672">
        <v>120</v>
      </c>
      <c r="J672" t="s">
        <v>26</v>
      </c>
      <c r="K672" t="s">
        <v>27</v>
      </c>
      <c r="L672">
        <v>350</v>
      </c>
      <c r="M672">
        <v>34.285714285714278</v>
      </c>
      <c r="N672" t="s">
        <v>8</v>
      </c>
      <c r="O672" t="s">
        <v>1057</v>
      </c>
      <c r="P672" t="s">
        <v>29</v>
      </c>
      <c r="Q672" t="s">
        <v>42</v>
      </c>
      <c r="R672" t="s">
        <v>110</v>
      </c>
      <c r="S672" t="s">
        <v>111</v>
      </c>
      <c r="T672" t="s">
        <v>1344</v>
      </c>
      <c r="U672" t="s">
        <v>46</v>
      </c>
      <c r="V672">
        <v>120</v>
      </c>
    </row>
    <row r="673" spans="1:22" x14ac:dyDescent="0.3">
      <c r="A673" t="s">
        <v>1755</v>
      </c>
      <c r="B673" s="2">
        <v>46252</v>
      </c>
      <c r="C673" t="s">
        <v>625</v>
      </c>
      <c r="D673" t="s">
        <v>49</v>
      </c>
      <c r="E673" t="s">
        <v>79</v>
      </c>
      <c r="F673">
        <v>1</v>
      </c>
      <c r="G673">
        <v>0.2</v>
      </c>
      <c r="H673">
        <v>8800</v>
      </c>
      <c r="I673">
        <v>979.81</v>
      </c>
      <c r="J673" t="s">
        <v>39</v>
      </c>
      <c r="K673" t="s">
        <v>40</v>
      </c>
      <c r="L673">
        <v>8800</v>
      </c>
      <c r="M673">
        <v>11.134204545454541</v>
      </c>
      <c r="N673" t="s">
        <v>8</v>
      </c>
      <c r="O673" t="s">
        <v>626</v>
      </c>
      <c r="P673" t="s">
        <v>29</v>
      </c>
      <c r="Q673" t="s">
        <v>30</v>
      </c>
      <c r="R673" t="s">
        <v>53</v>
      </c>
      <c r="S673" t="s">
        <v>54</v>
      </c>
      <c r="T673" t="s">
        <v>627</v>
      </c>
      <c r="U673" t="s">
        <v>105</v>
      </c>
      <c r="V673">
        <v>979.81</v>
      </c>
    </row>
    <row r="674" spans="1:22" x14ac:dyDescent="0.3">
      <c r="A674" t="s">
        <v>1756</v>
      </c>
      <c r="B674" s="2">
        <v>46177</v>
      </c>
      <c r="C674" t="s">
        <v>313</v>
      </c>
      <c r="D674" t="s">
        <v>49</v>
      </c>
      <c r="E674" t="s">
        <v>58</v>
      </c>
      <c r="F674">
        <v>3</v>
      </c>
      <c r="G674">
        <v>0</v>
      </c>
      <c r="H674">
        <v>45000</v>
      </c>
      <c r="I674">
        <v>10500</v>
      </c>
      <c r="J674" t="s">
        <v>51</v>
      </c>
      <c r="K674" t="s">
        <v>40</v>
      </c>
      <c r="L674">
        <v>15000</v>
      </c>
      <c r="M674">
        <v>23.333333333333329</v>
      </c>
      <c r="N674" t="s">
        <v>8</v>
      </c>
      <c r="O674" t="s">
        <v>314</v>
      </c>
      <c r="P674" t="s">
        <v>29</v>
      </c>
      <c r="Q674" t="s">
        <v>30</v>
      </c>
      <c r="R674" t="s">
        <v>98</v>
      </c>
      <c r="S674" t="s">
        <v>54</v>
      </c>
      <c r="T674" t="s">
        <v>315</v>
      </c>
      <c r="U674" t="s">
        <v>100</v>
      </c>
      <c r="V674">
        <v>3500</v>
      </c>
    </row>
    <row r="675" spans="1:22" x14ac:dyDescent="0.3">
      <c r="A675" t="s">
        <v>1757</v>
      </c>
      <c r="B675" s="2">
        <v>45893</v>
      </c>
      <c r="C675" t="s">
        <v>1173</v>
      </c>
      <c r="D675" t="s">
        <v>70</v>
      </c>
      <c r="E675" t="s">
        <v>108</v>
      </c>
      <c r="F675">
        <v>4</v>
      </c>
      <c r="G675">
        <v>0.2</v>
      </c>
      <c r="H675">
        <v>14400</v>
      </c>
      <c r="I675">
        <v>3869.87</v>
      </c>
      <c r="J675" t="s">
        <v>65</v>
      </c>
      <c r="K675" t="s">
        <v>40</v>
      </c>
      <c r="L675">
        <v>3600</v>
      </c>
      <c r="M675">
        <v>26.874097222222218</v>
      </c>
      <c r="N675" t="s">
        <v>8</v>
      </c>
      <c r="O675" t="s">
        <v>406</v>
      </c>
      <c r="P675" t="s">
        <v>83</v>
      </c>
      <c r="Q675" t="s">
        <v>131</v>
      </c>
      <c r="R675" t="s">
        <v>289</v>
      </c>
      <c r="S675" t="s">
        <v>290</v>
      </c>
      <c r="T675" t="s">
        <v>1174</v>
      </c>
      <c r="U675" t="s">
        <v>34</v>
      </c>
      <c r="V675">
        <v>967.46749999999997</v>
      </c>
    </row>
    <row r="676" spans="1:22" x14ac:dyDescent="0.3">
      <c r="A676" t="s">
        <v>1758</v>
      </c>
      <c r="B676" s="2">
        <v>46142</v>
      </c>
      <c r="C676" t="s">
        <v>178</v>
      </c>
      <c r="D676" t="s">
        <v>37</v>
      </c>
      <c r="E676" t="s">
        <v>310</v>
      </c>
      <c r="F676">
        <v>6</v>
      </c>
      <c r="G676">
        <v>0.1</v>
      </c>
      <c r="H676">
        <v>11880</v>
      </c>
      <c r="I676">
        <v>3462.83</v>
      </c>
      <c r="J676" t="s">
        <v>65</v>
      </c>
      <c r="K676" t="s">
        <v>40</v>
      </c>
      <c r="L676">
        <v>1980</v>
      </c>
      <c r="M676">
        <v>29.148400673400669</v>
      </c>
      <c r="N676" t="s">
        <v>8</v>
      </c>
      <c r="O676" t="s">
        <v>179</v>
      </c>
      <c r="P676" t="s">
        <v>83</v>
      </c>
      <c r="Q676" t="s">
        <v>30</v>
      </c>
      <c r="R676" t="s">
        <v>31</v>
      </c>
      <c r="S676" t="s">
        <v>32</v>
      </c>
      <c r="T676" t="s">
        <v>180</v>
      </c>
      <c r="U676" t="s">
        <v>105</v>
      </c>
      <c r="V676">
        <v>577.13833333333332</v>
      </c>
    </row>
    <row r="677" spans="1:22" x14ac:dyDescent="0.3">
      <c r="A677" t="s">
        <v>1759</v>
      </c>
      <c r="B677" s="2">
        <v>46158</v>
      </c>
      <c r="C677" t="s">
        <v>279</v>
      </c>
      <c r="D677" t="s">
        <v>24</v>
      </c>
      <c r="E677" t="s">
        <v>242</v>
      </c>
      <c r="F677">
        <v>1</v>
      </c>
      <c r="G677">
        <v>0.05</v>
      </c>
      <c r="H677">
        <v>427.5</v>
      </c>
      <c r="I677">
        <v>-105.75</v>
      </c>
      <c r="J677" t="s">
        <v>65</v>
      </c>
      <c r="K677" t="s">
        <v>80</v>
      </c>
      <c r="L677">
        <v>427.5</v>
      </c>
      <c r="M677">
        <v>-24.736842105263161</v>
      </c>
      <c r="N677" t="s">
        <v>81</v>
      </c>
      <c r="O677" t="s">
        <v>280</v>
      </c>
      <c r="P677" t="s">
        <v>73</v>
      </c>
      <c r="Q677" t="s">
        <v>30</v>
      </c>
      <c r="R677" t="s">
        <v>31</v>
      </c>
      <c r="S677" t="s">
        <v>32</v>
      </c>
      <c r="T677" t="s">
        <v>281</v>
      </c>
      <c r="U677" t="s">
        <v>46</v>
      </c>
      <c r="V677">
        <v>-105.75</v>
      </c>
    </row>
    <row r="678" spans="1:22" x14ac:dyDescent="0.3">
      <c r="A678" t="s">
        <v>1760</v>
      </c>
      <c r="B678" s="2">
        <v>45872</v>
      </c>
      <c r="C678" t="s">
        <v>1761</v>
      </c>
      <c r="D678" t="s">
        <v>37</v>
      </c>
      <c r="E678" t="s">
        <v>190</v>
      </c>
      <c r="F678">
        <v>1</v>
      </c>
      <c r="G678">
        <v>0.15</v>
      </c>
      <c r="H678">
        <v>3570</v>
      </c>
      <c r="I678">
        <v>733.88</v>
      </c>
      <c r="J678" t="s">
        <v>65</v>
      </c>
      <c r="K678" t="s">
        <v>27</v>
      </c>
      <c r="L678">
        <v>3570</v>
      </c>
      <c r="M678">
        <v>20.556862745098041</v>
      </c>
      <c r="N678" t="s">
        <v>8</v>
      </c>
      <c r="O678" t="s">
        <v>1762</v>
      </c>
      <c r="P678" t="s">
        <v>83</v>
      </c>
      <c r="Q678" t="s">
        <v>74</v>
      </c>
      <c r="R678" t="s">
        <v>493</v>
      </c>
      <c r="S678" t="s">
        <v>494</v>
      </c>
      <c r="T678" t="s">
        <v>1763</v>
      </c>
      <c r="U678" t="s">
        <v>34</v>
      </c>
      <c r="V678">
        <v>733.88</v>
      </c>
    </row>
    <row r="679" spans="1:22" x14ac:dyDescent="0.3">
      <c r="A679" t="s">
        <v>1764</v>
      </c>
      <c r="B679" s="2">
        <v>45893</v>
      </c>
      <c r="C679" t="s">
        <v>603</v>
      </c>
      <c r="D679" t="s">
        <v>49</v>
      </c>
      <c r="E679" t="s">
        <v>50</v>
      </c>
      <c r="F679">
        <v>1</v>
      </c>
      <c r="G679">
        <v>0.15</v>
      </c>
      <c r="H679">
        <v>11050</v>
      </c>
      <c r="I679">
        <v>-3287.59</v>
      </c>
      <c r="J679" t="s">
        <v>39</v>
      </c>
      <c r="K679" t="s">
        <v>434</v>
      </c>
      <c r="L679">
        <v>11050</v>
      </c>
      <c r="M679">
        <v>-29.751945701357471</v>
      </c>
      <c r="N679" t="s">
        <v>81</v>
      </c>
      <c r="O679" t="s">
        <v>153</v>
      </c>
      <c r="P679" t="s">
        <v>83</v>
      </c>
      <c r="Q679" t="s">
        <v>131</v>
      </c>
      <c r="R679" t="s">
        <v>200</v>
      </c>
      <c r="S679" t="s">
        <v>201</v>
      </c>
      <c r="T679" t="s">
        <v>604</v>
      </c>
      <c r="U679" t="s">
        <v>46</v>
      </c>
      <c r="V679">
        <v>-3287.59</v>
      </c>
    </row>
    <row r="680" spans="1:22" x14ac:dyDescent="0.3">
      <c r="A680" t="s">
        <v>1765</v>
      </c>
      <c r="B680" s="2">
        <v>45945</v>
      </c>
      <c r="C680" t="s">
        <v>1594</v>
      </c>
      <c r="D680" t="s">
        <v>70</v>
      </c>
      <c r="E680" t="s">
        <v>71</v>
      </c>
      <c r="F680">
        <v>1</v>
      </c>
      <c r="G680">
        <v>0.15</v>
      </c>
      <c r="H680">
        <v>15300</v>
      </c>
      <c r="I680">
        <v>-8307.49</v>
      </c>
      <c r="J680" t="s">
        <v>51</v>
      </c>
      <c r="K680" t="s">
        <v>434</v>
      </c>
      <c r="L680">
        <v>15300</v>
      </c>
      <c r="M680">
        <v>-54.29732026143791</v>
      </c>
      <c r="N680" t="s">
        <v>81</v>
      </c>
      <c r="O680" t="s">
        <v>523</v>
      </c>
      <c r="P680" t="s">
        <v>83</v>
      </c>
      <c r="Q680" t="s">
        <v>30</v>
      </c>
      <c r="R680" t="s">
        <v>31</v>
      </c>
      <c r="S680" t="s">
        <v>32</v>
      </c>
      <c r="T680" t="s">
        <v>767</v>
      </c>
      <c r="U680" t="s">
        <v>105</v>
      </c>
      <c r="V680">
        <v>-8307.49</v>
      </c>
    </row>
    <row r="681" spans="1:22" x14ac:dyDescent="0.3">
      <c r="A681" t="s">
        <v>1766</v>
      </c>
      <c r="B681" s="2">
        <v>46058</v>
      </c>
      <c r="C681" t="s">
        <v>1767</v>
      </c>
      <c r="D681" t="s">
        <v>70</v>
      </c>
      <c r="E681" t="s">
        <v>165</v>
      </c>
      <c r="F681">
        <v>4</v>
      </c>
      <c r="G681">
        <v>0</v>
      </c>
      <c r="H681">
        <v>10000</v>
      </c>
      <c r="I681">
        <v>3200</v>
      </c>
      <c r="J681" t="s">
        <v>39</v>
      </c>
      <c r="K681" t="s">
        <v>40</v>
      </c>
      <c r="L681">
        <v>2500</v>
      </c>
      <c r="M681">
        <v>32</v>
      </c>
      <c r="N681" t="s">
        <v>8</v>
      </c>
      <c r="O681" t="s">
        <v>1768</v>
      </c>
      <c r="P681" t="s">
        <v>29</v>
      </c>
      <c r="Q681" t="s">
        <v>131</v>
      </c>
      <c r="R681" t="s">
        <v>289</v>
      </c>
      <c r="S681" t="s">
        <v>290</v>
      </c>
      <c r="T681" t="s">
        <v>1469</v>
      </c>
      <c r="U681" t="s">
        <v>100</v>
      </c>
      <c r="V681">
        <v>800</v>
      </c>
    </row>
    <row r="682" spans="1:22" x14ac:dyDescent="0.3">
      <c r="A682" t="s">
        <v>1769</v>
      </c>
      <c r="B682" s="2">
        <v>45923</v>
      </c>
      <c r="C682" t="s">
        <v>1177</v>
      </c>
      <c r="D682" t="s">
        <v>70</v>
      </c>
      <c r="E682" t="s">
        <v>108</v>
      </c>
      <c r="F682">
        <v>15</v>
      </c>
      <c r="G682">
        <v>0.1</v>
      </c>
      <c r="H682">
        <v>60750</v>
      </c>
      <c r="I682">
        <v>-18225.88</v>
      </c>
      <c r="J682" t="s">
        <v>39</v>
      </c>
      <c r="K682" t="s">
        <v>434</v>
      </c>
      <c r="L682">
        <v>4050</v>
      </c>
      <c r="M682">
        <v>-30.001448559670781</v>
      </c>
      <c r="N682" t="s">
        <v>81</v>
      </c>
      <c r="O682" t="s">
        <v>984</v>
      </c>
      <c r="P682" t="s">
        <v>29</v>
      </c>
      <c r="Q682" t="s">
        <v>74</v>
      </c>
      <c r="R682" t="s">
        <v>237</v>
      </c>
      <c r="S682" t="s">
        <v>238</v>
      </c>
      <c r="T682" t="s">
        <v>1178</v>
      </c>
      <c r="U682" t="s">
        <v>46</v>
      </c>
      <c r="V682">
        <v>-1215.058666666667</v>
      </c>
    </row>
    <row r="683" spans="1:22" x14ac:dyDescent="0.3">
      <c r="A683" t="s">
        <v>1770</v>
      </c>
      <c r="B683" s="2">
        <v>46113</v>
      </c>
      <c r="C683" t="s">
        <v>217</v>
      </c>
      <c r="D683" t="s">
        <v>37</v>
      </c>
      <c r="E683" t="s">
        <v>38</v>
      </c>
      <c r="F683">
        <v>1</v>
      </c>
      <c r="G683">
        <v>0.15</v>
      </c>
      <c r="H683">
        <v>1530</v>
      </c>
      <c r="I683">
        <v>457.44</v>
      </c>
      <c r="J683" t="s">
        <v>51</v>
      </c>
      <c r="K683" t="s">
        <v>40</v>
      </c>
      <c r="L683">
        <v>1530</v>
      </c>
      <c r="M683">
        <v>29.898039215686271</v>
      </c>
      <c r="N683" t="s">
        <v>8</v>
      </c>
      <c r="O683" t="s">
        <v>218</v>
      </c>
      <c r="P683" t="s">
        <v>29</v>
      </c>
      <c r="Q683" t="s">
        <v>30</v>
      </c>
      <c r="R683" t="s">
        <v>31</v>
      </c>
      <c r="S683" t="s">
        <v>32</v>
      </c>
      <c r="T683" t="s">
        <v>219</v>
      </c>
      <c r="U683" t="s">
        <v>100</v>
      </c>
      <c r="V683">
        <v>457.44</v>
      </c>
    </row>
    <row r="684" spans="1:22" x14ac:dyDescent="0.3">
      <c r="A684" t="s">
        <v>1771</v>
      </c>
      <c r="B684" s="2">
        <v>46138</v>
      </c>
      <c r="C684" t="s">
        <v>952</v>
      </c>
      <c r="D684" t="s">
        <v>70</v>
      </c>
      <c r="E684" t="s">
        <v>71</v>
      </c>
      <c r="F684">
        <v>4</v>
      </c>
      <c r="G684">
        <v>0.05</v>
      </c>
      <c r="H684">
        <v>68400</v>
      </c>
      <c r="I684">
        <v>11548.81</v>
      </c>
      <c r="J684" t="s">
        <v>26</v>
      </c>
      <c r="K684" t="s">
        <v>27</v>
      </c>
      <c r="L684">
        <v>17100</v>
      </c>
      <c r="M684">
        <v>16.88422514619883</v>
      </c>
      <c r="N684" t="s">
        <v>8</v>
      </c>
      <c r="O684" t="s">
        <v>953</v>
      </c>
      <c r="P684" t="s">
        <v>83</v>
      </c>
      <c r="Q684" t="s">
        <v>42</v>
      </c>
      <c r="R684" t="s">
        <v>110</v>
      </c>
      <c r="S684" t="s">
        <v>111</v>
      </c>
      <c r="T684" t="s">
        <v>954</v>
      </c>
      <c r="U684" t="s">
        <v>105</v>
      </c>
      <c r="V684">
        <v>2887.2024999999999</v>
      </c>
    </row>
    <row r="685" spans="1:22" x14ac:dyDescent="0.3">
      <c r="A685" t="s">
        <v>1772</v>
      </c>
      <c r="B685" s="2">
        <v>45868</v>
      </c>
      <c r="C685" t="s">
        <v>1773</v>
      </c>
      <c r="D685" t="s">
        <v>24</v>
      </c>
      <c r="E685" t="s">
        <v>87</v>
      </c>
      <c r="F685">
        <v>1</v>
      </c>
      <c r="G685">
        <v>0.2</v>
      </c>
      <c r="H685">
        <v>280</v>
      </c>
      <c r="I685">
        <v>88.45</v>
      </c>
      <c r="J685" t="s">
        <v>65</v>
      </c>
      <c r="K685" t="s">
        <v>27</v>
      </c>
      <c r="L685">
        <v>280</v>
      </c>
      <c r="M685">
        <v>31.589285714285719</v>
      </c>
      <c r="N685" t="s">
        <v>8</v>
      </c>
      <c r="O685" t="s">
        <v>1538</v>
      </c>
      <c r="P685" t="s">
        <v>29</v>
      </c>
      <c r="Q685" t="s">
        <v>74</v>
      </c>
      <c r="R685" t="s">
        <v>237</v>
      </c>
      <c r="S685" t="s">
        <v>238</v>
      </c>
      <c r="T685" t="s">
        <v>1774</v>
      </c>
      <c r="U685" t="s">
        <v>105</v>
      </c>
      <c r="V685">
        <v>88.45</v>
      </c>
    </row>
    <row r="686" spans="1:22" x14ac:dyDescent="0.3">
      <c r="A686" t="s">
        <v>1775</v>
      </c>
      <c r="B686" s="2">
        <v>45975</v>
      </c>
      <c r="C686" t="s">
        <v>1164</v>
      </c>
      <c r="D686" t="s">
        <v>37</v>
      </c>
      <c r="E686" t="s">
        <v>38</v>
      </c>
      <c r="F686">
        <v>1</v>
      </c>
      <c r="G686">
        <v>0.15</v>
      </c>
      <c r="H686">
        <v>1530</v>
      </c>
      <c r="I686">
        <v>-250.74</v>
      </c>
      <c r="J686" t="s">
        <v>26</v>
      </c>
      <c r="K686" t="s">
        <v>434</v>
      </c>
      <c r="L686">
        <v>1530</v>
      </c>
      <c r="M686">
        <v>-16.388235294117649</v>
      </c>
      <c r="N686" t="s">
        <v>81</v>
      </c>
      <c r="O686" t="s">
        <v>284</v>
      </c>
      <c r="P686" t="s">
        <v>29</v>
      </c>
      <c r="Q686" t="s">
        <v>30</v>
      </c>
      <c r="R686" t="s">
        <v>98</v>
      </c>
      <c r="S686" t="s">
        <v>54</v>
      </c>
      <c r="T686" t="s">
        <v>1165</v>
      </c>
      <c r="U686" t="s">
        <v>105</v>
      </c>
      <c r="V686">
        <v>-250.74</v>
      </c>
    </row>
    <row r="687" spans="1:22" x14ac:dyDescent="0.3">
      <c r="A687" t="s">
        <v>1776</v>
      </c>
      <c r="B687" s="2">
        <v>45928</v>
      </c>
      <c r="C687" t="s">
        <v>1777</v>
      </c>
      <c r="D687" t="s">
        <v>70</v>
      </c>
      <c r="E687" t="s">
        <v>165</v>
      </c>
      <c r="F687">
        <v>4</v>
      </c>
      <c r="G687">
        <v>0.1</v>
      </c>
      <c r="H687">
        <v>9000</v>
      </c>
      <c r="I687">
        <v>2736.27</v>
      </c>
      <c r="J687" t="s">
        <v>65</v>
      </c>
      <c r="K687" t="s">
        <v>40</v>
      </c>
      <c r="L687">
        <v>2250</v>
      </c>
      <c r="M687">
        <v>30.402999999999999</v>
      </c>
      <c r="N687" t="s">
        <v>8</v>
      </c>
      <c r="O687" t="s">
        <v>322</v>
      </c>
      <c r="P687" t="s">
        <v>83</v>
      </c>
      <c r="Q687" t="s">
        <v>30</v>
      </c>
      <c r="R687" t="s">
        <v>31</v>
      </c>
      <c r="S687" t="s">
        <v>32</v>
      </c>
      <c r="T687" t="s">
        <v>1778</v>
      </c>
      <c r="U687" t="s">
        <v>34</v>
      </c>
      <c r="V687">
        <v>684.0675</v>
      </c>
    </row>
    <row r="688" spans="1:22" x14ac:dyDescent="0.3">
      <c r="A688" t="s">
        <v>1779</v>
      </c>
      <c r="B688" s="2">
        <v>46145</v>
      </c>
      <c r="C688" t="s">
        <v>1202</v>
      </c>
      <c r="D688" t="s">
        <v>49</v>
      </c>
      <c r="E688" t="s">
        <v>119</v>
      </c>
      <c r="F688">
        <v>1</v>
      </c>
      <c r="G688">
        <v>0.1</v>
      </c>
      <c r="H688">
        <v>8100</v>
      </c>
      <c r="I688">
        <v>1589.47</v>
      </c>
      <c r="J688" t="s">
        <v>39</v>
      </c>
      <c r="K688" t="s">
        <v>27</v>
      </c>
      <c r="L688">
        <v>8100</v>
      </c>
      <c r="M688">
        <v>19.62308641975309</v>
      </c>
      <c r="N688" t="s">
        <v>8</v>
      </c>
      <c r="O688" t="s">
        <v>251</v>
      </c>
      <c r="P688" t="s">
        <v>29</v>
      </c>
      <c r="Q688" t="s">
        <v>131</v>
      </c>
      <c r="R688" t="s">
        <v>132</v>
      </c>
      <c r="S688" t="s">
        <v>133</v>
      </c>
      <c r="T688" t="s">
        <v>1203</v>
      </c>
      <c r="U688" t="s">
        <v>34</v>
      </c>
      <c r="V688">
        <v>1589.47</v>
      </c>
    </row>
    <row r="689" spans="1:22" x14ac:dyDescent="0.3">
      <c r="A689" t="s">
        <v>1780</v>
      </c>
      <c r="B689" s="2">
        <v>45922</v>
      </c>
      <c r="C689" t="s">
        <v>1091</v>
      </c>
      <c r="D689" t="s">
        <v>37</v>
      </c>
      <c r="E689" t="s">
        <v>310</v>
      </c>
      <c r="F689">
        <v>1</v>
      </c>
      <c r="G689">
        <v>0.1</v>
      </c>
      <c r="H689">
        <v>1980</v>
      </c>
      <c r="I689">
        <v>-809.4</v>
      </c>
      <c r="J689" t="s">
        <v>39</v>
      </c>
      <c r="K689" t="s">
        <v>434</v>
      </c>
      <c r="L689">
        <v>1980</v>
      </c>
      <c r="M689">
        <v>-40.878787878787882</v>
      </c>
      <c r="N689" t="s">
        <v>81</v>
      </c>
      <c r="O689" t="s">
        <v>1018</v>
      </c>
      <c r="P689" t="s">
        <v>83</v>
      </c>
      <c r="Q689" t="s">
        <v>30</v>
      </c>
      <c r="R689" t="s">
        <v>31</v>
      </c>
      <c r="S689" t="s">
        <v>32</v>
      </c>
      <c r="T689" t="s">
        <v>1092</v>
      </c>
      <c r="U689" t="s">
        <v>105</v>
      </c>
      <c r="V689">
        <v>-809.4</v>
      </c>
    </row>
    <row r="690" spans="1:22" x14ac:dyDescent="0.3">
      <c r="A690" t="s">
        <v>1781</v>
      </c>
      <c r="B690" s="2">
        <v>46013</v>
      </c>
      <c r="C690" t="s">
        <v>1782</v>
      </c>
      <c r="D690" t="s">
        <v>24</v>
      </c>
      <c r="E690" t="s">
        <v>25</v>
      </c>
      <c r="F690">
        <v>1</v>
      </c>
      <c r="G690">
        <v>0.05</v>
      </c>
      <c r="H690">
        <v>13300</v>
      </c>
      <c r="I690">
        <v>2252.4299999999998</v>
      </c>
      <c r="J690" t="s">
        <v>39</v>
      </c>
      <c r="K690" t="s">
        <v>40</v>
      </c>
      <c r="L690">
        <v>13300</v>
      </c>
      <c r="M690">
        <v>16.93556390977443</v>
      </c>
      <c r="N690" t="s">
        <v>8</v>
      </c>
      <c r="O690" t="s">
        <v>682</v>
      </c>
      <c r="P690" t="s">
        <v>73</v>
      </c>
      <c r="Q690" t="s">
        <v>131</v>
      </c>
      <c r="R690" t="s">
        <v>200</v>
      </c>
      <c r="S690" t="s">
        <v>201</v>
      </c>
      <c r="T690" t="s">
        <v>295</v>
      </c>
      <c r="U690" t="s">
        <v>34</v>
      </c>
      <c r="V690">
        <v>2252.4299999999998</v>
      </c>
    </row>
    <row r="691" spans="1:22" x14ac:dyDescent="0.3">
      <c r="A691" t="s">
        <v>1783</v>
      </c>
      <c r="B691" s="2">
        <v>46051</v>
      </c>
      <c r="C691" t="s">
        <v>1391</v>
      </c>
      <c r="D691" t="s">
        <v>49</v>
      </c>
      <c r="E691" t="s">
        <v>119</v>
      </c>
      <c r="F691">
        <v>2</v>
      </c>
      <c r="G691">
        <v>0</v>
      </c>
      <c r="H691">
        <v>18000</v>
      </c>
      <c r="I691">
        <v>4600</v>
      </c>
      <c r="J691" t="s">
        <v>26</v>
      </c>
      <c r="K691" t="s">
        <v>40</v>
      </c>
      <c r="L691">
        <v>9000</v>
      </c>
      <c r="M691">
        <v>25.55555555555555</v>
      </c>
      <c r="N691" t="s">
        <v>8</v>
      </c>
      <c r="O691" t="s">
        <v>844</v>
      </c>
      <c r="P691" t="s">
        <v>29</v>
      </c>
      <c r="Q691" t="s">
        <v>30</v>
      </c>
      <c r="R691" t="s">
        <v>60</v>
      </c>
      <c r="S691" t="s">
        <v>61</v>
      </c>
      <c r="T691" t="s">
        <v>1392</v>
      </c>
      <c r="U691" t="s">
        <v>34</v>
      </c>
      <c r="V691">
        <v>2300</v>
      </c>
    </row>
    <row r="692" spans="1:22" x14ac:dyDescent="0.3">
      <c r="A692" t="s">
        <v>1784</v>
      </c>
      <c r="B692" s="2">
        <v>46137</v>
      </c>
      <c r="C692" t="s">
        <v>1785</v>
      </c>
      <c r="D692" t="s">
        <v>24</v>
      </c>
      <c r="E692" t="s">
        <v>92</v>
      </c>
      <c r="F692">
        <v>5</v>
      </c>
      <c r="G692">
        <v>0.05</v>
      </c>
      <c r="H692">
        <v>4275</v>
      </c>
      <c r="I692">
        <v>1264.6400000000001</v>
      </c>
      <c r="J692" t="s">
        <v>51</v>
      </c>
      <c r="K692" t="s">
        <v>40</v>
      </c>
      <c r="L692">
        <v>855</v>
      </c>
      <c r="M692">
        <v>29.582222222222232</v>
      </c>
      <c r="N692" t="s">
        <v>8</v>
      </c>
      <c r="O692" t="s">
        <v>1786</v>
      </c>
      <c r="P692" t="s">
        <v>83</v>
      </c>
      <c r="Q692" t="s">
        <v>30</v>
      </c>
      <c r="R692" t="s">
        <v>53</v>
      </c>
      <c r="S692" t="s">
        <v>54</v>
      </c>
      <c r="T692" t="s">
        <v>227</v>
      </c>
      <c r="U692" t="s">
        <v>46</v>
      </c>
      <c r="V692">
        <v>252.928</v>
      </c>
    </row>
    <row r="693" spans="1:22" x14ac:dyDescent="0.3">
      <c r="A693" t="s">
        <v>1787</v>
      </c>
      <c r="B693" s="2">
        <v>46135</v>
      </c>
      <c r="C693" t="s">
        <v>1788</v>
      </c>
      <c r="D693" t="s">
        <v>70</v>
      </c>
      <c r="E693" t="s">
        <v>71</v>
      </c>
      <c r="F693">
        <v>4</v>
      </c>
      <c r="G693">
        <v>0.1</v>
      </c>
      <c r="H693">
        <v>64800</v>
      </c>
      <c r="I693">
        <v>8480.39</v>
      </c>
      <c r="J693" t="s">
        <v>39</v>
      </c>
      <c r="K693" t="s">
        <v>27</v>
      </c>
      <c r="L693">
        <v>16200</v>
      </c>
      <c r="M693">
        <v>13.08702160493827</v>
      </c>
      <c r="N693" t="s">
        <v>8</v>
      </c>
      <c r="O693" t="s">
        <v>349</v>
      </c>
      <c r="P693" t="s">
        <v>73</v>
      </c>
      <c r="Q693" t="s">
        <v>131</v>
      </c>
      <c r="R693" t="s">
        <v>200</v>
      </c>
      <c r="S693" t="s">
        <v>201</v>
      </c>
      <c r="T693" t="s">
        <v>1789</v>
      </c>
      <c r="U693" t="s">
        <v>34</v>
      </c>
      <c r="V693">
        <v>2120.0974999999999</v>
      </c>
    </row>
    <row r="694" spans="1:22" x14ac:dyDescent="0.3">
      <c r="A694" t="s">
        <v>1790</v>
      </c>
      <c r="B694" s="2">
        <v>46191</v>
      </c>
      <c r="C694" t="s">
        <v>1791</v>
      </c>
      <c r="D694" t="s">
        <v>37</v>
      </c>
      <c r="E694" t="s">
        <v>170</v>
      </c>
      <c r="F694">
        <v>1</v>
      </c>
      <c r="G694">
        <v>0</v>
      </c>
      <c r="H694">
        <v>1400</v>
      </c>
      <c r="I694">
        <v>-356.05</v>
      </c>
      <c r="J694" t="s">
        <v>39</v>
      </c>
      <c r="K694" t="s">
        <v>434</v>
      </c>
      <c r="L694">
        <v>1400</v>
      </c>
      <c r="M694">
        <v>-25.43214285714286</v>
      </c>
      <c r="N694" t="s">
        <v>81</v>
      </c>
      <c r="O694" t="s">
        <v>851</v>
      </c>
      <c r="P694" t="s">
        <v>83</v>
      </c>
      <c r="Q694" t="s">
        <v>30</v>
      </c>
      <c r="R694" t="s">
        <v>60</v>
      </c>
      <c r="S694" t="s">
        <v>61</v>
      </c>
      <c r="T694" t="s">
        <v>1792</v>
      </c>
      <c r="U694" t="s">
        <v>105</v>
      </c>
      <c r="V694">
        <v>-356.05</v>
      </c>
    </row>
    <row r="695" spans="1:22" x14ac:dyDescent="0.3">
      <c r="A695" t="s">
        <v>1793</v>
      </c>
      <c r="B695" s="2">
        <v>46236</v>
      </c>
      <c r="C695" t="s">
        <v>1480</v>
      </c>
      <c r="D695" t="s">
        <v>49</v>
      </c>
      <c r="E695" t="s">
        <v>58</v>
      </c>
      <c r="F695">
        <v>2</v>
      </c>
      <c r="G695">
        <v>0</v>
      </c>
      <c r="H695">
        <v>30000</v>
      </c>
      <c r="I695">
        <v>7000</v>
      </c>
      <c r="J695" t="s">
        <v>65</v>
      </c>
      <c r="K695" t="s">
        <v>40</v>
      </c>
      <c r="L695">
        <v>15000</v>
      </c>
      <c r="M695">
        <v>23.333333333333329</v>
      </c>
      <c r="N695" t="s">
        <v>8</v>
      </c>
      <c r="O695" t="s">
        <v>66</v>
      </c>
      <c r="P695" t="s">
        <v>73</v>
      </c>
      <c r="Q695" t="s">
        <v>30</v>
      </c>
      <c r="R695" t="s">
        <v>98</v>
      </c>
      <c r="S695" t="s">
        <v>54</v>
      </c>
      <c r="T695" t="s">
        <v>1481</v>
      </c>
      <c r="U695" t="s">
        <v>46</v>
      </c>
      <c r="V695">
        <v>3500</v>
      </c>
    </row>
    <row r="696" spans="1:22" x14ac:dyDescent="0.3">
      <c r="A696" t="s">
        <v>1794</v>
      </c>
      <c r="B696" s="2">
        <v>46079</v>
      </c>
      <c r="C696" t="s">
        <v>525</v>
      </c>
      <c r="D696" t="s">
        <v>70</v>
      </c>
      <c r="E696" t="s">
        <v>165</v>
      </c>
      <c r="F696">
        <v>3</v>
      </c>
      <c r="G696">
        <v>0.3</v>
      </c>
      <c r="H696">
        <v>5250</v>
      </c>
      <c r="I696">
        <v>675.64</v>
      </c>
      <c r="J696" t="s">
        <v>65</v>
      </c>
      <c r="K696" t="s">
        <v>40</v>
      </c>
      <c r="L696">
        <v>1750</v>
      </c>
      <c r="M696">
        <v>12.86933333333333</v>
      </c>
      <c r="N696" t="s">
        <v>8</v>
      </c>
      <c r="O696" t="s">
        <v>526</v>
      </c>
      <c r="P696" t="s">
        <v>29</v>
      </c>
      <c r="Q696" t="s">
        <v>30</v>
      </c>
      <c r="R696" t="s">
        <v>98</v>
      </c>
      <c r="S696" t="s">
        <v>54</v>
      </c>
      <c r="T696" t="s">
        <v>527</v>
      </c>
      <c r="U696" t="s">
        <v>34</v>
      </c>
      <c r="V696">
        <v>225.21333333333331</v>
      </c>
    </row>
    <row r="697" spans="1:22" x14ac:dyDescent="0.3">
      <c r="A697" t="s">
        <v>1795</v>
      </c>
      <c r="B697" s="2">
        <v>46130</v>
      </c>
      <c r="C697" t="s">
        <v>1032</v>
      </c>
      <c r="D697" t="s">
        <v>70</v>
      </c>
      <c r="E697" t="s">
        <v>165</v>
      </c>
      <c r="F697">
        <v>3</v>
      </c>
      <c r="G697">
        <v>0</v>
      </c>
      <c r="H697">
        <v>7500</v>
      </c>
      <c r="I697">
        <v>2400</v>
      </c>
      <c r="J697" t="s">
        <v>65</v>
      </c>
      <c r="K697" t="s">
        <v>40</v>
      </c>
      <c r="L697">
        <v>2500</v>
      </c>
      <c r="M697">
        <v>32</v>
      </c>
      <c r="N697" t="s">
        <v>8</v>
      </c>
      <c r="O697" t="s">
        <v>1033</v>
      </c>
      <c r="P697" t="s">
        <v>73</v>
      </c>
      <c r="Q697" t="s">
        <v>131</v>
      </c>
      <c r="R697" t="s">
        <v>449</v>
      </c>
      <c r="S697" t="s">
        <v>450</v>
      </c>
      <c r="T697" t="s">
        <v>1034</v>
      </c>
      <c r="U697" t="s">
        <v>46</v>
      </c>
      <c r="V697">
        <v>800</v>
      </c>
    </row>
    <row r="698" spans="1:22" x14ac:dyDescent="0.3">
      <c r="A698" t="s">
        <v>1796</v>
      </c>
      <c r="B698" s="2">
        <v>46189</v>
      </c>
      <c r="C698" t="s">
        <v>1548</v>
      </c>
      <c r="D698" t="s">
        <v>24</v>
      </c>
      <c r="E698" t="s">
        <v>242</v>
      </c>
      <c r="F698">
        <v>3</v>
      </c>
      <c r="G698">
        <v>0.05</v>
      </c>
      <c r="H698">
        <v>1282.5</v>
      </c>
      <c r="I698">
        <v>291.68</v>
      </c>
      <c r="J698" t="s">
        <v>39</v>
      </c>
      <c r="K698" t="s">
        <v>40</v>
      </c>
      <c r="L698">
        <v>427.5</v>
      </c>
      <c r="M698">
        <v>22.743079922027292</v>
      </c>
      <c r="N698" t="s">
        <v>8</v>
      </c>
      <c r="O698" t="s">
        <v>825</v>
      </c>
      <c r="P698" t="s">
        <v>83</v>
      </c>
      <c r="Q698" t="s">
        <v>30</v>
      </c>
      <c r="R698" t="s">
        <v>98</v>
      </c>
      <c r="S698" t="s">
        <v>54</v>
      </c>
      <c r="T698" t="s">
        <v>1549</v>
      </c>
      <c r="U698" t="s">
        <v>34</v>
      </c>
      <c r="V698">
        <v>97.226666666666674</v>
      </c>
    </row>
    <row r="699" spans="1:22" x14ac:dyDescent="0.3">
      <c r="A699" t="s">
        <v>1797</v>
      </c>
      <c r="B699" s="2">
        <v>46047</v>
      </c>
      <c r="C699" t="s">
        <v>1767</v>
      </c>
      <c r="D699" t="s">
        <v>37</v>
      </c>
      <c r="E699" t="s">
        <v>170</v>
      </c>
      <c r="F699">
        <v>1</v>
      </c>
      <c r="G699">
        <v>0.1</v>
      </c>
      <c r="H699">
        <v>1260</v>
      </c>
      <c r="I699">
        <v>420.27</v>
      </c>
      <c r="J699" t="s">
        <v>51</v>
      </c>
      <c r="K699" t="s">
        <v>40</v>
      </c>
      <c r="L699">
        <v>1260</v>
      </c>
      <c r="M699">
        <v>33.354761904761901</v>
      </c>
      <c r="N699" t="s">
        <v>8</v>
      </c>
      <c r="O699" t="s">
        <v>1768</v>
      </c>
      <c r="P699" t="s">
        <v>29</v>
      </c>
      <c r="Q699" t="s">
        <v>131</v>
      </c>
      <c r="R699" t="s">
        <v>289</v>
      </c>
      <c r="S699" t="s">
        <v>290</v>
      </c>
      <c r="T699" t="s">
        <v>1469</v>
      </c>
      <c r="U699" t="s">
        <v>100</v>
      </c>
      <c r="V699">
        <v>420.27</v>
      </c>
    </row>
    <row r="700" spans="1:22" x14ac:dyDescent="0.3">
      <c r="A700" t="s">
        <v>1798</v>
      </c>
      <c r="B700" s="2">
        <v>46237</v>
      </c>
      <c r="C700" t="s">
        <v>1799</v>
      </c>
      <c r="D700" t="s">
        <v>49</v>
      </c>
      <c r="E700" t="s">
        <v>58</v>
      </c>
      <c r="F700">
        <v>3</v>
      </c>
      <c r="G700">
        <v>0.1</v>
      </c>
      <c r="H700">
        <v>40500</v>
      </c>
      <c r="I700">
        <v>7508.08</v>
      </c>
      <c r="J700" t="s">
        <v>26</v>
      </c>
      <c r="K700" t="s">
        <v>40</v>
      </c>
      <c r="L700">
        <v>13500</v>
      </c>
      <c r="M700">
        <v>18.538469135802469</v>
      </c>
      <c r="N700" t="s">
        <v>8</v>
      </c>
      <c r="O700" t="s">
        <v>1800</v>
      </c>
      <c r="P700" t="s">
        <v>73</v>
      </c>
      <c r="Q700" t="s">
        <v>30</v>
      </c>
      <c r="R700" t="s">
        <v>98</v>
      </c>
      <c r="S700" t="s">
        <v>54</v>
      </c>
      <c r="T700" t="s">
        <v>1801</v>
      </c>
      <c r="U700" t="s">
        <v>100</v>
      </c>
      <c r="V700">
        <v>2502.6933333333332</v>
      </c>
    </row>
    <row r="701" spans="1:22" x14ac:dyDescent="0.3">
      <c r="A701" t="s">
        <v>1802</v>
      </c>
      <c r="B701" s="2">
        <v>45851</v>
      </c>
      <c r="C701" t="s">
        <v>1803</v>
      </c>
      <c r="D701" t="s">
        <v>49</v>
      </c>
      <c r="E701" t="s">
        <v>119</v>
      </c>
      <c r="F701">
        <v>1</v>
      </c>
      <c r="G701">
        <v>0.2</v>
      </c>
      <c r="H701">
        <v>7200</v>
      </c>
      <c r="I701">
        <v>1364.22</v>
      </c>
      <c r="J701" t="s">
        <v>26</v>
      </c>
      <c r="K701" t="s">
        <v>40</v>
      </c>
      <c r="L701">
        <v>7200</v>
      </c>
      <c r="M701">
        <v>18.947500000000002</v>
      </c>
      <c r="N701" t="s">
        <v>8</v>
      </c>
      <c r="O701" t="s">
        <v>1804</v>
      </c>
      <c r="P701" t="s">
        <v>29</v>
      </c>
      <c r="Q701" t="s">
        <v>74</v>
      </c>
      <c r="R701" t="s">
        <v>115</v>
      </c>
      <c r="S701" t="s">
        <v>115</v>
      </c>
      <c r="T701" t="s">
        <v>604</v>
      </c>
      <c r="U701" t="s">
        <v>46</v>
      </c>
      <c r="V701">
        <v>1364.22</v>
      </c>
    </row>
    <row r="702" spans="1:22" x14ac:dyDescent="0.3">
      <c r="A702" t="s">
        <v>1805</v>
      </c>
      <c r="B702" s="2">
        <v>45990</v>
      </c>
      <c r="C702" t="s">
        <v>1806</v>
      </c>
      <c r="D702" t="s">
        <v>600</v>
      </c>
      <c r="E702" t="s">
        <v>92</v>
      </c>
      <c r="F702">
        <v>4</v>
      </c>
      <c r="G702">
        <v>0.15</v>
      </c>
      <c r="H702">
        <v>3060</v>
      </c>
      <c r="I702">
        <v>856.58</v>
      </c>
      <c r="J702" t="s">
        <v>65</v>
      </c>
      <c r="K702" t="s">
        <v>40</v>
      </c>
      <c r="L702">
        <v>765</v>
      </c>
      <c r="M702">
        <v>27.992810457516342</v>
      </c>
      <c r="N702" t="s">
        <v>8</v>
      </c>
      <c r="O702" t="s">
        <v>1033</v>
      </c>
      <c r="P702" t="s">
        <v>73</v>
      </c>
      <c r="Q702" t="s">
        <v>42</v>
      </c>
      <c r="R702" t="s">
        <v>110</v>
      </c>
      <c r="S702" t="s">
        <v>111</v>
      </c>
      <c r="T702" t="s">
        <v>759</v>
      </c>
      <c r="U702" t="s">
        <v>34</v>
      </c>
      <c r="V702">
        <v>214.14500000000001</v>
      </c>
    </row>
    <row r="703" spans="1:22" x14ac:dyDescent="0.3">
      <c r="A703" t="s">
        <v>1807</v>
      </c>
      <c r="B703" s="2">
        <v>46029</v>
      </c>
      <c r="C703" t="s">
        <v>236</v>
      </c>
      <c r="D703" t="s">
        <v>49</v>
      </c>
      <c r="E703" t="s">
        <v>119</v>
      </c>
      <c r="F703">
        <v>2</v>
      </c>
      <c r="G703">
        <v>0.2</v>
      </c>
      <c r="H703">
        <v>14400</v>
      </c>
      <c r="I703">
        <v>1615.86</v>
      </c>
      <c r="J703" t="s">
        <v>65</v>
      </c>
      <c r="K703" t="s">
        <v>40</v>
      </c>
      <c r="L703">
        <v>7200</v>
      </c>
      <c r="M703">
        <v>11.22125</v>
      </c>
      <c r="N703" t="s">
        <v>8</v>
      </c>
      <c r="O703" t="s">
        <v>179</v>
      </c>
      <c r="P703" t="s">
        <v>29</v>
      </c>
      <c r="Q703" t="s">
        <v>74</v>
      </c>
      <c r="R703" t="s">
        <v>237</v>
      </c>
      <c r="S703" t="s">
        <v>238</v>
      </c>
      <c r="T703" t="s">
        <v>239</v>
      </c>
      <c r="U703" t="s">
        <v>34</v>
      </c>
      <c r="V703">
        <v>807.93</v>
      </c>
    </row>
    <row r="704" spans="1:22" x14ac:dyDescent="0.3">
      <c r="A704" t="s">
        <v>1808</v>
      </c>
      <c r="B704" s="2">
        <v>46256</v>
      </c>
      <c r="C704" t="s">
        <v>1809</v>
      </c>
      <c r="D704" t="s">
        <v>70</v>
      </c>
      <c r="E704" t="s">
        <v>129</v>
      </c>
      <c r="F704">
        <v>2</v>
      </c>
      <c r="G704">
        <v>0.15</v>
      </c>
      <c r="H704">
        <v>93500</v>
      </c>
      <c r="I704">
        <v>8454.44</v>
      </c>
      <c r="J704" t="s">
        <v>65</v>
      </c>
      <c r="K704" t="s">
        <v>40</v>
      </c>
      <c r="L704">
        <v>46750</v>
      </c>
      <c r="M704">
        <v>9.0421818181818185</v>
      </c>
      <c r="N704" t="s">
        <v>8</v>
      </c>
      <c r="O704" t="s">
        <v>730</v>
      </c>
      <c r="P704" t="s">
        <v>29</v>
      </c>
      <c r="Q704" t="s">
        <v>74</v>
      </c>
      <c r="R704" t="s">
        <v>115</v>
      </c>
      <c r="S704" t="s">
        <v>115</v>
      </c>
      <c r="T704" t="s">
        <v>1203</v>
      </c>
      <c r="U704" t="s">
        <v>46</v>
      </c>
      <c r="V704">
        <v>4227.22</v>
      </c>
    </row>
    <row r="705" spans="1:22" x14ac:dyDescent="0.3">
      <c r="A705" t="s">
        <v>1810</v>
      </c>
      <c r="B705" s="2">
        <v>46053</v>
      </c>
      <c r="C705" t="s">
        <v>1143</v>
      </c>
      <c r="D705" t="s">
        <v>37</v>
      </c>
      <c r="E705" t="s">
        <v>310</v>
      </c>
      <c r="F705">
        <v>3</v>
      </c>
      <c r="G705">
        <v>0.05</v>
      </c>
      <c r="H705">
        <v>6270</v>
      </c>
      <c r="I705">
        <v>1979.59</v>
      </c>
      <c r="J705" t="s">
        <v>26</v>
      </c>
      <c r="K705" t="s">
        <v>40</v>
      </c>
      <c r="L705">
        <v>2090</v>
      </c>
      <c r="M705">
        <v>31.572408293460921</v>
      </c>
      <c r="N705" t="s">
        <v>8</v>
      </c>
      <c r="O705" t="s">
        <v>1144</v>
      </c>
      <c r="P705" t="s">
        <v>29</v>
      </c>
      <c r="Q705" t="s">
        <v>30</v>
      </c>
      <c r="R705" t="s">
        <v>31</v>
      </c>
      <c r="S705" t="s">
        <v>32</v>
      </c>
      <c r="T705" t="s">
        <v>1145</v>
      </c>
      <c r="U705" t="s">
        <v>100</v>
      </c>
      <c r="V705">
        <v>659.86333333333334</v>
      </c>
    </row>
    <row r="706" spans="1:22" x14ac:dyDescent="0.3">
      <c r="A706" t="s">
        <v>1811</v>
      </c>
      <c r="B706" s="2">
        <v>46091</v>
      </c>
      <c r="C706" t="s">
        <v>1812</v>
      </c>
      <c r="D706" t="s">
        <v>49</v>
      </c>
      <c r="E706" t="s">
        <v>119</v>
      </c>
      <c r="F706">
        <v>2</v>
      </c>
      <c r="G706">
        <v>0.15</v>
      </c>
      <c r="H706">
        <v>15300</v>
      </c>
      <c r="I706">
        <v>2597.56</v>
      </c>
      <c r="J706" t="s">
        <v>39</v>
      </c>
      <c r="K706" t="s">
        <v>40</v>
      </c>
      <c r="L706">
        <v>7650</v>
      </c>
      <c r="M706">
        <v>16.977516339869279</v>
      </c>
      <c r="N706" t="s">
        <v>8</v>
      </c>
      <c r="O706" t="s">
        <v>1813</v>
      </c>
      <c r="P706" t="s">
        <v>83</v>
      </c>
      <c r="Q706" t="s">
        <v>30</v>
      </c>
      <c r="R706" t="s">
        <v>98</v>
      </c>
      <c r="S706" t="s">
        <v>54</v>
      </c>
      <c r="T706" t="s">
        <v>1089</v>
      </c>
      <c r="U706" t="s">
        <v>34</v>
      </c>
      <c r="V706">
        <v>1298.78</v>
      </c>
    </row>
    <row r="707" spans="1:22" x14ac:dyDescent="0.3">
      <c r="A707" t="s">
        <v>1814</v>
      </c>
      <c r="B707" s="2">
        <v>46163</v>
      </c>
      <c r="C707" t="s">
        <v>1582</v>
      </c>
      <c r="D707" t="s">
        <v>70</v>
      </c>
      <c r="E707" t="s">
        <v>108</v>
      </c>
      <c r="F707">
        <v>4</v>
      </c>
      <c r="G707">
        <v>0.05</v>
      </c>
      <c r="H707">
        <v>17100</v>
      </c>
      <c r="I707">
        <v>5346.23</v>
      </c>
      <c r="J707" t="s">
        <v>26</v>
      </c>
      <c r="K707" t="s">
        <v>27</v>
      </c>
      <c r="L707">
        <v>4275</v>
      </c>
      <c r="M707">
        <v>31.264502923976611</v>
      </c>
      <c r="N707" t="s">
        <v>8</v>
      </c>
      <c r="O707" t="s">
        <v>1583</v>
      </c>
      <c r="P707" t="s">
        <v>73</v>
      </c>
      <c r="Q707" t="s">
        <v>30</v>
      </c>
      <c r="R707" t="s">
        <v>53</v>
      </c>
      <c r="S707" t="s">
        <v>54</v>
      </c>
      <c r="T707" t="s">
        <v>370</v>
      </c>
      <c r="U707" t="s">
        <v>105</v>
      </c>
      <c r="V707">
        <v>1336.5574999999999</v>
      </c>
    </row>
    <row r="708" spans="1:22" x14ac:dyDescent="0.3">
      <c r="A708" t="s">
        <v>1815</v>
      </c>
      <c r="B708" s="2">
        <v>45872</v>
      </c>
      <c r="C708" t="s">
        <v>1474</v>
      </c>
      <c r="D708" t="s">
        <v>24</v>
      </c>
      <c r="E708" t="s">
        <v>87</v>
      </c>
      <c r="F708">
        <v>2</v>
      </c>
      <c r="G708">
        <v>0.2</v>
      </c>
      <c r="H708">
        <v>560</v>
      </c>
      <c r="I708">
        <v>135.97</v>
      </c>
      <c r="J708" t="s">
        <v>51</v>
      </c>
      <c r="K708" t="s">
        <v>40</v>
      </c>
      <c r="L708">
        <v>280</v>
      </c>
      <c r="M708">
        <v>24.280357142857142</v>
      </c>
      <c r="N708" t="s">
        <v>8</v>
      </c>
      <c r="O708" t="s">
        <v>1475</v>
      </c>
      <c r="P708" t="s">
        <v>73</v>
      </c>
      <c r="Q708" t="s">
        <v>30</v>
      </c>
      <c r="R708" t="s">
        <v>98</v>
      </c>
      <c r="S708" t="s">
        <v>54</v>
      </c>
      <c r="T708" t="s">
        <v>1476</v>
      </c>
      <c r="U708" t="s">
        <v>100</v>
      </c>
      <c r="V708">
        <v>67.984999999999999</v>
      </c>
    </row>
    <row r="709" spans="1:22" x14ac:dyDescent="0.3">
      <c r="A709" t="s">
        <v>1816</v>
      </c>
      <c r="B709" s="2">
        <v>46086</v>
      </c>
      <c r="C709" t="s">
        <v>1185</v>
      </c>
      <c r="D709" t="s">
        <v>70</v>
      </c>
      <c r="E709" t="s">
        <v>129</v>
      </c>
      <c r="F709">
        <v>5</v>
      </c>
      <c r="G709">
        <v>0.1</v>
      </c>
      <c r="H709">
        <v>247500</v>
      </c>
      <c r="I709">
        <v>28916.07</v>
      </c>
      <c r="J709" t="s">
        <v>51</v>
      </c>
      <c r="K709" t="s">
        <v>40</v>
      </c>
      <c r="L709">
        <v>49500</v>
      </c>
      <c r="M709">
        <v>11.68326060606061</v>
      </c>
      <c r="N709" t="s">
        <v>8</v>
      </c>
      <c r="O709" t="s">
        <v>280</v>
      </c>
      <c r="P709" t="s">
        <v>83</v>
      </c>
      <c r="Q709" t="s">
        <v>131</v>
      </c>
      <c r="R709" t="s">
        <v>200</v>
      </c>
      <c r="S709" t="s">
        <v>201</v>
      </c>
      <c r="T709" t="s">
        <v>319</v>
      </c>
      <c r="U709" t="s">
        <v>46</v>
      </c>
      <c r="V709">
        <v>5783.2139999999999</v>
      </c>
    </row>
    <row r="710" spans="1:22" x14ac:dyDescent="0.3">
      <c r="A710" t="s">
        <v>1817</v>
      </c>
      <c r="B710" s="2">
        <v>46227</v>
      </c>
      <c r="C710" t="s">
        <v>1818</v>
      </c>
      <c r="D710" t="s">
        <v>24</v>
      </c>
      <c r="E710" t="s">
        <v>25</v>
      </c>
      <c r="F710">
        <v>5</v>
      </c>
      <c r="G710">
        <v>0.05</v>
      </c>
      <c r="H710">
        <v>66500</v>
      </c>
      <c r="I710">
        <v>12148.6</v>
      </c>
      <c r="J710" t="s">
        <v>51</v>
      </c>
      <c r="K710" t="s">
        <v>40</v>
      </c>
      <c r="L710">
        <v>13300</v>
      </c>
      <c r="M710">
        <v>18.26857142857143</v>
      </c>
      <c r="N710" t="s">
        <v>8</v>
      </c>
      <c r="O710" t="s">
        <v>243</v>
      </c>
      <c r="P710" t="s">
        <v>29</v>
      </c>
      <c r="Q710" t="s">
        <v>131</v>
      </c>
      <c r="R710" t="s">
        <v>449</v>
      </c>
      <c r="S710" t="s">
        <v>450</v>
      </c>
      <c r="T710" t="s">
        <v>1819</v>
      </c>
      <c r="U710" t="s">
        <v>100</v>
      </c>
      <c r="V710">
        <v>2429.7199999999998</v>
      </c>
    </row>
    <row r="711" spans="1:22" x14ac:dyDescent="0.3">
      <c r="A711" t="s">
        <v>1820</v>
      </c>
      <c r="B711" s="2">
        <v>46100</v>
      </c>
      <c r="C711" t="s">
        <v>1767</v>
      </c>
      <c r="D711" t="s">
        <v>24</v>
      </c>
      <c r="E711" t="s">
        <v>242</v>
      </c>
      <c r="F711">
        <v>4</v>
      </c>
      <c r="G711">
        <v>0</v>
      </c>
      <c r="H711">
        <v>1800</v>
      </c>
      <c r="I711">
        <v>440</v>
      </c>
      <c r="J711" t="s">
        <v>65</v>
      </c>
      <c r="K711" t="s">
        <v>27</v>
      </c>
      <c r="L711">
        <v>450</v>
      </c>
      <c r="M711">
        <v>24.444444444444439</v>
      </c>
      <c r="N711" t="s">
        <v>8</v>
      </c>
      <c r="O711" t="s">
        <v>1768</v>
      </c>
      <c r="P711" t="s">
        <v>29</v>
      </c>
      <c r="Q711" t="s">
        <v>131</v>
      </c>
      <c r="R711" t="s">
        <v>289</v>
      </c>
      <c r="S711" t="s">
        <v>290</v>
      </c>
      <c r="T711" t="s">
        <v>1469</v>
      </c>
      <c r="U711" t="s">
        <v>100</v>
      </c>
      <c r="V711">
        <v>110</v>
      </c>
    </row>
    <row r="712" spans="1:22" x14ac:dyDescent="0.3">
      <c r="A712" t="s">
        <v>1821</v>
      </c>
      <c r="B712" s="2">
        <v>45897</v>
      </c>
      <c r="C712" t="s">
        <v>372</v>
      </c>
      <c r="D712" t="s">
        <v>70</v>
      </c>
      <c r="E712" t="s">
        <v>71</v>
      </c>
      <c r="F712">
        <v>5</v>
      </c>
      <c r="G712">
        <v>0.05</v>
      </c>
      <c r="H712">
        <v>85500</v>
      </c>
      <c r="I712">
        <v>-39700.82</v>
      </c>
      <c r="J712" t="s">
        <v>39</v>
      </c>
      <c r="K712" t="s">
        <v>80</v>
      </c>
      <c r="L712">
        <v>17100</v>
      </c>
      <c r="M712">
        <v>-46.433707602339183</v>
      </c>
      <c r="N712" t="s">
        <v>81</v>
      </c>
      <c r="O712" t="s">
        <v>374</v>
      </c>
      <c r="P712" t="s">
        <v>73</v>
      </c>
      <c r="Q712" t="s">
        <v>30</v>
      </c>
      <c r="R712" t="s">
        <v>53</v>
      </c>
      <c r="S712" t="s">
        <v>54</v>
      </c>
      <c r="T712" t="s">
        <v>375</v>
      </c>
      <c r="U712" t="s">
        <v>105</v>
      </c>
      <c r="V712">
        <v>-7940.1639999999998</v>
      </c>
    </row>
    <row r="713" spans="1:22" x14ac:dyDescent="0.3">
      <c r="A713" t="s">
        <v>1822</v>
      </c>
      <c r="B713" s="2">
        <v>45984</v>
      </c>
      <c r="C713" t="s">
        <v>430</v>
      </c>
      <c r="D713" t="s">
        <v>70</v>
      </c>
      <c r="E713" t="s">
        <v>108</v>
      </c>
      <c r="F713">
        <v>1</v>
      </c>
      <c r="G713">
        <v>0.2</v>
      </c>
      <c r="H713">
        <v>3600</v>
      </c>
      <c r="I713">
        <v>1023.98</v>
      </c>
      <c r="J713" t="s">
        <v>39</v>
      </c>
      <c r="K713" t="s">
        <v>40</v>
      </c>
      <c r="L713">
        <v>3600</v>
      </c>
      <c r="M713">
        <v>28.443888888888889</v>
      </c>
      <c r="N713" t="s">
        <v>8</v>
      </c>
      <c r="O713" t="s">
        <v>431</v>
      </c>
      <c r="P713" t="s">
        <v>29</v>
      </c>
      <c r="Q713" t="s">
        <v>30</v>
      </c>
      <c r="R713" t="s">
        <v>53</v>
      </c>
      <c r="S713" t="s">
        <v>54</v>
      </c>
      <c r="T713" t="s">
        <v>256</v>
      </c>
      <c r="U713" t="s">
        <v>46</v>
      </c>
      <c r="V713">
        <v>1023.98</v>
      </c>
    </row>
    <row r="714" spans="1:22" x14ac:dyDescent="0.3">
      <c r="A714" t="s">
        <v>1823</v>
      </c>
      <c r="B714" s="2">
        <v>46050</v>
      </c>
      <c r="C714" t="s">
        <v>1824</v>
      </c>
      <c r="D714" t="s">
        <v>49</v>
      </c>
      <c r="E714" t="s">
        <v>79</v>
      </c>
      <c r="F714">
        <v>2</v>
      </c>
      <c r="G714">
        <v>0.15</v>
      </c>
      <c r="H714">
        <v>18700</v>
      </c>
      <c r="I714">
        <v>3271.9</v>
      </c>
      <c r="J714" t="s">
        <v>65</v>
      </c>
      <c r="K714" t="s">
        <v>40</v>
      </c>
      <c r="L714">
        <v>9350</v>
      </c>
      <c r="M714">
        <v>17.49679144385027</v>
      </c>
      <c r="N714" t="s">
        <v>8</v>
      </c>
      <c r="O714" t="s">
        <v>205</v>
      </c>
      <c r="P714" t="s">
        <v>83</v>
      </c>
      <c r="Q714" t="s">
        <v>30</v>
      </c>
      <c r="R714" t="s">
        <v>31</v>
      </c>
      <c r="S714" t="s">
        <v>32</v>
      </c>
      <c r="T714" t="s">
        <v>303</v>
      </c>
      <c r="U714" t="s">
        <v>46</v>
      </c>
      <c r="V714">
        <v>1635.95</v>
      </c>
    </row>
    <row r="715" spans="1:22" x14ac:dyDescent="0.3">
      <c r="A715" t="s">
        <v>1825</v>
      </c>
      <c r="B715" s="2">
        <v>46046</v>
      </c>
      <c r="C715" t="s">
        <v>556</v>
      </c>
      <c r="D715" t="s">
        <v>70</v>
      </c>
      <c r="E715" t="s">
        <v>165</v>
      </c>
      <c r="F715">
        <v>1</v>
      </c>
      <c r="G715">
        <v>0.15</v>
      </c>
      <c r="H715">
        <v>2125</v>
      </c>
      <c r="I715">
        <v>579.29999999999995</v>
      </c>
      <c r="J715" t="s">
        <v>26</v>
      </c>
      <c r="K715" t="s">
        <v>40</v>
      </c>
      <c r="L715">
        <v>2125</v>
      </c>
      <c r="M715">
        <v>27.261176470588229</v>
      </c>
      <c r="N715" t="s">
        <v>8</v>
      </c>
      <c r="O715" t="s">
        <v>161</v>
      </c>
      <c r="P715" t="s">
        <v>29</v>
      </c>
      <c r="Q715" t="s">
        <v>30</v>
      </c>
      <c r="R715" t="s">
        <v>53</v>
      </c>
      <c r="S715" t="s">
        <v>54</v>
      </c>
      <c r="T715" t="s">
        <v>557</v>
      </c>
      <c r="U715" t="s">
        <v>34</v>
      </c>
      <c r="V715">
        <v>579.29999999999995</v>
      </c>
    </row>
    <row r="716" spans="1:22" x14ac:dyDescent="0.3">
      <c r="A716" t="s">
        <v>1826</v>
      </c>
      <c r="B716" s="2">
        <v>45924</v>
      </c>
      <c r="C716" t="s">
        <v>426</v>
      </c>
      <c r="D716" t="s">
        <v>24</v>
      </c>
      <c r="E716" t="s">
        <v>25</v>
      </c>
      <c r="F716">
        <v>1</v>
      </c>
      <c r="G716">
        <v>0</v>
      </c>
      <c r="H716">
        <v>14000</v>
      </c>
      <c r="I716">
        <v>-4675.03</v>
      </c>
      <c r="J716" t="s">
        <v>51</v>
      </c>
      <c r="K716" t="s">
        <v>434</v>
      </c>
      <c r="L716">
        <v>14000</v>
      </c>
      <c r="M716">
        <v>-33.393071428571417</v>
      </c>
      <c r="N716" t="s">
        <v>81</v>
      </c>
      <c r="O716" t="s">
        <v>427</v>
      </c>
      <c r="P716" t="s">
        <v>73</v>
      </c>
      <c r="Q716" t="s">
        <v>30</v>
      </c>
      <c r="R716" t="s">
        <v>60</v>
      </c>
      <c r="S716" t="s">
        <v>61</v>
      </c>
      <c r="T716" t="s">
        <v>428</v>
      </c>
      <c r="U716" t="s">
        <v>34</v>
      </c>
      <c r="V716">
        <v>-4675.03</v>
      </c>
    </row>
    <row r="717" spans="1:22" x14ac:dyDescent="0.3">
      <c r="A717" t="s">
        <v>1827</v>
      </c>
      <c r="B717" s="2">
        <v>45845</v>
      </c>
      <c r="C717" t="s">
        <v>581</v>
      </c>
      <c r="D717" t="s">
        <v>37</v>
      </c>
      <c r="E717" t="s">
        <v>38</v>
      </c>
      <c r="F717">
        <v>1</v>
      </c>
      <c r="G717">
        <v>0</v>
      </c>
      <c r="H717">
        <v>1800</v>
      </c>
      <c r="I717">
        <v>650</v>
      </c>
      <c r="J717" t="s">
        <v>26</v>
      </c>
      <c r="K717" t="s">
        <v>40</v>
      </c>
      <c r="L717">
        <v>1800</v>
      </c>
      <c r="M717">
        <v>36.111111111111107</v>
      </c>
      <c r="N717" t="s">
        <v>8</v>
      </c>
      <c r="O717" t="s">
        <v>582</v>
      </c>
      <c r="P717" t="s">
        <v>73</v>
      </c>
      <c r="Q717" t="s">
        <v>131</v>
      </c>
      <c r="R717" t="s">
        <v>289</v>
      </c>
      <c r="S717" t="s">
        <v>290</v>
      </c>
      <c r="T717" t="s">
        <v>583</v>
      </c>
      <c r="U717" t="s">
        <v>46</v>
      </c>
      <c r="V717">
        <v>650</v>
      </c>
    </row>
    <row r="718" spans="1:22" x14ac:dyDescent="0.3">
      <c r="A718" t="s">
        <v>1828</v>
      </c>
      <c r="B718" s="2">
        <v>46171</v>
      </c>
      <c r="C718" t="s">
        <v>907</v>
      </c>
      <c r="D718" t="s">
        <v>37</v>
      </c>
      <c r="E718" t="s">
        <v>38</v>
      </c>
      <c r="F718">
        <v>5</v>
      </c>
      <c r="G718">
        <v>0</v>
      </c>
      <c r="H718">
        <v>9000</v>
      </c>
      <c r="I718">
        <v>360.01</v>
      </c>
      <c r="J718" t="s">
        <v>51</v>
      </c>
      <c r="K718" t="s">
        <v>80</v>
      </c>
      <c r="L718">
        <v>1800</v>
      </c>
      <c r="M718">
        <v>4.000111111111111</v>
      </c>
      <c r="N718" t="s">
        <v>8</v>
      </c>
      <c r="O718" t="s">
        <v>908</v>
      </c>
      <c r="P718" t="s">
        <v>29</v>
      </c>
      <c r="Q718" t="s">
        <v>30</v>
      </c>
      <c r="R718" t="s">
        <v>60</v>
      </c>
      <c r="S718" t="s">
        <v>61</v>
      </c>
      <c r="T718" t="s">
        <v>486</v>
      </c>
      <c r="U718" t="s">
        <v>34</v>
      </c>
      <c r="V718">
        <v>72.001999999999995</v>
      </c>
    </row>
    <row r="719" spans="1:22" x14ac:dyDescent="0.3">
      <c r="A719" t="s">
        <v>1829</v>
      </c>
      <c r="B719" s="2">
        <v>46152</v>
      </c>
      <c r="C719" t="s">
        <v>1830</v>
      </c>
      <c r="D719" t="s">
        <v>24</v>
      </c>
      <c r="E719" t="s">
        <v>87</v>
      </c>
      <c r="F719">
        <v>1</v>
      </c>
      <c r="G719">
        <v>0</v>
      </c>
      <c r="H719">
        <v>350</v>
      </c>
      <c r="I719">
        <v>120</v>
      </c>
      <c r="J719" t="s">
        <v>39</v>
      </c>
      <c r="K719" t="s">
        <v>40</v>
      </c>
      <c r="L719">
        <v>350</v>
      </c>
      <c r="M719">
        <v>34.285714285714278</v>
      </c>
      <c r="N719" t="s">
        <v>8</v>
      </c>
      <c r="O719" t="s">
        <v>1831</v>
      </c>
      <c r="P719" t="s">
        <v>29</v>
      </c>
      <c r="Q719" t="s">
        <v>30</v>
      </c>
      <c r="R719" t="s">
        <v>60</v>
      </c>
      <c r="S719" t="s">
        <v>61</v>
      </c>
      <c r="T719" t="s">
        <v>1832</v>
      </c>
      <c r="U719" t="s">
        <v>34</v>
      </c>
      <c r="V719">
        <v>120</v>
      </c>
    </row>
    <row r="720" spans="1:22" x14ac:dyDescent="0.3">
      <c r="A720" t="s">
        <v>1833</v>
      </c>
      <c r="B720" s="2">
        <v>46049</v>
      </c>
      <c r="C720" t="s">
        <v>1474</v>
      </c>
      <c r="D720" t="s">
        <v>24</v>
      </c>
      <c r="E720" t="s">
        <v>242</v>
      </c>
      <c r="F720">
        <v>1</v>
      </c>
      <c r="G720">
        <v>0.15</v>
      </c>
      <c r="H720">
        <v>382.5</v>
      </c>
      <c r="I720">
        <v>-166.64</v>
      </c>
      <c r="J720" t="s">
        <v>39</v>
      </c>
      <c r="K720" t="s">
        <v>434</v>
      </c>
      <c r="L720">
        <v>382.5</v>
      </c>
      <c r="M720">
        <v>-43.566013071895419</v>
      </c>
      <c r="N720" t="s">
        <v>81</v>
      </c>
      <c r="O720" t="s">
        <v>1475</v>
      </c>
      <c r="P720" t="s">
        <v>73</v>
      </c>
      <c r="Q720" t="s">
        <v>30</v>
      </c>
      <c r="R720" t="s">
        <v>98</v>
      </c>
      <c r="S720" t="s">
        <v>54</v>
      </c>
      <c r="T720" t="s">
        <v>1476</v>
      </c>
      <c r="U720" t="s">
        <v>100</v>
      </c>
      <c r="V720">
        <v>-166.64</v>
      </c>
    </row>
    <row r="721" spans="1:22" x14ac:dyDescent="0.3">
      <c r="A721" t="s">
        <v>1834</v>
      </c>
      <c r="B721" s="2">
        <v>45945</v>
      </c>
      <c r="C721" t="s">
        <v>574</v>
      </c>
      <c r="D721" t="s">
        <v>49</v>
      </c>
      <c r="E721" t="s">
        <v>58</v>
      </c>
      <c r="F721">
        <v>4</v>
      </c>
      <c r="G721">
        <v>0</v>
      </c>
      <c r="H721">
        <v>60000</v>
      </c>
      <c r="I721">
        <v>14000</v>
      </c>
      <c r="J721" t="s">
        <v>65</v>
      </c>
      <c r="K721" t="s">
        <v>40</v>
      </c>
      <c r="L721">
        <v>15000</v>
      </c>
      <c r="M721">
        <v>23.333333333333329</v>
      </c>
      <c r="N721" t="s">
        <v>8</v>
      </c>
      <c r="O721" t="s">
        <v>510</v>
      </c>
      <c r="P721" t="s">
        <v>73</v>
      </c>
      <c r="Q721" t="s">
        <v>74</v>
      </c>
      <c r="R721" t="s">
        <v>75</v>
      </c>
      <c r="S721" t="s">
        <v>75</v>
      </c>
      <c r="T721" t="s">
        <v>575</v>
      </c>
      <c r="U721" t="s">
        <v>100</v>
      </c>
      <c r="V721">
        <v>3500</v>
      </c>
    </row>
    <row r="722" spans="1:22" x14ac:dyDescent="0.3">
      <c r="A722" t="s">
        <v>1835</v>
      </c>
      <c r="B722" s="2">
        <v>46101</v>
      </c>
      <c r="C722" t="s">
        <v>485</v>
      </c>
      <c r="D722" t="s">
        <v>37</v>
      </c>
      <c r="E722" t="s">
        <v>170</v>
      </c>
      <c r="F722">
        <v>2</v>
      </c>
      <c r="G722">
        <v>0.05</v>
      </c>
      <c r="H722">
        <v>2660</v>
      </c>
      <c r="I722">
        <v>921.04</v>
      </c>
      <c r="J722" t="s">
        <v>26</v>
      </c>
      <c r="K722" t="s">
        <v>40</v>
      </c>
      <c r="L722">
        <v>1330</v>
      </c>
      <c r="M722">
        <v>34.625563909774428</v>
      </c>
      <c r="N722" t="s">
        <v>8</v>
      </c>
      <c r="O722" t="s">
        <v>59</v>
      </c>
      <c r="P722" t="s">
        <v>73</v>
      </c>
      <c r="Q722" t="s">
        <v>131</v>
      </c>
      <c r="R722" t="s">
        <v>289</v>
      </c>
      <c r="S722" t="s">
        <v>290</v>
      </c>
      <c r="T722" t="s">
        <v>486</v>
      </c>
      <c r="U722" t="s">
        <v>46</v>
      </c>
      <c r="V722">
        <v>460.52</v>
      </c>
    </row>
    <row r="723" spans="1:22" x14ac:dyDescent="0.3">
      <c r="A723" t="s">
        <v>1836</v>
      </c>
      <c r="B723" s="2">
        <v>46081</v>
      </c>
      <c r="C723" t="s">
        <v>1837</v>
      </c>
      <c r="D723" t="s">
        <v>70</v>
      </c>
      <c r="E723" t="s">
        <v>165</v>
      </c>
      <c r="F723">
        <v>1</v>
      </c>
      <c r="G723">
        <v>0.05</v>
      </c>
      <c r="H723">
        <v>2375</v>
      </c>
      <c r="I723">
        <v>743.43</v>
      </c>
      <c r="J723" t="s">
        <v>26</v>
      </c>
      <c r="K723" t="s">
        <v>40</v>
      </c>
      <c r="L723">
        <v>2375</v>
      </c>
      <c r="M723">
        <v>31.302315789473681</v>
      </c>
      <c r="N723" t="s">
        <v>8</v>
      </c>
      <c r="O723" t="s">
        <v>492</v>
      </c>
      <c r="P723" t="s">
        <v>29</v>
      </c>
      <c r="Q723" t="s">
        <v>131</v>
      </c>
      <c r="R723" t="s">
        <v>200</v>
      </c>
      <c r="S723" t="s">
        <v>1838</v>
      </c>
      <c r="T723" t="s">
        <v>1839</v>
      </c>
      <c r="U723" t="s">
        <v>34</v>
      </c>
      <c r="V723">
        <v>743.43</v>
      </c>
    </row>
    <row r="724" spans="1:22" x14ac:dyDescent="0.3">
      <c r="A724" t="s">
        <v>1840</v>
      </c>
      <c r="B724" s="2">
        <v>46123</v>
      </c>
      <c r="C724" t="s">
        <v>389</v>
      </c>
      <c r="D724" t="s">
        <v>49</v>
      </c>
      <c r="E724" t="s">
        <v>79</v>
      </c>
      <c r="F724">
        <v>4</v>
      </c>
      <c r="G724">
        <v>0.05</v>
      </c>
      <c r="H724">
        <v>41800</v>
      </c>
      <c r="I724">
        <v>8709.68</v>
      </c>
      <c r="J724" t="s">
        <v>26</v>
      </c>
      <c r="K724" t="s">
        <v>40</v>
      </c>
      <c r="L724">
        <v>10450</v>
      </c>
      <c r="M724">
        <v>20.836555023923449</v>
      </c>
      <c r="N724" t="s">
        <v>8</v>
      </c>
      <c r="O724" t="s">
        <v>390</v>
      </c>
      <c r="P724" t="s">
        <v>29</v>
      </c>
      <c r="Q724" t="s">
        <v>30</v>
      </c>
      <c r="R724" t="s">
        <v>53</v>
      </c>
      <c r="S724" t="s">
        <v>54</v>
      </c>
      <c r="T724" t="s">
        <v>391</v>
      </c>
      <c r="U724" t="s">
        <v>100</v>
      </c>
      <c r="V724">
        <v>2177.42</v>
      </c>
    </row>
    <row r="725" spans="1:22" x14ac:dyDescent="0.3">
      <c r="A725" t="s">
        <v>1841</v>
      </c>
      <c r="B725" s="2">
        <v>45855</v>
      </c>
      <c r="C725" t="s">
        <v>1791</v>
      </c>
      <c r="D725" t="s">
        <v>70</v>
      </c>
      <c r="E725" t="s">
        <v>165</v>
      </c>
      <c r="F725">
        <v>2</v>
      </c>
      <c r="G725">
        <v>0.1</v>
      </c>
      <c r="H725">
        <v>4500</v>
      </c>
      <c r="I725">
        <v>-2196.14</v>
      </c>
      <c r="J725" t="s">
        <v>39</v>
      </c>
      <c r="K725" t="s">
        <v>80</v>
      </c>
      <c r="L725">
        <v>2250</v>
      </c>
      <c r="M725">
        <v>-48.803111111111107</v>
      </c>
      <c r="N725" t="s">
        <v>81</v>
      </c>
      <c r="O725" t="s">
        <v>851</v>
      </c>
      <c r="P725" t="s">
        <v>83</v>
      </c>
      <c r="Q725" t="s">
        <v>30</v>
      </c>
      <c r="R725" t="s">
        <v>60</v>
      </c>
      <c r="S725" t="s">
        <v>61</v>
      </c>
      <c r="T725" t="s">
        <v>1792</v>
      </c>
      <c r="U725" t="s">
        <v>105</v>
      </c>
      <c r="V725">
        <v>-1098.07</v>
      </c>
    </row>
    <row r="726" spans="1:22" x14ac:dyDescent="0.3">
      <c r="A726" t="s">
        <v>1842</v>
      </c>
      <c r="B726" s="2">
        <v>46189</v>
      </c>
      <c r="C726" t="s">
        <v>1497</v>
      </c>
      <c r="D726" t="s">
        <v>49</v>
      </c>
      <c r="E726" t="s">
        <v>119</v>
      </c>
      <c r="F726">
        <v>1</v>
      </c>
      <c r="G726">
        <v>0.05</v>
      </c>
      <c r="H726">
        <v>8550</v>
      </c>
      <c r="I726">
        <v>1981.83</v>
      </c>
      <c r="J726" t="s">
        <v>26</v>
      </c>
      <c r="K726" t="s">
        <v>27</v>
      </c>
      <c r="L726">
        <v>8550</v>
      </c>
      <c r="M726">
        <v>23.179298245614039</v>
      </c>
      <c r="N726" t="s">
        <v>8</v>
      </c>
      <c r="O726" t="s">
        <v>88</v>
      </c>
      <c r="P726" t="s">
        <v>73</v>
      </c>
      <c r="Q726" t="s">
        <v>30</v>
      </c>
      <c r="R726" t="s">
        <v>31</v>
      </c>
      <c r="S726" t="s">
        <v>32</v>
      </c>
      <c r="T726" t="s">
        <v>1498</v>
      </c>
      <c r="U726" t="s">
        <v>46</v>
      </c>
      <c r="V726">
        <v>1981.83</v>
      </c>
    </row>
    <row r="727" spans="1:22" x14ac:dyDescent="0.3">
      <c r="A727" t="s">
        <v>1843</v>
      </c>
      <c r="B727" s="2">
        <v>45979</v>
      </c>
      <c r="C727" t="s">
        <v>1196</v>
      </c>
      <c r="D727" t="s">
        <v>49</v>
      </c>
      <c r="E727" t="s">
        <v>50</v>
      </c>
      <c r="F727">
        <v>2</v>
      </c>
      <c r="G727">
        <v>0.05</v>
      </c>
      <c r="H727">
        <v>24700</v>
      </c>
      <c r="I727">
        <v>5295.82</v>
      </c>
      <c r="J727" t="s">
        <v>51</v>
      </c>
      <c r="K727" t="s">
        <v>27</v>
      </c>
      <c r="L727">
        <v>12350</v>
      </c>
      <c r="M727">
        <v>21.440566801619429</v>
      </c>
      <c r="N727" t="s">
        <v>8</v>
      </c>
      <c r="O727" t="s">
        <v>686</v>
      </c>
      <c r="P727" t="s">
        <v>73</v>
      </c>
      <c r="Q727" t="s">
        <v>30</v>
      </c>
      <c r="R727" t="s">
        <v>53</v>
      </c>
      <c r="S727" t="s">
        <v>54</v>
      </c>
      <c r="T727" t="s">
        <v>1197</v>
      </c>
      <c r="U727" t="s">
        <v>100</v>
      </c>
      <c r="V727">
        <v>2647.91</v>
      </c>
    </row>
    <row r="728" spans="1:22" x14ac:dyDescent="0.3">
      <c r="A728" t="s">
        <v>1844</v>
      </c>
      <c r="B728" s="2">
        <v>46020</v>
      </c>
      <c r="C728" t="s">
        <v>1324</v>
      </c>
      <c r="D728" t="s">
        <v>24</v>
      </c>
      <c r="E728" t="s">
        <v>87</v>
      </c>
      <c r="F728">
        <v>10</v>
      </c>
      <c r="G728">
        <v>0.2</v>
      </c>
      <c r="H728">
        <v>2800</v>
      </c>
      <c r="I728">
        <v>681.31</v>
      </c>
      <c r="J728" t="s">
        <v>65</v>
      </c>
      <c r="K728" t="s">
        <v>40</v>
      </c>
      <c r="L728">
        <v>280</v>
      </c>
      <c r="M728">
        <v>24.3325</v>
      </c>
      <c r="N728" t="s">
        <v>8</v>
      </c>
      <c r="O728" t="s">
        <v>1325</v>
      </c>
      <c r="P728" t="s">
        <v>83</v>
      </c>
      <c r="Q728" t="s">
        <v>74</v>
      </c>
      <c r="R728" t="s">
        <v>115</v>
      </c>
      <c r="S728" t="s">
        <v>115</v>
      </c>
      <c r="T728" t="s">
        <v>1326</v>
      </c>
      <c r="U728" t="s">
        <v>34</v>
      </c>
      <c r="V728">
        <v>68.131</v>
      </c>
    </row>
    <row r="729" spans="1:22" x14ac:dyDescent="0.3">
      <c r="A729" t="s">
        <v>1845</v>
      </c>
      <c r="B729" s="2">
        <v>46165</v>
      </c>
      <c r="C729" t="s">
        <v>1017</v>
      </c>
      <c r="D729" t="s">
        <v>70</v>
      </c>
      <c r="E729" t="s">
        <v>71</v>
      </c>
      <c r="F729">
        <v>3</v>
      </c>
      <c r="G729">
        <v>0.1</v>
      </c>
      <c r="H729">
        <v>48600</v>
      </c>
      <c r="I729">
        <v>6612.62</v>
      </c>
      <c r="J729" t="s">
        <v>39</v>
      </c>
      <c r="K729" t="s">
        <v>40</v>
      </c>
      <c r="L729">
        <v>16200</v>
      </c>
      <c r="M729">
        <v>13.60621399176955</v>
      </c>
      <c r="N729" t="s">
        <v>8</v>
      </c>
      <c r="O729" t="s">
        <v>1018</v>
      </c>
      <c r="P729" t="s">
        <v>83</v>
      </c>
      <c r="Q729" t="s">
        <v>30</v>
      </c>
      <c r="R729" t="s">
        <v>98</v>
      </c>
      <c r="S729" t="s">
        <v>54</v>
      </c>
      <c r="T729" t="s">
        <v>1019</v>
      </c>
      <c r="U729" t="s">
        <v>46</v>
      </c>
      <c r="V729">
        <v>2204.206666666666</v>
      </c>
    </row>
    <row r="730" spans="1:22" x14ac:dyDescent="0.3">
      <c r="A730" t="s">
        <v>1846</v>
      </c>
      <c r="B730" s="2">
        <v>45990</v>
      </c>
      <c r="C730" t="s">
        <v>156</v>
      </c>
      <c r="D730" t="s">
        <v>37</v>
      </c>
      <c r="E730" t="s">
        <v>38</v>
      </c>
      <c r="F730">
        <v>1</v>
      </c>
      <c r="G730">
        <v>0.1</v>
      </c>
      <c r="H730">
        <v>1620</v>
      </c>
      <c r="I730">
        <v>526.77</v>
      </c>
      <c r="J730" t="s">
        <v>26</v>
      </c>
      <c r="K730" t="s">
        <v>40</v>
      </c>
      <c r="L730">
        <v>1620</v>
      </c>
      <c r="M730">
        <v>32.516666666666673</v>
      </c>
      <c r="N730" t="s">
        <v>8</v>
      </c>
      <c r="O730" t="s">
        <v>157</v>
      </c>
      <c r="P730" t="s">
        <v>83</v>
      </c>
      <c r="Q730" t="s">
        <v>30</v>
      </c>
      <c r="R730" t="s">
        <v>31</v>
      </c>
      <c r="S730" t="s">
        <v>32</v>
      </c>
      <c r="T730" t="s">
        <v>158</v>
      </c>
      <c r="U730" t="s">
        <v>34</v>
      </c>
      <c r="V730">
        <v>526.77</v>
      </c>
    </row>
    <row r="731" spans="1:22" x14ac:dyDescent="0.3">
      <c r="A731" t="s">
        <v>1847</v>
      </c>
      <c r="B731" s="2">
        <v>45975</v>
      </c>
      <c r="C731" t="s">
        <v>829</v>
      </c>
      <c r="D731" t="s">
        <v>70</v>
      </c>
      <c r="E731" t="s">
        <v>165</v>
      </c>
      <c r="F731">
        <v>2</v>
      </c>
      <c r="G731">
        <v>0.2</v>
      </c>
      <c r="H731">
        <v>4000</v>
      </c>
      <c r="I731">
        <v>990.04</v>
      </c>
      <c r="J731" t="s">
        <v>26</v>
      </c>
      <c r="K731" t="s">
        <v>40</v>
      </c>
      <c r="L731">
        <v>2000</v>
      </c>
      <c r="M731">
        <v>24.751000000000001</v>
      </c>
      <c r="N731" t="s">
        <v>8</v>
      </c>
      <c r="O731" t="s">
        <v>830</v>
      </c>
      <c r="P731" t="s">
        <v>29</v>
      </c>
      <c r="Q731" t="s">
        <v>74</v>
      </c>
      <c r="R731" t="s">
        <v>115</v>
      </c>
      <c r="S731" t="s">
        <v>115</v>
      </c>
      <c r="T731" t="s">
        <v>831</v>
      </c>
      <c r="U731" t="s">
        <v>46</v>
      </c>
      <c r="V731">
        <v>495.02</v>
      </c>
    </row>
    <row r="732" spans="1:22" x14ac:dyDescent="0.3">
      <c r="A732" t="s">
        <v>1848</v>
      </c>
      <c r="B732" s="2">
        <v>46065</v>
      </c>
      <c r="C732" t="s">
        <v>1849</v>
      </c>
      <c r="D732" t="s">
        <v>49</v>
      </c>
      <c r="E732" t="s">
        <v>58</v>
      </c>
      <c r="F732">
        <v>4</v>
      </c>
      <c r="G732">
        <v>0.1</v>
      </c>
      <c r="H732">
        <v>54000</v>
      </c>
      <c r="I732">
        <v>9367.14</v>
      </c>
      <c r="J732" t="s">
        <v>65</v>
      </c>
      <c r="K732" t="s">
        <v>40</v>
      </c>
      <c r="L732">
        <v>13500</v>
      </c>
      <c r="M732">
        <v>17.34655555555555</v>
      </c>
      <c r="N732" t="s">
        <v>8</v>
      </c>
      <c r="O732" t="s">
        <v>171</v>
      </c>
      <c r="P732" t="s">
        <v>83</v>
      </c>
      <c r="Q732" t="s">
        <v>131</v>
      </c>
      <c r="R732" t="s">
        <v>289</v>
      </c>
      <c r="S732" t="s">
        <v>290</v>
      </c>
      <c r="T732" t="s">
        <v>1850</v>
      </c>
      <c r="U732" t="s">
        <v>34</v>
      </c>
      <c r="V732">
        <v>2341.7849999999999</v>
      </c>
    </row>
    <row r="733" spans="1:22" x14ac:dyDescent="0.3">
      <c r="A733" t="s">
        <v>1851</v>
      </c>
      <c r="B733" s="2">
        <v>46219</v>
      </c>
      <c r="C733" t="s">
        <v>1852</v>
      </c>
      <c r="D733" t="s">
        <v>70</v>
      </c>
      <c r="E733" t="s">
        <v>108</v>
      </c>
      <c r="F733">
        <v>5</v>
      </c>
      <c r="G733">
        <v>0.15</v>
      </c>
      <c r="H733">
        <v>19125</v>
      </c>
      <c r="I733">
        <v>5089.5600000000004</v>
      </c>
      <c r="J733" t="s">
        <v>26</v>
      </c>
      <c r="K733" t="s">
        <v>40</v>
      </c>
      <c r="L733">
        <v>3825</v>
      </c>
      <c r="M733">
        <v>26.612078431372549</v>
      </c>
      <c r="N733" t="s">
        <v>8</v>
      </c>
      <c r="O733" t="s">
        <v>1325</v>
      </c>
      <c r="P733" t="s">
        <v>29</v>
      </c>
      <c r="Q733" t="s">
        <v>74</v>
      </c>
      <c r="R733" t="s">
        <v>75</v>
      </c>
      <c r="S733" t="s">
        <v>75</v>
      </c>
      <c r="T733" t="s">
        <v>1745</v>
      </c>
      <c r="U733" t="s">
        <v>100</v>
      </c>
      <c r="V733">
        <v>1017.912</v>
      </c>
    </row>
    <row r="734" spans="1:22" x14ac:dyDescent="0.3">
      <c r="A734" t="s">
        <v>1853</v>
      </c>
      <c r="B734" s="2">
        <v>45968</v>
      </c>
      <c r="C734" t="s">
        <v>1854</v>
      </c>
      <c r="D734" t="s">
        <v>70</v>
      </c>
      <c r="E734" t="s">
        <v>129</v>
      </c>
      <c r="F734">
        <v>3</v>
      </c>
      <c r="G734">
        <v>0.15</v>
      </c>
      <c r="H734">
        <v>140250</v>
      </c>
      <c r="I734">
        <v>7282.08</v>
      </c>
      <c r="J734" t="s">
        <v>39</v>
      </c>
      <c r="K734" t="s">
        <v>40</v>
      </c>
      <c r="L734">
        <v>46750</v>
      </c>
      <c r="M734">
        <v>5.1922139037433146</v>
      </c>
      <c r="N734" t="s">
        <v>8</v>
      </c>
      <c r="O734" t="s">
        <v>773</v>
      </c>
      <c r="P734" t="s">
        <v>83</v>
      </c>
      <c r="Q734" t="s">
        <v>74</v>
      </c>
      <c r="R734" t="s">
        <v>115</v>
      </c>
      <c r="S734" t="s">
        <v>115</v>
      </c>
      <c r="T734" t="s">
        <v>1855</v>
      </c>
      <c r="U734" t="s">
        <v>34</v>
      </c>
      <c r="V734">
        <v>2427.36</v>
      </c>
    </row>
    <row r="735" spans="1:22" x14ac:dyDescent="0.3">
      <c r="A735" t="s">
        <v>1856</v>
      </c>
      <c r="B735" s="2">
        <v>45890</v>
      </c>
      <c r="C735" t="s">
        <v>801</v>
      </c>
      <c r="D735" t="s">
        <v>70</v>
      </c>
      <c r="E735" t="s">
        <v>129</v>
      </c>
      <c r="F735">
        <v>2</v>
      </c>
      <c r="G735">
        <v>0.1</v>
      </c>
      <c r="H735">
        <v>99000</v>
      </c>
      <c r="I735">
        <v>11234.06</v>
      </c>
      <c r="J735" t="s">
        <v>39</v>
      </c>
      <c r="K735" t="s">
        <v>27</v>
      </c>
      <c r="L735">
        <v>49500</v>
      </c>
      <c r="M735">
        <v>11.347535353535349</v>
      </c>
      <c r="N735" t="s">
        <v>8</v>
      </c>
      <c r="O735" t="s">
        <v>478</v>
      </c>
      <c r="P735" t="s">
        <v>29</v>
      </c>
      <c r="Q735" t="s">
        <v>30</v>
      </c>
      <c r="R735" t="s">
        <v>98</v>
      </c>
      <c r="S735" t="s">
        <v>54</v>
      </c>
      <c r="T735" t="s">
        <v>802</v>
      </c>
      <c r="U735" t="s">
        <v>34</v>
      </c>
      <c r="V735">
        <v>5617.03</v>
      </c>
    </row>
    <row r="736" spans="1:22" x14ac:dyDescent="0.3">
      <c r="A736" t="s">
        <v>1857</v>
      </c>
      <c r="B736" s="2">
        <v>45847</v>
      </c>
      <c r="C736" t="s">
        <v>221</v>
      </c>
      <c r="D736" t="s">
        <v>49</v>
      </c>
      <c r="E736" t="s">
        <v>58</v>
      </c>
      <c r="F736">
        <v>1</v>
      </c>
      <c r="G736">
        <v>0</v>
      </c>
      <c r="H736">
        <v>15000</v>
      </c>
      <c r="I736">
        <v>3500</v>
      </c>
      <c r="J736" t="s">
        <v>51</v>
      </c>
      <c r="K736" t="s">
        <v>40</v>
      </c>
      <c r="L736">
        <v>15000</v>
      </c>
      <c r="M736">
        <v>23.333333333333329</v>
      </c>
      <c r="N736" t="s">
        <v>8</v>
      </c>
      <c r="O736" t="s">
        <v>222</v>
      </c>
      <c r="P736" t="s">
        <v>29</v>
      </c>
      <c r="Q736" t="s">
        <v>30</v>
      </c>
      <c r="R736" t="s">
        <v>53</v>
      </c>
      <c r="S736" t="s">
        <v>54</v>
      </c>
      <c r="T736" t="s">
        <v>223</v>
      </c>
      <c r="U736" t="s">
        <v>100</v>
      </c>
      <c r="V736">
        <v>3500</v>
      </c>
    </row>
    <row r="737" spans="1:22" x14ac:dyDescent="0.3">
      <c r="A737" t="s">
        <v>1858</v>
      </c>
      <c r="B737" s="2">
        <v>46073</v>
      </c>
      <c r="C737" t="s">
        <v>1008</v>
      </c>
      <c r="D737" t="s">
        <v>24</v>
      </c>
      <c r="E737" t="s">
        <v>242</v>
      </c>
      <c r="F737">
        <v>3</v>
      </c>
      <c r="G737">
        <v>0</v>
      </c>
      <c r="H737">
        <v>1350</v>
      </c>
      <c r="I737">
        <v>330</v>
      </c>
      <c r="J737" t="s">
        <v>65</v>
      </c>
      <c r="K737" t="s">
        <v>40</v>
      </c>
      <c r="L737">
        <v>450</v>
      </c>
      <c r="M737">
        <v>24.444444444444439</v>
      </c>
      <c r="N737" t="s">
        <v>8</v>
      </c>
      <c r="O737" t="s">
        <v>1009</v>
      </c>
      <c r="P737" t="s">
        <v>83</v>
      </c>
      <c r="Q737" t="s">
        <v>42</v>
      </c>
      <c r="R737" t="s">
        <v>214</v>
      </c>
      <c r="S737" t="s">
        <v>111</v>
      </c>
      <c r="T737" t="s">
        <v>848</v>
      </c>
      <c r="U737" t="s">
        <v>100</v>
      </c>
      <c r="V737">
        <v>110</v>
      </c>
    </row>
    <row r="738" spans="1:22" x14ac:dyDescent="0.3">
      <c r="A738" t="s">
        <v>1859</v>
      </c>
      <c r="B738" s="2">
        <v>46146</v>
      </c>
      <c r="C738" t="s">
        <v>1860</v>
      </c>
      <c r="D738" t="s">
        <v>24</v>
      </c>
      <c r="E738" t="s">
        <v>25</v>
      </c>
      <c r="F738">
        <v>2</v>
      </c>
      <c r="G738">
        <v>0.1</v>
      </c>
      <c r="H738">
        <v>25200</v>
      </c>
      <c r="I738">
        <v>3464.44</v>
      </c>
      <c r="J738" t="s">
        <v>51</v>
      </c>
      <c r="K738" t="s">
        <v>40</v>
      </c>
      <c r="L738">
        <v>12600</v>
      </c>
      <c r="M738">
        <v>13.747777777777779</v>
      </c>
      <c r="N738" t="s">
        <v>8</v>
      </c>
      <c r="O738" t="s">
        <v>1861</v>
      </c>
      <c r="P738" t="s">
        <v>83</v>
      </c>
      <c r="Q738" t="s">
        <v>30</v>
      </c>
      <c r="R738" t="s">
        <v>98</v>
      </c>
      <c r="S738" t="s">
        <v>54</v>
      </c>
      <c r="T738" t="s">
        <v>1862</v>
      </c>
      <c r="U738" t="s">
        <v>34</v>
      </c>
      <c r="V738">
        <v>1732.22</v>
      </c>
    </row>
    <row r="739" spans="1:22" x14ac:dyDescent="0.3">
      <c r="A739" t="s">
        <v>1863</v>
      </c>
      <c r="B739" s="2">
        <v>46154</v>
      </c>
      <c r="C739" t="s">
        <v>405</v>
      </c>
      <c r="D739" t="s">
        <v>49</v>
      </c>
      <c r="E739" t="s">
        <v>79</v>
      </c>
      <c r="F739">
        <v>6</v>
      </c>
      <c r="G739">
        <v>0.15</v>
      </c>
      <c r="H739">
        <v>56100</v>
      </c>
      <c r="I739">
        <v>7208.98</v>
      </c>
      <c r="J739" t="s">
        <v>65</v>
      </c>
      <c r="K739" t="s">
        <v>40</v>
      </c>
      <c r="L739">
        <v>9350</v>
      </c>
      <c r="M739">
        <v>12.85023172905526</v>
      </c>
      <c r="N739" t="s">
        <v>8</v>
      </c>
      <c r="O739" t="s">
        <v>406</v>
      </c>
      <c r="P739" t="s">
        <v>73</v>
      </c>
      <c r="Q739" t="s">
        <v>74</v>
      </c>
      <c r="R739" t="s">
        <v>115</v>
      </c>
      <c r="S739" t="s">
        <v>115</v>
      </c>
      <c r="T739" t="s">
        <v>407</v>
      </c>
      <c r="U739" t="s">
        <v>100</v>
      </c>
      <c r="V739">
        <v>1201.4966666666669</v>
      </c>
    </row>
    <row r="740" spans="1:22" x14ac:dyDescent="0.3">
      <c r="A740" t="s">
        <v>1864</v>
      </c>
      <c r="B740" s="2">
        <v>46065</v>
      </c>
      <c r="C740" t="s">
        <v>1865</v>
      </c>
      <c r="D740" t="s">
        <v>49</v>
      </c>
      <c r="E740" t="s">
        <v>50</v>
      </c>
      <c r="F740">
        <v>3</v>
      </c>
      <c r="G740">
        <v>0.15</v>
      </c>
      <c r="H740">
        <v>33150</v>
      </c>
      <c r="I740">
        <v>5457.41</v>
      </c>
      <c r="J740" t="s">
        <v>51</v>
      </c>
      <c r="K740" t="s">
        <v>40</v>
      </c>
      <c r="L740">
        <v>11050</v>
      </c>
      <c r="M740">
        <v>16.46277526395173</v>
      </c>
      <c r="N740" t="s">
        <v>8</v>
      </c>
      <c r="O740" t="s">
        <v>1866</v>
      </c>
      <c r="P740" t="s">
        <v>29</v>
      </c>
      <c r="Q740" t="s">
        <v>42</v>
      </c>
      <c r="R740" t="s">
        <v>214</v>
      </c>
      <c r="S740" t="s">
        <v>111</v>
      </c>
      <c r="T740" t="s">
        <v>1867</v>
      </c>
      <c r="U740" t="s">
        <v>34</v>
      </c>
      <c r="V740">
        <v>1819.136666666667</v>
      </c>
    </row>
    <row r="741" spans="1:22" x14ac:dyDescent="0.3">
      <c r="A741" t="s">
        <v>1868</v>
      </c>
      <c r="B741" s="2">
        <v>46062</v>
      </c>
      <c r="C741" t="s">
        <v>1869</v>
      </c>
      <c r="D741" t="s">
        <v>37</v>
      </c>
      <c r="E741" t="s">
        <v>190</v>
      </c>
      <c r="F741">
        <v>4</v>
      </c>
      <c r="G741">
        <v>0</v>
      </c>
      <c r="H741">
        <v>16800</v>
      </c>
      <c r="I741">
        <v>4800</v>
      </c>
      <c r="J741" t="s">
        <v>26</v>
      </c>
      <c r="K741" t="s">
        <v>40</v>
      </c>
      <c r="L741">
        <v>4200</v>
      </c>
      <c r="M741">
        <v>28.571428571428569</v>
      </c>
      <c r="N741" t="s">
        <v>8</v>
      </c>
      <c r="O741" t="s">
        <v>789</v>
      </c>
      <c r="P741" t="s">
        <v>29</v>
      </c>
      <c r="Q741" t="s">
        <v>42</v>
      </c>
      <c r="R741" t="s">
        <v>214</v>
      </c>
      <c r="S741" t="s">
        <v>111</v>
      </c>
      <c r="T741" t="s">
        <v>1870</v>
      </c>
      <c r="U741" t="s">
        <v>34</v>
      </c>
      <c r="V741">
        <v>1200</v>
      </c>
    </row>
    <row r="742" spans="1:22" x14ac:dyDescent="0.3">
      <c r="A742" t="s">
        <v>1871</v>
      </c>
      <c r="B742" s="2">
        <v>46221</v>
      </c>
      <c r="C742" t="s">
        <v>1872</v>
      </c>
      <c r="D742" t="s">
        <v>49</v>
      </c>
      <c r="E742" t="s">
        <v>79</v>
      </c>
      <c r="F742">
        <v>6</v>
      </c>
      <c r="G742">
        <v>0.15</v>
      </c>
      <c r="H742">
        <v>56100</v>
      </c>
      <c r="I742">
        <v>8496.9699999999993</v>
      </c>
      <c r="J742" t="s">
        <v>51</v>
      </c>
      <c r="K742" t="s">
        <v>40</v>
      </c>
      <c r="L742">
        <v>9350</v>
      </c>
      <c r="M742">
        <v>15.14611408199643</v>
      </c>
      <c r="N742" t="s">
        <v>8</v>
      </c>
      <c r="O742" t="s">
        <v>386</v>
      </c>
      <c r="P742" t="s">
        <v>73</v>
      </c>
      <c r="Q742" t="s">
        <v>42</v>
      </c>
      <c r="R742" t="s">
        <v>110</v>
      </c>
      <c r="S742" t="s">
        <v>111</v>
      </c>
      <c r="T742" t="s">
        <v>852</v>
      </c>
      <c r="U742" t="s">
        <v>34</v>
      </c>
      <c r="V742">
        <v>1416.1616666666671</v>
      </c>
    </row>
    <row r="743" spans="1:22" x14ac:dyDescent="0.3">
      <c r="A743" t="s">
        <v>1873</v>
      </c>
      <c r="B743" s="2">
        <v>46084</v>
      </c>
      <c r="C743" t="s">
        <v>897</v>
      </c>
      <c r="D743" t="s">
        <v>49</v>
      </c>
      <c r="E743" t="s">
        <v>58</v>
      </c>
      <c r="F743">
        <v>2</v>
      </c>
      <c r="G743">
        <v>0.1</v>
      </c>
      <c r="H743">
        <v>27000</v>
      </c>
      <c r="I743">
        <v>5537.18</v>
      </c>
      <c r="J743" t="s">
        <v>51</v>
      </c>
      <c r="K743" t="s">
        <v>40</v>
      </c>
      <c r="L743">
        <v>13500</v>
      </c>
      <c r="M743">
        <v>20.508074074074081</v>
      </c>
      <c r="N743" t="s">
        <v>8</v>
      </c>
      <c r="O743" t="s">
        <v>607</v>
      </c>
      <c r="P743" t="s">
        <v>73</v>
      </c>
      <c r="Q743" t="s">
        <v>30</v>
      </c>
      <c r="R743" t="s">
        <v>31</v>
      </c>
      <c r="S743" t="s">
        <v>32</v>
      </c>
      <c r="T743" t="s">
        <v>898</v>
      </c>
      <c r="U743" t="s">
        <v>34</v>
      </c>
      <c r="V743">
        <v>2768.59</v>
      </c>
    </row>
    <row r="744" spans="1:22" x14ac:dyDescent="0.3">
      <c r="A744" t="s">
        <v>1874</v>
      </c>
      <c r="B744" s="2">
        <v>45964</v>
      </c>
      <c r="C744" t="s">
        <v>921</v>
      </c>
      <c r="D744" t="s">
        <v>24</v>
      </c>
      <c r="E744" t="s">
        <v>242</v>
      </c>
      <c r="F744">
        <v>2</v>
      </c>
      <c r="G744">
        <v>0.2</v>
      </c>
      <c r="H744">
        <v>720</v>
      </c>
      <c r="I744">
        <v>132.59</v>
      </c>
      <c r="J744" t="s">
        <v>51</v>
      </c>
      <c r="K744" t="s">
        <v>40</v>
      </c>
      <c r="L744">
        <v>360</v>
      </c>
      <c r="M744">
        <v>18.415277777777781</v>
      </c>
      <c r="N744" t="s">
        <v>8</v>
      </c>
      <c r="O744" t="s">
        <v>922</v>
      </c>
      <c r="P744" t="s">
        <v>29</v>
      </c>
      <c r="Q744" t="s">
        <v>30</v>
      </c>
      <c r="R744" t="s">
        <v>53</v>
      </c>
      <c r="S744" t="s">
        <v>54</v>
      </c>
      <c r="T744" t="s">
        <v>923</v>
      </c>
      <c r="U744" t="s">
        <v>105</v>
      </c>
      <c r="V744">
        <v>66.295000000000002</v>
      </c>
    </row>
    <row r="745" spans="1:22" x14ac:dyDescent="0.3">
      <c r="A745" t="s">
        <v>1875</v>
      </c>
      <c r="B745" s="2">
        <v>46016</v>
      </c>
      <c r="C745" t="s">
        <v>1700</v>
      </c>
      <c r="D745" t="s">
        <v>24</v>
      </c>
      <c r="E745" t="s">
        <v>87</v>
      </c>
      <c r="F745">
        <v>5</v>
      </c>
      <c r="G745">
        <v>0.15</v>
      </c>
      <c r="H745">
        <v>1487.5</v>
      </c>
      <c r="I745">
        <v>-513.5</v>
      </c>
      <c r="J745" t="s">
        <v>39</v>
      </c>
      <c r="K745" t="s">
        <v>434</v>
      </c>
      <c r="L745">
        <v>297.5</v>
      </c>
      <c r="M745">
        <v>-34.521008403361343</v>
      </c>
      <c r="N745" t="s">
        <v>81</v>
      </c>
      <c r="O745" t="s">
        <v>1009</v>
      </c>
      <c r="P745" t="s">
        <v>73</v>
      </c>
      <c r="Q745" t="s">
        <v>30</v>
      </c>
      <c r="R745" t="s">
        <v>53</v>
      </c>
      <c r="S745" t="s">
        <v>54</v>
      </c>
      <c r="T745" t="s">
        <v>172</v>
      </c>
      <c r="U745" t="s">
        <v>34</v>
      </c>
      <c r="V745">
        <v>-102.7</v>
      </c>
    </row>
    <row r="746" spans="1:22" x14ac:dyDescent="0.3">
      <c r="A746" t="s">
        <v>1876</v>
      </c>
      <c r="B746" s="2">
        <v>45985</v>
      </c>
      <c r="C746" t="s">
        <v>401</v>
      </c>
      <c r="D746" t="s">
        <v>49</v>
      </c>
      <c r="E746" t="s">
        <v>119</v>
      </c>
      <c r="F746">
        <v>3</v>
      </c>
      <c r="G746">
        <v>0.1</v>
      </c>
      <c r="H746">
        <v>24300</v>
      </c>
      <c r="I746">
        <v>5540.63</v>
      </c>
      <c r="J746" t="s">
        <v>26</v>
      </c>
      <c r="K746" t="s">
        <v>27</v>
      </c>
      <c r="L746">
        <v>8100</v>
      </c>
      <c r="M746">
        <v>22.800946502057609</v>
      </c>
      <c r="N746" t="s">
        <v>8</v>
      </c>
      <c r="O746" t="s">
        <v>402</v>
      </c>
      <c r="P746" t="s">
        <v>29</v>
      </c>
      <c r="Q746" t="s">
        <v>30</v>
      </c>
      <c r="R746" t="s">
        <v>60</v>
      </c>
      <c r="S746" t="s">
        <v>61</v>
      </c>
      <c r="T746" t="s">
        <v>403</v>
      </c>
      <c r="U746" t="s">
        <v>46</v>
      </c>
      <c r="V746">
        <v>1846.876666666667</v>
      </c>
    </row>
    <row r="747" spans="1:22" x14ac:dyDescent="0.3">
      <c r="A747" t="s">
        <v>1877</v>
      </c>
      <c r="B747" s="2">
        <v>45865</v>
      </c>
      <c r="C747" t="s">
        <v>783</v>
      </c>
      <c r="D747" t="s">
        <v>24</v>
      </c>
      <c r="E747" t="s">
        <v>242</v>
      </c>
      <c r="F747">
        <v>2</v>
      </c>
      <c r="G747">
        <v>0.1</v>
      </c>
      <c r="H747">
        <v>810</v>
      </c>
      <c r="I747">
        <v>158.5</v>
      </c>
      <c r="J747" t="s">
        <v>65</v>
      </c>
      <c r="K747" t="s">
        <v>40</v>
      </c>
      <c r="L747">
        <v>405</v>
      </c>
      <c r="M747">
        <v>19.567901234567898</v>
      </c>
      <c r="N747" t="s">
        <v>8</v>
      </c>
      <c r="O747" t="s">
        <v>784</v>
      </c>
      <c r="P747" t="s">
        <v>73</v>
      </c>
      <c r="Q747" t="s">
        <v>74</v>
      </c>
      <c r="R747" t="s">
        <v>493</v>
      </c>
      <c r="S747" t="s">
        <v>494</v>
      </c>
      <c r="T747" t="s">
        <v>785</v>
      </c>
      <c r="U747" t="s">
        <v>46</v>
      </c>
      <c r="V747">
        <v>79.25</v>
      </c>
    </row>
    <row r="748" spans="1:22" x14ac:dyDescent="0.3">
      <c r="A748" t="s">
        <v>1878</v>
      </c>
      <c r="B748" s="2">
        <v>46164</v>
      </c>
      <c r="C748" t="s">
        <v>1164</v>
      </c>
      <c r="D748" t="s">
        <v>24</v>
      </c>
      <c r="E748" t="s">
        <v>25</v>
      </c>
      <c r="F748">
        <v>1</v>
      </c>
      <c r="G748">
        <v>0.05</v>
      </c>
      <c r="H748">
        <v>13300</v>
      </c>
      <c r="I748">
        <v>2423.2399999999998</v>
      </c>
      <c r="J748" t="s">
        <v>26</v>
      </c>
      <c r="K748" t="s">
        <v>40</v>
      </c>
      <c r="L748">
        <v>13300</v>
      </c>
      <c r="M748">
        <v>18.219849624060149</v>
      </c>
      <c r="N748" t="s">
        <v>8</v>
      </c>
      <c r="O748" t="s">
        <v>284</v>
      </c>
      <c r="P748" t="s">
        <v>29</v>
      </c>
      <c r="Q748" t="s">
        <v>30</v>
      </c>
      <c r="R748" t="s">
        <v>98</v>
      </c>
      <c r="S748" t="s">
        <v>54</v>
      </c>
      <c r="T748" t="s">
        <v>1165</v>
      </c>
      <c r="U748" t="s">
        <v>105</v>
      </c>
      <c r="V748">
        <v>2423.2399999999998</v>
      </c>
    </row>
    <row r="749" spans="1:22" x14ac:dyDescent="0.3">
      <c r="A749" t="s">
        <v>1879</v>
      </c>
      <c r="B749" s="2">
        <v>45901</v>
      </c>
      <c r="C749" t="s">
        <v>834</v>
      </c>
      <c r="D749" t="s">
        <v>70</v>
      </c>
      <c r="E749" t="s">
        <v>108</v>
      </c>
      <c r="F749">
        <v>3</v>
      </c>
      <c r="G749">
        <v>0.05</v>
      </c>
      <c r="H749">
        <v>12825</v>
      </c>
      <c r="I749">
        <v>4177.3500000000004</v>
      </c>
      <c r="J749" t="s">
        <v>26</v>
      </c>
      <c r="K749" t="s">
        <v>40</v>
      </c>
      <c r="L749">
        <v>4275</v>
      </c>
      <c r="M749">
        <v>32.571929824561408</v>
      </c>
      <c r="N749" t="s">
        <v>8</v>
      </c>
      <c r="O749" t="s">
        <v>549</v>
      </c>
      <c r="P749" t="s">
        <v>29</v>
      </c>
      <c r="Q749" t="s">
        <v>74</v>
      </c>
      <c r="R749" t="s">
        <v>115</v>
      </c>
      <c r="S749" t="s">
        <v>115</v>
      </c>
      <c r="T749" t="s">
        <v>835</v>
      </c>
      <c r="U749" t="s">
        <v>34</v>
      </c>
      <c r="V749">
        <v>1392.45</v>
      </c>
    </row>
    <row r="750" spans="1:22" x14ac:dyDescent="0.3">
      <c r="A750" t="s">
        <v>1880</v>
      </c>
      <c r="B750" s="2">
        <v>45937</v>
      </c>
      <c r="C750" t="s">
        <v>517</v>
      </c>
      <c r="D750" t="s">
        <v>37</v>
      </c>
      <c r="E750" t="s">
        <v>310</v>
      </c>
      <c r="F750">
        <v>4</v>
      </c>
      <c r="G750">
        <v>0</v>
      </c>
      <c r="H750">
        <v>8800</v>
      </c>
      <c r="I750">
        <v>-4028.74</v>
      </c>
      <c r="J750" t="s">
        <v>26</v>
      </c>
      <c r="K750" t="s">
        <v>434</v>
      </c>
      <c r="L750">
        <v>2200</v>
      </c>
      <c r="M750">
        <v>-45.781136363636357</v>
      </c>
      <c r="N750" t="s">
        <v>81</v>
      </c>
      <c r="O750" t="s">
        <v>518</v>
      </c>
      <c r="P750" t="s">
        <v>29</v>
      </c>
      <c r="Q750" t="s">
        <v>131</v>
      </c>
      <c r="R750" t="s">
        <v>200</v>
      </c>
      <c r="S750" t="s">
        <v>201</v>
      </c>
      <c r="T750" t="s">
        <v>519</v>
      </c>
      <c r="U750" t="s">
        <v>100</v>
      </c>
      <c r="V750">
        <v>-1007.1849999999999</v>
      </c>
    </row>
    <row r="751" spans="1:22" x14ac:dyDescent="0.3">
      <c r="A751" t="s">
        <v>1881</v>
      </c>
      <c r="B751" s="2">
        <v>46111</v>
      </c>
      <c r="C751" t="s">
        <v>1173</v>
      </c>
      <c r="D751" t="s">
        <v>49</v>
      </c>
      <c r="E751" t="s">
        <v>58</v>
      </c>
      <c r="F751">
        <v>3</v>
      </c>
      <c r="G751">
        <v>0.15</v>
      </c>
      <c r="H751">
        <v>38250</v>
      </c>
      <c r="I751">
        <v>6575.73</v>
      </c>
      <c r="J751" t="s">
        <v>65</v>
      </c>
      <c r="K751" t="s">
        <v>40</v>
      </c>
      <c r="L751">
        <v>12750</v>
      </c>
      <c r="M751">
        <v>17.191450980392151</v>
      </c>
      <c r="N751" t="s">
        <v>8</v>
      </c>
      <c r="O751" t="s">
        <v>406</v>
      </c>
      <c r="P751" t="s">
        <v>83</v>
      </c>
      <c r="Q751" t="s">
        <v>131</v>
      </c>
      <c r="R751" t="s">
        <v>289</v>
      </c>
      <c r="S751" t="s">
        <v>290</v>
      </c>
      <c r="T751" t="s">
        <v>1174</v>
      </c>
      <c r="U751" t="s">
        <v>34</v>
      </c>
      <c r="V751">
        <v>2191.91</v>
      </c>
    </row>
    <row r="752" spans="1:22" x14ac:dyDescent="0.3">
      <c r="A752" t="s">
        <v>1882</v>
      </c>
      <c r="B752" s="2">
        <v>45932</v>
      </c>
      <c r="C752" t="s">
        <v>797</v>
      </c>
      <c r="D752" t="s">
        <v>24</v>
      </c>
      <c r="E752" t="s">
        <v>25</v>
      </c>
      <c r="F752">
        <v>3</v>
      </c>
      <c r="G752">
        <v>0.1</v>
      </c>
      <c r="H752">
        <v>37800</v>
      </c>
      <c r="I752">
        <v>6137.31</v>
      </c>
      <c r="J752" t="s">
        <v>39</v>
      </c>
      <c r="K752" t="s">
        <v>40</v>
      </c>
      <c r="L752">
        <v>12600</v>
      </c>
      <c r="M752">
        <v>16.236269841269841</v>
      </c>
      <c r="N752" t="s">
        <v>8</v>
      </c>
      <c r="O752" t="s">
        <v>798</v>
      </c>
      <c r="P752" t="s">
        <v>73</v>
      </c>
      <c r="Q752" t="s">
        <v>42</v>
      </c>
      <c r="R752" t="s">
        <v>110</v>
      </c>
      <c r="S752" t="s">
        <v>111</v>
      </c>
      <c r="T752" t="s">
        <v>799</v>
      </c>
      <c r="U752" t="s">
        <v>34</v>
      </c>
      <c r="V752">
        <v>2045.77</v>
      </c>
    </row>
    <row r="753" spans="1:22" x14ac:dyDescent="0.3">
      <c r="A753" t="s">
        <v>1883</v>
      </c>
      <c r="B753" s="2">
        <v>46116</v>
      </c>
      <c r="C753" t="s">
        <v>140</v>
      </c>
      <c r="D753" t="s">
        <v>70</v>
      </c>
      <c r="E753" t="s">
        <v>129</v>
      </c>
      <c r="F753">
        <v>6</v>
      </c>
      <c r="G753">
        <v>0.1</v>
      </c>
      <c r="H753">
        <v>297000</v>
      </c>
      <c r="I753">
        <v>34887.35</v>
      </c>
      <c r="J753" t="s">
        <v>65</v>
      </c>
      <c r="K753" t="s">
        <v>40</v>
      </c>
      <c r="L753">
        <v>49500</v>
      </c>
      <c r="M753">
        <v>11.74658249158249</v>
      </c>
      <c r="N753" t="s">
        <v>8</v>
      </c>
      <c r="O753" t="s">
        <v>141</v>
      </c>
      <c r="P753" t="s">
        <v>29</v>
      </c>
      <c r="Q753" t="s">
        <v>30</v>
      </c>
      <c r="R753" t="s">
        <v>53</v>
      </c>
      <c r="S753" t="s">
        <v>54</v>
      </c>
      <c r="T753" t="s">
        <v>142</v>
      </c>
      <c r="U753" t="s">
        <v>100</v>
      </c>
      <c r="V753">
        <v>5814.5583333333334</v>
      </c>
    </row>
    <row r="754" spans="1:22" x14ac:dyDescent="0.3">
      <c r="A754" t="s">
        <v>1884</v>
      </c>
      <c r="B754" s="2">
        <v>45956</v>
      </c>
      <c r="C754" t="s">
        <v>1360</v>
      </c>
      <c r="D754" t="s">
        <v>70</v>
      </c>
      <c r="E754" t="s">
        <v>71</v>
      </c>
      <c r="F754">
        <v>1</v>
      </c>
      <c r="G754">
        <v>0.2</v>
      </c>
      <c r="H754">
        <v>14400</v>
      </c>
      <c r="I754">
        <v>1373.38</v>
      </c>
      <c r="J754" t="s">
        <v>26</v>
      </c>
      <c r="K754" t="s">
        <v>40</v>
      </c>
      <c r="L754">
        <v>14400</v>
      </c>
      <c r="M754">
        <v>9.5373611111111121</v>
      </c>
      <c r="N754" t="s">
        <v>8</v>
      </c>
      <c r="O754" t="s">
        <v>553</v>
      </c>
      <c r="P754" t="s">
        <v>83</v>
      </c>
      <c r="Q754" t="s">
        <v>30</v>
      </c>
      <c r="R754" t="s">
        <v>31</v>
      </c>
      <c r="S754" t="s">
        <v>32</v>
      </c>
      <c r="T754" t="s">
        <v>1361</v>
      </c>
      <c r="U754" t="s">
        <v>34</v>
      </c>
      <c r="V754">
        <v>1373.38</v>
      </c>
    </row>
    <row r="755" spans="1:22" x14ac:dyDescent="0.3">
      <c r="A755" t="s">
        <v>1885</v>
      </c>
      <c r="B755" s="2">
        <v>45995</v>
      </c>
      <c r="C755" t="s">
        <v>1391</v>
      </c>
      <c r="D755" t="s">
        <v>24</v>
      </c>
      <c r="E755" t="s">
        <v>25</v>
      </c>
      <c r="F755">
        <v>1</v>
      </c>
      <c r="G755">
        <v>0.05</v>
      </c>
      <c r="H755">
        <v>13300</v>
      </c>
      <c r="I755">
        <v>-8078.26</v>
      </c>
      <c r="J755" t="s">
        <v>65</v>
      </c>
      <c r="K755" t="s">
        <v>80</v>
      </c>
      <c r="L755">
        <v>13300</v>
      </c>
      <c r="M755">
        <v>-60.738796992481213</v>
      </c>
      <c r="N755" t="s">
        <v>81</v>
      </c>
      <c r="O755" t="s">
        <v>844</v>
      </c>
      <c r="P755" t="s">
        <v>29</v>
      </c>
      <c r="Q755" t="s">
        <v>30</v>
      </c>
      <c r="R755" t="s">
        <v>60</v>
      </c>
      <c r="S755" t="s">
        <v>61</v>
      </c>
      <c r="T755" t="s">
        <v>1392</v>
      </c>
      <c r="U755" t="s">
        <v>34</v>
      </c>
      <c r="V755">
        <v>-8078.26</v>
      </c>
    </row>
    <row r="756" spans="1:22" x14ac:dyDescent="0.3">
      <c r="A756" t="s">
        <v>1886</v>
      </c>
      <c r="B756" s="2">
        <v>46101</v>
      </c>
      <c r="C756" t="s">
        <v>1420</v>
      </c>
      <c r="D756" t="s">
        <v>49</v>
      </c>
      <c r="E756" t="s">
        <v>58</v>
      </c>
      <c r="F756">
        <v>3</v>
      </c>
      <c r="G756">
        <v>0</v>
      </c>
      <c r="H756">
        <v>45000</v>
      </c>
      <c r="I756">
        <v>10500</v>
      </c>
      <c r="J756" t="s">
        <v>51</v>
      </c>
      <c r="K756" t="s">
        <v>40</v>
      </c>
      <c r="L756">
        <v>15000</v>
      </c>
      <c r="M756">
        <v>23.333333333333329</v>
      </c>
      <c r="N756" t="s">
        <v>8</v>
      </c>
      <c r="O756" t="s">
        <v>369</v>
      </c>
      <c r="P756" t="s">
        <v>73</v>
      </c>
      <c r="Q756" t="s">
        <v>30</v>
      </c>
      <c r="R756" t="s">
        <v>98</v>
      </c>
      <c r="S756" t="s">
        <v>54</v>
      </c>
      <c r="T756" t="s">
        <v>1421</v>
      </c>
      <c r="U756" t="s">
        <v>46</v>
      </c>
      <c r="V756">
        <v>3500</v>
      </c>
    </row>
    <row r="757" spans="1:22" x14ac:dyDescent="0.3">
      <c r="A757" t="s">
        <v>1887</v>
      </c>
      <c r="B757" s="2">
        <v>46031</v>
      </c>
      <c r="C757" t="s">
        <v>1363</v>
      </c>
      <c r="D757" t="s">
        <v>70</v>
      </c>
      <c r="E757" t="s">
        <v>108</v>
      </c>
      <c r="F757">
        <v>3</v>
      </c>
      <c r="G757">
        <v>0</v>
      </c>
      <c r="H757">
        <v>13500</v>
      </c>
      <c r="I757">
        <v>4500</v>
      </c>
      <c r="J757" t="s">
        <v>65</v>
      </c>
      <c r="K757" t="s">
        <v>40</v>
      </c>
      <c r="L757">
        <v>4500</v>
      </c>
      <c r="M757">
        <v>33.333333333333329</v>
      </c>
      <c r="N757" t="s">
        <v>8</v>
      </c>
      <c r="O757" t="s">
        <v>1364</v>
      </c>
      <c r="P757" t="s">
        <v>73</v>
      </c>
      <c r="Q757" t="s">
        <v>30</v>
      </c>
      <c r="R757" t="s">
        <v>98</v>
      </c>
      <c r="S757" t="s">
        <v>54</v>
      </c>
      <c r="T757" t="s">
        <v>1365</v>
      </c>
      <c r="U757" t="s">
        <v>105</v>
      </c>
      <c r="V757">
        <v>1500</v>
      </c>
    </row>
    <row r="758" spans="1:22" x14ac:dyDescent="0.3">
      <c r="A758" t="s">
        <v>1888</v>
      </c>
      <c r="B758" s="2">
        <v>45931</v>
      </c>
      <c r="C758" t="s">
        <v>1069</v>
      </c>
      <c r="D758" t="s">
        <v>49</v>
      </c>
      <c r="E758" t="s">
        <v>58</v>
      </c>
      <c r="F758">
        <v>2</v>
      </c>
      <c r="G758">
        <v>0.1</v>
      </c>
      <c r="H758">
        <v>27000</v>
      </c>
      <c r="I758">
        <v>4856.21</v>
      </c>
      <c r="J758" t="s">
        <v>26</v>
      </c>
      <c r="K758" t="s">
        <v>40</v>
      </c>
      <c r="L758">
        <v>13500</v>
      </c>
      <c r="M758">
        <v>17.985962962962962</v>
      </c>
      <c r="N758" t="s">
        <v>8</v>
      </c>
      <c r="O758" t="s">
        <v>937</v>
      </c>
      <c r="P758" t="s">
        <v>29</v>
      </c>
      <c r="Q758" t="s">
        <v>42</v>
      </c>
      <c r="R758" t="s">
        <v>121</v>
      </c>
      <c r="S758" t="s">
        <v>44</v>
      </c>
      <c r="T758" t="s">
        <v>1070</v>
      </c>
      <c r="U758" t="s">
        <v>34</v>
      </c>
      <c r="V758">
        <v>2428.105</v>
      </c>
    </row>
    <row r="759" spans="1:22" x14ac:dyDescent="0.3">
      <c r="A759" t="s">
        <v>1889</v>
      </c>
      <c r="B759" s="2">
        <v>46154</v>
      </c>
      <c r="C759" t="s">
        <v>69</v>
      </c>
      <c r="D759" t="s">
        <v>70</v>
      </c>
      <c r="E759" t="s">
        <v>71</v>
      </c>
      <c r="F759">
        <v>4</v>
      </c>
      <c r="G759">
        <v>0.15</v>
      </c>
      <c r="H759">
        <v>61200</v>
      </c>
      <c r="I759">
        <v>8464.36</v>
      </c>
      <c r="J759" t="s">
        <v>26</v>
      </c>
      <c r="K759" t="s">
        <v>40</v>
      </c>
      <c r="L759">
        <v>15300</v>
      </c>
      <c r="M759">
        <v>13.83065359477124</v>
      </c>
      <c r="N759" t="s">
        <v>8</v>
      </c>
      <c r="O759" t="s">
        <v>72</v>
      </c>
      <c r="P759" t="s">
        <v>73</v>
      </c>
      <c r="Q759" t="s">
        <v>74</v>
      </c>
      <c r="R759" t="s">
        <v>75</v>
      </c>
      <c r="S759" t="s">
        <v>75</v>
      </c>
      <c r="T759" t="s">
        <v>76</v>
      </c>
      <c r="U759" t="s">
        <v>34</v>
      </c>
      <c r="V759">
        <v>2116.09</v>
      </c>
    </row>
    <row r="760" spans="1:22" x14ac:dyDescent="0.3">
      <c r="A760" t="s">
        <v>1890</v>
      </c>
      <c r="B760" s="2">
        <v>46098</v>
      </c>
      <c r="C760" t="s">
        <v>241</v>
      </c>
      <c r="D760" t="s">
        <v>70</v>
      </c>
      <c r="E760" t="s">
        <v>165</v>
      </c>
      <c r="F760">
        <v>1</v>
      </c>
      <c r="G760">
        <v>0.2</v>
      </c>
      <c r="H760">
        <v>2000</v>
      </c>
      <c r="I760">
        <v>560.27</v>
      </c>
      <c r="J760" t="s">
        <v>26</v>
      </c>
      <c r="K760" t="s">
        <v>27</v>
      </c>
      <c r="L760">
        <v>2000</v>
      </c>
      <c r="M760">
        <v>28.013500000000001</v>
      </c>
      <c r="N760" t="s">
        <v>8</v>
      </c>
      <c r="O760" t="s">
        <v>243</v>
      </c>
      <c r="P760" t="s">
        <v>73</v>
      </c>
      <c r="Q760" t="s">
        <v>74</v>
      </c>
      <c r="R760" t="s">
        <v>75</v>
      </c>
      <c r="S760" t="s">
        <v>75</v>
      </c>
      <c r="T760" t="s">
        <v>244</v>
      </c>
      <c r="U760" t="s">
        <v>34</v>
      </c>
      <c r="V760">
        <v>560.27</v>
      </c>
    </row>
    <row r="761" spans="1:22" x14ac:dyDescent="0.3">
      <c r="A761" t="s">
        <v>1891</v>
      </c>
      <c r="B761" s="2">
        <v>46205</v>
      </c>
      <c r="C761" t="s">
        <v>1809</v>
      </c>
      <c r="D761" t="s">
        <v>49</v>
      </c>
      <c r="E761" t="s">
        <v>58</v>
      </c>
      <c r="F761">
        <v>4</v>
      </c>
      <c r="G761">
        <v>0.05</v>
      </c>
      <c r="H761">
        <v>57000</v>
      </c>
      <c r="I761">
        <v>11485.99</v>
      </c>
      <c r="J761" t="s">
        <v>51</v>
      </c>
      <c r="K761" t="s">
        <v>40</v>
      </c>
      <c r="L761">
        <v>14250</v>
      </c>
      <c r="M761">
        <v>20.150859649122811</v>
      </c>
      <c r="N761" t="s">
        <v>8</v>
      </c>
      <c r="O761" t="s">
        <v>730</v>
      </c>
      <c r="P761" t="s">
        <v>29</v>
      </c>
      <c r="Q761" t="s">
        <v>74</v>
      </c>
      <c r="R761" t="s">
        <v>115</v>
      </c>
      <c r="S761" t="s">
        <v>115</v>
      </c>
      <c r="T761" t="s">
        <v>1203</v>
      </c>
      <c r="U761" t="s">
        <v>46</v>
      </c>
      <c r="V761">
        <v>2871.4974999999999</v>
      </c>
    </row>
    <row r="762" spans="1:22" x14ac:dyDescent="0.3">
      <c r="A762" t="s">
        <v>1892</v>
      </c>
      <c r="B762" s="2">
        <v>46016</v>
      </c>
      <c r="C762" t="s">
        <v>152</v>
      </c>
      <c r="D762" t="s">
        <v>70</v>
      </c>
      <c r="E762" t="s">
        <v>129</v>
      </c>
      <c r="F762">
        <v>2</v>
      </c>
      <c r="G762">
        <v>0</v>
      </c>
      <c r="H762">
        <v>110000</v>
      </c>
      <c r="I762">
        <v>-47446.06</v>
      </c>
      <c r="J762" t="s">
        <v>26</v>
      </c>
      <c r="K762" t="s">
        <v>80</v>
      </c>
      <c r="L762">
        <v>55000</v>
      </c>
      <c r="M762">
        <v>-43.132781818181812</v>
      </c>
      <c r="N762" t="s">
        <v>81</v>
      </c>
      <c r="O762" t="s">
        <v>153</v>
      </c>
      <c r="P762" t="s">
        <v>83</v>
      </c>
      <c r="Q762" t="s">
        <v>30</v>
      </c>
      <c r="R762" t="s">
        <v>53</v>
      </c>
      <c r="S762" t="s">
        <v>54</v>
      </c>
      <c r="T762" t="s">
        <v>154</v>
      </c>
      <c r="U762" t="s">
        <v>100</v>
      </c>
      <c r="V762">
        <v>-23723.03</v>
      </c>
    </row>
    <row r="763" spans="1:22" x14ac:dyDescent="0.3">
      <c r="A763" t="s">
        <v>1893</v>
      </c>
      <c r="B763" s="2">
        <v>46156</v>
      </c>
      <c r="C763" t="s">
        <v>635</v>
      </c>
      <c r="D763" t="s">
        <v>70</v>
      </c>
      <c r="E763" t="s">
        <v>108</v>
      </c>
      <c r="F763">
        <v>3</v>
      </c>
      <c r="G763">
        <v>0</v>
      </c>
      <c r="H763">
        <v>13500</v>
      </c>
      <c r="I763">
        <v>4500</v>
      </c>
      <c r="J763" t="s">
        <v>39</v>
      </c>
      <c r="K763" t="s">
        <v>40</v>
      </c>
      <c r="L763">
        <v>4500</v>
      </c>
      <c r="M763">
        <v>33.333333333333329</v>
      </c>
      <c r="N763" t="s">
        <v>8</v>
      </c>
      <c r="O763" t="s">
        <v>636</v>
      </c>
      <c r="P763" t="s">
        <v>29</v>
      </c>
      <c r="Q763" t="s">
        <v>42</v>
      </c>
      <c r="R763" t="s">
        <v>214</v>
      </c>
      <c r="S763" t="s">
        <v>111</v>
      </c>
      <c r="T763" t="s">
        <v>637</v>
      </c>
      <c r="U763" t="s">
        <v>100</v>
      </c>
      <c r="V763">
        <v>1500</v>
      </c>
    </row>
    <row r="764" spans="1:22" x14ac:dyDescent="0.3">
      <c r="A764" t="s">
        <v>1894</v>
      </c>
      <c r="B764" s="2">
        <v>45918</v>
      </c>
      <c r="C764" t="s">
        <v>997</v>
      </c>
      <c r="D764" t="s">
        <v>24</v>
      </c>
      <c r="E764" t="s">
        <v>242</v>
      </c>
      <c r="F764">
        <v>3</v>
      </c>
      <c r="G764">
        <v>0</v>
      </c>
      <c r="H764">
        <v>1350</v>
      </c>
      <c r="I764">
        <v>330</v>
      </c>
      <c r="J764" t="s">
        <v>51</v>
      </c>
      <c r="K764" t="s">
        <v>40</v>
      </c>
      <c r="L764">
        <v>450</v>
      </c>
      <c r="M764">
        <v>24.444444444444439</v>
      </c>
      <c r="N764" t="s">
        <v>8</v>
      </c>
      <c r="O764" t="s">
        <v>166</v>
      </c>
      <c r="P764" t="s">
        <v>73</v>
      </c>
      <c r="Q764" t="s">
        <v>131</v>
      </c>
      <c r="R764" t="s">
        <v>449</v>
      </c>
      <c r="S764" t="s">
        <v>450</v>
      </c>
      <c r="T764" t="s">
        <v>515</v>
      </c>
      <c r="U764" t="s">
        <v>46</v>
      </c>
      <c r="V764">
        <v>110</v>
      </c>
    </row>
    <row r="765" spans="1:22" x14ac:dyDescent="0.3">
      <c r="A765" t="s">
        <v>1895</v>
      </c>
      <c r="B765" s="2">
        <v>45854</v>
      </c>
      <c r="C765" t="s">
        <v>114</v>
      </c>
      <c r="D765" t="s">
        <v>70</v>
      </c>
      <c r="E765" t="s">
        <v>129</v>
      </c>
      <c r="F765">
        <v>2</v>
      </c>
      <c r="G765">
        <v>0</v>
      </c>
      <c r="H765">
        <v>110000</v>
      </c>
      <c r="I765">
        <v>18000</v>
      </c>
      <c r="J765" t="s">
        <v>51</v>
      </c>
      <c r="K765" t="s">
        <v>27</v>
      </c>
      <c r="L765">
        <v>55000</v>
      </c>
      <c r="M765">
        <v>16.36363636363636</v>
      </c>
      <c r="N765" t="s">
        <v>8</v>
      </c>
      <c r="O765" t="s">
        <v>88</v>
      </c>
      <c r="P765" t="s">
        <v>29</v>
      </c>
      <c r="Q765" t="s">
        <v>74</v>
      </c>
      <c r="R765" t="s">
        <v>115</v>
      </c>
      <c r="S765" t="s">
        <v>115</v>
      </c>
      <c r="T765" t="s">
        <v>116</v>
      </c>
      <c r="U765" t="s">
        <v>46</v>
      </c>
      <c r="V765">
        <v>9000</v>
      </c>
    </row>
    <row r="766" spans="1:22" x14ac:dyDescent="0.3">
      <c r="A766" t="s">
        <v>1896</v>
      </c>
      <c r="B766" s="2">
        <v>46066</v>
      </c>
      <c r="C766" t="s">
        <v>1803</v>
      </c>
      <c r="D766" t="s">
        <v>49</v>
      </c>
      <c r="E766" t="s">
        <v>50</v>
      </c>
      <c r="F766">
        <v>2</v>
      </c>
      <c r="G766">
        <v>0</v>
      </c>
      <c r="H766">
        <v>26000</v>
      </c>
      <c r="I766">
        <v>-14078.14</v>
      </c>
      <c r="J766" t="s">
        <v>65</v>
      </c>
      <c r="K766" t="s">
        <v>80</v>
      </c>
      <c r="L766">
        <v>13000</v>
      </c>
      <c r="M766">
        <v>-54.146692307692298</v>
      </c>
      <c r="N766" t="s">
        <v>81</v>
      </c>
      <c r="O766" t="s">
        <v>1804</v>
      </c>
      <c r="P766" t="s">
        <v>29</v>
      </c>
      <c r="Q766" t="s">
        <v>74</v>
      </c>
      <c r="R766" t="s">
        <v>115</v>
      </c>
      <c r="S766" t="s">
        <v>115</v>
      </c>
      <c r="T766" t="s">
        <v>604</v>
      </c>
      <c r="U766" t="s">
        <v>46</v>
      </c>
      <c r="V766">
        <v>-7039.07</v>
      </c>
    </row>
    <row r="767" spans="1:22" x14ac:dyDescent="0.3">
      <c r="A767" t="s">
        <v>1897</v>
      </c>
      <c r="B767" s="2">
        <v>46019</v>
      </c>
      <c r="C767" t="s">
        <v>910</v>
      </c>
      <c r="D767" t="s">
        <v>49</v>
      </c>
      <c r="E767" t="s">
        <v>79</v>
      </c>
      <c r="F767">
        <v>2</v>
      </c>
      <c r="G767">
        <v>0</v>
      </c>
      <c r="H767">
        <v>22000</v>
      </c>
      <c r="I767">
        <v>5200</v>
      </c>
      <c r="J767" t="s">
        <v>51</v>
      </c>
      <c r="K767" t="s">
        <v>40</v>
      </c>
      <c r="L767">
        <v>11000</v>
      </c>
      <c r="M767">
        <v>23.63636363636364</v>
      </c>
      <c r="N767" t="s">
        <v>8</v>
      </c>
      <c r="O767" t="s">
        <v>911</v>
      </c>
      <c r="P767" t="s">
        <v>29</v>
      </c>
      <c r="Q767" t="s">
        <v>30</v>
      </c>
      <c r="R767" t="s">
        <v>31</v>
      </c>
      <c r="S767" t="s">
        <v>32</v>
      </c>
      <c r="T767" t="s">
        <v>912</v>
      </c>
      <c r="U767" t="s">
        <v>34</v>
      </c>
      <c r="V767">
        <v>2600</v>
      </c>
    </row>
    <row r="768" spans="1:22" x14ac:dyDescent="0.3">
      <c r="A768" t="s">
        <v>1898</v>
      </c>
      <c r="B768" s="2">
        <v>45948</v>
      </c>
      <c r="C768" t="s">
        <v>1824</v>
      </c>
      <c r="D768" t="s">
        <v>37</v>
      </c>
      <c r="E768" t="s">
        <v>190</v>
      </c>
      <c r="F768">
        <v>4</v>
      </c>
      <c r="G768">
        <v>0.15</v>
      </c>
      <c r="H768">
        <v>14280</v>
      </c>
      <c r="I768">
        <v>-2741.85</v>
      </c>
      <c r="J768" t="s">
        <v>51</v>
      </c>
      <c r="K768" t="s">
        <v>80</v>
      </c>
      <c r="L768">
        <v>3570</v>
      </c>
      <c r="M768">
        <v>-19.20063025210084</v>
      </c>
      <c r="N768" t="s">
        <v>81</v>
      </c>
      <c r="O768" t="s">
        <v>205</v>
      </c>
      <c r="P768" t="s">
        <v>83</v>
      </c>
      <c r="Q768" t="s">
        <v>30</v>
      </c>
      <c r="R768" t="s">
        <v>31</v>
      </c>
      <c r="S768" t="s">
        <v>32</v>
      </c>
      <c r="T768" t="s">
        <v>303</v>
      </c>
      <c r="U768" t="s">
        <v>46</v>
      </c>
      <c r="V768">
        <v>-685.46249999999998</v>
      </c>
    </row>
    <row r="769" spans="1:22" x14ac:dyDescent="0.3">
      <c r="A769" t="s">
        <v>1899</v>
      </c>
      <c r="B769" s="2">
        <v>46100</v>
      </c>
      <c r="C769" t="s">
        <v>788</v>
      </c>
      <c r="D769" t="s">
        <v>24</v>
      </c>
      <c r="E769" t="s">
        <v>92</v>
      </c>
      <c r="F769">
        <v>2</v>
      </c>
      <c r="G769">
        <v>0.05</v>
      </c>
      <c r="H769">
        <v>1710</v>
      </c>
      <c r="I769">
        <v>488</v>
      </c>
      <c r="J769" t="s">
        <v>65</v>
      </c>
      <c r="K769" t="s">
        <v>40</v>
      </c>
      <c r="L769">
        <v>855</v>
      </c>
      <c r="M769">
        <v>28.53801169590643</v>
      </c>
      <c r="N769" t="s">
        <v>8</v>
      </c>
      <c r="O769" t="s">
        <v>789</v>
      </c>
      <c r="P769" t="s">
        <v>83</v>
      </c>
      <c r="Q769" t="s">
        <v>74</v>
      </c>
      <c r="R769" t="s">
        <v>75</v>
      </c>
      <c r="S769" t="s">
        <v>75</v>
      </c>
      <c r="T769" t="s">
        <v>790</v>
      </c>
      <c r="U769" t="s">
        <v>34</v>
      </c>
      <c r="V769">
        <v>244</v>
      </c>
    </row>
    <row r="770" spans="1:22" x14ac:dyDescent="0.3">
      <c r="A770" t="s">
        <v>1900</v>
      </c>
      <c r="B770" s="2">
        <v>46039</v>
      </c>
      <c r="C770" t="s">
        <v>1901</v>
      </c>
      <c r="D770" t="s">
        <v>70</v>
      </c>
      <c r="E770" t="s">
        <v>129</v>
      </c>
      <c r="F770">
        <v>2</v>
      </c>
      <c r="G770">
        <v>0.15</v>
      </c>
      <c r="H770">
        <v>93500</v>
      </c>
      <c r="I770">
        <v>4264.63</v>
      </c>
      <c r="J770" t="s">
        <v>39</v>
      </c>
      <c r="K770" t="s">
        <v>27</v>
      </c>
      <c r="L770">
        <v>46750</v>
      </c>
      <c r="M770">
        <v>4.5611016042780754</v>
      </c>
      <c r="N770" t="s">
        <v>8</v>
      </c>
      <c r="O770" t="s">
        <v>1902</v>
      </c>
      <c r="P770" t="s">
        <v>83</v>
      </c>
      <c r="Q770" t="s">
        <v>42</v>
      </c>
      <c r="R770" t="s">
        <v>121</v>
      </c>
      <c r="S770" t="s">
        <v>44</v>
      </c>
      <c r="T770" t="s">
        <v>1051</v>
      </c>
      <c r="U770" t="s">
        <v>100</v>
      </c>
      <c r="V770">
        <v>2132.3150000000001</v>
      </c>
    </row>
    <row r="771" spans="1:22" x14ac:dyDescent="0.3">
      <c r="A771" t="s">
        <v>1903</v>
      </c>
      <c r="B771" s="2">
        <v>46163</v>
      </c>
      <c r="C771" t="s">
        <v>1582</v>
      </c>
      <c r="D771" t="s">
        <v>37</v>
      </c>
      <c r="E771" t="s">
        <v>170</v>
      </c>
      <c r="F771">
        <v>6</v>
      </c>
      <c r="G771">
        <v>0.15</v>
      </c>
      <c r="H771">
        <v>7140</v>
      </c>
      <c r="I771">
        <v>-1493.28</v>
      </c>
      <c r="J771" t="s">
        <v>26</v>
      </c>
      <c r="K771" t="s">
        <v>434</v>
      </c>
      <c r="L771">
        <v>1190</v>
      </c>
      <c r="M771">
        <v>-20.914285714285711</v>
      </c>
      <c r="N771" t="s">
        <v>81</v>
      </c>
      <c r="O771" t="s">
        <v>1583</v>
      </c>
      <c r="P771" t="s">
        <v>73</v>
      </c>
      <c r="Q771" t="s">
        <v>30</v>
      </c>
      <c r="R771" t="s">
        <v>53</v>
      </c>
      <c r="S771" t="s">
        <v>54</v>
      </c>
      <c r="T771" t="s">
        <v>370</v>
      </c>
      <c r="U771" t="s">
        <v>105</v>
      </c>
      <c r="V771">
        <v>-248.88</v>
      </c>
    </row>
    <row r="772" spans="1:22" x14ac:dyDescent="0.3">
      <c r="A772" t="s">
        <v>1904</v>
      </c>
      <c r="B772" s="2">
        <v>46249</v>
      </c>
      <c r="C772" t="s">
        <v>866</v>
      </c>
      <c r="D772" t="s">
        <v>70</v>
      </c>
      <c r="E772" t="s">
        <v>71</v>
      </c>
      <c r="F772">
        <v>4</v>
      </c>
      <c r="G772">
        <v>0.1</v>
      </c>
      <c r="H772">
        <v>64800</v>
      </c>
      <c r="I772">
        <v>10663.59</v>
      </c>
      <c r="J772" t="s">
        <v>26</v>
      </c>
      <c r="K772" t="s">
        <v>40</v>
      </c>
      <c r="L772">
        <v>16200</v>
      </c>
      <c r="M772">
        <v>16.45615740740741</v>
      </c>
      <c r="N772" t="s">
        <v>8</v>
      </c>
      <c r="O772" t="s">
        <v>247</v>
      </c>
      <c r="P772" t="s">
        <v>73</v>
      </c>
      <c r="Q772" t="s">
        <v>30</v>
      </c>
      <c r="R772" t="s">
        <v>98</v>
      </c>
      <c r="S772" t="s">
        <v>54</v>
      </c>
      <c r="T772" t="s">
        <v>319</v>
      </c>
      <c r="U772" t="s">
        <v>34</v>
      </c>
      <c r="V772">
        <v>2665.8975</v>
      </c>
    </row>
    <row r="773" spans="1:22" x14ac:dyDescent="0.3">
      <c r="A773" t="s">
        <v>1905</v>
      </c>
      <c r="B773" s="2">
        <v>45881</v>
      </c>
      <c r="C773" t="s">
        <v>1906</v>
      </c>
      <c r="D773" t="s">
        <v>70</v>
      </c>
      <c r="E773" t="s">
        <v>165</v>
      </c>
      <c r="F773">
        <v>2</v>
      </c>
      <c r="G773">
        <v>0.1</v>
      </c>
      <c r="H773">
        <v>4500</v>
      </c>
      <c r="I773">
        <v>1185.97</v>
      </c>
      <c r="J773" t="s">
        <v>39</v>
      </c>
      <c r="K773" t="s">
        <v>27</v>
      </c>
      <c r="L773">
        <v>2250</v>
      </c>
      <c r="M773">
        <v>26.35488888888889</v>
      </c>
      <c r="N773" t="s">
        <v>8</v>
      </c>
      <c r="O773" t="s">
        <v>1579</v>
      </c>
      <c r="P773" t="s">
        <v>29</v>
      </c>
      <c r="Q773" t="s">
        <v>131</v>
      </c>
      <c r="R773" t="s">
        <v>449</v>
      </c>
      <c r="S773" t="s">
        <v>450</v>
      </c>
      <c r="T773" t="s">
        <v>1907</v>
      </c>
      <c r="U773" t="s">
        <v>46</v>
      </c>
      <c r="V773">
        <v>592.98500000000001</v>
      </c>
    </row>
    <row r="774" spans="1:22" x14ac:dyDescent="0.3">
      <c r="A774" t="s">
        <v>1908</v>
      </c>
      <c r="B774" s="2">
        <v>46075</v>
      </c>
      <c r="C774" t="s">
        <v>321</v>
      </c>
      <c r="D774" t="s">
        <v>70</v>
      </c>
      <c r="E774" t="s">
        <v>71</v>
      </c>
      <c r="F774">
        <v>2</v>
      </c>
      <c r="G774">
        <v>0.1</v>
      </c>
      <c r="H774">
        <v>32400</v>
      </c>
      <c r="I774">
        <v>5238.8900000000003</v>
      </c>
      <c r="J774" t="s">
        <v>26</v>
      </c>
      <c r="K774" t="s">
        <v>27</v>
      </c>
      <c r="L774">
        <v>16200</v>
      </c>
      <c r="M774">
        <v>16.169413580246911</v>
      </c>
      <c r="N774" t="s">
        <v>8</v>
      </c>
      <c r="O774" t="s">
        <v>322</v>
      </c>
      <c r="P774" t="s">
        <v>29</v>
      </c>
      <c r="Q774" t="s">
        <v>30</v>
      </c>
      <c r="R774" t="s">
        <v>31</v>
      </c>
      <c r="S774" t="s">
        <v>32</v>
      </c>
      <c r="T774" t="s">
        <v>323</v>
      </c>
      <c r="U774" t="s">
        <v>34</v>
      </c>
      <c r="V774">
        <v>2619.4450000000002</v>
      </c>
    </row>
    <row r="775" spans="1:22" x14ac:dyDescent="0.3">
      <c r="A775" t="s">
        <v>1909</v>
      </c>
      <c r="B775" s="2">
        <v>46007</v>
      </c>
      <c r="C775" t="s">
        <v>1910</v>
      </c>
      <c r="D775" t="s">
        <v>24</v>
      </c>
      <c r="E775" t="s">
        <v>92</v>
      </c>
      <c r="F775">
        <v>2</v>
      </c>
      <c r="G775">
        <v>0.1</v>
      </c>
      <c r="H775">
        <v>1620</v>
      </c>
      <c r="I775">
        <v>436.58</v>
      </c>
      <c r="J775" t="s">
        <v>39</v>
      </c>
      <c r="K775" t="s">
        <v>40</v>
      </c>
      <c r="L775">
        <v>810</v>
      </c>
      <c r="M775">
        <v>26.949382716049382</v>
      </c>
      <c r="N775" t="s">
        <v>8</v>
      </c>
      <c r="O775" t="s">
        <v>1461</v>
      </c>
      <c r="P775" t="s">
        <v>29</v>
      </c>
      <c r="Q775" t="s">
        <v>131</v>
      </c>
      <c r="R775" t="s">
        <v>289</v>
      </c>
      <c r="S775" t="s">
        <v>290</v>
      </c>
      <c r="T775" t="s">
        <v>1590</v>
      </c>
      <c r="U775" t="s">
        <v>34</v>
      </c>
      <c r="V775">
        <v>218.29</v>
      </c>
    </row>
    <row r="776" spans="1:22" x14ac:dyDescent="0.3">
      <c r="A776" t="s">
        <v>1911</v>
      </c>
      <c r="B776" s="2">
        <v>46229</v>
      </c>
      <c r="C776" t="s">
        <v>1196</v>
      </c>
      <c r="D776" t="s">
        <v>24</v>
      </c>
      <c r="E776" t="s">
        <v>25</v>
      </c>
      <c r="F776">
        <v>3</v>
      </c>
      <c r="G776">
        <v>0.15</v>
      </c>
      <c r="H776">
        <v>35700</v>
      </c>
      <c r="I776">
        <v>4146.8500000000004</v>
      </c>
      <c r="J776" t="s">
        <v>51</v>
      </c>
      <c r="K776" t="s">
        <v>40</v>
      </c>
      <c r="L776">
        <v>11900</v>
      </c>
      <c r="M776">
        <v>11.61582633053221</v>
      </c>
      <c r="N776" t="s">
        <v>8</v>
      </c>
      <c r="O776" t="s">
        <v>686</v>
      </c>
      <c r="P776" t="s">
        <v>73</v>
      </c>
      <c r="Q776" t="s">
        <v>30</v>
      </c>
      <c r="R776" t="s">
        <v>53</v>
      </c>
      <c r="S776" t="s">
        <v>54</v>
      </c>
      <c r="T776" t="s">
        <v>1197</v>
      </c>
      <c r="U776" t="s">
        <v>100</v>
      </c>
      <c r="V776">
        <v>1382.283333333334</v>
      </c>
    </row>
    <row r="777" spans="1:22" x14ac:dyDescent="0.3">
      <c r="A777" t="s">
        <v>1912</v>
      </c>
      <c r="B777" s="2">
        <v>46168</v>
      </c>
      <c r="C777" t="s">
        <v>1767</v>
      </c>
      <c r="D777" t="s">
        <v>49</v>
      </c>
      <c r="E777" t="s">
        <v>119</v>
      </c>
      <c r="F777">
        <v>4</v>
      </c>
      <c r="G777">
        <v>0.1</v>
      </c>
      <c r="H777">
        <v>32400</v>
      </c>
      <c r="I777">
        <v>6992.4</v>
      </c>
      <c r="J777" t="s">
        <v>51</v>
      </c>
      <c r="K777" t="s">
        <v>27</v>
      </c>
      <c r="L777">
        <v>8100</v>
      </c>
      <c r="M777">
        <v>21.581481481481479</v>
      </c>
      <c r="N777" t="s">
        <v>8</v>
      </c>
      <c r="O777" t="s">
        <v>1768</v>
      </c>
      <c r="P777" t="s">
        <v>29</v>
      </c>
      <c r="Q777" t="s">
        <v>131</v>
      </c>
      <c r="R777" t="s">
        <v>289</v>
      </c>
      <c r="S777" t="s">
        <v>290</v>
      </c>
      <c r="T777" t="s">
        <v>1469</v>
      </c>
      <c r="U777" t="s">
        <v>100</v>
      </c>
      <c r="V777">
        <v>1748.1</v>
      </c>
    </row>
    <row r="778" spans="1:22" x14ac:dyDescent="0.3">
      <c r="A778" t="s">
        <v>1913</v>
      </c>
      <c r="B778" s="2">
        <v>46248</v>
      </c>
      <c r="C778" t="s">
        <v>736</v>
      </c>
      <c r="D778" t="s">
        <v>70</v>
      </c>
      <c r="E778" t="s">
        <v>108</v>
      </c>
      <c r="F778">
        <v>1</v>
      </c>
      <c r="G778">
        <v>0</v>
      </c>
      <c r="H778">
        <v>4500</v>
      </c>
      <c r="I778">
        <v>1500</v>
      </c>
      <c r="J778" t="s">
        <v>39</v>
      </c>
      <c r="K778" t="s">
        <v>40</v>
      </c>
      <c r="L778">
        <v>4500</v>
      </c>
      <c r="M778">
        <v>33.333333333333329</v>
      </c>
      <c r="N778" t="s">
        <v>8</v>
      </c>
      <c r="O778" t="s">
        <v>648</v>
      </c>
      <c r="P778" t="s">
        <v>29</v>
      </c>
      <c r="Q778" t="s">
        <v>30</v>
      </c>
      <c r="R778" t="s">
        <v>60</v>
      </c>
      <c r="S778" t="s">
        <v>61</v>
      </c>
      <c r="T778" t="s">
        <v>311</v>
      </c>
      <c r="U778" t="s">
        <v>34</v>
      </c>
      <c r="V778">
        <v>1500</v>
      </c>
    </row>
    <row r="779" spans="1:22" x14ac:dyDescent="0.3">
      <c r="A779" t="s">
        <v>1914</v>
      </c>
      <c r="B779" s="2">
        <v>46179</v>
      </c>
      <c r="C779" t="s">
        <v>241</v>
      </c>
      <c r="D779" t="s">
        <v>70</v>
      </c>
      <c r="E779" t="s">
        <v>71</v>
      </c>
      <c r="F779">
        <v>4</v>
      </c>
      <c r="G779">
        <v>0</v>
      </c>
      <c r="H779">
        <v>72000</v>
      </c>
      <c r="I779">
        <v>14000</v>
      </c>
      <c r="J779" t="s">
        <v>51</v>
      </c>
      <c r="K779" t="s">
        <v>27</v>
      </c>
      <c r="L779">
        <v>18000</v>
      </c>
      <c r="M779">
        <v>19.44444444444445</v>
      </c>
      <c r="N779" t="s">
        <v>8</v>
      </c>
      <c r="O779" t="s">
        <v>243</v>
      </c>
      <c r="P779" t="s">
        <v>73</v>
      </c>
      <c r="Q779" t="s">
        <v>74</v>
      </c>
      <c r="R779" t="s">
        <v>75</v>
      </c>
      <c r="S779" t="s">
        <v>75</v>
      </c>
      <c r="T779" t="s">
        <v>244</v>
      </c>
      <c r="U779" t="s">
        <v>34</v>
      </c>
      <c r="V779">
        <v>3500</v>
      </c>
    </row>
    <row r="780" spans="1:22" x14ac:dyDescent="0.3">
      <c r="A780" t="s">
        <v>1915</v>
      </c>
      <c r="B780" s="2">
        <v>46015</v>
      </c>
      <c r="C780" t="s">
        <v>1436</v>
      </c>
      <c r="D780" t="s">
        <v>24</v>
      </c>
      <c r="E780" t="s">
        <v>25</v>
      </c>
      <c r="F780">
        <v>4</v>
      </c>
      <c r="G780">
        <v>0.05</v>
      </c>
      <c r="H780">
        <v>53200</v>
      </c>
      <c r="I780">
        <v>9152.57</v>
      </c>
      <c r="J780" t="s">
        <v>39</v>
      </c>
      <c r="K780" t="s">
        <v>40</v>
      </c>
      <c r="L780">
        <v>13300</v>
      </c>
      <c r="M780">
        <v>17.204078947368419</v>
      </c>
      <c r="N780" t="s">
        <v>8</v>
      </c>
      <c r="O780" t="s">
        <v>697</v>
      </c>
      <c r="P780" t="s">
        <v>83</v>
      </c>
      <c r="Q780" t="s">
        <v>30</v>
      </c>
      <c r="R780" t="s">
        <v>60</v>
      </c>
      <c r="S780" t="s">
        <v>61</v>
      </c>
      <c r="T780" t="s">
        <v>1437</v>
      </c>
      <c r="U780" t="s">
        <v>46</v>
      </c>
      <c r="V780">
        <v>2288.1424999999999</v>
      </c>
    </row>
    <row r="781" spans="1:22" x14ac:dyDescent="0.3">
      <c r="A781" t="s">
        <v>1916</v>
      </c>
      <c r="B781" s="2">
        <v>46177</v>
      </c>
      <c r="C781" t="s">
        <v>430</v>
      </c>
      <c r="D781" t="s">
        <v>49</v>
      </c>
      <c r="E781" t="s">
        <v>119</v>
      </c>
      <c r="F781">
        <v>3</v>
      </c>
      <c r="G781">
        <v>0.15</v>
      </c>
      <c r="H781">
        <v>22950</v>
      </c>
      <c r="I781">
        <v>-4106.0600000000004</v>
      </c>
      <c r="J781" t="s">
        <v>39</v>
      </c>
      <c r="K781" t="s">
        <v>434</v>
      </c>
      <c r="L781">
        <v>7650</v>
      </c>
      <c r="M781">
        <v>-17.89132897603486</v>
      </c>
      <c r="N781" t="s">
        <v>81</v>
      </c>
      <c r="O781" t="s">
        <v>431</v>
      </c>
      <c r="P781" t="s">
        <v>29</v>
      </c>
      <c r="Q781" t="s">
        <v>30</v>
      </c>
      <c r="R781" t="s">
        <v>53</v>
      </c>
      <c r="S781" t="s">
        <v>54</v>
      </c>
      <c r="T781" t="s">
        <v>256</v>
      </c>
      <c r="U781" t="s">
        <v>46</v>
      </c>
      <c r="V781">
        <v>-1368.686666666667</v>
      </c>
    </row>
    <row r="782" spans="1:22" x14ac:dyDescent="0.3">
      <c r="A782" t="s">
        <v>1917</v>
      </c>
      <c r="B782" s="2">
        <v>46154</v>
      </c>
      <c r="C782" t="s">
        <v>389</v>
      </c>
      <c r="D782" t="s">
        <v>24</v>
      </c>
      <c r="E782" t="s">
        <v>242</v>
      </c>
      <c r="F782">
        <v>6</v>
      </c>
      <c r="G782">
        <v>0.1</v>
      </c>
      <c r="H782">
        <v>2430</v>
      </c>
      <c r="I782">
        <v>480.76</v>
      </c>
      <c r="J782" t="s">
        <v>26</v>
      </c>
      <c r="K782" t="s">
        <v>40</v>
      </c>
      <c r="L782">
        <v>405</v>
      </c>
      <c r="M782">
        <v>19.78436213991769</v>
      </c>
      <c r="N782" t="s">
        <v>8</v>
      </c>
      <c r="O782" t="s">
        <v>390</v>
      </c>
      <c r="P782" t="s">
        <v>29</v>
      </c>
      <c r="Q782" t="s">
        <v>30</v>
      </c>
      <c r="R782" t="s">
        <v>53</v>
      </c>
      <c r="S782" t="s">
        <v>54</v>
      </c>
      <c r="T782" t="s">
        <v>391</v>
      </c>
      <c r="U782" t="s">
        <v>100</v>
      </c>
      <c r="V782">
        <v>80.126666666666665</v>
      </c>
    </row>
    <row r="783" spans="1:22" x14ac:dyDescent="0.3">
      <c r="A783" t="s">
        <v>1918</v>
      </c>
      <c r="B783" s="2">
        <v>46035</v>
      </c>
      <c r="C783" t="s">
        <v>1131</v>
      </c>
      <c r="D783" t="s">
        <v>70</v>
      </c>
      <c r="E783" t="s">
        <v>129</v>
      </c>
      <c r="F783">
        <v>1</v>
      </c>
      <c r="G783">
        <v>0.1</v>
      </c>
      <c r="H783">
        <v>49500</v>
      </c>
      <c r="I783">
        <v>5683.81</v>
      </c>
      <c r="J783" t="s">
        <v>39</v>
      </c>
      <c r="K783" t="s">
        <v>40</v>
      </c>
      <c r="L783">
        <v>49500</v>
      </c>
      <c r="M783">
        <v>11.48244444444444</v>
      </c>
      <c r="N783" t="s">
        <v>8</v>
      </c>
      <c r="O783" t="s">
        <v>226</v>
      </c>
      <c r="P783" t="s">
        <v>73</v>
      </c>
      <c r="Q783" t="s">
        <v>74</v>
      </c>
      <c r="R783" t="s">
        <v>75</v>
      </c>
      <c r="S783" t="s">
        <v>75</v>
      </c>
      <c r="T783" t="s">
        <v>1132</v>
      </c>
      <c r="U783" t="s">
        <v>100</v>
      </c>
      <c r="V783">
        <v>5683.81</v>
      </c>
    </row>
    <row r="784" spans="1:22" x14ac:dyDescent="0.3">
      <c r="A784" t="s">
        <v>1919</v>
      </c>
      <c r="B784" s="2">
        <v>46244</v>
      </c>
      <c r="C784" t="s">
        <v>559</v>
      </c>
      <c r="D784" t="s">
        <v>70</v>
      </c>
      <c r="E784" t="s">
        <v>165</v>
      </c>
      <c r="F784">
        <v>6</v>
      </c>
      <c r="G784">
        <v>0</v>
      </c>
      <c r="H784">
        <v>15000</v>
      </c>
      <c r="I784">
        <v>4800</v>
      </c>
      <c r="J784" t="s">
        <v>39</v>
      </c>
      <c r="K784" t="s">
        <v>40</v>
      </c>
      <c r="L784">
        <v>2500</v>
      </c>
      <c r="M784">
        <v>32</v>
      </c>
      <c r="N784" t="s">
        <v>8</v>
      </c>
      <c r="O784" t="s">
        <v>478</v>
      </c>
      <c r="P784" t="s">
        <v>29</v>
      </c>
      <c r="Q784" t="s">
        <v>30</v>
      </c>
      <c r="R784" t="s">
        <v>53</v>
      </c>
      <c r="S784" t="s">
        <v>54</v>
      </c>
      <c r="T784" t="s">
        <v>560</v>
      </c>
      <c r="U784" t="s">
        <v>34</v>
      </c>
      <c r="V784">
        <v>800</v>
      </c>
    </row>
    <row r="785" spans="1:22" x14ac:dyDescent="0.3">
      <c r="A785" t="s">
        <v>1920</v>
      </c>
      <c r="B785" s="2">
        <v>45949</v>
      </c>
      <c r="C785" t="s">
        <v>1723</v>
      </c>
      <c r="D785" t="s">
        <v>70</v>
      </c>
      <c r="E785" t="s">
        <v>108</v>
      </c>
      <c r="F785">
        <v>1</v>
      </c>
      <c r="G785">
        <v>0.1</v>
      </c>
      <c r="H785">
        <v>4050</v>
      </c>
      <c r="I785">
        <v>-131.9</v>
      </c>
      <c r="J785" t="s">
        <v>65</v>
      </c>
      <c r="K785" t="s">
        <v>80</v>
      </c>
      <c r="L785">
        <v>4050</v>
      </c>
      <c r="M785">
        <v>-3.2567901234567902</v>
      </c>
      <c r="N785" t="s">
        <v>81</v>
      </c>
      <c r="O785" t="s">
        <v>398</v>
      </c>
      <c r="P785" t="s">
        <v>83</v>
      </c>
      <c r="Q785" t="s">
        <v>30</v>
      </c>
      <c r="R785" t="s">
        <v>98</v>
      </c>
      <c r="S785" t="s">
        <v>54</v>
      </c>
      <c r="T785" t="s">
        <v>1724</v>
      </c>
      <c r="U785" t="s">
        <v>46</v>
      </c>
      <c r="V785">
        <v>-131.9</v>
      </c>
    </row>
    <row r="786" spans="1:22" x14ac:dyDescent="0.3">
      <c r="A786" t="s">
        <v>1921</v>
      </c>
      <c r="B786" s="2">
        <v>45930</v>
      </c>
      <c r="C786" t="s">
        <v>1014</v>
      </c>
      <c r="D786" t="s">
        <v>24</v>
      </c>
      <c r="E786" t="s">
        <v>242</v>
      </c>
      <c r="F786">
        <v>2</v>
      </c>
      <c r="G786">
        <v>0.15</v>
      </c>
      <c r="H786">
        <v>765</v>
      </c>
      <c r="I786">
        <v>-323.83</v>
      </c>
      <c r="J786" t="s">
        <v>39</v>
      </c>
      <c r="K786" t="s">
        <v>434</v>
      </c>
      <c r="L786">
        <v>382.5</v>
      </c>
      <c r="M786">
        <v>-42.330718954248361</v>
      </c>
      <c r="N786" t="s">
        <v>81</v>
      </c>
      <c r="O786" t="s">
        <v>530</v>
      </c>
      <c r="P786" t="s">
        <v>73</v>
      </c>
      <c r="Q786" t="s">
        <v>42</v>
      </c>
      <c r="R786" t="s">
        <v>121</v>
      </c>
      <c r="S786" t="s">
        <v>44</v>
      </c>
      <c r="T786" t="s">
        <v>1015</v>
      </c>
      <c r="U786" t="s">
        <v>34</v>
      </c>
      <c r="V786">
        <v>-161.91499999999999</v>
      </c>
    </row>
    <row r="787" spans="1:22" x14ac:dyDescent="0.3">
      <c r="A787" t="s">
        <v>1922</v>
      </c>
      <c r="B787" s="2">
        <v>46174</v>
      </c>
      <c r="C787" t="s">
        <v>1371</v>
      </c>
      <c r="D787" t="s">
        <v>49</v>
      </c>
      <c r="E787" t="s">
        <v>79</v>
      </c>
      <c r="F787">
        <v>2</v>
      </c>
      <c r="G787">
        <v>0.05</v>
      </c>
      <c r="H787">
        <v>20900</v>
      </c>
      <c r="I787">
        <v>4527.7299999999996</v>
      </c>
      <c r="J787" t="s">
        <v>39</v>
      </c>
      <c r="K787" t="s">
        <v>40</v>
      </c>
      <c r="L787">
        <v>10450</v>
      </c>
      <c r="M787">
        <v>21.663779904306221</v>
      </c>
      <c r="N787" t="s">
        <v>8</v>
      </c>
      <c r="O787" t="s">
        <v>641</v>
      </c>
      <c r="P787" t="s">
        <v>29</v>
      </c>
      <c r="Q787" t="s">
        <v>131</v>
      </c>
      <c r="R787" t="s">
        <v>200</v>
      </c>
      <c r="S787" t="s">
        <v>201</v>
      </c>
      <c r="T787" t="s">
        <v>1372</v>
      </c>
      <c r="U787" t="s">
        <v>100</v>
      </c>
      <c r="V787">
        <v>2263.8649999999998</v>
      </c>
    </row>
    <row r="788" spans="1:22" x14ac:dyDescent="0.3">
      <c r="A788" t="s">
        <v>1923</v>
      </c>
      <c r="B788" s="2">
        <v>46211</v>
      </c>
      <c r="C788" t="s">
        <v>651</v>
      </c>
      <c r="D788" t="s">
        <v>70</v>
      </c>
      <c r="E788" t="s">
        <v>129</v>
      </c>
      <c r="F788">
        <v>2</v>
      </c>
      <c r="G788">
        <v>0</v>
      </c>
      <c r="H788">
        <v>110000</v>
      </c>
      <c r="I788">
        <v>18000</v>
      </c>
      <c r="J788" t="s">
        <v>65</v>
      </c>
      <c r="K788" t="s">
        <v>40</v>
      </c>
      <c r="L788">
        <v>55000</v>
      </c>
      <c r="M788">
        <v>16.36363636363636</v>
      </c>
      <c r="N788" t="s">
        <v>8</v>
      </c>
      <c r="O788" t="s">
        <v>652</v>
      </c>
      <c r="P788" t="s">
        <v>83</v>
      </c>
      <c r="Q788" t="s">
        <v>131</v>
      </c>
      <c r="R788" t="s">
        <v>200</v>
      </c>
      <c r="S788" t="s">
        <v>201</v>
      </c>
      <c r="T788" t="s">
        <v>653</v>
      </c>
      <c r="U788" t="s">
        <v>34</v>
      </c>
      <c r="V788">
        <v>9000</v>
      </c>
    </row>
    <row r="789" spans="1:22" x14ac:dyDescent="0.3">
      <c r="A789" t="s">
        <v>1924</v>
      </c>
      <c r="B789" s="2">
        <v>46190</v>
      </c>
      <c r="C789" t="s">
        <v>1236</v>
      </c>
      <c r="D789" t="s">
        <v>24</v>
      </c>
      <c r="E789" t="s">
        <v>92</v>
      </c>
      <c r="F789">
        <v>2</v>
      </c>
      <c r="G789">
        <v>0.05</v>
      </c>
      <c r="H789">
        <v>1710</v>
      </c>
      <c r="I789">
        <v>496.38</v>
      </c>
      <c r="J789" t="s">
        <v>39</v>
      </c>
      <c r="K789" t="s">
        <v>40</v>
      </c>
      <c r="L789">
        <v>855</v>
      </c>
      <c r="M789">
        <v>29.0280701754386</v>
      </c>
      <c r="N789" t="s">
        <v>8</v>
      </c>
      <c r="O789" t="s">
        <v>1237</v>
      </c>
      <c r="P789" t="s">
        <v>29</v>
      </c>
      <c r="Q789" t="s">
        <v>74</v>
      </c>
      <c r="R789" t="s">
        <v>493</v>
      </c>
      <c r="S789" t="s">
        <v>494</v>
      </c>
      <c r="T789" t="s">
        <v>679</v>
      </c>
      <c r="U789" t="s">
        <v>46</v>
      </c>
      <c r="V789">
        <v>248.19</v>
      </c>
    </row>
    <row r="790" spans="1:22" x14ac:dyDescent="0.3">
      <c r="A790" t="s">
        <v>1925</v>
      </c>
      <c r="B790" s="2">
        <v>46079</v>
      </c>
      <c r="C790" t="s">
        <v>1926</v>
      </c>
      <c r="D790" t="s">
        <v>24</v>
      </c>
      <c r="E790" t="s">
        <v>92</v>
      </c>
      <c r="F790">
        <v>2</v>
      </c>
      <c r="G790">
        <v>0.1</v>
      </c>
      <c r="H790">
        <v>1620</v>
      </c>
      <c r="I790">
        <v>408.7</v>
      </c>
      <c r="J790" t="s">
        <v>65</v>
      </c>
      <c r="K790" t="s">
        <v>40</v>
      </c>
      <c r="L790">
        <v>810</v>
      </c>
      <c r="M790">
        <v>25.228395061728389</v>
      </c>
      <c r="N790" t="s">
        <v>8</v>
      </c>
      <c r="O790" t="s">
        <v>352</v>
      </c>
      <c r="P790" t="s">
        <v>73</v>
      </c>
      <c r="Q790" t="s">
        <v>131</v>
      </c>
      <c r="R790" t="s">
        <v>289</v>
      </c>
      <c r="S790" t="s">
        <v>290</v>
      </c>
      <c r="T790" t="s">
        <v>1927</v>
      </c>
      <c r="U790" t="s">
        <v>34</v>
      </c>
      <c r="V790">
        <v>204.35</v>
      </c>
    </row>
    <row r="791" spans="1:22" x14ac:dyDescent="0.3">
      <c r="A791" t="s">
        <v>1928</v>
      </c>
      <c r="B791" s="2">
        <v>46141</v>
      </c>
      <c r="C791" t="s">
        <v>878</v>
      </c>
      <c r="D791" t="s">
        <v>37</v>
      </c>
      <c r="E791" t="s">
        <v>38</v>
      </c>
      <c r="F791">
        <v>2</v>
      </c>
      <c r="G791">
        <v>0.3</v>
      </c>
      <c r="H791">
        <v>2520</v>
      </c>
      <c r="I791">
        <v>785.04</v>
      </c>
      <c r="J791" t="s">
        <v>65</v>
      </c>
      <c r="K791" t="s">
        <v>40</v>
      </c>
      <c r="L791">
        <v>1260</v>
      </c>
      <c r="M791">
        <v>31.152380952380948</v>
      </c>
      <c r="N791" t="s">
        <v>8</v>
      </c>
      <c r="O791" t="s">
        <v>879</v>
      </c>
      <c r="P791" t="s">
        <v>83</v>
      </c>
      <c r="Q791" t="s">
        <v>30</v>
      </c>
      <c r="R791" t="s">
        <v>98</v>
      </c>
      <c r="S791" t="s">
        <v>54</v>
      </c>
      <c r="T791" t="s">
        <v>880</v>
      </c>
      <c r="U791" t="s">
        <v>46</v>
      </c>
      <c r="V791">
        <v>392.52</v>
      </c>
    </row>
    <row r="792" spans="1:22" x14ac:dyDescent="0.3">
      <c r="A792" t="s">
        <v>1929</v>
      </c>
      <c r="B792" s="2">
        <v>46015</v>
      </c>
      <c r="C792" t="s">
        <v>321</v>
      </c>
      <c r="D792" t="s">
        <v>70</v>
      </c>
      <c r="E792" t="s">
        <v>108</v>
      </c>
      <c r="F792">
        <v>4</v>
      </c>
      <c r="G792">
        <v>0</v>
      </c>
      <c r="H792">
        <v>18000</v>
      </c>
      <c r="I792">
        <v>6000</v>
      </c>
      <c r="J792" t="s">
        <v>26</v>
      </c>
      <c r="K792" t="s">
        <v>40</v>
      </c>
      <c r="L792">
        <v>4500</v>
      </c>
      <c r="M792">
        <v>33.333333333333329</v>
      </c>
      <c r="N792" t="s">
        <v>8</v>
      </c>
      <c r="O792" t="s">
        <v>322</v>
      </c>
      <c r="P792" t="s">
        <v>29</v>
      </c>
      <c r="Q792" t="s">
        <v>30</v>
      </c>
      <c r="R792" t="s">
        <v>31</v>
      </c>
      <c r="S792" t="s">
        <v>32</v>
      </c>
      <c r="T792" t="s">
        <v>323</v>
      </c>
      <c r="U792" t="s">
        <v>34</v>
      </c>
      <c r="V792">
        <v>1500</v>
      </c>
    </row>
    <row r="793" spans="1:22" x14ac:dyDescent="0.3">
      <c r="A793" t="s">
        <v>1930</v>
      </c>
      <c r="B793" s="2">
        <v>46042</v>
      </c>
      <c r="C793" t="s">
        <v>305</v>
      </c>
      <c r="D793" t="s">
        <v>37</v>
      </c>
      <c r="E793" t="s">
        <v>310</v>
      </c>
      <c r="F793">
        <v>3</v>
      </c>
      <c r="G793">
        <v>0.15</v>
      </c>
      <c r="H793">
        <v>5610</v>
      </c>
      <c r="I793">
        <v>1409.01</v>
      </c>
      <c r="J793" t="s">
        <v>26</v>
      </c>
      <c r="K793" t="s">
        <v>27</v>
      </c>
      <c r="L793">
        <v>1870</v>
      </c>
      <c r="M793">
        <v>25.116042780748661</v>
      </c>
      <c r="N793" t="s">
        <v>8</v>
      </c>
      <c r="O793" t="s">
        <v>306</v>
      </c>
      <c r="P793" t="s">
        <v>29</v>
      </c>
      <c r="Q793" t="s">
        <v>30</v>
      </c>
      <c r="R793" t="s">
        <v>60</v>
      </c>
      <c r="S793" t="s">
        <v>61</v>
      </c>
      <c r="T793" t="s">
        <v>307</v>
      </c>
      <c r="U793" t="s">
        <v>34</v>
      </c>
      <c r="V793">
        <v>469.67</v>
      </c>
    </row>
    <row r="794" spans="1:22" x14ac:dyDescent="0.3">
      <c r="A794" t="s">
        <v>1931</v>
      </c>
      <c r="B794" s="2">
        <v>45991</v>
      </c>
      <c r="C794" t="s">
        <v>824</v>
      </c>
      <c r="D794" t="s">
        <v>24</v>
      </c>
      <c r="E794" t="s">
        <v>92</v>
      </c>
      <c r="F794">
        <v>1</v>
      </c>
      <c r="G794">
        <v>0.1</v>
      </c>
      <c r="H794">
        <v>810</v>
      </c>
      <c r="I794">
        <v>216.3</v>
      </c>
      <c r="J794" t="s">
        <v>26</v>
      </c>
      <c r="K794" t="s">
        <v>40</v>
      </c>
      <c r="L794">
        <v>810</v>
      </c>
      <c r="M794">
        <v>26.703703703703709</v>
      </c>
      <c r="N794" t="s">
        <v>8</v>
      </c>
      <c r="O794" t="s">
        <v>825</v>
      </c>
      <c r="P794" t="s">
        <v>29</v>
      </c>
      <c r="Q794" t="s">
        <v>30</v>
      </c>
      <c r="R794" t="s">
        <v>53</v>
      </c>
      <c r="S794" t="s">
        <v>54</v>
      </c>
      <c r="T794" t="s">
        <v>826</v>
      </c>
      <c r="U794" t="s">
        <v>105</v>
      </c>
      <c r="V794">
        <v>216.3</v>
      </c>
    </row>
    <row r="795" spans="1:22" x14ac:dyDescent="0.3">
      <c r="A795" t="s">
        <v>1932</v>
      </c>
      <c r="B795" s="2">
        <v>46129</v>
      </c>
      <c r="C795" t="s">
        <v>208</v>
      </c>
      <c r="D795" t="s">
        <v>24</v>
      </c>
      <c r="E795" t="s">
        <v>25</v>
      </c>
      <c r="F795">
        <v>5</v>
      </c>
      <c r="G795">
        <v>0.05</v>
      </c>
      <c r="H795">
        <v>66500</v>
      </c>
      <c r="I795">
        <v>12017.17</v>
      </c>
      <c r="J795" t="s">
        <v>51</v>
      </c>
      <c r="K795" t="s">
        <v>40</v>
      </c>
      <c r="L795">
        <v>13300</v>
      </c>
      <c r="M795">
        <v>18.07093233082707</v>
      </c>
      <c r="N795" t="s">
        <v>8</v>
      </c>
      <c r="O795" t="s">
        <v>209</v>
      </c>
      <c r="P795" t="s">
        <v>29</v>
      </c>
      <c r="Q795" t="s">
        <v>30</v>
      </c>
      <c r="R795" t="s">
        <v>60</v>
      </c>
      <c r="S795" t="s">
        <v>61</v>
      </c>
      <c r="T795" t="s">
        <v>210</v>
      </c>
      <c r="U795" t="s">
        <v>46</v>
      </c>
      <c r="V795">
        <v>2403.4340000000002</v>
      </c>
    </row>
    <row r="796" spans="1:22" x14ac:dyDescent="0.3">
      <c r="A796" t="s">
        <v>1933</v>
      </c>
      <c r="B796" s="2">
        <v>45908</v>
      </c>
      <c r="C796" t="s">
        <v>1934</v>
      </c>
      <c r="D796" t="s">
        <v>37</v>
      </c>
      <c r="E796" t="s">
        <v>38</v>
      </c>
      <c r="F796">
        <v>2</v>
      </c>
      <c r="G796">
        <v>0.1</v>
      </c>
      <c r="H796">
        <v>3240</v>
      </c>
      <c r="I796">
        <v>1090.54</v>
      </c>
      <c r="J796" t="s">
        <v>26</v>
      </c>
      <c r="K796" t="s">
        <v>40</v>
      </c>
      <c r="L796">
        <v>1620</v>
      </c>
      <c r="M796">
        <v>33.65864197530864</v>
      </c>
      <c r="N796" t="s">
        <v>8</v>
      </c>
      <c r="O796" t="s">
        <v>975</v>
      </c>
      <c r="P796" t="s">
        <v>73</v>
      </c>
      <c r="Q796" t="s">
        <v>74</v>
      </c>
      <c r="R796" t="s">
        <v>75</v>
      </c>
      <c r="S796" t="s">
        <v>75</v>
      </c>
      <c r="T796" t="s">
        <v>1425</v>
      </c>
      <c r="U796" t="s">
        <v>46</v>
      </c>
      <c r="V796">
        <v>545.27</v>
      </c>
    </row>
    <row r="797" spans="1:22" x14ac:dyDescent="0.3">
      <c r="A797" t="s">
        <v>1935</v>
      </c>
      <c r="B797" s="2">
        <v>45983</v>
      </c>
      <c r="C797" t="s">
        <v>457</v>
      </c>
      <c r="D797" t="s">
        <v>49</v>
      </c>
      <c r="E797" t="s">
        <v>50</v>
      </c>
      <c r="F797">
        <v>2</v>
      </c>
      <c r="G797">
        <v>0.2</v>
      </c>
      <c r="H797">
        <v>20800</v>
      </c>
      <c r="I797">
        <v>3423.21</v>
      </c>
      <c r="J797" t="s">
        <v>26</v>
      </c>
      <c r="K797" t="s">
        <v>40</v>
      </c>
      <c r="L797">
        <v>10400</v>
      </c>
      <c r="M797">
        <v>16.457740384615381</v>
      </c>
      <c r="N797" t="s">
        <v>8</v>
      </c>
      <c r="O797" t="s">
        <v>458</v>
      </c>
      <c r="P797" t="s">
        <v>73</v>
      </c>
      <c r="Q797" t="s">
        <v>30</v>
      </c>
      <c r="R797" t="s">
        <v>60</v>
      </c>
      <c r="S797" t="s">
        <v>61</v>
      </c>
      <c r="T797" t="s">
        <v>459</v>
      </c>
      <c r="U797" t="s">
        <v>34</v>
      </c>
      <c r="V797">
        <v>1711.605</v>
      </c>
    </row>
    <row r="798" spans="1:22" x14ac:dyDescent="0.3">
      <c r="A798" t="s">
        <v>1936</v>
      </c>
      <c r="B798" s="2">
        <v>45893</v>
      </c>
      <c r="C798" t="s">
        <v>1377</v>
      </c>
      <c r="D798" t="s">
        <v>24</v>
      </c>
      <c r="E798" t="s">
        <v>92</v>
      </c>
      <c r="F798">
        <v>1</v>
      </c>
      <c r="G798">
        <v>0.1</v>
      </c>
      <c r="H798">
        <v>810</v>
      </c>
      <c r="I798">
        <v>212.24</v>
      </c>
      <c r="J798" t="s">
        <v>65</v>
      </c>
      <c r="K798" t="s">
        <v>40</v>
      </c>
      <c r="L798">
        <v>810</v>
      </c>
      <c r="M798">
        <v>26.20246913580247</v>
      </c>
      <c r="N798" t="s">
        <v>8</v>
      </c>
      <c r="O798" t="s">
        <v>1378</v>
      </c>
      <c r="P798" t="s">
        <v>29</v>
      </c>
      <c r="Q798" t="s">
        <v>30</v>
      </c>
      <c r="R798" t="s">
        <v>53</v>
      </c>
      <c r="S798" t="s">
        <v>54</v>
      </c>
      <c r="T798" t="s">
        <v>1379</v>
      </c>
      <c r="U798" t="s">
        <v>100</v>
      </c>
      <c r="V798">
        <v>212.24</v>
      </c>
    </row>
    <row r="799" spans="1:22" x14ac:dyDescent="0.3">
      <c r="A799" t="s">
        <v>1937</v>
      </c>
      <c r="B799" s="2">
        <v>46019</v>
      </c>
      <c r="C799" t="s">
        <v>843</v>
      </c>
      <c r="D799" t="s">
        <v>70</v>
      </c>
      <c r="E799" t="s">
        <v>165</v>
      </c>
      <c r="F799">
        <v>5</v>
      </c>
      <c r="G799">
        <v>0.3</v>
      </c>
      <c r="H799">
        <v>8750</v>
      </c>
      <c r="I799">
        <v>2107.64</v>
      </c>
      <c r="J799" t="s">
        <v>65</v>
      </c>
      <c r="K799" t="s">
        <v>40</v>
      </c>
      <c r="L799">
        <v>1750</v>
      </c>
      <c r="M799">
        <v>24.087314285714289</v>
      </c>
      <c r="N799" t="s">
        <v>8</v>
      </c>
      <c r="O799" t="s">
        <v>844</v>
      </c>
      <c r="P799" t="s">
        <v>29</v>
      </c>
      <c r="Q799" t="s">
        <v>42</v>
      </c>
      <c r="R799" t="s">
        <v>214</v>
      </c>
      <c r="S799" t="s">
        <v>111</v>
      </c>
      <c r="T799" t="s">
        <v>750</v>
      </c>
      <c r="U799" t="s">
        <v>100</v>
      </c>
      <c r="V799">
        <v>421.52800000000002</v>
      </c>
    </row>
    <row r="800" spans="1:22" x14ac:dyDescent="0.3">
      <c r="A800" t="s">
        <v>1938</v>
      </c>
      <c r="B800" s="2">
        <v>46092</v>
      </c>
      <c r="C800" t="s">
        <v>1939</v>
      </c>
      <c r="D800" t="s">
        <v>70</v>
      </c>
      <c r="E800" t="s">
        <v>108</v>
      </c>
      <c r="F800">
        <v>4</v>
      </c>
      <c r="G800">
        <v>0.05</v>
      </c>
      <c r="H800">
        <v>17100</v>
      </c>
      <c r="I800">
        <v>5418.14</v>
      </c>
      <c r="J800" t="s">
        <v>51</v>
      </c>
      <c r="K800" t="s">
        <v>40</v>
      </c>
      <c r="L800">
        <v>4275</v>
      </c>
      <c r="M800">
        <v>31.685029239766081</v>
      </c>
      <c r="N800" t="s">
        <v>8</v>
      </c>
      <c r="O800" t="s">
        <v>1940</v>
      </c>
      <c r="P800" t="s">
        <v>29</v>
      </c>
      <c r="Q800" t="s">
        <v>74</v>
      </c>
      <c r="R800" t="s">
        <v>237</v>
      </c>
      <c r="S800" t="s">
        <v>238</v>
      </c>
      <c r="T800" t="s">
        <v>1839</v>
      </c>
      <c r="U800" t="s">
        <v>46</v>
      </c>
      <c r="V800">
        <v>1354.5350000000001</v>
      </c>
    </row>
    <row r="801" spans="1:22" x14ac:dyDescent="0.3">
      <c r="A801" t="s">
        <v>1941</v>
      </c>
      <c r="B801" s="2">
        <v>46196</v>
      </c>
      <c r="C801" t="s">
        <v>801</v>
      </c>
      <c r="D801" t="s">
        <v>70</v>
      </c>
      <c r="E801" t="s">
        <v>108</v>
      </c>
      <c r="F801">
        <v>6</v>
      </c>
      <c r="G801">
        <v>0</v>
      </c>
      <c r="H801">
        <v>27000</v>
      </c>
      <c r="I801">
        <v>9000</v>
      </c>
      <c r="J801" t="s">
        <v>26</v>
      </c>
      <c r="K801" t="s">
        <v>40</v>
      </c>
      <c r="L801">
        <v>4500</v>
      </c>
      <c r="M801">
        <v>33.333333333333329</v>
      </c>
      <c r="N801" t="s">
        <v>8</v>
      </c>
      <c r="O801" t="s">
        <v>478</v>
      </c>
      <c r="P801" t="s">
        <v>29</v>
      </c>
      <c r="Q801" t="s">
        <v>30</v>
      </c>
      <c r="R801" t="s">
        <v>98</v>
      </c>
      <c r="S801" t="s">
        <v>54</v>
      </c>
      <c r="T801" t="s">
        <v>802</v>
      </c>
      <c r="U801" t="s">
        <v>34</v>
      </c>
      <c r="V801">
        <v>1500</v>
      </c>
    </row>
    <row r="802" spans="1:22" x14ac:dyDescent="0.3">
      <c r="A802" t="s">
        <v>1942</v>
      </c>
      <c r="B802" s="2">
        <v>46227</v>
      </c>
      <c r="C802" t="s">
        <v>936</v>
      </c>
      <c r="D802" t="s">
        <v>70</v>
      </c>
      <c r="E802" t="s">
        <v>71</v>
      </c>
      <c r="F802">
        <v>1</v>
      </c>
      <c r="G802">
        <v>0.1</v>
      </c>
      <c r="H802">
        <v>16200</v>
      </c>
      <c r="I802">
        <v>-3745.24</v>
      </c>
      <c r="J802" t="s">
        <v>26</v>
      </c>
      <c r="K802" t="s">
        <v>434</v>
      </c>
      <c r="L802">
        <v>16200</v>
      </c>
      <c r="M802">
        <v>-23.118765432098769</v>
      </c>
      <c r="N802" t="s">
        <v>81</v>
      </c>
      <c r="O802" t="s">
        <v>937</v>
      </c>
      <c r="P802" t="s">
        <v>73</v>
      </c>
      <c r="Q802" t="s">
        <v>30</v>
      </c>
      <c r="R802" t="s">
        <v>53</v>
      </c>
      <c r="S802" t="s">
        <v>54</v>
      </c>
      <c r="T802" t="s">
        <v>938</v>
      </c>
      <c r="U802" t="s">
        <v>34</v>
      </c>
      <c r="V802">
        <v>-3745.24</v>
      </c>
    </row>
    <row r="803" spans="1:22" x14ac:dyDescent="0.3">
      <c r="A803" t="s">
        <v>1943</v>
      </c>
      <c r="B803" s="2">
        <v>46116</v>
      </c>
      <c r="C803" t="s">
        <v>1944</v>
      </c>
      <c r="D803" t="s">
        <v>37</v>
      </c>
      <c r="E803" t="s">
        <v>190</v>
      </c>
      <c r="F803">
        <v>1</v>
      </c>
      <c r="G803">
        <v>0.1</v>
      </c>
      <c r="H803">
        <v>3780</v>
      </c>
      <c r="I803">
        <v>892.99</v>
      </c>
      <c r="J803" t="s">
        <v>51</v>
      </c>
      <c r="L803">
        <v>3780</v>
      </c>
      <c r="M803">
        <v>23.62407407407407</v>
      </c>
      <c r="N803" t="s">
        <v>8</v>
      </c>
      <c r="O803" t="s">
        <v>1945</v>
      </c>
      <c r="P803" t="s">
        <v>73</v>
      </c>
      <c r="Q803" t="s">
        <v>131</v>
      </c>
      <c r="R803" t="s">
        <v>449</v>
      </c>
      <c r="S803" t="s">
        <v>450</v>
      </c>
      <c r="T803" t="s">
        <v>1946</v>
      </c>
      <c r="U803" t="s">
        <v>34</v>
      </c>
      <c r="V803">
        <v>892.99</v>
      </c>
    </row>
    <row r="804" spans="1:22" x14ac:dyDescent="0.3">
      <c r="A804" t="s">
        <v>1947</v>
      </c>
      <c r="B804" s="2">
        <v>46200</v>
      </c>
      <c r="C804" t="s">
        <v>1944</v>
      </c>
      <c r="D804" t="s">
        <v>49</v>
      </c>
      <c r="E804" t="s">
        <v>79</v>
      </c>
      <c r="F804">
        <v>2</v>
      </c>
      <c r="G804">
        <v>0.05</v>
      </c>
      <c r="H804">
        <v>20900</v>
      </c>
      <c r="I804">
        <v>-1033.6400000000001</v>
      </c>
      <c r="J804" t="s">
        <v>39</v>
      </c>
      <c r="K804" t="s">
        <v>434</v>
      </c>
      <c r="L804">
        <v>10450</v>
      </c>
      <c r="M804">
        <v>-4.9456459330143554</v>
      </c>
      <c r="N804" t="s">
        <v>81</v>
      </c>
      <c r="O804" t="s">
        <v>1945</v>
      </c>
      <c r="P804" t="s">
        <v>73</v>
      </c>
      <c r="Q804" t="s">
        <v>131</v>
      </c>
      <c r="R804" t="s">
        <v>449</v>
      </c>
      <c r="S804" t="s">
        <v>450</v>
      </c>
      <c r="T804" t="s">
        <v>1946</v>
      </c>
      <c r="U804" t="s">
        <v>34</v>
      </c>
      <c r="V804">
        <v>-516.82000000000005</v>
      </c>
    </row>
    <row r="805" spans="1:22" x14ac:dyDescent="0.3">
      <c r="A805" t="s">
        <v>1948</v>
      </c>
      <c r="B805" s="2">
        <v>45958</v>
      </c>
      <c r="C805" t="s">
        <v>610</v>
      </c>
      <c r="D805" t="s">
        <v>24</v>
      </c>
      <c r="E805" t="s">
        <v>92</v>
      </c>
      <c r="F805">
        <v>3</v>
      </c>
      <c r="G805">
        <v>0.1</v>
      </c>
      <c r="H805">
        <v>2430</v>
      </c>
      <c r="I805">
        <v>641.34</v>
      </c>
      <c r="J805" t="s">
        <v>65</v>
      </c>
      <c r="K805" t="s">
        <v>40</v>
      </c>
      <c r="L805">
        <v>810</v>
      </c>
      <c r="M805">
        <v>26.392592592592599</v>
      </c>
      <c r="N805" t="s">
        <v>8</v>
      </c>
      <c r="O805" t="s">
        <v>611</v>
      </c>
      <c r="P805" t="s">
        <v>83</v>
      </c>
      <c r="Q805" t="s">
        <v>42</v>
      </c>
      <c r="R805" t="s">
        <v>110</v>
      </c>
      <c r="S805" t="s">
        <v>111</v>
      </c>
      <c r="T805" t="s">
        <v>612</v>
      </c>
      <c r="U805" t="s">
        <v>34</v>
      </c>
      <c r="V805">
        <v>213.78</v>
      </c>
    </row>
    <row r="806" spans="1:22" x14ac:dyDescent="0.3">
      <c r="A806" t="s">
        <v>1949</v>
      </c>
      <c r="B806" s="2">
        <v>45872</v>
      </c>
      <c r="C806" t="s">
        <v>136</v>
      </c>
      <c r="D806" t="s">
        <v>70</v>
      </c>
      <c r="E806" t="s">
        <v>129</v>
      </c>
      <c r="F806">
        <v>4</v>
      </c>
      <c r="G806">
        <v>0</v>
      </c>
      <c r="H806">
        <v>220000</v>
      </c>
      <c r="I806">
        <v>36000</v>
      </c>
      <c r="J806" t="s">
        <v>65</v>
      </c>
      <c r="K806" t="s">
        <v>40</v>
      </c>
      <c r="L806">
        <v>55000</v>
      </c>
      <c r="M806">
        <v>16.36363636363636</v>
      </c>
      <c r="N806" t="s">
        <v>8</v>
      </c>
      <c r="O806" t="s">
        <v>137</v>
      </c>
      <c r="P806" t="s">
        <v>83</v>
      </c>
      <c r="Q806" t="s">
        <v>42</v>
      </c>
      <c r="R806" t="s">
        <v>110</v>
      </c>
      <c r="S806" t="s">
        <v>111</v>
      </c>
      <c r="T806" t="s">
        <v>138</v>
      </c>
      <c r="U806" t="s">
        <v>34</v>
      </c>
      <c r="V806">
        <v>9000</v>
      </c>
    </row>
    <row r="807" spans="1:22" x14ac:dyDescent="0.3">
      <c r="A807" t="s">
        <v>1950</v>
      </c>
      <c r="B807" s="2">
        <v>46053</v>
      </c>
      <c r="C807" t="s">
        <v>1951</v>
      </c>
      <c r="D807" t="s">
        <v>37</v>
      </c>
      <c r="E807" t="s">
        <v>38</v>
      </c>
      <c r="F807">
        <v>15</v>
      </c>
      <c r="G807">
        <v>0.05</v>
      </c>
      <c r="H807">
        <v>25650</v>
      </c>
      <c r="I807">
        <v>8838.24</v>
      </c>
      <c r="J807" t="s">
        <v>65</v>
      </c>
      <c r="K807" t="s">
        <v>40</v>
      </c>
      <c r="L807">
        <v>1710</v>
      </c>
      <c r="M807">
        <v>34.457076023391807</v>
      </c>
      <c r="N807" t="s">
        <v>8</v>
      </c>
      <c r="O807" t="s">
        <v>1952</v>
      </c>
      <c r="P807" t="s">
        <v>29</v>
      </c>
      <c r="Q807" t="s">
        <v>30</v>
      </c>
      <c r="R807" t="s">
        <v>31</v>
      </c>
      <c r="S807" t="s">
        <v>32</v>
      </c>
      <c r="T807" t="s">
        <v>1953</v>
      </c>
      <c r="U807" t="s">
        <v>34</v>
      </c>
      <c r="V807">
        <v>589.21600000000001</v>
      </c>
    </row>
    <row r="808" spans="1:22" x14ac:dyDescent="0.3">
      <c r="A808" t="s">
        <v>1954</v>
      </c>
      <c r="B808" s="2">
        <v>45963</v>
      </c>
      <c r="C808" t="s">
        <v>1955</v>
      </c>
      <c r="D808" t="s">
        <v>70</v>
      </c>
      <c r="E808" t="s">
        <v>165</v>
      </c>
      <c r="F808">
        <v>5</v>
      </c>
      <c r="G808">
        <v>0.2</v>
      </c>
      <c r="H808">
        <v>10000</v>
      </c>
      <c r="I808">
        <v>2497.5700000000002</v>
      </c>
      <c r="J808" t="s">
        <v>39</v>
      </c>
      <c r="K808" t="s">
        <v>40</v>
      </c>
      <c r="L808">
        <v>2000</v>
      </c>
      <c r="M808">
        <v>24.9757</v>
      </c>
      <c r="N808" t="s">
        <v>8</v>
      </c>
      <c r="O808" t="s">
        <v>754</v>
      </c>
      <c r="P808" t="s">
        <v>29</v>
      </c>
      <c r="Q808" t="s">
        <v>74</v>
      </c>
      <c r="R808" t="s">
        <v>493</v>
      </c>
      <c r="S808" t="s">
        <v>494</v>
      </c>
      <c r="T808" t="s">
        <v>244</v>
      </c>
      <c r="U808" t="s">
        <v>105</v>
      </c>
      <c r="V808">
        <v>499.51400000000001</v>
      </c>
    </row>
    <row r="809" spans="1:22" x14ac:dyDescent="0.3">
      <c r="A809" t="s">
        <v>1956</v>
      </c>
      <c r="B809" s="2">
        <v>45946</v>
      </c>
      <c r="C809" t="s">
        <v>667</v>
      </c>
      <c r="D809" t="s">
        <v>49</v>
      </c>
      <c r="E809" t="s">
        <v>58</v>
      </c>
      <c r="F809">
        <v>1</v>
      </c>
      <c r="G809">
        <v>0.1</v>
      </c>
      <c r="H809">
        <v>13500</v>
      </c>
      <c r="I809">
        <v>2805.98</v>
      </c>
      <c r="J809" t="s">
        <v>51</v>
      </c>
      <c r="K809" t="s">
        <v>40</v>
      </c>
      <c r="L809">
        <v>13500</v>
      </c>
      <c r="M809">
        <v>20.785037037037039</v>
      </c>
      <c r="N809" t="s">
        <v>8</v>
      </c>
      <c r="O809" t="s">
        <v>668</v>
      </c>
      <c r="P809" t="s">
        <v>29</v>
      </c>
      <c r="Q809" t="s">
        <v>30</v>
      </c>
      <c r="R809" t="s">
        <v>31</v>
      </c>
      <c r="S809" t="s">
        <v>32</v>
      </c>
      <c r="T809" t="s">
        <v>669</v>
      </c>
      <c r="U809" t="s">
        <v>46</v>
      </c>
      <c r="V809">
        <v>2805.98</v>
      </c>
    </row>
    <row r="810" spans="1:22" x14ac:dyDescent="0.3">
      <c r="A810" t="s">
        <v>1957</v>
      </c>
      <c r="B810" s="2">
        <v>46069</v>
      </c>
      <c r="C810" t="s">
        <v>1958</v>
      </c>
      <c r="D810" t="s">
        <v>24</v>
      </c>
      <c r="E810" t="s">
        <v>87</v>
      </c>
      <c r="F810">
        <v>6</v>
      </c>
      <c r="G810">
        <v>0.1</v>
      </c>
      <c r="H810">
        <v>1890</v>
      </c>
      <c r="I810">
        <v>547.35</v>
      </c>
      <c r="J810" t="s">
        <v>26</v>
      </c>
      <c r="K810" t="s">
        <v>40</v>
      </c>
      <c r="L810">
        <v>315</v>
      </c>
      <c r="M810">
        <v>28.960317460317459</v>
      </c>
      <c r="N810" t="s">
        <v>8</v>
      </c>
      <c r="O810" t="s">
        <v>959</v>
      </c>
      <c r="P810" t="s">
        <v>29</v>
      </c>
      <c r="Q810" t="s">
        <v>131</v>
      </c>
      <c r="R810" t="s">
        <v>289</v>
      </c>
      <c r="S810" t="s">
        <v>290</v>
      </c>
      <c r="T810" t="s">
        <v>1959</v>
      </c>
      <c r="U810" t="s">
        <v>34</v>
      </c>
      <c r="V810">
        <v>91.225000000000009</v>
      </c>
    </row>
    <row r="811" spans="1:22" x14ac:dyDescent="0.3">
      <c r="A811" t="s">
        <v>1960</v>
      </c>
      <c r="B811" s="2">
        <v>46047</v>
      </c>
      <c r="C811" t="s">
        <v>488</v>
      </c>
      <c r="D811" t="s">
        <v>37</v>
      </c>
      <c r="E811" t="s">
        <v>310</v>
      </c>
      <c r="F811">
        <v>2</v>
      </c>
      <c r="G811">
        <v>0.1</v>
      </c>
      <c r="H811">
        <v>3960</v>
      </c>
      <c r="I811">
        <v>1232.56</v>
      </c>
      <c r="J811" t="s">
        <v>26</v>
      </c>
      <c r="K811" t="s">
        <v>40</v>
      </c>
      <c r="L811">
        <v>1980</v>
      </c>
      <c r="M811">
        <v>31.12525252525252</v>
      </c>
      <c r="N811" t="s">
        <v>8</v>
      </c>
      <c r="O811" t="s">
        <v>398</v>
      </c>
      <c r="P811" t="s">
        <v>29</v>
      </c>
      <c r="Q811" t="s">
        <v>30</v>
      </c>
      <c r="R811" t="s">
        <v>60</v>
      </c>
      <c r="S811" t="s">
        <v>61</v>
      </c>
      <c r="T811" t="s">
        <v>489</v>
      </c>
      <c r="U811" t="s">
        <v>105</v>
      </c>
      <c r="V811">
        <v>616.28</v>
      </c>
    </row>
    <row r="812" spans="1:22" x14ac:dyDescent="0.3">
      <c r="A812" t="s">
        <v>1961</v>
      </c>
      <c r="B812" s="2">
        <v>45855</v>
      </c>
      <c r="C812" t="s">
        <v>1962</v>
      </c>
      <c r="D812" t="s">
        <v>24</v>
      </c>
      <c r="E812" t="s">
        <v>87</v>
      </c>
      <c r="F812">
        <v>10</v>
      </c>
      <c r="G812">
        <v>0.2</v>
      </c>
      <c r="H812">
        <v>2800</v>
      </c>
      <c r="I812">
        <v>652.37</v>
      </c>
      <c r="J812" t="s">
        <v>51</v>
      </c>
      <c r="K812" t="s">
        <v>40</v>
      </c>
      <c r="L812">
        <v>280</v>
      </c>
      <c r="M812">
        <v>23.298928571428569</v>
      </c>
      <c r="N812" t="s">
        <v>8</v>
      </c>
      <c r="O812" t="s">
        <v>1963</v>
      </c>
      <c r="P812" t="s">
        <v>29</v>
      </c>
      <c r="Q812" t="s">
        <v>131</v>
      </c>
      <c r="R812" t="s">
        <v>200</v>
      </c>
      <c r="S812" t="s">
        <v>201</v>
      </c>
      <c r="T812" t="s">
        <v>637</v>
      </c>
      <c r="U812" t="s">
        <v>34</v>
      </c>
      <c r="V812">
        <v>65.236999999999995</v>
      </c>
    </row>
    <row r="813" spans="1:22" x14ac:dyDescent="0.3">
      <c r="A813" t="s">
        <v>1964</v>
      </c>
      <c r="B813" s="2">
        <v>46154</v>
      </c>
      <c r="C813" t="s">
        <v>1965</v>
      </c>
      <c r="D813" t="s">
        <v>24</v>
      </c>
      <c r="E813" t="s">
        <v>25</v>
      </c>
      <c r="F813">
        <v>3</v>
      </c>
      <c r="G813">
        <v>0.15</v>
      </c>
      <c r="H813">
        <v>35700</v>
      </c>
      <c r="I813">
        <v>3200.29</v>
      </c>
      <c r="J813" t="s">
        <v>26</v>
      </c>
      <c r="K813" t="s">
        <v>27</v>
      </c>
      <c r="L813">
        <v>11900</v>
      </c>
      <c r="M813">
        <v>8.9643977591036421</v>
      </c>
      <c r="N813" t="s">
        <v>8</v>
      </c>
      <c r="O813" t="s">
        <v>1966</v>
      </c>
      <c r="P813" t="s">
        <v>73</v>
      </c>
      <c r="Q813" t="s">
        <v>74</v>
      </c>
      <c r="R813" t="s">
        <v>75</v>
      </c>
      <c r="S813" t="s">
        <v>75</v>
      </c>
      <c r="T813" t="s">
        <v>1967</v>
      </c>
      <c r="U813" t="s">
        <v>46</v>
      </c>
      <c r="V813">
        <v>1066.7633333333331</v>
      </c>
    </row>
    <row r="814" spans="1:22" x14ac:dyDescent="0.3">
      <c r="A814" t="s">
        <v>1968</v>
      </c>
      <c r="B814" s="2">
        <v>45953</v>
      </c>
      <c r="C814" t="s">
        <v>1414</v>
      </c>
      <c r="D814" t="s">
        <v>70</v>
      </c>
      <c r="E814" t="s">
        <v>71</v>
      </c>
      <c r="F814">
        <v>2</v>
      </c>
      <c r="G814">
        <v>0.15</v>
      </c>
      <c r="H814">
        <v>30600</v>
      </c>
      <c r="I814">
        <v>3351.42</v>
      </c>
      <c r="J814" t="s">
        <v>65</v>
      </c>
      <c r="K814" t="s">
        <v>40</v>
      </c>
      <c r="L814">
        <v>15300</v>
      </c>
      <c r="M814">
        <v>10.95235294117647</v>
      </c>
      <c r="N814" t="s">
        <v>8</v>
      </c>
      <c r="O814" t="s">
        <v>166</v>
      </c>
      <c r="P814" t="s">
        <v>29</v>
      </c>
      <c r="Q814" t="s">
        <v>30</v>
      </c>
      <c r="R814" t="s">
        <v>31</v>
      </c>
      <c r="S814" t="s">
        <v>32</v>
      </c>
      <c r="T814" t="s">
        <v>1415</v>
      </c>
      <c r="U814" t="s">
        <v>46</v>
      </c>
      <c r="V814">
        <v>1675.71</v>
      </c>
    </row>
    <row r="815" spans="1:22" x14ac:dyDescent="0.3">
      <c r="A815" t="s">
        <v>1969</v>
      </c>
      <c r="B815" s="2">
        <v>45988</v>
      </c>
      <c r="C815" t="s">
        <v>617</v>
      </c>
      <c r="D815" t="s">
        <v>70</v>
      </c>
      <c r="E815" t="s">
        <v>108</v>
      </c>
      <c r="F815">
        <v>4</v>
      </c>
      <c r="G815">
        <v>0</v>
      </c>
      <c r="H815">
        <v>18000</v>
      </c>
      <c r="I815">
        <v>-5028.3599999999997</v>
      </c>
      <c r="J815" t="s">
        <v>51</v>
      </c>
      <c r="K815" t="s">
        <v>434</v>
      </c>
      <c r="L815">
        <v>4500</v>
      </c>
      <c r="M815">
        <v>-27.935333333333329</v>
      </c>
      <c r="N815" t="s">
        <v>81</v>
      </c>
      <c r="O815" t="s">
        <v>618</v>
      </c>
      <c r="P815" t="s">
        <v>83</v>
      </c>
      <c r="Q815" t="s">
        <v>30</v>
      </c>
      <c r="R815" t="s">
        <v>98</v>
      </c>
      <c r="S815" t="s">
        <v>54</v>
      </c>
      <c r="T815" t="s">
        <v>619</v>
      </c>
      <c r="U815" t="s">
        <v>100</v>
      </c>
      <c r="V815">
        <v>-1257.0899999999999</v>
      </c>
    </row>
    <row r="816" spans="1:22" x14ac:dyDescent="0.3">
      <c r="A816" t="s">
        <v>1970</v>
      </c>
      <c r="B816" s="2">
        <v>46111</v>
      </c>
      <c r="C816" t="s">
        <v>1334</v>
      </c>
      <c r="D816" t="s">
        <v>24</v>
      </c>
      <c r="E816" t="s">
        <v>87</v>
      </c>
      <c r="F816">
        <v>5</v>
      </c>
      <c r="G816">
        <v>0.1</v>
      </c>
      <c r="H816">
        <v>1575</v>
      </c>
      <c r="I816">
        <v>478.74</v>
      </c>
      <c r="J816" t="s">
        <v>39</v>
      </c>
      <c r="K816" t="s">
        <v>27</v>
      </c>
      <c r="L816">
        <v>315</v>
      </c>
      <c r="M816">
        <v>30.39619047619048</v>
      </c>
      <c r="N816" t="s">
        <v>8</v>
      </c>
      <c r="O816" t="s">
        <v>1335</v>
      </c>
      <c r="P816" t="s">
        <v>29</v>
      </c>
      <c r="Q816" t="s">
        <v>131</v>
      </c>
      <c r="R816" t="s">
        <v>289</v>
      </c>
      <c r="S816" t="s">
        <v>290</v>
      </c>
      <c r="T816" t="s">
        <v>1336</v>
      </c>
      <c r="U816" t="s">
        <v>46</v>
      </c>
      <c r="V816">
        <v>95.748000000000005</v>
      </c>
    </row>
    <row r="817" spans="1:22" x14ac:dyDescent="0.3">
      <c r="A817" t="s">
        <v>1971</v>
      </c>
      <c r="B817" s="2">
        <v>45939</v>
      </c>
      <c r="C817" t="s">
        <v>585</v>
      </c>
      <c r="D817" t="s">
        <v>24</v>
      </c>
      <c r="E817" t="s">
        <v>87</v>
      </c>
      <c r="F817">
        <v>2</v>
      </c>
      <c r="G817">
        <v>0.05</v>
      </c>
      <c r="H817">
        <v>665</v>
      </c>
      <c r="I817">
        <v>2.42</v>
      </c>
      <c r="J817" t="s">
        <v>26</v>
      </c>
      <c r="K817" t="s">
        <v>80</v>
      </c>
      <c r="L817">
        <v>332.5</v>
      </c>
      <c r="M817">
        <v>0.36390977443609018</v>
      </c>
      <c r="N817" t="s">
        <v>8</v>
      </c>
      <c r="O817" t="s">
        <v>586</v>
      </c>
      <c r="P817" t="s">
        <v>73</v>
      </c>
      <c r="Q817" t="s">
        <v>30</v>
      </c>
      <c r="R817" t="s">
        <v>98</v>
      </c>
      <c r="S817" t="s">
        <v>54</v>
      </c>
      <c r="T817" t="s">
        <v>587</v>
      </c>
      <c r="U817" t="s">
        <v>46</v>
      </c>
      <c r="V817">
        <v>1.21</v>
      </c>
    </row>
    <row r="818" spans="1:22" x14ac:dyDescent="0.3">
      <c r="A818" t="s">
        <v>1972</v>
      </c>
      <c r="B818" s="2">
        <v>46105</v>
      </c>
      <c r="C818" t="s">
        <v>1324</v>
      </c>
      <c r="D818" t="s">
        <v>49</v>
      </c>
      <c r="E818" t="s">
        <v>50</v>
      </c>
      <c r="F818">
        <v>1</v>
      </c>
      <c r="G818">
        <v>0.05</v>
      </c>
      <c r="H818">
        <v>12350</v>
      </c>
      <c r="I818">
        <v>2887.72</v>
      </c>
      <c r="J818" t="s">
        <v>51</v>
      </c>
      <c r="K818" t="s">
        <v>27</v>
      </c>
      <c r="L818">
        <v>12350</v>
      </c>
      <c r="M818">
        <v>23.382348178137651</v>
      </c>
      <c r="N818" t="s">
        <v>8</v>
      </c>
      <c r="O818" t="s">
        <v>1325</v>
      </c>
      <c r="P818" t="s">
        <v>83</v>
      </c>
      <c r="Q818" t="s">
        <v>74</v>
      </c>
      <c r="R818" t="s">
        <v>115</v>
      </c>
      <c r="S818" t="s">
        <v>115</v>
      </c>
      <c r="T818" t="s">
        <v>1326</v>
      </c>
      <c r="U818" t="s">
        <v>34</v>
      </c>
      <c r="V818">
        <v>2887.72</v>
      </c>
    </row>
    <row r="819" spans="1:22" x14ac:dyDescent="0.3">
      <c r="A819" t="s">
        <v>1973</v>
      </c>
      <c r="B819" s="2">
        <v>46035</v>
      </c>
      <c r="C819" t="s">
        <v>916</v>
      </c>
      <c r="D819" t="s">
        <v>24</v>
      </c>
      <c r="E819" t="s">
        <v>92</v>
      </c>
      <c r="F819">
        <v>2</v>
      </c>
      <c r="G819">
        <v>0</v>
      </c>
      <c r="H819">
        <v>1800</v>
      </c>
      <c r="I819">
        <v>560</v>
      </c>
      <c r="J819" t="s">
        <v>51</v>
      </c>
      <c r="K819" t="s">
        <v>27</v>
      </c>
      <c r="L819">
        <v>900</v>
      </c>
      <c r="M819">
        <v>31.111111111111111</v>
      </c>
      <c r="N819" t="s">
        <v>8</v>
      </c>
      <c r="O819" t="s">
        <v>917</v>
      </c>
      <c r="P819" t="s">
        <v>29</v>
      </c>
      <c r="Q819" t="s">
        <v>42</v>
      </c>
      <c r="R819" t="s">
        <v>121</v>
      </c>
      <c r="S819" t="s">
        <v>44</v>
      </c>
      <c r="T819" t="s">
        <v>918</v>
      </c>
      <c r="U819" t="s">
        <v>34</v>
      </c>
      <c r="V819">
        <v>280</v>
      </c>
    </row>
    <row r="820" spans="1:22" x14ac:dyDescent="0.3">
      <c r="A820" t="s">
        <v>1974</v>
      </c>
      <c r="B820" s="2">
        <v>45985</v>
      </c>
      <c r="C820" t="s">
        <v>732</v>
      </c>
      <c r="D820" t="s">
        <v>37</v>
      </c>
      <c r="E820" t="s">
        <v>38</v>
      </c>
      <c r="F820">
        <v>3</v>
      </c>
      <c r="G820">
        <v>0.15</v>
      </c>
      <c r="H820">
        <v>4590</v>
      </c>
      <c r="I820">
        <v>120.78</v>
      </c>
      <c r="J820" t="s">
        <v>26</v>
      </c>
      <c r="K820" t="s">
        <v>80</v>
      </c>
      <c r="L820">
        <v>1530</v>
      </c>
      <c r="M820">
        <v>2.6313725490196078</v>
      </c>
      <c r="N820" t="s">
        <v>8</v>
      </c>
      <c r="O820" t="s">
        <v>733</v>
      </c>
      <c r="P820" t="s">
        <v>29</v>
      </c>
      <c r="Q820" t="s">
        <v>131</v>
      </c>
      <c r="R820" t="s">
        <v>449</v>
      </c>
      <c r="S820" t="s">
        <v>450</v>
      </c>
      <c r="T820" t="s">
        <v>734</v>
      </c>
      <c r="U820" t="s">
        <v>34</v>
      </c>
      <c r="V820">
        <v>40.26</v>
      </c>
    </row>
    <row r="821" spans="1:22" x14ac:dyDescent="0.3">
      <c r="A821" t="s">
        <v>1975</v>
      </c>
      <c r="B821" s="2">
        <v>46261</v>
      </c>
      <c r="C821" t="s">
        <v>891</v>
      </c>
      <c r="D821" t="s">
        <v>24</v>
      </c>
      <c r="E821" t="s">
        <v>242</v>
      </c>
      <c r="F821">
        <v>1</v>
      </c>
      <c r="G821">
        <v>0</v>
      </c>
      <c r="H821">
        <v>450</v>
      </c>
      <c r="I821">
        <v>110</v>
      </c>
      <c r="J821" t="s">
        <v>39</v>
      </c>
      <c r="K821" t="s">
        <v>40</v>
      </c>
      <c r="L821">
        <v>450</v>
      </c>
      <c r="M821">
        <v>24.444444444444439</v>
      </c>
      <c r="N821" t="s">
        <v>8</v>
      </c>
      <c r="O821" t="s">
        <v>892</v>
      </c>
      <c r="P821" t="s">
        <v>29</v>
      </c>
      <c r="Q821" t="s">
        <v>30</v>
      </c>
      <c r="R821" t="s">
        <v>31</v>
      </c>
      <c r="S821" t="s">
        <v>32</v>
      </c>
      <c r="T821" t="s">
        <v>893</v>
      </c>
      <c r="U821" t="s">
        <v>34</v>
      </c>
      <c r="V821">
        <v>110</v>
      </c>
    </row>
    <row r="822" spans="1:22" x14ac:dyDescent="0.3">
      <c r="A822" t="s">
        <v>1976</v>
      </c>
      <c r="B822" s="2">
        <v>46237</v>
      </c>
      <c r="C822" t="s">
        <v>838</v>
      </c>
      <c r="D822" t="s">
        <v>49</v>
      </c>
      <c r="E822" t="s">
        <v>50</v>
      </c>
      <c r="F822">
        <v>3</v>
      </c>
      <c r="G822">
        <v>0.05</v>
      </c>
      <c r="H822">
        <v>37050</v>
      </c>
      <c r="I822">
        <v>8516.6299999999992</v>
      </c>
      <c r="J822" t="s">
        <v>65</v>
      </c>
      <c r="K822" t="s">
        <v>40</v>
      </c>
      <c r="L822">
        <v>12350</v>
      </c>
      <c r="M822">
        <v>22.986855600539808</v>
      </c>
      <c r="N822" t="s">
        <v>8</v>
      </c>
      <c r="O822" t="s">
        <v>839</v>
      </c>
      <c r="P822" t="s">
        <v>73</v>
      </c>
      <c r="Q822" t="s">
        <v>30</v>
      </c>
      <c r="R822" t="s">
        <v>31</v>
      </c>
      <c r="S822" t="s">
        <v>32</v>
      </c>
      <c r="T822" t="s">
        <v>840</v>
      </c>
      <c r="U822" t="s">
        <v>100</v>
      </c>
      <c r="V822">
        <v>2838.876666666667</v>
      </c>
    </row>
    <row r="823" spans="1:22" x14ac:dyDescent="0.3">
      <c r="A823" t="s">
        <v>1977</v>
      </c>
      <c r="B823" s="2">
        <v>46061</v>
      </c>
      <c r="C823" t="s">
        <v>1436</v>
      </c>
      <c r="D823" t="s">
        <v>37</v>
      </c>
      <c r="E823" t="s">
        <v>170</v>
      </c>
      <c r="F823">
        <v>4</v>
      </c>
      <c r="G823">
        <v>0.05</v>
      </c>
      <c r="H823">
        <v>5320</v>
      </c>
      <c r="I823">
        <v>1819.03</v>
      </c>
      <c r="J823" t="s">
        <v>39</v>
      </c>
      <c r="K823" t="s">
        <v>40</v>
      </c>
      <c r="L823">
        <v>1330</v>
      </c>
      <c r="M823">
        <v>34.192293233082708</v>
      </c>
      <c r="N823" t="s">
        <v>8</v>
      </c>
      <c r="O823" t="s">
        <v>697</v>
      </c>
      <c r="P823" t="s">
        <v>83</v>
      </c>
      <c r="Q823" t="s">
        <v>30</v>
      </c>
      <c r="R823" t="s">
        <v>60</v>
      </c>
      <c r="S823" t="s">
        <v>61</v>
      </c>
      <c r="T823" t="s">
        <v>1437</v>
      </c>
      <c r="U823" t="s">
        <v>46</v>
      </c>
      <c r="V823">
        <v>454.75749999999999</v>
      </c>
    </row>
    <row r="824" spans="1:22" x14ac:dyDescent="0.3">
      <c r="A824" t="s">
        <v>1978</v>
      </c>
      <c r="B824" s="2">
        <v>45863</v>
      </c>
      <c r="C824" t="s">
        <v>1979</v>
      </c>
      <c r="D824" t="s">
        <v>49</v>
      </c>
      <c r="E824" t="s">
        <v>119</v>
      </c>
      <c r="F824">
        <v>4</v>
      </c>
      <c r="G824">
        <v>0.15</v>
      </c>
      <c r="H824">
        <v>30600</v>
      </c>
      <c r="I824">
        <v>5437.84</v>
      </c>
      <c r="J824" t="s">
        <v>39</v>
      </c>
      <c r="K824" t="s">
        <v>40</v>
      </c>
      <c r="L824">
        <v>7650</v>
      </c>
      <c r="M824">
        <v>17.77071895424837</v>
      </c>
      <c r="N824" t="s">
        <v>8</v>
      </c>
      <c r="O824" t="s">
        <v>1980</v>
      </c>
      <c r="P824" t="s">
        <v>29</v>
      </c>
      <c r="Q824" t="s">
        <v>42</v>
      </c>
      <c r="R824" t="s">
        <v>110</v>
      </c>
      <c r="S824" t="s">
        <v>111</v>
      </c>
      <c r="T824" t="s">
        <v>1981</v>
      </c>
      <c r="U824" t="s">
        <v>46</v>
      </c>
      <c r="V824">
        <v>1359.46</v>
      </c>
    </row>
    <row r="825" spans="1:22" x14ac:dyDescent="0.3">
      <c r="A825" t="s">
        <v>1982</v>
      </c>
      <c r="B825" s="2">
        <v>46048</v>
      </c>
      <c r="C825" t="s">
        <v>829</v>
      </c>
      <c r="D825" t="s">
        <v>70</v>
      </c>
      <c r="E825" t="s">
        <v>165</v>
      </c>
      <c r="F825">
        <v>1</v>
      </c>
      <c r="G825">
        <v>0</v>
      </c>
      <c r="H825">
        <v>2500</v>
      </c>
      <c r="I825">
        <v>800</v>
      </c>
      <c r="J825" t="s">
        <v>39</v>
      </c>
      <c r="K825" t="s">
        <v>40</v>
      </c>
      <c r="L825">
        <v>2500</v>
      </c>
      <c r="M825">
        <v>32</v>
      </c>
      <c r="N825" t="s">
        <v>8</v>
      </c>
      <c r="O825" t="s">
        <v>830</v>
      </c>
      <c r="P825" t="s">
        <v>29</v>
      </c>
      <c r="Q825" t="s">
        <v>74</v>
      </c>
      <c r="R825" t="s">
        <v>115</v>
      </c>
      <c r="S825" t="s">
        <v>115</v>
      </c>
      <c r="T825" t="s">
        <v>831</v>
      </c>
      <c r="U825" t="s">
        <v>46</v>
      </c>
      <c r="V825">
        <v>800</v>
      </c>
    </row>
    <row r="826" spans="1:22" x14ac:dyDescent="0.3">
      <c r="A826" t="s">
        <v>1983</v>
      </c>
      <c r="B826" s="2">
        <v>46248</v>
      </c>
      <c r="C826" t="s">
        <v>1984</v>
      </c>
      <c r="D826" t="s">
        <v>70</v>
      </c>
      <c r="E826" t="s">
        <v>165</v>
      </c>
      <c r="F826">
        <v>5</v>
      </c>
      <c r="G826">
        <v>0.05</v>
      </c>
      <c r="H826">
        <v>11875</v>
      </c>
      <c r="I826">
        <v>-5004.01</v>
      </c>
      <c r="J826" t="s">
        <v>51</v>
      </c>
      <c r="K826" t="s">
        <v>80</v>
      </c>
      <c r="L826">
        <v>2375</v>
      </c>
      <c r="M826">
        <v>-42.139031578947368</v>
      </c>
      <c r="N826" t="s">
        <v>81</v>
      </c>
      <c r="O826" t="s">
        <v>959</v>
      </c>
      <c r="P826" t="s">
        <v>73</v>
      </c>
      <c r="Q826" t="s">
        <v>74</v>
      </c>
      <c r="R826" t="s">
        <v>493</v>
      </c>
      <c r="S826" t="s">
        <v>494</v>
      </c>
      <c r="T826" t="s">
        <v>1985</v>
      </c>
      <c r="U826" t="s">
        <v>100</v>
      </c>
      <c r="V826">
        <v>-1000.802</v>
      </c>
    </row>
    <row r="827" spans="1:22" x14ac:dyDescent="0.3">
      <c r="A827" t="s">
        <v>1986</v>
      </c>
      <c r="B827" s="2">
        <v>46111</v>
      </c>
      <c r="C827" t="s">
        <v>1004</v>
      </c>
      <c r="D827" t="s">
        <v>24</v>
      </c>
      <c r="E827" t="s">
        <v>92</v>
      </c>
      <c r="F827">
        <v>1</v>
      </c>
      <c r="G827">
        <v>0</v>
      </c>
      <c r="H827">
        <v>900</v>
      </c>
      <c r="I827">
        <v>-141.81</v>
      </c>
      <c r="J827" t="s">
        <v>65</v>
      </c>
      <c r="K827" t="s">
        <v>80</v>
      </c>
      <c r="L827">
        <v>900</v>
      </c>
      <c r="M827">
        <v>-15.756666666666669</v>
      </c>
      <c r="N827" t="s">
        <v>81</v>
      </c>
      <c r="O827" t="s">
        <v>1005</v>
      </c>
      <c r="P827" t="s">
        <v>29</v>
      </c>
      <c r="Q827" t="s">
        <v>30</v>
      </c>
      <c r="R827" t="s">
        <v>98</v>
      </c>
      <c r="S827" t="s">
        <v>54</v>
      </c>
      <c r="T827" t="s">
        <v>1006</v>
      </c>
      <c r="U827" t="s">
        <v>105</v>
      </c>
      <c r="V827">
        <v>-141.81</v>
      </c>
    </row>
    <row r="828" spans="1:22" x14ac:dyDescent="0.3">
      <c r="A828" t="s">
        <v>1987</v>
      </c>
      <c r="B828" s="2">
        <v>45947</v>
      </c>
      <c r="C828" t="s">
        <v>1988</v>
      </c>
      <c r="D828" t="s">
        <v>24</v>
      </c>
      <c r="E828" t="s">
        <v>92</v>
      </c>
      <c r="F828">
        <v>3</v>
      </c>
      <c r="G828">
        <v>0.1</v>
      </c>
      <c r="H828">
        <v>2430</v>
      </c>
      <c r="I828">
        <v>-143.37</v>
      </c>
      <c r="J828" t="s">
        <v>51</v>
      </c>
      <c r="K828" t="s">
        <v>434</v>
      </c>
      <c r="L828">
        <v>810</v>
      </c>
      <c r="M828">
        <v>-5.9</v>
      </c>
      <c r="N828" t="s">
        <v>81</v>
      </c>
      <c r="O828" t="s">
        <v>1989</v>
      </c>
      <c r="P828" t="s">
        <v>29</v>
      </c>
      <c r="Q828" t="s">
        <v>131</v>
      </c>
      <c r="R828" t="s">
        <v>289</v>
      </c>
      <c r="S828" t="s">
        <v>290</v>
      </c>
      <c r="T828" t="s">
        <v>1990</v>
      </c>
      <c r="U828" t="s">
        <v>105</v>
      </c>
      <c r="V828">
        <v>-47.79</v>
      </c>
    </row>
    <row r="829" spans="1:22" x14ac:dyDescent="0.3">
      <c r="A829" t="s">
        <v>1991</v>
      </c>
      <c r="B829" s="2">
        <v>46201</v>
      </c>
      <c r="C829" t="s">
        <v>681</v>
      </c>
      <c r="D829" t="s">
        <v>49</v>
      </c>
      <c r="E829" t="s">
        <v>50</v>
      </c>
      <c r="F829">
        <v>3</v>
      </c>
      <c r="G829">
        <v>0.2</v>
      </c>
      <c r="H829">
        <v>31200</v>
      </c>
      <c r="I829">
        <v>3944.1</v>
      </c>
      <c r="J829" t="s">
        <v>51</v>
      </c>
      <c r="K829" t="s">
        <v>40</v>
      </c>
      <c r="L829">
        <v>10400</v>
      </c>
      <c r="M829">
        <v>12.64134615384615</v>
      </c>
      <c r="N829" t="s">
        <v>8</v>
      </c>
      <c r="O829" t="s">
        <v>682</v>
      </c>
      <c r="P829" t="s">
        <v>29</v>
      </c>
      <c r="Q829" t="s">
        <v>131</v>
      </c>
      <c r="R829" t="s">
        <v>200</v>
      </c>
      <c r="S829" t="s">
        <v>201</v>
      </c>
      <c r="T829" t="s">
        <v>683</v>
      </c>
      <c r="U829" t="s">
        <v>46</v>
      </c>
      <c r="V829">
        <v>1314.7</v>
      </c>
    </row>
    <row r="830" spans="1:22" x14ac:dyDescent="0.3">
      <c r="A830" t="s">
        <v>1992</v>
      </c>
      <c r="B830" s="2">
        <v>46091</v>
      </c>
      <c r="C830" t="s">
        <v>1091</v>
      </c>
      <c r="D830" t="s">
        <v>24</v>
      </c>
      <c r="E830" t="s">
        <v>25</v>
      </c>
      <c r="F830">
        <v>1</v>
      </c>
      <c r="G830">
        <v>0</v>
      </c>
      <c r="H830">
        <v>14000</v>
      </c>
      <c r="I830">
        <v>-3317.18</v>
      </c>
      <c r="J830" t="s">
        <v>39</v>
      </c>
      <c r="K830" t="s">
        <v>80</v>
      </c>
      <c r="L830">
        <v>14000</v>
      </c>
      <c r="M830">
        <v>-23.69414285714285</v>
      </c>
      <c r="N830" t="s">
        <v>81</v>
      </c>
      <c r="O830" t="s">
        <v>1018</v>
      </c>
      <c r="P830" t="s">
        <v>83</v>
      </c>
      <c r="Q830" t="s">
        <v>30</v>
      </c>
      <c r="R830" t="s">
        <v>31</v>
      </c>
      <c r="S830" t="s">
        <v>32</v>
      </c>
      <c r="T830" t="s">
        <v>1092</v>
      </c>
      <c r="U830" t="s">
        <v>105</v>
      </c>
      <c r="V830">
        <v>-3317.18</v>
      </c>
    </row>
    <row r="831" spans="1:22" x14ac:dyDescent="0.3">
      <c r="A831" t="s">
        <v>1993</v>
      </c>
      <c r="B831" s="2">
        <v>45892</v>
      </c>
      <c r="C831" t="s">
        <v>1513</v>
      </c>
      <c r="D831" t="s">
        <v>49</v>
      </c>
      <c r="E831" t="s">
        <v>58</v>
      </c>
      <c r="F831">
        <v>5</v>
      </c>
      <c r="G831">
        <v>0.05</v>
      </c>
      <c r="H831">
        <v>71250</v>
      </c>
      <c r="I831">
        <v>14677.84</v>
      </c>
      <c r="J831" t="s">
        <v>26</v>
      </c>
      <c r="K831" t="s">
        <v>27</v>
      </c>
      <c r="L831">
        <v>14250</v>
      </c>
      <c r="M831">
        <v>20.60047719298246</v>
      </c>
      <c r="N831" t="s">
        <v>8</v>
      </c>
      <c r="O831" t="s">
        <v>1514</v>
      </c>
      <c r="P831" t="s">
        <v>29</v>
      </c>
      <c r="Q831" t="s">
        <v>74</v>
      </c>
      <c r="R831" t="s">
        <v>115</v>
      </c>
      <c r="S831" t="s">
        <v>115</v>
      </c>
      <c r="T831" t="s">
        <v>1515</v>
      </c>
      <c r="U831" t="s">
        <v>46</v>
      </c>
      <c r="V831">
        <v>2935.5680000000002</v>
      </c>
    </row>
    <row r="832" spans="1:22" x14ac:dyDescent="0.3">
      <c r="A832" t="s">
        <v>1994</v>
      </c>
      <c r="B832" s="2">
        <v>46240</v>
      </c>
      <c r="C832" t="s">
        <v>1391</v>
      </c>
      <c r="D832" t="s">
        <v>49</v>
      </c>
      <c r="E832" t="s">
        <v>58</v>
      </c>
      <c r="F832">
        <v>2</v>
      </c>
      <c r="G832">
        <v>0.15</v>
      </c>
      <c r="H832">
        <v>25500</v>
      </c>
      <c r="I832">
        <v>-6442.38</v>
      </c>
      <c r="J832" t="s">
        <v>26</v>
      </c>
      <c r="K832" t="s">
        <v>80</v>
      </c>
      <c r="L832">
        <v>12750</v>
      </c>
      <c r="M832">
        <v>-25.26423529411765</v>
      </c>
      <c r="N832" t="s">
        <v>81</v>
      </c>
      <c r="O832" t="s">
        <v>844</v>
      </c>
      <c r="P832" t="s">
        <v>29</v>
      </c>
      <c r="Q832" t="s">
        <v>30</v>
      </c>
      <c r="R832" t="s">
        <v>60</v>
      </c>
      <c r="S832" t="s">
        <v>61</v>
      </c>
      <c r="T832" t="s">
        <v>1392</v>
      </c>
      <c r="U832" t="s">
        <v>34</v>
      </c>
      <c r="V832">
        <v>-3221.19</v>
      </c>
    </row>
    <row r="833" spans="1:22" x14ac:dyDescent="0.3">
      <c r="A833" t="s">
        <v>1995</v>
      </c>
      <c r="B833" s="2">
        <v>45961</v>
      </c>
      <c r="C833" t="s">
        <v>1812</v>
      </c>
      <c r="D833" t="s">
        <v>49</v>
      </c>
      <c r="E833" t="s">
        <v>58</v>
      </c>
      <c r="F833">
        <v>3</v>
      </c>
      <c r="G833">
        <v>0.1</v>
      </c>
      <c r="H833">
        <v>40500</v>
      </c>
      <c r="I833">
        <v>8375.94</v>
      </c>
      <c r="J833" t="s">
        <v>26</v>
      </c>
      <c r="K833" t="s">
        <v>40</v>
      </c>
      <c r="L833">
        <v>13500</v>
      </c>
      <c r="M833">
        <v>20.681333333333331</v>
      </c>
      <c r="N833" t="s">
        <v>8</v>
      </c>
      <c r="O833" t="s">
        <v>1813</v>
      </c>
      <c r="P833" t="s">
        <v>83</v>
      </c>
      <c r="Q833" t="s">
        <v>30</v>
      </c>
      <c r="R833" t="s">
        <v>98</v>
      </c>
      <c r="S833" t="s">
        <v>54</v>
      </c>
      <c r="T833" t="s">
        <v>1089</v>
      </c>
      <c r="U833" t="s">
        <v>34</v>
      </c>
      <c r="V833">
        <v>2791.98</v>
      </c>
    </row>
    <row r="834" spans="1:22" x14ac:dyDescent="0.3">
      <c r="A834" t="s">
        <v>1996</v>
      </c>
      <c r="B834" s="2">
        <v>46099</v>
      </c>
      <c r="C834" t="s">
        <v>254</v>
      </c>
      <c r="D834" t="s">
        <v>49</v>
      </c>
      <c r="E834" t="s">
        <v>79</v>
      </c>
      <c r="F834">
        <v>2</v>
      </c>
      <c r="G834">
        <v>0.05</v>
      </c>
      <c r="H834">
        <v>20900</v>
      </c>
      <c r="I834">
        <v>4575.57</v>
      </c>
      <c r="J834" t="s">
        <v>51</v>
      </c>
      <c r="K834" t="s">
        <v>40</v>
      </c>
      <c r="L834">
        <v>10450</v>
      </c>
      <c r="M834">
        <v>21.892679425837319</v>
      </c>
      <c r="N834" t="s">
        <v>8</v>
      </c>
      <c r="O834" t="s">
        <v>255</v>
      </c>
      <c r="P834" t="s">
        <v>29</v>
      </c>
      <c r="Q834" t="s">
        <v>30</v>
      </c>
      <c r="R834" t="s">
        <v>53</v>
      </c>
      <c r="S834" t="s">
        <v>54</v>
      </c>
      <c r="T834" t="s">
        <v>256</v>
      </c>
      <c r="U834" t="s">
        <v>46</v>
      </c>
      <c r="V834">
        <v>2287.7849999999999</v>
      </c>
    </row>
    <row r="835" spans="1:22" x14ac:dyDescent="0.3">
      <c r="A835" t="s">
        <v>1997</v>
      </c>
      <c r="B835" s="2">
        <v>45839</v>
      </c>
      <c r="C835" t="s">
        <v>691</v>
      </c>
      <c r="D835" t="s">
        <v>49</v>
      </c>
      <c r="E835" t="s">
        <v>58</v>
      </c>
      <c r="F835">
        <v>1</v>
      </c>
      <c r="G835">
        <v>0.1</v>
      </c>
      <c r="H835">
        <v>13500</v>
      </c>
      <c r="I835">
        <v>2472.5100000000002</v>
      </c>
      <c r="J835" t="s">
        <v>51</v>
      </c>
      <c r="K835" t="s">
        <v>40</v>
      </c>
      <c r="L835">
        <v>13500</v>
      </c>
      <c r="M835">
        <v>18.314888888888891</v>
      </c>
      <c r="N835" t="s">
        <v>8</v>
      </c>
      <c r="O835" t="s">
        <v>692</v>
      </c>
      <c r="P835" t="s">
        <v>73</v>
      </c>
      <c r="Q835" t="s">
        <v>131</v>
      </c>
      <c r="R835" t="s">
        <v>200</v>
      </c>
      <c r="S835" t="s">
        <v>201</v>
      </c>
      <c r="T835" t="s">
        <v>693</v>
      </c>
      <c r="U835" t="s">
        <v>34</v>
      </c>
      <c r="V835">
        <v>2472.5100000000002</v>
      </c>
    </row>
    <row r="836" spans="1:22" x14ac:dyDescent="0.3">
      <c r="A836" t="s">
        <v>1998</v>
      </c>
      <c r="B836" s="2">
        <v>46041</v>
      </c>
      <c r="C836" t="s">
        <v>485</v>
      </c>
      <c r="D836" t="s">
        <v>70</v>
      </c>
      <c r="E836" t="s">
        <v>165</v>
      </c>
      <c r="F836">
        <v>3</v>
      </c>
      <c r="G836">
        <v>0.15</v>
      </c>
      <c r="H836">
        <v>6375</v>
      </c>
      <c r="I836">
        <v>1703.58</v>
      </c>
      <c r="J836" t="s">
        <v>26</v>
      </c>
      <c r="K836" t="s">
        <v>40</v>
      </c>
      <c r="L836">
        <v>2125</v>
      </c>
      <c r="M836">
        <v>26.72282352941177</v>
      </c>
      <c r="N836" t="s">
        <v>8</v>
      </c>
      <c r="O836" t="s">
        <v>59</v>
      </c>
      <c r="P836" t="s">
        <v>73</v>
      </c>
      <c r="Q836" t="s">
        <v>131</v>
      </c>
      <c r="R836" t="s">
        <v>289</v>
      </c>
      <c r="S836" t="s">
        <v>290</v>
      </c>
      <c r="T836" t="s">
        <v>486</v>
      </c>
      <c r="U836" t="s">
        <v>46</v>
      </c>
      <c r="V836">
        <v>567.86</v>
      </c>
    </row>
    <row r="837" spans="1:22" x14ac:dyDescent="0.3">
      <c r="A837" t="s">
        <v>1999</v>
      </c>
      <c r="B837" s="2">
        <v>46118</v>
      </c>
      <c r="C837" t="s">
        <v>858</v>
      </c>
      <c r="D837" t="s">
        <v>70</v>
      </c>
      <c r="E837" t="s">
        <v>165</v>
      </c>
      <c r="F837">
        <v>3</v>
      </c>
      <c r="G837">
        <v>0.15</v>
      </c>
      <c r="H837">
        <v>6375</v>
      </c>
      <c r="I837">
        <v>1572.37</v>
      </c>
      <c r="J837" t="s">
        <v>26</v>
      </c>
      <c r="K837" t="s">
        <v>27</v>
      </c>
      <c r="L837">
        <v>2125</v>
      </c>
      <c r="M837">
        <v>24.66462745098039</v>
      </c>
      <c r="N837" t="s">
        <v>8</v>
      </c>
      <c r="O837" t="s">
        <v>406</v>
      </c>
      <c r="P837" t="s">
        <v>73</v>
      </c>
      <c r="Q837" t="s">
        <v>30</v>
      </c>
      <c r="R837" t="s">
        <v>53</v>
      </c>
      <c r="S837" t="s">
        <v>54</v>
      </c>
      <c r="T837" t="s">
        <v>859</v>
      </c>
      <c r="U837" t="s">
        <v>105</v>
      </c>
      <c r="V837">
        <v>524.12333333333333</v>
      </c>
    </row>
    <row r="838" spans="1:22" x14ac:dyDescent="0.3">
      <c r="A838" t="s">
        <v>2000</v>
      </c>
      <c r="B838" s="2">
        <v>46164</v>
      </c>
      <c r="C838" t="s">
        <v>1934</v>
      </c>
      <c r="D838" t="s">
        <v>70</v>
      </c>
      <c r="E838" t="s">
        <v>108</v>
      </c>
      <c r="F838">
        <v>1</v>
      </c>
      <c r="G838">
        <v>0.05</v>
      </c>
      <c r="H838">
        <v>4275</v>
      </c>
      <c r="I838">
        <v>1359.45</v>
      </c>
      <c r="J838" t="s">
        <v>39</v>
      </c>
      <c r="K838" t="s">
        <v>40</v>
      </c>
      <c r="L838">
        <v>4275</v>
      </c>
      <c r="M838">
        <v>31.8</v>
      </c>
      <c r="N838" t="s">
        <v>8</v>
      </c>
      <c r="O838" t="s">
        <v>975</v>
      </c>
      <c r="P838" t="s">
        <v>73</v>
      </c>
      <c r="Q838" t="s">
        <v>74</v>
      </c>
      <c r="R838" t="s">
        <v>75</v>
      </c>
      <c r="S838" t="s">
        <v>75</v>
      </c>
      <c r="T838" t="s">
        <v>1425</v>
      </c>
      <c r="U838" t="s">
        <v>46</v>
      </c>
      <c r="V838">
        <v>1359.45</v>
      </c>
    </row>
    <row r="839" spans="1:22" x14ac:dyDescent="0.3">
      <c r="A839" t="s">
        <v>2001</v>
      </c>
      <c r="B839" s="2">
        <v>46219</v>
      </c>
      <c r="C839" t="s">
        <v>858</v>
      </c>
      <c r="D839" t="s">
        <v>49</v>
      </c>
      <c r="E839" t="s">
        <v>58</v>
      </c>
      <c r="F839">
        <v>3</v>
      </c>
      <c r="G839">
        <v>0.1</v>
      </c>
      <c r="H839">
        <v>40500</v>
      </c>
      <c r="I839">
        <v>7840.21</v>
      </c>
      <c r="J839" t="s">
        <v>39</v>
      </c>
      <c r="K839" t="s">
        <v>40</v>
      </c>
      <c r="L839">
        <v>13500</v>
      </c>
      <c r="M839">
        <v>19.35854320987654</v>
      </c>
      <c r="N839" t="s">
        <v>8</v>
      </c>
      <c r="O839" t="s">
        <v>406</v>
      </c>
      <c r="P839" t="s">
        <v>73</v>
      </c>
      <c r="Q839" t="s">
        <v>30</v>
      </c>
      <c r="R839" t="s">
        <v>53</v>
      </c>
      <c r="S839" t="s">
        <v>54</v>
      </c>
      <c r="T839" t="s">
        <v>859</v>
      </c>
      <c r="U839" t="s">
        <v>105</v>
      </c>
      <c r="V839">
        <v>2613.4033333333332</v>
      </c>
    </row>
    <row r="840" spans="1:22" x14ac:dyDescent="0.3">
      <c r="A840" t="s">
        <v>2002</v>
      </c>
      <c r="B840" s="2">
        <v>46196</v>
      </c>
      <c r="C840" t="s">
        <v>2003</v>
      </c>
      <c r="D840" t="s">
        <v>70</v>
      </c>
      <c r="E840" t="s">
        <v>71</v>
      </c>
      <c r="F840">
        <v>1</v>
      </c>
      <c r="G840">
        <v>0</v>
      </c>
      <c r="H840">
        <v>18000</v>
      </c>
      <c r="I840">
        <v>3500</v>
      </c>
      <c r="J840" t="s">
        <v>65</v>
      </c>
      <c r="K840" t="s">
        <v>27</v>
      </c>
      <c r="L840">
        <v>18000</v>
      </c>
      <c r="M840">
        <v>19.44444444444445</v>
      </c>
      <c r="N840" t="s">
        <v>8</v>
      </c>
      <c r="O840" t="s">
        <v>1494</v>
      </c>
      <c r="P840" t="s">
        <v>73</v>
      </c>
      <c r="Q840" t="s">
        <v>74</v>
      </c>
      <c r="R840" t="s">
        <v>115</v>
      </c>
      <c r="S840" t="s">
        <v>115</v>
      </c>
      <c r="T840" t="s">
        <v>2004</v>
      </c>
      <c r="U840" t="s">
        <v>46</v>
      </c>
      <c r="V840">
        <v>3500</v>
      </c>
    </row>
    <row r="841" spans="1:22" x14ac:dyDescent="0.3">
      <c r="A841" t="s">
        <v>2005</v>
      </c>
      <c r="B841" s="2">
        <v>46060</v>
      </c>
      <c r="C841" t="s">
        <v>801</v>
      </c>
      <c r="D841" t="s">
        <v>37</v>
      </c>
      <c r="E841" t="s">
        <v>38</v>
      </c>
      <c r="F841">
        <v>3</v>
      </c>
      <c r="G841">
        <v>0.05</v>
      </c>
      <c r="H841">
        <v>5130</v>
      </c>
      <c r="I841">
        <v>-1728.63</v>
      </c>
      <c r="J841" t="s">
        <v>65</v>
      </c>
      <c r="K841" t="s">
        <v>434</v>
      </c>
      <c r="L841">
        <v>1710</v>
      </c>
      <c r="M841">
        <v>-33.69649122807018</v>
      </c>
      <c r="N841" t="s">
        <v>81</v>
      </c>
      <c r="O841" t="s">
        <v>478</v>
      </c>
      <c r="P841" t="s">
        <v>29</v>
      </c>
      <c r="Q841" t="s">
        <v>30</v>
      </c>
      <c r="R841" t="s">
        <v>98</v>
      </c>
      <c r="S841" t="s">
        <v>54</v>
      </c>
      <c r="T841" t="s">
        <v>802</v>
      </c>
      <c r="U841" t="s">
        <v>34</v>
      </c>
      <c r="V841">
        <v>-576.21</v>
      </c>
    </row>
    <row r="842" spans="1:22" x14ac:dyDescent="0.3">
      <c r="A842" t="s">
        <v>2006</v>
      </c>
      <c r="B842" s="2">
        <v>46098</v>
      </c>
      <c r="C842" t="s">
        <v>1694</v>
      </c>
      <c r="D842" t="s">
        <v>24</v>
      </c>
      <c r="E842" t="s">
        <v>25</v>
      </c>
      <c r="F842">
        <v>2</v>
      </c>
      <c r="G842">
        <v>0</v>
      </c>
      <c r="H842">
        <v>28000</v>
      </c>
      <c r="I842">
        <v>5600</v>
      </c>
      <c r="J842" t="s">
        <v>51</v>
      </c>
      <c r="K842" t="s">
        <v>40</v>
      </c>
      <c r="L842">
        <v>14000</v>
      </c>
      <c r="M842">
        <v>20</v>
      </c>
      <c r="N842" t="s">
        <v>8</v>
      </c>
      <c r="O842" t="s">
        <v>1695</v>
      </c>
      <c r="P842" t="s">
        <v>73</v>
      </c>
      <c r="Q842" t="s">
        <v>30</v>
      </c>
      <c r="R842" t="s">
        <v>60</v>
      </c>
      <c r="S842" t="s">
        <v>61</v>
      </c>
      <c r="T842" t="s">
        <v>1696</v>
      </c>
      <c r="U842" t="s">
        <v>100</v>
      </c>
      <c r="V842">
        <v>2800</v>
      </c>
    </row>
    <row r="843" spans="1:22" x14ac:dyDescent="0.3">
      <c r="A843" t="s">
        <v>2007</v>
      </c>
      <c r="B843" s="2">
        <v>45892</v>
      </c>
      <c r="C843" t="s">
        <v>1637</v>
      </c>
      <c r="D843" t="s">
        <v>70</v>
      </c>
      <c r="E843" t="s">
        <v>165</v>
      </c>
      <c r="F843">
        <v>5</v>
      </c>
      <c r="G843">
        <v>0.05</v>
      </c>
      <c r="H843">
        <v>11875</v>
      </c>
      <c r="I843">
        <v>3655.54</v>
      </c>
      <c r="J843" t="s">
        <v>39</v>
      </c>
      <c r="K843" t="s">
        <v>40</v>
      </c>
      <c r="L843">
        <v>2375</v>
      </c>
      <c r="M843">
        <v>30.783494736842101</v>
      </c>
      <c r="N843" t="s">
        <v>8</v>
      </c>
      <c r="O843" t="s">
        <v>697</v>
      </c>
      <c r="P843" t="s">
        <v>29</v>
      </c>
      <c r="Q843" t="s">
        <v>30</v>
      </c>
      <c r="R843" t="s">
        <v>31</v>
      </c>
      <c r="S843" t="s">
        <v>32</v>
      </c>
      <c r="T843" t="s">
        <v>1638</v>
      </c>
      <c r="U843" t="s">
        <v>46</v>
      </c>
      <c r="V843">
        <v>731.10799999999995</v>
      </c>
    </row>
    <row r="844" spans="1:22" x14ac:dyDescent="0.3">
      <c r="A844" t="s">
        <v>2008</v>
      </c>
      <c r="B844" s="2">
        <v>46260</v>
      </c>
      <c r="C844" t="s">
        <v>598</v>
      </c>
      <c r="D844" t="s">
        <v>49</v>
      </c>
      <c r="E844" t="s">
        <v>58</v>
      </c>
      <c r="F844">
        <v>1</v>
      </c>
      <c r="G844">
        <v>0.05</v>
      </c>
      <c r="H844">
        <v>14250</v>
      </c>
      <c r="I844">
        <v>3102.79</v>
      </c>
      <c r="J844" t="s">
        <v>26</v>
      </c>
      <c r="K844" t="s">
        <v>40</v>
      </c>
      <c r="L844">
        <v>14250</v>
      </c>
      <c r="M844">
        <v>21.7739649122807</v>
      </c>
      <c r="N844" t="s">
        <v>8</v>
      </c>
      <c r="O844" t="s">
        <v>599</v>
      </c>
      <c r="P844" t="s">
        <v>600</v>
      </c>
      <c r="Q844" t="s">
        <v>131</v>
      </c>
      <c r="R844" t="s">
        <v>200</v>
      </c>
      <c r="S844" t="s">
        <v>201</v>
      </c>
      <c r="T844" t="s">
        <v>601</v>
      </c>
      <c r="U844" t="s">
        <v>34</v>
      </c>
      <c r="V844">
        <v>3102.79</v>
      </c>
    </row>
    <row r="845" spans="1:22" x14ac:dyDescent="0.3">
      <c r="A845" t="s">
        <v>2009</v>
      </c>
      <c r="B845" s="2">
        <v>46210</v>
      </c>
      <c r="C845" t="s">
        <v>2010</v>
      </c>
      <c r="D845" t="s">
        <v>49</v>
      </c>
      <c r="E845" t="s">
        <v>119</v>
      </c>
      <c r="F845">
        <v>1</v>
      </c>
      <c r="G845">
        <v>0.2</v>
      </c>
      <c r="H845">
        <v>7200</v>
      </c>
      <c r="I845">
        <v>930.37</v>
      </c>
      <c r="J845" t="s">
        <v>39</v>
      </c>
      <c r="K845" t="s">
        <v>40</v>
      </c>
      <c r="L845">
        <v>7200</v>
      </c>
      <c r="M845">
        <v>12.921805555555551</v>
      </c>
      <c r="N845" t="s">
        <v>8</v>
      </c>
      <c r="O845" t="s">
        <v>2011</v>
      </c>
      <c r="P845" t="s">
        <v>73</v>
      </c>
      <c r="Q845" t="s">
        <v>74</v>
      </c>
      <c r="R845" t="s">
        <v>237</v>
      </c>
      <c r="S845" t="s">
        <v>238</v>
      </c>
      <c r="T845" t="s">
        <v>2012</v>
      </c>
      <c r="U845" t="s">
        <v>105</v>
      </c>
      <c r="V845">
        <v>930.37</v>
      </c>
    </row>
    <row r="846" spans="1:22" x14ac:dyDescent="0.3">
      <c r="A846" t="s">
        <v>2013</v>
      </c>
      <c r="B846" s="2">
        <v>46112</v>
      </c>
      <c r="C846" t="s">
        <v>2014</v>
      </c>
      <c r="D846" t="s">
        <v>37</v>
      </c>
      <c r="E846" t="s">
        <v>190</v>
      </c>
      <c r="F846">
        <v>1</v>
      </c>
      <c r="G846">
        <v>0.2</v>
      </c>
      <c r="H846">
        <v>3360</v>
      </c>
      <c r="I846">
        <v>756.52</v>
      </c>
      <c r="J846" t="s">
        <v>39</v>
      </c>
      <c r="K846" t="s">
        <v>27</v>
      </c>
      <c r="L846">
        <v>3360</v>
      </c>
      <c r="M846">
        <v>22.515476190476189</v>
      </c>
      <c r="N846" t="s">
        <v>8</v>
      </c>
      <c r="O846" t="s">
        <v>911</v>
      </c>
      <c r="P846" t="s">
        <v>29</v>
      </c>
      <c r="Q846" t="s">
        <v>42</v>
      </c>
      <c r="R846" t="s">
        <v>214</v>
      </c>
      <c r="S846" t="s">
        <v>111</v>
      </c>
      <c r="T846" t="s">
        <v>2015</v>
      </c>
      <c r="U846" t="s">
        <v>105</v>
      </c>
      <c r="V846">
        <v>756.52</v>
      </c>
    </row>
    <row r="847" spans="1:22" x14ac:dyDescent="0.3">
      <c r="A847" t="s">
        <v>2016</v>
      </c>
      <c r="B847" s="2">
        <v>46241</v>
      </c>
      <c r="C847" t="s">
        <v>2017</v>
      </c>
      <c r="D847" t="s">
        <v>49</v>
      </c>
      <c r="E847" t="s">
        <v>50</v>
      </c>
      <c r="F847">
        <v>1</v>
      </c>
      <c r="G847">
        <v>0.1</v>
      </c>
      <c r="H847">
        <v>11700</v>
      </c>
      <c r="I847">
        <v>2415.37</v>
      </c>
      <c r="J847" t="s">
        <v>65</v>
      </c>
      <c r="K847" t="s">
        <v>27</v>
      </c>
      <c r="L847">
        <v>11700</v>
      </c>
      <c r="M847">
        <v>20.64418803418803</v>
      </c>
      <c r="N847" t="s">
        <v>8</v>
      </c>
      <c r="O847" t="s">
        <v>844</v>
      </c>
      <c r="P847" t="s">
        <v>29</v>
      </c>
      <c r="Q847" t="s">
        <v>30</v>
      </c>
      <c r="R847" t="s">
        <v>31</v>
      </c>
      <c r="S847" t="s">
        <v>32</v>
      </c>
      <c r="T847" t="s">
        <v>2018</v>
      </c>
      <c r="U847" t="s">
        <v>34</v>
      </c>
      <c r="V847">
        <v>2415.37</v>
      </c>
    </row>
    <row r="848" spans="1:22" x14ac:dyDescent="0.3">
      <c r="A848" t="s">
        <v>2019</v>
      </c>
      <c r="B848" s="2">
        <v>46249</v>
      </c>
      <c r="C848" t="s">
        <v>2010</v>
      </c>
      <c r="D848" t="s">
        <v>70</v>
      </c>
      <c r="E848" t="s">
        <v>129</v>
      </c>
      <c r="F848">
        <v>1</v>
      </c>
      <c r="G848">
        <v>0.05</v>
      </c>
      <c r="H848">
        <v>52250</v>
      </c>
      <c r="I848">
        <v>6932.43</v>
      </c>
      <c r="J848" t="s">
        <v>26</v>
      </c>
      <c r="K848" t="s">
        <v>40</v>
      </c>
      <c r="L848">
        <v>52250</v>
      </c>
      <c r="M848">
        <v>13.26780861244019</v>
      </c>
      <c r="N848" t="s">
        <v>8</v>
      </c>
      <c r="O848" t="s">
        <v>2011</v>
      </c>
      <c r="P848" t="s">
        <v>73</v>
      </c>
      <c r="Q848" t="s">
        <v>74</v>
      </c>
      <c r="R848" t="s">
        <v>237</v>
      </c>
      <c r="S848" t="s">
        <v>238</v>
      </c>
      <c r="T848" t="s">
        <v>2012</v>
      </c>
      <c r="U848" t="s">
        <v>105</v>
      </c>
      <c r="V848">
        <v>6932.43</v>
      </c>
    </row>
    <row r="849" spans="1:22" x14ac:dyDescent="0.3">
      <c r="A849" t="s">
        <v>2020</v>
      </c>
      <c r="B849" s="2">
        <v>46009</v>
      </c>
      <c r="C849" t="s">
        <v>2021</v>
      </c>
      <c r="D849" t="s">
        <v>37</v>
      </c>
      <c r="E849" t="s">
        <v>38</v>
      </c>
      <c r="F849">
        <v>1</v>
      </c>
      <c r="G849">
        <v>0</v>
      </c>
      <c r="H849">
        <v>1800</v>
      </c>
      <c r="I849">
        <v>650</v>
      </c>
      <c r="J849" t="s">
        <v>51</v>
      </c>
      <c r="K849" t="s">
        <v>40</v>
      </c>
      <c r="L849">
        <v>1800</v>
      </c>
      <c r="M849">
        <v>36.111111111111107</v>
      </c>
      <c r="N849" t="s">
        <v>8</v>
      </c>
      <c r="O849" t="s">
        <v>2022</v>
      </c>
      <c r="P849" t="s">
        <v>83</v>
      </c>
      <c r="Q849" t="s">
        <v>74</v>
      </c>
      <c r="R849" t="s">
        <v>75</v>
      </c>
      <c r="S849" t="s">
        <v>75</v>
      </c>
      <c r="T849" t="s">
        <v>2023</v>
      </c>
      <c r="U849" t="s">
        <v>100</v>
      </c>
      <c r="V849">
        <v>650</v>
      </c>
    </row>
    <row r="850" spans="1:22" x14ac:dyDescent="0.3">
      <c r="A850" t="s">
        <v>2024</v>
      </c>
      <c r="B850" s="2">
        <v>46236</v>
      </c>
      <c r="C850" t="s">
        <v>1824</v>
      </c>
      <c r="D850" t="s">
        <v>70</v>
      </c>
      <c r="E850" t="s">
        <v>129</v>
      </c>
      <c r="F850">
        <v>2</v>
      </c>
      <c r="G850">
        <v>0.05</v>
      </c>
      <c r="H850">
        <v>104500</v>
      </c>
      <c r="I850">
        <v>14298.14</v>
      </c>
      <c r="J850" t="s">
        <v>26</v>
      </c>
      <c r="K850" t="s">
        <v>27</v>
      </c>
      <c r="L850">
        <v>52250</v>
      </c>
      <c r="M850">
        <v>13.682430622009569</v>
      </c>
      <c r="N850" t="s">
        <v>8</v>
      </c>
      <c r="O850" t="s">
        <v>205</v>
      </c>
      <c r="P850" t="s">
        <v>83</v>
      </c>
      <c r="Q850" t="s">
        <v>30</v>
      </c>
      <c r="R850" t="s">
        <v>31</v>
      </c>
      <c r="S850" t="s">
        <v>32</v>
      </c>
      <c r="T850" t="s">
        <v>303</v>
      </c>
      <c r="U850" t="s">
        <v>46</v>
      </c>
      <c r="V850">
        <v>7149.07</v>
      </c>
    </row>
    <row r="851" spans="1:22" x14ac:dyDescent="0.3">
      <c r="A851" t="s">
        <v>2025</v>
      </c>
      <c r="B851" s="2">
        <v>46118</v>
      </c>
      <c r="C851" t="s">
        <v>2026</v>
      </c>
      <c r="D851" t="s">
        <v>70</v>
      </c>
      <c r="E851" t="s">
        <v>129</v>
      </c>
      <c r="F851">
        <v>4</v>
      </c>
      <c r="G851">
        <v>0.1</v>
      </c>
      <c r="H851">
        <v>198000</v>
      </c>
      <c r="I851">
        <v>21473.15</v>
      </c>
      <c r="J851" t="s">
        <v>65</v>
      </c>
      <c r="K851" t="s">
        <v>40</v>
      </c>
      <c r="L851">
        <v>49500</v>
      </c>
      <c r="M851">
        <v>10.84502525252525</v>
      </c>
      <c r="N851" t="s">
        <v>8</v>
      </c>
      <c r="O851" t="s">
        <v>2027</v>
      </c>
      <c r="P851" t="s">
        <v>29</v>
      </c>
      <c r="Q851" t="s">
        <v>74</v>
      </c>
      <c r="R851" t="s">
        <v>493</v>
      </c>
      <c r="S851" t="s">
        <v>494</v>
      </c>
      <c r="T851" t="s">
        <v>260</v>
      </c>
      <c r="U851" t="s">
        <v>105</v>
      </c>
      <c r="V851">
        <v>5368.2875000000004</v>
      </c>
    </row>
    <row r="852" spans="1:22" x14ac:dyDescent="0.3">
      <c r="A852" t="s">
        <v>2028</v>
      </c>
      <c r="B852" s="2">
        <v>46105</v>
      </c>
      <c r="C852" t="s">
        <v>2029</v>
      </c>
      <c r="D852" t="s">
        <v>49</v>
      </c>
      <c r="E852" t="s">
        <v>79</v>
      </c>
      <c r="F852">
        <v>1</v>
      </c>
      <c r="G852">
        <v>0.1</v>
      </c>
      <c r="H852">
        <v>9900</v>
      </c>
      <c r="I852">
        <v>-2167.67</v>
      </c>
      <c r="J852" t="s">
        <v>51</v>
      </c>
      <c r="K852" t="s">
        <v>434</v>
      </c>
      <c r="L852">
        <v>9900</v>
      </c>
      <c r="M852">
        <v>-21.895656565656569</v>
      </c>
      <c r="N852" t="s">
        <v>81</v>
      </c>
      <c r="O852" t="s">
        <v>157</v>
      </c>
      <c r="P852" t="s">
        <v>29</v>
      </c>
      <c r="Q852" t="s">
        <v>42</v>
      </c>
      <c r="R852" t="s">
        <v>110</v>
      </c>
      <c r="S852" t="s">
        <v>111</v>
      </c>
      <c r="T852" t="s">
        <v>2030</v>
      </c>
      <c r="U852" t="s">
        <v>34</v>
      </c>
      <c r="V852">
        <v>-2167.67</v>
      </c>
    </row>
    <row r="853" spans="1:22" x14ac:dyDescent="0.3">
      <c r="A853" t="s">
        <v>2031</v>
      </c>
      <c r="B853" s="2">
        <v>46168</v>
      </c>
      <c r="C853" t="s">
        <v>866</v>
      </c>
      <c r="D853" t="s">
        <v>37</v>
      </c>
      <c r="E853" t="s">
        <v>170</v>
      </c>
      <c r="F853">
        <v>2</v>
      </c>
      <c r="G853">
        <v>0</v>
      </c>
      <c r="H853">
        <v>2800</v>
      </c>
      <c r="I853">
        <v>1000</v>
      </c>
      <c r="J853" t="s">
        <v>26</v>
      </c>
      <c r="K853" t="s">
        <v>40</v>
      </c>
      <c r="L853">
        <v>1400</v>
      </c>
      <c r="M853">
        <v>35.714285714285722</v>
      </c>
      <c r="N853" t="s">
        <v>8</v>
      </c>
      <c r="O853" t="s">
        <v>247</v>
      </c>
      <c r="P853" t="s">
        <v>73</v>
      </c>
      <c r="Q853" t="s">
        <v>30</v>
      </c>
      <c r="R853" t="s">
        <v>98</v>
      </c>
      <c r="S853" t="s">
        <v>54</v>
      </c>
      <c r="T853" t="s">
        <v>319</v>
      </c>
      <c r="U853" t="s">
        <v>34</v>
      </c>
      <c r="V853">
        <v>500</v>
      </c>
    </row>
    <row r="854" spans="1:22" x14ac:dyDescent="0.3">
      <c r="A854" t="s">
        <v>2032</v>
      </c>
      <c r="B854" s="2">
        <v>46041</v>
      </c>
      <c r="C854" t="s">
        <v>900</v>
      </c>
      <c r="D854" t="s">
        <v>24</v>
      </c>
      <c r="E854" t="s">
        <v>25</v>
      </c>
      <c r="F854">
        <v>3</v>
      </c>
      <c r="G854">
        <v>0.1</v>
      </c>
      <c r="H854">
        <v>37800</v>
      </c>
      <c r="I854">
        <v>6020.17</v>
      </c>
      <c r="J854" t="s">
        <v>39</v>
      </c>
      <c r="K854" t="s">
        <v>27</v>
      </c>
      <c r="L854">
        <v>12600</v>
      </c>
      <c r="M854">
        <v>15.92637566137566</v>
      </c>
      <c r="N854" t="s">
        <v>8</v>
      </c>
      <c r="O854" t="s">
        <v>901</v>
      </c>
      <c r="P854" t="s">
        <v>29</v>
      </c>
      <c r="Q854" t="s">
        <v>30</v>
      </c>
      <c r="R854" t="s">
        <v>31</v>
      </c>
      <c r="S854" t="s">
        <v>32</v>
      </c>
      <c r="T854" t="s">
        <v>902</v>
      </c>
      <c r="U854" t="s">
        <v>34</v>
      </c>
      <c r="V854">
        <v>2006.7233333333329</v>
      </c>
    </row>
    <row r="855" spans="1:22" x14ac:dyDescent="0.3">
      <c r="A855" t="s">
        <v>2033</v>
      </c>
      <c r="B855" s="2">
        <v>45928</v>
      </c>
      <c r="C855" t="s">
        <v>2034</v>
      </c>
      <c r="D855" t="s">
        <v>37</v>
      </c>
      <c r="E855" t="s">
        <v>310</v>
      </c>
      <c r="F855">
        <v>3</v>
      </c>
      <c r="G855">
        <v>0.1</v>
      </c>
      <c r="H855">
        <v>5940</v>
      </c>
      <c r="I855">
        <v>1763.63</v>
      </c>
      <c r="J855" t="s">
        <v>39</v>
      </c>
      <c r="K855" t="s">
        <v>40</v>
      </c>
      <c r="L855">
        <v>1980</v>
      </c>
      <c r="M855">
        <v>29.69074074074075</v>
      </c>
      <c r="N855" t="s">
        <v>8</v>
      </c>
      <c r="O855" t="s">
        <v>502</v>
      </c>
      <c r="P855" t="s">
        <v>29</v>
      </c>
      <c r="Q855" t="s">
        <v>30</v>
      </c>
      <c r="R855" t="s">
        <v>98</v>
      </c>
      <c r="S855" t="s">
        <v>54</v>
      </c>
      <c r="T855" t="s">
        <v>2035</v>
      </c>
      <c r="U855" t="s">
        <v>34</v>
      </c>
      <c r="V855">
        <v>587.87666666666667</v>
      </c>
    </row>
    <row r="856" spans="1:22" x14ac:dyDescent="0.3">
      <c r="A856" t="s">
        <v>2036</v>
      </c>
      <c r="B856" s="2">
        <v>45945</v>
      </c>
      <c r="C856" t="s">
        <v>1196</v>
      </c>
      <c r="D856" t="s">
        <v>37</v>
      </c>
      <c r="E856" t="s">
        <v>170</v>
      </c>
      <c r="F856">
        <v>4</v>
      </c>
      <c r="G856">
        <v>0</v>
      </c>
      <c r="H856">
        <v>5600</v>
      </c>
      <c r="I856">
        <v>2000</v>
      </c>
      <c r="J856" t="s">
        <v>65</v>
      </c>
      <c r="K856" t="s">
        <v>40</v>
      </c>
      <c r="L856">
        <v>1400</v>
      </c>
      <c r="M856">
        <v>35.714285714285722</v>
      </c>
      <c r="N856" t="s">
        <v>8</v>
      </c>
      <c r="O856" t="s">
        <v>686</v>
      </c>
      <c r="P856" t="s">
        <v>73</v>
      </c>
      <c r="Q856" t="s">
        <v>30</v>
      </c>
      <c r="R856" t="s">
        <v>53</v>
      </c>
      <c r="S856" t="s">
        <v>54</v>
      </c>
      <c r="T856" t="s">
        <v>1197</v>
      </c>
      <c r="U856" t="s">
        <v>100</v>
      </c>
      <c r="V856">
        <v>500</v>
      </c>
    </row>
    <row r="857" spans="1:22" x14ac:dyDescent="0.3">
      <c r="A857" t="s">
        <v>2037</v>
      </c>
      <c r="B857" s="2">
        <v>45992</v>
      </c>
      <c r="C857" t="s">
        <v>426</v>
      </c>
      <c r="D857" t="s">
        <v>24</v>
      </c>
      <c r="E857" t="s">
        <v>25</v>
      </c>
      <c r="F857">
        <v>2</v>
      </c>
      <c r="G857">
        <v>0.05</v>
      </c>
      <c r="H857">
        <v>26600</v>
      </c>
      <c r="I857">
        <v>-2045.46</v>
      </c>
      <c r="J857" t="s">
        <v>51</v>
      </c>
      <c r="K857" t="s">
        <v>434</v>
      </c>
      <c r="L857">
        <v>13300</v>
      </c>
      <c r="M857">
        <v>-7.6896992481203004</v>
      </c>
      <c r="N857" t="s">
        <v>81</v>
      </c>
      <c r="O857" t="s">
        <v>427</v>
      </c>
      <c r="P857" t="s">
        <v>73</v>
      </c>
      <c r="Q857" t="s">
        <v>30</v>
      </c>
      <c r="R857" t="s">
        <v>60</v>
      </c>
      <c r="S857" t="s">
        <v>61</v>
      </c>
      <c r="T857" t="s">
        <v>428</v>
      </c>
      <c r="U857" t="s">
        <v>34</v>
      </c>
      <c r="V857">
        <v>-1022.73</v>
      </c>
    </row>
    <row r="858" spans="1:22" x14ac:dyDescent="0.3">
      <c r="A858" t="s">
        <v>2038</v>
      </c>
      <c r="B858" s="2">
        <v>46089</v>
      </c>
      <c r="C858" t="s">
        <v>797</v>
      </c>
      <c r="D858" t="s">
        <v>70</v>
      </c>
      <c r="E858" t="s">
        <v>165</v>
      </c>
      <c r="F858">
        <v>2</v>
      </c>
      <c r="G858">
        <v>0.05</v>
      </c>
      <c r="H858">
        <v>4750</v>
      </c>
      <c r="I858">
        <v>1424.61</v>
      </c>
      <c r="J858" t="s">
        <v>65</v>
      </c>
      <c r="K858" t="s">
        <v>40</v>
      </c>
      <c r="L858">
        <v>2375</v>
      </c>
      <c r="M858">
        <v>29.991789473684211</v>
      </c>
      <c r="N858" t="s">
        <v>8</v>
      </c>
      <c r="O858" t="s">
        <v>798</v>
      </c>
      <c r="P858" t="s">
        <v>73</v>
      </c>
      <c r="Q858" t="s">
        <v>42</v>
      </c>
      <c r="R858" t="s">
        <v>110</v>
      </c>
      <c r="S858" t="s">
        <v>111</v>
      </c>
      <c r="T858" t="s">
        <v>799</v>
      </c>
      <c r="U858" t="s">
        <v>34</v>
      </c>
      <c r="V858">
        <v>712.30499999999995</v>
      </c>
    </row>
    <row r="859" spans="1:22" x14ac:dyDescent="0.3">
      <c r="A859" t="s">
        <v>2039</v>
      </c>
      <c r="B859" s="2">
        <v>45970</v>
      </c>
      <c r="C859" t="s">
        <v>1723</v>
      </c>
      <c r="D859" t="s">
        <v>24</v>
      </c>
      <c r="E859" t="s">
        <v>92</v>
      </c>
      <c r="F859">
        <v>3</v>
      </c>
      <c r="G859">
        <v>0.1</v>
      </c>
      <c r="H859">
        <v>2430</v>
      </c>
      <c r="I859">
        <v>-361.19</v>
      </c>
      <c r="J859" t="s">
        <v>65</v>
      </c>
      <c r="K859" t="s">
        <v>434</v>
      </c>
      <c r="L859">
        <v>810</v>
      </c>
      <c r="M859">
        <v>-14.86378600823045</v>
      </c>
      <c r="N859" t="s">
        <v>81</v>
      </c>
      <c r="O859" t="s">
        <v>398</v>
      </c>
      <c r="P859" t="s">
        <v>83</v>
      </c>
      <c r="Q859" t="s">
        <v>30</v>
      </c>
      <c r="R859" t="s">
        <v>98</v>
      </c>
      <c r="S859" t="s">
        <v>54</v>
      </c>
      <c r="T859" t="s">
        <v>1724</v>
      </c>
      <c r="U859" t="s">
        <v>46</v>
      </c>
      <c r="V859">
        <v>-120.3966666666667</v>
      </c>
    </row>
    <row r="860" spans="1:22" x14ac:dyDescent="0.3">
      <c r="A860" t="s">
        <v>2040</v>
      </c>
      <c r="B860" s="2">
        <v>46182</v>
      </c>
      <c r="C860" t="s">
        <v>1148</v>
      </c>
      <c r="D860" t="s">
        <v>24</v>
      </c>
      <c r="E860" t="s">
        <v>242</v>
      </c>
      <c r="F860">
        <v>3</v>
      </c>
      <c r="G860">
        <v>0.2</v>
      </c>
      <c r="H860">
        <v>1080</v>
      </c>
      <c r="I860">
        <v>140.22999999999999</v>
      </c>
      <c r="J860" t="s">
        <v>65</v>
      </c>
      <c r="K860" t="s">
        <v>40</v>
      </c>
      <c r="L860">
        <v>360</v>
      </c>
      <c r="M860">
        <v>12.984259259259259</v>
      </c>
      <c r="N860" t="s">
        <v>8</v>
      </c>
      <c r="O860" t="s">
        <v>302</v>
      </c>
      <c r="P860" t="s">
        <v>73</v>
      </c>
      <c r="Q860" t="s">
        <v>42</v>
      </c>
      <c r="R860" t="s">
        <v>214</v>
      </c>
      <c r="S860" t="s">
        <v>111</v>
      </c>
      <c r="T860" t="s">
        <v>1149</v>
      </c>
      <c r="U860" t="s">
        <v>34</v>
      </c>
      <c r="V860">
        <v>46.743333333333332</v>
      </c>
    </row>
    <row r="861" spans="1:22" x14ac:dyDescent="0.3">
      <c r="A861" t="s">
        <v>2041</v>
      </c>
      <c r="B861" s="2">
        <v>46261</v>
      </c>
      <c r="C861" t="s">
        <v>1984</v>
      </c>
      <c r="D861" t="s">
        <v>49</v>
      </c>
      <c r="E861" t="s">
        <v>119</v>
      </c>
      <c r="F861">
        <v>2</v>
      </c>
      <c r="G861">
        <v>0.05</v>
      </c>
      <c r="H861">
        <v>17100</v>
      </c>
      <c r="I861">
        <v>4173.78</v>
      </c>
      <c r="J861" t="s">
        <v>51</v>
      </c>
      <c r="K861" t="s">
        <v>40</v>
      </c>
      <c r="L861">
        <v>8550</v>
      </c>
      <c r="M861">
        <v>24.408070175438599</v>
      </c>
      <c r="N861" t="s">
        <v>8</v>
      </c>
      <c r="O861" t="s">
        <v>959</v>
      </c>
      <c r="P861" t="s">
        <v>73</v>
      </c>
      <c r="Q861" t="s">
        <v>74</v>
      </c>
      <c r="R861" t="s">
        <v>493</v>
      </c>
      <c r="S861" t="s">
        <v>494</v>
      </c>
      <c r="T861" t="s">
        <v>1985</v>
      </c>
      <c r="U861" t="s">
        <v>100</v>
      </c>
      <c r="V861">
        <v>2086.89</v>
      </c>
    </row>
    <row r="862" spans="1:22" x14ac:dyDescent="0.3">
      <c r="A862" t="s">
        <v>2042</v>
      </c>
      <c r="B862" s="2">
        <v>46239</v>
      </c>
      <c r="C862" t="s">
        <v>678</v>
      </c>
      <c r="D862" t="s">
        <v>37</v>
      </c>
      <c r="E862" t="s">
        <v>170</v>
      </c>
      <c r="F862">
        <v>3</v>
      </c>
      <c r="G862">
        <v>0</v>
      </c>
      <c r="H862">
        <v>4200</v>
      </c>
      <c r="I862">
        <v>1500</v>
      </c>
      <c r="J862" t="s">
        <v>39</v>
      </c>
      <c r="K862" t="s">
        <v>40</v>
      </c>
      <c r="L862">
        <v>1400</v>
      </c>
      <c r="M862">
        <v>35.714285714285722</v>
      </c>
      <c r="N862" t="s">
        <v>8</v>
      </c>
      <c r="O862" t="s">
        <v>657</v>
      </c>
      <c r="P862" t="s">
        <v>83</v>
      </c>
      <c r="Q862" t="s">
        <v>30</v>
      </c>
      <c r="R862" t="s">
        <v>31</v>
      </c>
      <c r="S862" t="s">
        <v>32</v>
      </c>
      <c r="T862" t="s">
        <v>679</v>
      </c>
      <c r="U862" t="s">
        <v>100</v>
      </c>
      <c r="V862">
        <v>500</v>
      </c>
    </row>
    <row r="863" spans="1:22" x14ac:dyDescent="0.3">
      <c r="A863" t="s">
        <v>2043</v>
      </c>
      <c r="B863" s="2">
        <v>45878</v>
      </c>
      <c r="C863" t="s">
        <v>1072</v>
      </c>
      <c r="D863" t="s">
        <v>49</v>
      </c>
      <c r="E863" t="s">
        <v>50</v>
      </c>
      <c r="F863">
        <v>2</v>
      </c>
      <c r="G863">
        <v>0.15</v>
      </c>
      <c r="H863">
        <v>22100</v>
      </c>
      <c r="I863">
        <v>3690.32</v>
      </c>
      <c r="J863" t="s">
        <v>39</v>
      </c>
      <c r="K863" t="s">
        <v>40</v>
      </c>
      <c r="L863">
        <v>11050</v>
      </c>
      <c r="M863">
        <v>16.698280542986431</v>
      </c>
      <c r="N863" t="s">
        <v>8</v>
      </c>
      <c r="O863" t="s">
        <v>1073</v>
      </c>
      <c r="P863" t="s">
        <v>73</v>
      </c>
      <c r="Q863" t="s">
        <v>30</v>
      </c>
      <c r="R863" t="s">
        <v>60</v>
      </c>
      <c r="S863" t="s">
        <v>61</v>
      </c>
      <c r="T863" t="s">
        <v>1074</v>
      </c>
      <c r="U863" t="s">
        <v>34</v>
      </c>
      <c r="V863">
        <v>1845.16</v>
      </c>
    </row>
    <row r="864" spans="1:22" x14ac:dyDescent="0.3">
      <c r="A864" t="s">
        <v>2044</v>
      </c>
      <c r="B864" s="2">
        <v>46191</v>
      </c>
      <c r="C864" t="s">
        <v>780</v>
      </c>
      <c r="D864" t="s">
        <v>70</v>
      </c>
      <c r="E864" t="s">
        <v>129</v>
      </c>
      <c r="F864">
        <v>5</v>
      </c>
      <c r="G864">
        <v>0.1</v>
      </c>
      <c r="H864">
        <v>247500</v>
      </c>
      <c r="I864">
        <v>22315.94</v>
      </c>
      <c r="J864" t="s">
        <v>65</v>
      </c>
      <c r="K864" t="s">
        <v>40</v>
      </c>
      <c r="L864">
        <v>49500</v>
      </c>
      <c r="M864">
        <v>9.0165414141414129</v>
      </c>
      <c r="N864" t="s">
        <v>8</v>
      </c>
      <c r="O864" t="s">
        <v>781</v>
      </c>
      <c r="P864" t="s">
        <v>73</v>
      </c>
      <c r="Q864" t="s">
        <v>30</v>
      </c>
      <c r="R864" t="s">
        <v>31</v>
      </c>
      <c r="S864" t="s">
        <v>32</v>
      </c>
      <c r="T864" t="s">
        <v>572</v>
      </c>
      <c r="U864" t="s">
        <v>100</v>
      </c>
      <c r="V864">
        <v>4463.1880000000001</v>
      </c>
    </row>
    <row r="865" spans="1:22" x14ac:dyDescent="0.3">
      <c r="A865" t="s">
        <v>2045</v>
      </c>
      <c r="B865" s="2">
        <v>45968</v>
      </c>
      <c r="C865" t="s">
        <v>1181</v>
      </c>
      <c r="D865" t="s">
        <v>70</v>
      </c>
      <c r="E865" t="s">
        <v>108</v>
      </c>
      <c r="F865">
        <v>2</v>
      </c>
      <c r="G865">
        <v>0.15</v>
      </c>
      <c r="H865">
        <v>7650</v>
      </c>
      <c r="I865">
        <v>2155.12</v>
      </c>
      <c r="J865" t="s">
        <v>39</v>
      </c>
      <c r="K865" t="s">
        <v>40</v>
      </c>
      <c r="L865">
        <v>3825</v>
      </c>
      <c r="M865">
        <v>28.171503267973861</v>
      </c>
      <c r="N865" t="s">
        <v>8</v>
      </c>
      <c r="O865" t="s">
        <v>1182</v>
      </c>
      <c r="P865" t="s">
        <v>29</v>
      </c>
      <c r="Q865" t="s">
        <v>30</v>
      </c>
      <c r="R865" t="s">
        <v>31</v>
      </c>
      <c r="S865" t="s">
        <v>32</v>
      </c>
      <c r="T865" t="s">
        <v>206</v>
      </c>
      <c r="U865" t="s">
        <v>46</v>
      </c>
      <c r="V865">
        <v>1077.56</v>
      </c>
    </row>
    <row r="866" spans="1:22" x14ac:dyDescent="0.3">
      <c r="A866" t="s">
        <v>2046</v>
      </c>
      <c r="B866" s="2">
        <v>46004</v>
      </c>
      <c r="C866" t="s">
        <v>1276</v>
      </c>
      <c r="D866" t="s">
        <v>37</v>
      </c>
      <c r="E866" t="s">
        <v>310</v>
      </c>
      <c r="F866">
        <v>2</v>
      </c>
      <c r="G866">
        <v>0.05</v>
      </c>
      <c r="H866">
        <v>4180</v>
      </c>
      <c r="I866">
        <v>1370.2</v>
      </c>
      <c r="J866" t="s">
        <v>51</v>
      </c>
      <c r="K866" t="s">
        <v>40</v>
      </c>
      <c r="L866">
        <v>2090</v>
      </c>
      <c r="M866">
        <v>32.779904306220097</v>
      </c>
      <c r="N866" t="s">
        <v>8</v>
      </c>
      <c r="O866" t="s">
        <v>1277</v>
      </c>
      <c r="P866" t="s">
        <v>73</v>
      </c>
      <c r="Q866" t="s">
        <v>74</v>
      </c>
      <c r="R866" t="s">
        <v>75</v>
      </c>
      <c r="S866" t="s">
        <v>75</v>
      </c>
      <c r="T866" t="s">
        <v>1278</v>
      </c>
      <c r="U866" t="s">
        <v>34</v>
      </c>
      <c r="V866">
        <v>685.1</v>
      </c>
    </row>
    <row r="867" spans="1:22" x14ac:dyDescent="0.3">
      <c r="A867" t="s">
        <v>2047</v>
      </c>
      <c r="B867" s="2">
        <v>46092</v>
      </c>
      <c r="C867" t="s">
        <v>1824</v>
      </c>
      <c r="D867" t="s">
        <v>37</v>
      </c>
      <c r="E867" t="s">
        <v>38</v>
      </c>
      <c r="F867">
        <v>4</v>
      </c>
      <c r="G867">
        <v>0.15</v>
      </c>
      <c r="H867">
        <v>6120</v>
      </c>
      <c r="I867">
        <v>2074.33</v>
      </c>
      <c r="J867" t="s">
        <v>51</v>
      </c>
      <c r="K867" t="s">
        <v>40</v>
      </c>
      <c r="L867">
        <v>1530</v>
      </c>
      <c r="M867">
        <v>33.894281045751633</v>
      </c>
      <c r="N867" t="s">
        <v>8</v>
      </c>
      <c r="O867" t="s">
        <v>205</v>
      </c>
      <c r="P867" t="s">
        <v>83</v>
      </c>
      <c r="Q867" t="s">
        <v>30</v>
      </c>
      <c r="R867" t="s">
        <v>31</v>
      </c>
      <c r="S867" t="s">
        <v>32</v>
      </c>
      <c r="T867" t="s">
        <v>303</v>
      </c>
      <c r="U867" t="s">
        <v>46</v>
      </c>
      <c r="V867">
        <v>518.58249999999998</v>
      </c>
    </row>
    <row r="868" spans="1:22" x14ac:dyDescent="0.3">
      <c r="A868" t="s">
        <v>2048</v>
      </c>
      <c r="B868" s="2">
        <v>46202</v>
      </c>
      <c r="C868" t="s">
        <v>413</v>
      </c>
      <c r="D868" t="s">
        <v>49</v>
      </c>
      <c r="E868" t="s">
        <v>50</v>
      </c>
      <c r="F868">
        <v>1</v>
      </c>
      <c r="G868">
        <v>0.15</v>
      </c>
      <c r="H868">
        <v>11050</v>
      </c>
      <c r="I868">
        <v>2152.39</v>
      </c>
      <c r="J868" t="s">
        <v>39</v>
      </c>
      <c r="K868" t="s">
        <v>40</v>
      </c>
      <c r="L868">
        <v>11050</v>
      </c>
      <c r="M868">
        <v>19.47864253393665</v>
      </c>
      <c r="N868" t="s">
        <v>8</v>
      </c>
      <c r="O868" t="s">
        <v>414</v>
      </c>
      <c r="P868" t="s">
        <v>73</v>
      </c>
      <c r="Q868" t="s">
        <v>74</v>
      </c>
      <c r="R868" t="s">
        <v>115</v>
      </c>
      <c r="S868" t="s">
        <v>115</v>
      </c>
      <c r="T868" t="s">
        <v>415</v>
      </c>
      <c r="U868" t="s">
        <v>34</v>
      </c>
      <c r="V868">
        <v>2152.39</v>
      </c>
    </row>
    <row r="869" spans="1:22" x14ac:dyDescent="0.3">
      <c r="A869" t="s">
        <v>2049</v>
      </c>
      <c r="B869" s="2">
        <v>45898</v>
      </c>
      <c r="C869" t="s">
        <v>2050</v>
      </c>
      <c r="D869" t="s">
        <v>37</v>
      </c>
      <c r="E869" t="s">
        <v>170</v>
      </c>
      <c r="F869">
        <v>1</v>
      </c>
      <c r="G869">
        <v>0.05</v>
      </c>
      <c r="H869">
        <v>1330</v>
      </c>
      <c r="I869">
        <v>466.75</v>
      </c>
      <c r="J869" t="s">
        <v>39</v>
      </c>
      <c r="K869" t="s">
        <v>40</v>
      </c>
      <c r="L869">
        <v>1330</v>
      </c>
      <c r="M869">
        <v>35.093984962406019</v>
      </c>
      <c r="N869" t="s">
        <v>8</v>
      </c>
      <c r="O869" t="s">
        <v>686</v>
      </c>
      <c r="P869" t="s">
        <v>29</v>
      </c>
      <c r="Q869" t="s">
        <v>131</v>
      </c>
      <c r="R869" t="s">
        <v>132</v>
      </c>
      <c r="S869" t="s">
        <v>133</v>
      </c>
      <c r="T869" t="s">
        <v>1490</v>
      </c>
      <c r="U869" t="s">
        <v>46</v>
      </c>
      <c r="V869">
        <v>466.75</v>
      </c>
    </row>
    <row r="870" spans="1:22" x14ac:dyDescent="0.3">
      <c r="A870" t="s">
        <v>2051</v>
      </c>
      <c r="B870" s="2">
        <v>46150</v>
      </c>
      <c r="C870" t="s">
        <v>1824</v>
      </c>
      <c r="D870" t="s">
        <v>24</v>
      </c>
      <c r="E870" t="s">
        <v>25</v>
      </c>
      <c r="F870">
        <v>15</v>
      </c>
      <c r="G870">
        <v>0.1</v>
      </c>
      <c r="H870">
        <v>189000</v>
      </c>
      <c r="I870">
        <v>26903.1</v>
      </c>
      <c r="J870" t="s">
        <v>51</v>
      </c>
      <c r="K870" t="s">
        <v>40</v>
      </c>
      <c r="L870">
        <v>12600</v>
      </c>
      <c r="M870">
        <v>14.23444444444444</v>
      </c>
      <c r="N870" t="s">
        <v>8</v>
      </c>
      <c r="O870" t="s">
        <v>205</v>
      </c>
      <c r="P870" t="s">
        <v>83</v>
      </c>
      <c r="Q870" t="s">
        <v>30</v>
      </c>
      <c r="R870" t="s">
        <v>31</v>
      </c>
      <c r="S870" t="s">
        <v>32</v>
      </c>
      <c r="T870" t="s">
        <v>303</v>
      </c>
      <c r="U870" t="s">
        <v>46</v>
      </c>
      <c r="V870">
        <v>1793.54</v>
      </c>
    </row>
    <row r="871" spans="1:22" x14ac:dyDescent="0.3">
      <c r="A871" t="s">
        <v>2052</v>
      </c>
      <c r="B871" s="2">
        <v>46075</v>
      </c>
      <c r="C871" t="s">
        <v>1014</v>
      </c>
      <c r="D871" t="s">
        <v>70</v>
      </c>
      <c r="E871" t="s">
        <v>71</v>
      </c>
      <c r="F871">
        <v>3</v>
      </c>
      <c r="G871">
        <v>0.1</v>
      </c>
      <c r="H871">
        <v>48600</v>
      </c>
      <c r="I871">
        <v>7747.61</v>
      </c>
      <c r="J871" t="s">
        <v>39</v>
      </c>
      <c r="K871" t="s">
        <v>40</v>
      </c>
      <c r="L871">
        <v>16200</v>
      </c>
      <c r="M871">
        <v>15.94158436213992</v>
      </c>
      <c r="N871" t="s">
        <v>8</v>
      </c>
      <c r="O871" t="s">
        <v>530</v>
      </c>
      <c r="P871" t="s">
        <v>73</v>
      </c>
      <c r="Q871" t="s">
        <v>42</v>
      </c>
      <c r="R871" t="s">
        <v>121</v>
      </c>
      <c r="S871" t="s">
        <v>44</v>
      </c>
      <c r="T871" t="s">
        <v>1015</v>
      </c>
      <c r="U871" t="s">
        <v>34</v>
      </c>
      <c r="V871">
        <v>2582.536666666666</v>
      </c>
    </row>
    <row r="872" spans="1:22" x14ac:dyDescent="0.3">
      <c r="A872" t="s">
        <v>2053</v>
      </c>
      <c r="B872" s="2">
        <v>45854</v>
      </c>
      <c r="C872" t="s">
        <v>2054</v>
      </c>
      <c r="D872" t="s">
        <v>24</v>
      </c>
      <c r="E872" t="s">
        <v>87</v>
      </c>
      <c r="F872">
        <v>2</v>
      </c>
      <c r="G872">
        <v>0.2</v>
      </c>
      <c r="H872">
        <v>560</v>
      </c>
      <c r="I872">
        <v>133.74</v>
      </c>
      <c r="J872" t="s">
        <v>26</v>
      </c>
      <c r="K872" t="s">
        <v>40</v>
      </c>
      <c r="L872">
        <v>280</v>
      </c>
      <c r="M872">
        <v>23.88214285714286</v>
      </c>
      <c r="N872" t="s">
        <v>8</v>
      </c>
      <c r="O872" t="s">
        <v>1383</v>
      </c>
      <c r="P872" t="s">
        <v>29</v>
      </c>
      <c r="Q872" t="s">
        <v>74</v>
      </c>
      <c r="R872" t="s">
        <v>75</v>
      </c>
      <c r="S872" t="s">
        <v>75</v>
      </c>
      <c r="T872" t="s">
        <v>2055</v>
      </c>
      <c r="U872" t="s">
        <v>34</v>
      </c>
      <c r="V872">
        <v>66.87</v>
      </c>
    </row>
    <row r="873" spans="1:22" x14ac:dyDescent="0.3">
      <c r="A873" t="s">
        <v>2056</v>
      </c>
      <c r="B873" s="2">
        <v>45891</v>
      </c>
      <c r="C873" t="s">
        <v>2057</v>
      </c>
      <c r="D873" t="s">
        <v>49</v>
      </c>
      <c r="E873" t="s">
        <v>58</v>
      </c>
      <c r="F873">
        <v>15</v>
      </c>
      <c r="G873">
        <v>0</v>
      </c>
      <c r="H873">
        <v>225000</v>
      </c>
      <c r="I873">
        <v>52500</v>
      </c>
      <c r="J873" t="s">
        <v>65</v>
      </c>
      <c r="K873" t="s">
        <v>40</v>
      </c>
      <c r="L873">
        <v>15000</v>
      </c>
      <c r="M873">
        <v>23.333333333333329</v>
      </c>
      <c r="N873" t="s">
        <v>8</v>
      </c>
      <c r="O873" t="s">
        <v>2058</v>
      </c>
      <c r="P873" t="s">
        <v>29</v>
      </c>
      <c r="Q873" t="s">
        <v>131</v>
      </c>
      <c r="R873" t="s">
        <v>449</v>
      </c>
      <c r="S873" t="s">
        <v>450</v>
      </c>
      <c r="T873" t="s">
        <v>138</v>
      </c>
      <c r="U873" t="s">
        <v>34</v>
      </c>
      <c r="V873">
        <v>3500</v>
      </c>
    </row>
    <row r="874" spans="1:22" x14ac:dyDescent="0.3">
      <c r="A874" t="s">
        <v>2059</v>
      </c>
      <c r="B874" s="2">
        <v>46006</v>
      </c>
      <c r="C874" t="s">
        <v>635</v>
      </c>
      <c r="D874" t="s">
        <v>37</v>
      </c>
      <c r="E874" t="s">
        <v>170</v>
      </c>
      <c r="F874">
        <v>3</v>
      </c>
      <c r="G874">
        <v>0.05</v>
      </c>
      <c r="H874">
        <v>3990</v>
      </c>
      <c r="I874">
        <v>1374.83</v>
      </c>
      <c r="J874" t="s">
        <v>26</v>
      </c>
      <c r="K874" t="s">
        <v>40</v>
      </c>
      <c r="L874">
        <v>1330</v>
      </c>
      <c r="M874">
        <v>34.456892230576443</v>
      </c>
      <c r="N874" t="s">
        <v>8</v>
      </c>
      <c r="O874" t="s">
        <v>636</v>
      </c>
      <c r="P874" t="s">
        <v>29</v>
      </c>
      <c r="Q874" t="s">
        <v>42</v>
      </c>
      <c r="R874" t="s">
        <v>214</v>
      </c>
      <c r="S874" t="s">
        <v>111</v>
      </c>
      <c r="T874" t="s">
        <v>637</v>
      </c>
      <c r="U874" t="s">
        <v>100</v>
      </c>
      <c r="V874">
        <v>458.27666666666659</v>
      </c>
    </row>
    <row r="875" spans="1:22" x14ac:dyDescent="0.3">
      <c r="A875" t="s">
        <v>2060</v>
      </c>
      <c r="B875" s="2">
        <v>46171</v>
      </c>
      <c r="C875" t="s">
        <v>869</v>
      </c>
      <c r="D875" t="s">
        <v>49</v>
      </c>
      <c r="E875" t="s">
        <v>79</v>
      </c>
      <c r="F875">
        <v>1</v>
      </c>
      <c r="G875">
        <v>0.1</v>
      </c>
      <c r="H875">
        <v>9900</v>
      </c>
      <c r="I875">
        <v>1752.36</v>
      </c>
      <c r="J875" t="s">
        <v>26</v>
      </c>
      <c r="K875" t="s">
        <v>40</v>
      </c>
      <c r="L875">
        <v>9900</v>
      </c>
      <c r="M875">
        <v>17.700606060606059</v>
      </c>
      <c r="N875" t="s">
        <v>8</v>
      </c>
      <c r="O875" t="s">
        <v>870</v>
      </c>
      <c r="P875" t="s">
        <v>73</v>
      </c>
      <c r="Q875" t="s">
        <v>30</v>
      </c>
      <c r="R875" t="s">
        <v>98</v>
      </c>
      <c r="S875" t="s">
        <v>54</v>
      </c>
      <c r="T875" t="s">
        <v>859</v>
      </c>
      <c r="U875" t="s">
        <v>34</v>
      </c>
      <c r="V875">
        <v>1752.36</v>
      </c>
    </row>
    <row r="876" spans="1:22" x14ac:dyDescent="0.3">
      <c r="A876" t="s">
        <v>2061</v>
      </c>
      <c r="B876" s="2">
        <v>46047</v>
      </c>
      <c r="C876" t="s">
        <v>1436</v>
      </c>
      <c r="D876" t="s">
        <v>37</v>
      </c>
      <c r="E876" t="s">
        <v>38</v>
      </c>
      <c r="F876">
        <v>1</v>
      </c>
      <c r="G876">
        <v>0.1</v>
      </c>
      <c r="H876">
        <v>1620</v>
      </c>
      <c r="I876">
        <v>561.30999999999995</v>
      </c>
      <c r="J876" t="s">
        <v>65</v>
      </c>
      <c r="K876" t="s">
        <v>40</v>
      </c>
      <c r="L876">
        <v>1620</v>
      </c>
      <c r="M876">
        <v>34.648765432098763</v>
      </c>
      <c r="N876" t="s">
        <v>8</v>
      </c>
      <c r="O876" t="s">
        <v>697</v>
      </c>
      <c r="P876" t="s">
        <v>83</v>
      </c>
      <c r="Q876" t="s">
        <v>30</v>
      </c>
      <c r="R876" t="s">
        <v>60</v>
      </c>
      <c r="S876" t="s">
        <v>61</v>
      </c>
      <c r="T876" t="s">
        <v>1437</v>
      </c>
      <c r="U876" t="s">
        <v>46</v>
      </c>
      <c r="V876">
        <v>561.30999999999995</v>
      </c>
    </row>
    <row r="877" spans="1:22" x14ac:dyDescent="0.3">
      <c r="A877" t="s">
        <v>2062</v>
      </c>
      <c r="B877" s="2">
        <v>46130</v>
      </c>
      <c r="C877" t="s">
        <v>1106</v>
      </c>
      <c r="D877" t="s">
        <v>70</v>
      </c>
      <c r="E877" t="s">
        <v>71</v>
      </c>
      <c r="F877">
        <v>1</v>
      </c>
      <c r="G877">
        <v>0.3</v>
      </c>
      <c r="H877">
        <v>12600</v>
      </c>
      <c r="I877">
        <v>1029.99</v>
      </c>
      <c r="J877" t="s">
        <v>65</v>
      </c>
      <c r="K877" t="s">
        <v>40</v>
      </c>
      <c r="L877">
        <v>12600</v>
      </c>
      <c r="M877">
        <v>8.1745238095238086</v>
      </c>
      <c r="N877" t="s">
        <v>8</v>
      </c>
      <c r="O877" t="s">
        <v>789</v>
      </c>
      <c r="P877" t="s">
        <v>29</v>
      </c>
      <c r="Q877" t="s">
        <v>74</v>
      </c>
      <c r="R877" t="s">
        <v>237</v>
      </c>
      <c r="S877" t="s">
        <v>238</v>
      </c>
      <c r="T877" t="s">
        <v>1107</v>
      </c>
      <c r="U877" t="s">
        <v>105</v>
      </c>
      <c r="V877">
        <v>1029.99</v>
      </c>
    </row>
    <row r="878" spans="1:22" x14ac:dyDescent="0.3">
      <c r="A878" t="s">
        <v>2063</v>
      </c>
      <c r="B878" s="2">
        <v>46021</v>
      </c>
      <c r="C878" t="s">
        <v>983</v>
      </c>
      <c r="D878" t="s">
        <v>70</v>
      </c>
      <c r="E878" t="s">
        <v>129</v>
      </c>
      <c r="F878">
        <v>2</v>
      </c>
      <c r="G878">
        <v>0.1</v>
      </c>
      <c r="H878">
        <v>99000</v>
      </c>
      <c r="I878">
        <v>9671.6299999999992</v>
      </c>
      <c r="J878" t="s">
        <v>39</v>
      </c>
      <c r="K878" t="s">
        <v>40</v>
      </c>
      <c r="L878">
        <v>49500</v>
      </c>
      <c r="M878">
        <v>9.7693232323232326</v>
      </c>
      <c r="N878" t="s">
        <v>8</v>
      </c>
      <c r="O878" t="s">
        <v>984</v>
      </c>
      <c r="P878" t="s">
        <v>29</v>
      </c>
      <c r="Q878" t="s">
        <v>30</v>
      </c>
      <c r="R878" t="s">
        <v>31</v>
      </c>
      <c r="S878" t="s">
        <v>32</v>
      </c>
      <c r="T878" t="s">
        <v>985</v>
      </c>
      <c r="U878" t="s">
        <v>46</v>
      </c>
      <c r="V878">
        <v>4835.8149999999996</v>
      </c>
    </row>
    <row r="879" spans="1:22" x14ac:dyDescent="0.3">
      <c r="A879" t="s">
        <v>2064</v>
      </c>
      <c r="B879" s="2">
        <v>46191</v>
      </c>
      <c r="C879" t="s">
        <v>1246</v>
      </c>
      <c r="D879" t="s">
        <v>70</v>
      </c>
      <c r="E879" t="s">
        <v>71</v>
      </c>
      <c r="F879">
        <v>2</v>
      </c>
      <c r="G879">
        <v>0.15</v>
      </c>
      <c r="H879">
        <v>30600</v>
      </c>
      <c r="I879">
        <v>2815.65</v>
      </c>
      <c r="J879" t="s">
        <v>65</v>
      </c>
      <c r="K879" t="s">
        <v>40</v>
      </c>
      <c r="L879">
        <v>15300</v>
      </c>
      <c r="M879">
        <v>9.2014705882352938</v>
      </c>
      <c r="N879" t="s">
        <v>8</v>
      </c>
      <c r="O879" t="s">
        <v>917</v>
      </c>
      <c r="P879" t="s">
        <v>29</v>
      </c>
      <c r="Q879" t="s">
        <v>131</v>
      </c>
      <c r="R879" t="s">
        <v>289</v>
      </c>
      <c r="S879" t="s">
        <v>290</v>
      </c>
      <c r="T879" t="s">
        <v>1247</v>
      </c>
      <c r="U879" t="s">
        <v>46</v>
      </c>
      <c r="V879">
        <v>1407.825</v>
      </c>
    </row>
    <row r="880" spans="1:22" x14ac:dyDescent="0.3">
      <c r="A880" t="s">
        <v>2065</v>
      </c>
      <c r="B880" s="2">
        <v>46210</v>
      </c>
      <c r="C880" t="s">
        <v>529</v>
      </c>
      <c r="D880" t="s">
        <v>70</v>
      </c>
      <c r="E880" t="s">
        <v>165</v>
      </c>
      <c r="F880">
        <v>2</v>
      </c>
      <c r="G880">
        <v>0.3</v>
      </c>
      <c r="H880">
        <v>3500</v>
      </c>
      <c r="I880">
        <v>510.67</v>
      </c>
      <c r="J880" t="s">
        <v>65</v>
      </c>
      <c r="K880" t="s">
        <v>40</v>
      </c>
      <c r="L880">
        <v>1750</v>
      </c>
      <c r="M880">
        <v>14.59057142857143</v>
      </c>
      <c r="N880" t="s">
        <v>8</v>
      </c>
      <c r="O880" t="s">
        <v>530</v>
      </c>
      <c r="P880" t="s">
        <v>29</v>
      </c>
      <c r="Q880" t="s">
        <v>30</v>
      </c>
      <c r="R880" t="s">
        <v>98</v>
      </c>
      <c r="S880" t="s">
        <v>54</v>
      </c>
      <c r="T880" t="s">
        <v>531</v>
      </c>
      <c r="U880" t="s">
        <v>105</v>
      </c>
      <c r="V880">
        <v>255.33500000000001</v>
      </c>
    </row>
    <row r="881" spans="1:22" x14ac:dyDescent="0.3">
      <c r="A881" t="s">
        <v>2066</v>
      </c>
      <c r="B881" s="2">
        <v>46164</v>
      </c>
      <c r="C881" t="s">
        <v>305</v>
      </c>
      <c r="D881" t="s">
        <v>24</v>
      </c>
      <c r="E881" t="s">
        <v>92</v>
      </c>
      <c r="F881">
        <v>15</v>
      </c>
      <c r="G881">
        <v>0</v>
      </c>
      <c r="H881">
        <v>13500</v>
      </c>
      <c r="I881">
        <v>4200</v>
      </c>
      <c r="J881" t="s">
        <v>39</v>
      </c>
      <c r="K881" t="s">
        <v>40</v>
      </c>
      <c r="L881">
        <v>900</v>
      </c>
      <c r="M881">
        <v>31.111111111111111</v>
      </c>
      <c r="N881" t="s">
        <v>8</v>
      </c>
      <c r="O881" t="s">
        <v>306</v>
      </c>
      <c r="P881" t="s">
        <v>29</v>
      </c>
      <c r="Q881" t="s">
        <v>30</v>
      </c>
      <c r="R881" t="s">
        <v>60</v>
      </c>
      <c r="S881" t="s">
        <v>61</v>
      </c>
      <c r="T881" t="s">
        <v>307</v>
      </c>
      <c r="U881" t="s">
        <v>34</v>
      </c>
      <c r="V881">
        <v>280</v>
      </c>
    </row>
    <row r="882" spans="1:22" x14ac:dyDescent="0.3">
      <c r="A882" t="s">
        <v>2067</v>
      </c>
      <c r="B882" s="2">
        <v>46238</v>
      </c>
      <c r="C882" t="s">
        <v>625</v>
      </c>
      <c r="D882" t="s">
        <v>70</v>
      </c>
      <c r="E882" t="s">
        <v>165</v>
      </c>
      <c r="F882">
        <v>1</v>
      </c>
      <c r="G882">
        <v>0.1</v>
      </c>
      <c r="H882">
        <v>2250</v>
      </c>
      <c r="I882">
        <v>682.34</v>
      </c>
      <c r="J882" t="s">
        <v>39</v>
      </c>
      <c r="K882" t="s">
        <v>40</v>
      </c>
      <c r="L882">
        <v>2250</v>
      </c>
      <c r="M882">
        <v>30.326222222222221</v>
      </c>
      <c r="N882" t="s">
        <v>8</v>
      </c>
      <c r="O882" t="s">
        <v>626</v>
      </c>
      <c r="P882" t="s">
        <v>29</v>
      </c>
      <c r="Q882" t="s">
        <v>30</v>
      </c>
      <c r="R882" t="s">
        <v>53</v>
      </c>
      <c r="S882" t="s">
        <v>54</v>
      </c>
      <c r="T882" t="s">
        <v>627</v>
      </c>
      <c r="U882" t="s">
        <v>105</v>
      </c>
      <c r="V882">
        <v>682.34</v>
      </c>
    </row>
    <row r="883" spans="1:22" x14ac:dyDescent="0.3">
      <c r="A883" t="s">
        <v>2068</v>
      </c>
      <c r="B883" s="2">
        <v>46102</v>
      </c>
      <c r="C883" t="s">
        <v>1655</v>
      </c>
      <c r="D883" t="s">
        <v>24</v>
      </c>
      <c r="E883" t="s">
        <v>25</v>
      </c>
      <c r="F883">
        <v>2</v>
      </c>
      <c r="G883">
        <v>0</v>
      </c>
      <c r="H883">
        <v>28000</v>
      </c>
      <c r="I883">
        <v>5600</v>
      </c>
      <c r="J883" t="s">
        <v>39</v>
      </c>
      <c r="K883" t="s">
        <v>40</v>
      </c>
      <c r="L883">
        <v>14000</v>
      </c>
      <c r="M883">
        <v>20</v>
      </c>
      <c r="N883" t="s">
        <v>8</v>
      </c>
      <c r="O883" t="s">
        <v>1656</v>
      </c>
      <c r="P883" t="s">
        <v>29</v>
      </c>
      <c r="Q883" t="s">
        <v>30</v>
      </c>
      <c r="R883" t="s">
        <v>53</v>
      </c>
      <c r="S883" t="s">
        <v>54</v>
      </c>
      <c r="T883" t="s">
        <v>1657</v>
      </c>
      <c r="U883" t="s">
        <v>34</v>
      </c>
      <c r="V883">
        <v>2800</v>
      </c>
    </row>
    <row r="884" spans="1:22" x14ac:dyDescent="0.3">
      <c r="A884" t="s">
        <v>2069</v>
      </c>
      <c r="B884" s="2">
        <v>45924</v>
      </c>
      <c r="C884" t="s">
        <v>1356</v>
      </c>
      <c r="D884" t="s">
        <v>70</v>
      </c>
      <c r="E884" t="s">
        <v>165</v>
      </c>
      <c r="F884">
        <v>1</v>
      </c>
      <c r="G884">
        <v>0.2</v>
      </c>
      <c r="H884">
        <v>2000</v>
      </c>
      <c r="I884">
        <v>541.66</v>
      </c>
      <c r="J884" t="s">
        <v>26</v>
      </c>
      <c r="K884" t="s">
        <v>40</v>
      </c>
      <c r="L884">
        <v>2000</v>
      </c>
      <c r="M884">
        <v>27.082999999999991</v>
      </c>
      <c r="N884" t="s">
        <v>8</v>
      </c>
      <c r="O884" t="s">
        <v>1357</v>
      </c>
      <c r="P884" t="s">
        <v>83</v>
      </c>
      <c r="Q884" t="s">
        <v>74</v>
      </c>
      <c r="R884" t="s">
        <v>237</v>
      </c>
      <c r="S884" t="s">
        <v>238</v>
      </c>
      <c r="T884" t="s">
        <v>1358</v>
      </c>
      <c r="U884" t="s">
        <v>46</v>
      </c>
      <c r="V884">
        <v>541.66</v>
      </c>
    </row>
    <row r="885" spans="1:22" x14ac:dyDescent="0.3">
      <c r="A885" t="s">
        <v>2070</v>
      </c>
      <c r="B885" s="2">
        <v>46177</v>
      </c>
      <c r="C885" t="s">
        <v>678</v>
      </c>
      <c r="D885" t="s">
        <v>24</v>
      </c>
      <c r="E885" t="s">
        <v>242</v>
      </c>
      <c r="F885">
        <v>3</v>
      </c>
      <c r="G885">
        <v>0.1</v>
      </c>
      <c r="H885">
        <v>1215</v>
      </c>
      <c r="I885">
        <v>235.6</v>
      </c>
      <c r="J885" t="s">
        <v>65</v>
      </c>
      <c r="K885" t="s">
        <v>40</v>
      </c>
      <c r="L885">
        <v>405</v>
      </c>
      <c r="M885">
        <v>19.390946502057609</v>
      </c>
      <c r="N885" t="s">
        <v>8</v>
      </c>
      <c r="O885" t="s">
        <v>657</v>
      </c>
      <c r="P885" t="s">
        <v>83</v>
      </c>
      <c r="Q885" t="s">
        <v>30</v>
      </c>
      <c r="R885" t="s">
        <v>31</v>
      </c>
      <c r="S885" t="s">
        <v>32</v>
      </c>
      <c r="T885" t="s">
        <v>679</v>
      </c>
      <c r="U885" t="s">
        <v>100</v>
      </c>
      <c r="V885">
        <v>78.533333333333331</v>
      </c>
    </row>
    <row r="886" spans="1:22" x14ac:dyDescent="0.3">
      <c r="A886" t="s">
        <v>2071</v>
      </c>
      <c r="B886" s="2">
        <v>45918</v>
      </c>
      <c r="C886" t="s">
        <v>946</v>
      </c>
      <c r="D886" t="s">
        <v>49</v>
      </c>
      <c r="E886" t="s">
        <v>119</v>
      </c>
      <c r="F886">
        <v>3</v>
      </c>
      <c r="G886">
        <v>0.15</v>
      </c>
      <c r="H886">
        <v>22950</v>
      </c>
      <c r="I886">
        <v>4577.3</v>
      </c>
      <c r="J886" t="s">
        <v>39</v>
      </c>
      <c r="K886" t="s">
        <v>40</v>
      </c>
      <c r="L886">
        <v>7650</v>
      </c>
      <c r="M886">
        <v>19.944662309368191</v>
      </c>
      <c r="N886" t="s">
        <v>8</v>
      </c>
      <c r="O886" t="s">
        <v>947</v>
      </c>
      <c r="P886" t="s">
        <v>73</v>
      </c>
      <c r="Q886" t="s">
        <v>74</v>
      </c>
      <c r="R886" t="s">
        <v>75</v>
      </c>
      <c r="S886" t="s">
        <v>75</v>
      </c>
      <c r="T886" t="s">
        <v>948</v>
      </c>
      <c r="U886" t="s">
        <v>100</v>
      </c>
      <c r="V886">
        <v>1525.7666666666671</v>
      </c>
    </row>
    <row r="887" spans="1:22" x14ac:dyDescent="0.3">
      <c r="A887" t="s">
        <v>2072</v>
      </c>
      <c r="B887" s="2">
        <v>46087</v>
      </c>
      <c r="C887" t="s">
        <v>644</v>
      </c>
      <c r="D887" t="s">
        <v>70</v>
      </c>
      <c r="E887" t="s">
        <v>108</v>
      </c>
      <c r="F887">
        <v>1</v>
      </c>
      <c r="G887">
        <v>0.1</v>
      </c>
      <c r="H887">
        <v>4050</v>
      </c>
      <c r="I887">
        <v>1270.98</v>
      </c>
      <c r="J887" t="s">
        <v>39</v>
      </c>
      <c r="K887" t="s">
        <v>27</v>
      </c>
      <c r="L887">
        <v>4050</v>
      </c>
      <c r="M887">
        <v>31.382222222222222</v>
      </c>
      <c r="N887" t="s">
        <v>8</v>
      </c>
      <c r="O887" t="s">
        <v>213</v>
      </c>
      <c r="P887" t="s">
        <v>29</v>
      </c>
      <c r="Q887" t="s">
        <v>30</v>
      </c>
      <c r="R887" t="s">
        <v>31</v>
      </c>
      <c r="S887" t="s">
        <v>32</v>
      </c>
      <c r="T887" t="s">
        <v>645</v>
      </c>
      <c r="U887" t="s">
        <v>46</v>
      </c>
      <c r="V887">
        <v>1270.98</v>
      </c>
    </row>
    <row r="888" spans="1:22" x14ac:dyDescent="0.3">
      <c r="A888" t="s">
        <v>2073</v>
      </c>
      <c r="B888" s="2">
        <v>45910</v>
      </c>
      <c r="C888" t="s">
        <v>217</v>
      </c>
      <c r="D888" t="s">
        <v>24</v>
      </c>
      <c r="E888" t="s">
        <v>92</v>
      </c>
      <c r="F888">
        <v>1</v>
      </c>
      <c r="G888">
        <v>0.2</v>
      </c>
      <c r="H888">
        <v>720</v>
      </c>
      <c r="I888">
        <v>140.80000000000001</v>
      </c>
      <c r="J888" t="s">
        <v>51</v>
      </c>
      <c r="K888" t="s">
        <v>40</v>
      </c>
      <c r="L888">
        <v>720</v>
      </c>
      <c r="M888">
        <v>19.555555555555561</v>
      </c>
      <c r="N888" t="s">
        <v>8</v>
      </c>
      <c r="O888" t="s">
        <v>218</v>
      </c>
      <c r="P888" t="s">
        <v>29</v>
      </c>
      <c r="Q888" t="s">
        <v>30</v>
      </c>
      <c r="R888" t="s">
        <v>31</v>
      </c>
      <c r="S888" t="s">
        <v>32</v>
      </c>
      <c r="T888" t="s">
        <v>219</v>
      </c>
      <c r="U888" t="s">
        <v>100</v>
      </c>
      <c r="V888">
        <v>140.80000000000001</v>
      </c>
    </row>
    <row r="889" spans="1:22" x14ac:dyDescent="0.3">
      <c r="A889" t="s">
        <v>2074</v>
      </c>
      <c r="B889" s="2">
        <v>46220</v>
      </c>
      <c r="C889" t="s">
        <v>1791</v>
      </c>
      <c r="D889" t="s">
        <v>37</v>
      </c>
      <c r="E889" t="s">
        <v>170</v>
      </c>
      <c r="F889">
        <v>5</v>
      </c>
      <c r="G889">
        <v>0.1</v>
      </c>
      <c r="H889">
        <v>6300</v>
      </c>
      <c r="I889">
        <v>2175.35</v>
      </c>
      <c r="J889" t="s">
        <v>51</v>
      </c>
      <c r="K889" t="s">
        <v>40</v>
      </c>
      <c r="L889">
        <v>1260</v>
      </c>
      <c r="M889">
        <v>34.529365079365078</v>
      </c>
      <c r="N889" t="s">
        <v>8</v>
      </c>
      <c r="O889" t="s">
        <v>851</v>
      </c>
      <c r="P889" t="s">
        <v>83</v>
      </c>
      <c r="Q889" t="s">
        <v>30</v>
      </c>
      <c r="R889" t="s">
        <v>60</v>
      </c>
      <c r="S889" t="s">
        <v>61</v>
      </c>
      <c r="T889" t="s">
        <v>1792</v>
      </c>
      <c r="U889" t="s">
        <v>105</v>
      </c>
      <c r="V889">
        <v>435.07</v>
      </c>
    </row>
    <row r="890" spans="1:22" x14ac:dyDescent="0.3">
      <c r="A890" t="s">
        <v>2075</v>
      </c>
      <c r="B890" s="2">
        <v>46175</v>
      </c>
      <c r="C890" t="s">
        <v>160</v>
      </c>
      <c r="D890" t="s">
        <v>37</v>
      </c>
      <c r="E890" t="s">
        <v>170</v>
      </c>
      <c r="F890">
        <v>2</v>
      </c>
      <c r="G890">
        <v>0</v>
      </c>
      <c r="H890">
        <v>2800</v>
      </c>
      <c r="I890">
        <v>1000</v>
      </c>
      <c r="J890" t="s">
        <v>51</v>
      </c>
      <c r="K890" t="s">
        <v>27</v>
      </c>
      <c r="L890">
        <v>1400</v>
      </c>
      <c r="M890">
        <v>35.714285714285722</v>
      </c>
      <c r="N890" t="s">
        <v>8</v>
      </c>
      <c r="O890" t="s">
        <v>161</v>
      </c>
      <c r="P890" t="s">
        <v>29</v>
      </c>
      <c r="Q890" t="s">
        <v>30</v>
      </c>
      <c r="R890" t="s">
        <v>98</v>
      </c>
      <c r="S890" t="s">
        <v>54</v>
      </c>
      <c r="T890" t="s">
        <v>162</v>
      </c>
      <c r="U890" t="s">
        <v>34</v>
      </c>
      <c r="V890">
        <v>500</v>
      </c>
    </row>
    <row r="891" spans="1:22" x14ac:dyDescent="0.3">
      <c r="A891" t="s">
        <v>2076</v>
      </c>
      <c r="B891" s="2">
        <v>45954</v>
      </c>
      <c r="C891" t="s">
        <v>1028</v>
      </c>
      <c r="D891" t="s">
        <v>24</v>
      </c>
      <c r="E891" t="s">
        <v>25</v>
      </c>
      <c r="F891">
        <v>3</v>
      </c>
      <c r="G891">
        <v>0.15</v>
      </c>
      <c r="H891">
        <v>35700</v>
      </c>
      <c r="I891">
        <v>3262.77</v>
      </c>
      <c r="J891" t="s">
        <v>26</v>
      </c>
      <c r="K891" t="s">
        <v>40</v>
      </c>
      <c r="L891">
        <v>11900</v>
      </c>
      <c r="M891">
        <v>9.1394117647058817</v>
      </c>
      <c r="N891" t="s">
        <v>8</v>
      </c>
      <c r="O891" t="s">
        <v>390</v>
      </c>
      <c r="P891" t="s">
        <v>29</v>
      </c>
      <c r="Q891" t="s">
        <v>74</v>
      </c>
      <c r="R891" t="s">
        <v>237</v>
      </c>
      <c r="S891" t="s">
        <v>238</v>
      </c>
      <c r="T891" t="s">
        <v>1029</v>
      </c>
      <c r="U891" t="s">
        <v>46</v>
      </c>
      <c r="V891">
        <v>1087.5899999999999</v>
      </c>
    </row>
    <row r="892" spans="1:22" x14ac:dyDescent="0.3">
      <c r="A892" t="s">
        <v>2077</v>
      </c>
      <c r="B892" s="2">
        <v>46003</v>
      </c>
      <c r="C892" t="s">
        <v>2078</v>
      </c>
      <c r="D892" t="s">
        <v>49</v>
      </c>
      <c r="E892" t="s">
        <v>79</v>
      </c>
      <c r="F892">
        <v>10</v>
      </c>
      <c r="G892">
        <v>0.1</v>
      </c>
      <c r="H892">
        <v>99000</v>
      </c>
      <c r="I892">
        <v>-56936.13</v>
      </c>
      <c r="J892" t="s">
        <v>65</v>
      </c>
      <c r="K892" t="s">
        <v>80</v>
      </c>
      <c r="L892">
        <v>9900</v>
      </c>
      <c r="M892">
        <v>-57.511242424242432</v>
      </c>
      <c r="N892" t="s">
        <v>81</v>
      </c>
      <c r="O892" t="s">
        <v>2079</v>
      </c>
      <c r="P892" t="s">
        <v>73</v>
      </c>
      <c r="Q892" t="s">
        <v>74</v>
      </c>
      <c r="R892" t="s">
        <v>237</v>
      </c>
      <c r="S892" t="s">
        <v>238</v>
      </c>
      <c r="T892" t="s">
        <v>2080</v>
      </c>
      <c r="U892" t="s">
        <v>34</v>
      </c>
      <c r="V892">
        <v>-5693.6129999999994</v>
      </c>
    </row>
    <row r="893" spans="1:22" x14ac:dyDescent="0.3">
      <c r="A893" t="s">
        <v>2081</v>
      </c>
      <c r="B893" s="2">
        <v>46071</v>
      </c>
      <c r="C893" t="s">
        <v>522</v>
      </c>
      <c r="D893" t="s">
        <v>24</v>
      </c>
      <c r="E893" t="s">
        <v>87</v>
      </c>
      <c r="F893">
        <v>2</v>
      </c>
      <c r="G893">
        <v>0.2</v>
      </c>
      <c r="H893">
        <v>560</v>
      </c>
      <c r="I893">
        <v>169.56</v>
      </c>
      <c r="J893" t="s">
        <v>51</v>
      </c>
      <c r="K893" t="s">
        <v>40</v>
      </c>
      <c r="L893">
        <v>280</v>
      </c>
      <c r="M893">
        <v>30.278571428571428</v>
      </c>
      <c r="N893" t="s">
        <v>8</v>
      </c>
      <c r="O893" t="s">
        <v>523</v>
      </c>
      <c r="P893" t="s">
        <v>73</v>
      </c>
      <c r="Q893" t="s">
        <v>30</v>
      </c>
      <c r="R893" t="s">
        <v>98</v>
      </c>
      <c r="S893" t="s">
        <v>54</v>
      </c>
      <c r="T893" t="s">
        <v>62</v>
      </c>
      <c r="U893" t="s">
        <v>46</v>
      </c>
      <c r="V893">
        <v>84.78</v>
      </c>
    </row>
    <row r="894" spans="1:22" x14ac:dyDescent="0.3">
      <c r="A894" t="s">
        <v>2082</v>
      </c>
      <c r="B894" s="2">
        <v>46041</v>
      </c>
      <c r="C894" t="s">
        <v>1688</v>
      </c>
      <c r="D894" t="s">
        <v>49</v>
      </c>
      <c r="E894" t="s">
        <v>119</v>
      </c>
      <c r="F894">
        <v>1</v>
      </c>
      <c r="G894">
        <v>0.15</v>
      </c>
      <c r="H894">
        <v>7650</v>
      </c>
      <c r="I894">
        <v>1430.6</v>
      </c>
      <c r="J894" t="s">
        <v>26</v>
      </c>
      <c r="K894" t="s">
        <v>40</v>
      </c>
      <c r="L894">
        <v>7650</v>
      </c>
      <c r="M894">
        <v>18.700653594771239</v>
      </c>
      <c r="N894" t="s">
        <v>8</v>
      </c>
      <c r="O894" t="s">
        <v>883</v>
      </c>
      <c r="P894" t="s">
        <v>73</v>
      </c>
      <c r="Q894" t="s">
        <v>30</v>
      </c>
      <c r="R894" t="s">
        <v>31</v>
      </c>
      <c r="S894" t="s">
        <v>32</v>
      </c>
      <c r="T894" t="s">
        <v>575</v>
      </c>
      <c r="U894" t="s">
        <v>34</v>
      </c>
      <c r="V894">
        <v>1430.6</v>
      </c>
    </row>
    <row r="895" spans="1:22" x14ac:dyDescent="0.3">
      <c r="A895" t="s">
        <v>2083</v>
      </c>
      <c r="B895" s="2">
        <v>46182</v>
      </c>
      <c r="C895" t="s">
        <v>372</v>
      </c>
      <c r="D895" t="s">
        <v>49</v>
      </c>
      <c r="E895" t="s">
        <v>119</v>
      </c>
      <c r="F895">
        <v>3</v>
      </c>
      <c r="G895">
        <v>0.1</v>
      </c>
      <c r="H895">
        <v>24300</v>
      </c>
      <c r="I895">
        <v>5277.84</v>
      </c>
      <c r="J895" t="s">
        <v>51</v>
      </c>
      <c r="K895" t="s">
        <v>40</v>
      </c>
      <c r="L895">
        <v>8100</v>
      </c>
      <c r="M895">
        <v>21.719506172839509</v>
      </c>
      <c r="N895" t="s">
        <v>8</v>
      </c>
      <c r="O895" t="s">
        <v>374</v>
      </c>
      <c r="P895" t="s">
        <v>73</v>
      </c>
      <c r="Q895" t="s">
        <v>30</v>
      </c>
      <c r="R895" t="s">
        <v>53</v>
      </c>
      <c r="S895" t="s">
        <v>54</v>
      </c>
      <c r="T895" t="s">
        <v>375</v>
      </c>
      <c r="U895" t="s">
        <v>105</v>
      </c>
      <c r="V895">
        <v>1759.28</v>
      </c>
    </row>
    <row r="896" spans="1:22" x14ac:dyDescent="0.3">
      <c r="A896" t="s">
        <v>2084</v>
      </c>
      <c r="B896" s="2">
        <v>45991</v>
      </c>
      <c r="C896" t="s">
        <v>1116</v>
      </c>
      <c r="D896" t="s">
        <v>24</v>
      </c>
      <c r="E896" t="s">
        <v>25</v>
      </c>
      <c r="F896">
        <v>1</v>
      </c>
      <c r="G896">
        <v>0.05</v>
      </c>
      <c r="H896">
        <v>13300</v>
      </c>
      <c r="I896">
        <v>2416.91</v>
      </c>
      <c r="J896" t="s">
        <v>65</v>
      </c>
      <c r="K896" t="s">
        <v>40</v>
      </c>
      <c r="L896">
        <v>13300</v>
      </c>
      <c r="M896">
        <v>18.172255639097742</v>
      </c>
      <c r="N896" t="s">
        <v>8</v>
      </c>
      <c r="O896" t="s">
        <v>1117</v>
      </c>
      <c r="P896" t="s">
        <v>29</v>
      </c>
      <c r="Q896" t="s">
        <v>30</v>
      </c>
      <c r="R896" t="s">
        <v>98</v>
      </c>
      <c r="S896" t="s">
        <v>54</v>
      </c>
      <c r="T896" t="s">
        <v>1118</v>
      </c>
      <c r="U896" t="s">
        <v>34</v>
      </c>
      <c r="V896">
        <v>2416.91</v>
      </c>
    </row>
    <row r="897" spans="1:22" x14ac:dyDescent="0.3">
      <c r="A897" t="s">
        <v>2085</v>
      </c>
      <c r="B897" s="2">
        <v>46033</v>
      </c>
      <c r="C897" t="s">
        <v>1143</v>
      </c>
      <c r="D897" t="s">
        <v>49</v>
      </c>
      <c r="E897" t="s">
        <v>58</v>
      </c>
      <c r="F897">
        <v>3</v>
      </c>
      <c r="G897">
        <v>0</v>
      </c>
      <c r="H897">
        <v>45000</v>
      </c>
      <c r="I897">
        <v>-22495.200000000001</v>
      </c>
      <c r="J897" t="s">
        <v>65</v>
      </c>
      <c r="K897" t="s">
        <v>80</v>
      </c>
      <c r="L897">
        <v>15000</v>
      </c>
      <c r="M897">
        <v>-49.989333333333327</v>
      </c>
      <c r="N897" t="s">
        <v>81</v>
      </c>
      <c r="O897" t="s">
        <v>1144</v>
      </c>
      <c r="P897" t="s">
        <v>29</v>
      </c>
      <c r="Q897" t="s">
        <v>30</v>
      </c>
      <c r="R897" t="s">
        <v>31</v>
      </c>
      <c r="S897" t="s">
        <v>32</v>
      </c>
      <c r="T897" t="s">
        <v>1145</v>
      </c>
      <c r="U897" t="s">
        <v>100</v>
      </c>
      <c r="V897">
        <v>-7498.4000000000005</v>
      </c>
    </row>
    <row r="898" spans="1:22" x14ac:dyDescent="0.3">
      <c r="A898" t="s">
        <v>2086</v>
      </c>
      <c r="B898" s="2">
        <v>46008</v>
      </c>
      <c r="C898" t="s">
        <v>1331</v>
      </c>
      <c r="D898" t="s">
        <v>24</v>
      </c>
      <c r="E898" t="s">
        <v>92</v>
      </c>
      <c r="F898">
        <v>1</v>
      </c>
      <c r="G898">
        <v>0.15</v>
      </c>
      <c r="H898">
        <v>765</v>
      </c>
      <c r="I898">
        <v>201.88</v>
      </c>
      <c r="J898" t="s">
        <v>65</v>
      </c>
      <c r="K898" t="s">
        <v>40</v>
      </c>
      <c r="L898">
        <v>765</v>
      </c>
      <c r="M898">
        <v>26.389542483660129</v>
      </c>
      <c r="N898" t="s">
        <v>8</v>
      </c>
      <c r="O898" t="s">
        <v>553</v>
      </c>
      <c r="P898" t="s">
        <v>29</v>
      </c>
      <c r="Q898" t="s">
        <v>30</v>
      </c>
      <c r="R898" t="s">
        <v>31</v>
      </c>
      <c r="S898" t="s">
        <v>32</v>
      </c>
      <c r="T898" t="s">
        <v>1332</v>
      </c>
      <c r="U898" t="s">
        <v>46</v>
      </c>
      <c r="V898">
        <v>201.88</v>
      </c>
    </row>
    <row r="899" spans="1:22" x14ac:dyDescent="0.3">
      <c r="A899" t="s">
        <v>2087</v>
      </c>
      <c r="B899" s="2">
        <v>46075</v>
      </c>
      <c r="C899" t="s">
        <v>994</v>
      </c>
      <c r="D899" t="s">
        <v>70</v>
      </c>
      <c r="E899" t="s">
        <v>108</v>
      </c>
      <c r="F899">
        <v>3</v>
      </c>
      <c r="G899">
        <v>0</v>
      </c>
      <c r="H899">
        <v>13500</v>
      </c>
      <c r="I899">
        <v>-2904.99</v>
      </c>
      <c r="J899" t="s">
        <v>51</v>
      </c>
      <c r="K899" t="s">
        <v>434</v>
      </c>
      <c r="L899">
        <v>4500</v>
      </c>
      <c r="M899">
        <v>-21.518444444444441</v>
      </c>
      <c r="N899" t="s">
        <v>81</v>
      </c>
      <c r="O899" t="s">
        <v>995</v>
      </c>
      <c r="P899" t="s">
        <v>29</v>
      </c>
      <c r="Q899" t="s">
        <v>131</v>
      </c>
      <c r="R899" t="s">
        <v>449</v>
      </c>
      <c r="S899" t="s">
        <v>450</v>
      </c>
      <c r="T899" t="s">
        <v>184</v>
      </c>
      <c r="U899" t="s">
        <v>105</v>
      </c>
      <c r="V899">
        <v>-968.32999999999993</v>
      </c>
    </row>
    <row r="900" spans="1:22" x14ac:dyDescent="0.3">
      <c r="A900" t="s">
        <v>2088</v>
      </c>
      <c r="B900" s="2">
        <v>46110</v>
      </c>
      <c r="C900" t="s">
        <v>2089</v>
      </c>
      <c r="D900" t="s">
        <v>70</v>
      </c>
      <c r="E900" t="s">
        <v>129</v>
      </c>
      <c r="F900">
        <v>3</v>
      </c>
      <c r="G900">
        <v>0</v>
      </c>
      <c r="H900">
        <v>165000</v>
      </c>
      <c r="I900">
        <v>27000</v>
      </c>
      <c r="J900" t="s">
        <v>65</v>
      </c>
      <c r="K900" t="s">
        <v>40</v>
      </c>
      <c r="L900">
        <v>55000</v>
      </c>
      <c r="M900">
        <v>16.36363636363636</v>
      </c>
      <c r="N900" t="s">
        <v>8</v>
      </c>
      <c r="O900" t="s">
        <v>518</v>
      </c>
      <c r="P900" t="s">
        <v>29</v>
      </c>
      <c r="Q900" t="s">
        <v>42</v>
      </c>
      <c r="R900" t="s">
        <v>214</v>
      </c>
      <c r="S900" t="s">
        <v>111</v>
      </c>
      <c r="T900" t="s">
        <v>2090</v>
      </c>
      <c r="U900" t="s">
        <v>34</v>
      </c>
      <c r="V900">
        <v>9000</v>
      </c>
    </row>
    <row r="901" spans="1:22" x14ac:dyDescent="0.3">
      <c r="A901" t="s">
        <v>2091</v>
      </c>
      <c r="B901" s="2">
        <v>46243</v>
      </c>
      <c r="C901" t="s">
        <v>2092</v>
      </c>
      <c r="D901" t="s">
        <v>24</v>
      </c>
      <c r="E901" t="s">
        <v>92</v>
      </c>
      <c r="F901">
        <v>1</v>
      </c>
      <c r="G901">
        <v>0.15</v>
      </c>
      <c r="H901">
        <v>765</v>
      </c>
      <c r="I901">
        <v>194.97</v>
      </c>
      <c r="J901" t="s">
        <v>26</v>
      </c>
      <c r="K901" t="s">
        <v>27</v>
      </c>
      <c r="L901">
        <v>765</v>
      </c>
      <c r="M901">
        <v>25.48627450980392</v>
      </c>
      <c r="N901" t="s">
        <v>8</v>
      </c>
      <c r="O901" t="s">
        <v>2093</v>
      </c>
      <c r="P901" t="s">
        <v>83</v>
      </c>
      <c r="Q901" t="s">
        <v>131</v>
      </c>
      <c r="R901" t="s">
        <v>289</v>
      </c>
      <c r="S901" t="s">
        <v>290</v>
      </c>
      <c r="T901" t="s">
        <v>2094</v>
      </c>
      <c r="U901" t="s">
        <v>34</v>
      </c>
      <c r="V901">
        <v>194.97</v>
      </c>
    </row>
    <row r="902" spans="1:22" x14ac:dyDescent="0.3">
      <c r="A902" t="s">
        <v>2095</v>
      </c>
      <c r="B902" s="2">
        <v>45994</v>
      </c>
      <c r="C902" t="s">
        <v>632</v>
      </c>
      <c r="D902" t="s">
        <v>37</v>
      </c>
      <c r="E902" t="s">
        <v>310</v>
      </c>
      <c r="F902">
        <v>2</v>
      </c>
      <c r="G902">
        <v>0.05</v>
      </c>
      <c r="H902">
        <v>4180</v>
      </c>
      <c r="I902">
        <v>1368.7</v>
      </c>
      <c r="J902" t="s">
        <v>39</v>
      </c>
      <c r="K902" t="s">
        <v>40</v>
      </c>
      <c r="L902">
        <v>2090</v>
      </c>
      <c r="M902">
        <v>32.744019138755981</v>
      </c>
      <c r="N902" t="s">
        <v>8</v>
      </c>
      <c r="O902" t="s">
        <v>427</v>
      </c>
      <c r="P902" t="s">
        <v>29</v>
      </c>
      <c r="Q902" t="s">
        <v>42</v>
      </c>
      <c r="R902" t="s">
        <v>110</v>
      </c>
      <c r="S902" t="s">
        <v>111</v>
      </c>
      <c r="T902" t="s">
        <v>633</v>
      </c>
      <c r="U902" t="s">
        <v>100</v>
      </c>
      <c r="V902">
        <v>684.35</v>
      </c>
    </row>
    <row r="903" spans="1:22" x14ac:dyDescent="0.3">
      <c r="A903" t="s">
        <v>2096</v>
      </c>
      <c r="B903" s="2">
        <v>45964</v>
      </c>
      <c r="C903" t="s">
        <v>1414</v>
      </c>
      <c r="D903" t="s">
        <v>70</v>
      </c>
      <c r="E903" t="s">
        <v>129</v>
      </c>
      <c r="F903">
        <v>6</v>
      </c>
      <c r="G903">
        <v>0.2</v>
      </c>
      <c r="H903">
        <v>264000</v>
      </c>
      <c r="I903">
        <v>2743.28</v>
      </c>
      <c r="J903" t="s">
        <v>39</v>
      </c>
      <c r="K903" t="s">
        <v>40</v>
      </c>
      <c r="L903">
        <v>44000</v>
      </c>
      <c r="M903">
        <v>1.0391212121212119</v>
      </c>
      <c r="N903" t="s">
        <v>8</v>
      </c>
      <c r="O903" t="s">
        <v>166</v>
      </c>
      <c r="P903" t="s">
        <v>29</v>
      </c>
      <c r="Q903" t="s">
        <v>30</v>
      </c>
      <c r="R903" t="s">
        <v>31</v>
      </c>
      <c r="S903" t="s">
        <v>32</v>
      </c>
      <c r="T903" t="s">
        <v>1415</v>
      </c>
      <c r="U903" t="s">
        <v>46</v>
      </c>
      <c r="V903">
        <v>457.21333333333342</v>
      </c>
    </row>
    <row r="904" spans="1:22" x14ac:dyDescent="0.3">
      <c r="A904" t="s">
        <v>2097</v>
      </c>
      <c r="B904" s="2">
        <v>45984</v>
      </c>
      <c r="C904" t="s">
        <v>533</v>
      </c>
      <c r="D904" t="s">
        <v>24</v>
      </c>
      <c r="E904" t="s">
        <v>92</v>
      </c>
      <c r="F904">
        <v>1</v>
      </c>
      <c r="G904">
        <v>0</v>
      </c>
      <c r="H904">
        <v>900</v>
      </c>
      <c r="I904">
        <v>280</v>
      </c>
      <c r="J904" t="s">
        <v>65</v>
      </c>
      <c r="K904" t="s">
        <v>27</v>
      </c>
      <c r="L904">
        <v>900</v>
      </c>
      <c r="M904">
        <v>31.111111111111111</v>
      </c>
      <c r="N904" t="s">
        <v>8</v>
      </c>
      <c r="O904" t="s">
        <v>306</v>
      </c>
      <c r="P904" t="s">
        <v>83</v>
      </c>
      <c r="Q904" t="s">
        <v>131</v>
      </c>
      <c r="R904" t="s">
        <v>132</v>
      </c>
      <c r="S904" t="s">
        <v>133</v>
      </c>
      <c r="T904" t="s">
        <v>534</v>
      </c>
      <c r="U904" t="s">
        <v>46</v>
      </c>
      <c r="V904">
        <v>280</v>
      </c>
    </row>
    <row r="905" spans="1:22" x14ac:dyDescent="0.3">
      <c r="A905" t="s">
        <v>2098</v>
      </c>
      <c r="B905" s="2">
        <v>45926</v>
      </c>
      <c r="C905" t="s">
        <v>1046</v>
      </c>
      <c r="D905" t="s">
        <v>24</v>
      </c>
      <c r="E905" t="s">
        <v>87</v>
      </c>
      <c r="F905">
        <v>1</v>
      </c>
      <c r="G905">
        <v>0.05</v>
      </c>
      <c r="H905">
        <v>332.5</v>
      </c>
      <c r="I905">
        <v>110.03</v>
      </c>
      <c r="J905" t="s">
        <v>39</v>
      </c>
      <c r="K905" t="s">
        <v>27</v>
      </c>
      <c r="L905">
        <v>332.5</v>
      </c>
      <c r="M905">
        <v>33.091729323308272</v>
      </c>
      <c r="N905" t="s">
        <v>8</v>
      </c>
      <c r="O905" t="s">
        <v>1047</v>
      </c>
      <c r="P905" t="s">
        <v>29</v>
      </c>
      <c r="Q905" t="s">
        <v>42</v>
      </c>
      <c r="R905" t="s">
        <v>121</v>
      </c>
      <c r="S905" t="s">
        <v>44</v>
      </c>
      <c r="T905" t="s">
        <v>1048</v>
      </c>
      <c r="U905" t="s">
        <v>100</v>
      </c>
      <c r="V905">
        <v>110.03</v>
      </c>
    </row>
    <row r="906" spans="1:22" x14ac:dyDescent="0.3">
      <c r="A906" t="s">
        <v>2099</v>
      </c>
      <c r="B906" s="2">
        <v>45953</v>
      </c>
      <c r="C906" t="s">
        <v>726</v>
      </c>
      <c r="D906" t="s">
        <v>37</v>
      </c>
      <c r="E906" t="s">
        <v>310</v>
      </c>
      <c r="F906">
        <v>2</v>
      </c>
      <c r="G906">
        <v>0.15</v>
      </c>
      <c r="H906">
        <v>3740</v>
      </c>
      <c r="I906">
        <v>1104.8399999999999</v>
      </c>
      <c r="J906" t="s">
        <v>51</v>
      </c>
      <c r="K906" t="s">
        <v>40</v>
      </c>
      <c r="L906">
        <v>1870</v>
      </c>
      <c r="M906">
        <v>29.54117647058823</v>
      </c>
      <c r="N906" t="s">
        <v>8</v>
      </c>
      <c r="O906" t="s">
        <v>727</v>
      </c>
      <c r="P906" t="s">
        <v>29</v>
      </c>
      <c r="Q906" t="s">
        <v>30</v>
      </c>
      <c r="R906" t="s">
        <v>31</v>
      </c>
      <c r="S906" t="s">
        <v>32</v>
      </c>
      <c r="T906" t="s">
        <v>33</v>
      </c>
      <c r="U906" t="s">
        <v>34</v>
      </c>
      <c r="V906">
        <v>552.41999999999996</v>
      </c>
    </row>
    <row r="907" spans="1:22" x14ac:dyDescent="0.3">
      <c r="A907" t="s">
        <v>2100</v>
      </c>
      <c r="B907" s="2">
        <v>45982</v>
      </c>
      <c r="C907" t="s">
        <v>2101</v>
      </c>
      <c r="D907" t="s">
        <v>70</v>
      </c>
      <c r="E907" t="s">
        <v>108</v>
      </c>
      <c r="F907">
        <v>6</v>
      </c>
      <c r="G907">
        <v>0.15</v>
      </c>
      <c r="H907">
        <v>22950</v>
      </c>
      <c r="I907">
        <v>6726.19</v>
      </c>
      <c r="J907" t="s">
        <v>39</v>
      </c>
      <c r="K907" t="s">
        <v>27</v>
      </c>
      <c r="L907">
        <v>3825</v>
      </c>
      <c r="M907">
        <v>29.3080174291939</v>
      </c>
      <c r="N907" t="s">
        <v>8</v>
      </c>
      <c r="O907" t="s">
        <v>2102</v>
      </c>
      <c r="P907" t="s">
        <v>29</v>
      </c>
      <c r="Q907" t="s">
        <v>131</v>
      </c>
      <c r="R907" t="s">
        <v>289</v>
      </c>
      <c r="S907" t="s">
        <v>290</v>
      </c>
      <c r="T907" t="s">
        <v>2103</v>
      </c>
      <c r="U907" t="s">
        <v>34</v>
      </c>
      <c r="V907">
        <v>1121.031666666667</v>
      </c>
    </row>
    <row r="908" spans="1:22" x14ac:dyDescent="0.3">
      <c r="A908" t="s">
        <v>2104</v>
      </c>
      <c r="B908" s="2">
        <v>45915</v>
      </c>
      <c r="C908" t="s">
        <v>152</v>
      </c>
      <c r="D908" t="s">
        <v>70</v>
      </c>
      <c r="E908" t="s">
        <v>165</v>
      </c>
      <c r="F908">
        <v>2</v>
      </c>
      <c r="G908">
        <v>0.1</v>
      </c>
      <c r="H908">
        <v>4500</v>
      </c>
      <c r="I908">
        <v>1178.31</v>
      </c>
      <c r="J908" t="s">
        <v>51</v>
      </c>
      <c r="K908" t="s">
        <v>40</v>
      </c>
      <c r="L908">
        <v>2250</v>
      </c>
      <c r="M908">
        <v>26.184666666666669</v>
      </c>
      <c r="N908" t="s">
        <v>8</v>
      </c>
      <c r="O908" t="s">
        <v>153</v>
      </c>
      <c r="P908" t="s">
        <v>83</v>
      </c>
      <c r="Q908" t="s">
        <v>30</v>
      </c>
      <c r="R908" t="s">
        <v>53</v>
      </c>
      <c r="S908" t="s">
        <v>54</v>
      </c>
      <c r="T908" t="s">
        <v>154</v>
      </c>
      <c r="U908" t="s">
        <v>100</v>
      </c>
      <c r="V908">
        <v>589.15499999999997</v>
      </c>
    </row>
    <row r="909" spans="1:22" x14ac:dyDescent="0.3">
      <c r="A909" t="s">
        <v>2105</v>
      </c>
      <c r="B909" s="2">
        <v>45998</v>
      </c>
      <c r="C909" t="s">
        <v>1618</v>
      </c>
      <c r="D909" t="s">
        <v>24</v>
      </c>
      <c r="E909" t="s">
        <v>92</v>
      </c>
      <c r="F909">
        <v>6</v>
      </c>
      <c r="G909">
        <v>0.1</v>
      </c>
      <c r="H909">
        <v>4860</v>
      </c>
      <c r="I909">
        <v>1390.12</v>
      </c>
      <c r="J909" t="s">
        <v>26</v>
      </c>
      <c r="K909" t="s">
        <v>40</v>
      </c>
      <c r="L909">
        <v>810</v>
      </c>
      <c r="M909">
        <v>28.603292181069961</v>
      </c>
      <c r="N909" t="s">
        <v>8</v>
      </c>
      <c r="O909" t="s">
        <v>847</v>
      </c>
      <c r="P909" t="s">
        <v>29</v>
      </c>
      <c r="Q909" t="s">
        <v>42</v>
      </c>
      <c r="R909" t="s">
        <v>214</v>
      </c>
      <c r="S909" t="s">
        <v>111</v>
      </c>
      <c r="T909" t="s">
        <v>1619</v>
      </c>
      <c r="U909" t="s">
        <v>46</v>
      </c>
      <c r="V909">
        <v>231.68666666666661</v>
      </c>
    </row>
    <row r="910" spans="1:22" x14ac:dyDescent="0.3">
      <c r="A910" t="s">
        <v>2106</v>
      </c>
      <c r="B910" s="2">
        <v>46164</v>
      </c>
      <c r="C910" t="s">
        <v>297</v>
      </c>
      <c r="D910" t="s">
        <v>70</v>
      </c>
      <c r="E910" t="s">
        <v>108</v>
      </c>
      <c r="F910">
        <v>4</v>
      </c>
      <c r="G910">
        <v>0.15</v>
      </c>
      <c r="H910">
        <v>15300</v>
      </c>
      <c r="I910">
        <v>4259.47</v>
      </c>
      <c r="J910" t="s">
        <v>51</v>
      </c>
      <c r="K910" t="s">
        <v>40</v>
      </c>
      <c r="L910">
        <v>3825</v>
      </c>
      <c r="M910">
        <v>27.839673202614382</v>
      </c>
      <c r="N910" t="s">
        <v>8</v>
      </c>
      <c r="O910" t="s">
        <v>298</v>
      </c>
      <c r="P910" t="s">
        <v>83</v>
      </c>
      <c r="Q910" t="s">
        <v>30</v>
      </c>
      <c r="R910" t="s">
        <v>60</v>
      </c>
      <c r="S910" t="s">
        <v>61</v>
      </c>
      <c r="T910" t="s">
        <v>299</v>
      </c>
      <c r="U910" t="s">
        <v>46</v>
      </c>
      <c r="V910">
        <v>1064.8675000000001</v>
      </c>
    </row>
    <row r="911" spans="1:22" x14ac:dyDescent="0.3">
      <c r="A911" t="s">
        <v>2107</v>
      </c>
      <c r="B911" s="2">
        <v>45877</v>
      </c>
      <c r="C911" t="s">
        <v>1474</v>
      </c>
      <c r="D911" t="s">
        <v>70</v>
      </c>
      <c r="E911" t="s">
        <v>108</v>
      </c>
      <c r="F911">
        <v>3</v>
      </c>
      <c r="G911">
        <v>0.05</v>
      </c>
      <c r="H911">
        <v>12825</v>
      </c>
      <c r="I911">
        <v>4062.9</v>
      </c>
      <c r="J911" t="s">
        <v>65</v>
      </c>
      <c r="K911" t="s">
        <v>40</v>
      </c>
      <c r="L911">
        <v>4275</v>
      </c>
      <c r="M911">
        <v>31.679532163742689</v>
      </c>
      <c r="N911" t="s">
        <v>8</v>
      </c>
      <c r="O911" t="s">
        <v>1475</v>
      </c>
      <c r="P911" t="s">
        <v>73</v>
      </c>
      <c r="Q911" t="s">
        <v>30</v>
      </c>
      <c r="R911" t="s">
        <v>98</v>
      </c>
      <c r="S911" t="s">
        <v>54</v>
      </c>
      <c r="T911" t="s">
        <v>1476</v>
      </c>
      <c r="U911" t="s">
        <v>100</v>
      </c>
      <c r="V911">
        <v>1354.3</v>
      </c>
    </row>
    <row r="912" spans="1:22" x14ac:dyDescent="0.3">
      <c r="A912" t="s">
        <v>2108</v>
      </c>
      <c r="B912" s="2">
        <v>45845</v>
      </c>
      <c r="C912" t="s">
        <v>1356</v>
      </c>
      <c r="D912" t="s">
        <v>49</v>
      </c>
      <c r="E912" t="s">
        <v>119</v>
      </c>
      <c r="F912">
        <v>3</v>
      </c>
      <c r="G912">
        <v>0</v>
      </c>
      <c r="H912">
        <v>22950</v>
      </c>
      <c r="I912">
        <v>3549.09</v>
      </c>
      <c r="J912" t="s">
        <v>39</v>
      </c>
      <c r="K912" t="s">
        <v>27</v>
      </c>
      <c r="L912">
        <v>7650</v>
      </c>
      <c r="M912">
        <v>15.464444444444441</v>
      </c>
      <c r="N912" t="s">
        <v>8</v>
      </c>
      <c r="O912" t="s">
        <v>1357</v>
      </c>
      <c r="P912" t="s">
        <v>83</v>
      </c>
      <c r="Q912" t="s">
        <v>74</v>
      </c>
      <c r="R912" t="s">
        <v>237</v>
      </c>
      <c r="S912" t="s">
        <v>238</v>
      </c>
      <c r="T912" t="s">
        <v>1358</v>
      </c>
      <c r="U912" t="s">
        <v>46</v>
      </c>
      <c r="V912">
        <v>1183.03</v>
      </c>
    </row>
    <row r="913" spans="1:22" x14ac:dyDescent="0.3">
      <c r="A913" t="s">
        <v>2109</v>
      </c>
      <c r="B913" s="2">
        <v>46233</v>
      </c>
      <c r="C913" t="s">
        <v>1712</v>
      </c>
      <c r="D913" t="s">
        <v>70</v>
      </c>
      <c r="E913" t="s">
        <v>165</v>
      </c>
      <c r="F913">
        <v>4</v>
      </c>
      <c r="G913">
        <v>0.15</v>
      </c>
      <c r="H913">
        <v>8500</v>
      </c>
      <c r="I913">
        <v>2443.09</v>
      </c>
      <c r="J913" t="s">
        <v>51</v>
      </c>
      <c r="K913" t="s">
        <v>40</v>
      </c>
      <c r="L913">
        <v>2125</v>
      </c>
      <c r="M913">
        <v>28.742235294117641</v>
      </c>
      <c r="N913" t="s">
        <v>8</v>
      </c>
      <c r="O913" t="s">
        <v>390</v>
      </c>
      <c r="P913" t="s">
        <v>29</v>
      </c>
      <c r="Q913" t="s">
        <v>42</v>
      </c>
      <c r="R913" t="s">
        <v>43</v>
      </c>
      <c r="S913" t="s">
        <v>44</v>
      </c>
      <c r="T913" t="s">
        <v>1713</v>
      </c>
      <c r="U913" t="s">
        <v>46</v>
      </c>
      <c r="V913">
        <v>610.77250000000004</v>
      </c>
    </row>
    <row r="914" spans="1:22" x14ac:dyDescent="0.3">
      <c r="A914" t="s">
        <v>2110</v>
      </c>
      <c r="B914" s="2">
        <v>45884</v>
      </c>
      <c r="C914" t="s">
        <v>748</v>
      </c>
      <c r="D914" t="s">
        <v>70</v>
      </c>
      <c r="E914" t="s">
        <v>129</v>
      </c>
      <c r="F914">
        <v>2</v>
      </c>
      <c r="G914">
        <v>0</v>
      </c>
      <c r="H914">
        <v>110000</v>
      </c>
      <c r="I914">
        <v>18000</v>
      </c>
      <c r="J914" t="s">
        <v>39</v>
      </c>
      <c r="K914" t="s">
        <v>40</v>
      </c>
      <c r="L914">
        <v>55000</v>
      </c>
      <c r="M914">
        <v>16.36363636363636</v>
      </c>
      <c r="N914" t="s">
        <v>8</v>
      </c>
      <c r="O914" t="s">
        <v>749</v>
      </c>
      <c r="P914" t="s">
        <v>29</v>
      </c>
      <c r="Q914" t="s">
        <v>30</v>
      </c>
      <c r="R914" t="s">
        <v>60</v>
      </c>
      <c r="S914" t="s">
        <v>61</v>
      </c>
      <c r="T914" t="s">
        <v>750</v>
      </c>
      <c r="U914" t="s">
        <v>34</v>
      </c>
      <c r="V914">
        <v>9000</v>
      </c>
    </row>
    <row r="915" spans="1:22" x14ac:dyDescent="0.3">
      <c r="A915" t="s">
        <v>2111</v>
      </c>
      <c r="B915" s="2">
        <v>45931</v>
      </c>
      <c r="C915" t="s">
        <v>2112</v>
      </c>
      <c r="D915" t="s">
        <v>70</v>
      </c>
      <c r="E915" t="s">
        <v>165</v>
      </c>
      <c r="F915">
        <v>1</v>
      </c>
      <c r="G915">
        <v>0</v>
      </c>
      <c r="H915">
        <v>2500</v>
      </c>
      <c r="I915">
        <v>800</v>
      </c>
      <c r="J915" t="s">
        <v>65</v>
      </c>
      <c r="K915" t="s">
        <v>40</v>
      </c>
      <c r="L915">
        <v>2500</v>
      </c>
      <c r="M915">
        <v>32</v>
      </c>
      <c r="N915" t="s">
        <v>8</v>
      </c>
      <c r="O915" t="s">
        <v>2113</v>
      </c>
      <c r="P915" t="s">
        <v>29</v>
      </c>
      <c r="Q915" t="s">
        <v>42</v>
      </c>
      <c r="R915" t="s">
        <v>214</v>
      </c>
      <c r="S915" t="s">
        <v>111</v>
      </c>
      <c r="T915" t="s">
        <v>2114</v>
      </c>
      <c r="U915" t="s">
        <v>34</v>
      </c>
      <c r="V915">
        <v>800</v>
      </c>
    </row>
    <row r="916" spans="1:22" x14ac:dyDescent="0.3">
      <c r="A916" t="s">
        <v>2115</v>
      </c>
      <c r="B916" s="2">
        <v>46245</v>
      </c>
      <c r="C916" t="s">
        <v>2116</v>
      </c>
      <c r="D916" t="s">
        <v>70</v>
      </c>
      <c r="E916" t="s">
        <v>129</v>
      </c>
      <c r="F916">
        <v>3</v>
      </c>
      <c r="G916">
        <v>0</v>
      </c>
      <c r="H916">
        <v>165000</v>
      </c>
      <c r="I916">
        <v>27000</v>
      </c>
      <c r="J916" t="s">
        <v>26</v>
      </c>
      <c r="K916" t="s">
        <v>40</v>
      </c>
      <c r="L916">
        <v>55000</v>
      </c>
      <c r="M916">
        <v>16.36363636363636</v>
      </c>
      <c r="N916" t="s">
        <v>8</v>
      </c>
      <c r="O916" t="s">
        <v>1963</v>
      </c>
      <c r="P916" t="s">
        <v>73</v>
      </c>
      <c r="Q916" t="s">
        <v>42</v>
      </c>
      <c r="R916" t="s">
        <v>121</v>
      </c>
      <c r="S916" t="s">
        <v>44</v>
      </c>
      <c r="T916" t="s">
        <v>2117</v>
      </c>
      <c r="U916" t="s">
        <v>34</v>
      </c>
      <c r="V916">
        <v>9000</v>
      </c>
    </row>
    <row r="917" spans="1:22" x14ac:dyDescent="0.3">
      <c r="A917" t="s">
        <v>2118</v>
      </c>
      <c r="B917" s="2">
        <v>46106</v>
      </c>
      <c r="C917" t="s">
        <v>1610</v>
      </c>
      <c r="D917" t="s">
        <v>24</v>
      </c>
      <c r="E917" t="s">
        <v>87</v>
      </c>
      <c r="F917">
        <v>1</v>
      </c>
      <c r="G917">
        <v>0.05</v>
      </c>
      <c r="H917">
        <v>332.5</v>
      </c>
      <c r="I917">
        <v>110.15</v>
      </c>
      <c r="J917" t="s">
        <v>65</v>
      </c>
      <c r="K917" t="s">
        <v>40</v>
      </c>
      <c r="L917">
        <v>332.5</v>
      </c>
      <c r="M917">
        <v>33.127819548872182</v>
      </c>
      <c r="N917" t="s">
        <v>8</v>
      </c>
      <c r="O917" t="s">
        <v>1611</v>
      </c>
      <c r="P917" t="s">
        <v>29</v>
      </c>
      <c r="Q917" t="s">
        <v>131</v>
      </c>
      <c r="R917" t="s">
        <v>289</v>
      </c>
      <c r="S917" t="s">
        <v>290</v>
      </c>
      <c r="T917" t="s">
        <v>1612</v>
      </c>
      <c r="U917" t="s">
        <v>100</v>
      </c>
      <c r="V917">
        <v>110.15</v>
      </c>
    </row>
    <row r="918" spans="1:22" x14ac:dyDescent="0.3">
      <c r="A918" t="s">
        <v>2119</v>
      </c>
      <c r="B918" s="2">
        <v>46147</v>
      </c>
      <c r="C918" t="s">
        <v>2120</v>
      </c>
      <c r="D918" t="s">
        <v>49</v>
      </c>
      <c r="E918" t="s">
        <v>58</v>
      </c>
      <c r="F918">
        <v>1</v>
      </c>
      <c r="G918">
        <v>0</v>
      </c>
      <c r="H918">
        <v>15000</v>
      </c>
      <c r="I918">
        <v>3500</v>
      </c>
      <c r="J918" t="s">
        <v>51</v>
      </c>
      <c r="K918" t="s">
        <v>40</v>
      </c>
      <c r="L918">
        <v>15000</v>
      </c>
      <c r="M918">
        <v>23.333333333333329</v>
      </c>
      <c r="N918" t="s">
        <v>8</v>
      </c>
      <c r="O918" t="s">
        <v>2121</v>
      </c>
      <c r="P918" t="s">
        <v>73</v>
      </c>
      <c r="Q918" t="s">
        <v>42</v>
      </c>
      <c r="R918" t="s">
        <v>43</v>
      </c>
      <c r="S918" t="s">
        <v>44</v>
      </c>
      <c r="T918" t="s">
        <v>2122</v>
      </c>
      <c r="U918" t="s">
        <v>34</v>
      </c>
      <c r="V918">
        <v>3500</v>
      </c>
    </row>
    <row r="919" spans="1:22" x14ac:dyDescent="0.3">
      <c r="A919" t="s">
        <v>2123</v>
      </c>
      <c r="B919" s="2">
        <v>46030</v>
      </c>
      <c r="C919" t="s">
        <v>221</v>
      </c>
      <c r="D919" t="s">
        <v>37</v>
      </c>
      <c r="E919" t="s">
        <v>190</v>
      </c>
      <c r="F919">
        <v>3</v>
      </c>
      <c r="G919">
        <v>0.2</v>
      </c>
      <c r="H919">
        <v>10080</v>
      </c>
      <c r="I919">
        <v>2083.16</v>
      </c>
      <c r="J919" t="s">
        <v>26</v>
      </c>
      <c r="K919" t="s">
        <v>40</v>
      </c>
      <c r="L919">
        <v>3360</v>
      </c>
      <c r="M919">
        <v>20.666269841269841</v>
      </c>
      <c r="N919" t="s">
        <v>8</v>
      </c>
      <c r="O919" t="s">
        <v>222</v>
      </c>
      <c r="P919" t="s">
        <v>29</v>
      </c>
      <c r="Q919" t="s">
        <v>30</v>
      </c>
      <c r="R919" t="s">
        <v>53</v>
      </c>
      <c r="S919" t="s">
        <v>54</v>
      </c>
      <c r="T919" t="s">
        <v>223</v>
      </c>
      <c r="U919" t="s">
        <v>100</v>
      </c>
      <c r="V919">
        <v>694.38666666666666</v>
      </c>
    </row>
    <row r="920" spans="1:22" x14ac:dyDescent="0.3">
      <c r="A920" t="s">
        <v>2124</v>
      </c>
      <c r="B920" s="2">
        <v>46168</v>
      </c>
      <c r="C920" t="s">
        <v>1524</v>
      </c>
      <c r="D920" t="s">
        <v>37</v>
      </c>
      <c r="E920" t="s">
        <v>310</v>
      </c>
      <c r="F920">
        <v>1</v>
      </c>
      <c r="G920">
        <v>0.15</v>
      </c>
      <c r="H920">
        <v>1870</v>
      </c>
      <c r="I920">
        <v>517.20000000000005</v>
      </c>
      <c r="J920" t="s">
        <v>51</v>
      </c>
      <c r="K920" t="s">
        <v>40</v>
      </c>
      <c r="L920">
        <v>1870</v>
      </c>
      <c r="M920">
        <v>27.657754010695189</v>
      </c>
      <c r="N920" t="s">
        <v>8</v>
      </c>
      <c r="O920" t="s">
        <v>243</v>
      </c>
      <c r="P920" t="s">
        <v>73</v>
      </c>
      <c r="Q920" t="s">
        <v>74</v>
      </c>
      <c r="R920" t="s">
        <v>493</v>
      </c>
      <c r="S920" t="s">
        <v>494</v>
      </c>
      <c r="T920" t="s">
        <v>1525</v>
      </c>
      <c r="U920" t="s">
        <v>34</v>
      </c>
      <c r="V920">
        <v>517.20000000000005</v>
      </c>
    </row>
    <row r="921" spans="1:22" x14ac:dyDescent="0.3">
      <c r="A921" t="s">
        <v>2125</v>
      </c>
      <c r="B921" s="2">
        <v>45957</v>
      </c>
      <c r="C921" t="s">
        <v>2126</v>
      </c>
      <c r="D921" t="s">
        <v>24</v>
      </c>
      <c r="E921" t="s">
        <v>25</v>
      </c>
      <c r="F921">
        <v>1</v>
      </c>
      <c r="G921">
        <v>0</v>
      </c>
      <c r="H921">
        <v>14000</v>
      </c>
      <c r="I921">
        <v>2800</v>
      </c>
      <c r="J921" t="s">
        <v>39</v>
      </c>
      <c r="K921" t="s">
        <v>40</v>
      </c>
      <c r="L921">
        <v>14000</v>
      </c>
      <c r="M921">
        <v>20</v>
      </c>
      <c r="N921" t="s">
        <v>8</v>
      </c>
      <c r="O921" t="s">
        <v>2127</v>
      </c>
      <c r="P921" t="s">
        <v>83</v>
      </c>
      <c r="Q921" t="s">
        <v>131</v>
      </c>
      <c r="R921" t="s">
        <v>200</v>
      </c>
      <c r="S921" t="s">
        <v>201</v>
      </c>
      <c r="T921" t="s">
        <v>2128</v>
      </c>
      <c r="U921" t="s">
        <v>46</v>
      </c>
      <c r="V921">
        <v>2800</v>
      </c>
    </row>
    <row r="922" spans="1:22" x14ac:dyDescent="0.3">
      <c r="A922" t="s">
        <v>2129</v>
      </c>
      <c r="B922" s="2">
        <v>45899</v>
      </c>
      <c r="C922" t="s">
        <v>644</v>
      </c>
      <c r="D922" t="s">
        <v>37</v>
      </c>
      <c r="E922" t="s">
        <v>190</v>
      </c>
      <c r="F922">
        <v>2</v>
      </c>
      <c r="G922">
        <v>0.15</v>
      </c>
      <c r="H922">
        <v>7140</v>
      </c>
      <c r="I922">
        <v>1731.24</v>
      </c>
      <c r="J922" t="s">
        <v>26</v>
      </c>
      <c r="K922" t="s">
        <v>40</v>
      </c>
      <c r="L922">
        <v>3570</v>
      </c>
      <c r="M922">
        <v>24.247058823529411</v>
      </c>
      <c r="N922" t="s">
        <v>8</v>
      </c>
      <c r="O922" t="s">
        <v>213</v>
      </c>
      <c r="P922" t="s">
        <v>29</v>
      </c>
      <c r="Q922" t="s">
        <v>30</v>
      </c>
      <c r="R922" t="s">
        <v>31</v>
      </c>
      <c r="S922" t="s">
        <v>32</v>
      </c>
      <c r="T922" t="s">
        <v>645</v>
      </c>
      <c r="U922" t="s">
        <v>46</v>
      </c>
      <c r="V922">
        <v>865.62</v>
      </c>
    </row>
    <row r="923" spans="1:22" x14ac:dyDescent="0.3">
      <c r="A923" t="s">
        <v>2130</v>
      </c>
      <c r="B923" s="2">
        <v>45908</v>
      </c>
      <c r="C923" t="s">
        <v>417</v>
      </c>
      <c r="D923" t="s">
        <v>37</v>
      </c>
      <c r="E923" t="s">
        <v>190</v>
      </c>
      <c r="F923">
        <v>2</v>
      </c>
      <c r="G923">
        <v>0.15</v>
      </c>
      <c r="H923">
        <v>7140</v>
      </c>
      <c r="I923">
        <v>1331.37</v>
      </c>
      <c r="J923" t="s">
        <v>51</v>
      </c>
      <c r="K923" t="s">
        <v>40</v>
      </c>
      <c r="L923">
        <v>3570</v>
      </c>
      <c r="M923">
        <v>18.64663865546218</v>
      </c>
      <c r="N923" t="s">
        <v>8</v>
      </c>
      <c r="O923" t="s">
        <v>418</v>
      </c>
      <c r="P923" t="s">
        <v>29</v>
      </c>
      <c r="Q923" t="s">
        <v>30</v>
      </c>
      <c r="R923" t="s">
        <v>60</v>
      </c>
      <c r="S923" t="s">
        <v>61</v>
      </c>
      <c r="T923" t="s">
        <v>419</v>
      </c>
      <c r="U923" t="s">
        <v>34</v>
      </c>
      <c r="V923">
        <v>665.68499999999995</v>
      </c>
    </row>
    <row r="924" spans="1:22" x14ac:dyDescent="0.3">
      <c r="A924" t="s">
        <v>2131</v>
      </c>
      <c r="B924" s="2">
        <v>46022</v>
      </c>
      <c r="C924" t="s">
        <v>2132</v>
      </c>
      <c r="D924" t="s">
        <v>49</v>
      </c>
      <c r="E924" t="s">
        <v>119</v>
      </c>
      <c r="F924">
        <v>2</v>
      </c>
      <c r="G924">
        <v>0.15</v>
      </c>
      <c r="H924">
        <v>15300</v>
      </c>
      <c r="I924">
        <v>2879.27</v>
      </c>
      <c r="J924" t="s">
        <v>39</v>
      </c>
      <c r="K924" t="s">
        <v>40</v>
      </c>
      <c r="L924">
        <v>7650</v>
      </c>
      <c r="M924">
        <v>18.81875816993464</v>
      </c>
      <c r="N924" t="s">
        <v>8</v>
      </c>
      <c r="O924" t="s">
        <v>930</v>
      </c>
      <c r="P924" t="s">
        <v>73</v>
      </c>
      <c r="Q924" t="s">
        <v>74</v>
      </c>
      <c r="R924" t="s">
        <v>237</v>
      </c>
      <c r="S924" t="s">
        <v>238</v>
      </c>
      <c r="T924" t="s">
        <v>167</v>
      </c>
      <c r="U924" t="s">
        <v>34</v>
      </c>
      <c r="V924">
        <v>1439.635</v>
      </c>
    </row>
    <row r="925" spans="1:22" x14ac:dyDescent="0.3">
      <c r="A925" t="s">
        <v>2133</v>
      </c>
      <c r="B925" s="2">
        <v>46123</v>
      </c>
      <c r="C925" t="s">
        <v>1229</v>
      </c>
      <c r="D925" t="s">
        <v>49</v>
      </c>
      <c r="E925" t="s">
        <v>119</v>
      </c>
      <c r="F925">
        <v>4</v>
      </c>
      <c r="G925">
        <v>0.15</v>
      </c>
      <c r="H925">
        <v>30600</v>
      </c>
      <c r="I925">
        <v>5010.82</v>
      </c>
      <c r="J925" t="s">
        <v>39</v>
      </c>
      <c r="K925" t="s">
        <v>40</v>
      </c>
      <c r="L925">
        <v>7650</v>
      </c>
      <c r="M925">
        <v>16.375228758169929</v>
      </c>
      <c r="N925" t="s">
        <v>8</v>
      </c>
      <c r="O925" t="s">
        <v>1102</v>
      </c>
      <c r="P925" t="s">
        <v>83</v>
      </c>
      <c r="Q925" t="s">
        <v>42</v>
      </c>
      <c r="R925" t="s">
        <v>110</v>
      </c>
      <c r="S925" t="s">
        <v>111</v>
      </c>
      <c r="T925" t="s">
        <v>912</v>
      </c>
      <c r="U925" t="s">
        <v>46</v>
      </c>
      <c r="V925">
        <v>1252.7049999999999</v>
      </c>
    </row>
    <row r="926" spans="1:22" x14ac:dyDescent="0.3">
      <c r="A926" t="s">
        <v>2134</v>
      </c>
      <c r="B926" s="2">
        <v>46174</v>
      </c>
      <c r="C926" t="s">
        <v>1032</v>
      </c>
      <c r="D926" t="s">
        <v>70</v>
      </c>
      <c r="E926" t="s">
        <v>165</v>
      </c>
      <c r="F926">
        <v>4</v>
      </c>
      <c r="G926">
        <v>0</v>
      </c>
      <c r="H926">
        <v>10000</v>
      </c>
      <c r="I926">
        <v>3200</v>
      </c>
      <c r="J926" t="s">
        <v>39</v>
      </c>
      <c r="K926" t="s">
        <v>40</v>
      </c>
      <c r="L926">
        <v>2500</v>
      </c>
      <c r="M926">
        <v>32</v>
      </c>
      <c r="N926" t="s">
        <v>8</v>
      </c>
      <c r="O926" t="s">
        <v>1033</v>
      </c>
      <c r="P926" t="s">
        <v>73</v>
      </c>
      <c r="Q926" t="s">
        <v>131</v>
      </c>
      <c r="R926" t="s">
        <v>449</v>
      </c>
      <c r="S926" t="s">
        <v>450</v>
      </c>
      <c r="T926" t="s">
        <v>1034</v>
      </c>
      <c r="U926" t="s">
        <v>46</v>
      </c>
      <c r="V926">
        <v>800</v>
      </c>
    </row>
    <row r="927" spans="1:22" x14ac:dyDescent="0.3">
      <c r="A927" t="s">
        <v>2135</v>
      </c>
      <c r="B927" s="2">
        <v>45844</v>
      </c>
      <c r="C927" t="s">
        <v>910</v>
      </c>
      <c r="D927" t="s">
        <v>24</v>
      </c>
      <c r="E927" t="s">
        <v>87</v>
      </c>
      <c r="F927">
        <v>1</v>
      </c>
      <c r="G927">
        <v>0.15</v>
      </c>
      <c r="H927">
        <v>297.5</v>
      </c>
      <c r="I927">
        <v>82.97</v>
      </c>
      <c r="J927" t="s">
        <v>26</v>
      </c>
      <c r="K927" t="s">
        <v>40</v>
      </c>
      <c r="L927">
        <v>297.5</v>
      </c>
      <c r="M927">
        <v>27.889075630252101</v>
      </c>
      <c r="N927" t="s">
        <v>8</v>
      </c>
      <c r="O927" t="s">
        <v>911</v>
      </c>
      <c r="P927" t="s">
        <v>29</v>
      </c>
      <c r="Q927" t="s">
        <v>30</v>
      </c>
      <c r="R927" t="s">
        <v>31</v>
      </c>
      <c r="S927" t="s">
        <v>32</v>
      </c>
      <c r="T927" t="s">
        <v>912</v>
      </c>
      <c r="U927" t="s">
        <v>34</v>
      </c>
      <c r="V927">
        <v>82.97</v>
      </c>
    </row>
    <row r="928" spans="1:22" x14ac:dyDescent="0.3">
      <c r="A928" t="s">
        <v>2136</v>
      </c>
      <c r="B928" s="2">
        <v>46008</v>
      </c>
      <c r="C928" t="s">
        <v>675</v>
      </c>
      <c r="D928" t="s">
        <v>37</v>
      </c>
      <c r="E928" t="s">
        <v>170</v>
      </c>
      <c r="F928">
        <v>2</v>
      </c>
      <c r="G928">
        <v>0.3</v>
      </c>
      <c r="H928">
        <v>1960</v>
      </c>
      <c r="I928">
        <v>411.64</v>
      </c>
      <c r="J928" t="s">
        <v>51</v>
      </c>
      <c r="K928" t="s">
        <v>40</v>
      </c>
      <c r="L928">
        <v>980</v>
      </c>
      <c r="M928">
        <v>21.002040816326531</v>
      </c>
      <c r="N928" t="s">
        <v>8</v>
      </c>
      <c r="O928" t="s">
        <v>255</v>
      </c>
      <c r="P928" t="s">
        <v>29</v>
      </c>
      <c r="Q928" t="s">
        <v>30</v>
      </c>
      <c r="R928" t="s">
        <v>60</v>
      </c>
      <c r="S928" t="s">
        <v>61</v>
      </c>
      <c r="T928" t="s">
        <v>676</v>
      </c>
      <c r="U928" t="s">
        <v>105</v>
      </c>
      <c r="V928">
        <v>205.82</v>
      </c>
    </row>
    <row r="929" spans="1:22" x14ac:dyDescent="0.3">
      <c r="A929" t="s">
        <v>2137</v>
      </c>
      <c r="B929" s="2">
        <v>45918</v>
      </c>
      <c r="C929" t="s">
        <v>1777</v>
      </c>
      <c r="D929" t="s">
        <v>24</v>
      </c>
      <c r="E929" t="s">
        <v>25</v>
      </c>
      <c r="F929">
        <v>2</v>
      </c>
      <c r="G929">
        <v>0</v>
      </c>
      <c r="H929">
        <v>28000</v>
      </c>
      <c r="I929">
        <v>5600</v>
      </c>
      <c r="J929" t="s">
        <v>39</v>
      </c>
      <c r="K929" t="s">
        <v>40</v>
      </c>
      <c r="L929">
        <v>14000</v>
      </c>
      <c r="M929">
        <v>20</v>
      </c>
      <c r="N929" t="s">
        <v>8</v>
      </c>
      <c r="O929" t="s">
        <v>322</v>
      </c>
      <c r="P929" t="s">
        <v>83</v>
      </c>
      <c r="Q929" t="s">
        <v>30</v>
      </c>
      <c r="R929" t="s">
        <v>31</v>
      </c>
      <c r="S929" t="s">
        <v>32</v>
      </c>
      <c r="T929" t="s">
        <v>1778</v>
      </c>
      <c r="U929" t="s">
        <v>34</v>
      </c>
      <c r="V929">
        <v>2800</v>
      </c>
    </row>
    <row r="930" spans="1:22" x14ac:dyDescent="0.3">
      <c r="A930" t="s">
        <v>2138</v>
      </c>
      <c r="B930" s="2">
        <v>45976</v>
      </c>
      <c r="C930" t="s">
        <v>1243</v>
      </c>
      <c r="D930" t="s">
        <v>70</v>
      </c>
      <c r="E930" t="s">
        <v>165</v>
      </c>
      <c r="F930">
        <v>3</v>
      </c>
      <c r="G930">
        <v>0</v>
      </c>
      <c r="H930">
        <v>7500</v>
      </c>
      <c r="I930">
        <v>2400</v>
      </c>
      <c r="J930" t="s">
        <v>65</v>
      </c>
      <c r="K930" t="s">
        <v>40</v>
      </c>
      <c r="L930">
        <v>2500</v>
      </c>
      <c r="M930">
        <v>32</v>
      </c>
      <c r="N930" t="s">
        <v>8</v>
      </c>
      <c r="O930" t="s">
        <v>754</v>
      </c>
      <c r="P930" t="s">
        <v>73</v>
      </c>
      <c r="Q930" t="s">
        <v>42</v>
      </c>
      <c r="R930" t="s">
        <v>110</v>
      </c>
      <c r="S930" t="s">
        <v>111</v>
      </c>
      <c r="T930" t="s">
        <v>1244</v>
      </c>
      <c r="U930" t="s">
        <v>105</v>
      </c>
      <c r="V930">
        <v>800</v>
      </c>
    </row>
    <row r="931" spans="1:22" x14ac:dyDescent="0.3">
      <c r="A931" t="s">
        <v>2139</v>
      </c>
      <c r="B931" s="2">
        <v>46028</v>
      </c>
      <c r="C931" t="s">
        <v>1955</v>
      </c>
      <c r="D931" t="s">
        <v>24</v>
      </c>
      <c r="E931" t="s">
        <v>25</v>
      </c>
      <c r="F931">
        <v>5</v>
      </c>
      <c r="G931">
        <v>0.1</v>
      </c>
      <c r="H931">
        <v>63000</v>
      </c>
      <c r="I931">
        <v>10121.25</v>
      </c>
      <c r="J931" t="s">
        <v>26</v>
      </c>
      <c r="K931" t="s">
        <v>40</v>
      </c>
      <c r="L931">
        <v>12600</v>
      </c>
      <c r="M931">
        <v>16.06547619047619</v>
      </c>
      <c r="N931" t="s">
        <v>8</v>
      </c>
      <c r="O931" t="s">
        <v>754</v>
      </c>
      <c r="P931" t="s">
        <v>29</v>
      </c>
      <c r="Q931" t="s">
        <v>74</v>
      </c>
      <c r="R931" t="s">
        <v>493</v>
      </c>
      <c r="S931" t="s">
        <v>494</v>
      </c>
      <c r="T931" t="s">
        <v>244</v>
      </c>
      <c r="U931" t="s">
        <v>105</v>
      </c>
      <c r="V931">
        <v>2024.25</v>
      </c>
    </row>
    <row r="932" spans="1:22" x14ac:dyDescent="0.3">
      <c r="A932" t="s">
        <v>2140</v>
      </c>
      <c r="B932" s="2">
        <v>46007</v>
      </c>
      <c r="C932" t="s">
        <v>1436</v>
      </c>
      <c r="D932" t="s">
        <v>70</v>
      </c>
      <c r="E932" t="s">
        <v>129</v>
      </c>
      <c r="F932">
        <v>3</v>
      </c>
      <c r="G932">
        <v>0.05</v>
      </c>
      <c r="H932">
        <v>156750</v>
      </c>
      <c r="I932">
        <v>21712.27</v>
      </c>
      <c r="J932" t="s">
        <v>39</v>
      </c>
      <c r="K932" t="s">
        <v>40</v>
      </c>
      <c r="L932">
        <v>52250</v>
      </c>
      <c r="M932">
        <v>13.85152791068581</v>
      </c>
      <c r="N932" t="s">
        <v>8</v>
      </c>
      <c r="O932" t="s">
        <v>697</v>
      </c>
      <c r="P932" t="s">
        <v>83</v>
      </c>
      <c r="Q932" t="s">
        <v>30</v>
      </c>
      <c r="R932" t="s">
        <v>60</v>
      </c>
      <c r="S932" t="s">
        <v>61</v>
      </c>
      <c r="T932" t="s">
        <v>1437</v>
      </c>
      <c r="U932" t="s">
        <v>46</v>
      </c>
      <c r="V932">
        <v>7237.4233333333332</v>
      </c>
    </row>
    <row r="933" spans="1:22" x14ac:dyDescent="0.3">
      <c r="A933" t="s">
        <v>2141</v>
      </c>
      <c r="B933" s="2">
        <v>46215</v>
      </c>
      <c r="C933" t="s">
        <v>566</v>
      </c>
      <c r="D933" t="s">
        <v>37</v>
      </c>
      <c r="E933" t="s">
        <v>310</v>
      </c>
      <c r="F933">
        <v>2</v>
      </c>
      <c r="G933">
        <v>0.1</v>
      </c>
      <c r="H933">
        <v>3960</v>
      </c>
      <c r="I933">
        <v>1240.3</v>
      </c>
      <c r="J933" t="s">
        <v>51</v>
      </c>
      <c r="K933" t="s">
        <v>40</v>
      </c>
      <c r="L933">
        <v>1980</v>
      </c>
      <c r="M933">
        <v>31.320707070707069</v>
      </c>
      <c r="N933" t="s">
        <v>8</v>
      </c>
      <c r="O933" t="s">
        <v>567</v>
      </c>
      <c r="P933" t="s">
        <v>29</v>
      </c>
      <c r="Q933" t="s">
        <v>131</v>
      </c>
      <c r="R933" t="s">
        <v>289</v>
      </c>
      <c r="S933" t="s">
        <v>290</v>
      </c>
      <c r="T933" t="s">
        <v>568</v>
      </c>
      <c r="U933" t="s">
        <v>46</v>
      </c>
      <c r="V933">
        <v>620.15</v>
      </c>
    </row>
    <row r="934" spans="1:22" x14ac:dyDescent="0.3">
      <c r="A934" t="s">
        <v>2142</v>
      </c>
      <c r="B934" s="2">
        <v>45939</v>
      </c>
      <c r="C934" t="s">
        <v>732</v>
      </c>
      <c r="D934" t="s">
        <v>70</v>
      </c>
      <c r="E934" t="s">
        <v>129</v>
      </c>
      <c r="F934">
        <v>2</v>
      </c>
      <c r="G934">
        <v>0.1</v>
      </c>
      <c r="H934">
        <v>99000</v>
      </c>
      <c r="I934">
        <v>11297.6</v>
      </c>
      <c r="J934" t="s">
        <v>39</v>
      </c>
      <c r="K934" t="s">
        <v>40</v>
      </c>
      <c r="L934">
        <v>49500</v>
      </c>
      <c r="M934">
        <v>11.41171717171717</v>
      </c>
      <c r="N934" t="s">
        <v>8</v>
      </c>
      <c r="O934" t="s">
        <v>733</v>
      </c>
      <c r="P934" t="s">
        <v>29</v>
      </c>
      <c r="Q934" t="s">
        <v>131</v>
      </c>
      <c r="R934" t="s">
        <v>449</v>
      </c>
      <c r="S934" t="s">
        <v>450</v>
      </c>
      <c r="T934" t="s">
        <v>734</v>
      </c>
      <c r="U934" t="s">
        <v>34</v>
      </c>
      <c r="V934">
        <v>5648.8</v>
      </c>
    </row>
    <row r="935" spans="1:22" x14ac:dyDescent="0.3">
      <c r="A935" t="s">
        <v>2143</v>
      </c>
      <c r="B935" s="2">
        <v>45863</v>
      </c>
      <c r="C935" t="s">
        <v>283</v>
      </c>
      <c r="D935" t="s">
        <v>49</v>
      </c>
      <c r="E935" t="s">
        <v>50</v>
      </c>
      <c r="F935">
        <v>1</v>
      </c>
      <c r="G935">
        <v>0.15</v>
      </c>
      <c r="H935">
        <v>11050</v>
      </c>
      <c r="I935">
        <v>2201.77</v>
      </c>
      <c r="J935" t="s">
        <v>65</v>
      </c>
      <c r="K935" t="s">
        <v>40</v>
      </c>
      <c r="L935">
        <v>11050</v>
      </c>
      <c r="M935">
        <v>19.925520361990952</v>
      </c>
      <c r="N935" t="s">
        <v>8</v>
      </c>
      <c r="O935" t="s">
        <v>284</v>
      </c>
      <c r="P935" t="s">
        <v>29</v>
      </c>
      <c r="Q935" t="s">
        <v>30</v>
      </c>
      <c r="R935" t="s">
        <v>53</v>
      </c>
      <c r="S935" t="s">
        <v>54</v>
      </c>
      <c r="T935" t="s">
        <v>285</v>
      </c>
      <c r="U935" t="s">
        <v>34</v>
      </c>
      <c r="V935">
        <v>2201.77</v>
      </c>
    </row>
    <row r="936" spans="1:22" x14ac:dyDescent="0.3">
      <c r="A936" t="s">
        <v>2144</v>
      </c>
      <c r="B936" s="2">
        <v>45948</v>
      </c>
      <c r="C936" t="s">
        <v>2145</v>
      </c>
      <c r="D936" t="s">
        <v>37</v>
      </c>
      <c r="E936" t="s">
        <v>38</v>
      </c>
      <c r="F936">
        <v>2</v>
      </c>
      <c r="G936">
        <v>0</v>
      </c>
      <c r="H936">
        <v>3600</v>
      </c>
      <c r="I936">
        <v>1300</v>
      </c>
      <c r="J936" t="s">
        <v>51</v>
      </c>
      <c r="K936" t="s">
        <v>40</v>
      </c>
      <c r="L936">
        <v>1800</v>
      </c>
      <c r="M936">
        <v>36.111111111111107</v>
      </c>
      <c r="N936" t="s">
        <v>8</v>
      </c>
      <c r="O936" t="s">
        <v>302</v>
      </c>
      <c r="P936" t="s">
        <v>29</v>
      </c>
      <c r="Q936" t="s">
        <v>30</v>
      </c>
      <c r="R936" t="s">
        <v>98</v>
      </c>
      <c r="S936" t="s">
        <v>54</v>
      </c>
      <c r="T936" t="s">
        <v>601</v>
      </c>
      <c r="U936" t="s">
        <v>46</v>
      </c>
      <c r="V936">
        <v>650</v>
      </c>
    </row>
    <row r="937" spans="1:22" x14ac:dyDescent="0.3">
      <c r="A937" t="s">
        <v>2146</v>
      </c>
      <c r="B937" s="2">
        <v>45850</v>
      </c>
      <c r="C937" t="s">
        <v>1158</v>
      </c>
      <c r="D937" t="s">
        <v>24</v>
      </c>
      <c r="E937" t="s">
        <v>242</v>
      </c>
      <c r="F937">
        <v>3</v>
      </c>
      <c r="G937">
        <v>0</v>
      </c>
      <c r="H937">
        <v>1350</v>
      </c>
      <c r="I937">
        <v>330</v>
      </c>
      <c r="J937" t="s">
        <v>26</v>
      </c>
      <c r="K937" t="s">
        <v>40</v>
      </c>
      <c r="L937">
        <v>450</v>
      </c>
      <c r="M937">
        <v>24.444444444444439</v>
      </c>
      <c r="N937" t="s">
        <v>8</v>
      </c>
      <c r="O937" t="s">
        <v>844</v>
      </c>
      <c r="P937" t="s">
        <v>29</v>
      </c>
      <c r="Q937" t="s">
        <v>42</v>
      </c>
      <c r="R937" t="s">
        <v>121</v>
      </c>
      <c r="S937" t="s">
        <v>44</v>
      </c>
      <c r="T937" t="s">
        <v>134</v>
      </c>
      <c r="U937" t="s">
        <v>100</v>
      </c>
      <c r="V937">
        <v>110</v>
      </c>
    </row>
    <row r="938" spans="1:22" x14ac:dyDescent="0.3">
      <c r="A938" t="s">
        <v>2147</v>
      </c>
      <c r="B938" s="2">
        <v>46071</v>
      </c>
      <c r="C938" t="s">
        <v>1502</v>
      </c>
      <c r="D938" t="s">
        <v>24</v>
      </c>
      <c r="E938" t="s">
        <v>92</v>
      </c>
      <c r="F938">
        <v>1</v>
      </c>
      <c r="G938">
        <v>0.05</v>
      </c>
      <c r="H938">
        <v>855</v>
      </c>
      <c r="I938">
        <v>251.57</v>
      </c>
      <c r="J938" t="s">
        <v>51</v>
      </c>
      <c r="K938" t="s">
        <v>40</v>
      </c>
      <c r="L938">
        <v>855</v>
      </c>
      <c r="M938">
        <v>29.4233918128655</v>
      </c>
      <c r="N938" t="s">
        <v>8</v>
      </c>
      <c r="O938" t="s">
        <v>1057</v>
      </c>
      <c r="P938" t="s">
        <v>73</v>
      </c>
      <c r="Q938" t="s">
        <v>42</v>
      </c>
      <c r="R938" t="s">
        <v>43</v>
      </c>
      <c r="S938" t="s">
        <v>44</v>
      </c>
      <c r="T938" t="s">
        <v>1503</v>
      </c>
      <c r="U938" t="s">
        <v>100</v>
      </c>
      <c r="V938">
        <v>251.57</v>
      </c>
    </row>
    <row r="939" spans="1:22" x14ac:dyDescent="0.3">
      <c r="A939" t="s">
        <v>2148</v>
      </c>
      <c r="B939" s="2">
        <v>45935</v>
      </c>
      <c r="C939" t="s">
        <v>1164</v>
      </c>
      <c r="D939" t="s">
        <v>70</v>
      </c>
      <c r="E939" t="s">
        <v>129</v>
      </c>
      <c r="F939">
        <v>1</v>
      </c>
      <c r="G939">
        <v>0.15</v>
      </c>
      <c r="H939">
        <v>46750</v>
      </c>
      <c r="I939">
        <v>5167.29</v>
      </c>
      <c r="J939" t="s">
        <v>26</v>
      </c>
      <c r="K939" t="s">
        <v>40</v>
      </c>
      <c r="L939">
        <v>46750</v>
      </c>
      <c r="M939">
        <v>11.05302673796791</v>
      </c>
      <c r="N939" t="s">
        <v>8</v>
      </c>
      <c r="O939" t="s">
        <v>284</v>
      </c>
      <c r="P939" t="s">
        <v>29</v>
      </c>
      <c r="Q939" t="s">
        <v>30</v>
      </c>
      <c r="R939" t="s">
        <v>98</v>
      </c>
      <c r="S939" t="s">
        <v>54</v>
      </c>
      <c r="T939" t="s">
        <v>1165</v>
      </c>
      <c r="U939" t="s">
        <v>105</v>
      </c>
      <c r="V939">
        <v>5167.29</v>
      </c>
    </row>
    <row r="940" spans="1:22" x14ac:dyDescent="0.3">
      <c r="A940" t="s">
        <v>2149</v>
      </c>
      <c r="B940" s="2">
        <v>46082</v>
      </c>
      <c r="C940" t="s">
        <v>2150</v>
      </c>
      <c r="D940" t="s">
        <v>37</v>
      </c>
      <c r="E940" t="s">
        <v>170</v>
      </c>
      <c r="F940">
        <v>4</v>
      </c>
      <c r="G940">
        <v>0.2</v>
      </c>
      <c r="H940">
        <v>4480</v>
      </c>
      <c r="I940">
        <v>-974.48</v>
      </c>
      <c r="J940" t="s">
        <v>26</v>
      </c>
      <c r="K940" t="s">
        <v>80</v>
      </c>
      <c r="L940">
        <v>1120</v>
      </c>
      <c r="M940">
        <v>-21.75178571428572</v>
      </c>
      <c r="N940" t="s">
        <v>81</v>
      </c>
      <c r="O940" t="s">
        <v>149</v>
      </c>
      <c r="P940" t="s">
        <v>83</v>
      </c>
      <c r="Q940" t="s">
        <v>74</v>
      </c>
      <c r="R940" t="s">
        <v>75</v>
      </c>
      <c r="S940" t="s">
        <v>75</v>
      </c>
      <c r="T940" t="s">
        <v>1862</v>
      </c>
      <c r="U940" t="s">
        <v>105</v>
      </c>
      <c r="V940">
        <v>-243.62</v>
      </c>
    </row>
    <row r="941" spans="1:22" x14ac:dyDescent="0.3">
      <c r="A941" t="s">
        <v>2151</v>
      </c>
      <c r="B941" s="2">
        <v>46109</v>
      </c>
      <c r="C941" t="s">
        <v>1648</v>
      </c>
      <c r="D941" t="s">
        <v>70</v>
      </c>
      <c r="E941" t="s">
        <v>71</v>
      </c>
      <c r="F941">
        <v>2</v>
      </c>
      <c r="G941">
        <v>0</v>
      </c>
      <c r="H941">
        <v>36000</v>
      </c>
      <c r="I941">
        <v>7000</v>
      </c>
      <c r="J941" t="s">
        <v>51</v>
      </c>
      <c r="K941" t="s">
        <v>40</v>
      </c>
      <c r="L941">
        <v>18000</v>
      </c>
      <c r="M941">
        <v>19.44444444444445</v>
      </c>
      <c r="N941" t="s">
        <v>8</v>
      </c>
      <c r="O941" t="s">
        <v>1649</v>
      </c>
      <c r="P941" t="s">
        <v>73</v>
      </c>
      <c r="Q941" t="s">
        <v>30</v>
      </c>
      <c r="R941" t="s">
        <v>98</v>
      </c>
      <c r="S941" t="s">
        <v>54</v>
      </c>
      <c r="T941" t="s">
        <v>1650</v>
      </c>
      <c r="U941" t="s">
        <v>34</v>
      </c>
      <c r="V941">
        <v>3500</v>
      </c>
    </row>
    <row r="942" spans="1:22" x14ac:dyDescent="0.3">
      <c r="A942" t="s">
        <v>2152</v>
      </c>
      <c r="B942" s="2">
        <v>45920</v>
      </c>
      <c r="C942" t="s">
        <v>313</v>
      </c>
      <c r="D942" t="s">
        <v>24</v>
      </c>
      <c r="E942" t="s">
        <v>25</v>
      </c>
      <c r="F942">
        <v>4</v>
      </c>
      <c r="G942">
        <v>0.15</v>
      </c>
      <c r="H942">
        <v>47600</v>
      </c>
      <c r="I942">
        <v>5010.26</v>
      </c>
      <c r="J942" t="s">
        <v>51</v>
      </c>
      <c r="K942" t="s">
        <v>40</v>
      </c>
      <c r="L942">
        <v>11900</v>
      </c>
      <c r="M942">
        <v>10.52575630252101</v>
      </c>
      <c r="N942" t="s">
        <v>8</v>
      </c>
      <c r="O942" t="s">
        <v>314</v>
      </c>
      <c r="P942" t="s">
        <v>29</v>
      </c>
      <c r="Q942" t="s">
        <v>30</v>
      </c>
      <c r="R942" t="s">
        <v>98</v>
      </c>
      <c r="S942" t="s">
        <v>54</v>
      </c>
      <c r="T942" t="s">
        <v>315</v>
      </c>
      <c r="U942" t="s">
        <v>100</v>
      </c>
      <c r="V942">
        <v>1252.5650000000001</v>
      </c>
    </row>
    <row r="943" spans="1:22" x14ac:dyDescent="0.3">
      <c r="A943" t="s">
        <v>2153</v>
      </c>
      <c r="B943" s="2">
        <v>46034</v>
      </c>
      <c r="C943" t="s">
        <v>2154</v>
      </c>
      <c r="D943" t="s">
        <v>70</v>
      </c>
      <c r="E943" t="s">
        <v>129</v>
      </c>
      <c r="F943">
        <v>3</v>
      </c>
      <c r="G943">
        <v>0.2</v>
      </c>
      <c r="H943">
        <v>132000</v>
      </c>
      <c r="I943">
        <v>5867.34</v>
      </c>
      <c r="J943" t="s">
        <v>26</v>
      </c>
      <c r="K943" t="s">
        <v>40</v>
      </c>
      <c r="L943">
        <v>44000</v>
      </c>
      <c r="M943">
        <v>4.4449545454545456</v>
      </c>
      <c r="N943" t="s">
        <v>8</v>
      </c>
      <c r="O943" t="s">
        <v>1606</v>
      </c>
      <c r="P943" t="s">
        <v>83</v>
      </c>
      <c r="Q943" t="s">
        <v>42</v>
      </c>
      <c r="R943" t="s">
        <v>110</v>
      </c>
      <c r="S943" t="s">
        <v>111</v>
      </c>
      <c r="T943" t="s">
        <v>2155</v>
      </c>
      <c r="U943" t="s">
        <v>34</v>
      </c>
      <c r="V943">
        <v>1955.78</v>
      </c>
    </row>
    <row r="944" spans="1:22" x14ac:dyDescent="0.3">
      <c r="A944" t="s">
        <v>2156</v>
      </c>
      <c r="B944" s="2">
        <v>45934</v>
      </c>
      <c r="C944" t="s">
        <v>1634</v>
      </c>
      <c r="D944" t="s">
        <v>49</v>
      </c>
      <c r="E944" t="s">
        <v>119</v>
      </c>
      <c r="F944">
        <v>3</v>
      </c>
      <c r="G944">
        <v>0</v>
      </c>
      <c r="H944">
        <v>27000</v>
      </c>
      <c r="I944">
        <v>6900</v>
      </c>
      <c r="J944" t="s">
        <v>39</v>
      </c>
      <c r="K944" t="s">
        <v>40</v>
      </c>
      <c r="L944">
        <v>9000</v>
      </c>
      <c r="M944">
        <v>25.55555555555555</v>
      </c>
      <c r="N944" t="s">
        <v>8</v>
      </c>
      <c r="O944" t="s">
        <v>233</v>
      </c>
      <c r="P944" t="s">
        <v>29</v>
      </c>
      <c r="Q944" t="s">
        <v>600</v>
      </c>
      <c r="R944" t="s">
        <v>237</v>
      </c>
      <c r="S944" t="s">
        <v>238</v>
      </c>
      <c r="T944" t="s">
        <v>1635</v>
      </c>
      <c r="U944" t="s">
        <v>34</v>
      </c>
      <c r="V944">
        <v>2300</v>
      </c>
    </row>
    <row r="945" spans="1:22" x14ac:dyDescent="0.3">
      <c r="A945" t="s">
        <v>2157</v>
      </c>
      <c r="B945" s="2">
        <v>46142</v>
      </c>
      <c r="C945" t="s">
        <v>910</v>
      </c>
      <c r="D945" t="s">
        <v>24</v>
      </c>
      <c r="E945" t="s">
        <v>25</v>
      </c>
      <c r="F945">
        <v>1</v>
      </c>
      <c r="G945">
        <v>0.1</v>
      </c>
      <c r="H945">
        <v>12600</v>
      </c>
      <c r="I945">
        <v>1997.26</v>
      </c>
      <c r="J945" t="s">
        <v>39</v>
      </c>
      <c r="K945" t="s">
        <v>40</v>
      </c>
      <c r="L945">
        <v>12600</v>
      </c>
      <c r="M945">
        <v>15.85126984126984</v>
      </c>
      <c r="N945" t="s">
        <v>8</v>
      </c>
      <c r="O945" t="s">
        <v>911</v>
      </c>
      <c r="P945" t="s">
        <v>29</v>
      </c>
      <c r="Q945" t="s">
        <v>30</v>
      </c>
      <c r="R945" t="s">
        <v>31</v>
      </c>
      <c r="S945" t="s">
        <v>32</v>
      </c>
      <c r="T945" t="s">
        <v>912</v>
      </c>
      <c r="U945" t="s">
        <v>34</v>
      </c>
      <c r="V945">
        <v>1997.26</v>
      </c>
    </row>
    <row r="946" spans="1:22" x14ac:dyDescent="0.3">
      <c r="A946" t="s">
        <v>2158</v>
      </c>
      <c r="B946" s="2">
        <v>45945</v>
      </c>
      <c r="C946" t="s">
        <v>1236</v>
      </c>
      <c r="D946" t="s">
        <v>24</v>
      </c>
      <c r="E946" t="s">
        <v>242</v>
      </c>
      <c r="F946">
        <v>4</v>
      </c>
      <c r="G946">
        <v>0.05</v>
      </c>
      <c r="H946">
        <v>1710</v>
      </c>
      <c r="I946">
        <v>376.6</v>
      </c>
      <c r="J946" t="s">
        <v>51</v>
      </c>
      <c r="K946" t="s">
        <v>40</v>
      </c>
      <c r="L946">
        <v>427.5</v>
      </c>
      <c r="M946">
        <v>22.023391812865501</v>
      </c>
      <c r="N946" t="s">
        <v>8</v>
      </c>
      <c r="O946" t="s">
        <v>1237</v>
      </c>
      <c r="P946" t="s">
        <v>29</v>
      </c>
      <c r="Q946" t="s">
        <v>74</v>
      </c>
      <c r="R946" t="s">
        <v>493</v>
      </c>
      <c r="S946" t="s">
        <v>494</v>
      </c>
      <c r="T946" t="s">
        <v>679</v>
      </c>
      <c r="U946" t="s">
        <v>46</v>
      </c>
      <c r="V946">
        <v>94.15</v>
      </c>
    </row>
    <row r="947" spans="1:22" x14ac:dyDescent="0.3">
      <c r="A947" t="s">
        <v>2159</v>
      </c>
      <c r="B947" s="2">
        <v>45905</v>
      </c>
      <c r="C947" t="s">
        <v>2126</v>
      </c>
      <c r="D947" t="s">
        <v>49</v>
      </c>
      <c r="E947" t="s">
        <v>58</v>
      </c>
      <c r="F947">
        <v>3</v>
      </c>
      <c r="G947">
        <v>0.2</v>
      </c>
      <c r="H947">
        <v>36000</v>
      </c>
      <c r="I947">
        <v>3914.08</v>
      </c>
      <c r="J947" t="s">
        <v>65</v>
      </c>
      <c r="K947" t="s">
        <v>27</v>
      </c>
      <c r="L947">
        <v>12000</v>
      </c>
      <c r="M947">
        <v>10.87244444444444</v>
      </c>
      <c r="N947" t="s">
        <v>8</v>
      </c>
      <c r="O947" t="s">
        <v>2127</v>
      </c>
      <c r="P947" t="s">
        <v>83</v>
      </c>
      <c r="Q947" t="s">
        <v>131</v>
      </c>
      <c r="R947" t="s">
        <v>200</v>
      </c>
      <c r="S947" t="s">
        <v>201</v>
      </c>
      <c r="T947" t="s">
        <v>2128</v>
      </c>
      <c r="U947" t="s">
        <v>46</v>
      </c>
      <c r="V947">
        <v>1304.6933333333329</v>
      </c>
    </row>
    <row r="948" spans="1:22" x14ac:dyDescent="0.3">
      <c r="A948" t="s">
        <v>2160</v>
      </c>
      <c r="B948" s="2">
        <v>45934</v>
      </c>
      <c r="C948" t="s">
        <v>1300</v>
      </c>
      <c r="D948" t="s">
        <v>24</v>
      </c>
      <c r="E948" t="s">
        <v>87</v>
      </c>
      <c r="F948">
        <v>3</v>
      </c>
      <c r="G948">
        <v>0.2</v>
      </c>
      <c r="H948">
        <v>840</v>
      </c>
      <c r="I948">
        <v>199.34</v>
      </c>
      <c r="J948" t="s">
        <v>39</v>
      </c>
      <c r="K948" t="s">
        <v>40</v>
      </c>
      <c r="L948">
        <v>280</v>
      </c>
      <c r="M948">
        <v>23.730952380952381</v>
      </c>
      <c r="N948" t="s">
        <v>8</v>
      </c>
      <c r="O948" t="s">
        <v>1301</v>
      </c>
      <c r="P948" t="s">
        <v>29</v>
      </c>
      <c r="Q948" t="s">
        <v>42</v>
      </c>
      <c r="R948" t="s">
        <v>121</v>
      </c>
      <c r="S948" t="s">
        <v>44</v>
      </c>
      <c r="T948" t="s">
        <v>1302</v>
      </c>
      <c r="U948" t="s">
        <v>100</v>
      </c>
      <c r="V948">
        <v>66.446666666666673</v>
      </c>
    </row>
    <row r="949" spans="1:22" x14ac:dyDescent="0.3">
      <c r="A949" t="s">
        <v>2161</v>
      </c>
      <c r="B949" s="2">
        <v>46101</v>
      </c>
      <c r="C949" t="s">
        <v>1078</v>
      </c>
      <c r="D949" t="s">
        <v>49</v>
      </c>
      <c r="E949" t="s">
        <v>50</v>
      </c>
      <c r="F949">
        <v>2</v>
      </c>
      <c r="G949">
        <v>0.05</v>
      </c>
      <c r="H949">
        <v>24700</v>
      </c>
      <c r="I949">
        <v>5520.84</v>
      </c>
      <c r="J949" t="s">
        <v>39</v>
      </c>
      <c r="K949" t="s">
        <v>40</v>
      </c>
      <c r="L949">
        <v>12350</v>
      </c>
      <c r="M949">
        <v>22.35157894736842</v>
      </c>
      <c r="N949" t="s">
        <v>8</v>
      </c>
      <c r="O949" t="s">
        <v>1079</v>
      </c>
      <c r="P949" t="s">
        <v>83</v>
      </c>
      <c r="Q949" t="s">
        <v>30</v>
      </c>
      <c r="R949" t="s">
        <v>31</v>
      </c>
      <c r="S949" t="s">
        <v>32</v>
      </c>
      <c r="T949" t="s">
        <v>948</v>
      </c>
      <c r="U949" t="s">
        <v>34</v>
      </c>
      <c r="V949">
        <v>2760.42</v>
      </c>
    </row>
    <row r="950" spans="1:22" x14ac:dyDescent="0.3">
      <c r="A950" t="s">
        <v>2162</v>
      </c>
      <c r="B950" s="2">
        <v>46218</v>
      </c>
      <c r="C950" t="s">
        <v>556</v>
      </c>
      <c r="D950" t="s">
        <v>37</v>
      </c>
      <c r="E950" t="s">
        <v>170</v>
      </c>
      <c r="F950">
        <v>3</v>
      </c>
      <c r="G950">
        <v>0.15</v>
      </c>
      <c r="H950">
        <v>3570</v>
      </c>
      <c r="I950">
        <v>1165.72</v>
      </c>
      <c r="J950" t="s">
        <v>39</v>
      </c>
      <c r="K950" t="s">
        <v>40</v>
      </c>
      <c r="L950">
        <v>1190</v>
      </c>
      <c r="M950">
        <v>32.653221288515397</v>
      </c>
      <c r="N950" t="s">
        <v>8</v>
      </c>
      <c r="O950" t="s">
        <v>161</v>
      </c>
      <c r="P950" t="s">
        <v>29</v>
      </c>
      <c r="Q950" t="s">
        <v>30</v>
      </c>
      <c r="R950" t="s">
        <v>53</v>
      </c>
      <c r="S950" t="s">
        <v>54</v>
      </c>
      <c r="T950" t="s">
        <v>557</v>
      </c>
      <c r="U950" t="s">
        <v>34</v>
      </c>
      <c r="V950">
        <v>388.57333333333332</v>
      </c>
    </row>
    <row r="951" spans="1:22" x14ac:dyDescent="0.3">
      <c r="A951" t="s">
        <v>2163</v>
      </c>
      <c r="B951" s="2">
        <v>45874</v>
      </c>
      <c r="C951" t="s">
        <v>2164</v>
      </c>
      <c r="D951" t="s">
        <v>70</v>
      </c>
      <c r="E951" t="s">
        <v>71</v>
      </c>
      <c r="F951">
        <v>5</v>
      </c>
      <c r="G951">
        <v>0</v>
      </c>
      <c r="H951">
        <v>90000</v>
      </c>
      <c r="I951">
        <v>17500</v>
      </c>
      <c r="J951" t="s">
        <v>39</v>
      </c>
      <c r="K951" t="s">
        <v>40</v>
      </c>
      <c r="L951">
        <v>18000</v>
      </c>
      <c r="M951">
        <v>19.44444444444445</v>
      </c>
      <c r="N951" t="s">
        <v>8</v>
      </c>
      <c r="O951" t="s">
        <v>141</v>
      </c>
      <c r="P951" t="s">
        <v>29</v>
      </c>
      <c r="Q951" t="s">
        <v>74</v>
      </c>
      <c r="R951" t="s">
        <v>75</v>
      </c>
      <c r="S951" t="s">
        <v>75</v>
      </c>
      <c r="T951" t="s">
        <v>2165</v>
      </c>
      <c r="U951" t="s">
        <v>105</v>
      </c>
      <c r="V951">
        <v>3500</v>
      </c>
    </row>
    <row r="952" spans="1:22" x14ac:dyDescent="0.3">
      <c r="A952" t="s">
        <v>2166</v>
      </c>
      <c r="B952" s="2">
        <v>45901</v>
      </c>
      <c r="C952" t="s">
        <v>1060</v>
      </c>
      <c r="D952" t="s">
        <v>70</v>
      </c>
      <c r="E952" t="s">
        <v>129</v>
      </c>
      <c r="F952">
        <v>5</v>
      </c>
      <c r="G952">
        <v>0</v>
      </c>
      <c r="H952">
        <v>275000</v>
      </c>
      <c r="I952">
        <v>45000</v>
      </c>
      <c r="J952" t="s">
        <v>51</v>
      </c>
      <c r="K952" t="s">
        <v>40</v>
      </c>
      <c r="L952">
        <v>55000</v>
      </c>
      <c r="M952">
        <v>16.36363636363636</v>
      </c>
      <c r="N952" t="s">
        <v>8</v>
      </c>
      <c r="O952" t="s">
        <v>1061</v>
      </c>
      <c r="P952" t="s">
        <v>73</v>
      </c>
      <c r="Q952" t="s">
        <v>30</v>
      </c>
      <c r="R952" t="s">
        <v>31</v>
      </c>
      <c r="S952" t="s">
        <v>32</v>
      </c>
      <c r="T952" t="s">
        <v>1062</v>
      </c>
      <c r="U952" t="s">
        <v>46</v>
      </c>
      <c r="V952">
        <v>9000</v>
      </c>
    </row>
    <row r="953" spans="1:22" x14ac:dyDescent="0.3">
      <c r="A953" t="s">
        <v>2167</v>
      </c>
      <c r="B953" s="2">
        <v>45944</v>
      </c>
      <c r="C953" t="s">
        <v>2168</v>
      </c>
      <c r="D953" t="s">
        <v>49</v>
      </c>
      <c r="E953" t="s">
        <v>79</v>
      </c>
      <c r="F953">
        <v>1</v>
      </c>
      <c r="G953">
        <v>0</v>
      </c>
      <c r="H953">
        <v>11000</v>
      </c>
      <c r="I953">
        <v>2600</v>
      </c>
      <c r="J953" t="s">
        <v>39</v>
      </c>
      <c r="K953" t="s">
        <v>40</v>
      </c>
      <c r="L953">
        <v>11000</v>
      </c>
      <c r="M953">
        <v>23.63636363636364</v>
      </c>
      <c r="N953" t="s">
        <v>8</v>
      </c>
      <c r="O953" t="s">
        <v>2169</v>
      </c>
      <c r="P953" t="s">
        <v>29</v>
      </c>
      <c r="Q953" t="s">
        <v>131</v>
      </c>
      <c r="R953" t="s">
        <v>289</v>
      </c>
      <c r="S953" t="s">
        <v>290</v>
      </c>
      <c r="T953" t="s">
        <v>793</v>
      </c>
      <c r="U953" t="s">
        <v>34</v>
      </c>
      <c r="V953">
        <v>2600</v>
      </c>
    </row>
    <row r="954" spans="1:22" x14ac:dyDescent="0.3">
      <c r="A954" t="s">
        <v>2170</v>
      </c>
      <c r="B954" s="2">
        <v>45886</v>
      </c>
      <c r="C954" t="s">
        <v>461</v>
      </c>
      <c r="D954" t="s">
        <v>24</v>
      </c>
      <c r="E954" t="s">
        <v>92</v>
      </c>
      <c r="F954">
        <v>2</v>
      </c>
      <c r="G954">
        <v>0.05</v>
      </c>
      <c r="H954">
        <v>1710</v>
      </c>
      <c r="I954">
        <v>508.34</v>
      </c>
      <c r="J954" t="s">
        <v>51</v>
      </c>
      <c r="K954" t="s">
        <v>40</v>
      </c>
      <c r="L954">
        <v>855</v>
      </c>
      <c r="M954">
        <v>29.72748538011696</v>
      </c>
      <c r="N954" t="s">
        <v>8</v>
      </c>
      <c r="O954" t="s">
        <v>462</v>
      </c>
      <c r="P954" t="s">
        <v>83</v>
      </c>
      <c r="Q954" t="s">
        <v>42</v>
      </c>
      <c r="R954" t="s">
        <v>214</v>
      </c>
      <c r="S954" t="s">
        <v>111</v>
      </c>
      <c r="T954" t="s">
        <v>463</v>
      </c>
      <c r="U954" t="s">
        <v>34</v>
      </c>
      <c r="V954">
        <v>254.17</v>
      </c>
    </row>
    <row r="955" spans="1:22" x14ac:dyDescent="0.3">
      <c r="A955" t="s">
        <v>2171</v>
      </c>
      <c r="B955" s="2">
        <v>46136</v>
      </c>
      <c r="C955" t="s">
        <v>96</v>
      </c>
      <c r="D955" t="s">
        <v>70</v>
      </c>
      <c r="E955" t="s">
        <v>129</v>
      </c>
      <c r="F955">
        <v>1</v>
      </c>
      <c r="G955">
        <v>0.1</v>
      </c>
      <c r="H955">
        <v>49500</v>
      </c>
      <c r="I955">
        <v>4410.79</v>
      </c>
      <c r="J955" t="s">
        <v>65</v>
      </c>
      <c r="K955" t="s">
        <v>27</v>
      </c>
      <c r="L955">
        <v>49500</v>
      </c>
      <c r="M955">
        <v>8.9106868686868701</v>
      </c>
      <c r="N955" t="s">
        <v>8</v>
      </c>
      <c r="O955" t="s">
        <v>97</v>
      </c>
      <c r="P955" t="s">
        <v>73</v>
      </c>
      <c r="Q955" t="s">
        <v>30</v>
      </c>
      <c r="R955" t="s">
        <v>98</v>
      </c>
      <c r="S955" t="s">
        <v>54</v>
      </c>
      <c r="T955" t="s">
        <v>99</v>
      </c>
      <c r="U955" t="s">
        <v>100</v>
      </c>
      <c r="V955">
        <v>4410.79</v>
      </c>
    </row>
    <row r="956" spans="1:22" x14ac:dyDescent="0.3">
      <c r="A956" t="s">
        <v>2172</v>
      </c>
      <c r="B956" s="2">
        <v>46104</v>
      </c>
      <c r="C956" t="s">
        <v>736</v>
      </c>
      <c r="D956" t="s">
        <v>37</v>
      </c>
      <c r="E956" t="s">
        <v>190</v>
      </c>
      <c r="F956">
        <v>1</v>
      </c>
      <c r="G956">
        <v>0.15</v>
      </c>
      <c r="H956">
        <v>3570</v>
      </c>
      <c r="I956">
        <v>888.02</v>
      </c>
      <c r="J956" t="s">
        <v>51</v>
      </c>
      <c r="K956" t="s">
        <v>27</v>
      </c>
      <c r="L956">
        <v>3570</v>
      </c>
      <c r="M956">
        <v>24.874509803921569</v>
      </c>
      <c r="N956" t="s">
        <v>8</v>
      </c>
      <c r="O956" t="s">
        <v>648</v>
      </c>
      <c r="P956" t="s">
        <v>29</v>
      </c>
      <c r="Q956" t="s">
        <v>30</v>
      </c>
      <c r="R956" t="s">
        <v>60</v>
      </c>
      <c r="S956" t="s">
        <v>61</v>
      </c>
      <c r="T956" t="s">
        <v>311</v>
      </c>
      <c r="U956" t="s">
        <v>34</v>
      </c>
      <c r="V956">
        <v>888.02</v>
      </c>
    </row>
    <row r="957" spans="1:22" x14ac:dyDescent="0.3">
      <c r="A957" t="s">
        <v>2173</v>
      </c>
      <c r="B957" s="2">
        <v>46204</v>
      </c>
      <c r="C957" t="s">
        <v>1505</v>
      </c>
      <c r="D957" t="s">
        <v>49</v>
      </c>
      <c r="E957" t="s">
        <v>119</v>
      </c>
      <c r="F957">
        <v>2</v>
      </c>
      <c r="G957">
        <v>0.05</v>
      </c>
      <c r="H957">
        <v>17100</v>
      </c>
      <c r="I957">
        <v>-1760.57</v>
      </c>
      <c r="J957" t="s">
        <v>51</v>
      </c>
      <c r="K957" t="s">
        <v>434</v>
      </c>
      <c r="L957">
        <v>8550</v>
      </c>
      <c r="M957">
        <v>-10.29573099415205</v>
      </c>
      <c r="N957" t="s">
        <v>81</v>
      </c>
      <c r="O957" t="s">
        <v>382</v>
      </c>
      <c r="P957" t="s">
        <v>73</v>
      </c>
      <c r="Q957" t="s">
        <v>131</v>
      </c>
      <c r="R957" t="s">
        <v>200</v>
      </c>
      <c r="S957" t="s">
        <v>201</v>
      </c>
      <c r="T957" t="s">
        <v>1506</v>
      </c>
      <c r="U957" t="s">
        <v>105</v>
      </c>
      <c r="V957">
        <v>-880.28499999999997</v>
      </c>
    </row>
    <row r="958" spans="1:22" x14ac:dyDescent="0.3">
      <c r="A958" t="s">
        <v>2174</v>
      </c>
      <c r="B958" s="2">
        <v>45878</v>
      </c>
      <c r="C958" t="s">
        <v>610</v>
      </c>
      <c r="D958" t="s">
        <v>70</v>
      </c>
      <c r="E958" t="s">
        <v>165</v>
      </c>
      <c r="F958">
        <v>2</v>
      </c>
      <c r="G958">
        <v>0</v>
      </c>
      <c r="H958">
        <v>5000</v>
      </c>
      <c r="I958">
        <v>1600</v>
      </c>
      <c r="J958" t="s">
        <v>26</v>
      </c>
      <c r="K958" t="s">
        <v>40</v>
      </c>
      <c r="L958">
        <v>2500</v>
      </c>
      <c r="M958">
        <v>32</v>
      </c>
      <c r="N958" t="s">
        <v>8</v>
      </c>
      <c r="O958" t="s">
        <v>611</v>
      </c>
      <c r="P958" t="s">
        <v>83</v>
      </c>
      <c r="Q958" t="s">
        <v>42</v>
      </c>
      <c r="R958" t="s">
        <v>110</v>
      </c>
      <c r="S958" t="s">
        <v>111</v>
      </c>
      <c r="T958" t="s">
        <v>612</v>
      </c>
      <c r="U958" t="s">
        <v>34</v>
      </c>
      <c r="V958">
        <v>800</v>
      </c>
    </row>
    <row r="959" spans="1:22" x14ac:dyDescent="0.3">
      <c r="A959" t="s">
        <v>2175</v>
      </c>
      <c r="B959" s="2">
        <v>45879</v>
      </c>
      <c r="C959" t="s">
        <v>1497</v>
      </c>
      <c r="D959" t="s">
        <v>49</v>
      </c>
      <c r="E959" t="s">
        <v>50</v>
      </c>
      <c r="F959">
        <v>3</v>
      </c>
      <c r="G959">
        <v>0.05</v>
      </c>
      <c r="H959">
        <v>37050</v>
      </c>
      <c r="I959">
        <v>8378.65</v>
      </c>
      <c r="J959" t="s">
        <v>39</v>
      </c>
      <c r="K959" t="s">
        <v>40</v>
      </c>
      <c r="L959">
        <v>12350</v>
      </c>
      <c r="M959">
        <v>22.614439946018891</v>
      </c>
      <c r="N959" t="s">
        <v>8</v>
      </c>
      <c r="O959" t="s">
        <v>88</v>
      </c>
      <c r="P959" t="s">
        <v>73</v>
      </c>
      <c r="Q959" t="s">
        <v>30</v>
      </c>
      <c r="R959" t="s">
        <v>31</v>
      </c>
      <c r="S959" t="s">
        <v>32</v>
      </c>
      <c r="T959" t="s">
        <v>1498</v>
      </c>
      <c r="U959" t="s">
        <v>46</v>
      </c>
      <c r="V959">
        <v>2792.8833333333332</v>
      </c>
    </row>
    <row r="960" spans="1:22" x14ac:dyDescent="0.3">
      <c r="A960" t="s">
        <v>2176</v>
      </c>
      <c r="B960" s="2">
        <v>45927</v>
      </c>
      <c r="C960" t="s">
        <v>2177</v>
      </c>
      <c r="D960" t="s">
        <v>49</v>
      </c>
      <c r="E960" t="s">
        <v>119</v>
      </c>
      <c r="F960">
        <v>2</v>
      </c>
      <c r="G960">
        <v>0.15</v>
      </c>
      <c r="H960">
        <v>15300</v>
      </c>
      <c r="I960">
        <v>3306.24</v>
      </c>
      <c r="J960" t="s">
        <v>26</v>
      </c>
      <c r="K960" t="s">
        <v>40</v>
      </c>
      <c r="L960">
        <v>7650</v>
      </c>
      <c r="M960">
        <v>21.609411764705879</v>
      </c>
      <c r="N960" t="s">
        <v>8</v>
      </c>
      <c r="O960" t="s">
        <v>175</v>
      </c>
      <c r="P960" t="s">
        <v>29</v>
      </c>
      <c r="Q960" t="s">
        <v>30</v>
      </c>
      <c r="R960" t="s">
        <v>98</v>
      </c>
      <c r="S960" t="s">
        <v>54</v>
      </c>
      <c r="T960" t="s">
        <v>2178</v>
      </c>
      <c r="U960" t="s">
        <v>46</v>
      </c>
      <c r="V960">
        <v>1653.12</v>
      </c>
    </row>
    <row r="961" spans="1:22" x14ac:dyDescent="0.3">
      <c r="A961" t="s">
        <v>2179</v>
      </c>
      <c r="B961" s="2">
        <v>46184</v>
      </c>
      <c r="C961" t="s">
        <v>617</v>
      </c>
      <c r="D961" t="s">
        <v>37</v>
      </c>
      <c r="E961" t="s">
        <v>190</v>
      </c>
      <c r="F961">
        <v>1</v>
      </c>
      <c r="G961">
        <v>0</v>
      </c>
      <c r="H961">
        <v>4200</v>
      </c>
      <c r="I961">
        <v>1200</v>
      </c>
      <c r="J961" t="s">
        <v>51</v>
      </c>
      <c r="K961" t="s">
        <v>40</v>
      </c>
      <c r="L961">
        <v>4200</v>
      </c>
      <c r="M961">
        <v>28.571428571428569</v>
      </c>
      <c r="N961" t="s">
        <v>8</v>
      </c>
      <c r="O961" t="s">
        <v>618</v>
      </c>
      <c r="P961" t="s">
        <v>83</v>
      </c>
      <c r="Q961" t="s">
        <v>30</v>
      </c>
      <c r="R961" t="s">
        <v>98</v>
      </c>
      <c r="S961" t="s">
        <v>54</v>
      </c>
      <c r="T961" t="s">
        <v>619</v>
      </c>
      <c r="U961" t="s">
        <v>100</v>
      </c>
      <c r="V961">
        <v>1200</v>
      </c>
    </row>
    <row r="962" spans="1:22" x14ac:dyDescent="0.3">
      <c r="A962" t="s">
        <v>2180</v>
      </c>
      <c r="B962" s="2">
        <v>46097</v>
      </c>
      <c r="C962" t="s">
        <v>556</v>
      </c>
      <c r="D962" t="s">
        <v>49</v>
      </c>
      <c r="E962" t="s">
        <v>50</v>
      </c>
      <c r="F962">
        <v>1</v>
      </c>
      <c r="G962">
        <v>0.1</v>
      </c>
      <c r="H962">
        <v>11700</v>
      </c>
      <c r="I962">
        <v>2291.73</v>
      </c>
      <c r="J962" t="s">
        <v>65</v>
      </c>
      <c r="K962" t="s">
        <v>27</v>
      </c>
      <c r="L962">
        <v>11700</v>
      </c>
      <c r="M962">
        <v>19.587435897435899</v>
      </c>
      <c r="N962" t="s">
        <v>8</v>
      </c>
      <c r="O962" t="s">
        <v>161</v>
      </c>
      <c r="P962" t="s">
        <v>29</v>
      </c>
      <c r="Q962" t="s">
        <v>30</v>
      </c>
      <c r="R962" t="s">
        <v>53</v>
      </c>
      <c r="S962" t="s">
        <v>54</v>
      </c>
      <c r="T962" t="s">
        <v>557</v>
      </c>
      <c r="U962" t="s">
        <v>34</v>
      </c>
      <c r="V962">
        <v>2291.73</v>
      </c>
    </row>
    <row r="963" spans="1:22" x14ac:dyDescent="0.3">
      <c r="A963" t="s">
        <v>2181</v>
      </c>
      <c r="B963" s="2">
        <v>45994</v>
      </c>
      <c r="C963" t="s">
        <v>2182</v>
      </c>
      <c r="D963" t="s">
        <v>70</v>
      </c>
      <c r="E963" t="s">
        <v>165</v>
      </c>
      <c r="F963">
        <v>3</v>
      </c>
      <c r="G963">
        <v>0</v>
      </c>
      <c r="H963">
        <v>7500</v>
      </c>
      <c r="I963">
        <v>-1609.55</v>
      </c>
      <c r="J963" t="s">
        <v>39</v>
      </c>
      <c r="K963" t="s">
        <v>434</v>
      </c>
      <c r="L963">
        <v>2500</v>
      </c>
      <c r="M963">
        <v>-21.460666666666668</v>
      </c>
      <c r="N963" t="s">
        <v>81</v>
      </c>
      <c r="O963" t="s">
        <v>2183</v>
      </c>
      <c r="P963" t="s">
        <v>73</v>
      </c>
      <c r="Q963" t="s">
        <v>30</v>
      </c>
      <c r="R963" t="s">
        <v>98</v>
      </c>
      <c r="S963" t="s">
        <v>54</v>
      </c>
      <c r="T963" t="s">
        <v>2184</v>
      </c>
      <c r="U963" t="s">
        <v>105</v>
      </c>
      <c r="V963">
        <v>-536.51666666666665</v>
      </c>
    </row>
    <row r="964" spans="1:22" x14ac:dyDescent="0.3">
      <c r="A964" t="s">
        <v>2185</v>
      </c>
      <c r="B964" s="2">
        <v>45977</v>
      </c>
      <c r="C964" t="s">
        <v>57</v>
      </c>
      <c r="D964" t="s">
        <v>24</v>
      </c>
      <c r="E964" t="s">
        <v>92</v>
      </c>
      <c r="F964">
        <v>2</v>
      </c>
      <c r="G964">
        <v>0.15</v>
      </c>
      <c r="H964">
        <v>1530</v>
      </c>
      <c r="I964">
        <v>349.98</v>
      </c>
      <c r="J964" t="s">
        <v>51</v>
      </c>
      <c r="K964" t="s">
        <v>40</v>
      </c>
      <c r="L964">
        <v>765</v>
      </c>
      <c r="M964">
        <v>22.874509803921569</v>
      </c>
      <c r="N964" t="s">
        <v>8</v>
      </c>
      <c r="O964" t="s">
        <v>59</v>
      </c>
      <c r="P964" t="s">
        <v>29</v>
      </c>
      <c r="Q964" t="s">
        <v>30</v>
      </c>
      <c r="R964" t="s">
        <v>60</v>
      </c>
      <c r="S964" t="s">
        <v>61</v>
      </c>
      <c r="T964" t="s">
        <v>62</v>
      </c>
      <c r="U964" t="s">
        <v>34</v>
      </c>
      <c r="V964">
        <v>174.99</v>
      </c>
    </row>
    <row r="965" spans="1:22" x14ac:dyDescent="0.3">
      <c r="A965" t="s">
        <v>2186</v>
      </c>
      <c r="B965" s="2">
        <v>45977</v>
      </c>
      <c r="C965" t="s">
        <v>36</v>
      </c>
      <c r="D965" t="s">
        <v>37</v>
      </c>
      <c r="E965" t="s">
        <v>170</v>
      </c>
      <c r="F965">
        <v>1</v>
      </c>
      <c r="G965">
        <v>0</v>
      </c>
      <c r="H965">
        <v>1400</v>
      </c>
      <c r="I965">
        <v>500</v>
      </c>
      <c r="J965" t="s">
        <v>26</v>
      </c>
      <c r="K965" t="s">
        <v>27</v>
      </c>
      <c r="L965">
        <v>1400</v>
      </c>
      <c r="M965">
        <v>35.714285714285722</v>
      </c>
      <c r="N965" t="s">
        <v>8</v>
      </c>
      <c r="O965" t="s">
        <v>41</v>
      </c>
      <c r="P965" t="s">
        <v>29</v>
      </c>
      <c r="Q965" t="s">
        <v>42</v>
      </c>
      <c r="R965" t="s">
        <v>43</v>
      </c>
      <c r="S965" t="s">
        <v>44</v>
      </c>
      <c r="T965" t="s">
        <v>45</v>
      </c>
      <c r="U965" t="s">
        <v>46</v>
      </c>
      <c r="V965">
        <v>500</v>
      </c>
    </row>
    <row r="966" spans="1:22" x14ac:dyDescent="0.3">
      <c r="A966" t="s">
        <v>2187</v>
      </c>
      <c r="B966" s="2">
        <v>45977</v>
      </c>
      <c r="C966" t="s">
        <v>2188</v>
      </c>
      <c r="D966" t="s">
        <v>37</v>
      </c>
      <c r="E966" t="s">
        <v>38</v>
      </c>
      <c r="F966">
        <v>3</v>
      </c>
      <c r="G966">
        <v>0.05</v>
      </c>
      <c r="H966">
        <v>5130</v>
      </c>
      <c r="I966">
        <v>1806.97</v>
      </c>
      <c r="J966" t="s">
        <v>26</v>
      </c>
      <c r="K966" t="s">
        <v>40</v>
      </c>
      <c r="L966">
        <v>1710</v>
      </c>
      <c r="M966">
        <v>35.223586744639377</v>
      </c>
      <c r="N966" t="s">
        <v>8</v>
      </c>
      <c r="O966" t="s">
        <v>1963</v>
      </c>
      <c r="P966" t="s">
        <v>29</v>
      </c>
      <c r="Q966" t="s">
        <v>42</v>
      </c>
      <c r="R966" t="s">
        <v>214</v>
      </c>
      <c r="S966" t="s">
        <v>111</v>
      </c>
      <c r="T966" t="s">
        <v>2189</v>
      </c>
      <c r="U966" t="s">
        <v>46</v>
      </c>
      <c r="V966">
        <v>602.32333333333338</v>
      </c>
    </row>
    <row r="967" spans="1:22" x14ac:dyDescent="0.3">
      <c r="A967" t="s">
        <v>2190</v>
      </c>
      <c r="B967" s="2">
        <v>46239</v>
      </c>
      <c r="C967" t="s">
        <v>1474</v>
      </c>
      <c r="D967" t="s">
        <v>49</v>
      </c>
      <c r="E967" t="s">
        <v>58</v>
      </c>
      <c r="F967">
        <v>3</v>
      </c>
      <c r="G967">
        <v>0.05</v>
      </c>
      <c r="H967">
        <v>42750</v>
      </c>
      <c r="I967">
        <v>8674.08</v>
      </c>
      <c r="J967" t="s">
        <v>26</v>
      </c>
      <c r="K967" t="s">
        <v>40</v>
      </c>
      <c r="L967">
        <v>14250</v>
      </c>
      <c r="M967">
        <v>20.29024561403509</v>
      </c>
      <c r="N967" t="s">
        <v>8</v>
      </c>
      <c r="O967" t="s">
        <v>1475</v>
      </c>
      <c r="P967" t="s">
        <v>73</v>
      </c>
      <c r="Q967" t="s">
        <v>30</v>
      </c>
      <c r="R967" t="s">
        <v>98</v>
      </c>
      <c r="S967" t="s">
        <v>54</v>
      </c>
      <c r="T967" t="s">
        <v>1476</v>
      </c>
      <c r="U967" t="s">
        <v>100</v>
      </c>
      <c r="V967">
        <v>2891.36</v>
      </c>
    </row>
    <row r="968" spans="1:22" x14ac:dyDescent="0.3">
      <c r="A968" t="s">
        <v>2191</v>
      </c>
      <c r="B968" s="2">
        <v>46224</v>
      </c>
      <c r="C968" t="s">
        <v>96</v>
      </c>
      <c r="D968" t="s">
        <v>24</v>
      </c>
      <c r="E968" t="s">
        <v>87</v>
      </c>
      <c r="F968">
        <v>2</v>
      </c>
      <c r="G968">
        <v>0</v>
      </c>
      <c r="H968">
        <v>700</v>
      </c>
      <c r="I968">
        <v>240</v>
      </c>
      <c r="J968" t="s">
        <v>26</v>
      </c>
      <c r="K968" t="s">
        <v>40</v>
      </c>
      <c r="L968">
        <v>350</v>
      </c>
      <c r="M968">
        <v>34.285714285714278</v>
      </c>
      <c r="N968" t="s">
        <v>8</v>
      </c>
      <c r="O968" t="s">
        <v>97</v>
      </c>
      <c r="P968" t="s">
        <v>73</v>
      </c>
      <c r="Q968" t="s">
        <v>30</v>
      </c>
      <c r="R968" t="s">
        <v>98</v>
      </c>
      <c r="S968" t="s">
        <v>54</v>
      </c>
      <c r="T968" t="s">
        <v>99</v>
      </c>
      <c r="U968" t="s">
        <v>100</v>
      </c>
      <c r="V968">
        <v>120</v>
      </c>
    </row>
    <row r="969" spans="1:22" x14ac:dyDescent="0.3">
      <c r="A969" t="s">
        <v>2192</v>
      </c>
      <c r="B969" s="2">
        <v>46117</v>
      </c>
      <c r="C969" t="s">
        <v>358</v>
      </c>
      <c r="D969" t="s">
        <v>70</v>
      </c>
      <c r="E969" t="s">
        <v>165</v>
      </c>
      <c r="F969">
        <v>6</v>
      </c>
      <c r="G969">
        <v>0.05</v>
      </c>
      <c r="H969">
        <v>14250</v>
      </c>
      <c r="I969">
        <v>4322.45</v>
      </c>
      <c r="J969" t="s">
        <v>51</v>
      </c>
      <c r="K969" t="s">
        <v>40</v>
      </c>
      <c r="L969">
        <v>2375</v>
      </c>
      <c r="M969">
        <v>30.33298245614035</v>
      </c>
      <c r="N969" t="s">
        <v>8</v>
      </c>
      <c r="O969" t="s">
        <v>359</v>
      </c>
      <c r="P969" t="s">
        <v>83</v>
      </c>
      <c r="Q969" t="s">
        <v>42</v>
      </c>
      <c r="R969" t="s">
        <v>214</v>
      </c>
      <c r="S969" t="s">
        <v>111</v>
      </c>
      <c r="T969" t="s">
        <v>256</v>
      </c>
      <c r="U969" t="s">
        <v>46</v>
      </c>
      <c r="V969">
        <v>720.4083333333333</v>
      </c>
    </row>
    <row r="970" spans="1:22" x14ac:dyDescent="0.3">
      <c r="A970" t="s">
        <v>2193</v>
      </c>
      <c r="B970" s="2">
        <v>45903</v>
      </c>
      <c r="C970" t="s">
        <v>2194</v>
      </c>
      <c r="D970" t="s">
        <v>37</v>
      </c>
      <c r="E970" t="s">
        <v>310</v>
      </c>
      <c r="F970">
        <v>1</v>
      </c>
      <c r="G970">
        <v>0.15</v>
      </c>
      <c r="H970">
        <v>1870</v>
      </c>
      <c r="I970">
        <v>551.64</v>
      </c>
      <c r="J970" t="s">
        <v>39</v>
      </c>
      <c r="K970" t="s">
        <v>27</v>
      </c>
      <c r="L970">
        <v>1870</v>
      </c>
      <c r="M970">
        <v>29.499465240641712</v>
      </c>
      <c r="N970" t="s">
        <v>8</v>
      </c>
      <c r="O970" t="s">
        <v>333</v>
      </c>
      <c r="P970" t="s">
        <v>29</v>
      </c>
      <c r="Q970" t="s">
        <v>42</v>
      </c>
      <c r="R970" t="s">
        <v>43</v>
      </c>
      <c r="S970" t="s">
        <v>44</v>
      </c>
      <c r="T970" t="s">
        <v>2004</v>
      </c>
      <c r="U970" t="s">
        <v>34</v>
      </c>
      <c r="V970">
        <v>551.64</v>
      </c>
    </row>
    <row r="971" spans="1:22" x14ac:dyDescent="0.3">
      <c r="A971" t="s">
        <v>2195</v>
      </c>
      <c r="B971" s="2">
        <v>46107</v>
      </c>
      <c r="C971" t="s">
        <v>204</v>
      </c>
      <c r="D971" t="s">
        <v>49</v>
      </c>
      <c r="E971" t="s">
        <v>50</v>
      </c>
      <c r="F971">
        <v>4</v>
      </c>
      <c r="G971">
        <v>0.2</v>
      </c>
      <c r="H971">
        <v>41600</v>
      </c>
      <c r="I971">
        <v>5538.29</v>
      </c>
      <c r="J971" t="s">
        <v>39</v>
      </c>
      <c r="K971" t="s">
        <v>27</v>
      </c>
      <c r="L971">
        <v>10400</v>
      </c>
      <c r="M971">
        <v>13.313197115384609</v>
      </c>
      <c r="N971" t="s">
        <v>8</v>
      </c>
      <c r="O971" t="s">
        <v>205</v>
      </c>
      <c r="P971" t="s">
        <v>29</v>
      </c>
      <c r="Q971" t="s">
        <v>30</v>
      </c>
      <c r="R971" t="s">
        <v>98</v>
      </c>
      <c r="S971" t="s">
        <v>54</v>
      </c>
      <c r="T971" t="s">
        <v>206</v>
      </c>
      <c r="U971" t="s">
        <v>34</v>
      </c>
      <c r="V971">
        <v>1384.5725</v>
      </c>
    </row>
    <row r="972" spans="1:22" x14ac:dyDescent="0.3">
      <c r="A972" t="s">
        <v>2196</v>
      </c>
      <c r="B972" s="2">
        <v>46151</v>
      </c>
      <c r="C972" t="s">
        <v>2197</v>
      </c>
      <c r="D972" t="s">
        <v>37</v>
      </c>
      <c r="E972" t="s">
        <v>190</v>
      </c>
      <c r="F972">
        <v>2</v>
      </c>
      <c r="G972">
        <v>0.1</v>
      </c>
      <c r="H972">
        <v>7560</v>
      </c>
      <c r="I972">
        <v>1892.86</v>
      </c>
      <c r="J972" t="s">
        <v>51</v>
      </c>
      <c r="K972" t="s">
        <v>40</v>
      </c>
      <c r="L972">
        <v>3780</v>
      </c>
      <c r="M972">
        <v>25.037830687830692</v>
      </c>
      <c r="N972" t="s">
        <v>8</v>
      </c>
      <c r="O972" t="s">
        <v>2027</v>
      </c>
      <c r="P972" t="s">
        <v>29</v>
      </c>
      <c r="Q972" t="s">
        <v>74</v>
      </c>
      <c r="R972" t="s">
        <v>493</v>
      </c>
      <c r="S972" t="s">
        <v>494</v>
      </c>
      <c r="T972" t="s">
        <v>2198</v>
      </c>
      <c r="U972" t="s">
        <v>34</v>
      </c>
      <c r="V972">
        <v>946.43</v>
      </c>
    </row>
    <row r="973" spans="1:22" x14ac:dyDescent="0.3">
      <c r="A973" t="s">
        <v>2199</v>
      </c>
      <c r="B973" s="2">
        <v>45922</v>
      </c>
      <c r="C973" t="s">
        <v>801</v>
      </c>
      <c r="D973" t="s">
        <v>70</v>
      </c>
      <c r="E973" t="s">
        <v>108</v>
      </c>
      <c r="F973">
        <v>1</v>
      </c>
      <c r="G973">
        <v>0.05</v>
      </c>
      <c r="H973">
        <v>4275</v>
      </c>
      <c r="I973">
        <v>1380.38</v>
      </c>
      <c r="J973" t="s">
        <v>65</v>
      </c>
      <c r="K973" t="s">
        <v>27</v>
      </c>
      <c r="L973">
        <v>4275</v>
      </c>
      <c r="M973">
        <v>32.289590643274863</v>
      </c>
      <c r="N973" t="s">
        <v>8</v>
      </c>
      <c r="O973" t="s">
        <v>478</v>
      </c>
      <c r="P973" t="s">
        <v>29</v>
      </c>
      <c r="Q973" t="s">
        <v>30</v>
      </c>
      <c r="R973" t="s">
        <v>98</v>
      </c>
      <c r="S973" t="s">
        <v>54</v>
      </c>
      <c r="T973" t="s">
        <v>802</v>
      </c>
      <c r="U973" t="s">
        <v>34</v>
      </c>
      <c r="V973">
        <v>1380.38</v>
      </c>
    </row>
    <row r="974" spans="1:22" x14ac:dyDescent="0.3">
      <c r="A974" t="s">
        <v>2200</v>
      </c>
      <c r="B974" s="2">
        <v>45893</v>
      </c>
      <c r="C974" t="s">
        <v>757</v>
      </c>
      <c r="D974" t="s">
        <v>70</v>
      </c>
      <c r="E974" t="s">
        <v>108</v>
      </c>
      <c r="F974">
        <v>2</v>
      </c>
      <c r="G974">
        <v>0</v>
      </c>
      <c r="H974">
        <v>9000</v>
      </c>
      <c r="I974">
        <v>3000</v>
      </c>
      <c r="J974" t="s">
        <v>65</v>
      </c>
      <c r="K974" t="s">
        <v>27</v>
      </c>
      <c r="L974">
        <v>4500</v>
      </c>
      <c r="M974">
        <v>33.333333333333329</v>
      </c>
      <c r="N974" t="s">
        <v>8</v>
      </c>
      <c r="O974" t="s">
        <v>758</v>
      </c>
      <c r="P974" t="s">
        <v>83</v>
      </c>
      <c r="Q974" t="s">
        <v>74</v>
      </c>
      <c r="R974" t="s">
        <v>237</v>
      </c>
      <c r="S974" t="s">
        <v>238</v>
      </c>
      <c r="T974" t="s">
        <v>759</v>
      </c>
      <c r="U974" t="s">
        <v>34</v>
      </c>
      <c r="V974">
        <v>1500</v>
      </c>
    </row>
    <row r="975" spans="1:22" x14ac:dyDescent="0.3">
      <c r="A975" t="s">
        <v>2201</v>
      </c>
      <c r="B975" s="2">
        <v>45999</v>
      </c>
      <c r="C975" t="s">
        <v>970</v>
      </c>
      <c r="D975" t="s">
        <v>49</v>
      </c>
      <c r="E975" t="s">
        <v>58</v>
      </c>
      <c r="F975">
        <v>3</v>
      </c>
      <c r="G975">
        <v>0.1</v>
      </c>
      <c r="H975">
        <v>40500</v>
      </c>
      <c r="I975">
        <v>7642.07</v>
      </c>
      <c r="J975" t="s">
        <v>26</v>
      </c>
      <c r="K975" t="s">
        <v>40</v>
      </c>
      <c r="L975">
        <v>13500</v>
      </c>
      <c r="M975">
        <v>18.869308641975309</v>
      </c>
      <c r="N975" t="s">
        <v>8</v>
      </c>
      <c r="O975" t="s">
        <v>971</v>
      </c>
      <c r="P975" t="s">
        <v>83</v>
      </c>
      <c r="Q975" t="s">
        <v>30</v>
      </c>
      <c r="R975" t="s">
        <v>31</v>
      </c>
      <c r="S975" t="s">
        <v>32</v>
      </c>
      <c r="T975" t="s">
        <v>972</v>
      </c>
      <c r="U975" t="s">
        <v>34</v>
      </c>
      <c r="V975">
        <v>2547.356666666667</v>
      </c>
    </row>
    <row r="976" spans="1:22" x14ac:dyDescent="0.3">
      <c r="A976" t="s">
        <v>2202</v>
      </c>
      <c r="B976" s="2">
        <v>45895</v>
      </c>
      <c r="C976" t="s">
        <v>1602</v>
      </c>
      <c r="D976" t="s">
        <v>24</v>
      </c>
      <c r="E976" t="s">
        <v>242</v>
      </c>
      <c r="F976">
        <v>1</v>
      </c>
      <c r="G976">
        <v>0.15</v>
      </c>
      <c r="H976">
        <v>382.5</v>
      </c>
      <c r="I976">
        <v>-190.19</v>
      </c>
      <c r="J976" t="s">
        <v>51</v>
      </c>
      <c r="K976" t="s">
        <v>80</v>
      </c>
      <c r="L976">
        <v>382.5</v>
      </c>
      <c r="M976">
        <v>-49.722875816993472</v>
      </c>
      <c r="N976" t="s">
        <v>81</v>
      </c>
      <c r="O976" t="s">
        <v>1237</v>
      </c>
      <c r="P976" t="s">
        <v>73</v>
      </c>
      <c r="Q976" t="s">
        <v>131</v>
      </c>
      <c r="R976" t="s">
        <v>449</v>
      </c>
      <c r="S976" t="s">
        <v>450</v>
      </c>
      <c r="T976" t="s">
        <v>880</v>
      </c>
      <c r="U976" t="s">
        <v>105</v>
      </c>
      <c r="V976">
        <v>-190.19</v>
      </c>
    </row>
    <row r="977" spans="1:22" x14ac:dyDescent="0.3">
      <c r="A977" t="s">
        <v>2203</v>
      </c>
      <c r="B977" s="2">
        <v>45936</v>
      </c>
      <c r="C977" t="s">
        <v>820</v>
      </c>
      <c r="D977" t="s">
        <v>49</v>
      </c>
      <c r="E977" t="s">
        <v>58</v>
      </c>
      <c r="F977">
        <v>6</v>
      </c>
      <c r="G977">
        <v>0</v>
      </c>
      <c r="H977">
        <v>90000</v>
      </c>
      <c r="I977">
        <v>21000</v>
      </c>
      <c r="J977" t="s">
        <v>65</v>
      </c>
      <c r="K977" t="s">
        <v>40</v>
      </c>
      <c r="L977">
        <v>15000</v>
      </c>
      <c r="M977">
        <v>23.333333333333329</v>
      </c>
      <c r="N977" t="s">
        <v>8</v>
      </c>
      <c r="O977" t="s">
        <v>821</v>
      </c>
      <c r="P977" t="s">
        <v>29</v>
      </c>
      <c r="Q977" t="s">
        <v>74</v>
      </c>
      <c r="R977" t="s">
        <v>237</v>
      </c>
      <c r="S977" t="s">
        <v>238</v>
      </c>
      <c r="T977" t="s">
        <v>822</v>
      </c>
      <c r="U977" t="s">
        <v>34</v>
      </c>
      <c r="V977">
        <v>3500</v>
      </c>
    </row>
    <row r="978" spans="1:22" x14ac:dyDescent="0.3">
      <c r="A978" t="s">
        <v>2204</v>
      </c>
      <c r="B978" s="2">
        <v>46010</v>
      </c>
      <c r="C978" t="s">
        <v>469</v>
      </c>
      <c r="D978" t="s">
        <v>37</v>
      </c>
      <c r="E978" t="s">
        <v>190</v>
      </c>
      <c r="F978">
        <v>5</v>
      </c>
      <c r="G978">
        <v>0.2</v>
      </c>
      <c r="H978">
        <v>16800</v>
      </c>
      <c r="I978">
        <v>3232.95</v>
      </c>
      <c r="J978" t="s">
        <v>26</v>
      </c>
      <c r="K978" t="s">
        <v>40</v>
      </c>
      <c r="L978">
        <v>3360</v>
      </c>
      <c r="M978">
        <v>19.243749999999999</v>
      </c>
      <c r="N978" t="s">
        <v>8</v>
      </c>
      <c r="O978" t="s">
        <v>470</v>
      </c>
      <c r="P978" t="s">
        <v>83</v>
      </c>
      <c r="Q978" t="s">
        <v>30</v>
      </c>
      <c r="R978" t="s">
        <v>31</v>
      </c>
      <c r="S978" t="s">
        <v>32</v>
      </c>
      <c r="T978" t="s">
        <v>471</v>
      </c>
      <c r="U978" t="s">
        <v>100</v>
      </c>
      <c r="V978">
        <v>646.58999999999992</v>
      </c>
    </row>
    <row r="979" spans="1:22" x14ac:dyDescent="0.3">
      <c r="A979" t="s">
        <v>2205</v>
      </c>
      <c r="B979" s="2">
        <v>46115</v>
      </c>
      <c r="C979" t="s">
        <v>1014</v>
      </c>
      <c r="D979" t="s">
        <v>70</v>
      </c>
      <c r="E979" t="s">
        <v>129</v>
      </c>
      <c r="F979">
        <v>3</v>
      </c>
      <c r="G979">
        <v>0.1</v>
      </c>
      <c r="H979">
        <v>148500</v>
      </c>
      <c r="I979">
        <v>14359.04</v>
      </c>
      <c r="J979" t="s">
        <v>65</v>
      </c>
      <c r="K979" t="s">
        <v>40</v>
      </c>
      <c r="L979">
        <v>49500</v>
      </c>
      <c r="M979">
        <v>9.6693872053872063</v>
      </c>
      <c r="N979" t="s">
        <v>8</v>
      </c>
      <c r="O979" t="s">
        <v>530</v>
      </c>
      <c r="P979" t="s">
        <v>73</v>
      </c>
      <c r="Q979" t="s">
        <v>42</v>
      </c>
      <c r="R979" t="s">
        <v>121</v>
      </c>
      <c r="S979" t="s">
        <v>44</v>
      </c>
      <c r="T979" t="s">
        <v>1015</v>
      </c>
      <c r="U979" t="s">
        <v>34</v>
      </c>
      <c r="V979">
        <v>4786.3466666666673</v>
      </c>
    </row>
    <row r="980" spans="1:22" x14ac:dyDescent="0.3">
      <c r="A980" t="s">
        <v>2206</v>
      </c>
      <c r="B980" s="2">
        <v>45859</v>
      </c>
      <c r="C980" t="s">
        <v>1655</v>
      </c>
      <c r="D980" t="s">
        <v>37</v>
      </c>
      <c r="E980" t="s">
        <v>190</v>
      </c>
      <c r="F980">
        <v>1</v>
      </c>
      <c r="G980">
        <v>0</v>
      </c>
      <c r="H980">
        <v>4200</v>
      </c>
      <c r="I980">
        <v>1200</v>
      </c>
      <c r="J980" t="s">
        <v>39</v>
      </c>
      <c r="K980" t="s">
        <v>40</v>
      </c>
      <c r="L980">
        <v>4200</v>
      </c>
      <c r="M980">
        <v>28.571428571428569</v>
      </c>
      <c r="N980" t="s">
        <v>8</v>
      </c>
      <c r="O980" t="s">
        <v>1656</v>
      </c>
      <c r="P980" t="s">
        <v>29</v>
      </c>
      <c r="Q980" t="s">
        <v>30</v>
      </c>
      <c r="R980" t="s">
        <v>53</v>
      </c>
      <c r="S980" t="s">
        <v>54</v>
      </c>
      <c r="T980" t="s">
        <v>1657</v>
      </c>
      <c r="U980" t="s">
        <v>34</v>
      </c>
      <c r="V980">
        <v>1200</v>
      </c>
    </row>
    <row r="981" spans="1:22" x14ac:dyDescent="0.3">
      <c r="A981" t="s">
        <v>2207</v>
      </c>
      <c r="B981" s="2">
        <v>46027</v>
      </c>
      <c r="C981" t="s">
        <v>907</v>
      </c>
      <c r="D981" t="s">
        <v>24</v>
      </c>
      <c r="E981" t="s">
        <v>92</v>
      </c>
      <c r="F981">
        <v>2</v>
      </c>
      <c r="G981">
        <v>0.2</v>
      </c>
      <c r="H981">
        <v>1440</v>
      </c>
      <c r="I981">
        <v>379.44</v>
      </c>
      <c r="J981" t="s">
        <v>39</v>
      </c>
      <c r="K981" t="s">
        <v>27</v>
      </c>
      <c r="L981">
        <v>720</v>
      </c>
      <c r="M981">
        <v>26.35</v>
      </c>
      <c r="N981" t="s">
        <v>8</v>
      </c>
      <c r="O981" t="s">
        <v>908</v>
      </c>
      <c r="P981" t="s">
        <v>29</v>
      </c>
      <c r="Q981" t="s">
        <v>30</v>
      </c>
      <c r="R981" t="s">
        <v>60</v>
      </c>
      <c r="S981" t="s">
        <v>61</v>
      </c>
      <c r="T981" t="s">
        <v>486</v>
      </c>
      <c r="U981" t="s">
        <v>34</v>
      </c>
      <c r="V981">
        <v>189.72</v>
      </c>
    </row>
    <row r="982" spans="1:22" x14ac:dyDescent="0.3">
      <c r="A982" t="s">
        <v>2208</v>
      </c>
      <c r="B982" s="2">
        <v>46037</v>
      </c>
      <c r="C982" t="s">
        <v>279</v>
      </c>
      <c r="D982" t="s">
        <v>49</v>
      </c>
      <c r="E982" t="s">
        <v>58</v>
      </c>
      <c r="F982">
        <v>6</v>
      </c>
      <c r="G982">
        <v>0</v>
      </c>
      <c r="H982">
        <v>90000</v>
      </c>
      <c r="I982">
        <v>21000</v>
      </c>
      <c r="J982" t="s">
        <v>26</v>
      </c>
      <c r="K982" t="s">
        <v>40</v>
      </c>
      <c r="L982">
        <v>15000</v>
      </c>
      <c r="M982">
        <v>23.333333333333329</v>
      </c>
      <c r="N982" t="s">
        <v>8</v>
      </c>
      <c r="O982" t="s">
        <v>280</v>
      </c>
      <c r="P982" t="s">
        <v>73</v>
      </c>
      <c r="Q982" t="s">
        <v>30</v>
      </c>
      <c r="R982" t="s">
        <v>31</v>
      </c>
      <c r="S982" t="s">
        <v>32</v>
      </c>
      <c r="T982" t="s">
        <v>281</v>
      </c>
      <c r="U982" t="s">
        <v>46</v>
      </c>
      <c r="V982">
        <v>3500</v>
      </c>
    </row>
    <row r="983" spans="1:22" x14ac:dyDescent="0.3">
      <c r="A983" t="s">
        <v>2209</v>
      </c>
      <c r="B983" s="2">
        <v>46006</v>
      </c>
      <c r="C983" t="s">
        <v>2210</v>
      </c>
      <c r="D983" t="s">
        <v>24</v>
      </c>
      <c r="E983" t="s">
        <v>242</v>
      </c>
      <c r="F983">
        <v>2</v>
      </c>
      <c r="G983">
        <v>0.05</v>
      </c>
      <c r="H983">
        <v>855</v>
      </c>
      <c r="I983">
        <v>188.39</v>
      </c>
      <c r="J983" t="s">
        <v>26</v>
      </c>
      <c r="K983" t="s">
        <v>40</v>
      </c>
      <c r="L983">
        <v>427.5</v>
      </c>
      <c r="M983">
        <v>22.033918128654971</v>
      </c>
      <c r="N983" t="s">
        <v>8</v>
      </c>
      <c r="O983" t="s">
        <v>2211</v>
      </c>
      <c r="P983" t="s">
        <v>83</v>
      </c>
      <c r="Q983" t="s">
        <v>42</v>
      </c>
      <c r="R983" t="s">
        <v>110</v>
      </c>
      <c r="S983" t="s">
        <v>111</v>
      </c>
      <c r="T983" t="s">
        <v>1156</v>
      </c>
      <c r="U983" t="s">
        <v>100</v>
      </c>
      <c r="V983">
        <v>94.194999999999993</v>
      </c>
    </row>
    <row r="984" spans="1:22" x14ac:dyDescent="0.3">
      <c r="A984" t="s">
        <v>2212</v>
      </c>
      <c r="B984" s="2">
        <v>45881</v>
      </c>
      <c r="C984" t="s">
        <v>916</v>
      </c>
      <c r="D984" t="s">
        <v>49</v>
      </c>
      <c r="E984" t="s">
        <v>58</v>
      </c>
      <c r="F984">
        <v>1</v>
      </c>
      <c r="G984">
        <v>0.05</v>
      </c>
      <c r="H984">
        <v>14250</v>
      </c>
      <c r="I984">
        <v>3001.67</v>
      </c>
      <c r="J984" t="s">
        <v>51</v>
      </c>
      <c r="K984" t="s">
        <v>40</v>
      </c>
      <c r="L984">
        <v>14250</v>
      </c>
      <c r="M984">
        <v>21.064350877192979</v>
      </c>
      <c r="N984" t="s">
        <v>8</v>
      </c>
      <c r="O984" t="s">
        <v>917</v>
      </c>
      <c r="P984" t="s">
        <v>29</v>
      </c>
      <c r="Q984" t="s">
        <v>42</v>
      </c>
      <c r="R984" t="s">
        <v>121</v>
      </c>
      <c r="S984" t="s">
        <v>44</v>
      </c>
      <c r="T984" t="s">
        <v>918</v>
      </c>
      <c r="U984" t="s">
        <v>34</v>
      </c>
      <c r="V984">
        <v>3001.67</v>
      </c>
    </row>
    <row r="985" spans="1:22" x14ac:dyDescent="0.3">
      <c r="A985" t="s">
        <v>2213</v>
      </c>
      <c r="B985" s="2">
        <v>46152</v>
      </c>
      <c r="C985" t="s">
        <v>189</v>
      </c>
      <c r="D985" t="s">
        <v>24</v>
      </c>
      <c r="E985" t="s">
        <v>25</v>
      </c>
      <c r="F985">
        <v>4</v>
      </c>
      <c r="G985">
        <v>0.1</v>
      </c>
      <c r="H985">
        <v>50400</v>
      </c>
      <c r="I985">
        <v>6440.6</v>
      </c>
      <c r="J985" t="s">
        <v>26</v>
      </c>
      <c r="K985" t="s">
        <v>40</v>
      </c>
      <c r="L985">
        <v>12600</v>
      </c>
      <c r="M985">
        <v>12.77896825396825</v>
      </c>
      <c r="N985" t="s">
        <v>8</v>
      </c>
      <c r="O985" t="s">
        <v>191</v>
      </c>
      <c r="P985" t="s">
        <v>29</v>
      </c>
      <c r="Q985" t="s">
        <v>30</v>
      </c>
      <c r="R985" t="s">
        <v>31</v>
      </c>
      <c r="S985" t="s">
        <v>32</v>
      </c>
      <c r="T985" t="s">
        <v>192</v>
      </c>
      <c r="U985" t="s">
        <v>34</v>
      </c>
      <c r="V985">
        <v>1610.15</v>
      </c>
    </row>
    <row r="986" spans="1:22" x14ac:dyDescent="0.3">
      <c r="A986" t="s">
        <v>2214</v>
      </c>
      <c r="B986" s="2">
        <v>46159</v>
      </c>
      <c r="C986" t="s">
        <v>1060</v>
      </c>
      <c r="D986" t="s">
        <v>37</v>
      </c>
      <c r="E986" t="s">
        <v>38</v>
      </c>
      <c r="F986">
        <v>2</v>
      </c>
      <c r="G986">
        <v>0.15</v>
      </c>
      <c r="H986">
        <v>3060</v>
      </c>
      <c r="I986">
        <v>-1394.73</v>
      </c>
      <c r="J986" t="s">
        <v>26</v>
      </c>
      <c r="K986" t="s">
        <v>80</v>
      </c>
      <c r="L986">
        <v>1530</v>
      </c>
      <c r="M986">
        <v>-45.579411764705888</v>
      </c>
      <c r="N986" t="s">
        <v>81</v>
      </c>
      <c r="O986" t="s">
        <v>1061</v>
      </c>
      <c r="P986" t="s">
        <v>73</v>
      </c>
      <c r="Q986" t="s">
        <v>30</v>
      </c>
      <c r="R986" t="s">
        <v>31</v>
      </c>
      <c r="S986" t="s">
        <v>32</v>
      </c>
      <c r="T986" t="s">
        <v>1062</v>
      </c>
      <c r="U986" t="s">
        <v>46</v>
      </c>
      <c r="V986">
        <v>-697.36500000000001</v>
      </c>
    </row>
    <row r="987" spans="1:22" x14ac:dyDescent="0.3">
      <c r="A987" t="s">
        <v>2215</v>
      </c>
      <c r="B987" s="2">
        <v>46198</v>
      </c>
      <c r="C987" t="s">
        <v>726</v>
      </c>
      <c r="D987" t="s">
        <v>37</v>
      </c>
      <c r="E987" t="s">
        <v>170</v>
      </c>
      <c r="F987">
        <v>2</v>
      </c>
      <c r="G987">
        <v>0.05</v>
      </c>
      <c r="H987">
        <v>2660</v>
      </c>
      <c r="I987">
        <v>900.66</v>
      </c>
      <c r="J987" t="s">
        <v>26</v>
      </c>
      <c r="K987" t="s">
        <v>40</v>
      </c>
      <c r="L987">
        <v>1330</v>
      </c>
      <c r="M987">
        <v>33.859398496240601</v>
      </c>
      <c r="N987" t="s">
        <v>8</v>
      </c>
      <c r="O987" t="s">
        <v>727</v>
      </c>
      <c r="P987" t="s">
        <v>29</v>
      </c>
      <c r="Q987" t="s">
        <v>30</v>
      </c>
      <c r="R987" t="s">
        <v>31</v>
      </c>
      <c r="S987" t="s">
        <v>32</v>
      </c>
      <c r="T987" t="s">
        <v>33</v>
      </c>
      <c r="U987" t="s">
        <v>34</v>
      </c>
      <c r="V987">
        <v>450.33</v>
      </c>
    </row>
    <row r="988" spans="1:22" x14ac:dyDescent="0.3">
      <c r="A988" t="s">
        <v>2216</v>
      </c>
      <c r="B988" s="2">
        <v>46136</v>
      </c>
      <c r="C988" t="s">
        <v>2217</v>
      </c>
      <c r="D988" t="s">
        <v>70</v>
      </c>
      <c r="E988" t="s">
        <v>129</v>
      </c>
      <c r="F988">
        <v>2</v>
      </c>
      <c r="G988">
        <v>0</v>
      </c>
      <c r="H988">
        <v>110000</v>
      </c>
      <c r="I988">
        <v>18000</v>
      </c>
      <c r="J988" t="s">
        <v>51</v>
      </c>
      <c r="K988" t="s">
        <v>40</v>
      </c>
      <c r="L988">
        <v>55000</v>
      </c>
      <c r="M988">
        <v>16.36363636363636</v>
      </c>
      <c r="N988" t="s">
        <v>8</v>
      </c>
      <c r="O988" t="s">
        <v>636</v>
      </c>
      <c r="P988" t="s">
        <v>29</v>
      </c>
      <c r="Q988" t="s">
        <v>42</v>
      </c>
      <c r="R988" t="s">
        <v>110</v>
      </c>
      <c r="S988" t="s">
        <v>111</v>
      </c>
      <c r="T988" t="s">
        <v>2218</v>
      </c>
      <c r="U988" t="s">
        <v>46</v>
      </c>
      <c r="V988">
        <v>9000</v>
      </c>
    </row>
    <row r="989" spans="1:22" x14ac:dyDescent="0.3">
      <c r="A989" t="s">
        <v>2219</v>
      </c>
      <c r="B989" s="2">
        <v>46164</v>
      </c>
      <c r="C989" t="s">
        <v>593</v>
      </c>
      <c r="D989" t="s">
        <v>24</v>
      </c>
      <c r="E989" t="s">
        <v>87</v>
      </c>
      <c r="F989">
        <v>6</v>
      </c>
      <c r="G989">
        <v>0.05</v>
      </c>
      <c r="H989">
        <v>1995</v>
      </c>
      <c r="I989">
        <v>644.59</v>
      </c>
      <c r="J989" t="s">
        <v>51</v>
      </c>
      <c r="K989" t="s">
        <v>40</v>
      </c>
      <c r="L989">
        <v>332.5</v>
      </c>
      <c r="M989">
        <v>32.310275689223062</v>
      </c>
      <c r="N989" t="s">
        <v>8</v>
      </c>
      <c r="O989" t="s">
        <v>594</v>
      </c>
      <c r="P989" t="s">
        <v>83</v>
      </c>
      <c r="Q989" t="s">
        <v>30</v>
      </c>
      <c r="R989" t="s">
        <v>31</v>
      </c>
      <c r="S989" t="s">
        <v>32</v>
      </c>
      <c r="T989" t="s">
        <v>595</v>
      </c>
      <c r="U989" t="s">
        <v>46</v>
      </c>
      <c r="V989">
        <v>107.4316666666667</v>
      </c>
    </row>
    <row r="990" spans="1:22" x14ac:dyDescent="0.3">
      <c r="A990" t="s">
        <v>2220</v>
      </c>
      <c r="B990" s="2">
        <v>46265</v>
      </c>
      <c r="C990" t="s">
        <v>1785</v>
      </c>
      <c r="D990" t="s">
        <v>70</v>
      </c>
      <c r="E990" t="s">
        <v>165</v>
      </c>
      <c r="F990">
        <v>1</v>
      </c>
      <c r="G990">
        <v>0.05</v>
      </c>
      <c r="H990">
        <v>2375</v>
      </c>
      <c r="I990">
        <v>741.64</v>
      </c>
      <c r="J990" t="s">
        <v>39</v>
      </c>
      <c r="K990" t="s">
        <v>40</v>
      </c>
      <c r="L990">
        <v>2375</v>
      </c>
      <c r="M990">
        <v>31.226947368421051</v>
      </c>
      <c r="N990" t="s">
        <v>8</v>
      </c>
      <c r="O990" t="s">
        <v>1786</v>
      </c>
      <c r="P990" t="s">
        <v>83</v>
      </c>
      <c r="Q990" t="s">
        <v>30</v>
      </c>
      <c r="R990" t="s">
        <v>53</v>
      </c>
      <c r="S990" t="s">
        <v>54</v>
      </c>
      <c r="T990" t="s">
        <v>227</v>
      </c>
      <c r="U990" t="s">
        <v>46</v>
      </c>
      <c r="V990">
        <v>741.64</v>
      </c>
    </row>
    <row r="991" spans="1:22" x14ac:dyDescent="0.3">
      <c r="A991" t="s">
        <v>2221</v>
      </c>
      <c r="B991" s="2">
        <v>46008</v>
      </c>
      <c r="C991" t="s">
        <v>1106</v>
      </c>
      <c r="D991" t="s">
        <v>24</v>
      </c>
      <c r="E991" t="s">
        <v>92</v>
      </c>
      <c r="F991">
        <v>3</v>
      </c>
      <c r="G991">
        <v>0.1</v>
      </c>
      <c r="H991">
        <v>2430</v>
      </c>
      <c r="I991">
        <v>-897.03</v>
      </c>
      <c r="J991" t="s">
        <v>26</v>
      </c>
      <c r="K991" t="s">
        <v>434</v>
      </c>
      <c r="L991">
        <v>810</v>
      </c>
      <c r="M991">
        <v>-36.914814814814811</v>
      </c>
      <c r="N991" t="s">
        <v>81</v>
      </c>
      <c r="O991" t="s">
        <v>789</v>
      </c>
      <c r="P991" t="s">
        <v>29</v>
      </c>
      <c r="Q991" t="s">
        <v>74</v>
      </c>
      <c r="R991" t="s">
        <v>237</v>
      </c>
      <c r="S991" t="s">
        <v>238</v>
      </c>
      <c r="T991" t="s">
        <v>1107</v>
      </c>
      <c r="U991" t="s">
        <v>105</v>
      </c>
      <c r="V991">
        <v>-299.01</v>
      </c>
    </row>
    <row r="992" spans="1:22" x14ac:dyDescent="0.3">
      <c r="A992" t="s">
        <v>2222</v>
      </c>
      <c r="B992" s="2">
        <v>46089</v>
      </c>
      <c r="C992" t="s">
        <v>2223</v>
      </c>
      <c r="D992" t="s">
        <v>49</v>
      </c>
      <c r="E992" t="s">
        <v>79</v>
      </c>
      <c r="F992">
        <v>1</v>
      </c>
      <c r="G992">
        <v>0.05</v>
      </c>
      <c r="H992">
        <v>10450</v>
      </c>
      <c r="I992">
        <v>2186.7600000000002</v>
      </c>
      <c r="J992" t="s">
        <v>39</v>
      </c>
      <c r="K992" t="s">
        <v>40</v>
      </c>
      <c r="L992">
        <v>10450</v>
      </c>
      <c r="M992">
        <v>20.925933014354069</v>
      </c>
      <c r="N992" t="s">
        <v>8</v>
      </c>
      <c r="O992" t="s">
        <v>284</v>
      </c>
      <c r="P992" t="s">
        <v>73</v>
      </c>
      <c r="Q992" t="s">
        <v>131</v>
      </c>
      <c r="R992" t="s">
        <v>132</v>
      </c>
      <c r="S992" t="s">
        <v>133</v>
      </c>
      <c r="T992" t="s">
        <v>2224</v>
      </c>
      <c r="U992" t="s">
        <v>46</v>
      </c>
      <c r="V992">
        <v>2186.7600000000002</v>
      </c>
    </row>
    <row r="993" spans="1:22" x14ac:dyDescent="0.3">
      <c r="A993" t="s">
        <v>2225</v>
      </c>
      <c r="B993" s="2">
        <v>46111</v>
      </c>
      <c r="C993" t="s">
        <v>617</v>
      </c>
      <c r="D993" t="s">
        <v>24</v>
      </c>
      <c r="E993" t="s">
        <v>242</v>
      </c>
      <c r="F993">
        <v>1</v>
      </c>
      <c r="G993">
        <v>0.15</v>
      </c>
      <c r="H993">
        <v>382.5</v>
      </c>
      <c r="I993">
        <v>57.66</v>
      </c>
      <c r="J993" t="s">
        <v>65</v>
      </c>
      <c r="K993" t="s">
        <v>40</v>
      </c>
      <c r="L993">
        <v>382.5</v>
      </c>
      <c r="M993">
        <v>15.07450980392157</v>
      </c>
      <c r="N993" t="s">
        <v>8</v>
      </c>
      <c r="O993" t="s">
        <v>618</v>
      </c>
      <c r="P993" t="s">
        <v>83</v>
      </c>
      <c r="Q993" t="s">
        <v>30</v>
      </c>
      <c r="R993" t="s">
        <v>98</v>
      </c>
      <c r="S993" t="s">
        <v>54</v>
      </c>
      <c r="T993" t="s">
        <v>619</v>
      </c>
      <c r="U993" t="s">
        <v>100</v>
      </c>
      <c r="V993">
        <v>57.66</v>
      </c>
    </row>
    <row r="994" spans="1:22" x14ac:dyDescent="0.3">
      <c r="A994" t="s">
        <v>2226</v>
      </c>
      <c r="B994" s="2">
        <v>46096</v>
      </c>
      <c r="C994" t="s">
        <v>225</v>
      </c>
      <c r="D994" t="s">
        <v>70</v>
      </c>
      <c r="E994" t="s">
        <v>108</v>
      </c>
      <c r="F994">
        <v>5</v>
      </c>
      <c r="G994">
        <v>0.1</v>
      </c>
      <c r="H994">
        <v>20250</v>
      </c>
      <c r="I994">
        <v>6067.31</v>
      </c>
      <c r="J994" t="s">
        <v>51</v>
      </c>
      <c r="K994" t="s">
        <v>40</v>
      </c>
      <c r="L994">
        <v>4050</v>
      </c>
      <c r="M994">
        <v>29.962024691358021</v>
      </c>
      <c r="N994" t="s">
        <v>8</v>
      </c>
      <c r="O994" t="s">
        <v>226</v>
      </c>
      <c r="P994" t="s">
        <v>29</v>
      </c>
      <c r="Q994" t="s">
        <v>30</v>
      </c>
      <c r="R994" t="s">
        <v>31</v>
      </c>
      <c r="S994" t="s">
        <v>32</v>
      </c>
      <c r="T994" t="s">
        <v>227</v>
      </c>
      <c r="U994" t="s">
        <v>100</v>
      </c>
      <c r="V994">
        <v>1213.462</v>
      </c>
    </row>
    <row r="995" spans="1:22" x14ac:dyDescent="0.3">
      <c r="A995" t="s">
        <v>2227</v>
      </c>
      <c r="B995" s="2">
        <v>45883</v>
      </c>
      <c r="C995" t="s">
        <v>593</v>
      </c>
      <c r="D995" t="s">
        <v>70</v>
      </c>
      <c r="E995" t="s">
        <v>71</v>
      </c>
      <c r="F995">
        <v>2</v>
      </c>
      <c r="G995">
        <v>0.1</v>
      </c>
      <c r="H995">
        <v>32400</v>
      </c>
      <c r="I995">
        <v>4920.91</v>
      </c>
      <c r="J995" t="s">
        <v>39</v>
      </c>
      <c r="K995" t="s">
        <v>40</v>
      </c>
      <c r="L995">
        <v>16200</v>
      </c>
      <c r="M995">
        <v>15.18799382716049</v>
      </c>
      <c r="N995" t="s">
        <v>8</v>
      </c>
      <c r="O995" t="s">
        <v>594</v>
      </c>
      <c r="P995" t="s">
        <v>83</v>
      </c>
      <c r="Q995" t="s">
        <v>30</v>
      </c>
      <c r="R995" t="s">
        <v>31</v>
      </c>
      <c r="S995" t="s">
        <v>32</v>
      </c>
      <c r="T995" t="s">
        <v>595</v>
      </c>
      <c r="U995" t="s">
        <v>46</v>
      </c>
      <c r="V995">
        <v>2460.4549999999999</v>
      </c>
    </row>
    <row r="996" spans="1:22" x14ac:dyDescent="0.3">
      <c r="A996" t="s">
        <v>2228</v>
      </c>
      <c r="B996" s="2">
        <v>46203</v>
      </c>
      <c r="C996" t="s">
        <v>736</v>
      </c>
      <c r="D996" t="s">
        <v>24</v>
      </c>
      <c r="E996" t="s">
        <v>242</v>
      </c>
      <c r="F996">
        <v>2</v>
      </c>
      <c r="G996">
        <v>0.1</v>
      </c>
      <c r="H996">
        <v>810</v>
      </c>
      <c r="I996">
        <v>167.95</v>
      </c>
      <c r="J996" t="s">
        <v>65</v>
      </c>
      <c r="K996" t="s">
        <v>40</v>
      </c>
      <c r="L996">
        <v>405</v>
      </c>
      <c r="M996">
        <v>20.73456790123457</v>
      </c>
      <c r="N996" t="s">
        <v>8</v>
      </c>
      <c r="O996" t="s">
        <v>648</v>
      </c>
      <c r="P996" t="s">
        <v>29</v>
      </c>
      <c r="Q996" t="s">
        <v>30</v>
      </c>
      <c r="R996" t="s">
        <v>60</v>
      </c>
      <c r="S996" t="s">
        <v>61</v>
      </c>
      <c r="T996" t="s">
        <v>311</v>
      </c>
      <c r="U996" t="s">
        <v>34</v>
      </c>
      <c r="V996">
        <v>83.974999999999994</v>
      </c>
    </row>
    <row r="997" spans="1:22" x14ac:dyDescent="0.3">
      <c r="A997" t="s">
        <v>2229</v>
      </c>
      <c r="B997" s="2">
        <v>46189</v>
      </c>
      <c r="C997" t="s">
        <v>481</v>
      </c>
      <c r="D997" t="s">
        <v>49</v>
      </c>
      <c r="E997" t="s">
        <v>119</v>
      </c>
      <c r="F997">
        <v>4</v>
      </c>
      <c r="G997">
        <v>0.1</v>
      </c>
      <c r="H997">
        <v>32400</v>
      </c>
      <c r="I997">
        <v>7413.39</v>
      </c>
      <c r="J997" t="s">
        <v>26</v>
      </c>
      <c r="K997" t="s">
        <v>40</v>
      </c>
      <c r="L997">
        <v>8100</v>
      </c>
      <c r="M997">
        <v>22.880833333333339</v>
      </c>
      <c r="N997" t="s">
        <v>8</v>
      </c>
      <c r="O997" t="s">
        <v>482</v>
      </c>
      <c r="P997" t="s">
        <v>83</v>
      </c>
      <c r="Q997" t="s">
        <v>30</v>
      </c>
      <c r="R997" t="s">
        <v>31</v>
      </c>
      <c r="S997" t="s">
        <v>32</v>
      </c>
      <c r="T997" t="s">
        <v>483</v>
      </c>
      <c r="U997" t="s">
        <v>46</v>
      </c>
      <c r="V997">
        <v>1853.3475000000001</v>
      </c>
    </row>
    <row r="998" spans="1:22" x14ac:dyDescent="0.3">
      <c r="A998" t="s">
        <v>2230</v>
      </c>
      <c r="B998" s="2">
        <v>46058</v>
      </c>
      <c r="C998" t="s">
        <v>2126</v>
      </c>
      <c r="D998" t="s">
        <v>49</v>
      </c>
      <c r="E998" t="s">
        <v>50</v>
      </c>
      <c r="F998">
        <v>1</v>
      </c>
      <c r="G998">
        <v>0.1</v>
      </c>
      <c r="H998">
        <v>11700</v>
      </c>
      <c r="I998">
        <v>2181.77</v>
      </c>
      <c r="J998" t="s">
        <v>26</v>
      </c>
      <c r="K998" t="s">
        <v>40</v>
      </c>
      <c r="L998">
        <v>11700</v>
      </c>
      <c r="M998">
        <v>18.64760683760684</v>
      </c>
      <c r="N998" t="s">
        <v>8</v>
      </c>
      <c r="O998" t="s">
        <v>2127</v>
      </c>
      <c r="P998" t="s">
        <v>83</v>
      </c>
      <c r="Q998" t="s">
        <v>131</v>
      </c>
      <c r="R998" t="s">
        <v>200</v>
      </c>
      <c r="S998" t="s">
        <v>201</v>
      </c>
      <c r="T998" t="s">
        <v>2128</v>
      </c>
      <c r="U998" t="s">
        <v>46</v>
      </c>
      <c r="V998">
        <v>2181.77</v>
      </c>
    </row>
    <row r="999" spans="1:22" x14ac:dyDescent="0.3">
      <c r="A999" t="s">
        <v>2231</v>
      </c>
      <c r="B999" s="2">
        <v>45863</v>
      </c>
      <c r="C999" t="s">
        <v>1041</v>
      </c>
      <c r="D999" t="s">
        <v>24</v>
      </c>
      <c r="E999" t="s">
        <v>87</v>
      </c>
      <c r="F999">
        <v>10</v>
      </c>
      <c r="G999">
        <v>0.05</v>
      </c>
      <c r="H999">
        <v>3325</v>
      </c>
      <c r="I999">
        <v>155.75</v>
      </c>
      <c r="J999" t="s">
        <v>26</v>
      </c>
      <c r="K999" t="s">
        <v>434</v>
      </c>
      <c r="L999">
        <v>332.5</v>
      </c>
      <c r="M999">
        <v>4.6842105263157894</v>
      </c>
      <c r="N999" t="s">
        <v>8</v>
      </c>
      <c r="O999" t="s">
        <v>153</v>
      </c>
      <c r="P999" t="s">
        <v>83</v>
      </c>
      <c r="Q999" t="s">
        <v>74</v>
      </c>
      <c r="R999" t="s">
        <v>237</v>
      </c>
      <c r="S999" t="s">
        <v>238</v>
      </c>
      <c r="T999" t="s">
        <v>1042</v>
      </c>
      <c r="U999" t="s">
        <v>46</v>
      </c>
      <c r="V999">
        <v>15.574999999999999</v>
      </c>
    </row>
    <row r="1000" spans="1:22" x14ac:dyDescent="0.3">
      <c r="A1000" t="s">
        <v>2232</v>
      </c>
      <c r="B1000" s="2">
        <v>45982</v>
      </c>
      <c r="C1000" t="s">
        <v>2233</v>
      </c>
      <c r="D1000" t="s">
        <v>24</v>
      </c>
      <c r="E1000" t="s">
        <v>92</v>
      </c>
      <c r="F1000">
        <v>1</v>
      </c>
      <c r="G1000">
        <v>0.05</v>
      </c>
      <c r="H1000">
        <v>855</v>
      </c>
      <c r="I1000">
        <v>251.91</v>
      </c>
      <c r="J1000" t="s">
        <v>26</v>
      </c>
      <c r="K1000" t="s">
        <v>40</v>
      </c>
      <c r="L1000">
        <v>855</v>
      </c>
      <c r="M1000">
        <v>29.463157894736842</v>
      </c>
      <c r="N1000" t="s">
        <v>8</v>
      </c>
      <c r="O1000" t="s">
        <v>398</v>
      </c>
      <c r="P1000" t="s">
        <v>73</v>
      </c>
      <c r="Q1000" t="s">
        <v>74</v>
      </c>
      <c r="R1000" t="s">
        <v>75</v>
      </c>
      <c r="S1000" t="s">
        <v>75</v>
      </c>
      <c r="T1000" t="s">
        <v>391</v>
      </c>
      <c r="U1000" t="s">
        <v>46</v>
      </c>
      <c r="V1000">
        <v>251.91</v>
      </c>
    </row>
    <row r="1001" spans="1:22" x14ac:dyDescent="0.3">
      <c r="A1001" t="s">
        <v>2234</v>
      </c>
      <c r="B1001" s="2">
        <v>45977</v>
      </c>
      <c r="C1001" t="s">
        <v>1008</v>
      </c>
      <c r="D1001" t="s">
        <v>70</v>
      </c>
      <c r="E1001" t="s">
        <v>165</v>
      </c>
      <c r="F1001">
        <v>4</v>
      </c>
      <c r="G1001">
        <v>0</v>
      </c>
      <c r="H1001">
        <v>10000</v>
      </c>
      <c r="I1001">
        <v>3200</v>
      </c>
      <c r="J1001" t="s">
        <v>26</v>
      </c>
      <c r="K1001" t="s">
        <v>40</v>
      </c>
      <c r="L1001">
        <v>2500</v>
      </c>
      <c r="M1001">
        <v>32</v>
      </c>
      <c r="N1001" t="s">
        <v>8</v>
      </c>
      <c r="O1001" t="s">
        <v>1009</v>
      </c>
      <c r="P1001" t="s">
        <v>83</v>
      </c>
      <c r="Q1001" t="s">
        <v>42</v>
      </c>
      <c r="R1001" t="s">
        <v>214</v>
      </c>
      <c r="S1001" t="s">
        <v>111</v>
      </c>
      <c r="T1001" t="s">
        <v>848</v>
      </c>
      <c r="U1001" t="s">
        <v>100</v>
      </c>
      <c r="V1001">
        <v>800</v>
      </c>
    </row>
    <row r="1002" spans="1:22" x14ac:dyDescent="0.3">
      <c r="A1002" t="s">
        <v>2235</v>
      </c>
      <c r="B1002" s="2">
        <v>46208</v>
      </c>
      <c r="C1002" t="s">
        <v>1468</v>
      </c>
      <c r="D1002" t="s">
        <v>49</v>
      </c>
      <c r="E1002" t="s">
        <v>50</v>
      </c>
      <c r="F1002">
        <v>1</v>
      </c>
      <c r="G1002">
        <v>0.1</v>
      </c>
      <c r="H1002">
        <v>11700</v>
      </c>
      <c r="I1002">
        <v>2442.29</v>
      </c>
      <c r="J1002" t="s">
        <v>39</v>
      </c>
      <c r="K1002" t="s">
        <v>40</v>
      </c>
      <c r="L1002">
        <v>11700</v>
      </c>
      <c r="M1002">
        <v>20.8742735042735</v>
      </c>
      <c r="N1002" t="s">
        <v>8</v>
      </c>
      <c r="O1002" t="s">
        <v>345</v>
      </c>
      <c r="P1002" t="s">
        <v>83</v>
      </c>
      <c r="Q1002" t="s">
        <v>30</v>
      </c>
      <c r="R1002" t="s">
        <v>98</v>
      </c>
      <c r="S1002" t="s">
        <v>54</v>
      </c>
      <c r="T1002" t="s">
        <v>1469</v>
      </c>
      <c r="U1002" t="s">
        <v>34</v>
      </c>
      <c r="V1002">
        <v>2442.29</v>
      </c>
    </row>
    <row r="1003" spans="1:22" x14ac:dyDescent="0.3">
      <c r="A1003" t="s">
        <v>2236</v>
      </c>
      <c r="B1003" s="2">
        <v>46195</v>
      </c>
      <c r="C1003" t="s">
        <v>232</v>
      </c>
      <c r="D1003" t="s">
        <v>37</v>
      </c>
      <c r="E1003" t="s">
        <v>170</v>
      </c>
      <c r="F1003">
        <v>3</v>
      </c>
      <c r="G1003">
        <v>0.1</v>
      </c>
      <c r="H1003">
        <v>3780</v>
      </c>
      <c r="I1003">
        <v>-543.53</v>
      </c>
      <c r="J1003" t="s">
        <v>51</v>
      </c>
      <c r="K1003" t="s">
        <v>80</v>
      </c>
      <c r="L1003">
        <v>1260</v>
      </c>
      <c r="M1003">
        <v>-14.37910052910053</v>
      </c>
      <c r="N1003" t="s">
        <v>81</v>
      </c>
      <c r="O1003" t="s">
        <v>233</v>
      </c>
      <c r="P1003" t="s">
        <v>29</v>
      </c>
      <c r="Q1003" t="s">
        <v>131</v>
      </c>
      <c r="R1003" t="s">
        <v>132</v>
      </c>
      <c r="S1003" t="s">
        <v>133</v>
      </c>
      <c r="T1003" t="s">
        <v>234</v>
      </c>
      <c r="U1003" t="s">
        <v>34</v>
      </c>
      <c r="V1003">
        <v>-181.17666666666659</v>
      </c>
    </row>
    <row r="1004" spans="1:22" x14ac:dyDescent="0.3">
      <c r="A1004" t="s">
        <v>2237</v>
      </c>
      <c r="B1004" s="2">
        <v>46115</v>
      </c>
      <c r="C1004" t="s">
        <v>279</v>
      </c>
      <c r="D1004" t="s">
        <v>37</v>
      </c>
      <c r="E1004" t="s">
        <v>170</v>
      </c>
      <c r="F1004">
        <v>3</v>
      </c>
      <c r="G1004">
        <v>0.1</v>
      </c>
      <c r="H1004">
        <v>3780</v>
      </c>
      <c r="I1004">
        <v>215.33</v>
      </c>
      <c r="J1004" t="s">
        <v>65</v>
      </c>
      <c r="K1004" t="s">
        <v>434</v>
      </c>
      <c r="L1004">
        <v>1260</v>
      </c>
      <c r="M1004">
        <v>5.696560846560847</v>
      </c>
      <c r="N1004" t="s">
        <v>8</v>
      </c>
      <c r="O1004" t="s">
        <v>280</v>
      </c>
      <c r="P1004" t="s">
        <v>73</v>
      </c>
      <c r="Q1004" t="s">
        <v>30</v>
      </c>
      <c r="R1004" t="s">
        <v>31</v>
      </c>
      <c r="S1004" t="s">
        <v>32</v>
      </c>
      <c r="T1004" t="s">
        <v>281</v>
      </c>
      <c r="U1004" t="s">
        <v>46</v>
      </c>
      <c r="V1004">
        <v>71.776666666666671</v>
      </c>
    </row>
    <row r="1005" spans="1:22" x14ac:dyDescent="0.3">
      <c r="A1005" t="s">
        <v>2238</v>
      </c>
      <c r="B1005" s="2">
        <v>46028</v>
      </c>
      <c r="C1005" t="s">
        <v>1910</v>
      </c>
      <c r="D1005" t="s">
        <v>37</v>
      </c>
      <c r="E1005" t="s">
        <v>310</v>
      </c>
      <c r="F1005">
        <v>3</v>
      </c>
      <c r="G1005">
        <v>0.15</v>
      </c>
      <c r="H1005">
        <v>5610</v>
      </c>
      <c r="I1005">
        <v>1574.65</v>
      </c>
      <c r="J1005" t="s">
        <v>65</v>
      </c>
      <c r="K1005" t="s">
        <v>40</v>
      </c>
      <c r="L1005">
        <v>1870</v>
      </c>
      <c r="M1005">
        <v>28.06862745098039</v>
      </c>
      <c r="N1005" t="s">
        <v>8</v>
      </c>
      <c r="O1005" t="s">
        <v>1461</v>
      </c>
      <c r="P1005" t="s">
        <v>29</v>
      </c>
      <c r="Q1005" t="s">
        <v>131</v>
      </c>
      <c r="R1005" t="s">
        <v>289</v>
      </c>
      <c r="S1005" t="s">
        <v>290</v>
      </c>
      <c r="T1005" t="s">
        <v>1590</v>
      </c>
      <c r="U1005" t="s">
        <v>34</v>
      </c>
      <c r="V1005">
        <v>524.88333333333333</v>
      </c>
    </row>
    <row r="1006" spans="1:22" x14ac:dyDescent="0.3">
      <c r="A1006" t="s">
        <v>2239</v>
      </c>
      <c r="B1006" s="2">
        <v>46238</v>
      </c>
      <c r="C1006" t="s">
        <v>772</v>
      </c>
      <c r="D1006" t="s">
        <v>24</v>
      </c>
      <c r="E1006" t="s">
        <v>242</v>
      </c>
      <c r="F1006">
        <v>2</v>
      </c>
      <c r="G1006">
        <v>0</v>
      </c>
      <c r="H1006">
        <v>900</v>
      </c>
      <c r="I1006">
        <v>220</v>
      </c>
      <c r="J1006" t="s">
        <v>39</v>
      </c>
      <c r="K1006" t="s">
        <v>40</v>
      </c>
      <c r="L1006">
        <v>450</v>
      </c>
      <c r="M1006">
        <v>24.444444444444439</v>
      </c>
      <c r="N1006" t="s">
        <v>8</v>
      </c>
      <c r="O1006" t="s">
        <v>773</v>
      </c>
      <c r="P1006" t="s">
        <v>29</v>
      </c>
      <c r="Q1006" t="s">
        <v>42</v>
      </c>
      <c r="R1006" t="s">
        <v>121</v>
      </c>
      <c r="S1006" t="s">
        <v>44</v>
      </c>
      <c r="T1006" t="s">
        <v>774</v>
      </c>
      <c r="U1006" t="s">
        <v>34</v>
      </c>
      <c r="V1006">
        <v>110</v>
      </c>
    </row>
    <row r="1007" spans="1:22" x14ac:dyDescent="0.3">
      <c r="A1007" t="s">
        <v>2240</v>
      </c>
      <c r="B1007" s="2">
        <v>46233</v>
      </c>
      <c r="C1007" t="s">
        <v>2241</v>
      </c>
      <c r="D1007" t="s">
        <v>24</v>
      </c>
      <c r="E1007" t="s">
        <v>87</v>
      </c>
      <c r="F1007">
        <v>1</v>
      </c>
      <c r="G1007">
        <v>0.2</v>
      </c>
      <c r="H1007">
        <v>280</v>
      </c>
      <c r="I1007">
        <v>71.069999999999993</v>
      </c>
      <c r="J1007" t="s">
        <v>51</v>
      </c>
      <c r="K1007" t="s">
        <v>27</v>
      </c>
      <c r="L1007">
        <v>280</v>
      </c>
      <c r="M1007">
        <v>25.382142857142849</v>
      </c>
      <c r="N1007" t="s">
        <v>8</v>
      </c>
      <c r="O1007" t="s">
        <v>2242</v>
      </c>
      <c r="P1007" t="s">
        <v>73</v>
      </c>
      <c r="Q1007" t="s">
        <v>74</v>
      </c>
      <c r="R1007" t="s">
        <v>493</v>
      </c>
      <c r="S1007" t="s">
        <v>494</v>
      </c>
      <c r="T1007" t="s">
        <v>2243</v>
      </c>
      <c r="U1007" t="s">
        <v>100</v>
      </c>
      <c r="V1007">
        <v>71.069999999999993</v>
      </c>
    </row>
    <row r="1008" spans="1:22" x14ac:dyDescent="0.3">
      <c r="A1008" t="s">
        <v>2244</v>
      </c>
      <c r="B1008" s="2">
        <v>46007</v>
      </c>
      <c r="C1008" t="s">
        <v>776</v>
      </c>
      <c r="D1008" t="s">
        <v>70</v>
      </c>
      <c r="E1008" t="s">
        <v>108</v>
      </c>
      <c r="F1008">
        <v>15</v>
      </c>
      <c r="G1008">
        <v>0</v>
      </c>
      <c r="H1008">
        <v>67500</v>
      </c>
      <c r="I1008">
        <v>22500</v>
      </c>
      <c r="J1008" t="s">
        <v>65</v>
      </c>
      <c r="K1008" t="s">
        <v>40</v>
      </c>
      <c r="L1008">
        <v>4500</v>
      </c>
      <c r="M1008">
        <v>33.333333333333329</v>
      </c>
      <c r="N1008" t="s">
        <v>8</v>
      </c>
      <c r="O1008" t="s">
        <v>777</v>
      </c>
      <c r="P1008" t="s">
        <v>29</v>
      </c>
      <c r="Q1008" t="s">
        <v>74</v>
      </c>
      <c r="R1008" t="s">
        <v>493</v>
      </c>
      <c r="S1008" t="s">
        <v>494</v>
      </c>
      <c r="T1008" t="s">
        <v>778</v>
      </c>
      <c r="U1008" t="s">
        <v>100</v>
      </c>
      <c r="V1008">
        <v>1500</v>
      </c>
    </row>
    <row r="1009" spans="1:22" x14ac:dyDescent="0.3">
      <c r="A1009" t="s">
        <v>2245</v>
      </c>
      <c r="B1009" s="2">
        <v>46009</v>
      </c>
      <c r="C1009" t="s">
        <v>317</v>
      </c>
      <c r="D1009" t="s">
        <v>70</v>
      </c>
      <c r="E1009" t="s">
        <v>108</v>
      </c>
      <c r="F1009">
        <v>1</v>
      </c>
      <c r="G1009">
        <v>0</v>
      </c>
      <c r="H1009">
        <v>4500</v>
      </c>
      <c r="I1009">
        <v>1500</v>
      </c>
      <c r="J1009" t="s">
        <v>39</v>
      </c>
      <c r="K1009" t="s">
        <v>40</v>
      </c>
      <c r="L1009">
        <v>4500</v>
      </c>
      <c r="M1009">
        <v>33.333333333333329</v>
      </c>
      <c r="N1009" t="s">
        <v>8</v>
      </c>
      <c r="O1009" t="s">
        <v>318</v>
      </c>
      <c r="P1009" t="s">
        <v>29</v>
      </c>
      <c r="Q1009" t="s">
        <v>42</v>
      </c>
      <c r="R1009" t="s">
        <v>121</v>
      </c>
      <c r="S1009" t="s">
        <v>44</v>
      </c>
      <c r="T1009" t="s">
        <v>319</v>
      </c>
      <c r="U1009" t="s">
        <v>34</v>
      </c>
      <c r="V1009">
        <v>1500</v>
      </c>
    </row>
    <row r="1010" spans="1:22" x14ac:dyDescent="0.3">
      <c r="A1010" t="s">
        <v>2246</v>
      </c>
      <c r="B1010" s="2">
        <v>46012</v>
      </c>
      <c r="C1010" t="s">
        <v>372</v>
      </c>
      <c r="D1010" t="s">
        <v>24</v>
      </c>
      <c r="E1010" t="s">
        <v>25</v>
      </c>
      <c r="F1010">
        <v>3</v>
      </c>
      <c r="G1010">
        <v>0.1</v>
      </c>
      <c r="H1010">
        <v>37800</v>
      </c>
      <c r="I1010">
        <v>6053.18</v>
      </c>
      <c r="J1010" t="s">
        <v>26</v>
      </c>
      <c r="K1010" t="s">
        <v>40</v>
      </c>
      <c r="L1010">
        <v>12600</v>
      </c>
      <c r="M1010">
        <v>16.013703703703701</v>
      </c>
      <c r="N1010" t="s">
        <v>8</v>
      </c>
      <c r="O1010" t="s">
        <v>374</v>
      </c>
      <c r="P1010" t="s">
        <v>73</v>
      </c>
      <c r="Q1010" t="s">
        <v>30</v>
      </c>
      <c r="R1010" t="s">
        <v>53</v>
      </c>
      <c r="S1010" t="s">
        <v>54</v>
      </c>
      <c r="T1010" t="s">
        <v>375</v>
      </c>
      <c r="U1010" t="s">
        <v>105</v>
      </c>
      <c r="V1010">
        <v>2017.7266666666669</v>
      </c>
    </row>
    <row r="1011" spans="1:22" x14ac:dyDescent="0.3">
      <c r="A1011" t="s">
        <v>2247</v>
      </c>
      <c r="B1011" s="2">
        <v>45960</v>
      </c>
      <c r="C1011" t="s">
        <v>2194</v>
      </c>
      <c r="D1011" t="s">
        <v>49</v>
      </c>
      <c r="E1011" t="s">
        <v>58</v>
      </c>
      <c r="F1011">
        <v>3</v>
      </c>
      <c r="G1011">
        <v>0</v>
      </c>
      <c r="H1011">
        <v>45000</v>
      </c>
      <c r="I1011">
        <v>10500</v>
      </c>
      <c r="J1011" t="s">
        <v>26</v>
      </c>
      <c r="K1011" t="s">
        <v>40</v>
      </c>
      <c r="L1011">
        <v>15000</v>
      </c>
      <c r="M1011">
        <v>23.333333333333329</v>
      </c>
      <c r="N1011" t="s">
        <v>8</v>
      </c>
      <c r="O1011" t="s">
        <v>333</v>
      </c>
      <c r="P1011" t="s">
        <v>29</v>
      </c>
      <c r="Q1011" t="s">
        <v>42</v>
      </c>
      <c r="R1011" t="s">
        <v>43</v>
      </c>
      <c r="S1011" t="s">
        <v>44</v>
      </c>
      <c r="T1011" t="s">
        <v>2004</v>
      </c>
      <c r="U1011" t="s">
        <v>34</v>
      </c>
      <c r="V1011">
        <v>3500</v>
      </c>
    </row>
    <row r="1012" spans="1:22" x14ac:dyDescent="0.3">
      <c r="A1012" t="s">
        <v>2248</v>
      </c>
      <c r="B1012" s="2">
        <v>46047</v>
      </c>
      <c r="C1012" t="s">
        <v>2249</v>
      </c>
      <c r="D1012" t="s">
        <v>24</v>
      </c>
      <c r="E1012" t="s">
        <v>92</v>
      </c>
      <c r="F1012">
        <v>6</v>
      </c>
      <c r="G1012">
        <v>0</v>
      </c>
      <c r="H1012">
        <v>5400</v>
      </c>
      <c r="I1012">
        <v>1680</v>
      </c>
      <c r="J1012" t="s">
        <v>26</v>
      </c>
      <c r="K1012" t="s">
        <v>27</v>
      </c>
      <c r="L1012">
        <v>900</v>
      </c>
      <c r="M1012">
        <v>31.111111111111111</v>
      </c>
      <c r="N1012" t="s">
        <v>8</v>
      </c>
      <c r="O1012" t="s">
        <v>1424</v>
      </c>
      <c r="P1012" t="s">
        <v>29</v>
      </c>
      <c r="Q1012" t="s">
        <v>74</v>
      </c>
      <c r="R1012" t="s">
        <v>237</v>
      </c>
      <c r="S1012" t="s">
        <v>238</v>
      </c>
      <c r="T1012" t="s">
        <v>2250</v>
      </c>
      <c r="U1012" t="s">
        <v>105</v>
      </c>
      <c r="V1012">
        <v>280</v>
      </c>
    </row>
    <row r="1013" spans="1:22" x14ac:dyDescent="0.3">
      <c r="A1013" t="s">
        <v>2251</v>
      </c>
      <c r="B1013" s="2">
        <v>45924</v>
      </c>
      <c r="C1013" t="s">
        <v>1682</v>
      </c>
      <c r="D1013" t="s">
        <v>24</v>
      </c>
      <c r="E1013" t="s">
        <v>25</v>
      </c>
      <c r="F1013">
        <v>1</v>
      </c>
      <c r="G1013">
        <v>0.15</v>
      </c>
      <c r="H1013">
        <v>11900</v>
      </c>
      <c r="I1013">
        <v>1096.6500000000001</v>
      </c>
      <c r="J1013" t="s">
        <v>51</v>
      </c>
      <c r="K1013" t="s">
        <v>40</v>
      </c>
      <c r="L1013">
        <v>11900</v>
      </c>
      <c r="M1013">
        <v>9.2155462184873951</v>
      </c>
      <c r="N1013" t="s">
        <v>8</v>
      </c>
      <c r="O1013" t="s">
        <v>648</v>
      </c>
      <c r="P1013" t="s">
        <v>73</v>
      </c>
      <c r="Q1013" t="s">
        <v>131</v>
      </c>
      <c r="R1013" t="s">
        <v>449</v>
      </c>
      <c r="S1013" t="s">
        <v>450</v>
      </c>
      <c r="T1013" t="s">
        <v>912</v>
      </c>
      <c r="U1013" t="s">
        <v>46</v>
      </c>
      <c r="V1013">
        <v>1096.6500000000001</v>
      </c>
    </row>
    <row r="1014" spans="1:22" x14ac:dyDescent="0.3">
      <c r="A1014" t="s">
        <v>2252</v>
      </c>
      <c r="B1014" s="2">
        <v>46138</v>
      </c>
      <c r="C1014" t="s">
        <v>2253</v>
      </c>
      <c r="D1014" t="s">
        <v>49</v>
      </c>
      <c r="E1014" t="s">
        <v>119</v>
      </c>
      <c r="F1014">
        <v>5</v>
      </c>
      <c r="G1014">
        <v>0</v>
      </c>
      <c r="H1014">
        <v>45000</v>
      </c>
      <c r="I1014">
        <v>11500</v>
      </c>
      <c r="J1014" t="s">
        <v>65</v>
      </c>
      <c r="K1014" t="s">
        <v>40</v>
      </c>
      <c r="L1014">
        <v>9000</v>
      </c>
      <c r="M1014">
        <v>25.55555555555555</v>
      </c>
      <c r="N1014" t="s">
        <v>8</v>
      </c>
      <c r="O1014" t="s">
        <v>2254</v>
      </c>
      <c r="P1014" t="s">
        <v>83</v>
      </c>
      <c r="Q1014" t="s">
        <v>131</v>
      </c>
      <c r="R1014" t="s">
        <v>132</v>
      </c>
      <c r="S1014" t="s">
        <v>133</v>
      </c>
      <c r="T1014" t="s">
        <v>2255</v>
      </c>
      <c r="U1014" t="s">
        <v>46</v>
      </c>
      <c r="V1014">
        <v>2300</v>
      </c>
    </row>
    <row r="1015" spans="1:22" x14ac:dyDescent="0.3">
      <c r="A1015" t="s">
        <v>2256</v>
      </c>
      <c r="B1015" s="2">
        <v>45843</v>
      </c>
      <c r="C1015" t="s">
        <v>2257</v>
      </c>
      <c r="D1015" t="s">
        <v>24</v>
      </c>
      <c r="E1015" t="s">
        <v>242</v>
      </c>
      <c r="F1015">
        <v>2</v>
      </c>
      <c r="G1015">
        <v>0.1</v>
      </c>
      <c r="H1015">
        <v>810</v>
      </c>
      <c r="I1015">
        <v>167.77</v>
      </c>
      <c r="J1015" t="s">
        <v>39</v>
      </c>
      <c r="K1015" t="s">
        <v>40</v>
      </c>
      <c r="L1015">
        <v>405</v>
      </c>
      <c r="M1015">
        <v>20.712345679012351</v>
      </c>
      <c r="N1015" t="s">
        <v>8</v>
      </c>
      <c r="O1015" t="s">
        <v>626</v>
      </c>
      <c r="P1015" t="s">
        <v>29</v>
      </c>
      <c r="Q1015" t="s">
        <v>42</v>
      </c>
      <c r="R1015" t="s">
        <v>110</v>
      </c>
      <c r="S1015" t="s">
        <v>111</v>
      </c>
      <c r="T1015" t="s">
        <v>2258</v>
      </c>
      <c r="U1015" t="s">
        <v>46</v>
      </c>
      <c r="V1015">
        <v>83.885000000000005</v>
      </c>
    </row>
    <row r="1016" spans="1:22" x14ac:dyDescent="0.3">
      <c r="A1016" t="s">
        <v>2259</v>
      </c>
      <c r="B1016" s="2">
        <v>45899</v>
      </c>
      <c r="C1016" t="s">
        <v>748</v>
      </c>
      <c r="D1016" t="s">
        <v>24</v>
      </c>
      <c r="E1016" t="s">
        <v>87</v>
      </c>
      <c r="F1016">
        <v>1</v>
      </c>
      <c r="G1016">
        <v>0.05</v>
      </c>
      <c r="H1016">
        <v>332.5</v>
      </c>
      <c r="I1016">
        <v>109.72</v>
      </c>
      <c r="J1016" t="s">
        <v>65</v>
      </c>
      <c r="K1016" t="s">
        <v>40</v>
      </c>
      <c r="L1016">
        <v>332.5</v>
      </c>
      <c r="M1016">
        <v>32.998496240601497</v>
      </c>
      <c r="N1016" t="s">
        <v>8</v>
      </c>
      <c r="O1016" t="s">
        <v>749</v>
      </c>
      <c r="P1016" t="s">
        <v>29</v>
      </c>
      <c r="Q1016" t="s">
        <v>30</v>
      </c>
      <c r="R1016" t="s">
        <v>60</v>
      </c>
      <c r="S1016" t="s">
        <v>61</v>
      </c>
      <c r="T1016" t="s">
        <v>750</v>
      </c>
      <c r="U1016" t="s">
        <v>34</v>
      </c>
      <c r="V1016">
        <v>109.72</v>
      </c>
    </row>
    <row r="1017" spans="1:22" x14ac:dyDescent="0.3">
      <c r="A1017" t="s">
        <v>2260</v>
      </c>
      <c r="B1017" s="2">
        <v>46099</v>
      </c>
      <c r="C1017" t="s">
        <v>2261</v>
      </c>
      <c r="D1017" t="s">
        <v>70</v>
      </c>
      <c r="E1017" t="s">
        <v>129</v>
      </c>
      <c r="F1017">
        <v>2</v>
      </c>
      <c r="G1017">
        <v>0.2</v>
      </c>
      <c r="H1017">
        <v>88000</v>
      </c>
      <c r="I1017">
        <v>3419.33</v>
      </c>
      <c r="J1017" t="s">
        <v>39</v>
      </c>
      <c r="K1017" t="s">
        <v>40</v>
      </c>
      <c r="L1017">
        <v>44000</v>
      </c>
      <c r="M1017">
        <v>3.8856022727272719</v>
      </c>
      <c r="N1017" t="s">
        <v>8</v>
      </c>
      <c r="O1017" t="s">
        <v>1237</v>
      </c>
      <c r="P1017" t="s">
        <v>73</v>
      </c>
      <c r="Q1017" t="s">
        <v>74</v>
      </c>
      <c r="R1017" t="s">
        <v>237</v>
      </c>
      <c r="S1017" t="s">
        <v>238</v>
      </c>
      <c r="T1017" t="s">
        <v>2262</v>
      </c>
      <c r="U1017" t="s">
        <v>100</v>
      </c>
      <c r="V1017">
        <v>1709.665</v>
      </c>
    </row>
    <row r="1018" spans="1:22" x14ac:dyDescent="0.3">
      <c r="A1018" t="s">
        <v>2263</v>
      </c>
      <c r="B1018" s="2">
        <v>46194</v>
      </c>
      <c r="C1018" t="s">
        <v>426</v>
      </c>
      <c r="D1018" t="s">
        <v>37</v>
      </c>
      <c r="E1018" t="s">
        <v>170</v>
      </c>
      <c r="F1018">
        <v>3</v>
      </c>
      <c r="G1018">
        <v>0.05</v>
      </c>
      <c r="H1018">
        <v>3990</v>
      </c>
      <c r="I1018">
        <v>1325.28</v>
      </c>
      <c r="J1018" t="s">
        <v>51</v>
      </c>
      <c r="K1018" t="s">
        <v>40</v>
      </c>
      <c r="L1018">
        <v>1330</v>
      </c>
      <c r="M1018">
        <v>33.215037593984967</v>
      </c>
      <c r="N1018" t="s">
        <v>8</v>
      </c>
      <c r="O1018" t="s">
        <v>427</v>
      </c>
      <c r="P1018" t="s">
        <v>73</v>
      </c>
      <c r="Q1018" t="s">
        <v>30</v>
      </c>
      <c r="R1018" t="s">
        <v>60</v>
      </c>
      <c r="S1018" t="s">
        <v>61</v>
      </c>
      <c r="T1018" t="s">
        <v>428</v>
      </c>
      <c r="U1018" t="s">
        <v>34</v>
      </c>
      <c r="V1018">
        <v>441.76</v>
      </c>
    </row>
    <row r="1019" spans="1:22" x14ac:dyDescent="0.3">
      <c r="A1019" t="s">
        <v>2264</v>
      </c>
      <c r="B1019" s="2">
        <v>46165</v>
      </c>
      <c r="C1019" t="s">
        <v>1377</v>
      </c>
      <c r="D1019" t="s">
        <v>37</v>
      </c>
      <c r="E1019" t="s">
        <v>170</v>
      </c>
      <c r="F1019">
        <v>1</v>
      </c>
      <c r="G1019">
        <v>0.2</v>
      </c>
      <c r="H1019">
        <v>1120</v>
      </c>
      <c r="I1019">
        <v>274.81</v>
      </c>
      <c r="J1019" t="s">
        <v>65</v>
      </c>
      <c r="K1019" t="s">
        <v>40</v>
      </c>
      <c r="L1019">
        <v>1120</v>
      </c>
      <c r="M1019">
        <v>24.53660714285714</v>
      </c>
      <c r="N1019" t="s">
        <v>8</v>
      </c>
      <c r="O1019" t="s">
        <v>1378</v>
      </c>
      <c r="P1019" t="s">
        <v>29</v>
      </c>
      <c r="Q1019" t="s">
        <v>30</v>
      </c>
      <c r="R1019" t="s">
        <v>53</v>
      </c>
      <c r="S1019" t="s">
        <v>54</v>
      </c>
      <c r="T1019" t="s">
        <v>1379</v>
      </c>
      <c r="U1019" t="s">
        <v>100</v>
      </c>
      <c r="V1019">
        <v>274.81</v>
      </c>
    </row>
    <row r="1020" spans="1:22" x14ac:dyDescent="0.3">
      <c r="A1020" t="s">
        <v>2265</v>
      </c>
      <c r="B1020" s="2">
        <v>46028</v>
      </c>
      <c r="C1020" t="s">
        <v>2266</v>
      </c>
      <c r="D1020" t="s">
        <v>70</v>
      </c>
      <c r="E1020" t="s">
        <v>108</v>
      </c>
      <c r="F1020">
        <v>3</v>
      </c>
      <c r="G1020">
        <v>0</v>
      </c>
      <c r="H1020">
        <v>13500</v>
      </c>
      <c r="I1020">
        <v>4500</v>
      </c>
      <c r="J1020" t="s">
        <v>26</v>
      </c>
      <c r="K1020" t="s">
        <v>40</v>
      </c>
      <c r="L1020">
        <v>4500</v>
      </c>
      <c r="M1020">
        <v>33.333333333333329</v>
      </c>
      <c r="N1020" t="s">
        <v>8</v>
      </c>
      <c r="O1020" t="s">
        <v>2267</v>
      </c>
      <c r="P1020" t="s">
        <v>29</v>
      </c>
      <c r="Q1020" t="s">
        <v>42</v>
      </c>
      <c r="R1020" t="s">
        <v>121</v>
      </c>
      <c r="S1020" t="s">
        <v>44</v>
      </c>
      <c r="T1020" t="s">
        <v>2268</v>
      </c>
      <c r="U1020" t="s">
        <v>46</v>
      </c>
      <c r="V1020">
        <v>1500</v>
      </c>
    </row>
    <row r="1021" spans="1:22" x14ac:dyDescent="0.3">
      <c r="A1021" t="s">
        <v>2269</v>
      </c>
      <c r="B1021" s="2">
        <v>45878</v>
      </c>
      <c r="C1021" t="s">
        <v>48</v>
      </c>
      <c r="D1021" t="s">
        <v>70</v>
      </c>
      <c r="E1021" t="s">
        <v>165</v>
      </c>
      <c r="F1021">
        <v>10</v>
      </c>
      <c r="G1021">
        <v>0.1</v>
      </c>
      <c r="H1021">
        <v>22500</v>
      </c>
      <c r="I1021">
        <v>6575.49</v>
      </c>
      <c r="J1021" t="s">
        <v>39</v>
      </c>
      <c r="K1021" t="s">
        <v>40</v>
      </c>
      <c r="L1021">
        <v>2250</v>
      </c>
      <c r="M1021">
        <v>29.224399999999999</v>
      </c>
      <c r="N1021" t="s">
        <v>8</v>
      </c>
      <c r="O1021" t="s">
        <v>52</v>
      </c>
      <c r="P1021" t="s">
        <v>29</v>
      </c>
      <c r="Q1021" t="s">
        <v>30</v>
      </c>
      <c r="R1021" t="s">
        <v>53</v>
      </c>
      <c r="S1021" t="s">
        <v>54</v>
      </c>
      <c r="T1021" t="s">
        <v>55</v>
      </c>
      <c r="U1021" t="s">
        <v>34</v>
      </c>
      <c r="V1021">
        <v>657.54899999999998</v>
      </c>
    </row>
    <row r="1022" spans="1:22" x14ac:dyDescent="0.3">
      <c r="A1022" t="s">
        <v>2270</v>
      </c>
      <c r="B1022" s="2">
        <v>46124</v>
      </c>
      <c r="C1022" t="s">
        <v>2271</v>
      </c>
      <c r="D1022" t="s">
        <v>49</v>
      </c>
      <c r="E1022" t="s">
        <v>119</v>
      </c>
      <c r="F1022">
        <v>2</v>
      </c>
      <c r="G1022">
        <v>0.05</v>
      </c>
      <c r="H1022">
        <v>17100</v>
      </c>
      <c r="I1022">
        <v>4052.25</v>
      </c>
      <c r="J1022" t="s">
        <v>65</v>
      </c>
      <c r="K1022" t="s">
        <v>40</v>
      </c>
      <c r="L1022">
        <v>8550</v>
      </c>
      <c r="M1022">
        <v>23.69736842105263</v>
      </c>
      <c r="N1022" t="s">
        <v>8</v>
      </c>
      <c r="O1022" t="s">
        <v>1538</v>
      </c>
      <c r="P1022" t="s">
        <v>73</v>
      </c>
      <c r="Q1022" t="s">
        <v>131</v>
      </c>
      <c r="R1022" t="s">
        <v>200</v>
      </c>
      <c r="S1022" t="s">
        <v>201</v>
      </c>
      <c r="T1022" t="s">
        <v>2272</v>
      </c>
      <c r="U1022" t="s">
        <v>34</v>
      </c>
      <c r="V1022">
        <v>2026.125</v>
      </c>
    </row>
    <row r="1023" spans="1:22" x14ac:dyDescent="0.3">
      <c r="A1023" t="s">
        <v>2273</v>
      </c>
      <c r="B1023" s="2">
        <v>46211</v>
      </c>
      <c r="C1023" t="s">
        <v>1955</v>
      </c>
      <c r="D1023" t="s">
        <v>70</v>
      </c>
      <c r="E1023" t="s">
        <v>129</v>
      </c>
      <c r="F1023">
        <v>2</v>
      </c>
      <c r="G1023">
        <v>0.1</v>
      </c>
      <c r="H1023">
        <v>148500</v>
      </c>
      <c r="I1023">
        <v>16266.21</v>
      </c>
      <c r="J1023" t="s">
        <v>65</v>
      </c>
      <c r="K1023" t="s">
        <v>40</v>
      </c>
      <c r="L1023">
        <v>74250</v>
      </c>
      <c r="M1023">
        <v>10.95367676767677</v>
      </c>
      <c r="N1023" t="s">
        <v>8</v>
      </c>
      <c r="O1023" t="s">
        <v>754</v>
      </c>
      <c r="P1023" t="s">
        <v>29</v>
      </c>
      <c r="Q1023" t="s">
        <v>74</v>
      </c>
      <c r="R1023" t="s">
        <v>493</v>
      </c>
      <c r="S1023" t="s">
        <v>494</v>
      </c>
      <c r="T1023" t="s">
        <v>244</v>
      </c>
      <c r="U1023" t="s">
        <v>105</v>
      </c>
      <c r="V1023">
        <v>8133.1049999999996</v>
      </c>
    </row>
    <row r="1024" spans="1:22" x14ac:dyDescent="0.3">
      <c r="A1024" t="s">
        <v>2274</v>
      </c>
      <c r="B1024" s="2">
        <v>45945</v>
      </c>
      <c r="C1024" t="s">
        <v>1398</v>
      </c>
      <c r="D1024" t="s">
        <v>70</v>
      </c>
      <c r="E1024" t="s">
        <v>71</v>
      </c>
      <c r="F1024">
        <v>1</v>
      </c>
      <c r="G1024">
        <v>0</v>
      </c>
      <c r="H1024">
        <v>18000</v>
      </c>
      <c r="I1024">
        <v>3500</v>
      </c>
      <c r="J1024" t="s">
        <v>39</v>
      </c>
      <c r="K1024" t="s">
        <v>40</v>
      </c>
      <c r="L1024">
        <v>18000</v>
      </c>
      <c r="M1024">
        <v>19.44444444444445</v>
      </c>
      <c r="N1024" t="s">
        <v>8</v>
      </c>
      <c r="O1024" t="s">
        <v>153</v>
      </c>
      <c r="P1024" t="s">
        <v>83</v>
      </c>
      <c r="Q1024" t="s">
        <v>30</v>
      </c>
      <c r="R1024" t="s">
        <v>53</v>
      </c>
      <c r="S1024" t="s">
        <v>54</v>
      </c>
      <c r="T1024" t="s">
        <v>734</v>
      </c>
      <c r="U1024" t="s">
        <v>46</v>
      </c>
      <c r="V1024">
        <v>3500</v>
      </c>
    </row>
    <row r="1025" spans="1:22" x14ac:dyDescent="0.3">
      <c r="A1025" t="s">
        <v>2275</v>
      </c>
      <c r="B1025" s="2">
        <v>46110</v>
      </c>
      <c r="C1025" t="s">
        <v>1078</v>
      </c>
      <c r="D1025" t="s">
        <v>24</v>
      </c>
      <c r="E1025" t="s">
        <v>92</v>
      </c>
      <c r="F1025">
        <v>3</v>
      </c>
      <c r="G1025">
        <v>0</v>
      </c>
      <c r="H1025">
        <v>2700</v>
      </c>
      <c r="I1025">
        <v>-688.97</v>
      </c>
      <c r="J1025" t="s">
        <v>65</v>
      </c>
      <c r="K1025" t="s">
        <v>434</v>
      </c>
      <c r="L1025">
        <v>900</v>
      </c>
      <c r="M1025">
        <v>-25.517407407407411</v>
      </c>
      <c r="N1025" t="s">
        <v>81</v>
      </c>
      <c r="O1025" t="s">
        <v>1079</v>
      </c>
      <c r="P1025" t="s">
        <v>83</v>
      </c>
      <c r="Q1025" t="s">
        <v>30</v>
      </c>
      <c r="R1025" t="s">
        <v>31</v>
      </c>
      <c r="S1025" t="s">
        <v>32</v>
      </c>
      <c r="T1025" t="s">
        <v>948</v>
      </c>
      <c r="U1025" t="s">
        <v>34</v>
      </c>
      <c r="V1025">
        <v>-229.65666666666669</v>
      </c>
    </row>
    <row r="1026" spans="1:22" x14ac:dyDescent="0.3">
      <c r="A1026" t="s">
        <v>2276</v>
      </c>
      <c r="B1026" s="2">
        <v>46220</v>
      </c>
      <c r="C1026" t="s">
        <v>900</v>
      </c>
      <c r="D1026" t="s">
        <v>24</v>
      </c>
      <c r="E1026" t="s">
        <v>242</v>
      </c>
      <c r="F1026">
        <v>6</v>
      </c>
      <c r="G1026">
        <v>0.15</v>
      </c>
      <c r="H1026">
        <v>2295</v>
      </c>
      <c r="I1026">
        <v>459.12</v>
      </c>
      <c r="J1026" t="s">
        <v>26</v>
      </c>
      <c r="K1026" t="s">
        <v>40</v>
      </c>
      <c r="L1026">
        <v>382.5</v>
      </c>
      <c r="M1026">
        <v>20.005228758169931</v>
      </c>
      <c r="N1026" t="s">
        <v>8</v>
      </c>
      <c r="O1026" t="s">
        <v>901</v>
      </c>
      <c r="P1026" t="s">
        <v>29</v>
      </c>
      <c r="Q1026" t="s">
        <v>30</v>
      </c>
      <c r="R1026" t="s">
        <v>31</v>
      </c>
      <c r="S1026" t="s">
        <v>32</v>
      </c>
      <c r="T1026" t="s">
        <v>902</v>
      </c>
      <c r="U1026" t="s">
        <v>34</v>
      </c>
      <c r="V1026">
        <v>76.52</v>
      </c>
    </row>
    <row r="1027" spans="1:22" x14ac:dyDescent="0.3">
      <c r="A1027" t="s">
        <v>2277</v>
      </c>
      <c r="B1027" s="2">
        <v>45912</v>
      </c>
      <c r="C1027" t="s">
        <v>2278</v>
      </c>
      <c r="D1027" t="s">
        <v>49</v>
      </c>
      <c r="E1027" t="s">
        <v>50</v>
      </c>
      <c r="F1027">
        <v>1</v>
      </c>
      <c r="G1027">
        <v>0</v>
      </c>
      <c r="H1027">
        <v>13000</v>
      </c>
      <c r="I1027">
        <v>3200</v>
      </c>
      <c r="J1027" t="s">
        <v>51</v>
      </c>
      <c r="K1027" t="s">
        <v>27</v>
      </c>
      <c r="L1027">
        <v>13000</v>
      </c>
      <c r="M1027">
        <v>24.61538461538462</v>
      </c>
      <c r="N1027" t="s">
        <v>8</v>
      </c>
      <c r="O1027" t="s">
        <v>470</v>
      </c>
      <c r="P1027" t="s">
        <v>29</v>
      </c>
      <c r="Q1027" t="s">
        <v>30</v>
      </c>
      <c r="R1027" t="s">
        <v>98</v>
      </c>
      <c r="S1027" t="s">
        <v>54</v>
      </c>
      <c r="T1027" t="s">
        <v>2279</v>
      </c>
      <c r="U1027" t="s">
        <v>105</v>
      </c>
      <c r="V1027">
        <v>3200</v>
      </c>
    </row>
    <row r="1028" spans="1:22" x14ac:dyDescent="0.3">
      <c r="A1028" t="s">
        <v>2280</v>
      </c>
      <c r="B1028" s="2">
        <v>45874</v>
      </c>
      <c r="C1028" t="s">
        <v>1116</v>
      </c>
      <c r="D1028" t="s">
        <v>70</v>
      </c>
      <c r="E1028" t="s">
        <v>165</v>
      </c>
      <c r="F1028">
        <v>3</v>
      </c>
      <c r="G1028">
        <v>0.15</v>
      </c>
      <c r="H1028">
        <v>6375</v>
      </c>
      <c r="I1028">
        <v>1581.31</v>
      </c>
      <c r="J1028" t="s">
        <v>51</v>
      </c>
      <c r="K1028" t="s">
        <v>40</v>
      </c>
      <c r="L1028">
        <v>2125</v>
      </c>
      <c r="M1028">
        <v>24.804862745098038</v>
      </c>
      <c r="N1028" t="s">
        <v>8</v>
      </c>
      <c r="O1028" t="s">
        <v>1117</v>
      </c>
      <c r="P1028" t="s">
        <v>29</v>
      </c>
      <c r="Q1028" t="s">
        <v>30</v>
      </c>
      <c r="R1028" t="s">
        <v>98</v>
      </c>
      <c r="S1028" t="s">
        <v>54</v>
      </c>
      <c r="T1028" t="s">
        <v>1118</v>
      </c>
      <c r="U1028" t="s">
        <v>34</v>
      </c>
      <c r="V1028">
        <v>527.10333333333335</v>
      </c>
    </row>
    <row r="1029" spans="1:22" x14ac:dyDescent="0.3">
      <c r="A1029" t="s">
        <v>2281</v>
      </c>
      <c r="B1029" s="2">
        <v>46190</v>
      </c>
      <c r="C1029" t="s">
        <v>1906</v>
      </c>
      <c r="D1029" t="s">
        <v>24</v>
      </c>
      <c r="E1029" t="s">
        <v>25</v>
      </c>
      <c r="F1029">
        <v>1</v>
      </c>
      <c r="G1029">
        <v>0.15</v>
      </c>
      <c r="H1029">
        <v>11900</v>
      </c>
      <c r="I1029">
        <v>1546.65</v>
      </c>
      <c r="J1029" t="s">
        <v>39</v>
      </c>
      <c r="K1029" t="s">
        <v>40</v>
      </c>
      <c r="L1029">
        <v>11900</v>
      </c>
      <c r="M1029">
        <v>12.997058823529411</v>
      </c>
      <c r="N1029" t="s">
        <v>8</v>
      </c>
      <c r="O1029" t="s">
        <v>1579</v>
      </c>
      <c r="P1029" t="s">
        <v>29</v>
      </c>
      <c r="Q1029" t="s">
        <v>131</v>
      </c>
      <c r="R1029" t="s">
        <v>449</v>
      </c>
      <c r="S1029" t="s">
        <v>450</v>
      </c>
      <c r="T1029" t="s">
        <v>1907</v>
      </c>
      <c r="U1029" t="s">
        <v>46</v>
      </c>
      <c r="V1029">
        <v>1546.65</v>
      </c>
    </row>
    <row r="1030" spans="1:22" x14ac:dyDescent="0.3">
      <c r="A1030" t="s">
        <v>2282</v>
      </c>
      <c r="B1030" s="2">
        <v>45885</v>
      </c>
      <c r="C1030" t="s">
        <v>1865</v>
      </c>
      <c r="D1030" t="s">
        <v>49</v>
      </c>
      <c r="E1030" t="s">
        <v>79</v>
      </c>
      <c r="F1030">
        <v>3</v>
      </c>
      <c r="G1030">
        <v>0.15</v>
      </c>
      <c r="H1030">
        <v>28050</v>
      </c>
      <c r="I1030">
        <v>-9050.15</v>
      </c>
      <c r="J1030" t="s">
        <v>65</v>
      </c>
      <c r="K1030" t="s">
        <v>80</v>
      </c>
      <c r="L1030">
        <v>9350</v>
      </c>
      <c r="M1030">
        <v>-32.264349376114083</v>
      </c>
      <c r="N1030" t="s">
        <v>81</v>
      </c>
      <c r="O1030" t="s">
        <v>1866</v>
      </c>
      <c r="P1030" t="s">
        <v>29</v>
      </c>
      <c r="Q1030" t="s">
        <v>42</v>
      </c>
      <c r="R1030" t="s">
        <v>214</v>
      </c>
      <c r="S1030" t="s">
        <v>111</v>
      </c>
      <c r="T1030" t="s">
        <v>1867</v>
      </c>
      <c r="U1030" t="s">
        <v>34</v>
      </c>
      <c r="V1030">
        <v>-3016.7166666666672</v>
      </c>
    </row>
    <row r="1031" spans="1:22" x14ac:dyDescent="0.3">
      <c r="A1031" t="s">
        <v>2283</v>
      </c>
      <c r="B1031" s="2">
        <v>46184</v>
      </c>
      <c r="C1031" t="s">
        <v>473</v>
      </c>
      <c r="D1031" t="s">
        <v>37</v>
      </c>
      <c r="E1031" t="s">
        <v>38</v>
      </c>
      <c r="F1031">
        <v>3</v>
      </c>
      <c r="G1031">
        <v>0</v>
      </c>
      <c r="H1031">
        <v>5400</v>
      </c>
      <c r="I1031">
        <v>1950</v>
      </c>
      <c r="J1031" t="s">
        <v>65</v>
      </c>
      <c r="K1031" t="s">
        <v>40</v>
      </c>
      <c r="L1031">
        <v>1800</v>
      </c>
      <c r="M1031">
        <v>36.111111111111107</v>
      </c>
      <c r="N1031" t="s">
        <v>8</v>
      </c>
      <c r="O1031" t="s">
        <v>474</v>
      </c>
      <c r="P1031" t="s">
        <v>73</v>
      </c>
      <c r="Q1031" t="s">
        <v>131</v>
      </c>
      <c r="R1031" t="s">
        <v>289</v>
      </c>
      <c r="S1031" t="s">
        <v>290</v>
      </c>
      <c r="T1031" t="s">
        <v>475</v>
      </c>
      <c r="U1031" t="s">
        <v>46</v>
      </c>
      <c r="V1031">
        <v>650</v>
      </c>
    </row>
    <row r="1032" spans="1:22" x14ac:dyDescent="0.3">
      <c r="A1032" t="s">
        <v>2284</v>
      </c>
      <c r="B1032" s="2">
        <v>46008</v>
      </c>
      <c r="C1032" t="s">
        <v>1444</v>
      </c>
      <c r="D1032" t="s">
        <v>70</v>
      </c>
      <c r="E1032" t="s">
        <v>108</v>
      </c>
      <c r="F1032">
        <v>1</v>
      </c>
      <c r="G1032">
        <v>0.15</v>
      </c>
      <c r="H1032">
        <v>3825</v>
      </c>
      <c r="I1032">
        <v>1172.5899999999999</v>
      </c>
      <c r="J1032" t="s">
        <v>26</v>
      </c>
      <c r="K1032" t="s">
        <v>27</v>
      </c>
      <c r="L1032">
        <v>3825</v>
      </c>
      <c r="M1032">
        <v>30.6559477124183</v>
      </c>
      <c r="N1032" t="s">
        <v>8</v>
      </c>
      <c r="O1032" t="s">
        <v>839</v>
      </c>
      <c r="P1032" t="s">
        <v>29</v>
      </c>
      <c r="Q1032" t="s">
        <v>42</v>
      </c>
      <c r="R1032" t="s">
        <v>121</v>
      </c>
      <c r="S1032" t="s">
        <v>44</v>
      </c>
      <c r="T1032" t="s">
        <v>1445</v>
      </c>
      <c r="U1032" t="s">
        <v>34</v>
      </c>
      <c r="V1032">
        <v>1172.5899999999999</v>
      </c>
    </row>
    <row r="1033" spans="1:22" x14ac:dyDescent="0.3">
      <c r="A1033" t="s">
        <v>2285</v>
      </c>
      <c r="B1033" s="2">
        <v>46001</v>
      </c>
      <c r="C1033" t="s">
        <v>1648</v>
      </c>
      <c r="D1033" t="s">
        <v>49</v>
      </c>
      <c r="E1033" t="s">
        <v>119</v>
      </c>
      <c r="F1033">
        <v>2</v>
      </c>
      <c r="G1033">
        <v>0.05</v>
      </c>
      <c r="H1033">
        <v>17100</v>
      </c>
      <c r="I1033">
        <v>3890.96</v>
      </c>
      <c r="J1033" t="s">
        <v>51</v>
      </c>
      <c r="K1033" t="s">
        <v>40</v>
      </c>
      <c r="L1033">
        <v>8550</v>
      </c>
      <c r="M1033">
        <v>22.754152046783631</v>
      </c>
      <c r="N1033" t="s">
        <v>8</v>
      </c>
      <c r="O1033" t="s">
        <v>1649</v>
      </c>
      <c r="P1033" t="s">
        <v>73</v>
      </c>
      <c r="Q1033" t="s">
        <v>30</v>
      </c>
      <c r="R1033" t="s">
        <v>98</v>
      </c>
      <c r="S1033" t="s">
        <v>54</v>
      </c>
      <c r="T1033" t="s">
        <v>1650</v>
      </c>
      <c r="U1033" t="s">
        <v>34</v>
      </c>
      <c r="V1033">
        <v>1945.48</v>
      </c>
    </row>
    <row r="1034" spans="1:22" x14ac:dyDescent="0.3">
      <c r="A1034" t="s">
        <v>2286</v>
      </c>
      <c r="B1034" s="2">
        <v>46218</v>
      </c>
      <c r="C1034" t="s">
        <v>174</v>
      </c>
      <c r="D1034" t="s">
        <v>24</v>
      </c>
      <c r="E1034" t="s">
        <v>92</v>
      </c>
      <c r="F1034">
        <v>1</v>
      </c>
      <c r="G1034">
        <v>0.1</v>
      </c>
      <c r="H1034">
        <v>810</v>
      </c>
      <c r="I1034">
        <v>205.23</v>
      </c>
      <c r="J1034" t="s">
        <v>51</v>
      </c>
      <c r="K1034" t="s">
        <v>40</v>
      </c>
      <c r="L1034">
        <v>810</v>
      </c>
      <c r="M1034">
        <v>25.337037037037039</v>
      </c>
      <c r="N1034" t="s">
        <v>8</v>
      </c>
      <c r="O1034" t="s">
        <v>175</v>
      </c>
      <c r="P1034" t="s">
        <v>29</v>
      </c>
      <c r="Q1034" t="s">
        <v>30</v>
      </c>
      <c r="R1034" t="s">
        <v>53</v>
      </c>
      <c r="S1034" t="s">
        <v>54</v>
      </c>
      <c r="T1034" t="s">
        <v>176</v>
      </c>
      <c r="U1034" t="s">
        <v>34</v>
      </c>
      <c r="V1034">
        <v>205.23</v>
      </c>
    </row>
    <row r="1035" spans="1:22" x14ac:dyDescent="0.3">
      <c r="A1035" t="s">
        <v>2287</v>
      </c>
      <c r="B1035" s="2">
        <v>46011</v>
      </c>
      <c r="C1035" t="s">
        <v>1304</v>
      </c>
      <c r="D1035" t="s">
        <v>37</v>
      </c>
      <c r="E1035" t="s">
        <v>38</v>
      </c>
      <c r="F1035">
        <v>1</v>
      </c>
      <c r="G1035">
        <v>0.05</v>
      </c>
      <c r="H1035">
        <v>1710</v>
      </c>
      <c r="I1035">
        <v>579.75</v>
      </c>
      <c r="J1035" t="s">
        <v>65</v>
      </c>
      <c r="K1035" t="s">
        <v>40</v>
      </c>
      <c r="L1035">
        <v>1710</v>
      </c>
      <c r="M1035">
        <v>33.903508771929822</v>
      </c>
      <c r="N1035" t="s">
        <v>8</v>
      </c>
      <c r="O1035" t="s">
        <v>1305</v>
      </c>
      <c r="P1035" t="s">
        <v>29</v>
      </c>
      <c r="Q1035" t="s">
        <v>30</v>
      </c>
      <c r="R1035" t="s">
        <v>53</v>
      </c>
      <c r="S1035" t="s">
        <v>54</v>
      </c>
      <c r="T1035" t="s">
        <v>1306</v>
      </c>
      <c r="U1035" t="s">
        <v>34</v>
      </c>
      <c r="V1035">
        <v>579.75</v>
      </c>
    </row>
    <row r="1036" spans="1:22" x14ac:dyDescent="0.3">
      <c r="A1036" t="s">
        <v>2288</v>
      </c>
      <c r="B1036" s="2">
        <v>45933</v>
      </c>
      <c r="C1036" t="s">
        <v>983</v>
      </c>
      <c r="D1036" t="s">
        <v>70</v>
      </c>
      <c r="E1036" t="s">
        <v>71</v>
      </c>
      <c r="F1036">
        <v>4</v>
      </c>
      <c r="G1036">
        <v>0.1</v>
      </c>
      <c r="H1036">
        <v>64800</v>
      </c>
      <c r="I1036">
        <v>8495</v>
      </c>
      <c r="J1036" t="s">
        <v>65</v>
      </c>
      <c r="K1036" t="s">
        <v>27</v>
      </c>
      <c r="L1036">
        <v>16200</v>
      </c>
      <c r="M1036">
        <v>13.10956790123457</v>
      </c>
      <c r="N1036" t="s">
        <v>8</v>
      </c>
      <c r="O1036" t="s">
        <v>984</v>
      </c>
      <c r="P1036" t="s">
        <v>29</v>
      </c>
      <c r="Q1036" t="s">
        <v>30</v>
      </c>
      <c r="R1036" t="s">
        <v>31</v>
      </c>
      <c r="S1036" t="s">
        <v>32</v>
      </c>
      <c r="T1036" t="s">
        <v>985</v>
      </c>
      <c r="U1036" t="s">
        <v>46</v>
      </c>
      <c r="V1036">
        <v>2123.75</v>
      </c>
    </row>
    <row r="1037" spans="1:22" x14ac:dyDescent="0.3">
      <c r="A1037" t="s">
        <v>2289</v>
      </c>
      <c r="B1037" s="2">
        <v>46153</v>
      </c>
      <c r="C1037" t="s">
        <v>381</v>
      </c>
      <c r="D1037" t="s">
        <v>70</v>
      </c>
      <c r="E1037" t="s">
        <v>129</v>
      </c>
      <c r="F1037">
        <v>2</v>
      </c>
      <c r="G1037">
        <v>0.15</v>
      </c>
      <c r="H1037">
        <v>93500</v>
      </c>
      <c r="I1037">
        <v>4406.08</v>
      </c>
      <c r="J1037" t="s">
        <v>26</v>
      </c>
      <c r="K1037" t="s">
        <v>40</v>
      </c>
      <c r="L1037">
        <v>46750</v>
      </c>
      <c r="M1037">
        <v>4.7123850267379677</v>
      </c>
      <c r="N1037" t="s">
        <v>8</v>
      </c>
      <c r="O1037" t="s">
        <v>382</v>
      </c>
      <c r="P1037" t="s">
        <v>73</v>
      </c>
      <c r="Q1037" t="s">
        <v>30</v>
      </c>
      <c r="R1037" t="s">
        <v>98</v>
      </c>
      <c r="S1037" t="s">
        <v>54</v>
      </c>
      <c r="T1037" t="s">
        <v>383</v>
      </c>
      <c r="U1037" t="s">
        <v>100</v>
      </c>
      <c r="V1037">
        <v>2203.04</v>
      </c>
    </row>
    <row r="1038" spans="1:22" x14ac:dyDescent="0.3">
      <c r="A1038" t="s">
        <v>2290</v>
      </c>
      <c r="B1038" s="2">
        <v>46115</v>
      </c>
      <c r="C1038" t="s">
        <v>1618</v>
      </c>
      <c r="D1038" t="s">
        <v>49</v>
      </c>
      <c r="E1038" t="s">
        <v>79</v>
      </c>
      <c r="F1038">
        <v>1</v>
      </c>
      <c r="G1038">
        <v>0.15</v>
      </c>
      <c r="H1038">
        <v>9350</v>
      </c>
      <c r="I1038">
        <v>-3431.2</v>
      </c>
      <c r="J1038" t="s">
        <v>65</v>
      </c>
      <c r="K1038" t="s">
        <v>80</v>
      </c>
      <c r="L1038">
        <v>9350</v>
      </c>
      <c r="M1038">
        <v>-36.697326203208547</v>
      </c>
      <c r="N1038" t="s">
        <v>81</v>
      </c>
      <c r="O1038" t="s">
        <v>847</v>
      </c>
      <c r="P1038" t="s">
        <v>29</v>
      </c>
      <c r="Q1038" t="s">
        <v>42</v>
      </c>
      <c r="R1038" t="s">
        <v>214</v>
      </c>
      <c r="S1038" t="s">
        <v>111</v>
      </c>
      <c r="T1038" t="s">
        <v>1619</v>
      </c>
      <c r="U1038" t="s">
        <v>46</v>
      </c>
      <c r="V1038">
        <v>-3431.2</v>
      </c>
    </row>
    <row r="1039" spans="1:22" x14ac:dyDescent="0.3">
      <c r="A1039" t="s">
        <v>2291</v>
      </c>
      <c r="B1039" s="2">
        <v>46138</v>
      </c>
      <c r="C1039" t="s">
        <v>1502</v>
      </c>
      <c r="D1039" t="s">
        <v>49</v>
      </c>
      <c r="E1039" t="s">
        <v>58</v>
      </c>
      <c r="F1039">
        <v>1</v>
      </c>
      <c r="G1039">
        <v>0.1</v>
      </c>
      <c r="H1039">
        <v>13500</v>
      </c>
      <c r="I1039">
        <v>2336.08</v>
      </c>
      <c r="J1039" t="s">
        <v>26</v>
      </c>
      <c r="K1039" t="s">
        <v>27</v>
      </c>
      <c r="L1039">
        <v>13500</v>
      </c>
      <c r="M1039">
        <v>17.3042962962963</v>
      </c>
      <c r="N1039" t="s">
        <v>8</v>
      </c>
      <c r="O1039" t="s">
        <v>1057</v>
      </c>
      <c r="P1039" t="s">
        <v>73</v>
      </c>
      <c r="Q1039" t="s">
        <v>42</v>
      </c>
      <c r="R1039" t="s">
        <v>43</v>
      </c>
      <c r="S1039" t="s">
        <v>44</v>
      </c>
      <c r="T1039" t="s">
        <v>1503</v>
      </c>
      <c r="U1039" t="s">
        <v>100</v>
      </c>
      <c r="V1039">
        <v>2336.08</v>
      </c>
    </row>
    <row r="1040" spans="1:22" x14ac:dyDescent="0.3">
      <c r="A1040" t="s">
        <v>2292</v>
      </c>
      <c r="B1040" s="2">
        <v>45992</v>
      </c>
      <c r="C1040" t="s">
        <v>152</v>
      </c>
      <c r="D1040" t="s">
        <v>49</v>
      </c>
      <c r="E1040" t="s">
        <v>58</v>
      </c>
      <c r="F1040">
        <v>1</v>
      </c>
      <c r="G1040">
        <v>0.1</v>
      </c>
      <c r="H1040">
        <v>13500</v>
      </c>
      <c r="I1040">
        <v>2657.93</v>
      </c>
      <c r="J1040" t="s">
        <v>51</v>
      </c>
      <c r="K1040" t="s">
        <v>40</v>
      </c>
      <c r="L1040">
        <v>13500</v>
      </c>
      <c r="M1040">
        <v>19.688370370370372</v>
      </c>
      <c r="N1040" t="s">
        <v>8</v>
      </c>
      <c r="O1040" t="s">
        <v>153</v>
      </c>
      <c r="P1040" t="s">
        <v>83</v>
      </c>
      <c r="Q1040" t="s">
        <v>30</v>
      </c>
      <c r="R1040" t="s">
        <v>53</v>
      </c>
      <c r="S1040" t="s">
        <v>54</v>
      </c>
      <c r="T1040" t="s">
        <v>154</v>
      </c>
      <c r="U1040" t="s">
        <v>100</v>
      </c>
      <c r="V1040">
        <v>2657.93</v>
      </c>
    </row>
    <row r="1041" spans="1:22" x14ac:dyDescent="0.3">
      <c r="A1041" t="s">
        <v>2293</v>
      </c>
      <c r="B1041" s="2">
        <v>46180</v>
      </c>
      <c r="C1041" t="s">
        <v>1110</v>
      </c>
      <c r="D1041" t="s">
        <v>24</v>
      </c>
      <c r="E1041" t="s">
        <v>92</v>
      </c>
      <c r="F1041">
        <v>3</v>
      </c>
      <c r="G1041">
        <v>0</v>
      </c>
      <c r="H1041">
        <v>2700</v>
      </c>
      <c r="I1041">
        <v>840</v>
      </c>
      <c r="J1041" t="s">
        <v>65</v>
      </c>
      <c r="K1041" t="s">
        <v>27</v>
      </c>
      <c r="L1041">
        <v>900</v>
      </c>
      <c r="M1041">
        <v>31.111111111111111</v>
      </c>
      <c r="N1041" t="s">
        <v>8</v>
      </c>
      <c r="O1041" t="s">
        <v>1111</v>
      </c>
      <c r="P1041" t="s">
        <v>29</v>
      </c>
      <c r="Q1041" t="s">
        <v>42</v>
      </c>
      <c r="R1041" t="s">
        <v>110</v>
      </c>
      <c r="S1041" t="s">
        <v>111</v>
      </c>
      <c r="T1041" t="s">
        <v>1112</v>
      </c>
      <c r="U1041" t="s">
        <v>34</v>
      </c>
      <c r="V1041">
        <v>280</v>
      </c>
    </row>
    <row r="1042" spans="1:22" x14ac:dyDescent="0.3">
      <c r="A1042" t="s">
        <v>2294</v>
      </c>
      <c r="B1042" s="2">
        <v>45936</v>
      </c>
      <c r="C1042" t="s">
        <v>2295</v>
      </c>
      <c r="D1042" t="s">
        <v>37</v>
      </c>
      <c r="E1042" t="s">
        <v>310</v>
      </c>
      <c r="F1042">
        <v>1</v>
      </c>
      <c r="G1042">
        <v>0.05</v>
      </c>
      <c r="H1042">
        <v>2090</v>
      </c>
      <c r="I1042">
        <v>659.75</v>
      </c>
      <c r="J1042" t="s">
        <v>65</v>
      </c>
      <c r="K1042" t="s">
        <v>27</v>
      </c>
      <c r="L1042">
        <v>2090</v>
      </c>
      <c r="M1042">
        <v>31.56698564593302</v>
      </c>
      <c r="N1042" t="s">
        <v>8</v>
      </c>
      <c r="O1042" t="s">
        <v>2296</v>
      </c>
      <c r="P1042" t="s">
        <v>29</v>
      </c>
      <c r="Q1042" t="s">
        <v>74</v>
      </c>
      <c r="R1042" t="s">
        <v>493</v>
      </c>
      <c r="S1042" t="s">
        <v>494</v>
      </c>
      <c r="T1042" t="s">
        <v>2297</v>
      </c>
      <c r="U1042" t="s">
        <v>105</v>
      </c>
      <c r="V1042">
        <v>659.75</v>
      </c>
    </row>
    <row r="1043" spans="1:22" x14ac:dyDescent="0.3">
      <c r="A1043" t="s">
        <v>2298</v>
      </c>
      <c r="B1043" s="2">
        <v>46023</v>
      </c>
      <c r="C1043" t="s">
        <v>275</v>
      </c>
      <c r="D1043" t="s">
        <v>24</v>
      </c>
      <c r="E1043" t="s">
        <v>92</v>
      </c>
      <c r="F1043">
        <v>10</v>
      </c>
      <c r="G1043">
        <v>0.05</v>
      </c>
      <c r="H1043">
        <v>8550</v>
      </c>
      <c r="I1043">
        <v>2524.4699999999998</v>
      </c>
      <c r="J1043" t="s">
        <v>26</v>
      </c>
      <c r="K1043" t="s">
        <v>40</v>
      </c>
      <c r="L1043">
        <v>855</v>
      </c>
      <c r="M1043">
        <v>29.525964912280699</v>
      </c>
      <c r="N1043" t="s">
        <v>8</v>
      </c>
      <c r="O1043" t="s">
        <v>276</v>
      </c>
      <c r="P1043" t="s">
        <v>83</v>
      </c>
      <c r="Q1043" t="s">
        <v>30</v>
      </c>
      <c r="R1043" t="s">
        <v>53</v>
      </c>
      <c r="S1043" t="s">
        <v>54</v>
      </c>
      <c r="T1043" t="s">
        <v>277</v>
      </c>
      <c r="U1043" t="s">
        <v>100</v>
      </c>
      <c r="V1043">
        <v>252.447</v>
      </c>
    </row>
    <row r="1044" spans="1:22" x14ac:dyDescent="0.3">
      <c r="A1044" t="s">
        <v>2299</v>
      </c>
      <c r="B1044" s="2">
        <v>46260</v>
      </c>
      <c r="C1044" t="s">
        <v>2300</v>
      </c>
      <c r="D1044" t="s">
        <v>24</v>
      </c>
      <c r="E1044" t="s">
        <v>25</v>
      </c>
      <c r="F1044">
        <v>3</v>
      </c>
      <c r="G1044">
        <v>0.15</v>
      </c>
      <c r="H1044">
        <v>35700</v>
      </c>
      <c r="I1044">
        <v>4257.72</v>
      </c>
      <c r="J1044" t="s">
        <v>39</v>
      </c>
      <c r="K1044" t="s">
        <v>40</v>
      </c>
      <c r="L1044">
        <v>11900</v>
      </c>
      <c r="M1044">
        <v>11.92638655462185</v>
      </c>
      <c r="N1044" t="s">
        <v>8</v>
      </c>
      <c r="O1044" t="s">
        <v>2301</v>
      </c>
      <c r="P1044" t="s">
        <v>29</v>
      </c>
      <c r="Q1044" t="s">
        <v>42</v>
      </c>
      <c r="R1044" t="s">
        <v>214</v>
      </c>
      <c r="S1044" t="s">
        <v>111</v>
      </c>
      <c r="T1044" t="s">
        <v>2302</v>
      </c>
      <c r="U1044" t="s">
        <v>100</v>
      </c>
      <c r="V1044">
        <v>1419.24</v>
      </c>
    </row>
    <row r="1045" spans="1:22" x14ac:dyDescent="0.3">
      <c r="A1045" t="s">
        <v>2303</v>
      </c>
      <c r="B1045" s="2">
        <v>46051</v>
      </c>
      <c r="C1045" t="s">
        <v>522</v>
      </c>
      <c r="D1045" t="s">
        <v>70</v>
      </c>
      <c r="E1045" t="s">
        <v>129</v>
      </c>
      <c r="F1045">
        <v>2</v>
      </c>
      <c r="G1045">
        <v>0</v>
      </c>
      <c r="H1045">
        <v>110000</v>
      </c>
      <c r="I1045">
        <v>18000</v>
      </c>
      <c r="J1045" t="s">
        <v>26</v>
      </c>
      <c r="K1045" t="s">
        <v>40</v>
      </c>
      <c r="L1045">
        <v>55000</v>
      </c>
      <c r="M1045">
        <v>16.36363636363636</v>
      </c>
      <c r="N1045" t="s">
        <v>8</v>
      </c>
      <c r="O1045" t="s">
        <v>523</v>
      </c>
      <c r="P1045" t="s">
        <v>73</v>
      </c>
      <c r="Q1045" t="s">
        <v>30</v>
      </c>
      <c r="R1045" t="s">
        <v>98</v>
      </c>
      <c r="S1045" t="s">
        <v>54</v>
      </c>
      <c r="T1045" t="s">
        <v>62</v>
      </c>
      <c r="U1045" t="s">
        <v>46</v>
      </c>
      <c r="V1045">
        <v>9000</v>
      </c>
    </row>
    <row r="1046" spans="1:22" x14ac:dyDescent="0.3">
      <c r="A1046" t="s">
        <v>2304</v>
      </c>
      <c r="B1046" s="2">
        <v>46063</v>
      </c>
      <c r="C1046" t="s">
        <v>469</v>
      </c>
      <c r="D1046" t="s">
        <v>24</v>
      </c>
      <c r="E1046" t="s">
        <v>87</v>
      </c>
      <c r="F1046">
        <v>3</v>
      </c>
      <c r="G1046">
        <v>0.1</v>
      </c>
      <c r="H1046">
        <v>945</v>
      </c>
      <c r="I1046">
        <v>-6.07</v>
      </c>
      <c r="J1046" t="s">
        <v>26</v>
      </c>
      <c r="K1046" t="s">
        <v>80</v>
      </c>
      <c r="L1046">
        <v>315</v>
      </c>
      <c r="M1046">
        <v>-0.64232804232804241</v>
      </c>
      <c r="N1046" t="s">
        <v>81</v>
      </c>
      <c r="O1046" t="s">
        <v>470</v>
      </c>
      <c r="P1046" t="s">
        <v>83</v>
      </c>
      <c r="Q1046" t="s">
        <v>30</v>
      </c>
      <c r="R1046" t="s">
        <v>31</v>
      </c>
      <c r="S1046" t="s">
        <v>32</v>
      </c>
      <c r="T1046" t="s">
        <v>471</v>
      </c>
      <c r="U1046" t="s">
        <v>100</v>
      </c>
      <c r="V1046">
        <v>-2.023333333333333</v>
      </c>
    </row>
    <row r="1047" spans="1:22" x14ac:dyDescent="0.3">
      <c r="A1047" t="s">
        <v>2305</v>
      </c>
      <c r="B1047" s="2">
        <v>45930</v>
      </c>
      <c r="C1047" t="s">
        <v>2306</v>
      </c>
      <c r="D1047" t="s">
        <v>24</v>
      </c>
      <c r="E1047" t="s">
        <v>242</v>
      </c>
      <c r="F1047">
        <v>3</v>
      </c>
      <c r="G1047">
        <v>0.1</v>
      </c>
      <c r="H1047">
        <v>1215</v>
      </c>
      <c r="I1047">
        <v>245.33</v>
      </c>
      <c r="J1047" t="s">
        <v>65</v>
      </c>
      <c r="K1047" t="s">
        <v>40</v>
      </c>
      <c r="L1047">
        <v>405</v>
      </c>
      <c r="M1047">
        <v>20.191769547325102</v>
      </c>
      <c r="N1047" t="s">
        <v>8</v>
      </c>
      <c r="O1047" t="s">
        <v>711</v>
      </c>
      <c r="P1047" t="s">
        <v>73</v>
      </c>
      <c r="Q1047" t="s">
        <v>42</v>
      </c>
      <c r="R1047" t="s">
        <v>121</v>
      </c>
      <c r="S1047" t="s">
        <v>44</v>
      </c>
      <c r="T1047" t="s">
        <v>964</v>
      </c>
      <c r="U1047" t="s">
        <v>100</v>
      </c>
      <c r="V1047">
        <v>81.776666666666671</v>
      </c>
    </row>
    <row r="1048" spans="1:22" x14ac:dyDescent="0.3">
      <c r="A1048" t="s">
        <v>2307</v>
      </c>
      <c r="B1048" s="2">
        <v>45979</v>
      </c>
      <c r="C1048" t="s">
        <v>2308</v>
      </c>
      <c r="D1048" t="s">
        <v>37</v>
      </c>
      <c r="E1048" t="s">
        <v>310</v>
      </c>
      <c r="F1048">
        <v>6</v>
      </c>
      <c r="G1048">
        <v>0</v>
      </c>
      <c r="H1048">
        <v>13200</v>
      </c>
      <c r="I1048">
        <v>4500</v>
      </c>
      <c r="J1048" t="s">
        <v>26</v>
      </c>
      <c r="K1048" t="s">
        <v>40</v>
      </c>
      <c r="L1048">
        <v>2200</v>
      </c>
      <c r="M1048">
        <v>34.090909090909093</v>
      </c>
      <c r="N1048" t="s">
        <v>8</v>
      </c>
      <c r="O1048" t="s">
        <v>2211</v>
      </c>
      <c r="P1048" t="s">
        <v>29</v>
      </c>
      <c r="Q1048" t="s">
        <v>42</v>
      </c>
      <c r="R1048" t="s">
        <v>121</v>
      </c>
      <c r="S1048" t="s">
        <v>44</v>
      </c>
      <c r="T1048" t="s">
        <v>763</v>
      </c>
      <c r="U1048" t="s">
        <v>46</v>
      </c>
      <c r="V1048">
        <v>750</v>
      </c>
    </row>
    <row r="1049" spans="1:22" x14ac:dyDescent="0.3">
      <c r="A1049" t="s">
        <v>2309</v>
      </c>
      <c r="B1049" s="2">
        <v>46249</v>
      </c>
      <c r="C1049" t="s">
        <v>1484</v>
      </c>
      <c r="D1049" t="s">
        <v>49</v>
      </c>
      <c r="E1049" t="s">
        <v>50</v>
      </c>
      <c r="F1049">
        <v>1</v>
      </c>
      <c r="G1049">
        <v>0.15</v>
      </c>
      <c r="H1049">
        <v>11050</v>
      </c>
      <c r="I1049">
        <v>1601.25</v>
      </c>
      <c r="J1049" t="s">
        <v>51</v>
      </c>
      <c r="K1049" t="s">
        <v>40</v>
      </c>
      <c r="L1049">
        <v>11050</v>
      </c>
      <c r="M1049">
        <v>14.490950226244349</v>
      </c>
      <c r="N1049" t="s">
        <v>8</v>
      </c>
      <c r="O1049" t="s">
        <v>1485</v>
      </c>
      <c r="P1049" t="s">
        <v>83</v>
      </c>
      <c r="Q1049" t="s">
        <v>42</v>
      </c>
      <c r="R1049" t="s">
        <v>214</v>
      </c>
      <c r="S1049" t="s">
        <v>111</v>
      </c>
      <c r="T1049" t="s">
        <v>1029</v>
      </c>
      <c r="U1049" t="s">
        <v>100</v>
      </c>
      <c r="V1049">
        <v>1601.25</v>
      </c>
    </row>
    <row r="1050" spans="1:22" x14ac:dyDescent="0.3">
      <c r="A1050" t="s">
        <v>2310</v>
      </c>
      <c r="B1050" s="2">
        <v>46169</v>
      </c>
      <c r="C1050" t="s">
        <v>2311</v>
      </c>
      <c r="D1050" t="s">
        <v>24</v>
      </c>
      <c r="E1050" t="s">
        <v>25</v>
      </c>
      <c r="F1050">
        <v>1</v>
      </c>
      <c r="G1050">
        <v>0.1</v>
      </c>
      <c r="H1050">
        <v>12600</v>
      </c>
      <c r="I1050">
        <v>1705.5</v>
      </c>
      <c r="J1050" t="s">
        <v>51</v>
      </c>
      <c r="K1050" t="s">
        <v>40</v>
      </c>
      <c r="L1050">
        <v>12600</v>
      </c>
      <c r="M1050">
        <v>13.53571428571429</v>
      </c>
      <c r="N1050" t="s">
        <v>8</v>
      </c>
      <c r="O1050" t="s">
        <v>2312</v>
      </c>
      <c r="P1050" t="s">
        <v>73</v>
      </c>
      <c r="Q1050" t="s">
        <v>131</v>
      </c>
      <c r="R1050" t="s">
        <v>132</v>
      </c>
      <c r="S1050" t="s">
        <v>133</v>
      </c>
      <c r="T1050" t="s">
        <v>2313</v>
      </c>
      <c r="U1050" t="s">
        <v>46</v>
      </c>
      <c r="V1050">
        <v>1705.5</v>
      </c>
    </row>
    <row r="1051" spans="1:22" x14ac:dyDescent="0.3">
      <c r="A1051" t="s">
        <v>2314</v>
      </c>
      <c r="B1051" s="2">
        <v>45966</v>
      </c>
      <c r="C1051" t="s">
        <v>377</v>
      </c>
      <c r="D1051" t="s">
        <v>24</v>
      </c>
      <c r="E1051" t="s">
        <v>25</v>
      </c>
      <c r="F1051">
        <v>1</v>
      </c>
      <c r="G1051">
        <v>0.3</v>
      </c>
      <c r="H1051">
        <v>9800</v>
      </c>
      <c r="I1051">
        <v>159.04</v>
      </c>
      <c r="J1051" t="s">
        <v>26</v>
      </c>
      <c r="K1051" t="s">
        <v>40</v>
      </c>
      <c r="L1051">
        <v>9800</v>
      </c>
      <c r="M1051">
        <v>1.622857142857143</v>
      </c>
      <c r="N1051" t="s">
        <v>8</v>
      </c>
      <c r="O1051" t="s">
        <v>378</v>
      </c>
      <c r="P1051" t="s">
        <v>29</v>
      </c>
      <c r="Q1051" t="s">
        <v>30</v>
      </c>
      <c r="R1051" t="s">
        <v>31</v>
      </c>
      <c r="S1051" t="s">
        <v>32</v>
      </c>
      <c r="T1051" t="s">
        <v>379</v>
      </c>
      <c r="U1051" t="s">
        <v>34</v>
      </c>
      <c r="V1051">
        <v>159.04</v>
      </c>
    </row>
    <row r="1052" spans="1:22" x14ac:dyDescent="0.3">
      <c r="A1052" t="s">
        <v>2315</v>
      </c>
      <c r="B1052" s="2">
        <v>45989</v>
      </c>
      <c r="C1052" t="s">
        <v>1670</v>
      </c>
      <c r="D1052" t="s">
        <v>70</v>
      </c>
      <c r="E1052" t="s">
        <v>108</v>
      </c>
      <c r="F1052">
        <v>1</v>
      </c>
      <c r="G1052">
        <v>0</v>
      </c>
      <c r="H1052">
        <v>4500</v>
      </c>
      <c r="I1052">
        <v>-521.44000000000005</v>
      </c>
      <c r="J1052" t="s">
        <v>51</v>
      </c>
      <c r="K1052" t="s">
        <v>80</v>
      </c>
      <c r="L1052">
        <v>4500</v>
      </c>
      <c r="M1052">
        <v>-11.587555555555561</v>
      </c>
      <c r="N1052" t="s">
        <v>81</v>
      </c>
      <c r="O1052" t="s">
        <v>1383</v>
      </c>
      <c r="P1052" t="s">
        <v>29</v>
      </c>
      <c r="Q1052" t="s">
        <v>42</v>
      </c>
      <c r="R1052" t="s">
        <v>121</v>
      </c>
      <c r="S1052" t="s">
        <v>44</v>
      </c>
      <c r="T1052" t="s">
        <v>1671</v>
      </c>
      <c r="U1052" t="s">
        <v>34</v>
      </c>
      <c r="V1052">
        <v>-521.44000000000005</v>
      </c>
    </row>
    <row r="1053" spans="1:22" x14ac:dyDescent="0.3">
      <c r="A1053" t="s">
        <v>2316</v>
      </c>
      <c r="B1053" s="2">
        <v>46217</v>
      </c>
      <c r="C1053" t="s">
        <v>1704</v>
      </c>
      <c r="D1053" t="s">
        <v>70</v>
      </c>
      <c r="E1053" t="s">
        <v>108</v>
      </c>
      <c r="F1053">
        <v>1</v>
      </c>
      <c r="G1053">
        <v>0.1</v>
      </c>
      <c r="H1053">
        <v>4050</v>
      </c>
      <c r="I1053">
        <v>1119.72</v>
      </c>
      <c r="J1053" t="s">
        <v>39</v>
      </c>
      <c r="K1053" t="s">
        <v>27</v>
      </c>
      <c r="L1053">
        <v>4050</v>
      </c>
      <c r="M1053">
        <v>27.64740740740741</v>
      </c>
      <c r="N1053" t="s">
        <v>8</v>
      </c>
      <c r="O1053" t="s">
        <v>636</v>
      </c>
      <c r="P1053" t="s">
        <v>29</v>
      </c>
      <c r="Q1053" t="s">
        <v>30</v>
      </c>
      <c r="R1053" t="s">
        <v>53</v>
      </c>
      <c r="S1053" t="s">
        <v>54</v>
      </c>
      <c r="T1053" t="s">
        <v>1705</v>
      </c>
      <c r="U1053" t="s">
        <v>34</v>
      </c>
      <c r="V1053">
        <v>1119.72</v>
      </c>
    </row>
    <row r="1054" spans="1:22" x14ac:dyDescent="0.3">
      <c r="A1054" t="s">
        <v>2317</v>
      </c>
      <c r="B1054" s="2">
        <v>46258</v>
      </c>
      <c r="C1054" t="s">
        <v>1610</v>
      </c>
      <c r="D1054" t="s">
        <v>49</v>
      </c>
      <c r="E1054" t="s">
        <v>58</v>
      </c>
      <c r="F1054">
        <v>2</v>
      </c>
      <c r="G1054">
        <v>0.2</v>
      </c>
      <c r="H1054">
        <v>24000</v>
      </c>
      <c r="I1054">
        <v>3030.6</v>
      </c>
      <c r="J1054" t="s">
        <v>39</v>
      </c>
      <c r="K1054" t="s">
        <v>40</v>
      </c>
      <c r="L1054">
        <v>12000</v>
      </c>
      <c r="M1054">
        <v>12.6275</v>
      </c>
      <c r="N1054" t="s">
        <v>8</v>
      </c>
      <c r="O1054" t="s">
        <v>1611</v>
      </c>
      <c r="P1054" t="s">
        <v>29</v>
      </c>
      <c r="Q1054" t="s">
        <v>131</v>
      </c>
      <c r="R1054" t="s">
        <v>289</v>
      </c>
      <c r="S1054" t="s">
        <v>290</v>
      </c>
      <c r="T1054" t="s">
        <v>1612</v>
      </c>
      <c r="U1054" t="s">
        <v>100</v>
      </c>
      <c r="V1054">
        <v>1515.3</v>
      </c>
    </row>
    <row r="1055" spans="1:22" x14ac:dyDescent="0.3">
      <c r="A1055" t="s">
        <v>2318</v>
      </c>
      <c r="B1055" s="2">
        <v>45946</v>
      </c>
      <c r="C1055" t="s">
        <v>1410</v>
      </c>
      <c r="D1055" t="s">
        <v>24</v>
      </c>
      <c r="E1055" t="s">
        <v>242</v>
      </c>
      <c r="F1055">
        <v>2</v>
      </c>
      <c r="G1055">
        <v>0</v>
      </c>
      <c r="H1055">
        <v>900</v>
      </c>
      <c r="I1055">
        <v>220</v>
      </c>
      <c r="J1055" t="s">
        <v>26</v>
      </c>
      <c r="K1055" t="s">
        <v>27</v>
      </c>
      <c r="L1055">
        <v>450</v>
      </c>
      <c r="M1055">
        <v>24.444444444444439</v>
      </c>
      <c r="N1055" t="s">
        <v>8</v>
      </c>
      <c r="O1055" t="s">
        <v>995</v>
      </c>
      <c r="P1055" t="s">
        <v>73</v>
      </c>
      <c r="Q1055" t="s">
        <v>30</v>
      </c>
      <c r="R1055" t="s">
        <v>60</v>
      </c>
      <c r="S1055" t="s">
        <v>61</v>
      </c>
      <c r="T1055" t="s">
        <v>1411</v>
      </c>
      <c r="U1055" t="s">
        <v>34</v>
      </c>
      <c r="V1055">
        <v>110</v>
      </c>
    </row>
    <row r="1056" spans="1:22" x14ac:dyDescent="0.3">
      <c r="A1056" t="s">
        <v>2319</v>
      </c>
      <c r="B1056" s="2">
        <v>45886</v>
      </c>
      <c r="C1056" t="s">
        <v>2295</v>
      </c>
      <c r="D1056" t="s">
        <v>70</v>
      </c>
      <c r="E1056" t="s">
        <v>71</v>
      </c>
      <c r="F1056">
        <v>3</v>
      </c>
      <c r="G1056">
        <v>0.05</v>
      </c>
      <c r="H1056">
        <v>51300</v>
      </c>
      <c r="I1056">
        <v>8770.65</v>
      </c>
      <c r="J1056" t="s">
        <v>65</v>
      </c>
      <c r="K1056" t="s">
        <v>40</v>
      </c>
      <c r="L1056">
        <v>17100</v>
      </c>
      <c r="M1056">
        <v>17.096783625730989</v>
      </c>
      <c r="N1056" t="s">
        <v>8</v>
      </c>
      <c r="O1056" t="s">
        <v>2296</v>
      </c>
      <c r="P1056" t="s">
        <v>29</v>
      </c>
      <c r="Q1056" t="s">
        <v>74</v>
      </c>
      <c r="R1056" t="s">
        <v>493</v>
      </c>
      <c r="S1056" t="s">
        <v>494</v>
      </c>
      <c r="T1056" t="s">
        <v>2297</v>
      </c>
      <c r="U1056" t="s">
        <v>105</v>
      </c>
      <c r="V1056">
        <v>2923.55</v>
      </c>
    </row>
    <row r="1057" spans="1:22" x14ac:dyDescent="0.3">
      <c r="A1057" t="s">
        <v>2320</v>
      </c>
      <c r="B1057" s="2">
        <v>46161</v>
      </c>
      <c r="C1057" t="s">
        <v>438</v>
      </c>
      <c r="D1057" t="s">
        <v>37</v>
      </c>
      <c r="E1057" t="s">
        <v>38</v>
      </c>
      <c r="F1057">
        <v>3</v>
      </c>
      <c r="G1057">
        <v>0</v>
      </c>
      <c r="H1057">
        <v>5400</v>
      </c>
      <c r="I1057">
        <v>-326.83</v>
      </c>
      <c r="J1057" t="s">
        <v>65</v>
      </c>
      <c r="K1057" t="s">
        <v>434</v>
      </c>
      <c r="L1057">
        <v>1800</v>
      </c>
      <c r="M1057">
        <v>-6.052407407407407</v>
      </c>
      <c r="N1057" t="s">
        <v>81</v>
      </c>
      <c r="O1057" t="s">
        <v>439</v>
      </c>
      <c r="P1057" t="s">
        <v>83</v>
      </c>
      <c r="Q1057" t="s">
        <v>30</v>
      </c>
      <c r="R1057" t="s">
        <v>98</v>
      </c>
      <c r="S1057" t="s">
        <v>54</v>
      </c>
      <c r="T1057" t="s">
        <v>440</v>
      </c>
      <c r="U1057" t="s">
        <v>34</v>
      </c>
      <c r="V1057">
        <v>-108.9433333333333</v>
      </c>
    </row>
    <row r="1058" spans="1:22" x14ac:dyDescent="0.3">
      <c r="A1058" t="s">
        <v>2321</v>
      </c>
      <c r="B1058" s="2">
        <v>45957</v>
      </c>
      <c r="C1058" t="s">
        <v>2322</v>
      </c>
      <c r="D1058" t="s">
        <v>70</v>
      </c>
      <c r="E1058" t="s">
        <v>165</v>
      </c>
      <c r="F1058">
        <v>1</v>
      </c>
      <c r="G1058">
        <v>0.1</v>
      </c>
      <c r="H1058">
        <v>2250</v>
      </c>
      <c r="I1058">
        <v>594.76</v>
      </c>
      <c r="J1058" t="s">
        <v>39</v>
      </c>
      <c r="K1058" t="s">
        <v>40</v>
      </c>
      <c r="L1058">
        <v>2250</v>
      </c>
      <c r="M1058">
        <v>26.433777777777781</v>
      </c>
      <c r="N1058" t="s">
        <v>8</v>
      </c>
      <c r="O1058" t="s">
        <v>2323</v>
      </c>
      <c r="P1058" t="s">
        <v>29</v>
      </c>
      <c r="Q1058" t="s">
        <v>74</v>
      </c>
      <c r="R1058" t="s">
        <v>75</v>
      </c>
      <c r="S1058" t="s">
        <v>75</v>
      </c>
      <c r="T1058" t="s">
        <v>463</v>
      </c>
      <c r="U1058" t="s">
        <v>100</v>
      </c>
      <c r="V1058">
        <v>594.76</v>
      </c>
    </row>
    <row r="1059" spans="1:22" x14ac:dyDescent="0.3">
      <c r="A1059" t="s">
        <v>2324</v>
      </c>
      <c r="B1059" s="2">
        <v>45955</v>
      </c>
      <c r="C1059" t="s">
        <v>2017</v>
      </c>
      <c r="D1059" t="s">
        <v>37</v>
      </c>
      <c r="E1059" t="s">
        <v>310</v>
      </c>
      <c r="F1059">
        <v>6</v>
      </c>
      <c r="G1059">
        <v>0.1</v>
      </c>
      <c r="H1059">
        <v>11880</v>
      </c>
      <c r="I1059">
        <v>3746.23</v>
      </c>
      <c r="J1059" t="s">
        <v>26</v>
      </c>
      <c r="K1059" t="s">
        <v>27</v>
      </c>
      <c r="L1059">
        <v>1980</v>
      </c>
      <c r="M1059">
        <v>31.533922558922558</v>
      </c>
      <c r="N1059" t="s">
        <v>8</v>
      </c>
      <c r="O1059" t="s">
        <v>844</v>
      </c>
      <c r="P1059" t="s">
        <v>29</v>
      </c>
      <c r="Q1059" t="s">
        <v>30</v>
      </c>
      <c r="R1059" t="s">
        <v>31</v>
      </c>
      <c r="S1059" t="s">
        <v>32</v>
      </c>
      <c r="T1059" t="s">
        <v>2018</v>
      </c>
      <c r="U1059" t="s">
        <v>34</v>
      </c>
      <c r="V1059">
        <v>624.37166666666667</v>
      </c>
    </row>
    <row r="1060" spans="1:22" x14ac:dyDescent="0.3">
      <c r="A1060" t="s">
        <v>2325</v>
      </c>
      <c r="B1060" s="2">
        <v>46098</v>
      </c>
      <c r="C1060" t="s">
        <v>1648</v>
      </c>
      <c r="D1060" t="s">
        <v>49</v>
      </c>
      <c r="E1060" t="s">
        <v>50</v>
      </c>
      <c r="F1060">
        <v>4</v>
      </c>
      <c r="G1060">
        <v>0.15</v>
      </c>
      <c r="H1060">
        <v>44200</v>
      </c>
      <c r="I1060">
        <v>7755.41</v>
      </c>
      <c r="J1060" t="s">
        <v>26</v>
      </c>
      <c r="K1060" t="s">
        <v>40</v>
      </c>
      <c r="L1060">
        <v>11050</v>
      </c>
      <c r="M1060">
        <v>17.546176470588239</v>
      </c>
      <c r="N1060" t="s">
        <v>8</v>
      </c>
      <c r="O1060" t="s">
        <v>1649</v>
      </c>
      <c r="P1060" t="s">
        <v>73</v>
      </c>
      <c r="Q1060" t="s">
        <v>30</v>
      </c>
      <c r="R1060" t="s">
        <v>98</v>
      </c>
      <c r="S1060" t="s">
        <v>54</v>
      </c>
      <c r="T1060" t="s">
        <v>1650</v>
      </c>
      <c r="U1060" t="s">
        <v>34</v>
      </c>
      <c r="V1060">
        <v>1938.8525</v>
      </c>
    </row>
    <row r="1061" spans="1:22" x14ac:dyDescent="0.3">
      <c r="A1061" t="s">
        <v>2326</v>
      </c>
      <c r="B1061" s="2">
        <v>45906</v>
      </c>
      <c r="C1061" t="s">
        <v>2327</v>
      </c>
      <c r="D1061" t="s">
        <v>24</v>
      </c>
      <c r="E1061" t="s">
        <v>92</v>
      </c>
      <c r="F1061">
        <v>1</v>
      </c>
      <c r="G1061">
        <v>0.15</v>
      </c>
      <c r="H1061">
        <v>765</v>
      </c>
      <c r="I1061">
        <v>195.23</v>
      </c>
      <c r="J1061" t="s">
        <v>39</v>
      </c>
      <c r="K1061" t="s">
        <v>40</v>
      </c>
      <c r="L1061">
        <v>765</v>
      </c>
      <c r="M1061">
        <v>25.520261437908498</v>
      </c>
      <c r="N1061" t="s">
        <v>8</v>
      </c>
      <c r="O1061" t="s">
        <v>825</v>
      </c>
      <c r="P1061" t="s">
        <v>73</v>
      </c>
      <c r="Q1061" t="s">
        <v>30</v>
      </c>
      <c r="R1061" t="s">
        <v>31</v>
      </c>
      <c r="S1061" t="s">
        <v>32</v>
      </c>
      <c r="T1061" t="s">
        <v>55</v>
      </c>
      <c r="U1061" t="s">
        <v>46</v>
      </c>
      <c r="V1061">
        <v>195.23</v>
      </c>
    </row>
    <row r="1062" spans="1:22" x14ac:dyDescent="0.3">
      <c r="A1062" t="s">
        <v>2328</v>
      </c>
      <c r="B1062" s="2">
        <v>45902</v>
      </c>
      <c r="C1062" t="s">
        <v>757</v>
      </c>
      <c r="D1062" t="s">
        <v>49</v>
      </c>
      <c r="E1062" t="s">
        <v>50</v>
      </c>
      <c r="F1062">
        <v>2</v>
      </c>
      <c r="G1062">
        <v>0</v>
      </c>
      <c r="H1062">
        <v>26000</v>
      </c>
      <c r="I1062">
        <v>6400</v>
      </c>
      <c r="J1062" t="s">
        <v>39</v>
      </c>
      <c r="K1062" t="s">
        <v>40</v>
      </c>
      <c r="L1062">
        <v>13000</v>
      </c>
      <c r="M1062">
        <v>24.61538461538462</v>
      </c>
      <c r="N1062" t="s">
        <v>8</v>
      </c>
      <c r="O1062" t="s">
        <v>758</v>
      </c>
      <c r="P1062" t="s">
        <v>83</v>
      </c>
      <c r="Q1062" t="s">
        <v>74</v>
      </c>
      <c r="R1062" t="s">
        <v>237</v>
      </c>
      <c r="S1062" t="s">
        <v>238</v>
      </c>
      <c r="T1062" t="s">
        <v>759</v>
      </c>
      <c r="U1062" t="s">
        <v>34</v>
      </c>
      <c r="V1062">
        <v>3200</v>
      </c>
    </row>
    <row r="1063" spans="1:22" x14ac:dyDescent="0.3">
      <c r="A1063" t="s">
        <v>2329</v>
      </c>
      <c r="B1063" s="2">
        <v>45954</v>
      </c>
      <c r="C1063" t="s">
        <v>858</v>
      </c>
      <c r="D1063" t="s">
        <v>70</v>
      </c>
      <c r="E1063" t="s">
        <v>71</v>
      </c>
      <c r="F1063">
        <v>2</v>
      </c>
      <c r="G1063">
        <v>0</v>
      </c>
      <c r="H1063">
        <v>36000</v>
      </c>
      <c r="I1063">
        <v>7000</v>
      </c>
      <c r="J1063" t="s">
        <v>65</v>
      </c>
      <c r="K1063" t="s">
        <v>40</v>
      </c>
      <c r="L1063">
        <v>18000</v>
      </c>
      <c r="M1063">
        <v>19.44444444444445</v>
      </c>
      <c r="N1063" t="s">
        <v>8</v>
      </c>
      <c r="O1063" t="s">
        <v>406</v>
      </c>
      <c r="P1063" t="s">
        <v>73</v>
      </c>
      <c r="Q1063" t="s">
        <v>30</v>
      </c>
      <c r="R1063" t="s">
        <v>53</v>
      </c>
      <c r="S1063" t="s">
        <v>54</v>
      </c>
      <c r="T1063" t="s">
        <v>859</v>
      </c>
      <c r="U1063" t="s">
        <v>105</v>
      </c>
      <c r="V1063">
        <v>3500</v>
      </c>
    </row>
    <row r="1064" spans="1:22" x14ac:dyDescent="0.3">
      <c r="A1064" t="s">
        <v>2330</v>
      </c>
      <c r="B1064" s="2">
        <v>45919</v>
      </c>
      <c r="C1064" t="s">
        <v>2017</v>
      </c>
      <c r="D1064" t="s">
        <v>24</v>
      </c>
      <c r="E1064" t="s">
        <v>87</v>
      </c>
      <c r="F1064">
        <v>2</v>
      </c>
      <c r="G1064">
        <v>0.15</v>
      </c>
      <c r="H1064">
        <v>595</v>
      </c>
      <c r="I1064">
        <v>166.84</v>
      </c>
      <c r="J1064" t="s">
        <v>65</v>
      </c>
      <c r="K1064" t="s">
        <v>27</v>
      </c>
      <c r="L1064">
        <v>297.5</v>
      </c>
      <c r="M1064">
        <v>28.040336134453781</v>
      </c>
      <c r="N1064" t="s">
        <v>8</v>
      </c>
      <c r="O1064" t="s">
        <v>844</v>
      </c>
      <c r="P1064" t="s">
        <v>29</v>
      </c>
      <c r="Q1064" t="s">
        <v>30</v>
      </c>
      <c r="R1064" t="s">
        <v>31</v>
      </c>
      <c r="S1064" t="s">
        <v>32</v>
      </c>
      <c r="T1064" t="s">
        <v>2018</v>
      </c>
      <c r="U1064" t="s">
        <v>34</v>
      </c>
      <c r="V1064">
        <v>83.42</v>
      </c>
    </row>
    <row r="1065" spans="1:22" x14ac:dyDescent="0.3">
      <c r="A1065" t="s">
        <v>2331</v>
      </c>
      <c r="B1065" s="2">
        <v>45939</v>
      </c>
      <c r="C1065" t="s">
        <v>772</v>
      </c>
      <c r="D1065" t="s">
        <v>49</v>
      </c>
      <c r="E1065" t="s">
        <v>58</v>
      </c>
      <c r="F1065">
        <v>1</v>
      </c>
      <c r="G1065">
        <v>0</v>
      </c>
      <c r="H1065">
        <v>15000</v>
      </c>
      <c r="I1065">
        <v>3500</v>
      </c>
      <c r="J1065" t="s">
        <v>51</v>
      </c>
      <c r="K1065" t="s">
        <v>40</v>
      </c>
      <c r="L1065">
        <v>15000</v>
      </c>
      <c r="M1065">
        <v>23.333333333333329</v>
      </c>
      <c r="N1065" t="s">
        <v>8</v>
      </c>
      <c r="O1065" t="s">
        <v>773</v>
      </c>
      <c r="P1065" t="s">
        <v>29</v>
      </c>
      <c r="Q1065" t="s">
        <v>42</v>
      </c>
      <c r="R1065" t="s">
        <v>121</v>
      </c>
      <c r="S1065" t="s">
        <v>44</v>
      </c>
      <c r="T1065" t="s">
        <v>774</v>
      </c>
      <c r="U1065" t="s">
        <v>34</v>
      </c>
      <c r="V1065">
        <v>3500</v>
      </c>
    </row>
    <row r="1066" spans="1:22" x14ac:dyDescent="0.3">
      <c r="A1066" t="s">
        <v>2332</v>
      </c>
      <c r="B1066" s="2">
        <v>45856</v>
      </c>
      <c r="C1066" t="s">
        <v>1196</v>
      </c>
      <c r="D1066" t="s">
        <v>24</v>
      </c>
      <c r="E1066" t="s">
        <v>25</v>
      </c>
      <c r="F1066">
        <v>2</v>
      </c>
      <c r="G1066">
        <v>0.15</v>
      </c>
      <c r="H1066">
        <v>23800</v>
      </c>
      <c r="I1066">
        <v>-15023.69</v>
      </c>
      <c r="J1066" t="s">
        <v>65</v>
      </c>
      <c r="K1066" t="s">
        <v>80</v>
      </c>
      <c r="L1066">
        <v>11900</v>
      </c>
      <c r="M1066">
        <v>-63.124747899159658</v>
      </c>
      <c r="N1066" t="s">
        <v>81</v>
      </c>
      <c r="O1066" t="s">
        <v>686</v>
      </c>
      <c r="P1066" t="s">
        <v>73</v>
      </c>
      <c r="Q1066" t="s">
        <v>30</v>
      </c>
      <c r="R1066" t="s">
        <v>53</v>
      </c>
      <c r="S1066" t="s">
        <v>54</v>
      </c>
      <c r="T1066" t="s">
        <v>1197</v>
      </c>
      <c r="U1066" t="s">
        <v>100</v>
      </c>
      <c r="V1066">
        <v>-7511.8450000000003</v>
      </c>
    </row>
    <row r="1067" spans="1:22" x14ac:dyDescent="0.3">
      <c r="A1067" t="s">
        <v>2333</v>
      </c>
      <c r="B1067" s="2">
        <v>46114</v>
      </c>
      <c r="C1067" t="s">
        <v>1951</v>
      </c>
      <c r="D1067" t="s">
        <v>37</v>
      </c>
      <c r="E1067" t="s">
        <v>170</v>
      </c>
      <c r="F1067">
        <v>1</v>
      </c>
      <c r="G1067">
        <v>0.15</v>
      </c>
      <c r="H1067">
        <v>1190</v>
      </c>
      <c r="I1067">
        <v>395.33</v>
      </c>
      <c r="J1067" t="s">
        <v>39</v>
      </c>
      <c r="K1067" t="s">
        <v>40</v>
      </c>
      <c r="L1067">
        <v>1190</v>
      </c>
      <c r="M1067">
        <v>33.221008403361338</v>
      </c>
      <c r="N1067" t="s">
        <v>8</v>
      </c>
      <c r="O1067" t="s">
        <v>1952</v>
      </c>
      <c r="P1067" t="s">
        <v>29</v>
      </c>
      <c r="Q1067" t="s">
        <v>30</v>
      </c>
      <c r="R1067" t="s">
        <v>31</v>
      </c>
      <c r="S1067" t="s">
        <v>32</v>
      </c>
      <c r="T1067" t="s">
        <v>1953</v>
      </c>
      <c r="U1067" t="s">
        <v>34</v>
      </c>
      <c r="V1067">
        <v>395.33</v>
      </c>
    </row>
    <row r="1068" spans="1:22" x14ac:dyDescent="0.3">
      <c r="A1068" t="s">
        <v>2334</v>
      </c>
      <c r="B1068" s="2">
        <v>46168</v>
      </c>
      <c r="C1068" t="s">
        <v>1582</v>
      </c>
      <c r="D1068" t="s">
        <v>49</v>
      </c>
      <c r="E1068" t="s">
        <v>79</v>
      </c>
      <c r="F1068">
        <v>1</v>
      </c>
      <c r="G1068">
        <v>0.1</v>
      </c>
      <c r="H1068">
        <v>9900</v>
      </c>
      <c r="I1068">
        <v>1813.08</v>
      </c>
      <c r="J1068" t="s">
        <v>65</v>
      </c>
      <c r="K1068" t="s">
        <v>40</v>
      </c>
      <c r="L1068">
        <v>9900</v>
      </c>
      <c r="M1068">
        <v>18.313939393939389</v>
      </c>
      <c r="N1068" t="s">
        <v>8</v>
      </c>
      <c r="O1068" t="s">
        <v>1583</v>
      </c>
      <c r="P1068" t="s">
        <v>73</v>
      </c>
      <c r="Q1068" t="s">
        <v>30</v>
      </c>
      <c r="R1068" t="s">
        <v>53</v>
      </c>
      <c r="S1068" t="s">
        <v>54</v>
      </c>
      <c r="T1068" t="s">
        <v>370</v>
      </c>
      <c r="U1068" t="s">
        <v>105</v>
      </c>
      <c r="V1068">
        <v>1813.08</v>
      </c>
    </row>
    <row r="1069" spans="1:22" x14ac:dyDescent="0.3">
      <c r="A1069" t="s">
        <v>2335</v>
      </c>
      <c r="B1069" s="2">
        <v>45883</v>
      </c>
      <c r="C1069" t="s">
        <v>1136</v>
      </c>
      <c r="D1069" t="s">
        <v>49</v>
      </c>
      <c r="E1069" t="s">
        <v>50</v>
      </c>
      <c r="F1069">
        <v>5</v>
      </c>
      <c r="G1069">
        <v>0.15</v>
      </c>
      <c r="H1069">
        <v>55250</v>
      </c>
      <c r="I1069">
        <v>-34088.47</v>
      </c>
      <c r="J1069" t="s">
        <v>65</v>
      </c>
      <c r="K1069" t="s">
        <v>80</v>
      </c>
      <c r="L1069">
        <v>11050</v>
      </c>
      <c r="M1069">
        <v>-61.698588235294118</v>
      </c>
      <c r="N1069" t="s">
        <v>81</v>
      </c>
      <c r="O1069" t="s">
        <v>1137</v>
      </c>
      <c r="P1069" t="s">
        <v>73</v>
      </c>
      <c r="Q1069" t="s">
        <v>74</v>
      </c>
      <c r="R1069" t="s">
        <v>75</v>
      </c>
      <c r="S1069" t="s">
        <v>75</v>
      </c>
      <c r="T1069" t="s">
        <v>1138</v>
      </c>
      <c r="U1069" t="s">
        <v>46</v>
      </c>
      <c r="V1069">
        <v>-6817.6940000000004</v>
      </c>
    </row>
    <row r="1070" spans="1:22" x14ac:dyDescent="0.3">
      <c r="A1070" t="s">
        <v>2336</v>
      </c>
      <c r="B1070" s="2">
        <v>46093</v>
      </c>
      <c r="C1070" t="s">
        <v>2337</v>
      </c>
      <c r="D1070" t="s">
        <v>24</v>
      </c>
      <c r="E1070" t="s">
        <v>25</v>
      </c>
      <c r="F1070">
        <v>4</v>
      </c>
      <c r="G1070">
        <v>0.15</v>
      </c>
      <c r="H1070">
        <v>47600</v>
      </c>
      <c r="I1070">
        <v>7360.59</v>
      </c>
      <c r="J1070" t="s">
        <v>26</v>
      </c>
      <c r="K1070" t="s">
        <v>40</v>
      </c>
      <c r="L1070">
        <v>11900</v>
      </c>
      <c r="M1070">
        <v>15.4634243697479</v>
      </c>
      <c r="N1070" t="s">
        <v>8</v>
      </c>
      <c r="O1070" t="s">
        <v>2338</v>
      </c>
      <c r="P1070" t="s">
        <v>29</v>
      </c>
      <c r="Q1070" t="s">
        <v>42</v>
      </c>
      <c r="R1070" t="s">
        <v>214</v>
      </c>
      <c r="S1070" t="s">
        <v>111</v>
      </c>
      <c r="T1070" t="s">
        <v>1389</v>
      </c>
      <c r="U1070" t="s">
        <v>34</v>
      </c>
      <c r="V1070">
        <v>1840.1475</v>
      </c>
    </row>
    <row r="1071" spans="1:22" x14ac:dyDescent="0.3">
      <c r="A1071" t="s">
        <v>2339</v>
      </c>
      <c r="B1071" s="2">
        <v>45887</v>
      </c>
      <c r="C1071" t="s">
        <v>1830</v>
      </c>
      <c r="D1071" t="s">
        <v>24</v>
      </c>
      <c r="E1071" t="s">
        <v>87</v>
      </c>
      <c r="F1071">
        <v>2</v>
      </c>
      <c r="G1071">
        <v>0.05</v>
      </c>
      <c r="H1071">
        <v>665</v>
      </c>
      <c r="I1071">
        <v>212.14</v>
      </c>
      <c r="J1071" t="s">
        <v>51</v>
      </c>
      <c r="K1071" t="s">
        <v>40</v>
      </c>
      <c r="L1071">
        <v>332.5</v>
      </c>
      <c r="M1071">
        <v>31.90075187969925</v>
      </c>
      <c r="N1071" t="s">
        <v>8</v>
      </c>
      <c r="O1071" t="s">
        <v>1831</v>
      </c>
      <c r="P1071" t="s">
        <v>29</v>
      </c>
      <c r="Q1071" t="s">
        <v>30</v>
      </c>
      <c r="R1071" t="s">
        <v>60</v>
      </c>
      <c r="S1071" t="s">
        <v>61</v>
      </c>
      <c r="T1071" t="s">
        <v>1832</v>
      </c>
      <c r="U1071" t="s">
        <v>34</v>
      </c>
      <c r="V1071">
        <v>106.07</v>
      </c>
    </row>
    <row r="1072" spans="1:22" x14ac:dyDescent="0.3">
      <c r="A1072" t="s">
        <v>2340</v>
      </c>
      <c r="B1072" s="2">
        <v>45843</v>
      </c>
      <c r="C1072" t="s">
        <v>2311</v>
      </c>
      <c r="D1072" t="s">
        <v>70</v>
      </c>
      <c r="E1072" t="s">
        <v>165</v>
      </c>
      <c r="F1072">
        <v>3</v>
      </c>
      <c r="G1072">
        <v>0</v>
      </c>
      <c r="H1072">
        <v>7500</v>
      </c>
      <c r="I1072">
        <v>2400</v>
      </c>
      <c r="J1072" t="s">
        <v>26</v>
      </c>
      <c r="K1072" t="s">
        <v>27</v>
      </c>
      <c r="L1072">
        <v>2500</v>
      </c>
      <c r="M1072">
        <v>32</v>
      </c>
      <c r="N1072" t="s">
        <v>8</v>
      </c>
      <c r="O1072" t="s">
        <v>2312</v>
      </c>
      <c r="P1072" t="s">
        <v>73</v>
      </c>
      <c r="Q1072" t="s">
        <v>131</v>
      </c>
      <c r="R1072" t="s">
        <v>132</v>
      </c>
      <c r="S1072" t="s">
        <v>133</v>
      </c>
      <c r="T1072" t="s">
        <v>2313</v>
      </c>
      <c r="U1072" t="s">
        <v>46</v>
      </c>
      <c r="V1072">
        <v>800</v>
      </c>
    </row>
    <row r="1073" spans="1:22" x14ac:dyDescent="0.3">
      <c r="A1073" t="s">
        <v>2341</v>
      </c>
      <c r="B1073" s="2">
        <v>46039</v>
      </c>
      <c r="C1073" t="s">
        <v>501</v>
      </c>
      <c r="D1073" t="s">
        <v>37</v>
      </c>
      <c r="E1073" t="s">
        <v>310</v>
      </c>
      <c r="F1073">
        <v>5</v>
      </c>
      <c r="G1073">
        <v>0.2</v>
      </c>
      <c r="H1073">
        <v>8800</v>
      </c>
      <c r="I1073">
        <v>2168.88</v>
      </c>
      <c r="J1073" t="s">
        <v>26</v>
      </c>
      <c r="K1073" t="s">
        <v>27</v>
      </c>
      <c r="L1073">
        <v>1760</v>
      </c>
      <c r="M1073">
        <v>24.646363636363638</v>
      </c>
      <c r="N1073" t="s">
        <v>8</v>
      </c>
      <c r="O1073" t="s">
        <v>502</v>
      </c>
      <c r="P1073" t="s">
        <v>29</v>
      </c>
      <c r="Q1073" t="s">
        <v>30</v>
      </c>
      <c r="R1073" t="s">
        <v>31</v>
      </c>
      <c r="S1073" t="s">
        <v>32</v>
      </c>
      <c r="T1073" t="s">
        <v>503</v>
      </c>
      <c r="U1073" t="s">
        <v>100</v>
      </c>
      <c r="V1073">
        <v>433.77600000000001</v>
      </c>
    </row>
    <row r="1074" spans="1:22" x14ac:dyDescent="0.3">
      <c r="A1074" t="s">
        <v>2342</v>
      </c>
      <c r="B1074" s="2">
        <v>45939</v>
      </c>
      <c r="C1074" t="s">
        <v>1382</v>
      </c>
      <c r="D1074" t="s">
        <v>70</v>
      </c>
      <c r="E1074" t="s">
        <v>108</v>
      </c>
      <c r="F1074">
        <v>3</v>
      </c>
      <c r="G1074">
        <v>0.2</v>
      </c>
      <c r="H1074">
        <v>10800</v>
      </c>
      <c r="I1074">
        <v>2232.29</v>
      </c>
      <c r="J1074" t="s">
        <v>51</v>
      </c>
      <c r="K1074" t="s">
        <v>27</v>
      </c>
      <c r="L1074">
        <v>3600</v>
      </c>
      <c r="M1074">
        <v>20.66935185185185</v>
      </c>
      <c r="N1074" t="s">
        <v>8</v>
      </c>
      <c r="O1074" t="s">
        <v>1383</v>
      </c>
      <c r="P1074" t="s">
        <v>83</v>
      </c>
      <c r="Q1074" t="s">
        <v>30</v>
      </c>
      <c r="R1074" t="s">
        <v>60</v>
      </c>
      <c r="S1074" t="s">
        <v>61</v>
      </c>
      <c r="T1074" t="s">
        <v>227</v>
      </c>
      <c r="U1074" t="s">
        <v>46</v>
      </c>
      <c r="V1074">
        <v>744.09666666666669</v>
      </c>
    </row>
    <row r="1075" spans="1:22" x14ac:dyDescent="0.3">
      <c r="A1075" t="s">
        <v>2343</v>
      </c>
      <c r="B1075" s="2">
        <v>45969</v>
      </c>
      <c r="C1075" t="s">
        <v>783</v>
      </c>
      <c r="D1075" t="s">
        <v>49</v>
      </c>
      <c r="E1075" t="s">
        <v>119</v>
      </c>
      <c r="F1075">
        <v>3</v>
      </c>
      <c r="G1075">
        <v>0.05</v>
      </c>
      <c r="H1075">
        <v>25650</v>
      </c>
      <c r="I1075">
        <v>6268.09</v>
      </c>
      <c r="J1075" t="s">
        <v>65</v>
      </c>
      <c r="K1075" t="s">
        <v>40</v>
      </c>
      <c r="L1075">
        <v>8550</v>
      </c>
      <c r="M1075">
        <v>24.436998050682259</v>
      </c>
      <c r="N1075" t="s">
        <v>8</v>
      </c>
      <c r="O1075" t="s">
        <v>784</v>
      </c>
      <c r="P1075" t="s">
        <v>73</v>
      </c>
      <c r="Q1075" t="s">
        <v>74</v>
      </c>
      <c r="R1075" t="s">
        <v>493</v>
      </c>
      <c r="S1075" t="s">
        <v>494</v>
      </c>
      <c r="T1075" t="s">
        <v>785</v>
      </c>
      <c r="U1075" t="s">
        <v>46</v>
      </c>
      <c r="V1075">
        <v>2089.3633333333328</v>
      </c>
    </row>
    <row r="1076" spans="1:22" x14ac:dyDescent="0.3">
      <c r="A1076" t="s">
        <v>2344</v>
      </c>
      <c r="B1076" s="2">
        <v>46044</v>
      </c>
      <c r="C1076" t="s">
        <v>910</v>
      </c>
      <c r="D1076" t="s">
        <v>70</v>
      </c>
      <c r="E1076" t="s">
        <v>71</v>
      </c>
      <c r="F1076">
        <v>5</v>
      </c>
      <c r="G1076">
        <v>0.1</v>
      </c>
      <c r="H1076">
        <v>81000</v>
      </c>
      <c r="I1076">
        <v>11223.95</v>
      </c>
      <c r="J1076" t="s">
        <v>39</v>
      </c>
      <c r="K1076" t="s">
        <v>40</v>
      </c>
      <c r="L1076">
        <v>16200</v>
      </c>
      <c r="M1076">
        <v>13.856728395061729</v>
      </c>
      <c r="N1076" t="s">
        <v>8</v>
      </c>
      <c r="O1076" t="s">
        <v>911</v>
      </c>
      <c r="P1076" t="s">
        <v>29</v>
      </c>
      <c r="Q1076" t="s">
        <v>30</v>
      </c>
      <c r="R1076" t="s">
        <v>31</v>
      </c>
      <c r="S1076" t="s">
        <v>32</v>
      </c>
      <c r="T1076" t="s">
        <v>912</v>
      </c>
      <c r="U1076" t="s">
        <v>34</v>
      </c>
      <c r="V1076">
        <v>2244.79</v>
      </c>
    </row>
    <row r="1077" spans="1:22" x14ac:dyDescent="0.3">
      <c r="A1077" t="s">
        <v>2345</v>
      </c>
      <c r="B1077" s="2">
        <v>46119</v>
      </c>
      <c r="C1077" t="s">
        <v>1028</v>
      </c>
      <c r="D1077" t="s">
        <v>49</v>
      </c>
      <c r="E1077" t="s">
        <v>119</v>
      </c>
      <c r="F1077">
        <v>3</v>
      </c>
      <c r="G1077">
        <v>0.05</v>
      </c>
      <c r="H1077">
        <v>25650</v>
      </c>
      <c r="I1077">
        <v>-3774.6</v>
      </c>
      <c r="J1077" t="s">
        <v>39</v>
      </c>
      <c r="K1077" t="s">
        <v>80</v>
      </c>
      <c r="L1077">
        <v>8550</v>
      </c>
      <c r="M1077">
        <v>-14.715789473684209</v>
      </c>
      <c r="N1077" t="s">
        <v>81</v>
      </c>
      <c r="O1077" t="s">
        <v>390</v>
      </c>
      <c r="P1077" t="s">
        <v>29</v>
      </c>
      <c r="Q1077" t="s">
        <v>74</v>
      </c>
      <c r="R1077" t="s">
        <v>237</v>
      </c>
      <c r="S1077" t="s">
        <v>238</v>
      </c>
      <c r="T1077" t="s">
        <v>1029</v>
      </c>
      <c r="U1077" t="s">
        <v>46</v>
      </c>
      <c r="V1077">
        <v>-1258.2</v>
      </c>
    </row>
    <row r="1078" spans="1:22" x14ac:dyDescent="0.3">
      <c r="A1078" t="s">
        <v>2346</v>
      </c>
      <c r="B1078" s="2">
        <v>46221</v>
      </c>
      <c r="C1078" t="s">
        <v>217</v>
      </c>
      <c r="D1078" t="s">
        <v>70</v>
      </c>
      <c r="E1078" t="s">
        <v>108</v>
      </c>
      <c r="F1078">
        <v>2</v>
      </c>
      <c r="G1078">
        <v>0</v>
      </c>
      <c r="H1078">
        <v>9000</v>
      </c>
      <c r="I1078">
        <v>3000</v>
      </c>
      <c r="J1078" t="s">
        <v>39</v>
      </c>
      <c r="K1078" t="s">
        <v>40</v>
      </c>
      <c r="L1078">
        <v>4500</v>
      </c>
      <c r="M1078">
        <v>33.333333333333329</v>
      </c>
      <c r="N1078" t="s">
        <v>8</v>
      </c>
      <c r="O1078" t="s">
        <v>218</v>
      </c>
      <c r="P1078" t="s">
        <v>29</v>
      </c>
      <c r="Q1078" t="s">
        <v>30</v>
      </c>
      <c r="R1078" t="s">
        <v>31</v>
      </c>
      <c r="S1078" t="s">
        <v>32</v>
      </c>
      <c r="T1078" t="s">
        <v>219</v>
      </c>
      <c r="U1078" t="s">
        <v>100</v>
      </c>
      <c r="V1078">
        <v>1500</v>
      </c>
    </row>
    <row r="1079" spans="1:22" x14ac:dyDescent="0.3">
      <c r="A1079" t="s">
        <v>2347</v>
      </c>
      <c r="B1079" s="2">
        <v>46226</v>
      </c>
      <c r="C1079" t="s">
        <v>2348</v>
      </c>
      <c r="D1079" t="s">
        <v>24</v>
      </c>
      <c r="E1079" t="s">
        <v>87</v>
      </c>
      <c r="F1079">
        <v>4</v>
      </c>
      <c r="G1079">
        <v>0.15</v>
      </c>
      <c r="H1079">
        <v>1190</v>
      </c>
      <c r="I1079">
        <v>310.64999999999998</v>
      </c>
      <c r="J1079" t="s">
        <v>26</v>
      </c>
      <c r="K1079" t="s">
        <v>40</v>
      </c>
      <c r="L1079">
        <v>297.5</v>
      </c>
      <c r="M1079">
        <v>26.105042016806721</v>
      </c>
      <c r="N1079" t="s">
        <v>8</v>
      </c>
      <c r="O1079" t="s">
        <v>2349</v>
      </c>
      <c r="P1079" t="s">
        <v>73</v>
      </c>
      <c r="Q1079" t="s">
        <v>74</v>
      </c>
      <c r="R1079" t="s">
        <v>75</v>
      </c>
      <c r="S1079" t="s">
        <v>75</v>
      </c>
      <c r="T1079" t="s">
        <v>2350</v>
      </c>
      <c r="U1079" t="s">
        <v>34</v>
      </c>
      <c r="V1079">
        <v>77.662499999999994</v>
      </c>
    </row>
    <row r="1080" spans="1:22" x14ac:dyDescent="0.3">
      <c r="A1080" t="s">
        <v>2351</v>
      </c>
      <c r="B1080" s="2">
        <v>46030</v>
      </c>
      <c r="C1080" t="s">
        <v>974</v>
      </c>
      <c r="D1080" t="s">
        <v>70</v>
      </c>
      <c r="E1080" t="s">
        <v>129</v>
      </c>
      <c r="F1080">
        <v>3</v>
      </c>
      <c r="G1080">
        <v>0</v>
      </c>
      <c r="H1080">
        <v>165000</v>
      </c>
      <c r="I1080">
        <v>27000</v>
      </c>
      <c r="J1080" t="s">
        <v>39</v>
      </c>
      <c r="K1080" t="s">
        <v>40</v>
      </c>
      <c r="L1080">
        <v>55000</v>
      </c>
      <c r="M1080">
        <v>16.36363636363636</v>
      </c>
      <c r="N1080" t="s">
        <v>8</v>
      </c>
      <c r="O1080" t="s">
        <v>975</v>
      </c>
      <c r="P1080" t="s">
        <v>73</v>
      </c>
      <c r="Q1080" t="s">
        <v>42</v>
      </c>
      <c r="R1080" t="s">
        <v>43</v>
      </c>
      <c r="S1080" t="s">
        <v>44</v>
      </c>
      <c r="T1080" t="s">
        <v>976</v>
      </c>
      <c r="U1080" t="s">
        <v>100</v>
      </c>
      <c r="V1080">
        <v>9000</v>
      </c>
    </row>
    <row r="1081" spans="1:22" x14ac:dyDescent="0.3">
      <c r="A1081" t="s">
        <v>2352</v>
      </c>
      <c r="B1081" s="2">
        <v>46254</v>
      </c>
      <c r="C1081" t="s">
        <v>2353</v>
      </c>
      <c r="D1081" t="s">
        <v>37</v>
      </c>
      <c r="E1081" t="s">
        <v>310</v>
      </c>
      <c r="F1081">
        <v>4</v>
      </c>
      <c r="G1081">
        <v>0</v>
      </c>
      <c r="H1081">
        <v>8800</v>
      </c>
      <c r="I1081">
        <v>3000</v>
      </c>
      <c r="J1081" t="s">
        <v>26</v>
      </c>
      <c r="K1081" t="s">
        <v>40</v>
      </c>
      <c r="L1081">
        <v>2200</v>
      </c>
      <c r="M1081">
        <v>34.090909090909093</v>
      </c>
      <c r="N1081" t="s">
        <v>8</v>
      </c>
      <c r="O1081" t="s">
        <v>2127</v>
      </c>
      <c r="P1081" t="s">
        <v>29</v>
      </c>
      <c r="Q1081" t="s">
        <v>30</v>
      </c>
      <c r="R1081" t="s">
        <v>31</v>
      </c>
      <c r="S1081" t="s">
        <v>32</v>
      </c>
      <c r="T1081" t="s">
        <v>1283</v>
      </c>
      <c r="U1081" t="s">
        <v>46</v>
      </c>
      <c r="V1081">
        <v>750</v>
      </c>
    </row>
    <row r="1082" spans="1:22" x14ac:dyDescent="0.3">
      <c r="A1082" t="s">
        <v>2354</v>
      </c>
      <c r="B1082" s="2">
        <v>46179</v>
      </c>
      <c r="C1082" t="s">
        <v>656</v>
      </c>
      <c r="D1082" t="s">
        <v>49</v>
      </c>
      <c r="E1082" t="s">
        <v>79</v>
      </c>
      <c r="F1082">
        <v>4</v>
      </c>
      <c r="G1082">
        <v>0.05</v>
      </c>
      <c r="H1082">
        <v>41800</v>
      </c>
      <c r="I1082">
        <v>9305.9699999999993</v>
      </c>
      <c r="J1082" t="s">
        <v>39</v>
      </c>
      <c r="K1082" t="s">
        <v>40</v>
      </c>
      <c r="L1082">
        <v>10450</v>
      </c>
      <c r="M1082">
        <v>22.263086124401909</v>
      </c>
      <c r="N1082" t="s">
        <v>8</v>
      </c>
      <c r="O1082" t="s">
        <v>657</v>
      </c>
      <c r="P1082" t="s">
        <v>83</v>
      </c>
      <c r="Q1082" t="s">
        <v>74</v>
      </c>
      <c r="R1082" t="s">
        <v>115</v>
      </c>
      <c r="S1082" t="s">
        <v>115</v>
      </c>
      <c r="T1082" t="s">
        <v>76</v>
      </c>
      <c r="U1082" t="s">
        <v>100</v>
      </c>
      <c r="V1082">
        <v>2326.4924999999998</v>
      </c>
    </row>
    <row r="1083" spans="1:22" x14ac:dyDescent="0.3">
      <c r="A1083" t="s">
        <v>2355</v>
      </c>
      <c r="B1083" s="2">
        <v>46225</v>
      </c>
      <c r="C1083" t="s">
        <v>659</v>
      </c>
      <c r="D1083" t="s">
        <v>70</v>
      </c>
      <c r="E1083" t="s">
        <v>165</v>
      </c>
      <c r="F1083">
        <v>2</v>
      </c>
      <c r="G1083">
        <v>0</v>
      </c>
      <c r="H1083">
        <v>5000</v>
      </c>
      <c r="I1083">
        <v>1600</v>
      </c>
      <c r="J1083" t="s">
        <v>26</v>
      </c>
      <c r="K1083" t="s">
        <v>40</v>
      </c>
      <c r="L1083">
        <v>2500</v>
      </c>
      <c r="M1083">
        <v>32</v>
      </c>
      <c r="N1083" t="s">
        <v>8</v>
      </c>
      <c r="O1083" t="s">
        <v>660</v>
      </c>
      <c r="P1083" t="s">
        <v>83</v>
      </c>
      <c r="Q1083" t="s">
        <v>30</v>
      </c>
      <c r="R1083" t="s">
        <v>60</v>
      </c>
      <c r="S1083" t="s">
        <v>61</v>
      </c>
      <c r="T1083" t="s">
        <v>475</v>
      </c>
      <c r="U1083" t="s">
        <v>46</v>
      </c>
      <c r="V1083">
        <v>800</v>
      </c>
    </row>
    <row r="1084" spans="1:22" x14ac:dyDescent="0.3">
      <c r="A1084" t="s">
        <v>2356</v>
      </c>
      <c r="B1084" s="2">
        <v>45900</v>
      </c>
      <c r="C1084" t="s">
        <v>2188</v>
      </c>
      <c r="D1084" t="s">
        <v>24</v>
      </c>
      <c r="E1084" t="s">
        <v>87</v>
      </c>
      <c r="F1084">
        <v>4</v>
      </c>
      <c r="G1084">
        <v>0.2</v>
      </c>
      <c r="H1084">
        <v>1120</v>
      </c>
      <c r="I1084">
        <v>315.54000000000002</v>
      </c>
      <c r="J1084" t="s">
        <v>26</v>
      </c>
      <c r="K1084" t="s">
        <v>27</v>
      </c>
      <c r="L1084">
        <v>280</v>
      </c>
      <c r="M1084">
        <v>28.173214285714291</v>
      </c>
      <c r="N1084" t="s">
        <v>8</v>
      </c>
      <c r="O1084" t="s">
        <v>1963</v>
      </c>
      <c r="P1084" t="s">
        <v>29</v>
      </c>
      <c r="Q1084" t="s">
        <v>42</v>
      </c>
      <c r="R1084" t="s">
        <v>214</v>
      </c>
      <c r="S1084" t="s">
        <v>111</v>
      </c>
      <c r="T1084" t="s">
        <v>2189</v>
      </c>
      <c r="U1084" t="s">
        <v>46</v>
      </c>
      <c r="V1084">
        <v>78.885000000000005</v>
      </c>
    </row>
    <row r="1085" spans="1:22" x14ac:dyDescent="0.3">
      <c r="A1085" t="s">
        <v>2357</v>
      </c>
      <c r="B1085" s="2">
        <v>46211</v>
      </c>
      <c r="C1085" t="s">
        <v>268</v>
      </c>
      <c r="D1085" t="s">
        <v>37</v>
      </c>
      <c r="E1085" t="s">
        <v>190</v>
      </c>
      <c r="F1085">
        <v>10</v>
      </c>
      <c r="G1085">
        <v>0.15</v>
      </c>
      <c r="H1085">
        <v>35700</v>
      </c>
      <c r="I1085">
        <v>8368.7800000000007</v>
      </c>
      <c r="J1085" t="s">
        <v>65</v>
      </c>
      <c r="K1085" t="s">
        <v>40</v>
      </c>
      <c r="L1085">
        <v>3570</v>
      </c>
      <c r="M1085">
        <v>23.441960784313729</v>
      </c>
      <c r="N1085" t="s">
        <v>8</v>
      </c>
      <c r="O1085" t="s">
        <v>269</v>
      </c>
      <c r="P1085" t="s">
        <v>29</v>
      </c>
      <c r="Q1085" t="s">
        <v>30</v>
      </c>
      <c r="R1085" t="s">
        <v>31</v>
      </c>
      <c r="S1085" t="s">
        <v>32</v>
      </c>
      <c r="T1085" t="s">
        <v>270</v>
      </c>
      <c r="U1085" t="s">
        <v>34</v>
      </c>
      <c r="V1085">
        <v>836.87800000000004</v>
      </c>
    </row>
    <row r="1086" spans="1:22" x14ac:dyDescent="0.3">
      <c r="A1086" t="s">
        <v>2358</v>
      </c>
      <c r="B1086" s="2">
        <v>45900</v>
      </c>
      <c r="C1086" t="s">
        <v>1519</v>
      </c>
      <c r="D1086" t="s">
        <v>24</v>
      </c>
      <c r="E1086" t="s">
        <v>87</v>
      </c>
      <c r="F1086">
        <v>1</v>
      </c>
      <c r="G1086">
        <v>0.15</v>
      </c>
      <c r="H1086">
        <v>297.5</v>
      </c>
      <c r="I1086">
        <v>96.32</v>
      </c>
      <c r="J1086" t="s">
        <v>51</v>
      </c>
      <c r="K1086" t="s">
        <v>40</v>
      </c>
      <c r="L1086">
        <v>297.5</v>
      </c>
      <c r="M1086">
        <v>32.376470588235293</v>
      </c>
      <c r="N1086" t="s">
        <v>8</v>
      </c>
      <c r="O1086" t="s">
        <v>1520</v>
      </c>
      <c r="P1086" t="s">
        <v>83</v>
      </c>
      <c r="Q1086" t="s">
        <v>30</v>
      </c>
      <c r="R1086" t="s">
        <v>31</v>
      </c>
      <c r="S1086" t="s">
        <v>32</v>
      </c>
      <c r="T1086" t="s">
        <v>1521</v>
      </c>
      <c r="U1086" t="s">
        <v>105</v>
      </c>
      <c r="V1086">
        <v>96.32</v>
      </c>
    </row>
    <row r="1087" spans="1:22" x14ac:dyDescent="0.3">
      <c r="A1087" t="s">
        <v>2359</v>
      </c>
      <c r="B1087" s="2">
        <v>46257</v>
      </c>
      <c r="C1087" t="s">
        <v>1196</v>
      </c>
      <c r="D1087" t="s">
        <v>49</v>
      </c>
      <c r="E1087" t="s">
        <v>50</v>
      </c>
      <c r="F1087">
        <v>2</v>
      </c>
      <c r="G1087">
        <v>0.15</v>
      </c>
      <c r="H1087">
        <v>22100</v>
      </c>
      <c r="I1087">
        <v>4101.05</v>
      </c>
      <c r="J1087" t="s">
        <v>39</v>
      </c>
      <c r="K1087" t="s">
        <v>40</v>
      </c>
      <c r="L1087">
        <v>11050</v>
      </c>
      <c r="M1087">
        <v>18.556787330316741</v>
      </c>
      <c r="N1087" t="s">
        <v>8</v>
      </c>
      <c r="O1087" t="s">
        <v>686</v>
      </c>
      <c r="P1087" t="s">
        <v>73</v>
      </c>
      <c r="Q1087" t="s">
        <v>30</v>
      </c>
      <c r="R1087" t="s">
        <v>53</v>
      </c>
      <c r="S1087" t="s">
        <v>54</v>
      </c>
      <c r="T1087" t="s">
        <v>1197</v>
      </c>
      <c r="U1087" t="s">
        <v>100</v>
      </c>
      <c r="V1087">
        <v>2050.5250000000001</v>
      </c>
    </row>
    <row r="1088" spans="1:22" x14ac:dyDescent="0.3">
      <c r="A1088" t="s">
        <v>2360</v>
      </c>
      <c r="B1088" s="2">
        <v>45980</v>
      </c>
      <c r="C1088" t="s">
        <v>1694</v>
      </c>
      <c r="D1088" t="s">
        <v>24</v>
      </c>
      <c r="E1088" t="s">
        <v>87</v>
      </c>
      <c r="F1088">
        <v>1</v>
      </c>
      <c r="G1088">
        <v>0.1</v>
      </c>
      <c r="H1088">
        <v>315</v>
      </c>
      <c r="I1088">
        <v>-54.87</v>
      </c>
      <c r="J1088" t="s">
        <v>65</v>
      </c>
      <c r="K1088" t="s">
        <v>80</v>
      </c>
      <c r="L1088">
        <v>315</v>
      </c>
      <c r="M1088">
        <v>-17.419047619047621</v>
      </c>
      <c r="N1088" t="s">
        <v>81</v>
      </c>
      <c r="O1088" t="s">
        <v>1695</v>
      </c>
      <c r="P1088" t="s">
        <v>73</v>
      </c>
      <c r="Q1088" t="s">
        <v>30</v>
      </c>
      <c r="R1088" t="s">
        <v>60</v>
      </c>
      <c r="S1088" t="s">
        <v>61</v>
      </c>
      <c r="T1088" t="s">
        <v>1696</v>
      </c>
      <c r="U1088" t="s">
        <v>100</v>
      </c>
      <c r="V1088">
        <v>-54.87</v>
      </c>
    </row>
    <row r="1089" spans="1:22" x14ac:dyDescent="0.3">
      <c r="A1089" t="s">
        <v>2361</v>
      </c>
      <c r="B1089" s="2">
        <v>46085</v>
      </c>
      <c r="C1089" t="s">
        <v>1860</v>
      </c>
      <c r="D1089" t="s">
        <v>37</v>
      </c>
      <c r="E1089" t="s">
        <v>310</v>
      </c>
      <c r="F1089">
        <v>2</v>
      </c>
      <c r="G1089">
        <v>0</v>
      </c>
      <c r="H1089">
        <v>4400</v>
      </c>
      <c r="I1089">
        <v>1500</v>
      </c>
      <c r="J1089" t="s">
        <v>65</v>
      </c>
      <c r="K1089" t="s">
        <v>40</v>
      </c>
      <c r="L1089">
        <v>2200</v>
      </c>
      <c r="M1089">
        <v>34.090909090909093</v>
      </c>
      <c r="N1089" t="s">
        <v>8</v>
      </c>
      <c r="O1089" t="s">
        <v>1861</v>
      </c>
      <c r="P1089" t="s">
        <v>83</v>
      </c>
      <c r="Q1089" t="s">
        <v>30</v>
      </c>
      <c r="R1089" t="s">
        <v>98</v>
      </c>
      <c r="S1089" t="s">
        <v>54</v>
      </c>
      <c r="T1089" t="s">
        <v>1862</v>
      </c>
      <c r="U1089" t="s">
        <v>34</v>
      </c>
      <c r="V1089">
        <v>750</v>
      </c>
    </row>
    <row r="1090" spans="1:22" x14ac:dyDescent="0.3">
      <c r="A1090" t="s">
        <v>2362</v>
      </c>
      <c r="B1090" s="2">
        <v>46001</v>
      </c>
      <c r="C1090" t="s">
        <v>401</v>
      </c>
      <c r="D1090" t="s">
        <v>24</v>
      </c>
      <c r="E1090" t="s">
        <v>87</v>
      </c>
      <c r="F1090">
        <v>4</v>
      </c>
      <c r="G1090">
        <v>0.1</v>
      </c>
      <c r="H1090">
        <v>1260</v>
      </c>
      <c r="I1090">
        <v>416.24</v>
      </c>
      <c r="J1090" t="s">
        <v>65</v>
      </c>
      <c r="K1090" t="s">
        <v>40</v>
      </c>
      <c r="L1090">
        <v>315</v>
      </c>
      <c r="M1090">
        <v>33.034920634920631</v>
      </c>
      <c r="N1090" t="s">
        <v>8</v>
      </c>
      <c r="O1090" t="s">
        <v>402</v>
      </c>
      <c r="P1090" t="s">
        <v>29</v>
      </c>
      <c r="Q1090" t="s">
        <v>30</v>
      </c>
      <c r="R1090" t="s">
        <v>60</v>
      </c>
      <c r="S1090" t="s">
        <v>61</v>
      </c>
      <c r="T1090" t="s">
        <v>403</v>
      </c>
      <c r="U1090" t="s">
        <v>46</v>
      </c>
      <c r="V1090">
        <v>104.06</v>
      </c>
    </row>
    <row r="1091" spans="1:22" x14ac:dyDescent="0.3">
      <c r="A1091" t="s">
        <v>2363</v>
      </c>
      <c r="B1091" s="2">
        <v>46247</v>
      </c>
      <c r="C1091" t="s">
        <v>1637</v>
      </c>
      <c r="D1091" t="s">
        <v>70</v>
      </c>
      <c r="E1091" t="s">
        <v>165</v>
      </c>
      <c r="F1091">
        <v>2</v>
      </c>
      <c r="G1091">
        <v>0.05</v>
      </c>
      <c r="H1091">
        <v>4750</v>
      </c>
      <c r="I1091">
        <v>1455.95</v>
      </c>
      <c r="J1091" t="s">
        <v>39</v>
      </c>
      <c r="K1091" t="s">
        <v>40</v>
      </c>
      <c r="L1091">
        <v>2375</v>
      </c>
      <c r="M1091">
        <v>30.651578947368421</v>
      </c>
      <c r="N1091" t="s">
        <v>8</v>
      </c>
      <c r="O1091" t="s">
        <v>697</v>
      </c>
      <c r="P1091" t="s">
        <v>29</v>
      </c>
      <c r="Q1091" t="s">
        <v>30</v>
      </c>
      <c r="R1091" t="s">
        <v>31</v>
      </c>
      <c r="S1091" t="s">
        <v>32</v>
      </c>
      <c r="T1091" t="s">
        <v>1638</v>
      </c>
      <c r="U1091" t="s">
        <v>46</v>
      </c>
      <c r="V1091">
        <v>727.97500000000002</v>
      </c>
    </row>
    <row r="1092" spans="1:22" x14ac:dyDescent="0.3">
      <c r="A1092" t="s">
        <v>2364</v>
      </c>
      <c r="B1092" s="2">
        <v>45874</v>
      </c>
      <c r="C1092" t="s">
        <v>2348</v>
      </c>
      <c r="D1092" t="s">
        <v>24</v>
      </c>
      <c r="E1092" t="s">
        <v>87</v>
      </c>
      <c r="F1092">
        <v>2</v>
      </c>
      <c r="G1092">
        <v>0.1</v>
      </c>
      <c r="H1092">
        <v>630</v>
      </c>
      <c r="I1092">
        <v>184.76</v>
      </c>
      <c r="J1092" t="s">
        <v>51</v>
      </c>
      <c r="K1092" t="s">
        <v>40</v>
      </c>
      <c r="L1092">
        <v>315</v>
      </c>
      <c r="M1092">
        <v>29.326984126984119</v>
      </c>
      <c r="N1092" t="s">
        <v>8</v>
      </c>
      <c r="O1092" t="s">
        <v>2349</v>
      </c>
      <c r="P1092" t="s">
        <v>73</v>
      </c>
      <c r="Q1092" t="s">
        <v>74</v>
      </c>
      <c r="R1092" t="s">
        <v>75</v>
      </c>
      <c r="S1092" t="s">
        <v>75</v>
      </c>
      <c r="T1092" t="s">
        <v>2350</v>
      </c>
      <c r="U1092" t="s">
        <v>34</v>
      </c>
      <c r="V1092">
        <v>92.38</v>
      </c>
    </row>
    <row r="1093" spans="1:22" x14ac:dyDescent="0.3">
      <c r="A1093" t="s">
        <v>2365</v>
      </c>
      <c r="B1093" s="2">
        <v>45998</v>
      </c>
      <c r="C1093" t="s">
        <v>152</v>
      </c>
      <c r="D1093" t="s">
        <v>70</v>
      </c>
      <c r="E1093" t="s">
        <v>165</v>
      </c>
      <c r="F1093">
        <v>4</v>
      </c>
      <c r="G1093">
        <v>0.05</v>
      </c>
      <c r="H1093">
        <v>9500</v>
      </c>
      <c r="I1093">
        <v>2887.6</v>
      </c>
      <c r="J1093" t="s">
        <v>51</v>
      </c>
      <c r="K1093" t="s">
        <v>40</v>
      </c>
      <c r="L1093">
        <v>2375</v>
      </c>
      <c r="M1093">
        <v>30.395789473684211</v>
      </c>
      <c r="N1093" t="s">
        <v>8</v>
      </c>
      <c r="O1093" t="s">
        <v>153</v>
      </c>
      <c r="P1093" t="s">
        <v>83</v>
      </c>
      <c r="Q1093" t="s">
        <v>30</v>
      </c>
      <c r="R1093" t="s">
        <v>53</v>
      </c>
      <c r="S1093" t="s">
        <v>54</v>
      </c>
      <c r="T1093" t="s">
        <v>154</v>
      </c>
      <c r="U1093" t="s">
        <v>100</v>
      </c>
      <c r="V1093">
        <v>721.9</v>
      </c>
    </row>
    <row r="1094" spans="1:22" x14ac:dyDescent="0.3">
      <c r="A1094" t="s">
        <v>2366</v>
      </c>
      <c r="B1094" s="2">
        <v>45870</v>
      </c>
      <c r="C1094" t="s">
        <v>522</v>
      </c>
      <c r="D1094" t="s">
        <v>49</v>
      </c>
      <c r="E1094" t="s">
        <v>58</v>
      </c>
      <c r="F1094">
        <v>1</v>
      </c>
      <c r="G1094">
        <v>0.1</v>
      </c>
      <c r="H1094">
        <v>13500</v>
      </c>
      <c r="I1094">
        <v>2372.11</v>
      </c>
      <c r="J1094" t="s">
        <v>51</v>
      </c>
      <c r="K1094" t="s">
        <v>40</v>
      </c>
      <c r="L1094">
        <v>13500</v>
      </c>
      <c r="M1094">
        <v>17.57118518518519</v>
      </c>
      <c r="N1094" t="s">
        <v>8</v>
      </c>
      <c r="O1094" t="s">
        <v>523</v>
      </c>
      <c r="P1094" t="s">
        <v>73</v>
      </c>
      <c r="Q1094" t="s">
        <v>30</v>
      </c>
      <c r="R1094" t="s">
        <v>98</v>
      </c>
      <c r="S1094" t="s">
        <v>54</v>
      </c>
      <c r="T1094" t="s">
        <v>62</v>
      </c>
      <c r="U1094" t="s">
        <v>46</v>
      </c>
      <c r="V1094">
        <v>2372.11</v>
      </c>
    </row>
    <row r="1095" spans="1:22" x14ac:dyDescent="0.3">
      <c r="A1095" t="s">
        <v>2367</v>
      </c>
      <c r="B1095" s="2">
        <v>45991</v>
      </c>
      <c r="C1095" t="s">
        <v>2217</v>
      </c>
      <c r="D1095" t="s">
        <v>70</v>
      </c>
      <c r="E1095" t="s">
        <v>129</v>
      </c>
      <c r="F1095">
        <v>3</v>
      </c>
      <c r="G1095">
        <v>0</v>
      </c>
      <c r="H1095">
        <v>165000</v>
      </c>
      <c r="I1095">
        <v>27000</v>
      </c>
      <c r="J1095" t="s">
        <v>39</v>
      </c>
      <c r="K1095" t="s">
        <v>40</v>
      </c>
      <c r="L1095">
        <v>55000</v>
      </c>
      <c r="M1095">
        <v>16.36363636363636</v>
      </c>
      <c r="N1095" t="s">
        <v>8</v>
      </c>
      <c r="O1095" t="s">
        <v>636</v>
      </c>
      <c r="P1095" t="s">
        <v>29</v>
      </c>
      <c r="Q1095" t="s">
        <v>42</v>
      </c>
      <c r="R1095" t="s">
        <v>110</v>
      </c>
      <c r="S1095" t="s">
        <v>111</v>
      </c>
      <c r="T1095" t="s">
        <v>2218</v>
      </c>
      <c r="U1095" t="s">
        <v>46</v>
      </c>
      <c r="V1095">
        <v>9000</v>
      </c>
    </row>
    <row r="1096" spans="1:22" x14ac:dyDescent="0.3">
      <c r="A1096" t="s">
        <v>2368</v>
      </c>
      <c r="B1096" s="2">
        <v>46057</v>
      </c>
      <c r="C1096" t="s">
        <v>753</v>
      </c>
      <c r="D1096" t="s">
        <v>49</v>
      </c>
      <c r="E1096" t="s">
        <v>119</v>
      </c>
      <c r="F1096">
        <v>1</v>
      </c>
      <c r="G1096">
        <v>0.15</v>
      </c>
      <c r="H1096">
        <v>7650</v>
      </c>
      <c r="I1096">
        <v>1425.62</v>
      </c>
      <c r="J1096" t="s">
        <v>26</v>
      </c>
      <c r="K1096" t="s">
        <v>27</v>
      </c>
      <c r="L1096">
        <v>7650</v>
      </c>
      <c r="M1096">
        <v>18.635555555555559</v>
      </c>
      <c r="N1096" t="s">
        <v>8</v>
      </c>
      <c r="O1096" t="s">
        <v>754</v>
      </c>
      <c r="P1096" t="s">
        <v>83</v>
      </c>
      <c r="Q1096" t="s">
        <v>74</v>
      </c>
      <c r="R1096" t="s">
        <v>237</v>
      </c>
      <c r="S1096" t="s">
        <v>238</v>
      </c>
      <c r="T1096" t="s">
        <v>755</v>
      </c>
      <c r="U1096" t="s">
        <v>46</v>
      </c>
      <c r="V1096">
        <v>1425.62</v>
      </c>
    </row>
    <row r="1097" spans="1:22" x14ac:dyDescent="0.3">
      <c r="A1097" t="s">
        <v>2369</v>
      </c>
      <c r="B1097" s="2">
        <v>46002</v>
      </c>
      <c r="C1097" t="s">
        <v>169</v>
      </c>
      <c r="D1097" t="s">
        <v>49</v>
      </c>
      <c r="E1097" t="s">
        <v>50</v>
      </c>
      <c r="F1097">
        <v>3</v>
      </c>
      <c r="G1097">
        <v>0.3</v>
      </c>
      <c r="H1097">
        <v>27300</v>
      </c>
      <c r="I1097">
        <v>1543.52</v>
      </c>
      <c r="J1097" t="s">
        <v>51</v>
      </c>
      <c r="K1097" t="s">
        <v>27</v>
      </c>
      <c r="L1097">
        <v>9100</v>
      </c>
      <c r="M1097">
        <v>5.6539194139194144</v>
      </c>
      <c r="N1097" t="s">
        <v>8</v>
      </c>
      <c r="O1097" t="s">
        <v>171</v>
      </c>
      <c r="P1097" t="s">
        <v>29</v>
      </c>
      <c r="Q1097" t="s">
        <v>42</v>
      </c>
      <c r="R1097" t="s">
        <v>121</v>
      </c>
      <c r="S1097" t="s">
        <v>44</v>
      </c>
      <c r="T1097" t="s">
        <v>172</v>
      </c>
      <c r="U1097" t="s">
        <v>46</v>
      </c>
      <c r="V1097">
        <v>514.50666666666666</v>
      </c>
    </row>
    <row r="1098" spans="1:22" x14ac:dyDescent="0.3">
      <c r="A1098" t="s">
        <v>2370</v>
      </c>
      <c r="B1098" s="2">
        <v>45983</v>
      </c>
      <c r="C1098" t="s">
        <v>1480</v>
      </c>
      <c r="D1098" t="s">
        <v>49</v>
      </c>
      <c r="E1098" t="s">
        <v>119</v>
      </c>
      <c r="F1098">
        <v>2</v>
      </c>
      <c r="G1098">
        <v>0.1</v>
      </c>
      <c r="H1098">
        <v>16200</v>
      </c>
      <c r="I1098">
        <v>-2303.4</v>
      </c>
      <c r="J1098" t="s">
        <v>65</v>
      </c>
      <c r="K1098" t="s">
        <v>434</v>
      </c>
      <c r="L1098">
        <v>8100</v>
      </c>
      <c r="M1098">
        <v>-14.21851851851852</v>
      </c>
      <c r="N1098" t="s">
        <v>81</v>
      </c>
      <c r="O1098" t="s">
        <v>66</v>
      </c>
      <c r="P1098" t="s">
        <v>73</v>
      </c>
      <c r="Q1098" t="s">
        <v>30</v>
      </c>
      <c r="R1098" t="s">
        <v>98</v>
      </c>
      <c r="S1098" t="s">
        <v>54</v>
      </c>
      <c r="T1098" t="s">
        <v>1481</v>
      </c>
      <c r="U1098" t="s">
        <v>46</v>
      </c>
      <c r="V1098">
        <v>-1151.7</v>
      </c>
    </row>
    <row r="1099" spans="1:22" x14ac:dyDescent="0.3">
      <c r="A1099" t="s">
        <v>2371</v>
      </c>
      <c r="B1099" s="2">
        <v>46132</v>
      </c>
      <c r="C1099" t="s">
        <v>962</v>
      </c>
      <c r="D1099" t="s">
        <v>37</v>
      </c>
      <c r="E1099" t="s">
        <v>190</v>
      </c>
      <c r="F1099">
        <v>1</v>
      </c>
      <c r="G1099">
        <v>0.1</v>
      </c>
      <c r="H1099">
        <v>3780</v>
      </c>
      <c r="I1099">
        <v>926.73</v>
      </c>
      <c r="J1099" t="s">
        <v>39</v>
      </c>
      <c r="K1099" t="s">
        <v>40</v>
      </c>
      <c r="L1099">
        <v>3780</v>
      </c>
      <c r="M1099">
        <v>24.516666666666669</v>
      </c>
      <c r="N1099" t="s">
        <v>8</v>
      </c>
      <c r="O1099" t="s">
        <v>963</v>
      </c>
      <c r="P1099" t="s">
        <v>29</v>
      </c>
      <c r="Q1099" t="s">
        <v>42</v>
      </c>
      <c r="R1099" t="s">
        <v>214</v>
      </c>
      <c r="S1099" t="s">
        <v>111</v>
      </c>
      <c r="T1099" t="s">
        <v>964</v>
      </c>
      <c r="U1099" t="s">
        <v>100</v>
      </c>
      <c r="V1099">
        <v>926.73</v>
      </c>
    </row>
    <row r="1100" spans="1:22" x14ac:dyDescent="0.3">
      <c r="A1100" t="s">
        <v>2372</v>
      </c>
      <c r="B1100" s="2">
        <v>46256</v>
      </c>
      <c r="C1100" t="s">
        <v>1455</v>
      </c>
      <c r="D1100" t="s">
        <v>24</v>
      </c>
      <c r="E1100" t="s">
        <v>87</v>
      </c>
      <c r="F1100">
        <v>1</v>
      </c>
      <c r="G1100">
        <v>0.2</v>
      </c>
      <c r="H1100">
        <v>280</v>
      </c>
      <c r="I1100">
        <v>73.400000000000006</v>
      </c>
      <c r="J1100" t="s">
        <v>51</v>
      </c>
      <c r="K1100" t="s">
        <v>40</v>
      </c>
      <c r="L1100">
        <v>280</v>
      </c>
      <c r="M1100">
        <v>26.214285714285719</v>
      </c>
      <c r="N1100" t="s">
        <v>8</v>
      </c>
      <c r="O1100" t="s">
        <v>1009</v>
      </c>
      <c r="P1100" t="s">
        <v>83</v>
      </c>
      <c r="Q1100" t="s">
        <v>74</v>
      </c>
      <c r="R1100" t="s">
        <v>493</v>
      </c>
      <c r="S1100" t="s">
        <v>494</v>
      </c>
      <c r="T1100" t="s">
        <v>273</v>
      </c>
      <c r="U1100" t="s">
        <v>46</v>
      </c>
      <c r="V1100">
        <v>73.400000000000006</v>
      </c>
    </row>
    <row r="1101" spans="1:22" x14ac:dyDescent="0.3">
      <c r="A1101" t="s">
        <v>2373</v>
      </c>
      <c r="B1101" s="2">
        <v>46079</v>
      </c>
      <c r="C1101" t="s">
        <v>96</v>
      </c>
      <c r="D1101" t="s">
        <v>49</v>
      </c>
      <c r="E1101" t="s">
        <v>50</v>
      </c>
      <c r="F1101">
        <v>5</v>
      </c>
      <c r="G1101">
        <v>0</v>
      </c>
      <c r="H1101">
        <v>65000</v>
      </c>
      <c r="I1101">
        <v>16000</v>
      </c>
      <c r="J1101" t="s">
        <v>65</v>
      </c>
      <c r="K1101" t="s">
        <v>27</v>
      </c>
      <c r="L1101">
        <v>13000</v>
      </c>
      <c r="M1101">
        <v>24.61538461538462</v>
      </c>
      <c r="N1101" t="s">
        <v>8</v>
      </c>
      <c r="O1101" t="s">
        <v>97</v>
      </c>
      <c r="P1101" t="s">
        <v>73</v>
      </c>
      <c r="Q1101" t="s">
        <v>30</v>
      </c>
      <c r="R1101" t="s">
        <v>98</v>
      </c>
      <c r="S1101" t="s">
        <v>54</v>
      </c>
      <c r="T1101" t="s">
        <v>99</v>
      </c>
      <c r="U1101" t="s">
        <v>100</v>
      </c>
      <c r="V1101">
        <v>3200</v>
      </c>
    </row>
    <row r="1102" spans="1:22" x14ac:dyDescent="0.3">
      <c r="A1102" t="s">
        <v>2374</v>
      </c>
      <c r="B1102" s="2">
        <v>46025</v>
      </c>
      <c r="C1102" t="s">
        <v>659</v>
      </c>
      <c r="D1102" t="s">
        <v>24</v>
      </c>
      <c r="E1102" t="s">
        <v>92</v>
      </c>
      <c r="F1102">
        <v>1</v>
      </c>
      <c r="G1102">
        <v>0.15</v>
      </c>
      <c r="H1102">
        <v>765</v>
      </c>
      <c r="I1102">
        <v>170.52</v>
      </c>
      <c r="J1102" t="s">
        <v>65</v>
      </c>
      <c r="K1102" t="s">
        <v>40</v>
      </c>
      <c r="L1102">
        <v>765</v>
      </c>
      <c r="M1102">
        <v>22.290196078431379</v>
      </c>
      <c r="N1102" t="s">
        <v>8</v>
      </c>
      <c r="O1102" t="s">
        <v>660</v>
      </c>
      <c r="P1102" t="s">
        <v>83</v>
      </c>
      <c r="Q1102" t="s">
        <v>30</v>
      </c>
      <c r="R1102" t="s">
        <v>60</v>
      </c>
      <c r="S1102" t="s">
        <v>61</v>
      </c>
      <c r="T1102" t="s">
        <v>475</v>
      </c>
      <c r="U1102" t="s">
        <v>46</v>
      </c>
      <c r="V1102">
        <v>170.52</v>
      </c>
    </row>
    <row r="1103" spans="1:22" x14ac:dyDescent="0.3">
      <c r="A1103" t="s">
        <v>2375</v>
      </c>
      <c r="B1103" s="2">
        <v>46082</v>
      </c>
      <c r="C1103" t="s">
        <v>430</v>
      </c>
      <c r="D1103" t="s">
        <v>70</v>
      </c>
      <c r="E1103" t="s">
        <v>108</v>
      </c>
      <c r="F1103">
        <v>3</v>
      </c>
      <c r="G1103">
        <v>0.1</v>
      </c>
      <c r="H1103">
        <v>12150</v>
      </c>
      <c r="I1103">
        <v>3867.61</v>
      </c>
      <c r="J1103" t="s">
        <v>65</v>
      </c>
      <c r="K1103" t="s">
        <v>40</v>
      </c>
      <c r="L1103">
        <v>4050</v>
      </c>
      <c r="M1103">
        <v>31.83218106995885</v>
      </c>
      <c r="N1103" t="s">
        <v>8</v>
      </c>
      <c r="O1103" t="s">
        <v>431</v>
      </c>
      <c r="P1103" t="s">
        <v>29</v>
      </c>
      <c r="Q1103" t="s">
        <v>30</v>
      </c>
      <c r="R1103" t="s">
        <v>53</v>
      </c>
      <c r="S1103" t="s">
        <v>54</v>
      </c>
      <c r="T1103" t="s">
        <v>256</v>
      </c>
      <c r="U1103" t="s">
        <v>46</v>
      </c>
      <c r="V1103">
        <v>1289.2033333333329</v>
      </c>
    </row>
    <row r="1104" spans="1:22" x14ac:dyDescent="0.3">
      <c r="A1104" t="s">
        <v>2376</v>
      </c>
      <c r="B1104" s="2">
        <v>45959</v>
      </c>
      <c r="C1104" t="s">
        <v>118</v>
      </c>
      <c r="D1104" t="s">
        <v>24</v>
      </c>
      <c r="E1104" t="s">
        <v>25</v>
      </c>
      <c r="F1104">
        <v>2</v>
      </c>
      <c r="G1104">
        <v>0</v>
      </c>
      <c r="H1104">
        <v>28000</v>
      </c>
      <c r="I1104">
        <v>5600</v>
      </c>
      <c r="J1104" t="s">
        <v>65</v>
      </c>
      <c r="K1104" t="s">
        <v>27</v>
      </c>
      <c r="L1104">
        <v>14000</v>
      </c>
      <c r="M1104">
        <v>20</v>
      </c>
      <c r="N1104" t="s">
        <v>8</v>
      </c>
      <c r="O1104" t="s">
        <v>120</v>
      </c>
      <c r="P1104" t="s">
        <v>73</v>
      </c>
      <c r="Q1104" t="s">
        <v>42</v>
      </c>
      <c r="R1104" t="s">
        <v>121</v>
      </c>
      <c r="S1104" t="s">
        <v>44</v>
      </c>
      <c r="T1104" t="s">
        <v>122</v>
      </c>
      <c r="U1104" t="s">
        <v>100</v>
      </c>
      <c r="V1104">
        <v>2800</v>
      </c>
    </row>
    <row r="1105" spans="1:22" x14ac:dyDescent="0.3">
      <c r="A1105" t="s">
        <v>2377</v>
      </c>
      <c r="B1105" s="2">
        <v>45973</v>
      </c>
      <c r="C1105" t="s">
        <v>780</v>
      </c>
      <c r="D1105" t="s">
        <v>37</v>
      </c>
      <c r="E1105" t="s">
        <v>190</v>
      </c>
      <c r="F1105">
        <v>3</v>
      </c>
      <c r="G1105">
        <v>0.1</v>
      </c>
      <c r="H1105">
        <v>11340</v>
      </c>
      <c r="I1105">
        <v>2639.8</v>
      </c>
      <c r="J1105" t="s">
        <v>26</v>
      </c>
      <c r="K1105" t="s">
        <v>27</v>
      </c>
      <c r="L1105">
        <v>3780</v>
      </c>
      <c r="M1105">
        <v>23.27865961199295</v>
      </c>
      <c r="N1105" t="s">
        <v>8</v>
      </c>
      <c r="O1105" t="s">
        <v>781</v>
      </c>
      <c r="P1105" t="s">
        <v>73</v>
      </c>
      <c r="Q1105" t="s">
        <v>30</v>
      </c>
      <c r="R1105" t="s">
        <v>31</v>
      </c>
      <c r="S1105" t="s">
        <v>32</v>
      </c>
      <c r="T1105" t="s">
        <v>572</v>
      </c>
      <c r="U1105" t="s">
        <v>100</v>
      </c>
      <c r="V1105">
        <v>879.93333333333339</v>
      </c>
    </row>
    <row r="1106" spans="1:22" x14ac:dyDescent="0.3">
      <c r="A1106" t="s">
        <v>2378</v>
      </c>
      <c r="B1106" s="2">
        <v>46173</v>
      </c>
      <c r="C1106" t="s">
        <v>389</v>
      </c>
      <c r="D1106" t="s">
        <v>49</v>
      </c>
      <c r="E1106" t="s">
        <v>50</v>
      </c>
      <c r="F1106">
        <v>6</v>
      </c>
      <c r="G1106">
        <v>0.15</v>
      </c>
      <c r="H1106">
        <v>66300</v>
      </c>
      <c r="I1106">
        <v>11826.27</v>
      </c>
      <c r="J1106" t="s">
        <v>26</v>
      </c>
      <c r="K1106" t="s">
        <v>40</v>
      </c>
      <c r="L1106">
        <v>11050</v>
      </c>
      <c r="M1106">
        <v>17.837511312217199</v>
      </c>
      <c r="N1106" t="s">
        <v>8</v>
      </c>
      <c r="O1106" t="s">
        <v>390</v>
      </c>
      <c r="P1106" t="s">
        <v>29</v>
      </c>
      <c r="Q1106" t="s">
        <v>30</v>
      </c>
      <c r="R1106" t="s">
        <v>53</v>
      </c>
      <c r="S1106" t="s">
        <v>54</v>
      </c>
      <c r="T1106" t="s">
        <v>391</v>
      </c>
      <c r="U1106" t="s">
        <v>100</v>
      </c>
      <c r="V1106">
        <v>1971.0450000000001</v>
      </c>
    </row>
    <row r="1107" spans="1:22" x14ac:dyDescent="0.3">
      <c r="A1107" t="s">
        <v>2379</v>
      </c>
      <c r="B1107" s="2">
        <v>46150</v>
      </c>
      <c r="C1107" t="s">
        <v>2249</v>
      </c>
      <c r="D1107" t="s">
        <v>24</v>
      </c>
      <c r="E1107" t="s">
        <v>92</v>
      </c>
      <c r="F1107">
        <v>2</v>
      </c>
      <c r="G1107">
        <v>0.05</v>
      </c>
      <c r="H1107">
        <v>1710</v>
      </c>
      <c r="I1107">
        <v>487.6</v>
      </c>
      <c r="J1107" t="s">
        <v>39</v>
      </c>
      <c r="K1107" t="s">
        <v>40</v>
      </c>
      <c r="L1107">
        <v>855</v>
      </c>
      <c r="M1107">
        <v>28.51461988304094</v>
      </c>
      <c r="N1107" t="s">
        <v>8</v>
      </c>
      <c r="O1107" t="s">
        <v>1424</v>
      </c>
      <c r="P1107" t="s">
        <v>29</v>
      </c>
      <c r="Q1107" t="s">
        <v>74</v>
      </c>
      <c r="R1107" t="s">
        <v>237</v>
      </c>
      <c r="S1107" t="s">
        <v>238</v>
      </c>
      <c r="T1107" t="s">
        <v>2250</v>
      </c>
      <c r="U1107" t="s">
        <v>105</v>
      </c>
      <c r="V1107">
        <v>243.8</v>
      </c>
    </row>
    <row r="1108" spans="1:22" x14ac:dyDescent="0.3">
      <c r="A1108" t="s">
        <v>2380</v>
      </c>
      <c r="B1108" s="2">
        <v>46257</v>
      </c>
      <c r="C1108" t="s">
        <v>365</v>
      </c>
      <c r="D1108" t="s">
        <v>49</v>
      </c>
      <c r="E1108" t="s">
        <v>58</v>
      </c>
      <c r="F1108">
        <v>2</v>
      </c>
      <c r="G1108">
        <v>0.2</v>
      </c>
      <c r="H1108">
        <v>24000</v>
      </c>
      <c r="I1108">
        <v>4051.44</v>
      </c>
      <c r="J1108" t="s">
        <v>26</v>
      </c>
      <c r="K1108" t="s">
        <v>40</v>
      </c>
      <c r="L1108">
        <v>12000</v>
      </c>
      <c r="M1108">
        <v>16.881</v>
      </c>
      <c r="N1108" t="s">
        <v>8</v>
      </c>
      <c r="O1108" t="s">
        <v>318</v>
      </c>
      <c r="P1108" t="s">
        <v>29</v>
      </c>
      <c r="Q1108" t="s">
        <v>30</v>
      </c>
      <c r="R1108" t="s">
        <v>31</v>
      </c>
      <c r="S1108" t="s">
        <v>32</v>
      </c>
      <c r="T1108" t="s">
        <v>366</v>
      </c>
      <c r="U1108" t="s">
        <v>105</v>
      </c>
      <c r="V1108">
        <v>2025.72</v>
      </c>
    </row>
    <row r="1109" spans="1:22" x14ac:dyDescent="0.3">
      <c r="A1109" t="s">
        <v>2381</v>
      </c>
      <c r="B1109" s="2">
        <v>45982</v>
      </c>
      <c r="C1109" t="s">
        <v>1414</v>
      </c>
      <c r="D1109" t="s">
        <v>49</v>
      </c>
      <c r="E1109" t="s">
        <v>58</v>
      </c>
      <c r="F1109">
        <v>4</v>
      </c>
      <c r="G1109">
        <v>0</v>
      </c>
      <c r="H1109">
        <v>60000</v>
      </c>
      <c r="I1109">
        <v>14000</v>
      </c>
      <c r="J1109" t="s">
        <v>65</v>
      </c>
      <c r="K1109" t="s">
        <v>40</v>
      </c>
      <c r="L1109">
        <v>15000</v>
      </c>
      <c r="M1109">
        <v>23.333333333333329</v>
      </c>
      <c r="N1109" t="s">
        <v>8</v>
      </c>
      <c r="O1109" t="s">
        <v>166</v>
      </c>
      <c r="P1109" t="s">
        <v>29</v>
      </c>
      <c r="Q1109" t="s">
        <v>30</v>
      </c>
      <c r="R1109" t="s">
        <v>31</v>
      </c>
      <c r="S1109" t="s">
        <v>32</v>
      </c>
      <c r="T1109" t="s">
        <v>1415</v>
      </c>
      <c r="U1109" t="s">
        <v>46</v>
      </c>
      <c r="V1109">
        <v>3500</v>
      </c>
    </row>
    <row r="1110" spans="1:22" x14ac:dyDescent="0.3">
      <c r="A1110" t="s">
        <v>2382</v>
      </c>
      <c r="B1110" s="2">
        <v>45885</v>
      </c>
      <c r="C1110" t="s">
        <v>1346</v>
      </c>
      <c r="D1110" t="s">
        <v>24</v>
      </c>
      <c r="E1110" t="s">
        <v>25</v>
      </c>
      <c r="F1110">
        <v>3</v>
      </c>
      <c r="G1110">
        <v>0.1</v>
      </c>
      <c r="H1110">
        <v>37800</v>
      </c>
      <c r="I1110">
        <v>-22493.37</v>
      </c>
      <c r="J1110" t="s">
        <v>26</v>
      </c>
      <c r="K1110" t="s">
        <v>434</v>
      </c>
      <c r="L1110">
        <v>12600</v>
      </c>
      <c r="M1110">
        <v>-59.506269841269841</v>
      </c>
      <c r="N1110" t="s">
        <v>81</v>
      </c>
      <c r="O1110" t="s">
        <v>825</v>
      </c>
      <c r="P1110" t="s">
        <v>73</v>
      </c>
      <c r="Q1110" t="s">
        <v>30</v>
      </c>
      <c r="R1110" t="s">
        <v>98</v>
      </c>
      <c r="S1110" t="s">
        <v>54</v>
      </c>
      <c r="T1110" t="s">
        <v>1347</v>
      </c>
      <c r="U1110" t="s">
        <v>34</v>
      </c>
      <c r="V1110">
        <v>-7497.79</v>
      </c>
    </row>
    <row r="1111" spans="1:22" x14ac:dyDescent="0.3">
      <c r="A1111" t="s">
        <v>2383</v>
      </c>
      <c r="B1111" s="2">
        <v>45998</v>
      </c>
      <c r="C1111" t="s">
        <v>788</v>
      </c>
      <c r="D1111" t="s">
        <v>37</v>
      </c>
      <c r="E1111" t="s">
        <v>310</v>
      </c>
      <c r="F1111">
        <v>1</v>
      </c>
      <c r="G1111">
        <v>0.15</v>
      </c>
      <c r="H1111">
        <v>1870</v>
      </c>
      <c r="I1111">
        <v>480.31</v>
      </c>
      <c r="J1111" t="s">
        <v>51</v>
      </c>
      <c r="K1111" t="s">
        <v>40</v>
      </c>
      <c r="L1111">
        <v>1870</v>
      </c>
      <c r="M1111">
        <v>25.68502673796791</v>
      </c>
      <c r="N1111" t="s">
        <v>8</v>
      </c>
      <c r="O1111" t="s">
        <v>789</v>
      </c>
      <c r="P1111" t="s">
        <v>83</v>
      </c>
      <c r="Q1111" t="s">
        <v>74</v>
      </c>
      <c r="R1111" t="s">
        <v>75</v>
      </c>
      <c r="S1111" t="s">
        <v>75</v>
      </c>
      <c r="T1111" t="s">
        <v>790</v>
      </c>
      <c r="U1111" t="s">
        <v>34</v>
      </c>
      <c r="V1111">
        <v>480.31</v>
      </c>
    </row>
    <row r="1112" spans="1:22" x14ac:dyDescent="0.3">
      <c r="A1112" t="s">
        <v>2384</v>
      </c>
      <c r="B1112" s="2">
        <v>45876</v>
      </c>
      <c r="C1112" t="s">
        <v>198</v>
      </c>
      <c r="D1112" t="s">
        <v>37</v>
      </c>
      <c r="E1112" t="s">
        <v>310</v>
      </c>
      <c r="F1112">
        <v>4</v>
      </c>
      <c r="G1112">
        <v>0</v>
      </c>
      <c r="H1112">
        <v>8800</v>
      </c>
      <c r="I1112">
        <v>-1958.31</v>
      </c>
      <c r="J1112" t="s">
        <v>26</v>
      </c>
      <c r="K1112" t="s">
        <v>434</v>
      </c>
      <c r="L1112">
        <v>2200</v>
      </c>
      <c r="M1112">
        <v>-22.253522727272731</v>
      </c>
      <c r="N1112" t="s">
        <v>81</v>
      </c>
      <c r="O1112" t="s">
        <v>199</v>
      </c>
      <c r="P1112" t="s">
        <v>83</v>
      </c>
      <c r="Q1112" t="s">
        <v>131</v>
      </c>
      <c r="R1112" t="s">
        <v>200</v>
      </c>
      <c r="S1112" t="s">
        <v>201</v>
      </c>
      <c r="T1112" t="s">
        <v>202</v>
      </c>
      <c r="U1112" t="s">
        <v>46</v>
      </c>
      <c r="V1112">
        <v>-489.57749999999999</v>
      </c>
    </row>
    <row r="1113" spans="1:22" x14ac:dyDescent="0.3">
      <c r="A1113" t="s">
        <v>2385</v>
      </c>
      <c r="B1113" s="2">
        <v>45909</v>
      </c>
      <c r="C1113" t="s">
        <v>2386</v>
      </c>
      <c r="D1113" t="s">
        <v>49</v>
      </c>
      <c r="E1113" t="s">
        <v>58</v>
      </c>
      <c r="F1113">
        <v>1</v>
      </c>
      <c r="G1113">
        <v>0.15</v>
      </c>
      <c r="H1113">
        <v>12750</v>
      </c>
      <c r="I1113">
        <v>2073.5700000000002</v>
      </c>
      <c r="J1113" t="s">
        <v>26</v>
      </c>
      <c r="K1113" t="s">
        <v>40</v>
      </c>
      <c r="L1113">
        <v>12750</v>
      </c>
      <c r="M1113">
        <v>16.26329411764706</v>
      </c>
      <c r="N1113" t="s">
        <v>8</v>
      </c>
      <c r="O1113" t="s">
        <v>1364</v>
      </c>
      <c r="P1113" t="s">
        <v>29</v>
      </c>
      <c r="Q1113" t="s">
        <v>131</v>
      </c>
      <c r="R1113" t="s">
        <v>289</v>
      </c>
      <c r="S1113" t="s">
        <v>290</v>
      </c>
      <c r="T1113" t="s">
        <v>1203</v>
      </c>
      <c r="U1113" t="s">
        <v>46</v>
      </c>
      <c r="V1113">
        <v>2073.5700000000002</v>
      </c>
    </row>
    <row r="1114" spans="1:22" x14ac:dyDescent="0.3">
      <c r="A1114" t="s">
        <v>2387</v>
      </c>
      <c r="B1114" s="2">
        <v>46184</v>
      </c>
      <c r="C1114" t="s">
        <v>625</v>
      </c>
      <c r="D1114" t="s">
        <v>70</v>
      </c>
      <c r="E1114" t="s">
        <v>129</v>
      </c>
      <c r="F1114">
        <v>2</v>
      </c>
      <c r="G1114">
        <v>0.1</v>
      </c>
      <c r="H1114">
        <v>99000</v>
      </c>
      <c r="I1114">
        <v>9802.7199999999993</v>
      </c>
      <c r="J1114" t="s">
        <v>65</v>
      </c>
      <c r="K1114" t="s">
        <v>40</v>
      </c>
      <c r="L1114">
        <v>49500</v>
      </c>
      <c r="M1114">
        <v>9.9017373737373742</v>
      </c>
      <c r="N1114" t="s">
        <v>8</v>
      </c>
      <c r="O1114" t="s">
        <v>626</v>
      </c>
      <c r="P1114" t="s">
        <v>29</v>
      </c>
      <c r="Q1114" t="s">
        <v>30</v>
      </c>
      <c r="R1114" t="s">
        <v>53</v>
      </c>
      <c r="S1114" t="s">
        <v>54</v>
      </c>
      <c r="T1114" t="s">
        <v>627</v>
      </c>
      <c r="U1114" t="s">
        <v>105</v>
      </c>
      <c r="V1114">
        <v>4901.3599999999997</v>
      </c>
    </row>
    <row r="1115" spans="1:22" x14ac:dyDescent="0.3">
      <c r="A1115" t="s">
        <v>2388</v>
      </c>
      <c r="B1115" s="2">
        <v>46141</v>
      </c>
      <c r="C1115" t="s">
        <v>221</v>
      </c>
      <c r="D1115" t="s">
        <v>49</v>
      </c>
      <c r="E1115" t="s">
        <v>50</v>
      </c>
      <c r="F1115">
        <v>4</v>
      </c>
      <c r="G1115">
        <v>0.15</v>
      </c>
      <c r="H1115">
        <v>44200</v>
      </c>
      <c r="I1115">
        <v>6984.75</v>
      </c>
      <c r="J1115" t="s">
        <v>26</v>
      </c>
      <c r="K1115" t="s">
        <v>40</v>
      </c>
      <c r="L1115">
        <v>11050</v>
      </c>
      <c r="M1115">
        <v>15.80260180995475</v>
      </c>
      <c r="N1115" t="s">
        <v>8</v>
      </c>
      <c r="O1115" t="s">
        <v>222</v>
      </c>
      <c r="P1115" t="s">
        <v>29</v>
      </c>
      <c r="Q1115" t="s">
        <v>30</v>
      </c>
      <c r="R1115" t="s">
        <v>53</v>
      </c>
      <c r="S1115" t="s">
        <v>54</v>
      </c>
      <c r="T1115" t="s">
        <v>223</v>
      </c>
      <c r="U1115" t="s">
        <v>100</v>
      </c>
      <c r="V1115">
        <v>1746.1875</v>
      </c>
    </row>
    <row r="1116" spans="1:22" x14ac:dyDescent="0.3">
      <c r="A1116" t="s">
        <v>2389</v>
      </c>
      <c r="B1116" s="2">
        <v>45852</v>
      </c>
      <c r="C1116" t="s">
        <v>818</v>
      </c>
      <c r="D1116" t="s">
        <v>24</v>
      </c>
      <c r="E1116" t="s">
        <v>242</v>
      </c>
      <c r="F1116">
        <v>2</v>
      </c>
      <c r="G1116">
        <v>0</v>
      </c>
      <c r="H1116">
        <v>900</v>
      </c>
      <c r="I1116">
        <v>220</v>
      </c>
      <c r="J1116" t="s">
        <v>51</v>
      </c>
      <c r="K1116" t="s">
        <v>40</v>
      </c>
      <c r="L1116">
        <v>450</v>
      </c>
      <c r="M1116">
        <v>24.444444444444439</v>
      </c>
      <c r="N1116" t="s">
        <v>8</v>
      </c>
      <c r="O1116" t="s">
        <v>209</v>
      </c>
      <c r="P1116" t="s">
        <v>29</v>
      </c>
      <c r="Q1116" t="s">
        <v>42</v>
      </c>
      <c r="R1116" t="s">
        <v>110</v>
      </c>
      <c r="S1116" t="s">
        <v>111</v>
      </c>
      <c r="T1116" t="s">
        <v>162</v>
      </c>
      <c r="U1116" t="s">
        <v>105</v>
      </c>
      <c r="V1116">
        <v>110</v>
      </c>
    </row>
    <row r="1117" spans="1:22" x14ac:dyDescent="0.3">
      <c r="A1117" t="s">
        <v>2390</v>
      </c>
      <c r="B1117" s="2">
        <v>46258</v>
      </c>
      <c r="C1117" t="s">
        <v>1694</v>
      </c>
      <c r="D1117" t="s">
        <v>70</v>
      </c>
      <c r="E1117" t="s">
        <v>108</v>
      </c>
      <c r="F1117">
        <v>5</v>
      </c>
      <c r="G1117">
        <v>0.1</v>
      </c>
      <c r="H1117">
        <v>20250</v>
      </c>
      <c r="I1117">
        <v>6345.6</v>
      </c>
      <c r="J1117" t="s">
        <v>39</v>
      </c>
      <c r="K1117" t="s">
        <v>40</v>
      </c>
      <c r="L1117">
        <v>4050</v>
      </c>
      <c r="M1117">
        <v>31.3362962962963</v>
      </c>
      <c r="N1117" t="s">
        <v>8</v>
      </c>
      <c r="O1117" t="s">
        <v>1695</v>
      </c>
      <c r="P1117" t="s">
        <v>73</v>
      </c>
      <c r="Q1117" t="s">
        <v>30</v>
      </c>
      <c r="R1117" t="s">
        <v>60</v>
      </c>
      <c r="S1117" t="s">
        <v>61</v>
      </c>
      <c r="T1117" t="s">
        <v>1696</v>
      </c>
      <c r="U1117" t="s">
        <v>100</v>
      </c>
      <c r="V1117">
        <v>1269.1199999999999</v>
      </c>
    </row>
    <row r="1118" spans="1:22" x14ac:dyDescent="0.3">
      <c r="A1118" t="s">
        <v>2391</v>
      </c>
      <c r="B1118" s="2">
        <v>46006</v>
      </c>
      <c r="C1118" t="s">
        <v>1060</v>
      </c>
      <c r="D1118" t="s">
        <v>37</v>
      </c>
      <c r="E1118" t="s">
        <v>190</v>
      </c>
      <c r="F1118">
        <v>2</v>
      </c>
      <c r="G1118">
        <v>0.05</v>
      </c>
      <c r="H1118">
        <v>7980</v>
      </c>
      <c r="I1118">
        <v>2159.86</v>
      </c>
      <c r="J1118" t="s">
        <v>26</v>
      </c>
      <c r="K1118" t="s">
        <v>40</v>
      </c>
      <c r="L1118">
        <v>3990</v>
      </c>
      <c r="M1118">
        <v>27.065914786967419</v>
      </c>
      <c r="N1118" t="s">
        <v>8</v>
      </c>
      <c r="O1118" t="s">
        <v>1061</v>
      </c>
      <c r="P1118" t="s">
        <v>73</v>
      </c>
      <c r="Q1118" t="s">
        <v>30</v>
      </c>
      <c r="R1118" t="s">
        <v>31</v>
      </c>
      <c r="S1118" t="s">
        <v>32</v>
      </c>
      <c r="T1118" t="s">
        <v>1062</v>
      </c>
      <c r="U1118" t="s">
        <v>46</v>
      </c>
      <c r="V1118">
        <v>1079.93</v>
      </c>
    </row>
    <row r="1119" spans="1:22" x14ac:dyDescent="0.3">
      <c r="A1119" t="s">
        <v>2392</v>
      </c>
      <c r="B1119" s="2">
        <v>46109</v>
      </c>
      <c r="C1119" t="s">
        <v>1367</v>
      </c>
      <c r="D1119" t="s">
        <v>70</v>
      </c>
      <c r="E1119" t="s">
        <v>108</v>
      </c>
      <c r="F1119">
        <v>2</v>
      </c>
      <c r="G1119">
        <v>0.2</v>
      </c>
      <c r="H1119">
        <v>7200</v>
      </c>
      <c r="I1119">
        <v>1701.56</v>
      </c>
      <c r="J1119" t="s">
        <v>65</v>
      </c>
      <c r="K1119" t="s">
        <v>40</v>
      </c>
      <c r="L1119">
        <v>3600</v>
      </c>
      <c r="M1119">
        <v>23.632777777777779</v>
      </c>
      <c r="N1119" t="s">
        <v>8</v>
      </c>
      <c r="O1119" t="s">
        <v>1329</v>
      </c>
      <c r="P1119" t="s">
        <v>29</v>
      </c>
      <c r="Q1119" t="s">
        <v>131</v>
      </c>
      <c r="R1119" t="s">
        <v>132</v>
      </c>
      <c r="S1119" t="s">
        <v>133</v>
      </c>
      <c r="T1119" t="s">
        <v>1368</v>
      </c>
      <c r="U1119" t="s">
        <v>34</v>
      </c>
      <c r="V1119">
        <v>850.78</v>
      </c>
    </row>
    <row r="1120" spans="1:22" x14ac:dyDescent="0.3">
      <c r="A1120" t="s">
        <v>2393</v>
      </c>
      <c r="B1120" s="2">
        <v>46028</v>
      </c>
      <c r="C1120" t="s">
        <v>1148</v>
      </c>
      <c r="D1120" t="s">
        <v>70</v>
      </c>
      <c r="E1120" t="s">
        <v>129</v>
      </c>
      <c r="F1120">
        <v>2</v>
      </c>
      <c r="G1120">
        <v>0.15</v>
      </c>
      <c r="H1120">
        <v>93500</v>
      </c>
      <c r="I1120">
        <v>-20661.189999999999</v>
      </c>
      <c r="J1120" t="s">
        <v>26</v>
      </c>
      <c r="K1120" t="s">
        <v>434</v>
      </c>
      <c r="L1120">
        <v>46750</v>
      </c>
      <c r="M1120">
        <v>-22.0975294117647</v>
      </c>
      <c r="N1120" t="s">
        <v>81</v>
      </c>
      <c r="O1120" t="s">
        <v>302</v>
      </c>
      <c r="P1120" t="s">
        <v>73</v>
      </c>
      <c r="Q1120" t="s">
        <v>42</v>
      </c>
      <c r="R1120" t="s">
        <v>214</v>
      </c>
      <c r="S1120" t="s">
        <v>111</v>
      </c>
      <c r="T1120" t="s">
        <v>1149</v>
      </c>
      <c r="U1120" t="s">
        <v>34</v>
      </c>
      <c r="V1120">
        <v>-10330.594999999999</v>
      </c>
    </row>
    <row r="1121" spans="1:22" x14ac:dyDescent="0.3">
      <c r="A1121" t="s">
        <v>2394</v>
      </c>
      <c r="B1121" s="2">
        <v>46002</v>
      </c>
      <c r="C1121" t="s">
        <v>1610</v>
      </c>
      <c r="D1121" t="s">
        <v>37</v>
      </c>
      <c r="E1121" t="s">
        <v>170</v>
      </c>
      <c r="F1121">
        <v>1</v>
      </c>
      <c r="G1121">
        <v>0.05</v>
      </c>
      <c r="H1121">
        <v>1330</v>
      </c>
      <c r="I1121">
        <v>449.37</v>
      </c>
      <c r="J1121" t="s">
        <v>26</v>
      </c>
      <c r="K1121" t="s">
        <v>40</v>
      </c>
      <c r="L1121">
        <v>1330</v>
      </c>
      <c r="M1121">
        <v>33.78721804511278</v>
      </c>
      <c r="N1121" t="s">
        <v>8</v>
      </c>
      <c r="O1121" t="s">
        <v>1611</v>
      </c>
      <c r="P1121" t="s">
        <v>29</v>
      </c>
      <c r="Q1121" t="s">
        <v>131</v>
      </c>
      <c r="R1121" t="s">
        <v>289</v>
      </c>
      <c r="S1121" t="s">
        <v>290</v>
      </c>
      <c r="T1121" t="s">
        <v>1612</v>
      </c>
      <c r="U1121" t="s">
        <v>100</v>
      </c>
      <c r="V1121">
        <v>449.37</v>
      </c>
    </row>
    <row r="1122" spans="1:22" x14ac:dyDescent="0.3">
      <c r="A1122" t="s">
        <v>2395</v>
      </c>
      <c r="B1122" s="2">
        <v>45940</v>
      </c>
      <c r="C1122" t="s">
        <v>2396</v>
      </c>
      <c r="D1122" t="s">
        <v>37</v>
      </c>
      <c r="E1122" t="s">
        <v>170</v>
      </c>
      <c r="F1122">
        <v>1</v>
      </c>
      <c r="G1122">
        <v>0.2</v>
      </c>
      <c r="H1122">
        <v>1120</v>
      </c>
      <c r="I1122">
        <v>369.82</v>
      </c>
      <c r="J1122" t="s">
        <v>26</v>
      </c>
      <c r="K1122" t="s">
        <v>40</v>
      </c>
      <c r="L1122">
        <v>1120</v>
      </c>
      <c r="M1122">
        <v>33.019642857142863</v>
      </c>
      <c r="N1122" t="s">
        <v>8</v>
      </c>
      <c r="O1122" t="s">
        <v>2397</v>
      </c>
      <c r="P1122" t="s">
        <v>73</v>
      </c>
      <c r="Q1122" t="s">
        <v>131</v>
      </c>
      <c r="R1122" t="s">
        <v>132</v>
      </c>
      <c r="S1122" t="s">
        <v>133</v>
      </c>
      <c r="T1122" t="s">
        <v>2398</v>
      </c>
      <c r="U1122" t="s">
        <v>34</v>
      </c>
      <c r="V1122">
        <v>369.82</v>
      </c>
    </row>
    <row r="1123" spans="1:22" x14ac:dyDescent="0.3">
      <c r="A1123" t="s">
        <v>2399</v>
      </c>
      <c r="B1123" s="2">
        <v>45909</v>
      </c>
      <c r="C1123" t="s">
        <v>1791</v>
      </c>
      <c r="D1123" t="s">
        <v>70</v>
      </c>
      <c r="E1123" t="s">
        <v>71</v>
      </c>
      <c r="F1123">
        <v>6</v>
      </c>
      <c r="G1123">
        <v>0</v>
      </c>
      <c r="H1123">
        <v>108000</v>
      </c>
      <c r="I1123">
        <v>21000</v>
      </c>
      <c r="J1123" t="s">
        <v>39</v>
      </c>
      <c r="K1123" t="s">
        <v>40</v>
      </c>
      <c r="L1123">
        <v>18000</v>
      </c>
      <c r="M1123">
        <v>19.44444444444445</v>
      </c>
      <c r="N1123" t="s">
        <v>8</v>
      </c>
      <c r="O1123" t="s">
        <v>851</v>
      </c>
      <c r="P1123" t="s">
        <v>83</v>
      </c>
      <c r="Q1123" t="s">
        <v>30</v>
      </c>
      <c r="R1123" t="s">
        <v>60</v>
      </c>
      <c r="S1123" t="s">
        <v>61</v>
      </c>
      <c r="T1123" t="s">
        <v>1792</v>
      </c>
      <c r="U1123" t="s">
        <v>105</v>
      </c>
      <c r="V1123">
        <v>3500</v>
      </c>
    </row>
    <row r="1124" spans="1:22" x14ac:dyDescent="0.3">
      <c r="A1124" t="s">
        <v>2400</v>
      </c>
      <c r="B1124" s="2">
        <v>46008</v>
      </c>
      <c r="C1124" t="s">
        <v>958</v>
      </c>
      <c r="D1124" t="s">
        <v>49</v>
      </c>
      <c r="E1124" t="s">
        <v>58</v>
      </c>
      <c r="F1124">
        <v>3</v>
      </c>
      <c r="G1124">
        <v>0.1</v>
      </c>
      <c r="H1124">
        <v>40500</v>
      </c>
      <c r="I1124">
        <v>-19455.04</v>
      </c>
      <c r="J1124" t="s">
        <v>26</v>
      </c>
      <c r="K1124" t="s">
        <v>434</v>
      </c>
      <c r="L1124">
        <v>13500</v>
      </c>
      <c r="M1124">
        <v>-48.037135802469138</v>
      </c>
      <c r="N1124" t="s">
        <v>81</v>
      </c>
      <c r="O1124" t="s">
        <v>959</v>
      </c>
      <c r="P1124" t="s">
        <v>73</v>
      </c>
      <c r="Q1124" t="s">
        <v>42</v>
      </c>
      <c r="R1124" t="s">
        <v>43</v>
      </c>
      <c r="S1124" t="s">
        <v>44</v>
      </c>
      <c r="T1124" t="s">
        <v>960</v>
      </c>
      <c r="U1124" t="s">
        <v>34</v>
      </c>
      <c r="V1124">
        <v>-6485.0133333333333</v>
      </c>
    </row>
    <row r="1125" spans="1:22" x14ac:dyDescent="0.3">
      <c r="A1125" t="s">
        <v>2401</v>
      </c>
      <c r="B1125" s="2">
        <v>46057</v>
      </c>
      <c r="C1125" t="s">
        <v>351</v>
      </c>
      <c r="D1125" t="s">
        <v>70</v>
      </c>
      <c r="E1125" t="s">
        <v>129</v>
      </c>
      <c r="F1125">
        <v>2</v>
      </c>
      <c r="G1125">
        <v>0.1</v>
      </c>
      <c r="H1125">
        <v>99000</v>
      </c>
      <c r="I1125">
        <v>10320.23</v>
      </c>
      <c r="J1125" t="s">
        <v>39</v>
      </c>
      <c r="K1125" t="s">
        <v>40</v>
      </c>
      <c r="L1125">
        <v>49500</v>
      </c>
      <c r="M1125">
        <v>10.424474747474751</v>
      </c>
      <c r="N1125" t="s">
        <v>8</v>
      </c>
      <c r="O1125" t="s">
        <v>352</v>
      </c>
      <c r="P1125" t="s">
        <v>73</v>
      </c>
      <c r="Q1125" t="s">
        <v>30</v>
      </c>
      <c r="R1125" t="s">
        <v>31</v>
      </c>
      <c r="S1125" t="s">
        <v>32</v>
      </c>
      <c r="T1125" t="s">
        <v>338</v>
      </c>
      <c r="U1125" t="s">
        <v>100</v>
      </c>
      <c r="V1125">
        <v>5160.1149999999998</v>
      </c>
    </row>
    <row r="1126" spans="1:22" x14ac:dyDescent="0.3">
      <c r="A1126" t="s">
        <v>2402</v>
      </c>
      <c r="B1126" s="2">
        <v>46116</v>
      </c>
      <c r="C1126" t="s">
        <v>1594</v>
      </c>
      <c r="D1126" t="s">
        <v>37</v>
      </c>
      <c r="E1126" t="s">
        <v>170</v>
      </c>
      <c r="F1126">
        <v>3</v>
      </c>
      <c r="G1126">
        <v>0</v>
      </c>
      <c r="H1126">
        <v>4200</v>
      </c>
      <c r="I1126">
        <v>-752.06</v>
      </c>
      <c r="J1126" t="s">
        <v>51</v>
      </c>
      <c r="K1126" t="s">
        <v>434</v>
      </c>
      <c r="L1126">
        <v>1400</v>
      </c>
      <c r="M1126">
        <v>-17.906190476190471</v>
      </c>
      <c r="N1126" t="s">
        <v>81</v>
      </c>
      <c r="O1126" t="s">
        <v>523</v>
      </c>
      <c r="P1126" t="s">
        <v>83</v>
      </c>
      <c r="Q1126" t="s">
        <v>30</v>
      </c>
      <c r="R1126" t="s">
        <v>31</v>
      </c>
      <c r="S1126" t="s">
        <v>32</v>
      </c>
      <c r="T1126" t="s">
        <v>767</v>
      </c>
      <c r="U1126" t="s">
        <v>105</v>
      </c>
      <c r="V1126">
        <v>-250.68666666666661</v>
      </c>
    </row>
    <row r="1127" spans="1:22" x14ac:dyDescent="0.3">
      <c r="A1127" t="s">
        <v>2403</v>
      </c>
      <c r="B1127" s="2">
        <v>45870</v>
      </c>
      <c r="C1127" t="s">
        <v>2278</v>
      </c>
      <c r="D1127" t="s">
        <v>70</v>
      </c>
      <c r="E1127" t="s">
        <v>165</v>
      </c>
      <c r="F1127">
        <v>1</v>
      </c>
      <c r="G1127">
        <v>0</v>
      </c>
      <c r="H1127">
        <v>2500</v>
      </c>
      <c r="I1127">
        <v>800</v>
      </c>
      <c r="J1127" t="s">
        <v>26</v>
      </c>
      <c r="K1127" t="s">
        <v>40</v>
      </c>
      <c r="L1127">
        <v>2500</v>
      </c>
      <c r="M1127">
        <v>32</v>
      </c>
      <c r="N1127" t="s">
        <v>8</v>
      </c>
      <c r="O1127" t="s">
        <v>470</v>
      </c>
      <c r="P1127" t="s">
        <v>29</v>
      </c>
      <c r="Q1127" t="s">
        <v>30</v>
      </c>
      <c r="R1127" t="s">
        <v>98</v>
      </c>
      <c r="S1127" t="s">
        <v>54</v>
      </c>
      <c r="T1127" t="s">
        <v>2279</v>
      </c>
      <c r="U1127" t="s">
        <v>105</v>
      </c>
      <c r="V1127">
        <v>800</v>
      </c>
    </row>
    <row r="1128" spans="1:22" x14ac:dyDescent="0.3">
      <c r="A1128" t="s">
        <v>2404</v>
      </c>
      <c r="B1128" s="2">
        <v>46147</v>
      </c>
      <c r="C1128" t="s">
        <v>332</v>
      </c>
      <c r="D1128" t="s">
        <v>70</v>
      </c>
      <c r="E1128" t="s">
        <v>108</v>
      </c>
      <c r="F1128">
        <v>2</v>
      </c>
      <c r="G1128">
        <v>0.1</v>
      </c>
      <c r="H1128">
        <v>8100</v>
      </c>
      <c r="I1128">
        <v>2375.3200000000002</v>
      </c>
      <c r="J1128" t="s">
        <v>26</v>
      </c>
      <c r="K1128" t="s">
        <v>40</v>
      </c>
      <c r="L1128">
        <v>4050</v>
      </c>
      <c r="M1128">
        <v>29.324938271604939</v>
      </c>
      <c r="N1128" t="s">
        <v>8</v>
      </c>
      <c r="O1128" t="s">
        <v>333</v>
      </c>
      <c r="P1128" t="s">
        <v>29</v>
      </c>
      <c r="Q1128" t="s">
        <v>42</v>
      </c>
      <c r="R1128" t="s">
        <v>121</v>
      </c>
      <c r="S1128" t="s">
        <v>44</v>
      </c>
      <c r="T1128" t="s">
        <v>334</v>
      </c>
      <c r="U1128" t="s">
        <v>100</v>
      </c>
      <c r="V1128">
        <v>1187.6600000000001</v>
      </c>
    </row>
    <row r="1129" spans="1:22" x14ac:dyDescent="0.3">
      <c r="A1129" t="s">
        <v>2405</v>
      </c>
      <c r="B1129" s="2">
        <v>45909</v>
      </c>
      <c r="C1129" t="s">
        <v>1597</v>
      </c>
      <c r="D1129" t="s">
        <v>49</v>
      </c>
      <c r="E1129" t="s">
        <v>79</v>
      </c>
      <c r="F1129">
        <v>2</v>
      </c>
      <c r="G1129">
        <v>0.05</v>
      </c>
      <c r="H1129">
        <v>20900</v>
      </c>
      <c r="I1129">
        <v>4580.09</v>
      </c>
      <c r="J1129" t="s">
        <v>51</v>
      </c>
      <c r="K1129" t="s">
        <v>27</v>
      </c>
      <c r="L1129">
        <v>10450</v>
      </c>
      <c r="M1129">
        <v>21.9143062200957</v>
      </c>
      <c r="N1129" t="s">
        <v>8</v>
      </c>
      <c r="O1129" t="s">
        <v>1383</v>
      </c>
      <c r="P1129" t="s">
        <v>29</v>
      </c>
      <c r="Q1129" t="s">
        <v>42</v>
      </c>
      <c r="R1129" t="s">
        <v>43</v>
      </c>
      <c r="S1129" t="s">
        <v>44</v>
      </c>
      <c r="T1129" t="s">
        <v>407</v>
      </c>
      <c r="U1129" t="s">
        <v>46</v>
      </c>
      <c r="V1129">
        <v>2290.0450000000001</v>
      </c>
    </row>
    <row r="1130" spans="1:22" x14ac:dyDescent="0.3">
      <c r="A1130" t="s">
        <v>2406</v>
      </c>
      <c r="B1130" s="2">
        <v>46223</v>
      </c>
      <c r="C1130" t="s">
        <v>148</v>
      </c>
      <c r="D1130" t="s">
        <v>49</v>
      </c>
      <c r="E1130" t="s">
        <v>58</v>
      </c>
      <c r="F1130">
        <v>5</v>
      </c>
      <c r="G1130">
        <v>0.05</v>
      </c>
      <c r="H1130">
        <v>71250</v>
      </c>
      <c r="I1130">
        <v>15154.15</v>
      </c>
      <c r="J1130" t="s">
        <v>26</v>
      </c>
      <c r="K1130" t="s">
        <v>40</v>
      </c>
      <c r="L1130">
        <v>14250</v>
      </c>
      <c r="M1130">
        <v>21.26898245614035</v>
      </c>
      <c r="N1130" t="s">
        <v>8</v>
      </c>
      <c r="O1130" t="s">
        <v>149</v>
      </c>
      <c r="P1130" t="s">
        <v>29</v>
      </c>
      <c r="Q1130" t="s">
        <v>30</v>
      </c>
      <c r="R1130" t="s">
        <v>60</v>
      </c>
      <c r="S1130" t="s">
        <v>61</v>
      </c>
      <c r="T1130" t="s">
        <v>150</v>
      </c>
      <c r="U1130" t="s">
        <v>105</v>
      </c>
      <c r="V1130">
        <v>3030.83</v>
      </c>
    </row>
    <row r="1131" spans="1:22" x14ac:dyDescent="0.3">
      <c r="A1131" t="s">
        <v>2407</v>
      </c>
      <c r="B1131" s="2">
        <v>46123</v>
      </c>
      <c r="C1131" t="s">
        <v>1289</v>
      </c>
      <c r="D1131" t="s">
        <v>70</v>
      </c>
      <c r="E1131" t="s">
        <v>108</v>
      </c>
      <c r="F1131">
        <v>3</v>
      </c>
      <c r="G1131">
        <v>0</v>
      </c>
      <c r="H1131">
        <v>13500</v>
      </c>
      <c r="I1131">
        <v>4500</v>
      </c>
      <c r="J1131" t="s">
        <v>51</v>
      </c>
      <c r="K1131" t="s">
        <v>40</v>
      </c>
      <c r="L1131">
        <v>4500</v>
      </c>
      <c r="M1131">
        <v>33.333333333333329</v>
      </c>
      <c r="N1131" t="s">
        <v>8</v>
      </c>
      <c r="O1131" t="s">
        <v>879</v>
      </c>
      <c r="P1131" t="s">
        <v>83</v>
      </c>
      <c r="Q1131" t="s">
        <v>30</v>
      </c>
      <c r="R1131" t="s">
        <v>493</v>
      </c>
      <c r="S1131" t="s">
        <v>494</v>
      </c>
      <c r="T1131" t="s">
        <v>1290</v>
      </c>
      <c r="U1131" t="s">
        <v>34</v>
      </c>
      <c r="V1131">
        <v>1500</v>
      </c>
    </row>
    <row r="1132" spans="1:22" x14ac:dyDescent="0.3">
      <c r="A1132" t="s">
        <v>2408</v>
      </c>
      <c r="B1132" s="2">
        <v>46146</v>
      </c>
      <c r="C1132" t="s">
        <v>1618</v>
      </c>
      <c r="D1132" t="s">
        <v>24</v>
      </c>
      <c r="E1132" t="s">
        <v>25</v>
      </c>
      <c r="F1132">
        <v>2</v>
      </c>
      <c r="G1132">
        <v>0.05</v>
      </c>
      <c r="H1132">
        <v>26600</v>
      </c>
      <c r="I1132">
        <v>4761.28</v>
      </c>
      <c r="J1132" t="s">
        <v>39</v>
      </c>
      <c r="K1132" t="s">
        <v>40</v>
      </c>
      <c r="L1132">
        <v>13300</v>
      </c>
      <c r="M1132">
        <v>17.89954887218045</v>
      </c>
      <c r="N1132" t="s">
        <v>8</v>
      </c>
      <c r="O1132" t="s">
        <v>847</v>
      </c>
      <c r="P1132" t="s">
        <v>29</v>
      </c>
      <c r="Q1132" t="s">
        <v>42</v>
      </c>
      <c r="R1132" t="s">
        <v>214</v>
      </c>
      <c r="S1132" t="s">
        <v>111</v>
      </c>
      <c r="T1132" t="s">
        <v>1619</v>
      </c>
      <c r="U1132" t="s">
        <v>46</v>
      </c>
      <c r="V1132">
        <v>2380.64</v>
      </c>
    </row>
    <row r="1133" spans="1:22" x14ac:dyDescent="0.3">
      <c r="A1133" t="s">
        <v>2409</v>
      </c>
      <c r="B1133" s="2">
        <v>45960</v>
      </c>
      <c r="C1133" t="s">
        <v>1293</v>
      </c>
      <c r="D1133" t="s">
        <v>37</v>
      </c>
      <c r="E1133" t="s">
        <v>38</v>
      </c>
      <c r="F1133">
        <v>2</v>
      </c>
      <c r="G1133">
        <v>0.1</v>
      </c>
      <c r="H1133">
        <v>3240</v>
      </c>
      <c r="I1133">
        <v>1039.3499999999999</v>
      </c>
      <c r="J1133" t="s">
        <v>65</v>
      </c>
      <c r="K1133" t="s">
        <v>40</v>
      </c>
      <c r="L1133">
        <v>1620</v>
      </c>
      <c r="M1133">
        <v>32.078703703703702</v>
      </c>
      <c r="N1133" t="s">
        <v>8</v>
      </c>
      <c r="O1133" t="s">
        <v>1294</v>
      </c>
      <c r="P1133" t="s">
        <v>83</v>
      </c>
      <c r="Q1133" t="s">
        <v>74</v>
      </c>
      <c r="R1133" t="s">
        <v>115</v>
      </c>
      <c r="S1133" t="s">
        <v>115</v>
      </c>
      <c r="T1133" t="s">
        <v>1295</v>
      </c>
      <c r="U1133" t="s">
        <v>46</v>
      </c>
      <c r="V1133">
        <v>519.67499999999995</v>
      </c>
    </row>
    <row r="1134" spans="1:22" x14ac:dyDescent="0.3">
      <c r="A1134" t="s">
        <v>2410</v>
      </c>
      <c r="B1134" s="2">
        <v>46255</v>
      </c>
      <c r="C1134" t="s">
        <v>457</v>
      </c>
      <c r="D1134" t="s">
        <v>49</v>
      </c>
      <c r="E1134" t="s">
        <v>50</v>
      </c>
      <c r="F1134">
        <v>1</v>
      </c>
      <c r="G1134">
        <v>0.05</v>
      </c>
      <c r="H1134">
        <v>12350</v>
      </c>
      <c r="I1134">
        <v>-1945.74</v>
      </c>
      <c r="J1134" t="s">
        <v>39</v>
      </c>
      <c r="K1134" t="s">
        <v>80</v>
      </c>
      <c r="L1134">
        <v>12350</v>
      </c>
      <c r="M1134">
        <v>-15.754979757085019</v>
      </c>
      <c r="N1134" t="s">
        <v>81</v>
      </c>
      <c r="O1134" t="s">
        <v>458</v>
      </c>
      <c r="P1134" t="s">
        <v>73</v>
      </c>
      <c r="Q1134" t="s">
        <v>30</v>
      </c>
      <c r="R1134" t="s">
        <v>60</v>
      </c>
      <c r="S1134" t="s">
        <v>61</v>
      </c>
      <c r="T1134" t="s">
        <v>459</v>
      </c>
      <c r="U1134" t="s">
        <v>34</v>
      </c>
      <c r="V1134">
        <v>-1945.74</v>
      </c>
    </row>
    <row r="1135" spans="1:22" x14ac:dyDescent="0.3">
      <c r="A1135" t="s">
        <v>2411</v>
      </c>
      <c r="B1135" s="2">
        <v>45988</v>
      </c>
      <c r="C1135" t="s">
        <v>700</v>
      </c>
      <c r="D1135" t="s">
        <v>49</v>
      </c>
      <c r="E1135" t="s">
        <v>119</v>
      </c>
      <c r="F1135">
        <v>5</v>
      </c>
      <c r="G1135">
        <v>0.1</v>
      </c>
      <c r="H1135">
        <v>40500</v>
      </c>
      <c r="I1135">
        <v>9416.85</v>
      </c>
      <c r="J1135" t="s">
        <v>65</v>
      </c>
      <c r="K1135" t="s">
        <v>40</v>
      </c>
      <c r="L1135">
        <v>8100</v>
      </c>
      <c r="M1135">
        <v>23.251481481481481</v>
      </c>
      <c r="N1135" t="s">
        <v>8</v>
      </c>
      <c r="O1135" t="s">
        <v>701</v>
      </c>
      <c r="P1135" t="s">
        <v>29</v>
      </c>
      <c r="Q1135" t="s">
        <v>30</v>
      </c>
      <c r="R1135" t="s">
        <v>60</v>
      </c>
      <c r="S1135" t="s">
        <v>61</v>
      </c>
      <c r="T1135" t="s">
        <v>702</v>
      </c>
      <c r="U1135" t="s">
        <v>34</v>
      </c>
      <c r="V1135">
        <v>1883.37</v>
      </c>
    </row>
    <row r="1136" spans="1:22" x14ac:dyDescent="0.3">
      <c r="A1136" t="s">
        <v>2412</v>
      </c>
      <c r="B1136" s="2">
        <v>45983</v>
      </c>
      <c r="C1136" t="s">
        <v>1433</v>
      </c>
      <c r="D1136" t="s">
        <v>70</v>
      </c>
      <c r="E1136" t="s">
        <v>129</v>
      </c>
      <c r="F1136">
        <v>1</v>
      </c>
      <c r="G1136">
        <v>0.15</v>
      </c>
      <c r="H1136">
        <v>46750</v>
      </c>
      <c r="I1136">
        <v>5070.8900000000003</v>
      </c>
      <c r="J1136" t="s">
        <v>51</v>
      </c>
      <c r="K1136" t="s">
        <v>40</v>
      </c>
      <c r="L1136">
        <v>46750</v>
      </c>
      <c r="M1136">
        <v>10.84682352941177</v>
      </c>
      <c r="N1136" t="s">
        <v>8</v>
      </c>
      <c r="O1136" t="s">
        <v>318</v>
      </c>
      <c r="P1136" t="s">
        <v>73</v>
      </c>
      <c r="Q1136" t="s">
        <v>30</v>
      </c>
      <c r="R1136" t="s">
        <v>53</v>
      </c>
      <c r="S1136" t="s">
        <v>54</v>
      </c>
      <c r="T1136" t="s">
        <v>1434</v>
      </c>
      <c r="U1136" t="s">
        <v>34</v>
      </c>
      <c r="V1136">
        <v>5070.8900000000003</v>
      </c>
    </row>
    <row r="1137" spans="1:22" x14ac:dyDescent="0.3">
      <c r="A1137" t="s">
        <v>2413</v>
      </c>
      <c r="B1137" s="2">
        <v>45910</v>
      </c>
      <c r="C1137" t="s">
        <v>897</v>
      </c>
      <c r="D1137" t="s">
        <v>37</v>
      </c>
      <c r="E1137" t="s">
        <v>190</v>
      </c>
      <c r="F1137">
        <v>5</v>
      </c>
      <c r="G1137">
        <v>0.15</v>
      </c>
      <c r="H1137">
        <v>17850</v>
      </c>
      <c r="I1137">
        <v>3909.34</v>
      </c>
      <c r="J1137" t="s">
        <v>51</v>
      </c>
      <c r="K1137" t="s">
        <v>40</v>
      </c>
      <c r="L1137">
        <v>3570</v>
      </c>
      <c r="M1137">
        <v>21.901064425770311</v>
      </c>
      <c r="N1137" t="s">
        <v>8</v>
      </c>
      <c r="O1137" t="s">
        <v>607</v>
      </c>
      <c r="P1137" t="s">
        <v>73</v>
      </c>
      <c r="Q1137" t="s">
        <v>30</v>
      </c>
      <c r="R1137" t="s">
        <v>31</v>
      </c>
      <c r="S1137" t="s">
        <v>32</v>
      </c>
      <c r="T1137" t="s">
        <v>898</v>
      </c>
      <c r="U1137" t="s">
        <v>34</v>
      </c>
      <c r="V1137">
        <v>781.86800000000005</v>
      </c>
    </row>
    <row r="1138" spans="1:22" x14ac:dyDescent="0.3">
      <c r="A1138" t="s">
        <v>2414</v>
      </c>
      <c r="B1138" s="2">
        <v>46031</v>
      </c>
      <c r="C1138" t="s">
        <v>2415</v>
      </c>
      <c r="D1138" t="s">
        <v>49</v>
      </c>
      <c r="E1138" t="s">
        <v>119</v>
      </c>
      <c r="F1138">
        <v>5</v>
      </c>
      <c r="G1138">
        <v>0</v>
      </c>
      <c r="H1138">
        <v>45000</v>
      </c>
      <c r="I1138">
        <v>11500</v>
      </c>
      <c r="J1138" t="s">
        <v>51</v>
      </c>
      <c r="K1138" t="s">
        <v>40</v>
      </c>
      <c r="L1138">
        <v>9000</v>
      </c>
      <c r="M1138">
        <v>25.55555555555555</v>
      </c>
      <c r="N1138" t="s">
        <v>8</v>
      </c>
      <c r="O1138" t="s">
        <v>1098</v>
      </c>
      <c r="P1138" t="s">
        <v>29</v>
      </c>
      <c r="Q1138" t="s">
        <v>30</v>
      </c>
      <c r="R1138" t="s">
        <v>53</v>
      </c>
      <c r="S1138" t="s">
        <v>54</v>
      </c>
      <c r="T1138" t="s">
        <v>2416</v>
      </c>
      <c r="U1138" t="s">
        <v>34</v>
      </c>
      <c r="V1138">
        <v>2300</v>
      </c>
    </row>
    <row r="1139" spans="1:22" x14ac:dyDescent="0.3">
      <c r="A1139" t="s">
        <v>2417</v>
      </c>
      <c r="B1139" s="2">
        <v>46031</v>
      </c>
      <c r="C1139" t="s">
        <v>970</v>
      </c>
      <c r="D1139" t="s">
        <v>70</v>
      </c>
      <c r="E1139" t="s">
        <v>71</v>
      </c>
      <c r="F1139">
        <v>2</v>
      </c>
      <c r="G1139">
        <v>0.1</v>
      </c>
      <c r="H1139">
        <v>32400</v>
      </c>
      <c r="I1139">
        <v>5188.57</v>
      </c>
      <c r="J1139" t="s">
        <v>39</v>
      </c>
      <c r="K1139" t="s">
        <v>40</v>
      </c>
      <c r="L1139">
        <v>16200</v>
      </c>
      <c r="M1139">
        <v>16.014104938271601</v>
      </c>
      <c r="N1139" t="s">
        <v>8</v>
      </c>
      <c r="O1139" t="s">
        <v>971</v>
      </c>
      <c r="P1139" t="s">
        <v>83</v>
      </c>
      <c r="Q1139" t="s">
        <v>30</v>
      </c>
      <c r="R1139" t="s">
        <v>31</v>
      </c>
      <c r="S1139" t="s">
        <v>32</v>
      </c>
      <c r="T1139" t="s">
        <v>972</v>
      </c>
      <c r="U1139" t="s">
        <v>34</v>
      </c>
      <c r="V1139">
        <v>2594.2849999999999</v>
      </c>
    </row>
    <row r="1140" spans="1:22" x14ac:dyDescent="0.3">
      <c r="A1140" t="s">
        <v>2418</v>
      </c>
      <c r="B1140" s="2">
        <v>46205</v>
      </c>
      <c r="C1140" t="s">
        <v>501</v>
      </c>
      <c r="D1140" t="s">
        <v>37</v>
      </c>
      <c r="E1140" t="s">
        <v>38</v>
      </c>
      <c r="F1140">
        <v>1</v>
      </c>
      <c r="G1140">
        <v>0</v>
      </c>
      <c r="H1140">
        <v>1800</v>
      </c>
      <c r="I1140">
        <v>650</v>
      </c>
      <c r="J1140" t="s">
        <v>26</v>
      </c>
      <c r="K1140" t="s">
        <v>40</v>
      </c>
      <c r="L1140">
        <v>1800</v>
      </c>
      <c r="M1140">
        <v>36.111111111111107</v>
      </c>
      <c r="N1140" t="s">
        <v>8</v>
      </c>
      <c r="O1140" t="s">
        <v>502</v>
      </c>
      <c r="P1140" t="s">
        <v>29</v>
      </c>
      <c r="Q1140" t="s">
        <v>30</v>
      </c>
      <c r="R1140" t="s">
        <v>31</v>
      </c>
      <c r="S1140" t="s">
        <v>32</v>
      </c>
      <c r="T1140" t="s">
        <v>503</v>
      </c>
      <c r="U1140" t="s">
        <v>100</v>
      </c>
      <c r="V1140">
        <v>650</v>
      </c>
    </row>
    <row r="1141" spans="1:22" x14ac:dyDescent="0.3">
      <c r="A1141" t="s">
        <v>2419</v>
      </c>
      <c r="B1141" s="2">
        <v>46001</v>
      </c>
      <c r="C1141" t="s">
        <v>438</v>
      </c>
      <c r="D1141" t="s">
        <v>24</v>
      </c>
      <c r="E1141" t="s">
        <v>87</v>
      </c>
      <c r="F1141">
        <v>6</v>
      </c>
      <c r="G1141">
        <v>0</v>
      </c>
      <c r="H1141">
        <v>2100</v>
      </c>
      <c r="I1141">
        <v>720</v>
      </c>
      <c r="J1141" t="s">
        <v>65</v>
      </c>
      <c r="K1141" t="s">
        <v>27</v>
      </c>
      <c r="L1141">
        <v>350</v>
      </c>
      <c r="M1141">
        <v>34.285714285714278</v>
      </c>
      <c r="N1141" t="s">
        <v>8</v>
      </c>
      <c r="O1141" t="s">
        <v>439</v>
      </c>
      <c r="P1141" t="s">
        <v>83</v>
      </c>
      <c r="Q1141" t="s">
        <v>30</v>
      </c>
      <c r="R1141" t="s">
        <v>98</v>
      </c>
      <c r="S1141" t="s">
        <v>54</v>
      </c>
      <c r="T1141" t="s">
        <v>440</v>
      </c>
      <c r="U1141" t="s">
        <v>34</v>
      </c>
      <c r="V1141">
        <v>120</v>
      </c>
    </row>
    <row r="1142" spans="1:22" x14ac:dyDescent="0.3">
      <c r="A1142" t="s">
        <v>2420</v>
      </c>
      <c r="B1142" s="2">
        <v>45957</v>
      </c>
      <c r="C1142" t="s">
        <v>377</v>
      </c>
      <c r="D1142" t="s">
        <v>49</v>
      </c>
      <c r="E1142" t="s">
        <v>58</v>
      </c>
      <c r="F1142">
        <v>15</v>
      </c>
      <c r="G1142">
        <v>0.1</v>
      </c>
      <c r="H1142">
        <v>202500</v>
      </c>
      <c r="I1142">
        <v>-99848.55</v>
      </c>
      <c r="J1142" t="s">
        <v>51</v>
      </c>
      <c r="K1142" t="s">
        <v>434</v>
      </c>
      <c r="L1142">
        <v>13500</v>
      </c>
      <c r="M1142">
        <v>-49.307925925925929</v>
      </c>
      <c r="N1142" t="s">
        <v>81</v>
      </c>
      <c r="O1142" t="s">
        <v>378</v>
      </c>
      <c r="P1142" t="s">
        <v>29</v>
      </c>
      <c r="Q1142" t="s">
        <v>30</v>
      </c>
      <c r="R1142" t="s">
        <v>31</v>
      </c>
      <c r="S1142" t="s">
        <v>32</v>
      </c>
      <c r="T1142" t="s">
        <v>379</v>
      </c>
      <c r="U1142" t="s">
        <v>34</v>
      </c>
      <c r="V1142">
        <v>-6656.5700000000006</v>
      </c>
    </row>
    <row r="1143" spans="1:22" x14ac:dyDescent="0.3">
      <c r="A1143" t="s">
        <v>2421</v>
      </c>
      <c r="B1143" s="2">
        <v>45957</v>
      </c>
      <c r="C1143" t="s">
        <v>1777</v>
      </c>
      <c r="D1143" t="s">
        <v>24</v>
      </c>
      <c r="E1143" t="s">
        <v>87</v>
      </c>
      <c r="F1143">
        <v>1</v>
      </c>
      <c r="G1143">
        <v>0.1</v>
      </c>
      <c r="H1143">
        <v>315</v>
      </c>
      <c r="I1143">
        <v>98.71</v>
      </c>
      <c r="J1143" t="s">
        <v>51</v>
      </c>
      <c r="K1143" t="s">
        <v>27</v>
      </c>
      <c r="L1143">
        <v>315</v>
      </c>
      <c r="M1143">
        <v>31.336507936507939</v>
      </c>
      <c r="N1143" t="s">
        <v>8</v>
      </c>
      <c r="O1143" t="s">
        <v>322</v>
      </c>
      <c r="P1143" t="s">
        <v>83</v>
      </c>
      <c r="Q1143" t="s">
        <v>30</v>
      </c>
      <c r="R1143" t="s">
        <v>31</v>
      </c>
      <c r="S1143" t="s">
        <v>32</v>
      </c>
      <c r="T1143" t="s">
        <v>1778</v>
      </c>
      <c r="U1143" t="s">
        <v>34</v>
      </c>
      <c r="V1143">
        <v>98.71</v>
      </c>
    </row>
    <row r="1144" spans="1:22" x14ac:dyDescent="0.3">
      <c r="A1144" t="s">
        <v>2422</v>
      </c>
      <c r="B1144" s="2">
        <v>45926</v>
      </c>
      <c r="C1144" t="s">
        <v>254</v>
      </c>
      <c r="D1144" t="s">
        <v>24</v>
      </c>
      <c r="E1144" t="s">
        <v>242</v>
      </c>
      <c r="F1144">
        <v>6</v>
      </c>
      <c r="G1144">
        <v>0.1</v>
      </c>
      <c r="H1144">
        <v>2430</v>
      </c>
      <c r="I1144">
        <v>489.6</v>
      </c>
      <c r="J1144" t="s">
        <v>65</v>
      </c>
      <c r="K1144" t="s">
        <v>40</v>
      </c>
      <c r="L1144">
        <v>405</v>
      </c>
      <c r="M1144">
        <v>20.148148148148149</v>
      </c>
      <c r="N1144" t="s">
        <v>8</v>
      </c>
      <c r="O1144" t="s">
        <v>255</v>
      </c>
      <c r="P1144" t="s">
        <v>29</v>
      </c>
      <c r="Q1144" t="s">
        <v>30</v>
      </c>
      <c r="R1144" t="s">
        <v>53</v>
      </c>
      <c r="S1144" t="s">
        <v>54</v>
      </c>
      <c r="T1144" t="s">
        <v>256</v>
      </c>
      <c r="U1144" t="s">
        <v>46</v>
      </c>
      <c r="V1144">
        <v>81.600000000000009</v>
      </c>
    </row>
    <row r="1145" spans="1:22" x14ac:dyDescent="0.3">
      <c r="A1145" t="s">
        <v>2423</v>
      </c>
      <c r="B1145" s="2">
        <v>45921</v>
      </c>
      <c r="C1145" t="s">
        <v>2424</v>
      </c>
      <c r="D1145" t="s">
        <v>37</v>
      </c>
      <c r="E1145" t="s">
        <v>170</v>
      </c>
      <c r="F1145">
        <v>6</v>
      </c>
      <c r="G1145">
        <v>0.15</v>
      </c>
      <c r="H1145">
        <v>7140</v>
      </c>
      <c r="I1145">
        <v>2261.83</v>
      </c>
      <c r="J1145" t="s">
        <v>39</v>
      </c>
      <c r="K1145" t="s">
        <v>40</v>
      </c>
      <c r="L1145">
        <v>1190</v>
      </c>
      <c r="M1145">
        <v>31.678291316526611</v>
      </c>
      <c r="N1145" t="s">
        <v>8</v>
      </c>
      <c r="O1145" t="s">
        <v>1668</v>
      </c>
      <c r="P1145" t="s">
        <v>29</v>
      </c>
      <c r="Q1145" t="s">
        <v>42</v>
      </c>
      <c r="R1145" t="s">
        <v>43</v>
      </c>
      <c r="S1145" t="s">
        <v>44</v>
      </c>
      <c r="T1145" t="s">
        <v>2425</v>
      </c>
      <c r="U1145" t="s">
        <v>100</v>
      </c>
      <c r="V1145">
        <v>376.97166666666658</v>
      </c>
    </row>
    <row r="1146" spans="1:22" x14ac:dyDescent="0.3">
      <c r="A1146" t="s">
        <v>2426</v>
      </c>
      <c r="B1146" s="2">
        <v>46158</v>
      </c>
      <c r="C1146" t="s">
        <v>293</v>
      </c>
      <c r="D1146" t="s">
        <v>70</v>
      </c>
      <c r="E1146" t="s">
        <v>108</v>
      </c>
      <c r="F1146">
        <v>2</v>
      </c>
      <c r="G1146">
        <v>0.1</v>
      </c>
      <c r="H1146">
        <v>8100</v>
      </c>
      <c r="I1146">
        <v>2420.85</v>
      </c>
      <c r="J1146" t="s">
        <v>65</v>
      </c>
      <c r="K1146" t="s">
        <v>27</v>
      </c>
      <c r="L1146">
        <v>4050</v>
      </c>
      <c r="M1146">
        <v>29.887037037037029</v>
      </c>
      <c r="N1146" t="s">
        <v>8</v>
      </c>
      <c r="O1146" t="s">
        <v>294</v>
      </c>
      <c r="P1146" t="s">
        <v>73</v>
      </c>
      <c r="Q1146" t="s">
        <v>74</v>
      </c>
      <c r="R1146" t="s">
        <v>115</v>
      </c>
      <c r="S1146" t="s">
        <v>115</v>
      </c>
      <c r="T1146" t="s">
        <v>295</v>
      </c>
      <c r="U1146" t="s">
        <v>100</v>
      </c>
      <c r="V1146">
        <v>1210.425</v>
      </c>
    </row>
    <row r="1147" spans="1:22" x14ac:dyDescent="0.3">
      <c r="A1147" t="s">
        <v>2427</v>
      </c>
      <c r="B1147" s="2">
        <v>45938</v>
      </c>
      <c r="C1147" t="s">
        <v>2428</v>
      </c>
      <c r="D1147" t="s">
        <v>70</v>
      </c>
      <c r="E1147" t="s">
        <v>129</v>
      </c>
      <c r="F1147">
        <v>1</v>
      </c>
      <c r="G1147">
        <v>0.15</v>
      </c>
      <c r="H1147">
        <v>46750</v>
      </c>
      <c r="I1147">
        <v>5277.98</v>
      </c>
      <c r="J1147" t="s">
        <v>39</v>
      </c>
      <c r="K1147" t="s">
        <v>40</v>
      </c>
      <c r="L1147">
        <v>46750</v>
      </c>
      <c r="M1147">
        <v>11.28979679144385</v>
      </c>
      <c r="N1147" t="s">
        <v>8</v>
      </c>
      <c r="O1147" t="s">
        <v>349</v>
      </c>
      <c r="P1147" t="s">
        <v>73</v>
      </c>
      <c r="Q1147" t="s">
        <v>74</v>
      </c>
      <c r="R1147" t="s">
        <v>493</v>
      </c>
      <c r="S1147" t="s">
        <v>494</v>
      </c>
      <c r="T1147" t="s">
        <v>2429</v>
      </c>
      <c r="U1147" t="s">
        <v>105</v>
      </c>
      <c r="V1147">
        <v>5277.98</v>
      </c>
    </row>
    <row r="1148" spans="1:22" x14ac:dyDescent="0.3">
      <c r="A1148" t="s">
        <v>2430</v>
      </c>
      <c r="B1148" s="2">
        <v>46255</v>
      </c>
      <c r="C1148" t="s">
        <v>2431</v>
      </c>
      <c r="D1148" t="s">
        <v>37</v>
      </c>
      <c r="E1148" t="s">
        <v>170</v>
      </c>
      <c r="F1148">
        <v>5</v>
      </c>
      <c r="G1148">
        <v>0.1</v>
      </c>
      <c r="H1148">
        <v>6300</v>
      </c>
      <c r="I1148">
        <v>-2231.6799999999998</v>
      </c>
      <c r="J1148" t="s">
        <v>51</v>
      </c>
      <c r="K1148" t="s">
        <v>434</v>
      </c>
      <c r="L1148">
        <v>1260</v>
      </c>
      <c r="M1148">
        <v>-35.423492063492063</v>
      </c>
      <c r="N1148" t="s">
        <v>81</v>
      </c>
      <c r="O1148" t="s">
        <v>2432</v>
      </c>
      <c r="P1148" t="s">
        <v>29</v>
      </c>
      <c r="Q1148" t="s">
        <v>131</v>
      </c>
      <c r="R1148" t="s">
        <v>200</v>
      </c>
      <c r="S1148" t="s">
        <v>201</v>
      </c>
      <c r="T1148" t="s">
        <v>2433</v>
      </c>
      <c r="U1148" t="s">
        <v>46</v>
      </c>
      <c r="V1148">
        <v>-446.33600000000001</v>
      </c>
    </row>
    <row r="1149" spans="1:22" x14ac:dyDescent="0.3">
      <c r="A1149" t="s">
        <v>2434</v>
      </c>
      <c r="B1149" s="2">
        <v>46111</v>
      </c>
      <c r="C1149" t="s">
        <v>1193</v>
      </c>
      <c r="D1149" t="s">
        <v>49</v>
      </c>
      <c r="E1149" t="s">
        <v>119</v>
      </c>
      <c r="F1149">
        <v>1</v>
      </c>
      <c r="G1149">
        <v>0.3</v>
      </c>
      <c r="H1149">
        <v>6300</v>
      </c>
      <c r="I1149">
        <v>167.93</v>
      </c>
      <c r="J1149" t="s">
        <v>39</v>
      </c>
      <c r="K1149" t="s">
        <v>40</v>
      </c>
      <c r="L1149">
        <v>6300</v>
      </c>
      <c r="M1149">
        <v>2.6655555555555561</v>
      </c>
      <c r="N1149" t="s">
        <v>8</v>
      </c>
      <c r="O1149" t="s">
        <v>781</v>
      </c>
      <c r="P1149" t="s">
        <v>29</v>
      </c>
      <c r="Q1149" t="s">
        <v>30</v>
      </c>
      <c r="R1149" t="s">
        <v>31</v>
      </c>
      <c r="S1149" t="s">
        <v>32</v>
      </c>
      <c r="T1149" t="s">
        <v>1194</v>
      </c>
      <c r="U1149" t="s">
        <v>46</v>
      </c>
      <c r="V1149">
        <v>167.93</v>
      </c>
    </row>
    <row r="1150" spans="1:22" x14ac:dyDescent="0.3">
      <c r="A1150" t="s">
        <v>2435</v>
      </c>
      <c r="B1150" s="2">
        <v>46149</v>
      </c>
      <c r="C1150" t="s">
        <v>1480</v>
      </c>
      <c r="D1150" t="s">
        <v>24</v>
      </c>
      <c r="E1150" t="s">
        <v>87</v>
      </c>
      <c r="F1150">
        <v>3</v>
      </c>
      <c r="G1150">
        <v>0.2</v>
      </c>
      <c r="H1150">
        <v>840</v>
      </c>
      <c r="I1150">
        <v>-28.14</v>
      </c>
      <c r="J1150" t="s">
        <v>39</v>
      </c>
      <c r="K1150" t="s">
        <v>434</v>
      </c>
      <c r="L1150">
        <v>280</v>
      </c>
      <c r="M1150">
        <v>-3.35</v>
      </c>
      <c r="N1150" t="s">
        <v>81</v>
      </c>
      <c r="O1150" t="s">
        <v>66</v>
      </c>
      <c r="P1150" t="s">
        <v>73</v>
      </c>
      <c r="Q1150" t="s">
        <v>30</v>
      </c>
      <c r="R1150" t="s">
        <v>98</v>
      </c>
      <c r="S1150" t="s">
        <v>54</v>
      </c>
      <c r="T1150" t="s">
        <v>1481</v>
      </c>
      <c r="U1150" t="s">
        <v>46</v>
      </c>
      <c r="V1150">
        <v>-9.3800000000000008</v>
      </c>
    </row>
    <row r="1151" spans="1:22" x14ac:dyDescent="0.3">
      <c r="A1151" t="s">
        <v>2436</v>
      </c>
      <c r="B1151" s="2">
        <v>46005</v>
      </c>
      <c r="C1151" t="s">
        <v>1069</v>
      </c>
      <c r="D1151" t="s">
        <v>49</v>
      </c>
      <c r="E1151" t="s">
        <v>119</v>
      </c>
      <c r="F1151">
        <v>3</v>
      </c>
      <c r="G1151">
        <v>0.1</v>
      </c>
      <c r="H1151">
        <v>24300</v>
      </c>
      <c r="I1151">
        <v>5519.34</v>
      </c>
      <c r="J1151" t="s">
        <v>65</v>
      </c>
      <c r="K1151" t="s">
        <v>40</v>
      </c>
      <c r="L1151">
        <v>8100</v>
      </c>
      <c r="M1151">
        <v>22.713333333333331</v>
      </c>
      <c r="N1151" t="s">
        <v>8</v>
      </c>
      <c r="O1151" t="s">
        <v>937</v>
      </c>
      <c r="P1151" t="s">
        <v>29</v>
      </c>
      <c r="Q1151" t="s">
        <v>42</v>
      </c>
      <c r="R1151" t="s">
        <v>121</v>
      </c>
      <c r="S1151" t="s">
        <v>44</v>
      </c>
      <c r="T1151" t="s">
        <v>1070</v>
      </c>
      <c r="U1151" t="s">
        <v>34</v>
      </c>
      <c r="V1151">
        <v>1839.78</v>
      </c>
    </row>
    <row r="1152" spans="1:22" x14ac:dyDescent="0.3">
      <c r="A1152" t="s">
        <v>2437</v>
      </c>
      <c r="B1152" s="2">
        <v>46116</v>
      </c>
      <c r="C1152" t="s">
        <v>522</v>
      </c>
      <c r="D1152" t="s">
        <v>37</v>
      </c>
      <c r="E1152" t="s">
        <v>38</v>
      </c>
      <c r="F1152">
        <v>1</v>
      </c>
      <c r="G1152">
        <v>0.1</v>
      </c>
      <c r="H1152">
        <v>1620</v>
      </c>
      <c r="I1152">
        <v>519.6</v>
      </c>
      <c r="J1152" t="s">
        <v>51</v>
      </c>
      <c r="K1152" t="s">
        <v>40</v>
      </c>
      <c r="L1152">
        <v>1620</v>
      </c>
      <c r="M1152">
        <v>32.074074074074083</v>
      </c>
      <c r="N1152" t="s">
        <v>8</v>
      </c>
      <c r="O1152" t="s">
        <v>523</v>
      </c>
      <c r="P1152" t="s">
        <v>73</v>
      </c>
      <c r="Q1152" t="s">
        <v>30</v>
      </c>
      <c r="R1152" t="s">
        <v>98</v>
      </c>
      <c r="S1152" t="s">
        <v>54</v>
      </c>
      <c r="T1152" t="s">
        <v>62</v>
      </c>
      <c r="U1152" t="s">
        <v>46</v>
      </c>
      <c r="V1152">
        <v>519.6</v>
      </c>
    </row>
    <row r="1153" spans="1:22" x14ac:dyDescent="0.3">
      <c r="A1153" t="s">
        <v>2438</v>
      </c>
      <c r="B1153" s="2">
        <v>45885</v>
      </c>
      <c r="C1153" t="s">
        <v>907</v>
      </c>
      <c r="D1153" t="s">
        <v>49</v>
      </c>
      <c r="E1153" t="s">
        <v>79</v>
      </c>
      <c r="F1153">
        <v>1</v>
      </c>
      <c r="G1153">
        <v>0.15</v>
      </c>
      <c r="H1153">
        <v>9350</v>
      </c>
      <c r="I1153">
        <v>-2835.39</v>
      </c>
      <c r="J1153" t="s">
        <v>65</v>
      </c>
      <c r="K1153" t="s">
        <v>80</v>
      </c>
      <c r="L1153">
        <v>9350</v>
      </c>
      <c r="M1153">
        <v>-30.32502673796791</v>
      </c>
      <c r="N1153" t="s">
        <v>81</v>
      </c>
      <c r="O1153" t="s">
        <v>908</v>
      </c>
      <c r="P1153" t="s">
        <v>29</v>
      </c>
      <c r="Q1153" t="s">
        <v>30</v>
      </c>
      <c r="R1153" t="s">
        <v>60</v>
      </c>
      <c r="S1153" t="s">
        <v>61</v>
      </c>
      <c r="T1153" t="s">
        <v>486</v>
      </c>
      <c r="U1153" t="s">
        <v>34</v>
      </c>
      <c r="V1153">
        <v>-2835.39</v>
      </c>
    </row>
    <row r="1154" spans="1:22" x14ac:dyDescent="0.3">
      <c r="A1154" t="s">
        <v>2439</v>
      </c>
      <c r="B1154" s="2">
        <v>45853</v>
      </c>
      <c r="C1154" t="s">
        <v>86</v>
      </c>
      <c r="D1154" t="s">
        <v>37</v>
      </c>
      <c r="E1154" t="s">
        <v>170</v>
      </c>
      <c r="F1154">
        <v>1</v>
      </c>
      <c r="G1154">
        <v>0.05</v>
      </c>
      <c r="H1154">
        <v>1330</v>
      </c>
      <c r="I1154">
        <v>444.94</v>
      </c>
      <c r="J1154" t="s">
        <v>26</v>
      </c>
      <c r="K1154" t="s">
        <v>40</v>
      </c>
      <c r="L1154">
        <v>1330</v>
      </c>
      <c r="M1154">
        <v>33.454135338345857</v>
      </c>
      <c r="N1154" t="s">
        <v>8</v>
      </c>
      <c r="O1154" t="s">
        <v>88</v>
      </c>
      <c r="P1154" t="s">
        <v>29</v>
      </c>
      <c r="Q1154" t="s">
        <v>42</v>
      </c>
      <c r="R1154" t="s">
        <v>43</v>
      </c>
      <c r="S1154" t="s">
        <v>44</v>
      </c>
      <c r="T1154" t="s">
        <v>89</v>
      </c>
      <c r="U1154" t="s">
        <v>34</v>
      </c>
      <c r="V1154">
        <v>444.94</v>
      </c>
    </row>
    <row r="1155" spans="1:22" x14ac:dyDescent="0.3">
      <c r="A1155" t="s">
        <v>2440</v>
      </c>
      <c r="B1155" s="2">
        <v>45842</v>
      </c>
      <c r="C1155" t="s">
        <v>365</v>
      </c>
      <c r="D1155" t="s">
        <v>37</v>
      </c>
      <c r="E1155" t="s">
        <v>170</v>
      </c>
      <c r="F1155">
        <v>2</v>
      </c>
      <c r="G1155">
        <v>0.1</v>
      </c>
      <c r="H1155">
        <v>2520</v>
      </c>
      <c r="I1155">
        <v>810.37</v>
      </c>
      <c r="J1155" t="s">
        <v>39</v>
      </c>
      <c r="K1155" t="s">
        <v>40</v>
      </c>
      <c r="L1155">
        <v>1260</v>
      </c>
      <c r="M1155">
        <v>32.157539682539692</v>
      </c>
      <c r="N1155" t="s">
        <v>8</v>
      </c>
      <c r="O1155" t="s">
        <v>318</v>
      </c>
      <c r="P1155" t="s">
        <v>29</v>
      </c>
      <c r="Q1155" t="s">
        <v>30</v>
      </c>
      <c r="R1155" t="s">
        <v>31</v>
      </c>
      <c r="S1155" t="s">
        <v>32</v>
      </c>
      <c r="T1155" t="s">
        <v>366</v>
      </c>
      <c r="U1155" t="s">
        <v>105</v>
      </c>
      <c r="V1155">
        <v>405.185</v>
      </c>
    </row>
    <row r="1156" spans="1:22" x14ac:dyDescent="0.3">
      <c r="A1156" t="s">
        <v>2441</v>
      </c>
      <c r="B1156" s="2">
        <v>45851</v>
      </c>
      <c r="C1156" t="s">
        <v>2145</v>
      </c>
      <c r="D1156" t="s">
        <v>37</v>
      </c>
      <c r="E1156" t="s">
        <v>190</v>
      </c>
      <c r="F1156">
        <v>10</v>
      </c>
      <c r="G1156">
        <v>0.05</v>
      </c>
      <c r="H1156">
        <v>39900</v>
      </c>
      <c r="I1156">
        <v>10298.81</v>
      </c>
      <c r="J1156" t="s">
        <v>51</v>
      </c>
      <c r="K1156" t="s">
        <v>27</v>
      </c>
      <c r="L1156">
        <v>3990</v>
      </c>
      <c r="M1156">
        <v>25.811553884711781</v>
      </c>
      <c r="N1156" t="s">
        <v>8</v>
      </c>
      <c r="O1156" t="s">
        <v>302</v>
      </c>
      <c r="P1156" t="s">
        <v>29</v>
      </c>
      <c r="Q1156" t="s">
        <v>30</v>
      </c>
      <c r="R1156" t="s">
        <v>98</v>
      </c>
      <c r="S1156" t="s">
        <v>54</v>
      </c>
      <c r="T1156" t="s">
        <v>601</v>
      </c>
      <c r="U1156" t="s">
        <v>46</v>
      </c>
      <c r="V1156">
        <v>1029.8810000000001</v>
      </c>
    </row>
    <row r="1157" spans="1:22" x14ac:dyDescent="0.3">
      <c r="A1157" t="s">
        <v>2442</v>
      </c>
      <c r="B1157" s="2">
        <v>46163</v>
      </c>
      <c r="C1157" t="s">
        <v>722</v>
      </c>
      <c r="D1157" t="s">
        <v>24</v>
      </c>
      <c r="E1157" t="s">
        <v>87</v>
      </c>
      <c r="F1157">
        <v>1</v>
      </c>
      <c r="G1157">
        <v>0.1</v>
      </c>
      <c r="H1157">
        <v>315</v>
      </c>
      <c r="I1157">
        <v>100.46</v>
      </c>
      <c r="J1157" t="s">
        <v>51</v>
      </c>
      <c r="K1157" t="s">
        <v>40</v>
      </c>
      <c r="L1157">
        <v>315</v>
      </c>
      <c r="M1157">
        <v>31.892063492063489</v>
      </c>
      <c r="N1157" t="s">
        <v>8</v>
      </c>
      <c r="O1157" t="s">
        <v>723</v>
      </c>
      <c r="P1157" t="s">
        <v>73</v>
      </c>
      <c r="Q1157" t="s">
        <v>42</v>
      </c>
      <c r="R1157" t="s">
        <v>121</v>
      </c>
      <c r="S1157" t="s">
        <v>44</v>
      </c>
      <c r="T1157" t="s">
        <v>138</v>
      </c>
      <c r="U1157" t="s">
        <v>46</v>
      </c>
      <c r="V1157">
        <v>100.46</v>
      </c>
    </row>
    <row r="1158" spans="1:22" x14ac:dyDescent="0.3">
      <c r="A1158" t="s">
        <v>2443</v>
      </c>
      <c r="B1158" s="2">
        <v>45899</v>
      </c>
      <c r="C1158" t="s">
        <v>313</v>
      </c>
      <c r="D1158" t="s">
        <v>24</v>
      </c>
      <c r="E1158" t="s">
        <v>242</v>
      </c>
      <c r="F1158">
        <v>3</v>
      </c>
      <c r="G1158">
        <v>0.1</v>
      </c>
      <c r="H1158">
        <v>1215</v>
      </c>
      <c r="I1158">
        <v>261.27</v>
      </c>
      <c r="J1158" t="s">
        <v>39</v>
      </c>
      <c r="K1158" t="s">
        <v>40</v>
      </c>
      <c r="L1158">
        <v>405</v>
      </c>
      <c r="M1158">
        <v>21.5037037037037</v>
      </c>
      <c r="N1158" t="s">
        <v>8</v>
      </c>
      <c r="O1158" t="s">
        <v>314</v>
      </c>
      <c r="P1158" t="s">
        <v>29</v>
      </c>
      <c r="Q1158" t="s">
        <v>30</v>
      </c>
      <c r="R1158" t="s">
        <v>98</v>
      </c>
      <c r="S1158" t="s">
        <v>54</v>
      </c>
      <c r="T1158" t="s">
        <v>315</v>
      </c>
      <c r="U1158" t="s">
        <v>100</v>
      </c>
      <c r="V1158">
        <v>87.089999999999989</v>
      </c>
    </row>
    <row r="1159" spans="1:22" x14ac:dyDescent="0.3">
      <c r="A1159" t="s">
        <v>2444</v>
      </c>
      <c r="B1159" s="2">
        <v>46013</v>
      </c>
      <c r="C1159" t="s">
        <v>664</v>
      </c>
      <c r="D1159" t="s">
        <v>24</v>
      </c>
      <c r="E1159" t="s">
        <v>242</v>
      </c>
      <c r="F1159">
        <v>1</v>
      </c>
      <c r="G1159">
        <v>0</v>
      </c>
      <c r="H1159">
        <v>450</v>
      </c>
      <c r="I1159">
        <v>-58.38</v>
      </c>
      <c r="J1159" t="s">
        <v>51</v>
      </c>
      <c r="K1159" t="s">
        <v>434</v>
      </c>
      <c r="L1159">
        <v>450</v>
      </c>
      <c r="M1159">
        <v>-12.973333333333329</v>
      </c>
      <c r="N1159" t="s">
        <v>81</v>
      </c>
      <c r="O1159" t="s">
        <v>665</v>
      </c>
      <c r="P1159" t="s">
        <v>29</v>
      </c>
      <c r="Q1159" t="s">
        <v>30</v>
      </c>
      <c r="R1159" t="s">
        <v>31</v>
      </c>
      <c r="S1159" t="s">
        <v>32</v>
      </c>
      <c r="T1159" t="s">
        <v>256</v>
      </c>
      <c r="U1159" t="s">
        <v>34</v>
      </c>
      <c r="V1159">
        <v>-58.38</v>
      </c>
    </row>
    <row r="1160" spans="1:22" x14ac:dyDescent="0.3">
      <c r="A1160" t="s">
        <v>2445</v>
      </c>
      <c r="B1160" s="2">
        <v>46159</v>
      </c>
      <c r="C1160" t="s">
        <v>925</v>
      </c>
      <c r="D1160" t="s">
        <v>49</v>
      </c>
      <c r="E1160" t="s">
        <v>119</v>
      </c>
      <c r="F1160">
        <v>3</v>
      </c>
      <c r="G1160">
        <v>0.15</v>
      </c>
      <c r="H1160">
        <v>22950</v>
      </c>
      <c r="I1160">
        <v>-7062.69</v>
      </c>
      <c r="J1160" t="s">
        <v>65</v>
      </c>
      <c r="K1160" t="s">
        <v>80</v>
      </c>
      <c r="L1160">
        <v>7650</v>
      </c>
      <c r="M1160">
        <v>-30.774248366013069</v>
      </c>
      <c r="N1160" t="s">
        <v>81</v>
      </c>
      <c r="O1160" t="s">
        <v>926</v>
      </c>
      <c r="P1160" t="s">
        <v>83</v>
      </c>
      <c r="Q1160" t="s">
        <v>74</v>
      </c>
      <c r="R1160" t="s">
        <v>75</v>
      </c>
      <c r="S1160" t="s">
        <v>75</v>
      </c>
      <c r="T1160" t="s">
        <v>927</v>
      </c>
      <c r="U1160" t="s">
        <v>34</v>
      </c>
      <c r="V1160">
        <v>-2354.23</v>
      </c>
    </row>
    <row r="1161" spans="1:22" x14ac:dyDescent="0.3">
      <c r="A1161" t="s">
        <v>2446</v>
      </c>
      <c r="B1161" s="2">
        <v>46147</v>
      </c>
      <c r="C1161" t="s">
        <v>358</v>
      </c>
      <c r="D1161" t="s">
        <v>70</v>
      </c>
      <c r="E1161" t="s">
        <v>108</v>
      </c>
      <c r="F1161">
        <v>6</v>
      </c>
      <c r="G1161">
        <v>0.1</v>
      </c>
      <c r="H1161">
        <v>24300</v>
      </c>
      <c r="I1161">
        <v>7291.08</v>
      </c>
      <c r="J1161" t="s">
        <v>26</v>
      </c>
      <c r="K1161" t="s">
        <v>27</v>
      </c>
      <c r="L1161">
        <v>4050</v>
      </c>
      <c r="M1161">
        <v>30.004444444444449</v>
      </c>
      <c r="N1161" t="s">
        <v>8</v>
      </c>
      <c r="O1161" t="s">
        <v>359</v>
      </c>
      <c r="P1161" t="s">
        <v>83</v>
      </c>
      <c r="Q1161" t="s">
        <v>42</v>
      </c>
      <c r="R1161" t="s">
        <v>214</v>
      </c>
      <c r="S1161" t="s">
        <v>111</v>
      </c>
      <c r="T1161" t="s">
        <v>256</v>
      </c>
      <c r="U1161" t="s">
        <v>46</v>
      </c>
      <c r="V1161">
        <v>1215.18</v>
      </c>
    </row>
    <row r="1162" spans="1:22" x14ac:dyDescent="0.3">
      <c r="A1162" t="s">
        <v>2447</v>
      </c>
      <c r="B1162" s="2">
        <v>46170</v>
      </c>
      <c r="C1162" t="s">
        <v>983</v>
      </c>
      <c r="D1162" t="s">
        <v>24</v>
      </c>
      <c r="E1162" t="s">
        <v>87</v>
      </c>
      <c r="F1162">
        <v>2</v>
      </c>
      <c r="G1162">
        <v>0.05</v>
      </c>
      <c r="H1162">
        <v>665</v>
      </c>
      <c r="I1162">
        <v>218.16</v>
      </c>
      <c r="J1162" t="s">
        <v>26</v>
      </c>
      <c r="K1162" t="s">
        <v>40</v>
      </c>
      <c r="L1162">
        <v>332.5</v>
      </c>
      <c r="M1162">
        <v>32.80601503759398</v>
      </c>
      <c r="N1162" t="s">
        <v>8</v>
      </c>
      <c r="O1162" t="s">
        <v>984</v>
      </c>
      <c r="P1162" t="s">
        <v>29</v>
      </c>
      <c r="Q1162" t="s">
        <v>30</v>
      </c>
      <c r="R1162" t="s">
        <v>31</v>
      </c>
      <c r="S1162" t="s">
        <v>32</v>
      </c>
      <c r="T1162" t="s">
        <v>985</v>
      </c>
      <c r="U1162" t="s">
        <v>46</v>
      </c>
      <c r="V1162">
        <v>109.08</v>
      </c>
    </row>
    <row r="1163" spans="1:22" x14ac:dyDescent="0.3">
      <c r="A1163" t="s">
        <v>2448</v>
      </c>
      <c r="B1163" s="2">
        <v>46017</v>
      </c>
      <c r="C1163" t="s">
        <v>2057</v>
      </c>
      <c r="D1163" t="s">
        <v>49</v>
      </c>
      <c r="E1163" t="s">
        <v>58</v>
      </c>
      <c r="F1163">
        <v>3</v>
      </c>
      <c r="G1163">
        <v>0</v>
      </c>
      <c r="H1163">
        <v>45000</v>
      </c>
      <c r="I1163">
        <v>10500</v>
      </c>
      <c r="J1163" t="s">
        <v>39</v>
      </c>
      <c r="K1163" t="s">
        <v>40</v>
      </c>
      <c r="L1163">
        <v>15000</v>
      </c>
      <c r="M1163">
        <v>23.333333333333329</v>
      </c>
      <c r="N1163" t="s">
        <v>8</v>
      </c>
      <c r="O1163" t="s">
        <v>2058</v>
      </c>
      <c r="P1163" t="s">
        <v>29</v>
      </c>
      <c r="Q1163" t="s">
        <v>131</v>
      </c>
      <c r="R1163" t="s">
        <v>449</v>
      </c>
      <c r="S1163" t="s">
        <v>450</v>
      </c>
      <c r="T1163" t="s">
        <v>138</v>
      </c>
      <c r="U1163" t="s">
        <v>34</v>
      </c>
      <c r="V1163">
        <v>3500</v>
      </c>
    </row>
    <row r="1164" spans="1:22" x14ac:dyDescent="0.3">
      <c r="A1164" t="s">
        <v>2449</v>
      </c>
      <c r="B1164" s="2">
        <v>46025</v>
      </c>
      <c r="C1164" t="s">
        <v>659</v>
      </c>
      <c r="D1164" t="s">
        <v>24</v>
      </c>
      <c r="E1164" t="s">
        <v>87</v>
      </c>
      <c r="F1164">
        <v>1</v>
      </c>
      <c r="G1164">
        <v>0.1</v>
      </c>
      <c r="H1164">
        <v>315</v>
      </c>
      <c r="I1164">
        <v>-6.96</v>
      </c>
      <c r="J1164" t="s">
        <v>65</v>
      </c>
      <c r="K1164" t="s">
        <v>434</v>
      </c>
      <c r="L1164">
        <v>315</v>
      </c>
      <c r="M1164">
        <v>-2.2095238095238101</v>
      </c>
      <c r="N1164" t="s">
        <v>81</v>
      </c>
      <c r="O1164" t="s">
        <v>660</v>
      </c>
      <c r="P1164" t="s">
        <v>83</v>
      </c>
      <c r="Q1164" t="s">
        <v>30</v>
      </c>
      <c r="R1164" t="s">
        <v>60</v>
      </c>
      <c r="S1164" t="s">
        <v>61</v>
      </c>
      <c r="T1164" t="s">
        <v>475</v>
      </c>
      <c r="U1164" t="s">
        <v>46</v>
      </c>
      <c r="V1164">
        <v>-6.96</v>
      </c>
    </row>
    <row r="1165" spans="1:22" x14ac:dyDescent="0.3">
      <c r="A1165" t="s">
        <v>2450</v>
      </c>
      <c r="B1165" s="2">
        <v>46142</v>
      </c>
      <c r="C1165" t="s">
        <v>1988</v>
      </c>
      <c r="D1165" t="s">
        <v>37</v>
      </c>
      <c r="E1165" t="s">
        <v>310</v>
      </c>
      <c r="F1165">
        <v>2</v>
      </c>
      <c r="G1165">
        <v>0.05</v>
      </c>
      <c r="H1165">
        <v>4180</v>
      </c>
      <c r="I1165">
        <v>-901.01</v>
      </c>
      <c r="J1165" t="s">
        <v>65</v>
      </c>
      <c r="K1165" t="s">
        <v>434</v>
      </c>
      <c r="L1165">
        <v>2090</v>
      </c>
      <c r="M1165">
        <v>-21.555263157894739</v>
      </c>
      <c r="N1165" t="s">
        <v>81</v>
      </c>
      <c r="O1165" t="s">
        <v>1989</v>
      </c>
      <c r="P1165" t="s">
        <v>29</v>
      </c>
      <c r="Q1165" t="s">
        <v>131</v>
      </c>
      <c r="R1165" t="s">
        <v>289</v>
      </c>
      <c r="S1165" t="s">
        <v>290</v>
      </c>
      <c r="T1165" t="s">
        <v>1990</v>
      </c>
      <c r="U1165" t="s">
        <v>105</v>
      </c>
      <c r="V1165">
        <v>-450.505</v>
      </c>
    </row>
    <row r="1166" spans="1:22" x14ac:dyDescent="0.3">
      <c r="A1166" t="s">
        <v>2451</v>
      </c>
      <c r="B1166" s="2">
        <v>45916</v>
      </c>
      <c r="C1166" t="s">
        <v>1297</v>
      </c>
      <c r="D1166" t="s">
        <v>24</v>
      </c>
      <c r="E1166" t="s">
        <v>87</v>
      </c>
      <c r="F1166">
        <v>2</v>
      </c>
      <c r="G1166">
        <v>0.05</v>
      </c>
      <c r="H1166">
        <v>665</v>
      </c>
      <c r="I1166">
        <v>223.21</v>
      </c>
      <c r="J1166" t="s">
        <v>51</v>
      </c>
      <c r="K1166" t="s">
        <v>40</v>
      </c>
      <c r="L1166">
        <v>332.5</v>
      </c>
      <c r="M1166">
        <v>33.565413533834587</v>
      </c>
      <c r="N1166" t="s">
        <v>8</v>
      </c>
      <c r="O1166" t="s">
        <v>781</v>
      </c>
      <c r="P1166" t="s">
        <v>29</v>
      </c>
      <c r="Q1166" t="s">
        <v>30</v>
      </c>
      <c r="R1166" t="s">
        <v>31</v>
      </c>
      <c r="S1166" t="s">
        <v>32</v>
      </c>
      <c r="T1166" t="s">
        <v>1298</v>
      </c>
      <c r="U1166" t="s">
        <v>100</v>
      </c>
      <c r="V1166">
        <v>111.605</v>
      </c>
    </row>
    <row r="1167" spans="1:22" x14ac:dyDescent="0.3">
      <c r="A1167" t="s">
        <v>2452</v>
      </c>
      <c r="B1167" s="2">
        <v>46086</v>
      </c>
      <c r="C1167" t="s">
        <v>2194</v>
      </c>
      <c r="D1167" t="s">
        <v>49</v>
      </c>
      <c r="E1167" t="s">
        <v>79</v>
      </c>
      <c r="F1167">
        <v>1</v>
      </c>
      <c r="G1167">
        <v>0.1</v>
      </c>
      <c r="H1167">
        <v>9900</v>
      </c>
      <c r="I1167">
        <v>2090.16</v>
      </c>
      <c r="J1167" t="s">
        <v>26</v>
      </c>
      <c r="K1167" t="s">
        <v>40</v>
      </c>
      <c r="L1167">
        <v>9900</v>
      </c>
      <c r="M1167">
        <v>21.11272727272727</v>
      </c>
      <c r="N1167" t="s">
        <v>8</v>
      </c>
      <c r="O1167" t="s">
        <v>333</v>
      </c>
      <c r="P1167" t="s">
        <v>29</v>
      </c>
      <c r="Q1167" t="s">
        <v>42</v>
      </c>
      <c r="R1167" t="s">
        <v>43</v>
      </c>
      <c r="S1167" t="s">
        <v>44</v>
      </c>
      <c r="T1167" t="s">
        <v>2004</v>
      </c>
      <c r="U1167" t="s">
        <v>34</v>
      </c>
      <c r="V1167">
        <v>2090.16</v>
      </c>
    </row>
    <row r="1168" spans="1:22" x14ac:dyDescent="0.3">
      <c r="A1168" t="s">
        <v>2453</v>
      </c>
      <c r="B1168" s="2">
        <v>46096</v>
      </c>
      <c r="C1168" t="s">
        <v>1962</v>
      </c>
      <c r="D1168" t="s">
        <v>70</v>
      </c>
      <c r="E1168" t="s">
        <v>108</v>
      </c>
      <c r="F1168">
        <v>1</v>
      </c>
      <c r="G1168">
        <v>0</v>
      </c>
      <c r="H1168">
        <v>4500</v>
      </c>
      <c r="I1168">
        <v>1500</v>
      </c>
      <c r="J1168" t="s">
        <v>51</v>
      </c>
      <c r="K1168" t="s">
        <v>40</v>
      </c>
      <c r="L1168">
        <v>4500</v>
      </c>
      <c r="M1168">
        <v>33.333333333333329</v>
      </c>
      <c r="N1168" t="s">
        <v>8</v>
      </c>
      <c r="O1168" t="s">
        <v>1963</v>
      </c>
      <c r="P1168" t="s">
        <v>29</v>
      </c>
      <c r="Q1168" t="s">
        <v>131</v>
      </c>
      <c r="R1168" t="s">
        <v>200</v>
      </c>
      <c r="S1168" t="s">
        <v>201</v>
      </c>
      <c r="T1168" t="s">
        <v>637</v>
      </c>
      <c r="U1168" t="s">
        <v>34</v>
      </c>
      <c r="V1168">
        <v>1500</v>
      </c>
    </row>
    <row r="1169" spans="1:22" x14ac:dyDescent="0.3">
      <c r="A1169" t="s">
        <v>2454</v>
      </c>
      <c r="B1169" s="2">
        <v>46101</v>
      </c>
      <c r="C1169" t="s">
        <v>368</v>
      </c>
      <c r="D1169" t="s">
        <v>24</v>
      </c>
      <c r="E1169" t="s">
        <v>25</v>
      </c>
      <c r="F1169">
        <v>15</v>
      </c>
      <c r="G1169">
        <v>0.05</v>
      </c>
      <c r="H1169">
        <v>199500</v>
      </c>
      <c r="I1169">
        <v>36659.51</v>
      </c>
      <c r="J1169" t="s">
        <v>39</v>
      </c>
      <c r="K1169" t="s">
        <v>40</v>
      </c>
      <c r="L1169">
        <v>13300</v>
      </c>
      <c r="M1169">
        <v>18.37569423558897</v>
      </c>
      <c r="N1169" t="s">
        <v>8</v>
      </c>
      <c r="O1169" t="s">
        <v>369</v>
      </c>
      <c r="P1169" t="s">
        <v>83</v>
      </c>
      <c r="Q1169" t="s">
        <v>42</v>
      </c>
      <c r="R1169" t="s">
        <v>121</v>
      </c>
      <c r="S1169" t="s">
        <v>44</v>
      </c>
      <c r="T1169" t="s">
        <v>370</v>
      </c>
      <c r="U1169" t="s">
        <v>105</v>
      </c>
      <c r="V1169">
        <v>2443.967333333333</v>
      </c>
    </row>
    <row r="1170" spans="1:22" x14ac:dyDescent="0.3">
      <c r="A1170" t="s">
        <v>2455</v>
      </c>
      <c r="B1170" s="2">
        <v>46213</v>
      </c>
      <c r="C1170" t="s">
        <v>1255</v>
      </c>
      <c r="D1170" t="s">
        <v>37</v>
      </c>
      <c r="E1170" t="s">
        <v>190</v>
      </c>
      <c r="F1170">
        <v>4</v>
      </c>
      <c r="G1170">
        <v>0</v>
      </c>
      <c r="H1170">
        <v>16800</v>
      </c>
      <c r="I1170">
        <v>4800</v>
      </c>
      <c r="J1170" t="s">
        <v>39</v>
      </c>
      <c r="K1170" t="s">
        <v>40</v>
      </c>
      <c r="L1170">
        <v>4200</v>
      </c>
      <c r="M1170">
        <v>28.571428571428569</v>
      </c>
      <c r="N1170" t="s">
        <v>8</v>
      </c>
      <c r="O1170" t="s">
        <v>1256</v>
      </c>
      <c r="P1170" t="s">
        <v>73</v>
      </c>
      <c r="Q1170" t="s">
        <v>131</v>
      </c>
      <c r="R1170" t="s">
        <v>289</v>
      </c>
      <c r="S1170" t="s">
        <v>290</v>
      </c>
      <c r="T1170" t="s">
        <v>1257</v>
      </c>
      <c r="U1170" t="s">
        <v>105</v>
      </c>
      <c r="V1170">
        <v>1200</v>
      </c>
    </row>
    <row r="1171" spans="1:22" x14ac:dyDescent="0.3">
      <c r="A1171" t="s">
        <v>2456</v>
      </c>
      <c r="B1171" s="2">
        <v>46260</v>
      </c>
      <c r="C1171" t="s">
        <v>1688</v>
      </c>
      <c r="D1171" t="s">
        <v>24</v>
      </c>
      <c r="E1171" t="s">
        <v>25</v>
      </c>
      <c r="F1171">
        <v>5</v>
      </c>
      <c r="G1171">
        <v>0.3</v>
      </c>
      <c r="H1171">
        <v>49000</v>
      </c>
      <c r="I1171">
        <v>-1784.1</v>
      </c>
      <c r="J1171" t="s">
        <v>65</v>
      </c>
      <c r="K1171" t="s">
        <v>40</v>
      </c>
      <c r="L1171">
        <v>9800</v>
      </c>
      <c r="M1171">
        <v>-3.641020408163266</v>
      </c>
      <c r="N1171" t="s">
        <v>81</v>
      </c>
      <c r="O1171" t="s">
        <v>883</v>
      </c>
      <c r="P1171" t="s">
        <v>73</v>
      </c>
      <c r="Q1171" t="s">
        <v>30</v>
      </c>
      <c r="R1171" t="s">
        <v>31</v>
      </c>
      <c r="S1171" t="s">
        <v>32</v>
      </c>
      <c r="T1171" t="s">
        <v>575</v>
      </c>
      <c r="U1171" t="s">
        <v>34</v>
      </c>
      <c r="V1171">
        <v>-356.82</v>
      </c>
    </row>
    <row r="1172" spans="1:22" x14ac:dyDescent="0.3">
      <c r="A1172" t="s">
        <v>2457</v>
      </c>
      <c r="B1172" s="2">
        <v>46161</v>
      </c>
      <c r="C1172" t="s">
        <v>1529</v>
      </c>
      <c r="D1172" t="s">
        <v>37</v>
      </c>
      <c r="E1172" t="s">
        <v>170</v>
      </c>
      <c r="F1172">
        <v>6</v>
      </c>
      <c r="G1172">
        <v>0.05</v>
      </c>
      <c r="H1172">
        <v>7980</v>
      </c>
      <c r="I1172">
        <v>131.29</v>
      </c>
      <c r="J1172" t="s">
        <v>51</v>
      </c>
      <c r="K1172" t="s">
        <v>434</v>
      </c>
      <c r="L1172">
        <v>1330</v>
      </c>
      <c r="M1172">
        <v>1.6452380952380949</v>
      </c>
      <c r="N1172" t="s">
        <v>8</v>
      </c>
      <c r="O1172" t="s">
        <v>717</v>
      </c>
      <c r="P1172" t="s">
        <v>73</v>
      </c>
      <c r="Q1172" t="s">
        <v>131</v>
      </c>
      <c r="R1172" t="s">
        <v>132</v>
      </c>
      <c r="S1172" t="s">
        <v>133</v>
      </c>
      <c r="T1172" t="s">
        <v>1530</v>
      </c>
      <c r="U1172" t="s">
        <v>46</v>
      </c>
      <c r="V1172">
        <v>21.881666666666661</v>
      </c>
    </row>
    <row r="1173" spans="1:22" x14ac:dyDescent="0.3">
      <c r="A1173" t="s">
        <v>2458</v>
      </c>
      <c r="B1173" s="2">
        <v>46031</v>
      </c>
      <c r="C1173" t="s">
        <v>2459</v>
      </c>
      <c r="D1173" t="s">
        <v>24</v>
      </c>
      <c r="E1173" t="s">
        <v>242</v>
      </c>
      <c r="F1173">
        <v>1</v>
      </c>
      <c r="G1173">
        <v>0.2</v>
      </c>
      <c r="H1173">
        <v>360</v>
      </c>
      <c r="I1173">
        <v>-138.66</v>
      </c>
      <c r="J1173" t="s">
        <v>51</v>
      </c>
      <c r="K1173" t="s">
        <v>434</v>
      </c>
      <c r="L1173">
        <v>360</v>
      </c>
      <c r="M1173">
        <v>-38.516666666666673</v>
      </c>
      <c r="N1173" t="s">
        <v>81</v>
      </c>
      <c r="O1173" t="s">
        <v>378</v>
      </c>
      <c r="P1173" t="s">
        <v>83</v>
      </c>
      <c r="Q1173" t="s">
        <v>74</v>
      </c>
      <c r="R1173" t="s">
        <v>115</v>
      </c>
      <c r="S1173" t="s">
        <v>115</v>
      </c>
      <c r="T1173" t="s">
        <v>2460</v>
      </c>
      <c r="U1173" t="s">
        <v>105</v>
      </c>
      <c r="V1173">
        <v>-138.66</v>
      </c>
    </row>
    <row r="1174" spans="1:22" x14ac:dyDescent="0.3">
      <c r="A1174" t="s">
        <v>2461</v>
      </c>
      <c r="B1174" s="2">
        <v>46107</v>
      </c>
      <c r="C1174" t="s">
        <v>970</v>
      </c>
      <c r="D1174" t="s">
        <v>70</v>
      </c>
      <c r="E1174" t="s">
        <v>129</v>
      </c>
      <c r="F1174">
        <v>1</v>
      </c>
      <c r="G1174">
        <v>0.1</v>
      </c>
      <c r="H1174">
        <v>49500</v>
      </c>
      <c r="I1174">
        <v>5463.39</v>
      </c>
      <c r="J1174" t="s">
        <v>26</v>
      </c>
      <c r="K1174" t="s">
        <v>27</v>
      </c>
      <c r="L1174">
        <v>49500</v>
      </c>
      <c r="M1174">
        <v>11.037151515151519</v>
      </c>
      <c r="N1174" t="s">
        <v>8</v>
      </c>
      <c r="O1174" t="s">
        <v>971</v>
      </c>
      <c r="P1174" t="s">
        <v>83</v>
      </c>
      <c r="Q1174" t="s">
        <v>30</v>
      </c>
      <c r="R1174" t="s">
        <v>31</v>
      </c>
      <c r="S1174" t="s">
        <v>32</v>
      </c>
      <c r="T1174" t="s">
        <v>972</v>
      </c>
      <c r="U1174" t="s">
        <v>34</v>
      </c>
      <c r="V1174">
        <v>5463.39</v>
      </c>
    </row>
    <row r="1175" spans="1:22" x14ac:dyDescent="0.3">
      <c r="A1175" t="s">
        <v>2462</v>
      </c>
      <c r="B1175" s="2">
        <v>46263</v>
      </c>
      <c r="C1175" t="s">
        <v>1548</v>
      </c>
      <c r="D1175" t="s">
        <v>37</v>
      </c>
      <c r="E1175" t="s">
        <v>310</v>
      </c>
      <c r="F1175">
        <v>1</v>
      </c>
      <c r="G1175">
        <v>0.15</v>
      </c>
      <c r="H1175">
        <v>1870</v>
      </c>
      <c r="I1175">
        <v>502.97</v>
      </c>
      <c r="J1175" t="s">
        <v>39</v>
      </c>
      <c r="K1175" t="s">
        <v>40</v>
      </c>
      <c r="L1175">
        <v>1870</v>
      </c>
      <c r="M1175">
        <v>26.896791443850269</v>
      </c>
      <c r="N1175" t="s">
        <v>8</v>
      </c>
      <c r="O1175" t="s">
        <v>825</v>
      </c>
      <c r="P1175" t="s">
        <v>83</v>
      </c>
      <c r="Q1175" t="s">
        <v>30</v>
      </c>
      <c r="R1175" t="s">
        <v>98</v>
      </c>
      <c r="S1175" t="s">
        <v>54</v>
      </c>
      <c r="T1175" t="s">
        <v>1549</v>
      </c>
      <c r="U1175" t="s">
        <v>34</v>
      </c>
      <c r="V1175">
        <v>502.97</v>
      </c>
    </row>
    <row r="1176" spans="1:22" x14ac:dyDescent="0.3">
      <c r="A1176" t="s">
        <v>2463</v>
      </c>
      <c r="B1176" s="2">
        <v>45894</v>
      </c>
      <c r="C1176" t="s">
        <v>1346</v>
      </c>
      <c r="D1176" t="s">
        <v>24</v>
      </c>
      <c r="E1176" t="s">
        <v>242</v>
      </c>
      <c r="F1176">
        <v>1</v>
      </c>
      <c r="G1176">
        <v>0</v>
      </c>
      <c r="H1176">
        <v>450</v>
      </c>
      <c r="I1176">
        <v>110</v>
      </c>
      <c r="J1176" t="s">
        <v>51</v>
      </c>
      <c r="K1176" t="s">
        <v>40</v>
      </c>
      <c r="L1176">
        <v>450</v>
      </c>
      <c r="M1176">
        <v>24.444444444444439</v>
      </c>
      <c r="N1176" t="s">
        <v>8</v>
      </c>
      <c r="O1176" t="s">
        <v>825</v>
      </c>
      <c r="P1176" t="s">
        <v>73</v>
      </c>
      <c r="Q1176" t="s">
        <v>30</v>
      </c>
      <c r="R1176" t="s">
        <v>98</v>
      </c>
      <c r="S1176" t="s">
        <v>54</v>
      </c>
      <c r="T1176" t="s">
        <v>1347</v>
      </c>
      <c r="U1176" t="s">
        <v>34</v>
      </c>
      <c r="V1176">
        <v>110</v>
      </c>
    </row>
    <row r="1177" spans="1:22" x14ac:dyDescent="0.3">
      <c r="A1177" t="s">
        <v>2464</v>
      </c>
      <c r="B1177" s="2">
        <v>45989</v>
      </c>
      <c r="C1177" t="s">
        <v>1785</v>
      </c>
      <c r="D1177" t="s">
        <v>49</v>
      </c>
      <c r="E1177" t="s">
        <v>79</v>
      </c>
      <c r="F1177">
        <v>2</v>
      </c>
      <c r="G1177">
        <v>0</v>
      </c>
      <c r="H1177">
        <v>22000</v>
      </c>
      <c r="I1177">
        <v>5200</v>
      </c>
      <c r="J1177" t="s">
        <v>65</v>
      </c>
      <c r="K1177" t="s">
        <v>40</v>
      </c>
      <c r="L1177">
        <v>11000</v>
      </c>
      <c r="M1177">
        <v>23.63636363636364</v>
      </c>
      <c r="N1177" t="s">
        <v>8</v>
      </c>
      <c r="O1177" t="s">
        <v>1786</v>
      </c>
      <c r="P1177" t="s">
        <v>83</v>
      </c>
      <c r="Q1177" t="s">
        <v>30</v>
      </c>
      <c r="R1177" t="s">
        <v>53</v>
      </c>
      <c r="S1177" t="s">
        <v>54</v>
      </c>
      <c r="T1177" t="s">
        <v>227</v>
      </c>
      <c r="U1177" t="s">
        <v>46</v>
      </c>
      <c r="V1177">
        <v>2600</v>
      </c>
    </row>
    <row r="1178" spans="1:22" x14ac:dyDescent="0.3">
      <c r="A1178" t="s">
        <v>2465</v>
      </c>
      <c r="B1178" s="2">
        <v>46151</v>
      </c>
      <c r="C1178" t="s">
        <v>1634</v>
      </c>
      <c r="D1178" t="s">
        <v>49</v>
      </c>
      <c r="E1178" t="s">
        <v>119</v>
      </c>
      <c r="F1178">
        <v>2</v>
      </c>
      <c r="G1178">
        <v>0.2</v>
      </c>
      <c r="H1178">
        <v>14400</v>
      </c>
      <c r="I1178">
        <v>1918.12</v>
      </c>
      <c r="J1178" t="s">
        <v>26</v>
      </c>
      <c r="K1178" t="s">
        <v>40</v>
      </c>
      <c r="L1178">
        <v>7200</v>
      </c>
      <c r="M1178">
        <v>13.320277777777781</v>
      </c>
      <c r="N1178" t="s">
        <v>8</v>
      </c>
      <c r="O1178" t="s">
        <v>233</v>
      </c>
      <c r="P1178" t="s">
        <v>29</v>
      </c>
      <c r="Q1178" t="s">
        <v>600</v>
      </c>
      <c r="R1178" t="s">
        <v>237</v>
      </c>
      <c r="S1178" t="s">
        <v>238</v>
      </c>
      <c r="T1178" t="s">
        <v>1635</v>
      </c>
      <c r="U1178" t="s">
        <v>34</v>
      </c>
      <c r="V1178">
        <v>959.06</v>
      </c>
    </row>
    <row r="1179" spans="1:22" x14ac:dyDescent="0.3">
      <c r="A1179" t="s">
        <v>2466</v>
      </c>
      <c r="B1179" s="2">
        <v>46099</v>
      </c>
      <c r="C1179" t="s">
        <v>2467</v>
      </c>
      <c r="D1179" t="s">
        <v>49</v>
      </c>
      <c r="E1179" t="s">
        <v>58</v>
      </c>
      <c r="F1179">
        <v>2</v>
      </c>
      <c r="G1179">
        <v>0</v>
      </c>
      <c r="H1179">
        <v>30000</v>
      </c>
      <c r="I1179">
        <v>7000</v>
      </c>
      <c r="J1179" t="s">
        <v>51</v>
      </c>
      <c r="K1179" t="s">
        <v>40</v>
      </c>
      <c r="L1179">
        <v>15000</v>
      </c>
      <c r="M1179">
        <v>23.333333333333329</v>
      </c>
      <c r="N1179" t="s">
        <v>8</v>
      </c>
      <c r="O1179" t="s">
        <v>213</v>
      </c>
      <c r="P1179" t="s">
        <v>29</v>
      </c>
      <c r="Q1179" t="s">
        <v>42</v>
      </c>
      <c r="R1179" t="s">
        <v>214</v>
      </c>
      <c r="S1179" t="s">
        <v>111</v>
      </c>
      <c r="T1179" t="s">
        <v>1103</v>
      </c>
      <c r="U1179" t="s">
        <v>46</v>
      </c>
      <c r="V1179">
        <v>3500</v>
      </c>
    </row>
    <row r="1180" spans="1:22" x14ac:dyDescent="0.3">
      <c r="A1180" t="s">
        <v>2468</v>
      </c>
      <c r="B1180" s="2">
        <v>45976</v>
      </c>
      <c r="C1180" t="s">
        <v>675</v>
      </c>
      <c r="D1180" t="s">
        <v>37</v>
      </c>
      <c r="E1180" t="s">
        <v>310</v>
      </c>
      <c r="F1180">
        <v>2</v>
      </c>
      <c r="G1180">
        <v>0.1</v>
      </c>
      <c r="H1180">
        <v>3960</v>
      </c>
      <c r="I1180">
        <v>1296.81</v>
      </c>
      <c r="J1180" t="s">
        <v>51</v>
      </c>
      <c r="K1180" t="s">
        <v>40</v>
      </c>
      <c r="L1180">
        <v>1980</v>
      </c>
      <c r="M1180">
        <v>32.747727272727268</v>
      </c>
      <c r="N1180" t="s">
        <v>8</v>
      </c>
      <c r="O1180" t="s">
        <v>255</v>
      </c>
      <c r="P1180" t="s">
        <v>29</v>
      </c>
      <c r="Q1180" t="s">
        <v>30</v>
      </c>
      <c r="R1180" t="s">
        <v>60</v>
      </c>
      <c r="S1180" t="s">
        <v>61</v>
      </c>
      <c r="T1180" t="s">
        <v>676</v>
      </c>
      <c r="U1180" t="s">
        <v>105</v>
      </c>
      <c r="V1180">
        <v>648.40499999999997</v>
      </c>
    </row>
    <row r="1181" spans="1:22" x14ac:dyDescent="0.3">
      <c r="A1181" t="s">
        <v>2469</v>
      </c>
      <c r="B1181" s="2">
        <v>45971</v>
      </c>
      <c r="C1181" t="s">
        <v>118</v>
      </c>
      <c r="D1181" t="s">
        <v>70</v>
      </c>
      <c r="E1181" t="s">
        <v>129</v>
      </c>
      <c r="F1181">
        <v>1</v>
      </c>
      <c r="G1181">
        <v>0</v>
      </c>
      <c r="H1181">
        <v>55000</v>
      </c>
      <c r="I1181">
        <v>-23568.76</v>
      </c>
      <c r="J1181" t="s">
        <v>39</v>
      </c>
      <c r="K1181" t="s">
        <v>434</v>
      </c>
      <c r="L1181">
        <v>55000</v>
      </c>
      <c r="M1181">
        <v>-42.852290909090897</v>
      </c>
      <c r="N1181" t="s">
        <v>81</v>
      </c>
      <c r="O1181" t="s">
        <v>120</v>
      </c>
      <c r="P1181" t="s">
        <v>73</v>
      </c>
      <c r="Q1181" t="s">
        <v>42</v>
      </c>
      <c r="R1181" t="s">
        <v>121</v>
      </c>
      <c r="S1181" t="s">
        <v>44</v>
      </c>
      <c r="T1181" t="s">
        <v>122</v>
      </c>
      <c r="U1181" t="s">
        <v>100</v>
      </c>
      <c r="V1181">
        <v>-23568.76</v>
      </c>
    </row>
    <row r="1182" spans="1:22" x14ac:dyDescent="0.3">
      <c r="A1182" t="s">
        <v>2470</v>
      </c>
      <c r="B1182" s="2">
        <v>46091</v>
      </c>
      <c r="C1182" t="s">
        <v>681</v>
      </c>
      <c r="D1182" t="s">
        <v>24</v>
      </c>
      <c r="E1182" t="s">
        <v>25</v>
      </c>
      <c r="F1182">
        <v>3</v>
      </c>
      <c r="G1182">
        <v>0.15</v>
      </c>
      <c r="H1182">
        <v>35700</v>
      </c>
      <c r="I1182">
        <v>4050.61</v>
      </c>
      <c r="J1182" t="s">
        <v>51</v>
      </c>
      <c r="K1182" t="s">
        <v>40</v>
      </c>
      <c r="L1182">
        <v>11900</v>
      </c>
      <c r="M1182">
        <v>11.34624649859944</v>
      </c>
      <c r="N1182" t="s">
        <v>8</v>
      </c>
      <c r="O1182" t="s">
        <v>682</v>
      </c>
      <c r="P1182" t="s">
        <v>29</v>
      </c>
      <c r="Q1182" t="s">
        <v>131</v>
      </c>
      <c r="R1182" t="s">
        <v>200</v>
      </c>
      <c r="S1182" t="s">
        <v>201</v>
      </c>
      <c r="T1182" t="s">
        <v>683</v>
      </c>
      <c r="U1182" t="s">
        <v>46</v>
      </c>
      <c r="V1182">
        <v>1350.2033333333329</v>
      </c>
    </row>
    <row r="1183" spans="1:22" x14ac:dyDescent="0.3">
      <c r="A1183" t="s">
        <v>2471</v>
      </c>
      <c r="B1183" s="2">
        <v>45899</v>
      </c>
      <c r="C1183" t="s">
        <v>2472</v>
      </c>
      <c r="D1183" t="s">
        <v>70</v>
      </c>
      <c r="E1183" t="s">
        <v>108</v>
      </c>
      <c r="F1183">
        <v>6</v>
      </c>
      <c r="G1183">
        <v>0.05</v>
      </c>
      <c r="H1183">
        <v>25650</v>
      </c>
      <c r="I1183">
        <v>8226.59</v>
      </c>
      <c r="J1183" t="s">
        <v>51</v>
      </c>
      <c r="K1183" t="s">
        <v>40</v>
      </c>
      <c r="L1183">
        <v>4275</v>
      </c>
      <c r="M1183">
        <v>32.072475633528263</v>
      </c>
      <c r="N1183" t="s">
        <v>8</v>
      </c>
      <c r="O1183" t="s">
        <v>2473</v>
      </c>
      <c r="P1183" t="s">
        <v>73</v>
      </c>
      <c r="Q1183" t="s">
        <v>74</v>
      </c>
      <c r="R1183" t="s">
        <v>115</v>
      </c>
      <c r="S1183" t="s">
        <v>115</v>
      </c>
      <c r="T1183" t="s">
        <v>2474</v>
      </c>
      <c r="U1183" t="s">
        <v>105</v>
      </c>
      <c r="V1183">
        <v>1371.0983333333329</v>
      </c>
    </row>
    <row r="1184" spans="1:22" x14ac:dyDescent="0.3">
      <c r="A1184" t="s">
        <v>2475</v>
      </c>
      <c r="B1184" s="2">
        <v>46246</v>
      </c>
      <c r="C1184" t="s">
        <v>1655</v>
      </c>
      <c r="D1184" t="s">
        <v>24</v>
      </c>
      <c r="E1184" t="s">
        <v>87</v>
      </c>
      <c r="F1184">
        <v>2</v>
      </c>
      <c r="G1184">
        <v>0</v>
      </c>
      <c r="H1184">
        <v>700</v>
      </c>
      <c r="I1184">
        <v>240</v>
      </c>
      <c r="J1184" t="s">
        <v>39</v>
      </c>
      <c r="K1184" t="s">
        <v>40</v>
      </c>
      <c r="L1184">
        <v>350</v>
      </c>
      <c r="M1184">
        <v>34.285714285714278</v>
      </c>
      <c r="N1184" t="s">
        <v>8</v>
      </c>
      <c r="O1184" t="s">
        <v>1656</v>
      </c>
      <c r="P1184" t="s">
        <v>29</v>
      </c>
      <c r="Q1184" t="s">
        <v>30</v>
      </c>
      <c r="R1184" t="s">
        <v>53</v>
      </c>
      <c r="S1184" t="s">
        <v>54</v>
      </c>
      <c r="T1184" t="s">
        <v>1657</v>
      </c>
      <c r="U1184" t="s">
        <v>34</v>
      </c>
      <c r="V1184">
        <v>120</v>
      </c>
    </row>
    <row r="1185" spans="1:22" x14ac:dyDescent="0.3">
      <c r="A1185" t="s">
        <v>2476</v>
      </c>
      <c r="B1185" s="2">
        <v>45908</v>
      </c>
      <c r="C1185" t="s">
        <v>593</v>
      </c>
      <c r="D1185" t="s">
        <v>24</v>
      </c>
      <c r="E1185" t="s">
        <v>92</v>
      </c>
      <c r="F1185">
        <v>6</v>
      </c>
      <c r="G1185">
        <v>0.1</v>
      </c>
      <c r="H1185">
        <v>4860</v>
      </c>
      <c r="I1185">
        <v>1245.75</v>
      </c>
      <c r="J1185" t="s">
        <v>26</v>
      </c>
      <c r="K1185" t="s">
        <v>40</v>
      </c>
      <c r="L1185">
        <v>810</v>
      </c>
      <c r="M1185">
        <v>25.632716049382719</v>
      </c>
      <c r="N1185" t="s">
        <v>8</v>
      </c>
      <c r="O1185" t="s">
        <v>594</v>
      </c>
      <c r="P1185" t="s">
        <v>83</v>
      </c>
      <c r="Q1185" t="s">
        <v>30</v>
      </c>
      <c r="R1185" t="s">
        <v>31</v>
      </c>
      <c r="S1185" t="s">
        <v>32</v>
      </c>
      <c r="T1185" t="s">
        <v>595</v>
      </c>
      <c r="U1185" t="s">
        <v>46</v>
      </c>
      <c r="V1185">
        <v>207.625</v>
      </c>
    </row>
    <row r="1186" spans="1:22" x14ac:dyDescent="0.3">
      <c r="A1186" t="s">
        <v>2477</v>
      </c>
      <c r="B1186" s="2">
        <v>46108</v>
      </c>
      <c r="C1186" t="s">
        <v>2478</v>
      </c>
      <c r="D1186" t="s">
        <v>49</v>
      </c>
      <c r="E1186" t="s">
        <v>79</v>
      </c>
      <c r="F1186">
        <v>15</v>
      </c>
      <c r="G1186">
        <v>0.1</v>
      </c>
      <c r="H1186">
        <v>148500</v>
      </c>
      <c r="I1186">
        <v>28878.92</v>
      </c>
      <c r="J1186" t="s">
        <v>65</v>
      </c>
      <c r="K1186" t="s">
        <v>40</v>
      </c>
      <c r="L1186">
        <v>9900</v>
      </c>
      <c r="M1186">
        <v>19.447084175084171</v>
      </c>
      <c r="N1186" t="s">
        <v>8</v>
      </c>
      <c r="O1186" t="s">
        <v>2479</v>
      </c>
      <c r="P1186" t="s">
        <v>73</v>
      </c>
      <c r="Q1186" t="s">
        <v>131</v>
      </c>
      <c r="R1186" t="s">
        <v>289</v>
      </c>
      <c r="S1186" t="s">
        <v>290</v>
      </c>
      <c r="T1186" t="s">
        <v>1946</v>
      </c>
      <c r="U1186" t="s">
        <v>46</v>
      </c>
      <c r="V1186">
        <v>1925.2613333333329</v>
      </c>
    </row>
    <row r="1187" spans="1:22" x14ac:dyDescent="0.3">
      <c r="A1187" t="s">
        <v>2480</v>
      </c>
      <c r="B1187" s="2">
        <v>46264</v>
      </c>
      <c r="C1187" t="s">
        <v>1788</v>
      </c>
      <c r="D1187" t="s">
        <v>24</v>
      </c>
      <c r="E1187" t="s">
        <v>25</v>
      </c>
      <c r="F1187">
        <v>1</v>
      </c>
      <c r="G1187">
        <v>0.1</v>
      </c>
      <c r="H1187">
        <v>12600</v>
      </c>
      <c r="I1187">
        <v>-5189.6000000000004</v>
      </c>
      <c r="J1187" t="s">
        <v>65</v>
      </c>
      <c r="K1187" t="s">
        <v>434</v>
      </c>
      <c r="L1187">
        <v>12600</v>
      </c>
      <c r="M1187">
        <v>-41.18730158730159</v>
      </c>
      <c r="N1187" t="s">
        <v>81</v>
      </c>
      <c r="O1187" t="s">
        <v>349</v>
      </c>
      <c r="P1187" t="s">
        <v>73</v>
      </c>
      <c r="Q1187" t="s">
        <v>131</v>
      </c>
      <c r="R1187" t="s">
        <v>200</v>
      </c>
      <c r="S1187" t="s">
        <v>201</v>
      </c>
      <c r="T1187" t="s">
        <v>1789</v>
      </c>
      <c r="U1187" t="s">
        <v>34</v>
      </c>
      <c r="V1187">
        <v>-5189.6000000000004</v>
      </c>
    </row>
    <row r="1188" spans="1:22" x14ac:dyDescent="0.3">
      <c r="A1188" t="s">
        <v>2481</v>
      </c>
      <c r="B1188" s="2">
        <v>46261</v>
      </c>
      <c r="C1188" t="s">
        <v>421</v>
      </c>
      <c r="D1188" t="s">
        <v>24</v>
      </c>
      <c r="E1188" t="s">
        <v>25</v>
      </c>
      <c r="F1188">
        <v>2</v>
      </c>
      <c r="G1188">
        <v>0.05</v>
      </c>
      <c r="H1188">
        <v>26600</v>
      </c>
      <c r="I1188">
        <v>4439.34</v>
      </c>
      <c r="J1188" t="s">
        <v>65</v>
      </c>
      <c r="K1188" t="s">
        <v>40</v>
      </c>
      <c r="L1188">
        <v>13300</v>
      </c>
      <c r="M1188">
        <v>16.68924812030075</v>
      </c>
      <c r="N1188" t="s">
        <v>8</v>
      </c>
      <c r="O1188" t="s">
        <v>422</v>
      </c>
      <c r="P1188" t="s">
        <v>73</v>
      </c>
      <c r="Q1188" t="s">
        <v>30</v>
      </c>
      <c r="R1188" t="s">
        <v>98</v>
      </c>
      <c r="S1188" t="s">
        <v>54</v>
      </c>
      <c r="T1188" t="s">
        <v>423</v>
      </c>
      <c r="U1188" t="s">
        <v>34</v>
      </c>
      <c r="V1188">
        <v>2219.67</v>
      </c>
    </row>
    <row r="1189" spans="1:22" x14ac:dyDescent="0.3">
      <c r="A1189" t="s">
        <v>2482</v>
      </c>
      <c r="B1189" s="2">
        <v>46257</v>
      </c>
      <c r="C1189" t="s">
        <v>2483</v>
      </c>
      <c r="D1189" t="s">
        <v>49</v>
      </c>
      <c r="E1189" t="s">
        <v>79</v>
      </c>
      <c r="F1189">
        <v>2</v>
      </c>
      <c r="G1189">
        <v>0.1</v>
      </c>
      <c r="H1189">
        <v>19800</v>
      </c>
      <c r="I1189">
        <v>4025.67</v>
      </c>
      <c r="J1189" t="s">
        <v>39</v>
      </c>
      <c r="K1189" t="s">
        <v>40</v>
      </c>
      <c r="L1189">
        <v>9900</v>
      </c>
      <c r="M1189">
        <v>20.331666666666671</v>
      </c>
      <c r="N1189" t="s">
        <v>8</v>
      </c>
      <c r="O1189" t="s">
        <v>1786</v>
      </c>
      <c r="P1189" t="s">
        <v>73</v>
      </c>
      <c r="Q1189" t="s">
        <v>74</v>
      </c>
      <c r="R1189" t="s">
        <v>237</v>
      </c>
      <c r="S1189" t="s">
        <v>238</v>
      </c>
      <c r="T1189" t="s">
        <v>2484</v>
      </c>
      <c r="U1189" t="s">
        <v>46</v>
      </c>
      <c r="V1189">
        <v>2012.835</v>
      </c>
    </row>
    <row r="1190" spans="1:22" x14ac:dyDescent="0.3">
      <c r="A1190" t="s">
        <v>2485</v>
      </c>
      <c r="B1190" s="2">
        <v>45988</v>
      </c>
      <c r="C1190" t="s">
        <v>297</v>
      </c>
      <c r="D1190" t="s">
        <v>49</v>
      </c>
      <c r="E1190" t="s">
        <v>119</v>
      </c>
      <c r="F1190">
        <v>2</v>
      </c>
      <c r="G1190">
        <v>0.05</v>
      </c>
      <c r="H1190">
        <v>17100</v>
      </c>
      <c r="I1190">
        <v>4142.5600000000004</v>
      </c>
      <c r="J1190" t="s">
        <v>51</v>
      </c>
      <c r="K1190" t="s">
        <v>40</v>
      </c>
      <c r="L1190">
        <v>8550</v>
      </c>
      <c r="M1190">
        <v>24.225497076023391</v>
      </c>
      <c r="N1190" t="s">
        <v>8</v>
      </c>
      <c r="O1190" t="s">
        <v>298</v>
      </c>
      <c r="P1190" t="s">
        <v>83</v>
      </c>
      <c r="Q1190" t="s">
        <v>30</v>
      </c>
      <c r="R1190" t="s">
        <v>60</v>
      </c>
      <c r="S1190" t="s">
        <v>61</v>
      </c>
      <c r="T1190" t="s">
        <v>299</v>
      </c>
      <c r="U1190" t="s">
        <v>46</v>
      </c>
      <c r="V1190">
        <v>2071.2800000000002</v>
      </c>
    </row>
    <row r="1191" spans="1:22" x14ac:dyDescent="0.3">
      <c r="A1191" t="s">
        <v>2486</v>
      </c>
      <c r="B1191" s="2">
        <v>46020</v>
      </c>
      <c r="C1191" t="s">
        <v>1648</v>
      </c>
      <c r="D1191" t="s">
        <v>37</v>
      </c>
      <c r="E1191" t="s">
        <v>310</v>
      </c>
      <c r="F1191">
        <v>3</v>
      </c>
      <c r="G1191">
        <v>0.1</v>
      </c>
      <c r="H1191">
        <v>5940</v>
      </c>
      <c r="I1191">
        <v>1720.74</v>
      </c>
      <c r="J1191" t="s">
        <v>26</v>
      </c>
      <c r="K1191" t="s">
        <v>40</v>
      </c>
      <c r="L1191">
        <v>1980</v>
      </c>
      <c r="M1191">
        <v>28.96868686868687</v>
      </c>
      <c r="N1191" t="s">
        <v>8</v>
      </c>
      <c r="O1191" t="s">
        <v>1649</v>
      </c>
      <c r="P1191" t="s">
        <v>73</v>
      </c>
      <c r="Q1191" t="s">
        <v>30</v>
      </c>
      <c r="R1191" t="s">
        <v>98</v>
      </c>
      <c r="S1191" t="s">
        <v>54</v>
      </c>
      <c r="T1191" t="s">
        <v>1650</v>
      </c>
      <c r="U1191" t="s">
        <v>34</v>
      </c>
      <c r="V1191">
        <v>573.58000000000004</v>
      </c>
    </row>
    <row r="1192" spans="1:22" x14ac:dyDescent="0.3">
      <c r="A1192" t="s">
        <v>2487</v>
      </c>
      <c r="B1192" s="2">
        <v>46108</v>
      </c>
      <c r="C1192" t="s">
        <v>1934</v>
      </c>
      <c r="D1192" t="s">
        <v>24</v>
      </c>
      <c r="E1192" t="s">
        <v>87</v>
      </c>
      <c r="F1192">
        <v>3</v>
      </c>
      <c r="G1192">
        <v>0.15</v>
      </c>
      <c r="H1192">
        <v>892.5</v>
      </c>
      <c r="I1192">
        <v>236.59</v>
      </c>
      <c r="J1192" t="s">
        <v>51</v>
      </c>
      <c r="K1192" t="s">
        <v>40</v>
      </c>
      <c r="L1192">
        <v>297.5</v>
      </c>
      <c r="M1192">
        <v>26.50868347338935</v>
      </c>
      <c r="N1192" t="s">
        <v>8</v>
      </c>
      <c r="O1192" t="s">
        <v>975</v>
      </c>
      <c r="P1192" t="s">
        <v>73</v>
      </c>
      <c r="Q1192" t="s">
        <v>74</v>
      </c>
      <c r="R1192" t="s">
        <v>75</v>
      </c>
      <c r="S1192" t="s">
        <v>75</v>
      </c>
      <c r="T1192" t="s">
        <v>1425</v>
      </c>
      <c r="U1192" t="s">
        <v>46</v>
      </c>
      <c r="V1192">
        <v>78.86333333333333</v>
      </c>
    </row>
    <row r="1193" spans="1:22" x14ac:dyDescent="0.3">
      <c r="A1193" t="s">
        <v>2488</v>
      </c>
      <c r="B1193" s="2">
        <v>46079</v>
      </c>
      <c r="C1193" t="s">
        <v>1131</v>
      </c>
      <c r="D1193" t="s">
        <v>49</v>
      </c>
      <c r="E1193" t="s">
        <v>50</v>
      </c>
      <c r="F1193">
        <v>4</v>
      </c>
      <c r="G1193">
        <v>0.15</v>
      </c>
      <c r="H1193">
        <v>44200</v>
      </c>
      <c r="I1193">
        <v>8765.4</v>
      </c>
      <c r="J1193" t="s">
        <v>26</v>
      </c>
      <c r="K1193" t="s">
        <v>40</v>
      </c>
      <c r="L1193">
        <v>11050</v>
      </c>
      <c r="M1193">
        <v>19.831221719457009</v>
      </c>
      <c r="N1193" t="s">
        <v>8</v>
      </c>
      <c r="O1193" t="s">
        <v>226</v>
      </c>
      <c r="P1193" t="s">
        <v>73</v>
      </c>
      <c r="Q1193" t="s">
        <v>74</v>
      </c>
      <c r="R1193" t="s">
        <v>75</v>
      </c>
      <c r="S1193" t="s">
        <v>75</v>
      </c>
      <c r="T1193" t="s">
        <v>1132</v>
      </c>
      <c r="U1193" t="s">
        <v>100</v>
      </c>
      <c r="V1193">
        <v>2191.35</v>
      </c>
    </row>
    <row r="1194" spans="1:22" x14ac:dyDescent="0.3">
      <c r="A1194" t="s">
        <v>2489</v>
      </c>
      <c r="B1194" s="2">
        <v>45857</v>
      </c>
      <c r="C1194" t="s">
        <v>818</v>
      </c>
      <c r="D1194" t="s">
        <v>24</v>
      </c>
      <c r="E1194" t="s">
        <v>92</v>
      </c>
      <c r="F1194">
        <v>5</v>
      </c>
      <c r="G1194">
        <v>0.1</v>
      </c>
      <c r="H1194">
        <v>4050</v>
      </c>
      <c r="I1194">
        <v>1135.83</v>
      </c>
      <c r="J1194" t="s">
        <v>26</v>
      </c>
      <c r="K1194" t="s">
        <v>40</v>
      </c>
      <c r="L1194">
        <v>810</v>
      </c>
      <c r="M1194">
        <v>28.045185185185179</v>
      </c>
      <c r="N1194" t="s">
        <v>8</v>
      </c>
      <c r="O1194" t="s">
        <v>209</v>
      </c>
      <c r="P1194" t="s">
        <v>29</v>
      </c>
      <c r="Q1194" t="s">
        <v>42</v>
      </c>
      <c r="R1194" t="s">
        <v>110</v>
      </c>
      <c r="S1194" t="s">
        <v>111</v>
      </c>
      <c r="T1194" t="s">
        <v>162</v>
      </c>
      <c r="U1194" t="s">
        <v>105</v>
      </c>
      <c r="V1194">
        <v>227.166</v>
      </c>
    </row>
    <row r="1195" spans="1:22" x14ac:dyDescent="0.3">
      <c r="A1195" t="s">
        <v>2490</v>
      </c>
      <c r="B1195" s="2">
        <v>46078</v>
      </c>
      <c r="C1195" t="s">
        <v>1676</v>
      </c>
      <c r="D1195" t="s">
        <v>49</v>
      </c>
      <c r="E1195" t="s">
        <v>50</v>
      </c>
      <c r="F1195">
        <v>2</v>
      </c>
      <c r="G1195">
        <v>0.05</v>
      </c>
      <c r="H1195">
        <v>24700</v>
      </c>
      <c r="I1195">
        <v>-13350.44</v>
      </c>
      <c r="J1195" t="s">
        <v>26</v>
      </c>
      <c r="K1195" t="s">
        <v>434</v>
      </c>
      <c r="L1195">
        <v>12350</v>
      </c>
      <c r="M1195">
        <v>-54.050364372469637</v>
      </c>
      <c r="N1195" t="s">
        <v>81</v>
      </c>
      <c r="O1195" t="s">
        <v>1649</v>
      </c>
      <c r="P1195" t="s">
        <v>73</v>
      </c>
      <c r="Q1195" t="s">
        <v>30</v>
      </c>
      <c r="R1195" t="s">
        <v>31</v>
      </c>
      <c r="S1195" t="s">
        <v>32</v>
      </c>
      <c r="T1195" t="s">
        <v>1677</v>
      </c>
      <c r="U1195" t="s">
        <v>46</v>
      </c>
      <c r="V1195">
        <v>-6675.22</v>
      </c>
    </row>
    <row r="1196" spans="1:22" x14ac:dyDescent="0.3">
      <c r="A1196" t="s">
        <v>2491</v>
      </c>
      <c r="B1196" s="2">
        <v>46121</v>
      </c>
      <c r="C1196" t="s">
        <v>2029</v>
      </c>
      <c r="D1196" t="s">
        <v>70</v>
      </c>
      <c r="E1196" t="s">
        <v>108</v>
      </c>
      <c r="F1196">
        <v>15</v>
      </c>
      <c r="G1196">
        <v>0.2</v>
      </c>
      <c r="H1196">
        <v>54000</v>
      </c>
      <c r="I1196">
        <v>14963.42</v>
      </c>
      <c r="J1196" t="s">
        <v>26</v>
      </c>
      <c r="K1196" t="s">
        <v>40</v>
      </c>
      <c r="L1196">
        <v>3600</v>
      </c>
      <c r="M1196">
        <v>27.71003703703704</v>
      </c>
      <c r="N1196" t="s">
        <v>8</v>
      </c>
      <c r="O1196" t="s">
        <v>157</v>
      </c>
      <c r="P1196" t="s">
        <v>29</v>
      </c>
      <c r="Q1196" t="s">
        <v>42</v>
      </c>
      <c r="R1196" t="s">
        <v>110</v>
      </c>
      <c r="S1196" t="s">
        <v>111</v>
      </c>
      <c r="T1196" t="s">
        <v>2030</v>
      </c>
      <c r="U1196" t="s">
        <v>34</v>
      </c>
      <c r="V1196">
        <v>997.56133333333332</v>
      </c>
    </row>
    <row r="1197" spans="1:22" x14ac:dyDescent="0.3">
      <c r="A1197" t="s">
        <v>2492</v>
      </c>
      <c r="B1197" s="2">
        <v>45866</v>
      </c>
      <c r="C1197" t="s">
        <v>469</v>
      </c>
      <c r="D1197" t="s">
        <v>24</v>
      </c>
      <c r="E1197" t="s">
        <v>92</v>
      </c>
      <c r="F1197">
        <v>6</v>
      </c>
      <c r="G1197">
        <v>0.15</v>
      </c>
      <c r="H1197">
        <v>4590</v>
      </c>
      <c r="I1197">
        <v>1083.18</v>
      </c>
      <c r="J1197" t="s">
        <v>51</v>
      </c>
      <c r="K1197" t="s">
        <v>40</v>
      </c>
      <c r="L1197">
        <v>765</v>
      </c>
      <c r="M1197">
        <v>23.598692810457521</v>
      </c>
      <c r="N1197" t="s">
        <v>8</v>
      </c>
      <c r="O1197" t="s">
        <v>470</v>
      </c>
      <c r="P1197" t="s">
        <v>83</v>
      </c>
      <c r="Q1197" t="s">
        <v>30</v>
      </c>
      <c r="R1197" t="s">
        <v>31</v>
      </c>
      <c r="S1197" t="s">
        <v>32</v>
      </c>
      <c r="T1197" t="s">
        <v>471</v>
      </c>
      <c r="U1197" t="s">
        <v>100</v>
      </c>
      <c r="V1197">
        <v>180.53</v>
      </c>
    </row>
    <row r="1198" spans="1:22" x14ac:dyDescent="0.3">
      <c r="A1198" t="s">
        <v>2493</v>
      </c>
      <c r="B1198" s="2">
        <v>46079</v>
      </c>
      <c r="C1198" t="s">
        <v>933</v>
      </c>
      <c r="D1198" t="s">
        <v>70</v>
      </c>
      <c r="E1198" t="s">
        <v>71</v>
      </c>
      <c r="F1198">
        <v>1</v>
      </c>
      <c r="G1198">
        <v>0.2</v>
      </c>
      <c r="H1198">
        <v>14400</v>
      </c>
      <c r="I1198">
        <v>1463.05</v>
      </c>
      <c r="J1198" t="s">
        <v>51</v>
      </c>
      <c r="K1198" t="s">
        <v>40</v>
      </c>
      <c r="L1198">
        <v>14400</v>
      </c>
      <c r="M1198">
        <v>10.16006944444444</v>
      </c>
      <c r="N1198" t="s">
        <v>8</v>
      </c>
      <c r="O1198" t="s">
        <v>233</v>
      </c>
      <c r="P1198" t="s">
        <v>29</v>
      </c>
      <c r="Q1198" t="s">
        <v>30</v>
      </c>
      <c r="R1198" t="s">
        <v>31</v>
      </c>
      <c r="S1198" t="s">
        <v>32</v>
      </c>
      <c r="T1198" t="s">
        <v>934</v>
      </c>
      <c r="U1198" t="s">
        <v>34</v>
      </c>
      <c r="V1198">
        <v>1463.05</v>
      </c>
    </row>
    <row r="1199" spans="1:22" x14ac:dyDescent="0.3">
      <c r="A1199" t="s">
        <v>2494</v>
      </c>
      <c r="B1199" s="2">
        <v>46239</v>
      </c>
      <c r="C1199" t="s">
        <v>2495</v>
      </c>
      <c r="D1199" t="s">
        <v>49</v>
      </c>
      <c r="E1199" t="s">
        <v>50</v>
      </c>
      <c r="F1199">
        <v>2</v>
      </c>
      <c r="G1199">
        <v>0</v>
      </c>
      <c r="H1199">
        <v>26000</v>
      </c>
      <c r="I1199">
        <v>-8800.77</v>
      </c>
      <c r="J1199" t="s">
        <v>51</v>
      </c>
      <c r="K1199" t="s">
        <v>80</v>
      </c>
      <c r="L1199">
        <v>13000</v>
      </c>
      <c r="M1199">
        <v>-33.849115384615388</v>
      </c>
      <c r="N1199" t="s">
        <v>81</v>
      </c>
      <c r="O1199" t="s">
        <v>1831</v>
      </c>
      <c r="P1199" t="s">
        <v>29</v>
      </c>
      <c r="Q1199" t="s">
        <v>74</v>
      </c>
      <c r="R1199" t="s">
        <v>237</v>
      </c>
      <c r="S1199" t="s">
        <v>238</v>
      </c>
      <c r="T1199" t="s">
        <v>2496</v>
      </c>
      <c r="U1199" t="s">
        <v>46</v>
      </c>
      <c r="V1199">
        <v>-4400.3850000000002</v>
      </c>
    </row>
    <row r="1200" spans="1:22" x14ac:dyDescent="0.3">
      <c r="A1200" t="s">
        <v>2497</v>
      </c>
      <c r="B1200" s="2">
        <v>46106</v>
      </c>
      <c r="C1200" t="s">
        <v>1069</v>
      </c>
      <c r="D1200" t="s">
        <v>24</v>
      </c>
      <c r="E1200" t="s">
        <v>87</v>
      </c>
      <c r="F1200">
        <v>3</v>
      </c>
      <c r="G1200">
        <v>0.2</v>
      </c>
      <c r="H1200">
        <v>840</v>
      </c>
      <c r="I1200">
        <v>252.26</v>
      </c>
      <c r="J1200" t="s">
        <v>51</v>
      </c>
      <c r="K1200" t="s">
        <v>40</v>
      </c>
      <c r="L1200">
        <v>280</v>
      </c>
      <c r="M1200">
        <v>30.030952380952382</v>
      </c>
      <c r="N1200" t="s">
        <v>8</v>
      </c>
      <c r="O1200" t="s">
        <v>937</v>
      </c>
      <c r="P1200" t="s">
        <v>29</v>
      </c>
      <c r="Q1200" t="s">
        <v>42</v>
      </c>
      <c r="R1200" t="s">
        <v>121</v>
      </c>
      <c r="S1200" t="s">
        <v>44</v>
      </c>
      <c r="T1200" t="s">
        <v>1070</v>
      </c>
      <c r="U1200" t="s">
        <v>34</v>
      </c>
      <c r="V1200">
        <v>84.086666666666659</v>
      </c>
    </row>
    <row r="1201" spans="1:22" x14ac:dyDescent="0.3">
      <c r="A1201" t="s">
        <v>2498</v>
      </c>
      <c r="B1201" s="2">
        <v>45958</v>
      </c>
      <c r="C1201" t="s">
        <v>1791</v>
      </c>
      <c r="D1201" t="s">
        <v>24</v>
      </c>
      <c r="E1201" t="s">
        <v>242</v>
      </c>
      <c r="F1201">
        <v>2</v>
      </c>
      <c r="G1201">
        <v>0.15</v>
      </c>
      <c r="H1201">
        <v>765</v>
      </c>
      <c r="I1201">
        <v>121.97</v>
      </c>
      <c r="J1201" t="s">
        <v>39</v>
      </c>
      <c r="K1201" t="s">
        <v>40</v>
      </c>
      <c r="L1201">
        <v>382.5</v>
      </c>
      <c r="M1201">
        <v>15.943790849673199</v>
      </c>
      <c r="N1201" t="s">
        <v>8</v>
      </c>
      <c r="O1201" t="s">
        <v>851</v>
      </c>
      <c r="P1201" t="s">
        <v>83</v>
      </c>
      <c r="Q1201" t="s">
        <v>30</v>
      </c>
      <c r="R1201" t="s">
        <v>60</v>
      </c>
      <c r="S1201" t="s">
        <v>61</v>
      </c>
      <c r="T1201" t="s">
        <v>1792</v>
      </c>
      <c r="U1201" t="s">
        <v>105</v>
      </c>
      <c r="V1201">
        <v>60.984999999999999</v>
      </c>
    </row>
    <row r="1202" spans="1:22" x14ac:dyDescent="0.3">
      <c r="A1202" t="s">
        <v>2499</v>
      </c>
      <c r="B1202" s="2">
        <v>45848</v>
      </c>
      <c r="C1202" t="s">
        <v>2500</v>
      </c>
      <c r="D1202" t="s">
        <v>49</v>
      </c>
      <c r="E1202" t="s">
        <v>79</v>
      </c>
      <c r="F1202">
        <v>3</v>
      </c>
      <c r="G1202">
        <v>0</v>
      </c>
      <c r="H1202">
        <v>33000</v>
      </c>
      <c r="I1202">
        <v>7800</v>
      </c>
      <c r="J1202" t="s">
        <v>65</v>
      </c>
      <c r="K1202" t="s">
        <v>27</v>
      </c>
      <c r="L1202">
        <v>11000</v>
      </c>
      <c r="M1202">
        <v>23.63636363636364</v>
      </c>
      <c r="N1202" t="s">
        <v>8</v>
      </c>
      <c r="O1202" t="s">
        <v>1169</v>
      </c>
      <c r="P1202" t="s">
        <v>29</v>
      </c>
      <c r="Q1202" t="s">
        <v>131</v>
      </c>
      <c r="R1202" t="s">
        <v>289</v>
      </c>
      <c r="S1202" t="s">
        <v>290</v>
      </c>
      <c r="T1202" t="s">
        <v>2501</v>
      </c>
      <c r="U1202" t="s">
        <v>105</v>
      </c>
      <c r="V1202">
        <v>2600</v>
      </c>
    </row>
    <row r="1203" spans="1:22" x14ac:dyDescent="0.3">
      <c r="A1203" t="s">
        <v>2502</v>
      </c>
      <c r="B1203" s="2">
        <v>45872</v>
      </c>
      <c r="C1203" t="s">
        <v>1164</v>
      </c>
      <c r="D1203" t="s">
        <v>70</v>
      </c>
      <c r="E1203" t="s">
        <v>71</v>
      </c>
      <c r="F1203">
        <v>1</v>
      </c>
      <c r="G1203">
        <v>0</v>
      </c>
      <c r="H1203">
        <v>18000</v>
      </c>
      <c r="I1203">
        <v>-2910.97</v>
      </c>
      <c r="J1203" t="s">
        <v>26</v>
      </c>
      <c r="K1203" t="s">
        <v>434</v>
      </c>
      <c r="L1203">
        <v>18000</v>
      </c>
      <c r="M1203">
        <v>-16.172055555555549</v>
      </c>
      <c r="N1203" t="s">
        <v>81</v>
      </c>
      <c r="O1203" t="s">
        <v>284</v>
      </c>
      <c r="P1203" t="s">
        <v>29</v>
      </c>
      <c r="Q1203" t="s">
        <v>30</v>
      </c>
      <c r="R1203" t="s">
        <v>98</v>
      </c>
      <c r="S1203" t="s">
        <v>54</v>
      </c>
      <c r="T1203" t="s">
        <v>1165</v>
      </c>
      <c r="U1203" t="s">
        <v>105</v>
      </c>
      <c r="V1203">
        <v>-2910.97</v>
      </c>
    </row>
    <row r="1204" spans="1:22" x14ac:dyDescent="0.3">
      <c r="A1204" t="s">
        <v>2503</v>
      </c>
      <c r="B1204" s="2">
        <v>46224</v>
      </c>
      <c r="C1204" t="s">
        <v>593</v>
      </c>
      <c r="D1204" t="s">
        <v>70</v>
      </c>
      <c r="E1204" t="s">
        <v>129</v>
      </c>
      <c r="F1204">
        <v>2</v>
      </c>
      <c r="G1204">
        <v>0.15</v>
      </c>
      <c r="H1204">
        <v>93500</v>
      </c>
      <c r="I1204">
        <v>6609.53</v>
      </c>
      <c r="J1204" t="s">
        <v>26</v>
      </c>
      <c r="K1204" t="s">
        <v>40</v>
      </c>
      <c r="L1204">
        <v>46750</v>
      </c>
      <c r="M1204">
        <v>7.0690160427807482</v>
      </c>
      <c r="N1204" t="s">
        <v>8</v>
      </c>
      <c r="O1204" t="s">
        <v>594</v>
      </c>
      <c r="P1204" t="s">
        <v>83</v>
      </c>
      <c r="Q1204" t="s">
        <v>30</v>
      </c>
      <c r="R1204" t="s">
        <v>31</v>
      </c>
      <c r="S1204" t="s">
        <v>32</v>
      </c>
      <c r="T1204" t="s">
        <v>595</v>
      </c>
      <c r="U1204" t="s">
        <v>46</v>
      </c>
      <c r="V1204">
        <v>3304.7649999999999</v>
      </c>
    </row>
    <row r="1205" spans="1:22" x14ac:dyDescent="0.3">
      <c r="A1205" t="s">
        <v>2504</v>
      </c>
      <c r="B1205" s="2">
        <v>45891</v>
      </c>
      <c r="C1205" t="s">
        <v>178</v>
      </c>
      <c r="D1205" t="s">
        <v>24</v>
      </c>
      <c r="E1205" t="s">
        <v>25</v>
      </c>
      <c r="F1205">
        <v>15</v>
      </c>
      <c r="G1205">
        <v>0</v>
      </c>
      <c r="H1205">
        <v>210000</v>
      </c>
      <c r="I1205">
        <v>42000</v>
      </c>
      <c r="J1205" t="s">
        <v>51</v>
      </c>
      <c r="K1205" t="s">
        <v>40</v>
      </c>
      <c r="L1205">
        <v>14000</v>
      </c>
      <c r="M1205">
        <v>20</v>
      </c>
      <c r="N1205" t="s">
        <v>8</v>
      </c>
      <c r="O1205" t="s">
        <v>179</v>
      </c>
      <c r="P1205" t="s">
        <v>83</v>
      </c>
      <c r="Q1205" t="s">
        <v>30</v>
      </c>
      <c r="R1205" t="s">
        <v>31</v>
      </c>
      <c r="S1205" t="s">
        <v>32</v>
      </c>
      <c r="T1205" t="s">
        <v>180</v>
      </c>
      <c r="U1205" t="s">
        <v>105</v>
      </c>
      <c r="V1205">
        <v>2800</v>
      </c>
    </row>
    <row r="1206" spans="1:22" x14ac:dyDescent="0.3">
      <c r="A1206" t="s">
        <v>2505</v>
      </c>
      <c r="B1206" s="2">
        <v>45979</v>
      </c>
      <c r="C1206" t="s">
        <v>506</v>
      </c>
      <c r="D1206" t="s">
        <v>49</v>
      </c>
      <c r="E1206" t="s">
        <v>58</v>
      </c>
      <c r="F1206">
        <v>3</v>
      </c>
      <c r="G1206">
        <v>0.1</v>
      </c>
      <c r="H1206">
        <v>40500</v>
      </c>
      <c r="I1206">
        <v>7250.88</v>
      </c>
      <c r="J1206" t="s">
        <v>65</v>
      </c>
      <c r="K1206" t="s">
        <v>40</v>
      </c>
      <c r="L1206">
        <v>13500</v>
      </c>
      <c r="M1206">
        <v>17.903407407407411</v>
      </c>
      <c r="N1206" t="s">
        <v>8</v>
      </c>
      <c r="O1206" t="s">
        <v>359</v>
      </c>
      <c r="P1206" t="s">
        <v>83</v>
      </c>
      <c r="Q1206" t="s">
        <v>131</v>
      </c>
      <c r="R1206" t="s">
        <v>289</v>
      </c>
      <c r="S1206" t="s">
        <v>290</v>
      </c>
      <c r="T1206" t="s">
        <v>507</v>
      </c>
      <c r="U1206" t="s">
        <v>105</v>
      </c>
      <c r="V1206">
        <v>2416.96</v>
      </c>
    </row>
    <row r="1207" spans="1:22" x14ac:dyDescent="0.3">
      <c r="A1207" t="s">
        <v>2506</v>
      </c>
      <c r="B1207" s="2">
        <v>46213</v>
      </c>
      <c r="C1207" t="s">
        <v>2507</v>
      </c>
      <c r="D1207" t="s">
        <v>37</v>
      </c>
      <c r="E1207" t="s">
        <v>310</v>
      </c>
      <c r="F1207">
        <v>2</v>
      </c>
      <c r="G1207">
        <v>0.1</v>
      </c>
      <c r="H1207">
        <v>3960</v>
      </c>
      <c r="I1207">
        <v>1288.56</v>
      </c>
      <c r="J1207" t="s">
        <v>51</v>
      </c>
      <c r="K1207" t="s">
        <v>40</v>
      </c>
      <c r="L1207">
        <v>1980</v>
      </c>
      <c r="M1207">
        <v>32.539393939393939</v>
      </c>
      <c r="N1207" t="s">
        <v>8</v>
      </c>
      <c r="O1207" t="s">
        <v>754</v>
      </c>
      <c r="P1207" t="s">
        <v>29</v>
      </c>
      <c r="Q1207" t="s">
        <v>42</v>
      </c>
      <c r="R1207" t="s">
        <v>43</v>
      </c>
      <c r="S1207" t="s">
        <v>44</v>
      </c>
      <c r="T1207" t="s">
        <v>1145</v>
      </c>
      <c r="U1207" t="s">
        <v>34</v>
      </c>
      <c r="V1207">
        <v>644.28</v>
      </c>
    </row>
    <row r="1208" spans="1:22" x14ac:dyDescent="0.3">
      <c r="A1208" t="s">
        <v>2508</v>
      </c>
      <c r="B1208" s="2">
        <v>46222</v>
      </c>
      <c r="C1208" t="s">
        <v>156</v>
      </c>
      <c r="D1208" t="s">
        <v>70</v>
      </c>
      <c r="E1208" t="s">
        <v>165</v>
      </c>
      <c r="F1208">
        <v>2</v>
      </c>
      <c r="G1208">
        <v>0</v>
      </c>
      <c r="H1208">
        <v>5000</v>
      </c>
      <c r="I1208">
        <v>1600</v>
      </c>
      <c r="J1208" t="s">
        <v>65</v>
      </c>
      <c r="K1208" t="s">
        <v>40</v>
      </c>
      <c r="L1208">
        <v>2500</v>
      </c>
      <c r="M1208">
        <v>32</v>
      </c>
      <c r="N1208" t="s">
        <v>8</v>
      </c>
      <c r="O1208" t="s">
        <v>157</v>
      </c>
      <c r="P1208" t="s">
        <v>83</v>
      </c>
      <c r="Q1208" t="s">
        <v>30</v>
      </c>
      <c r="R1208" t="s">
        <v>31</v>
      </c>
      <c r="S1208" t="s">
        <v>32</v>
      </c>
      <c r="T1208" t="s">
        <v>158</v>
      </c>
      <c r="U1208" t="s">
        <v>34</v>
      </c>
      <c r="V1208">
        <v>800</v>
      </c>
    </row>
    <row r="1209" spans="1:22" x14ac:dyDescent="0.3">
      <c r="A1209" t="s">
        <v>2509</v>
      </c>
      <c r="B1209" s="2">
        <v>45964</v>
      </c>
      <c r="C1209" t="s">
        <v>417</v>
      </c>
      <c r="D1209" t="s">
        <v>24</v>
      </c>
      <c r="E1209" t="s">
        <v>25</v>
      </c>
      <c r="F1209">
        <v>1</v>
      </c>
      <c r="G1209">
        <v>0.15</v>
      </c>
      <c r="H1209">
        <v>11900</v>
      </c>
      <c r="I1209">
        <v>1208.79</v>
      </c>
      <c r="J1209" t="s">
        <v>51</v>
      </c>
      <c r="K1209" t="s">
        <v>40</v>
      </c>
      <c r="L1209">
        <v>11900</v>
      </c>
      <c r="M1209">
        <v>10.157899159663859</v>
      </c>
      <c r="N1209" t="s">
        <v>8</v>
      </c>
      <c r="O1209" t="s">
        <v>418</v>
      </c>
      <c r="P1209" t="s">
        <v>29</v>
      </c>
      <c r="Q1209" t="s">
        <v>30</v>
      </c>
      <c r="R1209" t="s">
        <v>60</v>
      </c>
      <c r="S1209" t="s">
        <v>61</v>
      </c>
      <c r="T1209" t="s">
        <v>419</v>
      </c>
      <c r="U1209" t="s">
        <v>34</v>
      </c>
      <c r="V1209">
        <v>1208.79</v>
      </c>
    </row>
    <row r="1210" spans="1:22" x14ac:dyDescent="0.3">
      <c r="A1210" t="s">
        <v>2510</v>
      </c>
      <c r="B1210" s="2">
        <v>46171</v>
      </c>
      <c r="C1210" t="s">
        <v>2511</v>
      </c>
      <c r="D1210" t="s">
        <v>70</v>
      </c>
      <c r="E1210" t="s">
        <v>108</v>
      </c>
      <c r="F1210">
        <v>4</v>
      </c>
      <c r="G1210">
        <v>0.05</v>
      </c>
      <c r="H1210">
        <v>17100</v>
      </c>
      <c r="I1210">
        <v>5507.96</v>
      </c>
      <c r="J1210" t="s">
        <v>51</v>
      </c>
      <c r="K1210" t="s">
        <v>40</v>
      </c>
      <c r="L1210">
        <v>4275</v>
      </c>
      <c r="M1210">
        <v>32.210292397660822</v>
      </c>
      <c r="N1210" t="s">
        <v>8</v>
      </c>
      <c r="O1210" t="s">
        <v>1695</v>
      </c>
      <c r="P1210" t="s">
        <v>83</v>
      </c>
      <c r="Q1210" t="s">
        <v>30</v>
      </c>
      <c r="R1210" t="s">
        <v>98</v>
      </c>
      <c r="S1210" t="s">
        <v>54</v>
      </c>
      <c r="T1210" t="s">
        <v>2512</v>
      </c>
      <c r="U1210" t="s">
        <v>46</v>
      </c>
      <c r="V1210">
        <v>1376.99</v>
      </c>
    </row>
    <row r="1211" spans="1:22" x14ac:dyDescent="0.3">
      <c r="A1211" t="s">
        <v>2513</v>
      </c>
      <c r="B1211" s="2">
        <v>46206</v>
      </c>
      <c r="C1211" t="s">
        <v>958</v>
      </c>
      <c r="D1211" t="s">
        <v>70</v>
      </c>
      <c r="E1211" t="s">
        <v>71</v>
      </c>
      <c r="F1211">
        <v>2</v>
      </c>
      <c r="G1211">
        <v>0.1</v>
      </c>
      <c r="H1211">
        <v>32400</v>
      </c>
      <c r="I1211">
        <v>4281.17</v>
      </c>
      <c r="J1211" t="s">
        <v>65</v>
      </c>
      <c r="K1211" t="s">
        <v>40</v>
      </c>
      <c r="L1211">
        <v>16200</v>
      </c>
      <c r="M1211">
        <v>13.213487654320989</v>
      </c>
      <c r="N1211" t="s">
        <v>8</v>
      </c>
      <c r="O1211" t="s">
        <v>959</v>
      </c>
      <c r="P1211" t="s">
        <v>73</v>
      </c>
      <c r="Q1211" t="s">
        <v>42</v>
      </c>
      <c r="R1211" t="s">
        <v>43</v>
      </c>
      <c r="S1211" t="s">
        <v>44</v>
      </c>
      <c r="T1211" t="s">
        <v>960</v>
      </c>
      <c r="U1211" t="s">
        <v>34</v>
      </c>
      <c r="V1211">
        <v>2140.585</v>
      </c>
    </row>
    <row r="1212" spans="1:22" x14ac:dyDescent="0.3">
      <c r="A1212" t="s">
        <v>2514</v>
      </c>
      <c r="B1212" s="2">
        <v>45928</v>
      </c>
      <c r="C1212" t="s">
        <v>801</v>
      </c>
      <c r="D1212" t="s">
        <v>24</v>
      </c>
      <c r="E1212" t="s">
        <v>242</v>
      </c>
      <c r="F1212">
        <v>2</v>
      </c>
      <c r="G1212">
        <v>0.1</v>
      </c>
      <c r="H1212">
        <v>810</v>
      </c>
      <c r="I1212">
        <v>144.63999999999999</v>
      </c>
      <c r="J1212" t="s">
        <v>65</v>
      </c>
      <c r="K1212" t="s">
        <v>40</v>
      </c>
      <c r="L1212">
        <v>405</v>
      </c>
      <c r="M1212">
        <v>17.85679012345679</v>
      </c>
      <c r="N1212" t="s">
        <v>8</v>
      </c>
      <c r="O1212" t="s">
        <v>478</v>
      </c>
      <c r="P1212" t="s">
        <v>29</v>
      </c>
      <c r="Q1212" t="s">
        <v>30</v>
      </c>
      <c r="R1212" t="s">
        <v>98</v>
      </c>
      <c r="S1212" t="s">
        <v>54</v>
      </c>
      <c r="T1212" t="s">
        <v>802</v>
      </c>
      <c r="U1212" t="s">
        <v>34</v>
      </c>
      <c r="V1212">
        <v>72.319999999999993</v>
      </c>
    </row>
    <row r="1213" spans="1:22" x14ac:dyDescent="0.3">
      <c r="A1213" t="s">
        <v>2515</v>
      </c>
      <c r="B1213" s="2">
        <v>46161</v>
      </c>
      <c r="C1213" t="s">
        <v>907</v>
      </c>
      <c r="D1213" t="s">
        <v>37</v>
      </c>
      <c r="E1213" t="s">
        <v>190</v>
      </c>
      <c r="F1213">
        <v>5</v>
      </c>
      <c r="G1213">
        <v>0.1</v>
      </c>
      <c r="H1213">
        <v>18900</v>
      </c>
      <c r="I1213">
        <v>-2008.19</v>
      </c>
      <c r="J1213" t="s">
        <v>26</v>
      </c>
      <c r="K1213" t="s">
        <v>80</v>
      </c>
      <c r="L1213">
        <v>3780</v>
      </c>
      <c r="M1213">
        <v>-10.625343915343921</v>
      </c>
      <c r="N1213" t="s">
        <v>81</v>
      </c>
      <c r="O1213" t="s">
        <v>908</v>
      </c>
      <c r="P1213" t="s">
        <v>29</v>
      </c>
      <c r="Q1213" t="s">
        <v>30</v>
      </c>
      <c r="R1213" t="s">
        <v>60</v>
      </c>
      <c r="S1213" t="s">
        <v>61</v>
      </c>
      <c r="T1213" t="s">
        <v>486</v>
      </c>
      <c r="U1213" t="s">
        <v>34</v>
      </c>
      <c r="V1213">
        <v>-401.63799999999998</v>
      </c>
    </row>
    <row r="1214" spans="1:22" x14ac:dyDescent="0.3">
      <c r="A1214" t="s">
        <v>2516</v>
      </c>
      <c r="B1214" s="2">
        <v>45947</v>
      </c>
      <c r="C1214" t="s">
        <v>2517</v>
      </c>
      <c r="D1214" t="s">
        <v>37</v>
      </c>
      <c r="E1214" t="s">
        <v>190</v>
      </c>
      <c r="F1214">
        <v>1</v>
      </c>
      <c r="G1214">
        <v>0.1</v>
      </c>
      <c r="H1214">
        <v>3780</v>
      </c>
      <c r="I1214">
        <v>873.38</v>
      </c>
      <c r="J1214" t="s">
        <v>39</v>
      </c>
      <c r="K1214" t="s">
        <v>40</v>
      </c>
      <c r="L1214">
        <v>3780</v>
      </c>
      <c r="M1214">
        <v>23.105291005291011</v>
      </c>
      <c r="N1214" t="s">
        <v>8</v>
      </c>
      <c r="O1214" t="s">
        <v>2518</v>
      </c>
      <c r="P1214" t="s">
        <v>29</v>
      </c>
      <c r="Q1214" t="s">
        <v>131</v>
      </c>
      <c r="R1214" t="s">
        <v>449</v>
      </c>
      <c r="S1214" t="s">
        <v>450</v>
      </c>
      <c r="T1214" t="s">
        <v>898</v>
      </c>
      <c r="U1214" t="s">
        <v>105</v>
      </c>
      <c r="V1214">
        <v>873.38</v>
      </c>
    </row>
    <row r="1215" spans="1:22" x14ac:dyDescent="0.3">
      <c r="A1215" t="s">
        <v>2519</v>
      </c>
      <c r="B1215" s="2">
        <v>45896</v>
      </c>
      <c r="C1215" t="s">
        <v>952</v>
      </c>
      <c r="D1215" t="s">
        <v>49</v>
      </c>
      <c r="E1215" t="s">
        <v>79</v>
      </c>
      <c r="F1215">
        <v>1</v>
      </c>
      <c r="G1215">
        <v>0.05</v>
      </c>
      <c r="H1215">
        <v>10450</v>
      </c>
      <c r="I1215">
        <v>2219.79</v>
      </c>
      <c r="J1215" t="s">
        <v>51</v>
      </c>
      <c r="K1215" t="s">
        <v>27</v>
      </c>
      <c r="L1215">
        <v>10450</v>
      </c>
      <c r="M1215">
        <v>21.242009569377991</v>
      </c>
      <c r="N1215" t="s">
        <v>8</v>
      </c>
      <c r="O1215" t="s">
        <v>953</v>
      </c>
      <c r="P1215" t="s">
        <v>83</v>
      </c>
      <c r="Q1215" t="s">
        <v>42</v>
      </c>
      <c r="R1215" t="s">
        <v>110</v>
      </c>
      <c r="S1215" t="s">
        <v>111</v>
      </c>
      <c r="T1215" t="s">
        <v>954</v>
      </c>
      <c r="U1215" t="s">
        <v>105</v>
      </c>
      <c r="V1215">
        <v>2219.79</v>
      </c>
    </row>
    <row r="1216" spans="1:22" x14ac:dyDescent="0.3">
      <c r="A1216" t="s">
        <v>2520</v>
      </c>
      <c r="B1216" s="2">
        <v>45881</v>
      </c>
      <c r="C1216" t="s">
        <v>2521</v>
      </c>
      <c r="D1216" t="s">
        <v>70</v>
      </c>
      <c r="E1216" t="s">
        <v>108</v>
      </c>
      <c r="F1216">
        <v>4</v>
      </c>
      <c r="G1216">
        <v>0.2</v>
      </c>
      <c r="H1216">
        <v>14400</v>
      </c>
      <c r="I1216">
        <v>3796.44</v>
      </c>
      <c r="J1216" t="s">
        <v>51</v>
      </c>
      <c r="K1216" t="s">
        <v>40</v>
      </c>
      <c r="L1216">
        <v>3600</v>
      </c>
      <c r="M1216">
        <v>26.364166666666669</v>
      </c>
      <c r="N1216" t="s">
        <v>8</v>
      </c>
      <c r="O1216" t="s">
        <v>571</v>
      </c>
      <c r="P1216" t="s">
        <v>29</v>
      </c>
      <c r="Q1216" t="s">
        <v>74</v>
      </c>
      <c r="R1216" t="s">
        <v>75</v>
      </c>
      <c r="S1216" t="s">
        <v>75</v>
      </c>
      <c r="T1216" t="s">
        <v>2522</v>
      </c>
      <c r="U1216" t="s">
        <v>34</v>
      </c>
      <c r="V1216">
        <v>949.11</v>
      </c>
    </row>
    <row r="1217" spans="1:22" x14ac:dyDescent="0.3">
      <c r="A1217" t="s">
        <v>2523</v>
      </c>
      <c r="B1217" s="2">
        <v>45932</v>
      </c>
      <c r="C1217" t="s">
        <v>2300</v>
      </c>
      <c r="D1217" t="s">
        <v>70</v>
      </c>
      <c r="E1217" t="s">
        <v>129</v>
      </c>
      <c r="F1217">
        <v>1</v>
      </c>
      <c r="G1217">
        <v>0</v>
      </c>
      <c r="H1217">
        <v>55000</v>
      </c>
      <c r="I1217">
        <v>9000</v>
      </c>
      <c r="J1217" t="s">
        <v>26</v>
      </c>
      <c r="K1217" t="s">
        <v>40</v>
      </c>
      <c r="L1217">
        <v>55000</v>
      </c>
      <c r="M1217">
        <v>16.36363636363636</v>
      </c>
      <c r="N1217" t="s">
        <v>8</v>
      </c>
      <c r="O1217" t="s">
        <v>2301</v>
      </c>
      <c r="P1217" t="s">
        <v>29</v>
      </c>
      <c r="Q1217" t="s">
        <v>42</v>
      </c>
      <c r="R1217" t="s">
        <v>214</v>
      </c>
      <c r="S1217" t="s">
        <v>111</v>
      </c>
      <c r="T1217" t="s">
        <v>2302</v>
      </c>
      <c r="U1217" t="s">
        <v>100</v>
      </c>
      <c r="V1217">
        <v>9000</v>
      </c>
    </row>
    <row r="1218" spans="1:22" x14ac:dyDescent="0.3">
      <c r="A1218" t="s">
        <v>2524</v>
      </c>
      <c r="B1218" s="2">
        <v>46077</v>
      </c>
      <c r="C1218" t="s">
        <v>2525</v>
      </c>
      <c r="D1218" t="s">
        <v>70</v>
      </c>
      <c r="E1218" t="s">
        <v>165</v>
      </c>
      <c r="F1218">
        <v>3</v>
      </c>
      <c r="G1218">
        <v>0.2</v>
      </c>
      <c r="H1218">
        <v>6000</v>
      </c>
      <c r="I1218">
        <v>1470.79</v>
      </c>
      <c r="J1218" t="s">
        <v>39</v>
      </c>
      <c r="K1218" t="s">
        <v>40</v>
      </c>
      <c r="L1218">
        <v>2000</v>
      </c>
      <c r="M1218">
        <v>24.51316666666667</v>
      </c>
      <c r="N1218" t="s">
        <v>8</v>
      </c>
      <c r="O1218" t="s">
        <v>2526</v>
      </c>
      <c r="P1218" t="s">
        <v>29</v>
      </c>
      <c r="Q1218" t="s">
        <v>74</v>
      </c>
      <c r="R1218" t="s">
        <v>75</v>
      </c>
      <c r="S1218" t="s">
        <v>75</v>
      </c>
      <c r="T1218" t="s">
        <v>2527</v>
      </c>
      <c r="U1218" t="s">
        <v>46</v>
      </c>
      <c r="V1218">
        <v>490.26333333333332</v>
      </c>
    </row>
    <row r="1219" spans="1:22" x14ac:dyDescent="0.3">
      <c r="A1219" t="s">
        <v>2528</v>
      </c>
      <c r="B1219" s="2">
        <v>46177</v>
      </c>
      <c r="C1219" t="s">
        <v>1377</v>
      </c>
      <c r="D1219" t="s">
        <v>24</v>
      </c>
      <c r="E1219" t="s">
        <v>87</v>
      </c>
      <c r="F1219">
        <v>15</v>
      </c>
      <c r="G1219">
        <v>0.1</v>
      </c>
      <c r="H1219">
        <v>4725</v>
      </c>
      <c r="I1219">
        <v>1473.58</v>
      </c>
      <c r="J1219" t="s">
        <v>26</v>
      </c>
      <c r="K1219" t="s">
        <v>40</v>
      </c>
      <c r="L1219">
        <v>315</v>
      </c>
      <c r="M1219">
        <v>31.18687830687831</v>
      </c>
      <c r="N1219" t="s">
        <v>8</v>
      </c>
      <c r="O1219" t="s">
        <v>1378</v>
      </c>
      <c r="P1219" t="s">
        <v>29</v>
      </c>
      <c r="Q1219" t="s">
        <v>30</v>
      </c>
      <c r="R1219" t="s">
        <v>53</v>
      </c>
      <c r="S1219" t="s">
        <v>54</v>
      </c>
      <c r="T1219" t="s">
        <v>1379</v>
      </c>
      <c r="U1219" t="s">
        <v>100</v>
      </c>
      <c r="V1219">
        <v>98.23866666666666</v>
      </c>
    </row>
    <row r="1220" spans="1:22" x14ac:dyDescent="0.3">
      <c r="A1220" t="s">
        <v>2529</v>
      </c>
      <c r="B1220" s="2">
        <v>45885</v>
      </c>
      <c r="C1220" t="s">
        <v>2530</v>
      </c>
      <c r="D1220" t="s">
        <v>49</v>
      </c>
      <c r="E1220" t="s">
        <v>58</v>
      </c>
      <c r="F1220">
        <v>5</v>
      </c>
      <c r="G1220">
        <v>0.15</v>
      </c>
      <c r="H1220">
        <v>63750</v>
      </c>
      <c r="I1220">
        <v>12416.46</v>
      </c>
      <c r="J1220" t="s">
        <v>39</v>
      </c>
      <c r="K1220" t="s">
        <v>40</v>
      </c>
      <c r="L1220">
        <v>12750</v>
      </c>
      <c r="M1220">
        <v>19.476800000000001</v>
      </c>
      <c r="N1220" t="s">
        <v>8</v>
      </c>
      <c r="O1220" t="s">
        <v>2531</v>
      </c>
      <c r="P1220" t="s">
        <v>29</v>
      </c>
      <c r="Q1220" t="s">
        <v>131</v>
      </c>
      <c r="R1220" t="s">
        <v>132</v>
      </c>
      <c r="S1220" t="s">
        <v>133</v>
      </c>
      <c r="T1220" t="s">
        <v>1927</v>
      </c>
      <c r="U1220" t="s">
        <v>105</v>
      </c>
      <c r="V1220">
        <v>2483.2919999999999</v>
      </c>
    </row>
    <row r="1221" spans="1:22" x14ac:dyDescent="0.3">
      <c r="A1221" t="s">
        <v>2532</v>
      </c>
      <c r="B1221" s="2">
        <v>46248</v>
      </c>
      <c r="C1221" t="s">
        <v>2054</v>
      </c>
      <c r="D1221" t="s">
        <v>70</v>
      </c>
      <c r="E1221" t="s">
        <v>71</v>
      </c>
      <c r="F1221">
        <v>4</v>
      </c>
      <c r="G1221">
        <v>0.15</v>
      </c>
      <c r="H1221">
        <v>61200</v>
      </c>
      <c r="I1221">
        <v>6360.05</v>
      </c>
      <c r="J1221" t="s">
        <v>65</v>
      </c>
      <c r="K1221" t="s">
        <v>27</v>
      </c>
      <c r="L1221">
        <v>15300</v>
      </c>
      <c r="M1221">
        <v>10.392238562091499</v>
      </c>
      <c r="N1221" t="s">
        <v>8</v>
      </c>
      <c r="O1221" t="s">
        <v>1383</v>
      </c>
      <c r="P1221" t="s">
        <v>29</v>
      </c>
      <c r="Q1221" t="s">
        <v>74</v>
      </c>
      <c r="R1221" t="s">
        <v>75</v>
      </c>
      <c r="S1221" t="s">
        <v>75</v>
      </c>
      <c r="T1221" t="s">
        <v>2055</v>
      </c>
      <c r="U1221" t="s">
        <v>34</v>
      </c>
      <c r="V1221">
        <v>1590.0125</v>
      </c>
    </row>
    <row r="1222" spans="1:22" x14ac:dyDescent="0.3">
      <c r="A1222" t="s">
        <v>2533</v>
      </c>
      <c r="B1222" s="2">
        <v>45876</v>
      </c>
      <c r="C1222" t="s">
        <v>1032</v>
      </c>
      <c r="D1222" t="s">
        <v>70</v>
      </c>
      <c r="E1222" t="s">
        <v>71</v>
      </c>
      <c r="F1222">
        <v>6</v>
      </c>
      <c r="G1222">
        <v>0.1</v>
      </c>
      <c r="H1222">
        <v>97200</v>
      </c>
      <c r="I1222">
        <v>13627.16</v>
      </c>
      <c r="J1222" t="s">
        <v>51</v>
      </c>
      <c r="K1222" t="s">
        <v>27</v>
      </c>
      <c r="L1222">
        <v>16200</v>
      </c>
      <c r="M1222">
        <v>14.01971193415638</v>
      </c>
      <c r="N1222" t="s">
        <v>8</v>
      </c>
      <c r="O1222" t="s">
        <v>1033</v>
      </c>
      <c r="P1222" t="s">
        <v>73</v>
      </c>
      <c r="Q1222" t="s">
        <v>131</v>
      </c>
      <c r="R1222" t="s">
        <v>449</v>
      </c>
      <c r="S1222" t="s">
        <v>450</v>
      </c>
      <c r="T1222" t="s">
        <v>1034</v>
      </c>
      <c r="U1222" t="s">
        <v>46</v>
      </c>
      <c r="V1222">
        <v>2271.1933333333332</v>
      </c>
    </row>
    <row r="1223" spans="1:22" x14ac:dyDescent="0.3">
      <c r="A1223" t="s">
        <v>2534</v>
      </c>
      <c r="B1223" s="2">
        <v>45956</v>
      </c>
      <c r="C1223" t="s">
        <v>916</v>
      </c>
      <c r="D1223" t="s">
        <v>49</v>
      </c>
      <c r="E1223" t="s">
        <v>58</v>
      </c>
      <c r="F1223">
        <v>2</v>
      </c>
      <c r="G1223">
        <v>0.15</v>
      </c>
      <c r="H1223">
        <v>25500</v>
      </c>
      <c r="I1223">
        <v>4184.1899999999996</v>
      </c>
      <c r="J1223" t="s">
        <v>26</v>
      </c>
      <c r="K1223" t="s">
        <v>27</v>
      </c>
      <c r="L1223">
        <v>12750</v>
      </c>
      <c r="M1223">
        <v>16.408588235294111</v>
      </c>
      <c r="N1223" t="s">
        <v>8</v>
      </c>
      <c r="O1223" t="s">
        <v>917</v>
      </c>
      <c r="P1223" t="s">
        <v>29</v>
      </c>
      <c r="Q1223" t="s">
        <v>42</v>
      </c>
      <c r="R1223" t="s">
        <v>121</v>
      </c>
      <c r="S1223" t="s">
        <v>44</v>
      </c>
      <c r="T1223" t="s">
        <v>918</v>
      </c>
      <c r="U1223" t="s">
        <v>34</v>
      </c>
      <c r="V1223">
        <v>2092.0949999999998</v>
      </c>
    </row>
    <row r="1224" spans="1:22" x14ac:dyDescent="0.3">
      <c r="A1224" t="s">
        <v>2535</v>
      </c>
      <c r="B1224" s="2">
        <v>46250</v>
      </c>
      <c r="C1224" t="s">
        <v>517</v>
      </c>
      <c r="D1224" t="s">
        <v>49</v>
      </c>
      <c r="E1224" t="s">
        <v>50</v>
      </c>
      <c r="F1224">
        <v>2</v>
      </c>
      <c r="G1224">
        <v>0.1</v>
      </c>
      <c r="H1224">
        <v>23400</v>
      </c>
      <c r="I1224">
        <v>5067.04</v>
      </c>
      <c r="J1224" t="s">
        <v>65</v>
      </c>
      <c r="K1224" t="s">
        <v>40</v>
      </c>
      <c r="L1224">
        <v>11700</v>
      </c>
      <c r="M1224">
        <v>21.6540170940171</v>
      </c>
      <c r="N1224" t="s">
        <v>8</v>
      </c>
      <c r="O1224" t="s">
        <v>518</v>
      </c>
      <c r="P1224" t="s">
        <v>29</v>
      </c>
      <c r="Q1224" t="s">
        <v>131</v>
      </c>
      <c r="R1224" t="s">
        <v>200</v>
      </c>
      <c r="S1224" t="s">
        <v>201</v>
      </c>
      <c r="T1224" t="s">
        <v>519</v>
      </c>
      <c r="U1224" t="s">
        <v>100</v>
      </c>
      <c r="V1224">
        <v>2533.52</v>
      </c>
    </row>
    <row r="1225" spans="1:22" x14ac:dyDescent="0.3">
      <c r="A1225" t="s">
        <v>2536</v>
      </c>
      <c r="B1225" s="2">
        <v>46254</v>
      </c>
      <c r="C1225" t="s">
        <v>128</v>
      </c>
      <c r="D1225" t="s">
        <v>70</v>
      </c>
      <c r="E1225" t="s">
        <v>129</v>
      </c>
      <c r="F1225">
        <v>3</v>
      </c>
      <c r="G1225">
        <v>0.1</v>
      </c>
      <c r="H1225">
        <v>148500</v>
      </c>
      <c r="I1225">
        <v>17701.64</v>
      </c>
      <c r="J1225" t="s">
        <v>39</v>
      </c>
      <c r="K1225" t="s">
        <v>40</v>
      </c>
      <c r="L1225">
        <v>49500</v>
      </c>
      <c r="M1225">
        <v>11.9202962962963</v>
      </c>
      <c r="N1225" t="s">
        <v>8</v>
      </c>
      <c r="O1225" t="s">
        <v>130</v>
      </c>
      <c r="P1225" t="s">
        <v>83</v>
      </c>
      <c r="Q1225" t="s">
        <v>131</v>
      </c>
      <c r="R1225" t="s">
        <v>132</v>
      </c>
      <c r="S1225" t="s">
        <v>133</v>
      </c>
      <c r="T1225" t="s">
        <v>134</v>
      </c>
      <c r="U1225" t="s">
        <v>46</v>
      </c>
      <c r="V1225">
        <v>5900.5466666666662</v>
      </c>
    </row>
    <row r="1226" spans="1:22" x14ac:dyDescent="0.3">
      <c r="A1226" t="s">
        <v>2537</v>
      </c>
      <c r="B1226" s="2">
        <v>46181</v>
      </c>
      <c r="C1226" t="s">
        <v>174</v>
      </c>
      <c r="D1226" t="s">
        <v>70</v>
      </c>
      <c r="E1226" t="s">
        <v>71</v>
      </c>
      <c r="F1226">
        <v>1</v>
      </c>
      <c r="G1226">
        <v>0.05</v>
      </c>
      <c r="H1226">
        <v>17100</v>
      </c>
      <c r="I1226">
        <v>2895.65</v>
      </c>
      <c r="J1226" t="s">
        <v>26</v>
      </c>
      <c r="K1226" t="s">
        <v>40</v>
      </c>
      <c r="L1226">
        <v>17100</v>
      </c>
      <c r="M1226">
        <v>16.933625730994159</v>
      </c>
      <c r="N1226" t="s">
        <v>8</v>
      </c>
      <c r="O1226" t="s">
        <v>175</v>
      </c>
      <c r="P1226" t="s">
        <v>29</v>
      </c>
      <c r="Q1226" t="s">
        <v>30</v>
      </c>
      <c r="R1226" t="s">
        <v>53</v>
      </c>
      <c r="S1226" t="s">
        <v>54</v>
      </c>
      <c r="T1226" t="s">
        <v>176</v>
      </c>
      <c r="U1226" t="s">
        <v>34</v>
      </c>
      <c r="V1226">
        <v>2895.65</v>
      </c>
    </row>
    <row r="1227" spans="1:22" x14ac:dyDescent="0.3">
      <c r="A1227" t="s">
        <v>2538</v>
      </c>
      <c r="B1227" s="2">
        <v>45852</v>
      </c>
      <c r="C1227" t="s">
        <v>780</v>
      </c>
      <c r="D1227" t="s">
        <v>24</v>
      </c>
      <c r="E1227" t="s">
        <v>242</v>
      </c>
      <c r="F1227">
        <v>5</v>
      </c>
      <c r="G1227">
        <v>0</v>
      </c>
      <c r="H1227">
        <v>2250</v>
      </c>
      <c r="I1227">
        <v>550</v>
      </c>
      <c r="J1227" t="s">
        <v>65</v>
      </c>
      <c r="K1227" t="s">
        <v>40</v>
      </c>
      <c r="L1227">
        <v>450</v>
      </c>
      <c r="M1227">
        <v>24.444444444444439</v>
      </c>
      <c r="N1227" t="s">
        <v>8</v>
      </c>
      <c r="O1227" t="s">
        <v>781</v>
      </c>
      <c r="P1227" t="s">
        <v>73</v>
      </c>
      <c r="Q1227" t="s">
        <v>30</v>
      </c>
      <c r="R1227" t="s">
        <v>31</v>
      </c>
      <c r="S1227" t="s">
        <v>32</v>
      </c>
      <c r="T1227" t="s">
        <v>572</v>
      </c>
      <c r="U1227" t="s">
        <v>100</v>
      </c>
      <c r="V1227">
        <v>110</v>
      </c>
    </row>
    <row r="1228" spans="1:22" x14ac:dyDescent="0.3">
      <c r="A1228" t="s">
        <v>2539</v>
      </c>
      <c r="B1228" s="2">
        <v>45899</v>
      </c>
      <c r="C1228" t="s">
        <v>1220</v>
      </c>
      <c r="D1228" t="s">
        <v>70</v>
      </c>
      <c r="E1228" t="s">
        <v>129</v>
      </c>
      <c r="F1228">
        <v>2</v>
      </c>
      <c r="G1228">
        <v>0</v>
      </c>
      <c r="H1228">
        <v>110000</v>
      </c>
      <c r="I1228">
        <v>18000</v>
      </c>
      <c r="J1228" t="s">
        <v>51</v>
      </c>
      <c r="K1228" t="s">
        <v>40</v>
      </c>
      <c r="L1228">
        <v>55000</v>
      </c>
      <c r="M1228">
        <v>16.36363636363636</v>
      </c>
      <c r="N1228" t="s">
        <v>8</v>
      </c>
      <c r="O1228" t="s">
        <v>333</v>
      </c>
      <c r="P1228" t="s">
        <v>29</v>
      </c>
      <c r="Q1228" t="s">
        <v>74</v>
      </c>
      <c r="R1228" t="s">
        <v>75</v>
      </c>
      <c r="S1228" t="s">
        <v>75</v>
      </c>
      <c r="T1228" t="s">
        <v>1221</v>
      </c>
      <c r="U1228" t="s">
        <v>105</v>
      </c>
      <c r="V1228">
        <v>9000</v>
      </c>
    </row>
    <row r="1229" spans="1:22" x14ac:dyDescent="0.3">
      <c r="A1229" t="s">
        <v>2540</v>
      </c>
      <c r="B1229" s="2">
        <v>45989</v>
      </c>
      <c r="C1229" t="s">
        <v>1382</v>
      </c>
      <c r="D1229" t="s">
        <v>24</v>
      </c>
      <c r="E1229" t="s">
        <v>87</v>
      </c>
      <c r="F1229">
        <v>2</v>
      </c>
      <c r="G1229">
        <v>0</v>
      </c>
      <c r="H1229">
        <v>700</v>
      </c>
      <c r="I1229">
        <v>240</v>
      </c>
      <c r="J1229" t="s">
        <v>26</v>
      </c>
      <c r="K1229" t="s">
        <v>40</v>
      </c>
      <c r="L1229">
        <v>350</v>
      </c>
      <c r="M1229">
        <v>34.285714285714278</v>
      </c>
      <c r="N1229" t="s">
        <v>8</v>
      </c>
      <c r="O1229" t="s">
        <v>1383</v>
      </c>
      <c r="P1229" t="s">
        <v>83</v>
      </c>
      <c r="Q1229" t="s">
        <v>30</v>
      </c>
      <c r="R1229" t="s">
        <v>60</v>
      </c>
      <c r="S1229" t="s">
        <v>61</v>
      </c>
      <c r="T1229" t="s">
        <v>227</v>
      </c>
      <c r="U1229" t="s">
        <v>46</v>
      </c>
      <c r="V1229">
        <v>120</v>
      </c>
    </row>
    <row r="1230" spans="1:22" x14ac:dyDescent="0.3">
      <c r="A1230" t="s">
        <v>2541</v>
      </c>
      <c r="B1230" s="2">
        <v>45871</v>
      </c>
      <c r="C1230" t="s">
        <v>1110</v>
      </c>
      <c r="D1230" t="s">
        <v>49</v>
      </c>
      <c r="E1230" t="s">
        <v>50</v>
      </c>
      <c r="F1230">
        <v>5</v>
      </c>
      <c r="G1230">
        <v>0.3</v>
      </c>
      <c r="H1230">
        <v>45500</v>
      </c>
      <c r="I1230">
        <v>5595.79</v>
      </c>
      <c r="J1230" t="s">
        <v>65</v>
      </c>
      <c r="K1230" t="s">
        <v>27</v>
      </c>
      <c r="L1230">
        <v>9100</v>
      </c>
      <c r="M1230">
        <v>12.29843956043956</v>
      </c>
      <c r="N1230" t="s">
        <v>8</v>
      </c>
      <c r="O1230" t="s">
        <v>1111</v>
      </c>
      <c r="P1230" t="s">
        <v>29</v>
      </c>
      <c r="Q1230" t="s">
        <v>42</v>
      </c>
      <c r="R1230" t="s">
        <v>110</v>
      </c>
      <c r="S1230" t="s">
        <v>111</v>
      </c>
      <c r="T1230" t="s">
        <v>1112</v>
      </c>
      <c r="U1230" t="s">
        <v>34</v>
      </c>
      <c r="V1230">
        <v>1119.1579999999999</v>
      </c>
    </row>
    <row r="1231" spans="1:22" x14ac:dyDescent="0.3">
      <c r="A1231" t="s">
        <v>2542</v>
      </c>
      <c r="B1231" s="2">
        <v>46133</v>
      </c>
      <c r="C1231" t="s">
        <v>863</v>
      </c>
      <c r="D1231" t="s">
        <v>24</v>
      </c>
      <c r="E1231" t="s">
        <v>87</v>
      </c>
      <c r="F1231">
        <v>3</v>
      </c>
      <c r="G1231">
        <v>0.05</v>
      </c>
      <c r="H1231">
        <v>997.5</v>
      </c>
      <c r="I1231">
        <v>333.95</v>
      </c>
      <c r="J1231" t="s">
        <v>39</v>
      </c>
      <c r="K1231" t="s">
        <v>40</v>
      </c>
      <c r="L1231">
        <v>332.5</v>
      </c>
      <c r="M1231">
        <v>33.478696741854627</v>
      </c>
      <c r="N1231" t="s">
        <v>8</v>
      </c>
      <c r="O1231" t="s">
        <v>187</v>
      </c>
      <c r="P1231" t="s">
        <v>73</v>
      </c>
      <c r="Q1231" t="s">
        <v>30</v>
      </c>
      <c r="R1231" t="s">
        <v>53</v>
      </c>
      <c r="S1231" t="s">
        <v>54</v>
      </c>
      <c r="T1231" t="s">
        <v>864</v>
      </c>
      <c r="U1231" t="s">
        <v>34</v>
      </c>
      <c r="V1231">
        <v>111.31666666666671</v>
      </c>
    </row>
    <row r="1232" spans="1:22" x14ac:dyDescent="0.3">
      <c r="A1232" t="s">
        <v>2543</v>
      </c>
      <c r="B1232" s="2">
        <v>46125</v>
      </c>
      <c r="C1232" t="s">
        <v>2396</v>
      </c>
      <c r="D1232" t="s">
        <v>49</v>
      </c>
      <c r="E1232" t="s">
        <v>58</v>
      </c>
      <c r="F1232">
        <v>1</v>
      </c>
      <c r="G1232">
        <v>0.15</v>
      </c>
      <c r="H1232">
        <v>12750</v>
      </c>
      <c r="I1232">
        <v>1703.59</v>
      </c>
      <c r="J1232" t="s">
        <v>26</v>
      </c>
      <c r="K1232" t="s">
        <v>40</v>
      </c>
      <c r="L1232">
        <v>12750</v>
      </c>
      <c r="M1232">
        <v>13.36149019607843</v>
      </c>
      <c r="N1232" t="s">
        <v>8</v>
      </c>
      <c r="O1232" t="s">
        <v>2397</v>
      </c>
      <c r="P1232" t="s">
        <v>73</v>
      </c>
      <c r="Q1232" t="s">
        <v>131</v>
      </c>
      <c r="R1232" t="s">
        <v>132</v>
      </c>
      <c r="S1232" t="s">
        <v>133</v>
      </c>
      <c r="T1232" t="s">
        <v>2398</v>
      </c>
      <c r="U1232" t="s">
        <v>34</v>
      </c>
      <c r="V1232">
        <v>1703.59</v>
      </c>
    </row>
    <row r="1233" spans="1:22" x14ac:dyDescent="0.3">
      <c r="A1233" t="s">
        <v>2544</v>
      </c>
      <c r="B1233" s="2">
        <v>45977</v>
      </c>
      <c r="C1233" t="s">
        <v>1125</v>
      </c>
      <c r="D1233" t="s">
        <v>49</v>
      </c>
      <c r="E1233" t="s">
        <v>119</v>
      </c>
      <c r="F1233">
        <v>3</v>
      </c>
      <c r="G1233">
        <v>0.15</v>
      </c>
      <c r="H1233">
        <v>22950</v>
      </c>
      <c r="I1233">
        <v>4181.49</v>
      </c>
      <c r="J1233" t="s">
        <v>26</v>
      </c>
      <c r="K1233" t="s">
        <v>40</v>
      </c>
      <c r="L1233">
        <v>7650</v>
      </c>
      <c r="M1233">
        <v>18.22</v>
      </c>
      <c r="N1233" t="s">
        <v>8</v>
      </c>
      <c r="O1233" t="s">
        <v>754</v>
      </c>
      <c r="P1233" t="s">
        <v>83</v>
      </c>
      <c r="Q1233" t="s">
        <v>74</v>
      </c>
      <c r="R1233" t="s">
        <v>493</v>
      </c>
      <c r="S1233" t="s">
        <v>494</v>
      </c>
      <c r="T1233" t="s">
        <v>822</v>
      </c>
      <c r="U1233" t="s">
        <v>46</v>
      </c>
      <c r="V1233">
        <v>1393.83</v>
      </c>
    </row>
    <row r="1234" spans="1:22" x14ac:dyDescent="0.3">
      <c r="A1234" t="s">
        <v>2545</v>
      </c>
      <c r="B1234" s="2">
        <v>45900</v>
      </c>
      <c r="C1234" t="s">
        <v>1694</v>
      </c>
      <c r="D1234" t="s">
        <v>24</v>
      </c>
      <c r="E1234" t="s">
        <v>92</v>
      </c>
      <c r="F1234">
        <v>3</v>
      </c>
      <c r="G1234">
        <v>0.1</v>
      </c>
      <c r="H1234">
        <v>2430</v>
      </c>
      <c r="I1234">
        <v>636.95000000000005</v>
      </c>
      <c r="J1234" t="s">
        <v>26</v>
      </c>
      <c r="K1234" t="s">
        <v>40</v>
      </c>
      <c r="L1234">
        <v>810</v>
      </c>
      <c r="M1234">
        <v>26.2119341563786</v>
      </c>
      <c r="N1234" t="s">
        <v>8</v>
      </c>
      <c r="O1234" t="s">
        <v>1695</v>
      </c>
      <c r="P1234" t="s">
        <v>73</v>
      </c>
      <c r="Q1234" t="s">
        <v>30</v>
      </c>
      <c r="R1234" t="s">
        <v>60</v>
      </c>
      <c r="S1234" t="s">
        <v>61</v>
      </c>
      <c r="T1234" t="s">
        <v>1696</v>
      </c>
      <c r="U1234" t="s">
        <v>100</v>
      </c>
      <c r="V1234">
        <v>212.31666666666669</v>
      </c>
    </row>
    <row r="1235" spans="1:22" x14ac:dyDescent="0.3">
      <c r="A1235" t="s">
        <v>2546</v>
      </c>
      <c r="B1235" s="2">
        <v>46185</v>
      </c>
      <c r="C1235" t="s">
        <v>1276</v>
      </c>
      <c r="D1235" t="s">
        <v>70</v>
      </c>
      <c r="E1235" t="s">
        <v>108</v>
      </c>
      <c r="F1235">
        <v>5</v>
      </c>
      <c r="G1235">
        <v>0.05</v>
      </c>
      <c r="H1235">
        <v>21375</v>
      </c>
      <c r="I1235">
        <v>6641.8</v>
      </c>
      <c r="J1235" t="s">
        <v>51</v>
      </c>
      <c r="K1235" t="s">
        <v>27</v>
      </c>
      <c r="L1235">
        <v>4275</v>
      </c>
      <c r="M1235">
        <v>31.072748538011691</v>
      </c>
      <c r="N1235" t="s">
        <v>8</v>
      </c>
      <c r="O1235" t="s">
        <v>1277</v>
      </c>
      <c r="P1235" t="s">
        <v>73</v>
      </c>
      <c r="Q1235" t="s">
        <v>74</v>
      </c>
      <c r="R1235" t="s">
        <v>75</v>
      </c>
      <c r="S1235" t="s">
        <v>75</v>
      </c>
      <c r="T1235" t="s">
        <v>1278</v>
      </c>
      <c r="U1235" t="s">
        <v>34</v>
      </c>
      <c r="V1235">
        <v>1328.36</v>
      </c>
    </row>
    <row r="1236" spans="1:22" x14ac:dyDescent="0.3">
      <c r="A1236" t="s">
        <v>2547</v>
      </c>
      <c r="B1236" s="2">
        <v>46071</v>
      </c>
      <c r="C1236" t="s">
        <v>401</v>
      </c>
      <c r="D1236" t="s">
        <v>70</v>
      </c>
      <c r="E1236" t="s">
        <v>165</v>
      </c>
      <c r="F1236">
        <v>1</v>
      </c>
      <c r="G1236">
        <v>0.1</v>
      </c>
      <c r="H1236">
        <v>2250</v>
      </c>
      <c r="I1236">
        <v>639.09</v>
      </c>
      <c r="J1236" t="s">
        <v>51</v>
      </c>
      <c r="K1236" t="s">
        <v>40</v>
      </c>
      <c r="L1236">
        <v>2250</v>
      </c>
      <c r="M1236">
        <v>28.404</v>
      </c>
      <c r="N1236" t="s">
        <v>8</v>
      </c>
      <c r="O1236" t="s">
        <v>402</v>
      </c>
      <c r="P1236" t="s">
        <v>29</v>
      </c>
      <c r="Q1236" t="s">
        <v>30</v>
      </c>
      <c r="R1236" t="s">
        <v>60</v>
      </c>
      <c r="S1236" t="s">
        <v>61</v>
      </c>
      <c r="T1236" t="s">
        <v>403</v>
      </c>
      <c r="U1236" t="s">
        <v>46</v>
      </c>
      <c r="V1236">
        <v>639.09</v>
      </c>
    </row>
    <row r="1237" spans="1:22" x14ac:dyDescent="0.3">
      <c r="A1237" t="s">
        <v>2548</v>
      </c>
      <c r="B1237" s="2">
        <v>45860</v>
      </c>
      <c r="C1237" t="s">
        <v>1243</v>
      </c>
      <c r="D1237" t="s">
        <v>37</v>
      </c>
      <c r="E1237" t="s">
        <v>38</v>
      </c>
      <c r="F1237">
        <v>2</v>
      </c>
      <c r="G1237">
        <v>0.2</v>
      </c>
      <c r="H1237">
        <v>2880</v>
      </c>
      <c r="I1237">
        <v>744.12</v>
      </c>
      <c r="J1237" t="s">
        <v>39</v>
      </c>
      <c r="K1237" t="s">
        <v>27</v>
      </c>
      <c r="L1237">
        <v>1440</v>
      </c>
      <c r="M1237">
        <v>25.837499999999999</v>
      </c>
      <c r="N1237" t="s">
        <v>8</v>
      </c>
      <c r="O1237" t="s">
        <v>754</v>
      </c>
      <c r="P1237" t="s">
        <v>73</v>
      </c>
      <c r="Q1237" t="s">
        <v>42</v>
      </c>
      <c r="R1237" t="s">
        <v>110</v>
      </c>
      <c r="S1237" t="s">
        <v>111</v>
      </c>
      <c r="T1237" t="s">
        <v>1244</v>
      </c>
      <c r="U1237" t="s">
        <v>105</v>
      </c>
      <c r="V1237">
        <v>372.06</v>
      </c>
    </row>
    <row r="1238" spans="1:22" x14ac:dyDescent="0.3">
      <c r="A1238" t="s">
        <v>2549</v>
      </c>
      <c r="B1238" s="2">
        <v>45841</v>
      </c>
      <c r="C1238" t="s">
        <v>118</v>
      </c>
      <c r="D1238" t="s">
        <v>24</v>
      </c>
      <c r="E1238" t="s">
        <v>92</v>
      </c>
      <c r="F1238">
        <v>2</v>
      </c>
      <c r="G1238">
        <v>0.1</v>
      </c>
      <c r="H1238">
        <v>1620</v>
      </c>
      <c r="I1238">
        <v>-785.33</v>
      </c>
      <c r="J1238" t="s">
        <v>39</v>
      </c>
      <c r="K1238" t="s">
        <v>434</v>
      </c>
      <c r="L1238">
        <v>810</v>
      </c>
      <c r="M1238">
        <v>-48.477160493827157</v>
      </c>
      <c r="N1238" t="s">
        <v>81</v>
      </c>
      <c r="O1238" t="s">
        <v>120</v>
      </c>
      <c r="P1238" t="s">
        <v>73</v>
      </c>
      <c r="Q1238" t="s">
        <v>42</v>
      </c>
      <c r="R1238" t="s">
        <v>121</v>
      </c>
      <c r="S1238" t="s">
        <v>44</v>
      </c>
      <c r="T1238" t="s">
        <v>122</v>
      </c>
      <c r="U1238" t="s">
        <v>100</v>
      </c>
      <c r="V1238">
        <v>-392.66500000000002</v>
      </c>
    </row>
    <row r="1239" spans="1:22" x14ac:dyDescent="0.3">
      <c r="A1239" t="s">
        <v>2550</v>
      </c>
      <c r="B1239" s="2">
        <v>45871</v>
      </c>
      <c r="C1239" t="s">
        <v>1094</v>
      </c>
      <c r="D1239" t="s">
        <v>24</v>
      </c>
      <c r="E1239" t="s">
        <v>87</v>
      </c>
      <c r="F1239">
        <v>6</v>
      </c>
      <c r="G1239">
        <v>0.15</v>
      </c>
      <c r="H1239">
        <v>1785</v>
      </c>
      <c r="I1239">
        <v>569.08000000000004</v>
      </c>
      <c r="J1239" t="s">
        <v>39</v>
      </c>
      <c r="K1239" t="s">
        <v>40</v>
      </c>
      <c r="L1239">
        <v>297.5</v>
      </c>
      <c r="M1239">
        <v>31.881232492997199</v>
      </c>
      <c r="N1239" t="s">
        <v>8</v>
      </c>
      <c r="O1239" t="s">
        <v>183</v>
      </c>
      <c r="P1239" t="s">
        <v>73</v>
      </c>
      <c r="Q1239" t="s">
        <v>30</v>
      </c>
      <c r="R1239" t="s">
        <v>31</v>
      </c>
      <c r="S1239" t="s">
        <v>32</v>
      </c>
      <c r="T1239" t="s">
        <v>1095</v>
      </c>
      <c r="U1239" t="s">
        <v>105</v>
      </c>
      <c r="V1239">
        <v>94.846666666666678</v>
      </c>
    </row>
    <row r="1240" spans="1:22" x14ac:dyDescent="0.3">
      <c r="A1240" t="s">
        <v>2551</v>
      </c>
      <c r="B1240" s="2">
        <v>46162</v>
      </c>
      <c r="C1240" t="s">
        <v>417</v>
      </c>
      <c r="D1240" t="s">
        <v>49</v>
      </c>
      <c r="E1240" t="s">
        <v>50</v>
      </c>
      <c r="F1240">
        <v>3</v>
      </c>
      <c r="G1240">
        <v>0.1</v>
      </c>
      <c r="H1240">
        <v>35100</v>
      </c>
      <c r="I1240">
        <v>-3081.05</v>
      </c>
      <c r="J1240" t="s">
        <v>39</v>
      </c>
      <c r="K1240" t="s">
        <v>434</v>
      </c>
      <c r="L1240">
        <v>11700</v>
      </c>
      <c r="M1240">
        <v>-8.7779202279202284</v>
      </c>
      <c r="N1240" t="s">
        <v>81</v>
      </c>
      <c r="O1240" t="s">
        <v>418</v>
      </c>
      <c r="P1240" t="s">
        <v>29</v>
      </c>
      <c r="Q1240" t="s">
        <v>30</v>
      </c>
      <c r="R1240" t="s">
        <v>60</v>
      </c>
      <c r="S1240" t="s">
        <v>61</v>
      </c>
      <c r="T1240" t="s">
        <v>419</v>
      </c>
      <c r="U1240" t="s">
        <v>34</v>
      </c>
      <c r="V1240">
        <v>-1027.0166666666671</v>
      </c>
    </row>
    <row r="1241" spans="1:22" x14ac:dyDescent="0.3">
      <c r="A1241" t="s">
        <v>2552</v>
      </c>
      <c r="B1241" s="2">
        <v>45980</v>
      </c>
      <c r="C1241" t="s">
        <v>529</v>
      </c>
      <c r="D1241" t="s">
        <v>70</v>
      </c>
      <c r="E1241" t="s">
        <v>129</v>
      </c>
      <c r="F1241">
        <v>3</v>
      </c>
      <c r="G1241">
        <v>0.1</v>
      </c>
      <c r="H1241">
        <v>148500</v>
      </c>
      <c r="I1241">
        <v>17605.13</v>
      </c>
      <c r="J1241" t="s">
        <v>26</v>
      </c>
      <c r="K1241" t="s">
        <v>40</v>
      </c>
      <c r="L1241">
        <v>49500</v>
      </c>
      <c r="M1241">
        <v>11.8553063973064</v>
      </c>
      <c r="N1241" t="s">
        <v>8</v>
      </c>
      <c r="O1241" t="s">
        <v>530</v>
      </c>
      <c r="P1241" t="s">
        <v>29</v>
      </c>
      <c r="Q1241" t="s">
        <v>30</v>
      </c>
      <c r="R1241" t="s">
        <v>98</v>
      </c>
      <c r="S1241" t="s">
        <v>54</v>
      </c>
      <c r="T1241" t="s">
        <v>531</v>
      </c>
      <c r="U1241" t="s">
        <v>105</v>
      </c>
      <c r="V1241">
        <v>5868.376666666667</v>
      </c>
    </row>
    <row r="1242" spans="1:22" x14ac:dyDescent="0.3">
      <c r="A1242" t="s">
        <v>2553</v>
      </c>
      <c r="B1242" s="2">
        <v>46134</v>
      </c>
      <c r="C1242" t="s">
        <v>659</v>
      </c>
      <c r="D1242" t="s">
        <v>70</v>
      </c>
      <c r="E1242" t="s">
        <v>108</v>
      </c>
      <c r="F1242">
        <v>1</v>
      </c>
      <c r="G1242">
        <v>0.2</v>
      </c>
      <c r="H1242">
        <v>3600</v>
      </c>
      <c r="I1242">
        <v>1058.32</v>
      </c>
      <c r="J1242" t="s">
        <v>26</v>
      </c>
      <c r="K1242" t="s">
        <v>40</v>
      </c>
      <c r="L1242">
        <v>3600</v>
      </c>
      <c r="M1242">
        <v>29.39777777777778</v>
      </c>
      <c r="N1242" t="s">
        <v>8</v>
      </c>
      <c r="O1242" t="s">
        <v>660</v>
      </c>
      <c r="P1242" t="s">
        <v>83</v>
      </c>
      <c r="Q1242" t="s">
        <v>30</v>
      </c>
      <c r="R1242" t="s">
        <v>60</v>
      </c>
      <c r="S1242" t="s">
        <v>61</v>
      </c>
      <c r="T1242" t="s">
        <v>475</v>
      </c>
      <c r="U1242" t="s">
        <v>46</v>
      </c>
      <c r="V1242">
        <v>1058.32</v>
      </c>
    </row>
    <row r="1243" spans="1:22" x14ac:dyDescent="0.3">
      <c r="A1243" t="s">
        <v>2554</v>
      </c>
      <c r="B1243" s="2">
        <v>45866</v>
      </c>
      <c r="C1243" t="s">
        <v>433</v>
      </c>
      <c r="D1243" t="s">
        <v>49</v>
      </c>
      <c r="E1243" t="s">
        <v>79</v>
      </c>
      <c r="F1243">
        <v>1</v>
      </c>
      <c r="G1243">
        <v>0.3</v>
      </c>
      <c r="H1243">
        <v>7700</v>
      </c>
      <c r="I1243">
        <v>300.33</v>
      </c>
      <c r="J1243" t="s">
        <v>39</v>
      </c>
      <c r="K1243" t="s">
        <v>40</v>
      </c>
      <c r="L1243">
        <v>7700</v>
      </c>
      <c r="M1243">
        <v>3.900389610389611</v>
      </c>
      <c r="N1243" t="s">
        <v>8</v>
      </c>
      <c r="O1243" t="s">
        <v>435</v>
      </c>
      <c r="P1243" t="s">
        <v>73</v>
      </c>
      <c r="Q1243" t="s">
        <v>42</v>
      </c>
      <c r="R1243" t="s">
        <v>214</v>
      </c>
      <c r="S1243" t="s">
        <v>111</v>
      </c>
      <c r="T1243" t="s">
        <v>436</v>
      </c>
      <c r="U1243" t="s">
        <v>46</v>
      </c>
      <c r="V1243">
        <v>300.33</v>
      </c>
    </row>
    <row r="1244" spans="1:22" x14ac:dyDescent="0.3">
      <c r="A1244" t="s">
        <v>2555</v>
      </c>
      <c r="B1244" s="2">
        <v>46100</v>
      </c>
      <c r="C1244" t="s">
        <v>1533</v>
      </c>
      <c r="D1244" t="s">
        <v>49</v>
      </c>
      <c r="E1244" t="s">
        <v>119</v>
      </c>
      <c r="F1244">
        <v>1</v>
      </c>
      <c r="G1244">
        <v>0.1</v>
      </c>
      <c r="H1244">
        <v>8100</v>
      </c>
      <c r="I1244">
        <v>1678.11</v>
      </c>
      <c r="J1244" t="s">
        <v>65</v>
      </c>
      <c r="K1244" t="s">
        <v>40</v>
      </c>
      <c r="L1244">
        <v>8100</v>
      </c>
      <c r="M1244">
        <v>20.717407407407411</v>
      </c>
      <c r="N1244" t="s">
        <v>8</v>
      </c>
      <c r="O1244" t="s">
        <v>1534</v>
      </c>
      <c r="P1244" t="s">
        <v>83</v>
      </c>
      <c r="Q1244" t="s">
        <v>42</v>
      </c>
      <c r="R1244" t="s">
        <v>110</v>
      </c>
      <c r="S1244" t="s">
        <v>111</v>
      </c>
      <c r="T1244" t="s">
        <v>503</v>
      </c>
      <c r="U1244" t="s">
        <v>46</v>
      </c>
      <c r="V1244">
        <v>1678.11</v>
      </c>
    </row>
    <row r="1245" spans="1:22" x14ac:dyDescent="0.3">
      <c r="A1245" t="s">
        <v>2556</v>
      </c>
      <c r="B1245" s="2">
        <v>46134</v>
      </c>
      <c r="C1245" t="s">
        <v>529</v>
      </c>
      <c r="D1245" t="s">
        <v>70</v>
      </c>
      <c r="E1245" t="s">
        <v>165</v>
      </c>
      <c r="F1245">
        <v>2</v>
      </c>
      <c r="G1245">
        <v>0.05</v>
      </c>
      <c r="H1245">
        <v>4750</v>
      </c>
      <c r="I1245">
        <v>1486.06</v>
      </c>
      <c r="J1245" t="s">
        <v>65</v>
      </c>
      <c r="K1245" t="s">
        <v>40</v>
      </c>
      <c r="L1245">
        <v>2375</v>
      </c>
      <c r="M1245">
        <v>31.285473684210519</v>
      </c>
      <c r="N1245" t="s">
        <v>8</v>
      </c>
      <c r="O1245" t="s">
        <v>530</v>
      </c>
      <c r="P1245" t="s">
        <v>29</v>
      </c>
      <c r="Q1245" t="s">
        <v>30</v>
      </c>
      <c r="R1245" t="s">
        <v>98</v>
      </c>
      <c r="S1245" t="s">
        <v>54</v>
      </c>
      <c r="T1245" t="s">
        <v>531</v>
      </c>
      <c r="U1245" t="s">
        <v>105</v>
      </c>
      <c r="V1245">
        <v>743.03</v>
      </c>
    </row>
    <row r="1246" spans="1:22" x14ac:dyDescent="0.3">
      <c r="A1246" t="s">
        <v>2557</v>
      </c>
      <c r="B1246" s="2">
        <v>46177</v>
      </c>
      <c r="C1246" t="s">
        <v>1014</v>
      </c>
      <c r="D1246" t="s">
        <v>70</v>
      </c>
      <c r="E1246" t="s">
        <v>71</v>
      </c>
      <c r="F1246">
        <v>1</v>
      </c>
      <c r="G1246">
        <v>0.05</v>
      </c>
      <c r="H1246">
        <v>17100</v>
      </c>
      <c r="I1246">
        <v>2834</v>
      </c>
      <c r="J1246" t="s">
        <v>51</v>
      </c>
      <c r="K1246" t="s">
        <v>40</v>
      </c>
      <c r="L1246">
        <v>17100</v>
      </c>
      <c r="M1246">
        <v>16.57309941520468</v>
      </c>
      <c r="N1246" t="s">
        <v>8</v>
      </c>
      <c r="O1246" t="s">
        <v>530</v>
      </c>
      <c r="P1246" t="s">
        <v>73</v>
      </c>
      <c r="Q1246" t="s">
        <v>42</v>
      </c>
      <c r="R1246" t="s">
        <v>121</v>
      </c>
      <c r="S1246" t="s">
        <v>44</v>
      </c>
      <c r="T1246" t="s">
        <v>1015</v>
      </c>
      <c r="U1246" t="s">
        <v>34</v>
      </c>
      <c r="V1246">
        <v>2834</v>
      </c>
    </row>
    <row r="1247" spans="1:22" x14ac:dyDescent="0.3">
      <c r="A1247" t="s">
        <v>2558</v>
      </c>
      <c r="B1247" s="2">
        <v>46040</v>
      </c>
      <c r="C1247" t="s">
        <v>1331</v>
      </c>
      <c r="D1247" t="s">
        <v>24</v>
      </c>
      <c r="E1247" t="s">
        <v>25</v>
      </c>
      <c r="F1247">
        <v>1</v>
      </c>
      <c r="G1247">
        <v>0.1</v>
      </c>
      <c r="H1247">
        <v>12600</v>
      </c>
      <c r="I1247">
        <v>1959.49</v>
      </c>
      <c r="J1247" t="s">
        <v>39</v>
      </c>
      <c r="K1247" t="s">
        <v>40</v>
      </c>
      <c r="L1247">
        <v>12600</v>
      </c>
      <c r="M1247">
        <v>15.55150793650794</v>
      </c>
      <c r="N1247" t="s">
        <v>8</v>
      </c>
      <c r="O1247" t="s">
        <v>553</v>
      </c>
      <c r="P1247" t="s">
        <v>29</v>
      </c>
      <c r="Q1247" t="s">
        <v>30</v>
      </c>
      <c r="R1247" t="s">
        <v>31</v>
      </c>
      <c r="S1247" t="s">
        <v>32</v>
      </c>
      <c r="T1247" t="s">
        <v>1332</v>
      </c>
      <c r="U1247" t="s">
        <v>46</v>
      </c>
      <c r="V1247">
        <v>1959.49</v>
      </c>
    </row>
    <row r="1248" spans="1:22" x14ac:dyDescent="0.3">
      <c r="A1248" t="s">
        <v>2559</v>
      </c>
      <c r="B1248" s="2">
        <v>45892</v>
      </c>
      <c r="C1248" t="s">
        <v>433</v>
      </c>
      <c r="D1248" t="s">
        <v>70</v>
      </c>
      <c r="E1248" t="s">
        <v>165</v>
      </c>
      <c r="F1248">
        <v>2</v>
      </c>
      <c r="G1248">
        <v>0.15</v>
      </c>
      <c r="H1248">
        <v>4250</v>
      </c>
      <c r="I1248">
        <v>1028.1400000000001</v>
      </c>
      <c r="J1248" t="s">
        <v>39</v>
      </c>
      <c r="K1248" t="s">
        <v>40</v>
      </c>
      <c r="L1248">
        <v>2125</v>
      </c>
      <c r="M1248">
        <v>24.191529411764709</v>
      </c>
      <c r="N1248" t="s">
        <v>8</v>
      </c>
      <c r="O1248" t="s">
        <v>435</v>
      </c>
      <c r="P1248" t="s">
        <v>73</v>
      </c>
      <c r="Q1248" t="s">
        <v>42</v>
      </c>
      <c r="R1248" t="s">
        <v>214</v>
      </c>
      <c r="S1248" t="s">
        <v>111</v>
      </c>
      <c r="T1248" t="s">
        <v>436</v>
      </c>
      <c r="U1248" t="s">
        <v>46</v>
      </c>
      <c r="V1248">
        <v>514.07000000000005</v>
      </c>
    </row>
    <row r="1249" spans="1:22" x14ac:dyDescent="0.3">
      <c r="A1249" t="s">
        <v>2560</v>
      </c>
      <c r="B1249" s="2">
        <v>46157</v>
      </c>
      <c r="C1249" t="s">
        <v>1250</v>
      </c>
      <c r="D1249" t="s">
        <v>70</v>
      </c>
      <c r="E1249" t="s">
        <v>71</v>
      </c>
      <c r="F1249">
        <v>6</v>
      </c>
      <c r="G1249">
        <v>0.1</v>
      </c>
      <c r="H1249">
        <v>97200</v>
      </c>
      <c r="I1249">
        <v>12915.57</v>
      </c>
      <c r="J1249" t="s">
        <v>65</v>
      </c>
      <c r="K1249" t="s">
        <v>40</v>
      </c>
      <c r="L1249">
        <v>16200</v>
      </c>
      <c r="M1249">
        <v>13.28762345679012</v>
      </c>
      <c r="N1249" t="s">
        <v>8</v>
      </c>
      <c r="O1249" t="s">
        <v>1251</v>
      </c>
      <c r="P1249" t="s">
        <v>29</v>
      </c>
      <c r="Q1249" t="s">
        <v>42</v>
      </c>
      <c r="R1249" t="s">
        <v>43</v>
      </c>
      <c r="S1249" t="s">
        <v>44</v>
      </c>
      <c r="T1249" t="s">
        <v>1252</v>
      </c>
      <c r="U1249" t="s">
        <v>105</v>
      </c>
      <c r="V1249">
        <v>2152.5949999999998</v>
      </c>
    </row>
    <row r="1250" spans="1:22" x14ac:dyDescent="0.3">
      <c r="A1250" t="s">
        <v>2561</v>
      </c>
      <c r="B1250" s="2">
        <v>45842</v>
      </c>
      <c r="C1250" t="s">
        <v>2562</v>
      </c>
      <c r="D1250" t="s">
        <v>70</v>
      </c>
      <c r="E1250" t="s">
        <v>165</v>
      </c>
      <c r="F1250">
        <v>3</v>
      </c>
      <c r="G1250">
        <v>0.3</v>
      </c>
      <c r="H1250">
        <v>5250</v>
      </c>
      <c r="I1250">
        <v>1034.01</v>
      </c>
      <c r="J1250" t="s">
        <v>26</v>
      </c>
      <c r="K1250" t="s">
        <v>40</v>
      </c>
      <c r="L1250">
        <v>1750</v>
      </c>
      <c r="M1250">
        <v>19.695428571428572</v>
      </c>
      <c r="N1250" t="s">
        <v>8</v>
      </c>
      <c r="O1250" t="s">
        <v>2563</v>
      </c>
      <c r="P1250" t="s">
        <v>29</v>
      </c>
      <c r="Q1250" t="s">
        <v>30</v>
      </c>
      <c r="R1250" t="s">
        <v>60</v>
      </c>
      <c r="S1250" t="s">
        <v>61</v>
      </c>
      <c r="T1250" t="s">
        <v>1619</v>
      </c>
      <c r="U1250" t="s">
        <v>34</v>
      </c>
      <c r="V1250">
        <v>344.67</v>
      </c>
    </row>
    <row r="1251" spans="1:22" x14ac:dyDescent="0.3">
      <c r="A1251" t="s">
        <v>2564</v>
      </c>
      <c r="B1251" s="2">
        <v>46147</v>
      </c>
      <c r="C1251" t="s">
        <v>994</v>
      </c>
      <c r="D1251" t="s">
        <v>24</v>
      </c>
      <c r="E1251" t="s">
        <v>87</v>
      </c>
      <c r="F1251">
        <v>1</v>
      </c>
      <c r="G1251">
        <v>0.05</v>
      </c>
      <c r="H1251">
        <v>332.5</v>
      </c>
      <c r="I1251">
        <v>-78.62</v>
      </c>
      <c r="J1251" t="s">
        <v>65</v>
      </c>
      <c r="K1251" t="s">
        <v>434</v>
      </c>
      <c r="L1251">
        <v>332.5</v>
      </c>
      <c r="M1251">
        <v>-23.645112781954889</v>
      </c>
      <c r="N1251" t="s">
        <v>81</v>
      </c>
      <c r="O1251" t="s">
        <v>995</v>
      </c>
      <c r="P1251" t="s">
        <v>29</v>
      </c>
      <c r="Q1251" t="s">
        <v>131</v>
      </c>
      <c r="R1251" t="s">
        <v>449</v>
      </c>
      <c r="S1251" t="s">
        <v>450</v>
      </c>
      <c r="T1251" t="s">
        <v>184</v>
      </c>
      <c r="U1251" t="s">
        <v>105</v>
      </c>
      <c r="V1251">
        <v>-78.62</v>
      </c>
    </row>
    <row r="1252" spans="1:22" x14ac:dyDescent="0.3">
      <c r="A1252" t="s">
        <v>2565</v>
      </c>
      <c r="B1252" s="2">
        <v>46057</v>
      </c>
      <c r="C1252" t="s">
        <v>846</v>
      </c>
      <c r="D1252" t="s">
        <v>70</v>
      </c>
      <c r="E1252" t="s">
        <v>71</v>
      </c>
      <c r="F1252">
        <v>6</v>
      </c>
      <c r="G1252">
        <v>0.15</v>
      </c>
      <c r="H1252">
        <v>91800</v>
      </c>
      <c r="I1252">
        <v>11523.03</v>
      </c>
      <c r="J1252" t="s">
        <v>39</v>
      </c>
      <c r="K1252" t="s">
        <v>40</v>
      </c>
      <c r="L1252">
        <v>15300</v>
      </c>
      <c r="M1252">
        <v>12.552320261437909</v>
      </c>
      <c r="N1252" t="s">
        <v>8</v>
      </c>
      <c r="O1252" t="s">
        <v>847</v>
      </c>
      <c r="P1252" t="s">
        <v>29</v>
      </c>
      <c r="Q1252" t="s">
        <v>30</v>
      </c>
      <c r="R1252" t="s">
        <v>53</v>
      </c>
      <c r="S1252" t="s">
        <v>54</v>
      </c>
      <c r="T1252" t="s">
        <v>848</v>
      </c>
      <c r="U1252" t="s">
        <v>34</v>
      </c>
      <c r="V1252">
        <v>1920.5050000000001</v>
      </c>
    </row>
    <row r="1253" spans="1:22" x14ac:dyDescent="0.3">
      <c r="A1253" t="s">
        <v>2566</v>
      </c>
      <c r="B1253" s="2">
        <v>45946</v>
      </c>
      <c r="C1253" t="s">
        <v>1723</v>
      </c>
      <c r="D1253" t="s">
        <v>49</v>
      </c>
      <c r="E1253" t="s">
        <v>79</v>
      </c>
      <c r="F1253">
        <v>2</v>
      </c>
      <c r="G1253">
        <v>0.1</v>
      </c>
      <c r="H1253">
        <v>19800</v>
      </c>
      <c r="I1253">
        <v>3711.93</v>
      </c>
      <c r="J1253" t="s">
        <v>26</v>
      </c>
      <c r="K1253" t="s">
        <v>40</v>
      </c>
      <c r="L1253">
        <v>9900</v>
      </c>
      <c r="M1253">
        <v>18.747121212121211</v>
      </c>
      <c r="N1253" t="s">
        <v>8</v>
      </c>
      <c r="O1253" t="s">
        <v>398</v>
      </c>
      <c r="P1253" t="s">
        <v>83</v>
      </c>
      <c r="Q1253" t="s">
        <v>30</v>
      </c>
      <c r="R1253" t="s">
        <v>98</v>
      </c>
      <c r="S1253" t="s">
        <v>54</v>
      </c>
      <c r="T1253" t="s">
        <v>1724</v>
      </c>
      <c r="U1253" t="s">
        <v>46</v>
      </c>
      <c r="V1253">
        <v>1855.9649999999999</v>
      </c>
    </row>
    <row r="1254" spans="1:22" x14ac:dyDescent="0.3">
      <c r="A1254" t="s">
        <v>2567</v>
      </c>
      <c r="B1254" s="2">
        <v>46213</v>
      </c>
      <c r="C1254" t="s">
        <v>621</v>
      </c>
      <c r="D1254" t="s">
        <v>24</v>
      </c>
      <c r="E1254" t="s">
        <v>242</v>
      </c>
      <c r="F1254">
        <v>2</v>
      </c>
      <c r="G1254">
        <v>0.1</v>
      </c>
      <c r="H1254">
        <v>810</v>
      </c>
      <c r="I1254">
        <v>167.41</v>
      </c>
      <c r="J1254" t="s">
        <v>39</v>
      </c>
      <c r="K1254" t="s">
        <v>40</v>
      </c>
      <c r="L1254">
        <v>405</v>
      </c>
      <c r="M1254">
        <v>20.6679012345679</v>
      </c>
      <c r="N1254" t="s">
        <v>8</v>
      </c>
      <c r="O1254" t="s">
        <v>622</v>
      </c>
      <c r="P1254" t="s">
        <v>29</v>
      </c>
      <c r="Q1254" t="s">
        <v>74</v>
      </c>
      <c r="R1254" t="s">
        <v>115</v>
      </c>
      <c r="S1254" t="s">
        <v>115</v>
      </c>
      <c r="T1254" t="s">
        <v>623</v>
      </c>
      <c r="U1254" t="s">
        <v>100</v>
      </c>
      <c r="V1254">
        <v>83.704999999999998</v>
      </c>
    </row>
    <row r="1255" spans="1:22" x14ac:dyDescent="0.3">
      <c r="A1255" t="s">
        <v>2568</v>
      </c>
      <c r="B1255" s="2">
        <v>46098</v>
      </c>
      <c r="C1255" t="s">
        <v>506</v>
      </c>
      <c r="D1255" t="s">
        <v>70</v>
      </c>
      <c r="E1255" t="s">
        <v>71</v>
      </c>
      <c r="F1255">
        <v>2</v>
      </c>
      <c r="G1255">
        <v>0.1</v>
      </c>
      <c r="H1255">
        <v>32400</v>
      </c>
      <c r="I1255">
        <v>4620.3599999999997</v>
      </c>
      <c r="J1255" t="s">
        <v>51</v>
      </c>
      <c r="K1255" t="s">
        <v>27</v>
      </c>
      <c r="L1255">
        <v>16200</v>
      </c>
      <c r="M1255">
        <v>14.260370370370371</v>
      </c>
      <c r="N1255" t="s">
        <v>8</v>
      </c>
      <c r="O1255" t="s">
        <v>359</v>
      </c>
      <c r="P1255" t="s">
        <v>83</v>
      </c>
      <c r="Q1255" t="s">
        <v>131</v>
      </c>
      <c r="R1255" t="s">
        <v>289</v>
      </c>
      <c r="S1255" t="s">
        <v>290</v>
      </c>
      <c r="T1255" t="s">
        <v>507</v>
      </c>
      <c r="U1255" t="s">
        <v>105</v>
      </c>
      <c r="V1255">
        <v>2310.1799999999998</v>
      </c>
    </row>
    <row r="1256" spans="1:22" x14ac:dyDescent="0.3">
      <c r="A1256" t="s">
        <v>2569</v>
      </c>
      <c r="B1256" s="2">
        <v>46026</v>
      </c>
      <c r="C1256" t="s">
        <v>897</v>
      </c>
      <c r="D1256" t="s">
        <v>70</v>
      </c>
      <c r="E1256" t="s">
        <v>71</v>
      </c>
      <c r="F1256">
        <v>1</v>
      </c>
      <c r="G1256">
        <v>0.1</v>
      </c>
      <c r="H1256">
        <v>16200</v>
      </c>
      <c r="I1256">
        <v>2534</v>
      </c>
      <c r="J1256" t="s">
        <v>39</v>
      </c>
      <c r="K1256" t="s">
        <v>40</v>
      </c>
      <c r="L1256">
        <v>16200</v>
      </c>
      <c r="M1256">
        <v>15.641975308641969</v>
      </c>
      <c r="N1256" t="s">
        <v>8</v>
      </c>
      <c r="O1256" t="s">
        <v>607</v>
      </c>
      <c r="P1256" t="s">
        <v>73</v>
      </c>
      <c r="Q1256" t="s">
        <v>30</v>
      </c>
      <c r="R1256" t="s">
        <v>31</v>
      </c>
      <c r="S1256" t="s">
        <v>32</v>
      </c>
      <c r="T1256" t="s">
        <v>898</v>
      </c>
      <c r="U1256" t="s">
        <v>34</v>
      </c>
      <c r="V1256">
        <v>2534</v>
      </c>
    </row>
    <row r="1257" spans="1:22" x14ac:dyDescent="0.3">
      <c r="A1257" t="s">
        <v>2570</v>
      </c>
      <c r="B1257" s="2">
        <v>45884</v>
      </c>
      <c r="C1257" t="s">
        <v>208</v>
      </c>
      <c r="D1257" t="s">
        <v>24</v>
      </c>
      <c r="E1257" t="s">
        <v>92</v>
      </c>
      <c r="F1257">
        <v>3</v>
      </c>
      <c r="G1257">
        <v>0</v>
      </c>
      <c r="H1257">
        <v>2700</v>
      </c>
      <c r="I1257">
        <v>840</v>
      </c>
      <c r="J1257" t="s">
        <v>39</v>
      </c>
      <c r="K1257" t="s">
        <v>40</v>
      </c>
      <c r="L1257">
        <v>900</v>
      </c>
      <c r="M1257">
        <v>31.111111111111111</v>
      </c>
      <c r="N1257" t="s">
        <v>8</v>
      </c>
      <c r="O1257" t="s">
        <v>209</v>
      </c>
      <c r="P1257" t="s">
        <v>29</v>
      </c>
      <c r="Q1257" t="s">
        <v>30</v>
      </c>
      <c r="R1257" t="s">
        <v>60</v>
      </c>
      <c r="S1257" t="s">
        <v>61</v>
      </c>
      <c r="T1257" t="s">
        <v>210</v>
      </c>
      <c r="U1257" t="s">
        <v>46</v>
      </c>
      <c r="V1257">
        <v>280</v>
      </c>
    </row>
    <row r="1258" spans="1:22" x14ac:dyDescent="0.3">
      <c r="A1258" t="s">
        <v>2571</v>
      </c>
      <c r="B1258" s="2">
        <v>45876</v>
      </c>
      <c r="C1258" t="s">
        <v>469</v>
      </c>
      <c r="D1258" t="s">
        <v>70</v>
      </c>
      <c r="E1258" t="s">
        <v>165</v>
      </c>
      <c r="F1258">
        <v>1</v>
      </c>
      <c r="G1258">
        <v>0</v>
      </c>
      <c r="H1258">
        <v>2500</v>
      </c>
      <c r="I1258">
        <v>800</v>
      </c>
      <c r="J1258" t="s">
        <v>65</v>
      </c>
      <c r="K1258" t="s">
        <v>40</v>
      </c>
      <c r="L1258">
        <v>2500</v>
      </c>
      <c r="M1258">
        <v>32</v>
      </c>
      <c r="N1258" t="s">
        <v>8</v>
      </c>
      <c r="O1258" t="s">
        <v>470</v>
      </c>
      <c r="P1258" t="s">
        <v>83</v>
      </c>
      <c r="Q1258" t="s">
        <v>30</v>
      </c>
      <c r="R1258" t="s">
        <v>31</v>
      </c>
      <c r="S1258" t="s">
        <v>32</v>
      </c>
      <c r="T1258" t="s">
        <v>471</v>
      </c>
      <c r="U1258" t="s">
        <v>100</v>
      </c>
      <c r="V1258">
        <v>800</v>
      </c>
    </row>
    <row r="1259" spans="1:22" x14ac:dyDescent="0.3">
      <c r="A1259" t="s">
        <v>2572</v>
      </c>
      <c r="B1259" s="2">
        <v>46004</v>
      </c>
      <c r="C1259" t="s">
        <v>457</v>
      </c>
      <c r="D1259" t="s">
        <v>24</v>
      </c>
      <c r="E1259" t="s">
        <v>242</v>
      </c>
      <c r="F1259">
        <v>1</v>
      </c>
      <c r="G1259">
        <v>0</v>
      </c>
      <c r="H1259">
        <v>450</v>
      </c>
      <c r="I1259">
        <v>110</v>
      </c>
      <c r="J1259" t="s">
        <v>39</v>
      </c>
      <c r="K1259" t="s">
        <v>40</v>
      </c>
      <c r="L1259">
        <v>450</v>
      </c>
      <c r="M1259">
        <v>24.444444444444439</v>
      </c>
      <c r="N1259" t="s">
        <v>8</v>
      </c>
      <c r="O1259" t="s">
        <v>458</v>
      </c>
      <c r="P1259" t="s">
        <v>73</v>
      </c>
      <c r="Q1259" t="s">
        <v>30</v>
      </c>
      <c r="R1259" t="s">
        <v>60</v>
      </c>
      <c r="S1259" t="s">
        <v>61</v>
      </c>
      <c r="T1259" t="s">
        <v>459</v>
      </c>
      <c r="U1259" t="s">
        <v>34</v>
      </c>
      <c r="V1259">
        <v>110</v>
      </c>
    </row>
    <row r="1260" spans="1:22" x14ac:dyDescent="0.3">
      <c r="A1260" t="s">
        <v>2573</v>
      </c>
      <c r="B1260" s="2">
        <v>46079</v>
      </c>
      <c r="C1260" t="s">
        <v>559</v>
      </c>
      <c r="D1260" t="s">
        <v>70</v>
      </c>
      <c r="E1260" t="s">
        <v>108</v>
      </c>
      <c r="F1260">
        <v>4</v>
      </c>
      <c r="G1260">
        <v>0.15</v>
      </c>
      <c r="H1260">
        <v>15300</v>
      </c>
      <c r="I1260">
        <v>3850.04</v>
      </c>
      <c r="J1260" t="s">
        <v>26</v>
      </c>
      <c r="K1260" t="s">
        <v>27</v>
      </c>
      <c r="L1260">
        <v>3825</v>
      </c>
      <c r="M1260">
        <v>25.163660130718959</v>
      </c>
      <c r="N1260" t="s">
        <v>8</v>
      </c>
      <c r="O1260" t="s">
        <v>478</v>
      </c>
      <c r="P1260" t="s">
        <v>29</v>
      </c>
      <c r="Q1260" t="s">
        <v>30</v>
      </c>
      <c r="R1260" t="s">
        <v>53</v>
      </c>
      <c r="S1260" t="s">
        <v>54</v>
      </c>
      <c r="T1260" t="s">
        <v>560</v>
      </c>
      <c r="U1260" t="s">
        <v>34</v>
      </c>
      <c r="V1260">
        <v>962.51</v>
      </c>
    </row>
    <row r="1261" spans="1:22" x14ac:dyDescent="0.3">
      <c r="A1261" t="s">
        <v>2574</v>
      </c>
      <c r="B1261" s="2">
        <v>46181</v>
      </c>
      <c r="C1261" t="s">
        <v>577</v>
      </c>
      <c r="D1261" t="s">
        <v>24</v>
      </c>
      <c r="E1261" t="s">
        <v>87</v>
      </c>
      <c r="F1261">
        <v>5</v>
      </c>
      <c r="G1261">
        <v>0.1</v>
      </c>
      <c r="H1261">
        <v>1575</v>
      </c>
      <c r="I1261">
        <v>501.53</v>
      </c>
      <c r="J1261" t="s">
        <v>26</v>
      </c>
      <c r="K1261" t="s">
        <v>40</v>
      </c>
      <c r="L1261">
        <v>315</v>
      </c>
      <c r="M1261">
        <v>31.843174603174599</v>
      </c>
      <c r="N1261" t="s">
        <v>8</v>
      </c>
      <c r="O1261" t="s">
        <v>578</v>
      </c>
      <c r="P1261" t="s">
        <v>73</v>
      </c>
      <c r="Q1261" t="s">
        <v>30</v>
      </c>
      <c r="R1261" t="s">
        <v>98</v>
      </c>
      <c r="S1261" t="s">
        <v>54</v>
      </c>
      <c r="T1261" t="s">
        <v>579</v>
      </c>
      <c r="U1261" t="s">
        <v>46</v>
      </c>
      <c r="V1261">
        <v>100.306</v>
      </c>
    </row>
    <row r="1262" spans="1:22" x14ac:dyDescent="0.3">
      <c r="A1262" t="s">
        <v>2575</v>
      </c>
      <c r="B1262" s="2">
        <v>46210</v>
      </c>
      <c r="C1262" t="s">
        <v>385</v>
      </c>
      <c r="D1262" t="s">
        <v>70</v>
      </c>
      <c r="E1262" t="s">
        <v>71</v>
      </c>
      <c r="F1262">
        <v>3</v>
      </c>
      <c r="G1262">
        <v>0</v>
      </c>
      <c r="H1262">
        <v>54000</v>
      </c>
      <c r="I1262">
        <v>10500</v>
      </c>
      <c r="J1262" t="s">
        <v>39</v>
      </c>
      <c r="K1262" t="s">
        <v>40</v>
      </c>
      <c r="L1262">
        <v>18000</v>
      </c>
      <c r="M1262">
        <v>19.44444444444445</v>
      </c>
      <c r="N1262" t="s">
        <v>8</v>
      </c>
      <c r="O1262" t="s">
        <v>386</v>
      </c>
      <c r="P1262" t="s">
        <v>29</v>
      </c>
      <c r="Q1262" t="s">
        <v>30</v>
      </c>
      <c r="R1262" t="s">
        <v>60</v>
      </c>
      <c r="S1262" t="s">
        <v>61</v>
      </c>
      <c r="T1262" t="s">
        <v>387</v>
      </c>
      <c r="U1262" t="s">
        <v>100</v>
      </c>
      <c r="V1262">
        <v>3500</v>
      </c>
    </row>
    <row r="1263" spans="1:22" x14ac:dyDescent="0.3">
      <c r="A1263" t="s">
        <v>2576</v>
      </c>
      <c r="B1263" s="2">
        <v>46135</v>
      </c>
      <c r="C1263" t="s">
        <v>916</v>
      </c>
      <c r="D1263" t="s">
        <v>24</v>
      </c>
      <c r="E1263" t="s">
        <v>242</v>
      </c>
      <c r="F1263">
        <v>4</v>
      </c>
      <c r="G1263">
        <v>0.05</v>
      </c>
      <c r="H1263">
        <v>1710</v>
      </c>
      <c r="I1263">
        <v>392.74</v>
      </c>
      <c r="J1263" t="s">
        <v>65</v>
      </c>
      <c r="K1263" t="s">
        <v>27</v>
      </c>
      <c r="L1263">
        <v>427.5</v>
      </c>
      <c r="M1263">
        <v>22.967251461988301</v>
      </c>
      <c r="N1263" t="s">
        <v>8</v>
      </c>
      <c r="O1263" t="s">
        <v>917</v>
      </c>
      <c r="P1263" t="s">
        <v>29</v>
      </c>
      <c r="Q1263" t="s">
        <v>42</v>
      </c>
      <c r="R1263" t="s">
        <v>121</v>
      </c>
      <c r="S1263" t="s">
        <v>44</v>
      </c>
      <c r="T1263" t="s">
        <v>918</v>
      </c>
      <c r="U1263" t="s">
        <v>34</v>
      </c>
      <c r="V1263">
        <v>98.185000000000002</v>
      </c>
    </row>
    <row r="1264" spans="1:22" x14ac:dyDescent="0.3">
      <c r="A1264" t="s">
        <v>2577</v>
      </c>
      <c r="B1264" s="2">
        <v>45871</v>
      </c>
      <c r="C1264" t="s">
        <v>513</v>
      </c>
      <c r="D1264" t="s">
        <v>24</v>
      </c>
      <c r="E1264" t="s">
        <v>87</v>
      </c>
      <c r="F1264">
        <v>2</v>
      </c>
      <c r="G1264">
        <v>0.15</v>
      </c>
      <c r="H1264">
        <v>595</v>
      </c>
      <c r="I1264">
        <v>169.55</v>
      </c>
      <c r="J1264" t="s">
        <v>65</v>
      </c>
      <c r="K1264" t="s">
        <v>40</v>
      </c>
      <c r="L1264">
        <v>297.5</v>
      </c>
      <c r="M1264">
        <v>28.495798319327729</v>
      </c>
      <c r="N1264" t="s">
        <v>8</v>
      </c>
      <c r="O1264" t="s">
        <v>514</v>
      </c>
      <c r="P1264" t="s">
        <v>73</v>
      </c>
      <c r="Q1264" t="s">
        <v>131</v>
      </c>
      <c r="R1264" t="s">
        <v>449</v>
      </c>
      <c r="S1264" t="s">
        <v>450</v>
      </c>
      <c r="T1264" t="s">
        <v>515</v>
      </c>
      <c r="U1264" t="s">
        <v>100</v>
      </c>
      <c r="V1264">
        <v>84.775000000000006</v>
      </c>
    </row>
    <row r="1265" spans="1:22" x14ac:dyDescent="0.3">
      <c r="A1265" t="s">
        <v>2578</v>
      </c>
      <c r="B1265" s="2">
        <v>46070</v>
      </c>
      <c r="C1265" t="s">
        <v>426</v>
      </c>
      <c r="D1265" t="s">
        <v>49</v>
      </c>
      <c r="E1265" t="s">
        <v>58</v>
      </c>
      <c r="F1265">
        <v>3</v>
      </c>
      <c r="G1265">
        <v>0.2</v>
      </c>
      <c r="H1265">
        <v>36000</v>
      </c>
      <c r="I1265">
        <v>4897.82</v>
      </c>
      <c r="J1265" t="s">
        <v>51</v>
      </c>
      <c r="K1265" t="s">
        <v>40</v>
      </c>
      <c r="L1265">
        <v>12000</v>
      </c>
      <c r="M1265">
        <v>13.60505555555555</v>
      </c>
      <c r="N1265" t="s">
        <v>8</v>
      </c>
      <c r="O1265" t="s">
        <v>427</v>
      </c>
      <c r="P1265" t="s">
        <v>73</v>
      </c>
      <c r="Q1265" t="s">
        <v>30</v>
      </c>
      <c r="R1265" t="s">
        <v>60</v>
      </c>
      <c r="S1265" t="s">
        <v>61</v>
      </c>
      <c r="T1265" t="s">
        <v>428</v>
      </c>
      <c r="U1265" t="s">
        <v>34</v>
      </c>
      <c r="V1265">
        <v>1632.606666666667</v>
      </c>
    </row>
    <row r="1266" spans="1:22" x14ac:dyDescent="0.3">
      <c r="A1266" t="s">
        <v>2579</v>
      </c>
      <c r="B1266" s="2">
        <v>46195</v>
      </c>
      <c r="C1266" t="s">
        <v>1849</v>
      </c>
      <c r="D1266" t="s">
        <v>24</v>
      </c>
      <c r="E1266" t="s">
        <v>92</v>
      </c>
      <c r="F1266">
        <v>4</v>
      </c>
      <c r="G1266">
        <v>0</v>
      </c>
      <c r="H1266">
        <v>3600</v>
      </c>
      <c r="I1266">
        <v>1120</v>
      </c>
      <c r="J1266" t="s">
        <v>65</v>
      </c>
      <c r="K1266" t="s">
        <v>40</v>
      </c>
      <c r="L1266">
        <v>900</v>
      </c>
      <c r="M1266">
        <v>31.111111111111111</v>
      </c>
      <c r="N1266" t="s">
        <v>8</v>
      </c>
      <c r="O1266" t="s">
        <v>171</v>
      </c>
      <c r="P1266" t="s">
        <v>83</v>
      </c>
      <c r="Q1266" t="s">
        <v>131</v>
      </c>
      <c r="R1266" t="s">
        <v>289</v>
      </c>
      <c r="S1266" t="s">
        <v>290</v>
      </c>
      <c r="T1266" t="s">
        <v>1850</v>
      </c>
      <c r="U1266" t="s">
        <v>34</v>
      </c>
      <c r="V1266">
        <v>280</v>
      </c>
    </row>
    <row r="1267" spans="1:22" x14ac:dyDescent="0.3">
      <c r="A1267" t="s">
        <v>2580</v>
      </c>
      <c r="B1267" s="2">
        <v>45869</v>
      </c>
      <c r="C1267" t="s">
        <v>577</v>
      </c>
      <c r="D1267" t="s">
        <v>24</v>
      </c>
      <c r="E1267" t="s">
        <v>92</v>
      </c>
      <c r="F1267">
        <v>3</v>
      </c>
      <c r="G1267">
        <v>0</v>
      </c>
      <c r="H1267">
        <v>2700</v>
      </c>
      <c r="I1267">
        <v>840</v>
      </c>
      <c r="J1267" t="s">
        <v>51</v>
      </c>
      <c r="K1267" t="s">
        <v>27</v>
      </c>
      <c r="L1267">
        <v>900</v>
      </c>
      <c r="M1267">
        <v>31.111111111111111</v>
      </c>
      <c r="N1267" t="s">
        <v>8</v>
      </c>
      <c r="O1267" t="s">
        <v>578</v>
      </c>
      <c r="P1267" t="s">
        <v>73</v>
      </c>
      <c r="Q1267" t="s">
        <v>30</v>
      </c>
      <c r="R1267" t="s">
        <v>98</v>
      </c>
      <c r="S1267" t="s">
        <v>54</v>
      </c>
      <c r="T1267" t="s">
        <v>579</v>
      </c>
      <c r="U1267" t="s">
        <v>46</v>
      </c>
      <c r="V1267">
        <v>280</v>
      </c>
    </row>
    <row r="1268" spans="1:22" x14ac:dyDescent="0.3">
      <c r="A1268" t="s">
        <v>2581</v>
      </c>
      <c r="B1268" s="2">
        <v>45939</v>
      </c>
      <c r="C1268" t="s">
        <v>878</v>
      </c>
      <c r="D1268" t="s">
        <v>49</v>
      </c>
      <c r="E1268" t="s">
        <v>58</v>
      </c>
      <c r="F1268">
        <v>5</v>
      </c>
      <c r="G1268">
        <v>0.15</v>
      </c>
      <c r="H1268">
        <v>63750</v>
      </c>
      <c r="I1268">
        <v>12239.36</v>
      </c>
      <c r="J1268" t="s">
        <v>51</v>
      </c>
      <c r="K1268" t="s">
        <v>27</v>
      </c>
      <c r="L1268">
        <v>12750</v>
      </c>
      <c r="M1268">
        <v>19.198996078431371</v>
      </c>
      <c r="N1268" t="s">
        <v>8</v>
      </c>
      <c r="O1268" t="s">
        <v>879</v>
      </c>
      <c r="P1268" t="s">
        <v>83</v>
      </c>
      <c r="Q1268" t="s">
        <v>30</v>
      </c>
      <c r="R1268" t="s">
        <v>98</v>
      </c>
      <c r="S1268" t="s">
        <v>54</v>
      </c>
      <c r="T1268" t="s">
        <v>880</v>
      </c>
      <c r="U1268" t="s">
        <v>46</v>
      </c>
      <c r="V1268">
        <v>2447.8719999999998</v>
      </c>
    </row>
    <row r="1269" spans="1:22" x14ac:dyDescent="0.3">
      <c r="A1269" t="s">
        <v>2582</v>
      </c>
      <c r="B1269" s="2">
        <v>45988</v>
      </c>
      <c r="C1269" t="s">
        <v>994</v>
      </c>
      <c r="D1269" t="s">
        <v>37</v>
      </c>
      <c r="E1269" t="s">
        <v>190</v>
      </c>
      <c r="F1269">
        <v>2</v>
      </c>
      <c r="G1269">
        <v>0.05</v>
      </c>
      <c r="H1269">
        <v>7980</v>
      </c>
      <c r="I1269">
        <v>2173.63</v>
      </c>
      <c r="J1269" t="s">
        <v>26</v>
      </c>
      <c r="K1269" t="s">
        <v>40</v>
      </c>
      <c r="L1269">
        <v>3990</v>
      </c>
      <c r="M1269">
        <v>27.238471177944859</v>
      </c>
      <c r="N1269" t="s">
        <v>8</v>
      </c>
      <c r="O1269" t="s">
        <v>995</v>
      </c>
      <c r="P1269" t="s">
        <v>29</v>
      </c>
      <c r="Q1269" t="s">
        <v>131</v>
      </c>
      <c r="R1269" t="s">
        <v>449</v>
      </c>
      <c r="S1269" t="s">
        <v>450</v>
      </c>
      <c r="T1269" t="s">
        <v>184</v>
      </c>
      <c r="U1269" t="s">
        <v>105</v>
      </c>
      <c r="V1269">
        <v>1086.8150000000001</v>
      </c>
    </row>
    <row r="1270" spans="1:22" x14ac:dyDescent="0.3">
      <c r="A1270" t="s">
        <v>2583</v>
      </c>
      <c r="B1270" s="2">
        <v>46189</v>
      </c>
      <c r="C1270" t="s">
        <v>164</v>
      </c>
      <c r="D1270" t="s">
        <v>37</v>
      </c>
      <c r="E1270" t="s">
        <v>170</v>
      </c>
      <c r="F1270">
        <v>3</v>
      </c>
      <c r="G1270">
        <v>0.15</v>
      </c>
      <c r="H1270">
        <v>3570</v>
      </c>
      <c r="I1270">
        <v>1062.8800000000001</v>
      </c>
      <c r="J1270" t="s">
        <v>26</v>
      </c>
      <c r="K1270" t="s">
        <v>40</v>
      </c>
      <c r="L1270">
        <v>1190</v>
      </c>
      <c r="M1270">
        <v>29.772549019607851</v>
      </c>
      <c r="N1270" t="s">
        <v>8</v>
      </c>
      <c r="O1270" t="s">
        <v>166</v>
      </c>
      <c r="P1270" t="s">
        <v>73</v>
      </c>
      <c r="Q1270" t="s">
        <v>30</v>
      </c>
      <c r="R1270" t="s">
        <v>53</v>
      </c>
      <c r="S1270" t="s">
        <v>54</v>
      </c>
      <c r="T1270" t="s">
        <v>167</v>
      </c>
      <c r="U1270" t="s">
        <v>46</v>
      </c>
      <c r="V1270">
        <v>354.29333333333341</v>
      </c>
    </row>
    <row r="1271" spans="1:22" x14ac:dyDescent="0.3">
      <c r="A1271" t="s">
        <v>2584</v>
      </c>
      <c r="B1271" s="2">
        <v>46092</v>
      </c>
      <c r="C1271" t="s">
        <v>1420</v>
      </c>
      <c r="D1271" t="s">
        <v>37</v>
      </c>
      <c r="E1271" t="s">
        <v>38</v>
      </c>
      <c r="F1271">
        <v>1</v>
      </c>
      <c r="G1271">
        <v>0.05</v>
      </c>
      <c r="H1271">
        <v>1710</v>
      </c>
      <c r="I1271">
        <v>593.38</v>
      </c>
      <c r="J1271" t="s">
        <v>51</v>
      </c>
      <c r="K1271" t="s">
        <v>40</v>
      </c>
      <c r="L1271">
        <v>1710</v>
      </c>
      <c r="M1271">
        <v>34.700584795321639</v>
      </c>
      <c r="N1271" t="s">
        <v>8</v>
      </c>
      <c r="O1271" t="s">
        <v>369</v>
      </c>
      <c r="P1271" t="s">
        <v>73</v>
      </c>
      <c r="Q1271" t="s">
        <v>30</v>
      </c>
      <c r="R1271" t="s">
        <v>98</v>
      </c>
      <c r="S1271" t="s">
        <v>54</v>
      </c>
      <c r="T1271" t="s">
        <v>1421</v>
      </c>
      <c r="U1271" t="s">
        <v>46</v>
      </c>
      <c r="V1271">
        <v>593.38</v>
      </c>
    </row>
    <row r="1272" spans="1:22" x14ac:dyDescent="0.3">
      <c r="A1272" t="s">
        <v>2585</v>
      </c>
      <c r="B1272" s="2">
        <v>46261</v>
      </c>
      <c r="C1272" t="s">
        <v>769</v>
      </c>
      <c r="D1272" t="s">
        <v>70</v>
      </c>
      <c r="E1272" t="s">
        <v>129</v>
      </c>
      <c r="F1272">
        <v>2</v>
      </c>
      <c r="G1272">
        <v>0.1</v>
      </c>
      <c r="H1272">
        <v>99000</v>
      </c>
      <c r="I1272">
        <v>11600.03</v>
      </c>
      <c r="J1272" t="s">
        <v>51</v>
      </c>
      <c r="K1272" t="s">
        <v>40</v>
      </c>
      <c r="L1272">
        <v>49500</v>
      </c>
      <c r="M1272">
        <v>11.71720202020202</v>
      </c>
      <c r="N1272" t="s">
        <v>8</v>
      </c>
      <c r="O1272" t="s">
        <v>374</v>
      </c>
      <c r="P1272" t="s">
        <v>29</v>
      </c>
      <c r="Q1272" t="s">
        <v>42</v>
      </c>
      <c r="R1272" t="s">
        <v>121</v>
      </c>
      <c r="S1272" t="s">
        <v>44</v>
      </c>
      <c r="T1272" t="s">
        <v>172</v>
      </c>
      <c r="U1272" t="s">
        <v>46</v>
      </c>
      <c r="V1272">
        <v>5800.0150000000003</v>
      </c>
    </row>
    <row r="1273" spans="1:22" x14ac:dyDescent="0.3">
      <c r="A1273" t="s">
        <v>2586</v>
      </c>
      <c r="B1273" s="2">
        <v>45878</v>
      </c>
      <c r="C1273" t="s">
        <v>1210</v>
      </c>
      <c r="D1273" t="s">
        <v>37</v>
      </c>
      <c r="E1273" t="s">
        <v>38</v>
      </c>
      <c r="F1273">
        <v>4</v>
      </c>
      <c r="G1273">
        <v>0</v>
      </c>
      <c r="H1273">
        <v>7200</v>
      </c>
      <c r="I1273">
        <v>2600</v>
      </c>
      <c r="J1273" t="s">
        <v>65</v>
      </c>
      <c r="K1273" t="s">
        <v>40</v>
      </c>
      <c r="L1273">
        <v>1800</v>
      </c>
      <c r="M1273">
        <v>36.111111111111107</v>
      </c>
      <c r="N1273" t="s">
        <v>8</v>
      </c>
      <c r="O1273" t="s">
        <v>1190</v>
      </c>
      <c r="P1273" t="s">
        <v>73</v>
      </c>
      <c r="Q1273" t="s">
        <v>30</v>
      </c>
      <c r="R1273" t="s">
        <v>31</v>
      </c>
      <c r="S1273" t="s">
        <v>32</v>
      </c>
      <c r="T1273" t="s">
        <v>1211</v>
      </c>
      <c r="U1273" t="s">
        <v>46</v>
      </c>
      <c r="V1273">
        <v>650</v>
      </c>
    </row>
    <row r="1274" spans="1:22" x14ac:dyDescent="0.3">
      <c r="A1274" t="s">
        <v>2587</v>
      </c>
      <c r="B1274" s="2">
        <v>46055</v>
      </c>
      <c r="C1274" t="s">
        <v>1232</v>
      </c>
      <c r="D1274" t="s">
        <v>24</v>
      </c>
      <c r="E1274" t="s">
        <v>25</v>
      </c>
      <c r="F1274">
        <v>4</v>
      </c>
      <c r="G1274">
        <v>0.1</v>
      </c>
      <c r="H1274">
        <v>50400</v>
      </c>
      <c r="I1274">
        <v>6953.99</v>
      </c>
      <c r="J1274" t="s">
        <v>51</v>
      </c>
      <c r="K1274" t="s">
        <v>40</v>
      </c>
      <c r="L1274">
        <v>12600</v>
      </c>
      <c r="M1274">
        <v>13.79759920634921</v>
      </c>
      <c r="N1274" t="s">
        <v>8</v>
      </c>
      <c r="O1274" t="s">
        <v>1233</v>
      </c>
      <c r="P1274" t="s">
        <v>29</v>
      </c>
      <c r="Q1274" t="s">
        <v>74</v>
      </c>
      <c r="R1274" t="s">
        <v>237</v>
      </c>
      <c r="S1274" t="s">
        <v>238</v>
      </c>
      <c r="T1274" t="s">
        <v>1234</v>
      </c>
      <c r="U1274" t="s">
        <v>100</v>
      </c>
      <c r="V1274">
        <v>1738.4974999999999</v>
      </c>
    </row>
    <row r="1275" spans="1:22" x14ac:dyDescent="0.3">
      <c r="A1275" t="s">
        <v>2588</v>
      </c>
      <c r="B1275" s="2">
        <v>46114</v>
      </c>
      <c r="C1275" t="s">
        <v>1548</v>
      </c>
      <c r="D1275" t="s">
        <v>70</v>
      </c>
      <c r="E1275" t="s">
        <v>71</v>
      </c>
      <c r="F1275">
        <v>1</v>
      </c>
      <c r="G1275">
        <v>0.05</v>
      </c>
      <c r="H1275">
        <v>17100</v>
      </c>
      <c r="I1275">
        <v>2949.14</v>
      </c>
      <c r="J1275" t="s">
        <v>39</v>
      </c>
      <c r="K1275" t="s">
        <v>40</v>
      </c>
      <c r="L1275">
        <v>17100</v>
      </c>
      <c r="M1275">
        <v>17.246432748538009</v>
      </c>
      <c r="N1275" t="s">
        <v>8</v>
      </c>
      <c r="O1275" t="s">
        <v>825</v>
      </c>
      <c r="P1275" t="s">
        <v>83</v>
      </c>
      <c r="Q1275" t="s">
        <v>30</v>
      </c>
      <c r="R1275" t="s">
        <v>98</v>
      </c>
      <c r="S1275" t="s">
        <v>54</v>
      </c>
      <c r="T1275" t="s">
        <v>1549</v>
      </c>
      <c r="U1275" t="s">
        <v>34</v>
      </c>
      <c r="V1275">
        <v>2949.14</v>
      </c>
    </row>
    <row r="1276" spans="1:22" x14ac:dyDescent="0.3">
      <c r="A1276" t="s">
        <v>2589</v>
      </c>
      <c r="B1276" s="2">
        <v>45931</v>
      </c>
      <c r="C1276" t="s">
        <v>2478</v>
      </c>
      <c r="D1276" t="s">
        <v>37</v>
      </c>
      <c r="E1276" t="s">
        <v>310</v>
      </c>
      <c r="F1276">
        <v>3</v>
      </c>
      <c r="G1276">
        <v>0.2</v>
      </c>
      <c r="H1276">
        <v>5280</v>
      </c>
      <c r="I1276">
        <v>-1038.5999999999999</v>
      </c>
      <c r="J1276" t="s">
        <v>51</v>
      </c>
      <c r="K1276" t="s">
        <v>434</v>
      </c>
      <c r="L1276">
        <v>1760</v>
      </c>
      <c r="M1276">
        <v>-19.67045454545454</v>
      </c>
      <c r="N1276" t="s">
        <v>81</v>
      </c>
      <c r="O1276" t="s">
        <v>2479</v>
      </c>
      <c r="P1276" t="s">
        <v>73</v>
      </c>
      <c r="Q1276" t="s">
        <v>131</v>
      </c>
      <c r="R1276" t="s">
        <v>289</v>
      </c>
      <c r="S1276" t="s">
        <v>290</v>
      </c>
      <c r="T1276" t="s">
        <v>1946</v>
      </c>
      <c r="U1276" t="s">
        <v>46</v>
      </c>
      <c r="V1276">
        <v>-346.2</v>
      </c>
    </row>
    <row r="1277" spans="1:22" x14ac:dyDescent="0.3">
      <c r="A1277" t="s">
        <v>2590</v>
      </c>
      <c r="B1277" s="2">
        <v>45870</v>
      </c>
      <c r="C1277" t="s">
        <v>1300</v>
      </c>
      <c r="D1277" t="s">
        <v>70</v>
      </c>
      <c r="E1277" t="s">
        <v>108</v>
      </c>
      <c r="F1277">
        <v>4</v>
      </c>
      <c r="G1277">
        <v>0.1</v>
      </c>
      <c r="H1277">
        <v>16200</v>
      </c>
      <c r="I1277">
        <v>5175.3999999999996</v>
      </c>
      <c r="J1277" t="s">
        <v>65</v>
      </c>
      <c r="K1277" t="s">
        <v>40</v>
      </c>
      <c r="L1277">
        <v>4050</v>
      </c>
      <c r="M1277">
        <v>31.94691358024691</v>
      </c>
      <c r="N1277" t="s">
        <v>8</v>
      </c>
      <c r="O1277" t="s">
        <v>1301</v>
      </c>
      <c r="P1277" t="s">
        <v>29</v>
      </c>
      <c r="Q1277" t="s">
        <v>42</v>
      </c>
      <c r="R1277" t="s">
        <v>121</v>
      </c>
      <c r="S1277" t="s">
        <v>44</v>
      </c>
      <c r="T1277" t="s">
        <v>1302</v>
      </c>
      <c r="U1277" t="s">
        <v>100</v>
      </c>
      <c r="V1277">
        <v>1293.8499999999999</v>
      </c>
    </row>
    <row r="1278" spans="1:22" x14ac:dyDescent="0.3">
      <c r="A1278" t="s">
        <v>2591</v>
      </c>
      <c r="B1278" s="2">
        <v>46075</v>
      </c>
      <c r="C1278" t="s">
        <v>1533</v>
      </c>
      <c r="D1278" t="s">
        <v>70</v>
      </c>
      <c r="E1278" t="s">
        <v>71</v>
      </c>
      <c r="F1278">
        <v>4</v>
      </c>
      <c r="G1278">
        <v>0.15</v>
      </c>
      <c r="H1278">
        <v>61200</v>
      </c>
      <c r="I1278">
        <v>5420.4</v>
      </c>
      <c r="J1278" t="s">
        <v>65</v>
      </c>
      <c r="K1278" t="s">
        <v>40</v>
      </c>
      <c r="L1278">
        <v>15300</v>
      </c>
      <c r="M1278">
        <v>8.8568627450980397</v>
      </c>
      <c r="N1278" t="s">
        <v>8</v>
      </c>
      <c r="O1278" t="s">
        <v>1534</v>
      </c>
      <c r="P1278" t="s">
        <v>83</v>
      </c>
      <c r="Q1278" t="s">
        <v>42</v>
      </c>
      <c r="R1278" t="s">
        <v>110</v>
      </c>
      <c r="S1278" t="s">
        <v>111</v>
      </c>
      <c r="T1278" t="s">
        <v>503</v>
      </c>
      <c r="U1278" t="s">
        <v>46</v>
      </c>
      <c r="V1278">
        <v>1355.1</v>
      </c>
    </row>
    <row r="1279" spans="1:22" x14ac:dyDescent="0.3">
      <c r="A1279" t="s">
        <v>2592</v>
      </c>
      <c r="B1279" s="2">
        <v>46083</v>
      </c>
      <c r="C1279" t="s">
        <v>891</v>
      </c>
      <c r="D1279" t="s">
        <v>49</v>
      </c>
      <c r="E1279" t="s">
        <v>119</v>
      </c>
      <c r="F1279">
        <v>4</v>
      </c>
      <c r="G1279">
        <v>0.1</v>
      </c>
      <c r="H1279">
        <v>32400</v>
      </c>
      <c r="I1279">
        <v>7551.89</v>
      </c>
      <c r="J1279" t="s">
        <v>51</v>
      </c>
      <c r="K1279" t="s">
        <v>40</v>
      </c>
      <c r="L1279">
        <v>8100</v>
      </c>
      <c r="M1279">
        <v>23.3083024691358</v>
      </c>
      <c r="N1279" t="s">
        <v>8</v>
      </c>
      <c r="O1279" t="s">
        <v>892</v>
      </c>
      <c r="P1279" t="s">
        <v>29</v>
      </c>
      <c r="Q1279" t="s">
        <v>30</v>
      </c>
      <c r="R1279" t="s">
        <v>31</v>
      </c>
      <c r="S1279" t="s">
        <v>32</v>
      </c>
      <c r="T1279" t="s">
        <v>893</v>
      </c>
      <c r="U1279" t="s">
        <v>34</v>
      </c>
      <c r="V1279">
        <v>1887.9725000000001</v>
      </c>
    </row>
    <row r="1280" spans="1:22" x14ac:dyDescent="0.3">
      <c r="A1280" t="s">
        <v>2593</v>
      </c>
      <c r="B1280" s="2">
        <v>45951</v>
      </c>
      <c r="C1280" t="s">
        <v>317</v>
      </c>
      <c r="D1280" t="s">
        <v>70</v>
      </c>
      <c r="E1280" t="s">
        <v>71</v>
      </c>
      <c r="F1280">
        <v>5</v>
      </c>
      <c r="G1280">
        <v>0</v>
      </c>
      <c r="H1280">
        <v>90000</v>
      </c>
      <c r="I1280">
        <v>17500</v>
      </c>
      <c r="J1280" t="s">
        <v>39</v>
      </c>
      <c r="K1280" t="s">
        <v>40</v>
      </c>
      <c r="L1280">
        <v>18000</v>
      </c>
      <c r="M1280">
        <v>19.44444444444445</v>
      </c>
      <c r="N1280" t="s">
        <v>8</v>
      </c>
      <c r="O1280" t="s">
        <v>318</v>
      </c>
      <c r="P1280" t="s">
        <v>29</v>
      </c>
      <c r="Q1280" t="s">
        <v>42</v>
      </c>
      <c r="R1280" t="s">
        <v>121</v>
      </c>
      <c r="S1280" t="s">
        <v>44</v>
      </c>
      <c r="T1280" t="s">
        <v>319</v>
      </c>
      <c r="U1280" t="s">
        <v>34</v>
      </c>
      <c r="V1280">
        <v>3500</v>
      </c>
    </row>
    <row r="1281" spans="1:22" x14ac:dyDescent="0.3">
      <c r="A1281" t="s">
        <v>2594</v>
      </c>
      <c r="B1281" s="2">
        <v>46032</v>
      </c>
      <c r="C1281" t="s">
        <v>1700</v>
      </c>
      <c r="D1281" t="s">
        <v>37</v>
      </c>
      <c r="E1281" t="s">
        <v>170</v>
      </c>
      <c r="F1281">
        <v>1</v>
      </c>
      <c r="G1281">
        <v>0.15</v>
      </c>
      <c r="H1281">
        <v>1190</v>
      </c>
      <c r="I1281">
        <v>335.68</v>
      </c>
      <c r="J1281" t="s">
        <v>65</v>
      </c>
      <c r="K1281" t="s">
        <v>40</v>
      </c>
      <c r="L1281">
        <v>1190</v>
      </c>
      <c r="M1281">
        <v>28.208403361344541</v>
      </c>
      <c r="N1281" t="s">
        <v>8</v>
      </c>
      <c r="O1281" t="s">
        <v>1009</v>
      </c>
      <c r="P1281" t="s">
        <v>73</v>
      </c>
      <c r="Q1281" t="s">
        <v>30</v>
      </c>
      <c r="R1281" t="s">
        <v>53</v>
      </c>
      <c r="S1281" t="s">
        <v>54</v>
      </c>
      <c r="T1281" t="s">
        <v>172</v>
      </c>
      <c r="U1281" t="s">
        <v>34</v>
      </c>
      <c r="V1281">
        <v>335.68</v>
      </c>
    </row>
    <row r="1282" spans="1:22" x14ac:dyDescent="0.3">
      <c r="A1282" t="s">
        <v>2595</v>
      </c>
      <c r="B1282" s="2">
        <v>46161</v>
      </c>
      <c r="C1282" t="s">
        <v>732</v>
      </c>
      <c r="D1282" t="s">
        <v>70</v>
      </c>
      <c r="E1282" t="s">
        <v>165</v>
      </c>
      <c r="F1282">
        <v>5</v>
      </c>
      <c r="G1282">
        <v>0</v>
      </c>
      <c r="H1282">
        <v>12500</v>
      </c>
      <c r="I1282">
        <v>-4666.9399999999996</v>
      </c>
      <c r="J1282" t="s">
        <v>26</v>
      </c>
      <c r="K1282" t="s">
        <v>80</v>
      </c>
      <c r="L1282">
        <v>2500</v>
      </c>
      <c r="M1282">
        <v>-37.335520000000002</v>
      </c>
      <c r="N1282" t="s">
        <v>81</v>
      </c>
      <c r="O1282" t="s">
        <v>733</v>
      </c>
      <c r="P1282" t="s">
        <v>29</v>
      </c>
      <c r="Q1282" t="s">
        <v>131</v>
      </c>
      <c r="R1282" t="s">
        <v>449</v>
      </c>
      <c r="S1282" t="s">
        <v>450</v>
      </c>
      <c r="T1282" t="s">
        <v>734</v>
      </c>
      <c r="U1282" t="s">
        <v>34</v>
      </c>
      <c r="V1282">
        <v>-933.38799999999992</v>
      </c>
    </row>
    <row r="1283" spans="1:22" x14ac:dyDescent="0.3">
      <c r="A1283" t="s">
        <v>2596</v>
      </c>
      <c r="B1283" s="2">
        <v>46079</v>
      </c>
      <c r="C1283" t="s">
        <v>685</v>
      </c>
      <c r="D1283" t="s">
        <v>70</v>
      </c>
      <c r="E1283" t="s">
        <v>129</v>
      </c>
      <c r="F1283">
        <v>2</v>
      </c>
      <c r="G1283">
        <v>0.05</v>
      </c>
      <c r="H1283">
        <v>104500</v>
      </c>
      <c r="I1283">
        <v>14242.9</v>
      </c>
      <c r="J1283" t="s">
        <v>39</v>
      </c>
      <c r="K1283" t="s">
        <v>27</v>
      </c>
      <c r="L1283">
        <v>52250</v>
      </c>
      <c r="M1283">
        <v>13.62956937799043</v>
      </c>
      <c r="N1283" t="s">
        <v>8</v>
      </c>
      <c r="O1283" t="s">
        <v>686</v>
      </c>
      <c r="P1283" t="s">
        <v>29</v>
      </c>
      <c r="Q1283" t="s">
        <v>42</v>
      </c>
      <c r="R1283" t="s">
        <v>121</v>
      </c>
      <c r="S1283" t="s">
        <v>44</v>
      </c>
      <c r="T1283" t="s">
        <v>687</v>
      </c>
      <c r="U1283" t="s">
        <v>105</v>
      </c>
      <c r="V1283">
        <v>7121.45</v>
      </c>
    </row>
    <row r="1284" spans="1:22" x14ac:dyDescent="0.3">
      <c r="A1284" t="s">
        <v>2597</v>
      </c>
      <c r="B1284" s="2">
        <v>45978</v>
      </c>
      <c r="C1284" t="s">
        <v>846</v>
      </c>
      <c r="D1284" t="s">
        <v>24</v>
      </c>
      <c r="E1284" t="s">
        <v>87</v>
      </c>
      <c r="F1284">
        <v>2</v>
      </c>
      <c r="G1284">
        <v>0</v>
      </c>
      <c r="H1284">
        <v>700</v>
      </c>
      <c r="I1284">
        <v>240</v>
      </c>
      <c r="J1284" t="s">
        <v>39</v>
      </c>
      <c r="K1284" t="s">
        <v>40</v>
      </c>
      <c r="L1284">
        <v>350</v>
      </c>
      <c r="M1284">
        <v>34.285714285714278</v>
      </c>
      <c r="N1284" t="s">
        <v>8</v>
      </c>
      <c r="O1284" t="s">
        <v>847</v>
      </c>
      <c r="P1284" t="s">
        <v>29</v>
      </c>
      <c r="Q1284" t="s">
        <v>30</v>
      </c>
      <c r="R1284" t="s">
        <v>53</v>
      </c>
      <c r="S1284" t="s">
        <v>54</v>
      </c>
      <c r="T1284" t="s">
        <v>848</v>
      </c>
      <c r="U1284" t="s">
        <v>34</v>
      </c>
      <c r="V1284">
        <v>120</v>
      </c>
    </row>
    <row r="1285" spans="1:22" x14ac:dyDescent="0.3">
      <c r="A1285" t="s">
        <v>2598</v>
      </c>
      <c r="B1285" s="2">
        <v>46055</v>
      </c>
      <c r="C1285" t="s">
        <v>217</v>
      </c>
      <c r="D1285" t="s">
        <v>70</v>
      </c>
      <c r="E1285" t="s">
        <v>71</v>
      </c>
      <c r="F1285">
        <v>1</v>
      </c>
      <c r="G1285">
        <v>0</v>
      </c>
      <c r="H1285">
        <v>18000</v>
      </c>
      <c r="I1285">
        <v>3500</v>
      </c>
      <c r="J1285" t="s">
        <v>26</v>
      </c>
      <c r="K1285" t="s">
        <v>40</v>
      </c>
      <c r="L1285">
        <v>18000</v>
      </c>
      <c r="M1285">
        <v>19.44444444444445</v>
      </c>
      <c r="N1285" t="s">
        <v>8</v>
      </c>
      <c r="O1285" t="s">
        <v>218</v>
      </c>
      <c r="P1285" t="s">
        <v>29</v>
      </c>
      <c r="Q1285" t="s">
        <v>30</v>
      </c>
      <c r="R1285" t="s">
        <v>31</v>
      </c>
      <c r="S1285" t="s">
        <v>32</v>
      </c>
      <c r="T1285" t="s">
        <v>219</v>
      </c>
      <c r="U1285" t="s">
        <v>100</v>
      </c>
      <c r="V1285">
        <v>3500</v>
      </c>
    </row>
    <row r="1286" spans="1:22" x14ac:dyDescent="0.3">
      <c r="A1286" t="s">
        <v>2599</v>
      </c>
      <c r="B1286" s="2">
        <v>45914</v>
      </c>
      <c r="C1286" t="s">
        <v>2562</v>
      </c>
      <c r="D1286" t="s">
        <v>37</v>
      </c>
      <c r="E1286" t="s">
        <v>190</v>
      </c>
      <c r="F1286">
        <v>1</v>
      </c>
      <c r="G1286">
        <v>0.2</v>
      </c>
      <c r="H1286">
        <v>3360</v>
      </c>
      <c r="I1286">
        <v>-795.63</v>
      </c>
      <c r="J1286" t="s">
        <v>65</v>
      </c>
      <c r="K1286" t="s">
        <v>434</v>
      </c>
      <c r="L1286">
        <v>3360</v>
      </c>
      <c r="M1286">
        <v>-23.679464285714289</v>
      </c>
      <c r="N1286" t="s">
        <v>81</v>
      </c>
      <c r="O1286" t="s">
        <v>2563</v>
      </c>
      <c r="P1286" t="s">
        <v>29</v>
      </c>
      <c r="Q1286" t="s">
        <v>30</v>
      </c>
      <c r="R1286" t="s">
        <v>60</v>
      </c>
      <c r="S1286" t="s">
        <v>61</v>
      </c>
      <c r="T1286" t="s">
        <v>1619</v>
      </c>
      <c r="U1286" t="s">
        <v>34</v>
      </c>
      <c r="V1286">
        <v>-795.63</v>
      </c>
    </row>
    <row r="1287" spans="1:22" x14ac:dyDescent="0.3">
      <c r="A1287" t="s">
        <v>2600</v>
      </c>
      <c r="B1287" s="2">
        <v>45909</v>
      </c>
      <c r="C1287" t="s">
        <v>2483</v>
      </c>
      <c r="D1287" t="s">
        <v>70</v>
      </c>
      <c r="E1287" t="s">
        <v>165</v>
      </c>
      <c r="F1287">
        <v>4</v>
      </c>
      <c r="G1287">
        <v>0</v>
      </c>
      <c r="H1287">
        <v>10000</v>
      </c>
      <c r="I1287">
        <v>-2824.76</v>
      </c>
      <c r="J1287" t="s">
        <v>26</v>
      </c>
      <c r="K1287" t="s">
        <v>434</v>
      </c>
      <c r="L1287">
        <v>2500</v>
      </c>
      <c r="M1287">
        <v>-28.247599999999998</v>
      </c>
      <c r="N1287" t="s">
        <v>81</v>
      </c>
      <c r="O1287" t="s">
        <v>1786</v>
      </c>
      <c r="P1287" t="s">
        <v>73</v>
      </c>
      <c r="Q1287" t="s">
        <v>74</v>
      </c>
      <c r="R1287" t="s">
        <v>237</v>
      </c>
      <c r="S1287" t="s">
        <v>238</v>
      </c>
      <c r="T1287" t="s">
        <v>2484</v>
      </c>
      <c r="U1287" t="s">
        <v>46</v>
      </c>
      <c r="V1287">
        <v>-706.19</v>
      </c>
    </row>
    <row r="1288" spans="1:22" x14ac:dyDescent="0.3">
      <c r="A1288" t="s">
        <v>2601</v>
      </c>
      <c r="B1288" s="2">
        <v>45987</v>
      </c>
      <c r="C1288" t="s">
        <v>548</v>
      </c>
      <c r="D1288" t="s">
        <v>24</v>
      </c>
      <c r="E1288" t="s">
        <v>242</v>
      </c>
      <c r="F1288">
        <v>3</v>
      </c>
      <c r="G1288">
        <v>0</v>
      </c>
      <c r="H1288">
        <v>1350</v>
      </c>
      <c r="I1288">
        <v>330</v>
      </c>
      <c r="J1288" t="s">
        <v>26</v>
      </c>
      <c r="K1288" t="s">
        <v>40</v>
      </c>
      <c r="L1288">
        <v>450</v>
      </c>
      <c r="M1288">
        <v>24.444444444444439</v>
      </c>
      <c r="N1288" t="s">
        <v>8</v>
      </c>
      <c r="O1288" t="s">
        <v>549</v>
      </c>
      <c r="P1288" t="s">
        <v>29</v>
      </c>
      <c r="Q1288" t="s">
        <v>74</v>
      </c>
      <c r="R1288" t="s">
        <v>115</v>
      </c>
      <c r="S1288" t="s">
        <v>115</v>
      </c>
      <c r="T1288" t="s">
        <v>550</v>
      </c>
      <c r="U1288" t="s">
        <v>100</v>
      </c>
      <c r="V1288">
        <v>110</v>
      </c>
    </row>
    <row r="1289" spans="1:22" x14ac:dyDescent="0.3">
      <c r="A1289" t="s">
        <v>2602</v>
      </c>
      <c r="B1289" s="2">
        <v>46177</v>
      </c>
      <c r="C1289" t="s">
        <v>603</v>
      </c>
      <c r="D1289" t="s">
        <v>70</v>
      </c>
      <c r="E1289" t="s">
        <v>108</v>
      </c>
      <c r="F1289">
        <v>1</v>
      </c>
      <c r="G1289">
        <v>0</v>
      </c>
      <c r="H1289">
        <v>4500</v>
      </c>
      <c r="I1289">
        <v>1500</v>
      </c>
      <c r="J1289" t="s">
        <v>39</v>
      </c>
      <c r="K1289" t="s">
        <v>40</v>
      </c>
      <c r="L1289">
        <v>4500</v>
      </c>
      <c r="M1289">
        <v>33.333333333333329</v>
      </c>
      <c r="N1289" t="s">
        <v>8</v>
      </c>
      <c r="O1289" t="s">
        <v>153</v>
      </c>
      <c r="P1289" t="s">
        <v>83</v>
      </c>
      <c r="Q1289" t="s">
        <v>131</v>
      </c>
      <c r="R1289" t="s">
        <v>200</v>
      </c>
      <c r="S1289" t="s">
        <v>201</v>
      </c>
      <c r="T1289" t="s">
        <v>604</v>
      </c>
      <c r="U1289" t="s">
        <v>46</v>
      </c>
      <c r="V1289">
        <v>1500</v>
      </c>
    </row>
    <row r="1290" spans="1:22" x14ac:dyDescent="0.3">
      <c r="A1290" t="s">
        <v>2603</v>
      </c>
      <c r="B1290" s="2">
        <v>46070</v>
      </c>
      <c r="C1290" t="s">
        <v>221</v>
      </c>
      <c r="D1290" t="s">
        <v>24</v>
      </c>
      <c r="E1290" t="s">
        <v>87</v>
      </c>
      <c r="F1290">
        <v>2</v>
      </c>
      <c r="G1290">
        <v>0.15</v>
      </c>
      <c r="H1290">
        <v>595</v>
      </c>
      <c r="I1290">
        <v>186.98</v>
      </c>
      <c r="J1290" t="s">
        <v>65</v>
      </c>
      <c r="K1290" t="s">
        <v>40</v>
      </c>
      <c r="L1290">
        <v>297.5</v>
      </c>
      <c r="M1290">
        <v>31.425210084033608</v>
      </c>
      <c r="N1290" t="s">
        <v>8</v>
      </c>
      <c r="O1290" t="s">
        <v>222</v>
      </c>
      <c r="P1290" t="s">
        <v>29</v>
      </c>
      <c r="Q1290" t="s">
        <v>30</v>
      </c>
      <c r="R1290" t="s">
        <v>53</v>
      </c>
      <c r="S1290" t="s">
        <v>54</v>
      </c>
      <c r="T1290" t="s">
        <v>223</v>
      </c>
      <c r="U1290" t="s">
        <v>100</v>
      </c>
      <c r="V1290">
        <v>93.49</v>
      </c>
    </row>
    <row r="1291" spans="1:22" x14ac:dyDescent="0.3">
      <c r="A1291" t="s">
        <v>2604</v>
      </c>
      <c r="B1291" s="2">
        <v>46123</v>
      </c>
      <c r="C1291" t="s">
        <v>574</v>
      </c>
      <c r="D1291" t="s">
        <v>70</v>
      </c>
      <c r="E1291" t="s">
        <v>108</v>
      </c>
      <c r="F1291">
        <v>5</v>
      </c>
      <c r="G1291">
        <v>0.05</v>
      </c>
      <c r="H1291">
        <v>21375</v>
      </c>
      <c r="I1291">
        <v>6652.73</v>
      </c>
      <c r="J1291" t="s">
        <v>51</v>
      </c>
      <c r="K1291" t="s">
        <v>40</v>
      </c>
      <c r="L1291">
        <v>4275</v>
      </c>
      <c r="M1291">
        <v>31.12388304093567</v>
      </c>
      <c r="N1291" t="s">
        <v>8</v>
      </c>
      <c r="O1291" t="s">
        <v>510</v>
      </c>
      <c r="P1291" t="s">
        <v>73</v>
      </c>
      <c r="Q1291" t="s">
        <v>74</v>
      </c>
      <c r="R1291" t="s">
        <v>75</v>
      </c>
      <c r="S1291" t="s">
        <v>75</v>
      </c>
      <c r="T1291" t="s">
        <v>575</v>
      </c>
      <c r="U1291" t="s">
        <v>100</v>
      </c>
      <c r="V1291">
        <v>1330.546</v>
      </c>
    </row>
    <row r="1292" spans="1:22" x14ac:dyDescent="0.3">
      <c r="A1292" t="s">
        <v>2605</v>
      </c>
      <c r="B1292" s="2">
        <v>45862</v>
      </c>
      <c r="C1292" t="s">
        <v>2223</v>
      </c>
      <c r="D1292" t="s">
        <v>70</v>
      </c>
      <c r="E1292" t="s">
        <v>108</v>
      </c>
      <c r="F1292">
        <v>5</v>
      </c>
      <c r="G1292">
        <v>0</v>
      </c>
      <c r="H1292">
        <v>22500</v>
      </c>
      <c r="I1292">
        <v>7500</v>
      </c>
      <c r="J1292" t="s">
        <v>26</v>
      </c>
      <c r="K1292" t="s">
        <v>40</v>
      </c>
      <c r="L1292">
        <v>4500</v>
      </c>
      <c r="M1292">
        <v>33.333333333333329</v>
      </c>
      <c r="N1292" t="s">
        <v>8</v>
      </c>
      <c r="O1292" t="s">
        <v>284</v>
      </c>
      <c r="P1292" t="s">
        <v>73</v>
      </c>
      <c r="Q1292" t="s">
        <v>131</v>
      </c>
      <c r="R1292" t="s">
        <v>132</v>
      </c>
      <c r="S1292" t="s">
        <v>133</v>
      </c>
      <c r="T1292" t="s">
        <v>2224</v>
      </c>
      <c r="U1292" t="s">
        <v>46</v>
      </c>
      <c r="V1292">
        <v>1500</v>
      </c>
    </row>
    <row r="1293" spans="1:22" x14ac:dyDescent="0.3">
      <c r="A1293" t="s">
        <v>2606</v>
      </c>
      <c r="B1293" s="2">
        <v>46247</v>
      </c>
      <c r="C1293" t="s">
        <v>829</v>
      </c>
      <c r="D1293" t="s">
        <v>24</v>
      </c>
      <c r="E1293" t="s">
        <v>92</v>
      </c>
      <c r="F1293">
        <v>3</v>
      </c>
      <c r="G1293">
        <v>0.2</v>
      </c>
      <c r="H1293">
        <v>2160</v>
      </c>
      <c r="I1293">
        <v>589.34</v>
      </c>
      <c r="J1293" t="s">
        <v>51</v>
      </c>
      <c r="K1293" t="s">
        <v>40</v>
      </c>
      <c r="L1293">
        <v>720</v>
      </c>
      <c r="M1293">
        <v>27.284259259259262</v>
      </c>
      <c r="N1293" t="s">
        <v>8</v>
      </c>
      <c r="O1293" t="s">
        <v>830</v>
      </c>
      <c r="P1293" t="s">
        <v>29</v>
      </c>
      <c r="Q1293" t="s">
        <v>74</v>
      </c>
      <c r="R1293" t="s">
        <v>115</v>
      </c>
      <c r="S1293" t="s">
        <v>115</v>
      </c>
      <c r="T1293" t="s">
        <v>831</v>
      </c>
      <c r="U1293" t="s">
        <v>46</v>
      </c>
      <c r="V1293">
        <v>196.44666666666669</v>
      </c>
    </row>
    <row r="1294" spans="1:22" x14ac:dyDescent="0.3">
      <c r="A1294" t="s">
        <v>2607</v>
      </c>
      <c r="B1294" s="2">
        <v>46144</v>
      </c>
      <c r="C1294" t="s">
        <v>488</v>
      </c>
      <c r="D1294" t="s">
        <v>49</v>
      </c>
      <c r="E1294" t="s">
        <v>58</v>
      </c>
      <c r="F1294">
        <v>1</v>
      </c>
      <c r="G1294">
        <v>0.1</v>
      </c>
      <c r="H1294">
        <v>13500</v>
      </c>
      <c r="I1294">
        <v>-1549.8</v>
      </c>
      <c r="J1294" t="s">
        <v>39</v>
      </c>
      <c r="K1294" t="s">
        <v>80</v>
      </c>
      <c r="L1294">
        <v>13500</v>
      </c>
      <c r="M1294">
        <v>-11.48</v>
      </c>
      <c r="N1294" t="s">
        <v>81</v>
      </c>
      <c r="O1294" t="s">
        <v>398</v>
      </c>
      <c r="P1294" t="s">
        <v>29</v>
      </c>
      <c r="Q1294" t="s">
        <v>30</v>
      </c>
      <c r="R1294" t="s">
        <v>60</v>
      </c>
      <c r="S1294" t="s">
        <v>61</v>
      </c>
      <c r="T1294" t="s">
        <v>489</v>
      </c>
      <c r="U1294" t="s">
        <v>105</v>
      </c>
      <c r="V1294">
        <v>-1549.8</v>
      </c>
    </row>
    <row r="1295" spans="1:22" x14ac:dyDescent="0.3">
      <c r="A1295" t="s">
        <v>2608</v>
      </c>
      <c r="B1295" s="2">
        <v>45949</v>
      </c>
      <c r="C1295" t="s">
        <v>2177</v>
      </c>
      <c r="D1295" t="s">
        <v>37</v>
      </c>
      <c r="E1295" t="s">
        <v>170</v>
      </c>
      <c r="F1295">
        <v>1</v>
      </c>
      <c r="G1295">
        <v>0.1</v>
      </c>
      <c r="H1295">
        <v>1260</v>
      </c>
      <c r="I1295">
        <v>381.05</v>
      </c>
      <c r="J1295" t="s">
        <v>51</v>
      </c>
      <c r="K1295" t="s">
        <v>40</v>
      </c>
      <c r="L1295">
        <v>1260</v>
      </c>
      <c r="M1295">
        <v>30.24206349206349</v>
      </c>
      <c r="N1295" t="s">
        <v>8</v>
      </c>
      <c r="O1295" t="s">
        <v>175</v>
      </c>
      <c r="P1295" t="s">
        <v>29</v>
      </c>
      <c r="Q1295" t="s">
        <v>30</v>
      </c>
      <c r="R1295" t="s">
        <v>98</v>
      </c>
      <c r="S1295" t="s">
        <v>54</v>
      </c>
      <c r="T1295" t="s">
        <v>2178</v>
      </c>
      <c r="U1295" t="s">
        <v>46</v>
      </c>
      <c r="V1295">
        <v>381.05</v>
      </c>
    </row>
    <row r="1296" spans="1:22" x14ac:dyDescent="0.3">
      <c r="A1296" t="s">
        <v>2609</v>
      </c>
      <c r="B1296" s="2">
        <v>45842</v>
      </c>
      <c r="C1296" t="s">
        <v>2610</v>
      </c>
      <c r="D1296" t="s">
        <v>24</v>
      </c>
      <c r="E1296" t="s">
        <v>25</v>
      </c>
      <c r="F1296">
        <v>5</v>
      </c>
      <c r="G1296">
        <v>0.3</v>
      </c>
      <c r="H1296">
        <v>49000</v>
      </c>
      <c r="I1296">
        <v>928.57</v>
      </c>
      <c r="J1296" t="s">
        <v>65</v>
      </c>
      <c r="K1296" t="s">
        <v>40</v>
      </c>
      <c r="L1296">
        <v>9800</v>
      </c>
      <c r="M1296">
        <v>1.8950408163265311</v>
      </c>
      <c r="N1296" t="s">
        <v>8</v>
      </c>
      <c r="O1296" t="s">
        <v>209</v>
      </c>
      <c r="P1296" t="s">
        <v>29</v>
      </c>
      <c r="Q1296" t="s">
        <v>42</v>
      </c>
      <c r="R1296" t="s">
        <v>110</v>
      </c>
      <c r="S1296" t="s">
        <v>111</v>
      </c>
      <c r="T1296" t="s">
        <v>2611</v>
      </c>
      <c r="U1296" t="s">
        <v>100</v>
      </c>
      <c r="V1296">
        <v>185.714</v>
      </c>
    </row>
    <row r="1297" spans="1:22" x14ac:dyDescent="0.3">
      <c r="A1297" t="s">
        <v>2612</v>
      </c>
      <c r="B1297" s="2">
        <v>46161</v>
      </c>
      <c r="C1297" t="s">
        <v>182</v>
      </c>
      <c r="D1297" t="s">
        <v>70</v>
      </c>
      <c r="E1297" t="s">
        <v>165</v>
      </c>
      <c r="F1297">
        <v>3</v>
      </c>
      <c r="G1297">
        <v>0.05</v>
      </c>
      <c r="H1297">
        <v>7125</v>
      </c>
      <c r="I1297">
        <v>2210.37</v>
      </c>
      <c r="J1297" t="s">
        <v>65</v>
      </c>
      <c r="K1297" t="s">
        <v>40</v>
      </c>
      <c r="L1297">
        <v>2375</v>
      </c>
      <c r="M1297">
        <v>31.02273684210526</v>
      </c>
      <c r="N1297" t="s">
        <v>8</v>
      </c>
      <c r="O1297" t="s">
        <v>183</v>
      </c>
      <c r="P1297" t="s">
        <v>73</v>
      </c>
      <c r="Q1297" t="s">
        <v>30</v>
      </c>
      <c r="R1297" t="s">
        <v>53</v>
      </c>
      <c r="S1297" t="s">
        <v>54</v>
      </c>
      <c r="T1297" t="s">
        <v>184</v>
      </c>
      <c r="U1297" t="s">
        <v>34</v>
      </c>
      <c r="V1297">
        <v>736.79</v>
      </c>
    </row>
    <row r="1298" spans="1:22" x14ac:dyDescent="0.3">
      <c r="A1298" t="s">
        <v>2613</v>
      </c>
      <c r="B1298" s="2">
        <v>45950</v>
      </c>
      <c r="C1298" t="s">
        <v>533</v>
      </c>
      <c r="D1298" t="s">
        <v>24</v>
      </c>
      <c r="E1298" t="s">
        <v>87</v>
      </c>
      <c r="F1298">
        <v>2</v>
      </c>
      <c r="G1298">
        <v>0.1</v>
      </c>
      <c r="H1298">
        <v>630</v>
      </c>
      <c r="I1298">
        <v>-105.05</v>
      </c>
      <c r="J1298" t="s">
        <v>39</v>
      </c>
      <c r="K1298" t="s">
        <v>80</v>
      </c>
      <c r="L1298">
        <v>315</v>
      </c>
      <c r="M1298">
        <v>-16.67460317460317</v>
      </c>
      <c r="N1298" t="s">
        <v>81</v>
      </c>
      <c r="O1298" t="s">
        <v>306</v>
      </c>
      <c r="P1298" t="s">
        <v>83</v>
      </c>
      <c r="Q1298" t="s">
        <v>131</v>
      </c>
      <c r="R1298" t="s">
        <v>132</v>
      </c>
      <c r="S1298" t="s">
        <v>133</v>
      </c>
      <c r="T1298" t="s">
        <v>534</v>
      </c>
      <c r="U1298" t="s">
        <v>46</v>
      </c>
      <c r="V1298">
        <v>-52.524999999999999</v>
      </c>
    </row>
    <row r="1299" spans="1:22" x14ac:dyDescent="0.3">
      <c r="A1299" t="s">
        <v>2614</v>
      </c>
      <c r="B1299" s="2">
        <v>46075</v>
      </c>
      <c r="C1299" t="s">
        <v>983</v>
      </c>
      <c r="D1299" t="s">
        <v>49</v>
      </c>
      <c r="E1299" t="s">
        <v>119</v>
      </c>
      <c r="F1299">
        <v>1</v>
      </c>
      <c r="G1299">
        <v>0.05</v>
      </c>
      <c r="H1299">
        <v>8550</v>
      </c>
      <c r="I1299">
        <v>1971.91</v>
      </c>
      <c r="J1299" t="s">
        <v>65</v>
      </c>
      <c r="K1299" t="s">
        <v>27</v>
      </c>
      <c r="L1299">
        <v>8550</v>
      </c>
      <c r="M1299">
        <v>23.063274853801168</v>
      </c>
      <c r="N1299" t="s">
        <v>8</v>
      </c>
      <c r="O1299" t="s">
        <v>984</v>
      </c>
      <c r="P1299" t="s">
        <v>29</v>
      </c>
      <c r="Q1299" t="s">
        <v>30</v>
      </c>
      <c r="R1299" t="s">
        <v>31</v>
      </c>
      <c r="S1299" t="s">
        <v>32</v>
      </c>
      <c r="T1299" t="s">
        <v>985</v>
      </c>
      <c r="U1299" t="s">
        <v>46</v>
      </c>
      <c r="V1299">
        <v>1971.91</v>
      </c>
    </row>
    <row r="1300" spans="1:22" x14ac:dyDescent="0.3">
      <c r="A1300" t="s">
        <v>2615</v>
      </c>
      <c r="B1300" s="2">
        <v>46258</v>
      </c>
      <c r="C1300" t="s">
        <v>365</v>
      </c>
      <c r="D1300" t="s">
        <v>70</v>
      </c>
      <c r="E1300" t="s">
        <v>71</v>
      </c>
      <c r="F1300">
        <v>2</v>
      </c>
      <c r="G1300">
        <v>0</v>
      </c>
      <c r="H1300">
        <v>36000</v>
      </c>
      <c r="I1300">
        <v>7000</v>
      </c>
      <c r="J1300" t="s">
        <v>39</v>
      </c>
      <c r="K1300" t="s">
        <v>40</v>
      </c>
      <c r="L1300">
        <v>18000</v>
      </c>
      <c r="M1300">
        <v>19.44444444444445</v>
      </c>
      <c r="N1300" t="s">
        <v>8</v>
      </c>
      <c r="O1300" t="s">
        <v>318</v>
      </c>
      <c r="P1300" t="s">
        <v>29</v>
      </c>
      <c r="Q1300" t="s">
        <v>30</v>
      </c>
      <c r="R1300" t="s">
        <v>31</v>
      </c>
      <c r="S1300" t="s">
        <v>32</v>
      </c>
      <c r="T1300" t="s">
        <v>366</v>
      </c>
      <c r="U1300" t="s">
        <v>105</v>
      </c>
      <c r="V1300">
        <v>3500</v>
      </c>
    </row>
    <row r="1301" spans="1:22" x14ac:dyDescent="0.3">
      <c r="A1301" t="s">
        <v>2616</v>
      </c>
      <c r="B1301" s="2">
        <v>46159</v>
      </c>
      <c r="C1301" t="s">
        <v>656</v>
      </c>
      <c r="D1301" t="s">
        <v>24</v>
      </c>
      <c r="E1301" t="s">
        <v>92</v>
      </c>
      <c r="F1301">
        <v>4</v>
      </c>
      <c r="G1301">
        <v>0.1</v>
      </c>
      <c r="H1301">
        <v>3240</v>
      </c>
      <c r="I1301">
        <v>836.36</v>
      </c>
      <c r="J1301" t="s">
        <v>39</v>
      </c>
      <c r="K1301" t="s">
        <v>40</v>
      </c>
      <c r="L1301">
        <v>810</v>
      </c>
      <c r="M1301">
        <v>25.813580246913581</v>
      </c>
      <c r="N1301" t="s">
        <v>8</v>
      </c>
      <c r="O1301" t="s">
        <v>657</v>
      </c>
      <c r="P1301" t="s">
        <v>83</v>
      </c>
      <c r="Q1301" t="s">
        <v>74</v>
      </c>
      <c r="R1301" t="s">
        <v>115</v>
      </c>
      <c r="S1301" t="s">
        <v>115</v>
      </c>
      <c r="T1301" t="s">
        <v>76</v>
      </c>
      <c r="U1301" t="s">
        <v>100</v>
      </c>
      <c r="V1301">
        <v>209.09</v>
      </c>
    </row>
    <row r="1302" spans="1:22" x14ac:dyDescent="0.3">
      <c r="A1302" t="s">
        <v>2617</v>
      </c>
      <c r="B1302" s="2">
        <v>46127</v>
      </c>
      <c r="C1302" t="s">
        <v>1939</v>
      </c>
      <c r="D1302" t="s">
        <v>70</v>
      </c>
      <c r="E1302" t="s">
        <v>108</v>
      </c>
      <c r="F1302">
        <v>3</v>
      </c>
      <c r="G1302">
        <v>0.3</v>
      </c>
      <c r="H1302">
        <v>9450</v>
      </c>
      <c r="I1302">
        <v>1199.3900000000001</v>
      </c>
      <c r="J1302" t="s">
        <v>51</v>
      </c>
      <c r="K1302" t="s">
        <v>40</v>
      </c>
      <c r="L1302">
        <v>3150</v>
      </c>
      <c r="M1302">
        <v>12.69195767195767</v>
      </c>
      <c r="N1302" t="s">
        <v>8</v>
      </c>
      <c r="O1302" t="s">
        <v>1940</v>
      </c>
      <c r="P1302" t="s">
        <v>29</v>
      </c>
      <c r="Q1302" t="s">
        <v>74</v>
      </c>
      <c r="R1302" t="s">
        <v>237</v>
      </c>
      <c r="S1302" t="s">
        <v>238</v>
      </c>
      <c r="T1302" t="s">
        <v>1839</v>
      </c>
      <c r="U1302" t="s">
        <v>46</v>
      </c>
      <c r="V1302">
        <v>399.79666666666668</v>
      </c>
    </row>
    <row r="1303" spans="1:22" x14ac:dyDescent="0.3">
      <c r="A1303" t="s">
        <v>2618</v>
      </c>
      <c r="B1303" s="2">
        <v>45916</v>
      </c>
      <c r="C1303" t="s">
        <v>1777</v>
      </c>
      <c r="D1303" t="s">
        <v>70</v>
      </c>
      <c r="E1303" t="s">
        <v>108</v>
      </c>
      <c r="F1303">
        <v>5</v>
      </c>
      <c r="G1303">
        <v>0.1</v>
      </c>
      <c r="H1303">
        <v>20250</v>
      </c>
      <c r="I1303">
        <v>6265.61</v>
      </c>
      <c r="J1303" t="s">
        <v>51</v>
      </c>
      <c r="K1303" t="s">
        <v>40</v>
      </c>
      <c r="L1303">
        <v>4050</v>
      </c>
      <c r="M1303">
        <v>30.941283950617279</v>
      </c>
      <c r="N1303" t="s">
        <v>8</v>
      </c>
      <c r="O1303" t="s">
        <v>322</v>
      </c>
      <c r="P1303" t="s">
        <v>83</v>
      </c>
      <c r="Q1303" t="s">
        <v>30</v>
      </c>
      <c r="R1303" t="s">
        <v>31</v>
      </c>
      <c r="S1303" t="s">
        <v>32</v>
      </c>
      <c r="T1303" t="s">
        <v>1778</v>
      </c>
      <c r="U1303" t="s">
        <v>34</v>
      </c>
      <c r="V1303">
        <v>1253.1220000000001</v>
      </c>
    </row>
    <row r="1304" spans="1:22" x14ac:dyDescent="0.3">
      <c r="A1304" t="s">
        <v>2619</v>
      </c>
      <c r="B1304" s="2">
        <v>46152</v>
      </c>
      <c r="C1304" t="s">
        <v>1060</v>
      </c>
      <c r="D1304" t="s">
        <v>70</v>
      </c>
      <c r="E1304" t="s">
        <v>129</v>
      </c>
      <c r="F1304">
        <v>3</v>
      </c>
      <c r="G1304">
        <v>0.05</v>
      </c>
      <c r="H1304">
        <v>156750</v>
      </c>
      <c r="I1304">
        <v>21934.79</v>
      </c>
      <c r="J1304" t="s">
        <v>51</v>
      </c>
      <c r="K1304" t="s">
        <v>27</v>
      </c>
      <c r="L1304">
        <v>52250</v>
      </c>
      <c r="M1304">
        <v>13.99348644338118</v>
      </c>
      <c r="N1304" t="s">
        <v>8</v>
      </c>
      <c r="O1304" t="s">
        <v>1061</v>
      </c>
      <c r="P1304" t="s">
        <v>73</v>
      </c>
      <c r="Q1304" t="s">
        <v>30</v>
      </c>
      <c r="R1304" t="s">
        <v>31</v>
      </c>
      <c r="S1304" t="s">
        <v>32</v>
      </c>
      <c r="T1304" t="s">
        <v>1062</v>
      </c>
      <c r="U1304" t="s">
        <v>46</v>
      </c>
      <c r="V1304">
        <v>7311.5966666666673</v>
      </c>
    </row>
    <row r="1305" spans="1:22" x14ac:dyDescent="0.3">
      <c r="A1305" t="s">
        <v>2620</v>
      </c>
      <c r="B1305" s="2">
        <v>46252</v>
      </c>
      <c r="C1305" t="s">
        <v>372</v>
      </c>
      <c r="D1305" t="s">
        <v>37</v>
      </c>
      <c r="E1305" t="s">
        <v>310</v>
      </c>
      <c r="F1305">
        <v>3</v>
      </c>
      <c r="G1305">
        <v>0.1</v>
      </c>
      <c r="H1305">
        <v>5940</v>
      </c>
      <c r="I1305">
        <v>-2106.12</v>
      </c>
      <c r="J1305" t="s">
        <v>39</v>
      </c>
      <c r="K1305" t="s">
        <v>80</v>
      </c>
      <c r="L1305">
        <v>1980</v>
      </c>
      <c r="M1305">
        <v>-35.456565656565651</v>
      </c>
      <c r="N1305" t="s">
        <v>81</v>
      </c>
      <c r="O1305" t="s">
        <v>374</v>
      </c>
      <c r="P1305" t="s">
        <v>73</v>
      </c>
      <c r="Q1305" t="s">
        <v>30</v>
      </c>
      <c r="R1305" t="s">
        <v>53</v>
      </c>
      <c r="S1305" t="s">
        <v>54</v>
      </c>
      <c r="T1305" t="s">
        <v>375</v>
      </c>
      <c r="U1305" t="s">
        <v>105</v>
      </c>
      <c r="V1305">
        <v>-702.04</v>
      </c>
    </row>
    <row r="1306" spans="1:22" x14ac:dyDescent="0.3">
      <c r="A1306" t="s">
        <v>2621</v>
      </c>
      <c r="B1306" s="2">
        <v>45949</v>
      </c>
      <c r="C1306" t="s">
        <v>221</v>
      </c>
      <c r="D1306" t="s">
        <v>37</v>
      </c>
      <c r="E1306" t="s">
        <v>310</v>
      </c>
      <c r="F1306">
        <v>5</v>
      </c>
      <c r="G1306">
        <v>0</v>
      </c>
      <c r="H1306">
        <v>11000</v>
      </c>
      <c r="I1306">
        <v>-4990.46</v>
      </c>
      <c r="J1306" t="s">
        <v>39</v>
      </c>
      <c r="K1306" t="s">
        <v>434</v>
      </c>
      <c r="L1306">
        <v>2200</v>
      </c>
      <c r="M1306">
        <v>-45.36781818181818</v>
      </c>
      <c r="N1306" t="s">
        <v>81</v>
      </c>
      <c r="O1306" t="s">
        <v>222</v>
      </c>
      <c r="P1306" t="s">
        <v>29</v>
      </c>
      <c r="Q1306" t="s">
        <v>30</v>
      </c>
      <c r="R1306" t="s">
        <v>53</v>
      </c>
      <c r="S1306" t="s">
        <v>54</v>
      </c>
      <c r="T1306" t="s">
        <v>223</v>
      </c>
      <c r="U1306" t="s">
        <v>100</v>
      </c>
      <c r="V1306">
        <v>-998.09199999999998</v>
      </c>
    </row>
    <row r="1307" spans="1:22" x14ac:dyDescent="0.3">
      <c r="A1307" t="s">
        <v>2622</v>
      </c>
      <c r="B1307" s="2">
        <v>46210</v>
      </c>
      <c r="C1307" t="s">
        <v>1655</v>
      </c>
      <c r="D1307" t="s">
        <v>70</v>
      </c>
      <c r="E1307" t="s">
        <v>71</v>
      </c>
      <c r="F1307">
        <v>4</v>
      </c>
      <c r="G1307">
        <v>0.2</v>
      </c>
      <c r="H1307">
        <v>57600</v>
      </c>
      <c r="I1307">
        <v>6060.06</v>
      </c>
      <c r="J1307" t="s">
        <v>51</v>
      </c>
      <c r="K1307" t="s">
        <v>40</v>
      </c>
      <c r="L1307">
        <v>14400</v>
      </c>
      <c r="M1307">
        <v>10.5209375</v>
      </c>
      <c r="N1307" t="s">
        <v>8</v>
      </c>
      <c r="O1307" t="s">
        <v>1656</v>
      </c>
      <c r="P1307" t="s">
        <v>29</v>
      </c>
      <c r="Q1307" t="s">
        <v>30</v>
      </c>
      <c r="R1307" t="s">
        <v>53</v>
      </c>
      <c r="S1307" t="s">
        <v>54</v>
      </c>
      <c r="T1307" t="s">
        <v>1657</v>
      </c>
      <c r="U1307" t="s">
        <v>34</v>
      </c>
      <c r="V1307">
        <v>1515.0150000000001</v>
      </c>
    </row>
    <row r="1308" spans="1:22" x14ac:dyDescent="0.3">
      <c r="A1308" t="s">
        <v>2623</v>
      </c>
      <c r="B1308" s="2">
        <v>46206</v>
      </c>
      <c r="C1308" t="s">
        <v>283</v>
      </c>
      <c r="D1308" t="s">
        <v>70</v>
      </c>
      <c r="E1308" t="s">
        <v>71</v>
      </c>
      <c r="F1308">
        <v>2</v>
      </c>
      <c r="G1308">
        <v>0.05</v>
      </c>
      <c r="H1308">
        <v>34200</v>
      </c>
      <c r="I1308">
        <v>5554.18</v>
      </c>
      <c r="J1308" t="s">
        <v>51</v>
      </c>
      <c r="K1308" t="s">
        <v>40</v>
      </c>
      <c r="L1308">
        <v>17100</v>
      </c>
      <c r="M1308">
        <v>16.24029239766082</v>
      </c>
      <c r="N1308" t="s">
        <v>8</v>
      </c>
      <c r="O1308" t="s">
        <v>284</v>
      </c>
      <c r="P1308" t="s">
        <v>29</v>
      </c>
      <c r="Q1308" t="s">
        <v>30</v>
      </c>
      <c r="R1308" t="s">
        <v>53</v>
      </c>
      <c r="S1308" t="s">
        <v>54</v>
      </c>
      <c r="T1308" t="s">
        <v>285</v>
      </c>
      <c r="U1308" t="s">
        <v>34</v>
      </c>
      <c r="V1308">
        <v>2777.09</v>
      </c>
    </row>
    <row r="1309" spans="1:22" x14ac:dyDescent="0.3">
      <c r="A1309" t="s">
        <v>2624</v>
      </c>
      <c r="B1309" s="2">
        <v>45871</v>
      </c>
      <c r="C1309" t="s">
        <v>321</v>
      </c>
      <c r="D1309" t="s">
        <v>70</v>
      </c>
      <c r="E1309" t="s">
        <v>71</v>
      </c>
      <c r="F1309">
        <v>5</v>
      </c>
      <c r="G1309">
        <v>0.2</v>
      </c>
      <c r="H1309">
        <v>72000</v>
      </c>
      <c r="I1309">
        <v>7941.07</v>
      </c>
      <c r="J1309" t="s">
        <v>65</v>
      </c>
      <c r="K1309" t="s">
        <v>40</v>
      </c>
      <c r="L1309">
        <v>14400</v>
      </c>
      <c r="M1309">
        <v>11.02926388888889</v>
      </c>
      <c r="N1309" t="s">
        <v>8</v>
      </c>
      <c r="O1309" t="s">
        <v>322</v>
      </c>
      <c r="P1309" t="s">
        <v>29</v>
      </c>
      <c r="Q1309" t="s">
        <v>30</v>
      </c>
      <c r="R1309" t="s">
        <v>31</v>
      </c>
      <c r="S1309" t="s">
        <v>32</v>
      </c>
      <c r="T1309" t="s">
        <v>323</v>
      </c>
      <c r="U1309" t="s">
        <v>34</v>
      </c>
      <c r="V1309">
        <v>1588.2139999999999</v>
      </c>
    </row>
    <row r="1310" spans="1:22" x14ac:dyDescent="0.3">
      <c r="A1310" t="s">
        <v>2625</v>
      </c>
      <c r="B1310" s="2">
        <v>46173</v>
      </c>
      <c r="C1310" t="s">
        <v>2182</v>
      </c>
      <c r="D1310" t="s">
        <v>24</v>
      </c>
      <c r="E1310" t="s">
        <v>242</v>
      </c>
      <c r="F1310">
        <v>5</v>
      </c>
      <c r="G1310">
        <v>0.1</v>
      </c>
      <c r="H1310">
        <v>2025</v>
      </c>
      <c r="I1310">
        <v>437.1</v>
      </c>
      <c r="J1310" t="s">
        <v>26</v>
      </c>
      <c r="K1310" t="s">
        <v>40</v>
      </c>
      <c r="L1310">
        <v>405</v>
      </c>
      <c r="M1310">
        <v>21.585185185185189</v>
      </c>
      <c r="N1310" t="s">
        <v>8</v>
      </c>
      <c r="O1310" t="s">
        <v>2183</v>
      </c>
      <c r="P1310" t="s">
        <v>73</v>
      </c>
      <c r="Q1310" t="s">
        <v>30</v>
      </c>
      <c r="R1310" t="s">
        <v>98</v>
      </c>
      <c r="S1310" t="s">
        <v>54</v>
      </c>
      <c r="T1310" t="s">
        <v>2184</v>
      </c>
      <c r="U1310" t="s">
        <v>105</v>
      </c>
      <c r="V1310">
        <v>87.42</v>
      </c>
    </row>
    <row r="1311" spans="1:22" x14ac:dyDescent="0.3">
      <c r="A1311" t="s">
        <v>2626</v>
      </c>
      <c r="B1311" s="2">
        <v>46177</v>
      </c>
      <c r="C1311" t="s">
        <v>156</v>
      </c>
      <c r="D1311" t="s">
        <v>37</v>
      </c>
      <c r="E1311" t="s">
        <v>190</v>
      </c>
      <c r="F1311">
        <v>3</v>
      </c>
      <c r="G1311">
        <v>0</v>
      </c>
      <c r="H1311">
        <v>12600</v>
      </c>
      <c r="I1311">
        <v>3600</v>
      </c>
      <c r="J1311" t="s">
        <v>26</v>
      </c>
      <c r="K1311" t="s">
        <v>40</v>
      </c>
      <c r="L1311">
        <v>4200</v>
      </c>
      <c r="M1311">
        <v>28.571428571428569</v>
      </c>
      <c r="N1311" t="s">
        <v>8</v>
      </c>
      <c r="O1311" t="s">
        <v>157</v>
      </c>
      <c r="P1311" t="s">
        <v>83</v>
      </c>
      <c r="Q1311" t="s">
        <v>30</v>
      </c>
      <c r="R1311" t="s">
        <v>31</v>
      </c>
      <c r="S1311" t="s">
        <v>32</v>
      </c>
      <c r="T1311" t="s">
        <v>158</v>
      </c>
      <c r="U1311" t="s">
        <v>34</v>
      </c>
      <c r="V1311">
        <v>1200</v>
      </c>
    </row>
    <row r="1312" spans="1:22" x14ac:dyDescent="0.3">
      <c r="A1312" t="s">
        <v>2627</v>
      </c>
      <c r="B1312" s="2">
        <v>46212</v>
      </c>
      <c r="C1312" t="s">
        <v>268</v>
      </c>
      <c r="D1312" t="s">
        <v>24</v>
      </c>
      <c r="E1312" t="s">
        <v>87</v>
      </c>
      <c r="F1312">
        <v>2</v>
      </c>
      <c r="G1312">
        <v>0</v>
      </c>
      <c r="H1312">
        <v>700</v>
      </c>
      <c r="I1312">
        <v>240</v>
      </c>
      <c r="J1312" t="s">
        <v>39</v>
      </c>
      <c r="K1312" t="s">
        <v>40</v>
      </c>
      <c r="L1312">
        <v>350</v>
      </c>
      <c r="M1312">
        <v>34.285714285714278</v>
      </c>
      <c r="N1312" t="s">
        <v>8</v>
      </c>
      <c r="O1312" t="s">
        <v>269</v>
      </c>
      <c r="P1312" t="s">
        <v>29</v>
      </c>
      <c r="Q1312" t="s">
        <v>30</v>
      </c>
      <c r="R1312" t="s">
        <v>31</v>
      </c>
      <c r="S1312" t="s">
        <v>32</v>
      </c>
      <c r="T1312" t="s">
        <v>270</v>
      </c>
      <c r="U1312" t="s">
        <v>34</v>
      </c>
      <c r="V1312">
        <v>120</v>
      </c>
    </row>
    <row r="1313" spans="1:22" x14ac:dyDescent="0.3">
      <c r="A1313" t="s">
        <v>2628</v>
      </c>
      <c r="B1313" s="2">
        <v>45985</v>
      </c>
      <c r="C1313" t="s">
        <v>397</v>
      </c>
      <c r="D1313" t="s">
        <v>24</v>
      </c>
      <c r="E1313" t="s">
        <v>92</v>
      </c>
      <c r="F1313">
        <v>2</v>
      </c>
      <c r="G1313">
        <v>0</v>
      </c>
      <c r="H1313">
        <v>1800</v>
      </c>
      <c r="I1313">
        <v>560</v>
      </c>
      <c r="J1313" t="s">
        <v>26</v>
      </c>
      <c r="K1313" t="s">
        <v>27</v>
      </c>
      <c r="L1313">
        <v>900</v>
      </c>
      <c r="M1313">
        <v>31.111111111111111</v>
      </c>
      <c r="N1313" t="s">
        <v>8</v>
      </c>
      <c r="O1313" t="s">
        <v>398</v>
      </c>
      <c r="P1313" t="s">
        <v>73</v>
      </c>
      <c r="Q1313" t="s">
        <v>30</v>
      </c>
      <c r="R1313" t="s">
        <v>98</v>
      </c>
      <c r="S1313" t="s">
        <v>54</v>
      </c>
      <c r="T1313" t="s">
        <v>399</v>
      </c>
      <c r="U1313" t="s">
        <v>34</v>
      </c>
      <c r="V1313">
        <v>280</v>
      </c>
    </row>
    <row r="1314" spans="1:22" x14ac:dyDescent="0.3">
      <c r="A1314" t="s">
        <v>2629</v>
      </c>
      <c r="B1314" s="2">
        <v>46024</v>
      </c>
      <c r="C1314" t="s">
        <v>910</v>
      </c>
      <c r="D1314" t="s">
        <v>37</v>
      </c>
      <c r="E1314" t="s">
        <v>310</v>
      </c>
      <c r="F1314">
        <v>2</v>
      </c>
      <c r="G1314">
        <v>0</v>
      </c>
      <c r="H1314">
        <v>4400</v>
      </c>
      <c r="I1314">
        <v>-313.63</v>
      </c>
      <c r="J1314" t="s">
        <v>39</v>
      </c>
      <c r="K1314" t="s">
        <v>80</v>
      </c>
      <c r="L1314">
        <v>2200</v>
      </c>
      <c r="M1314">
        <v>-7.1279545454545454</v>
      </c>
      <c r="N1314" t="s">
        <v>81</v>
      </c>
      <c r="O1314" t="s">
        <v>911</v>
      </c>
      <c r="P1314" t="s">
        <v>29</v>
      </c>
      <c r="Q1314" t="s">
        <v>30</v>
      </c>
      <c r="R1314" t="s">
        <v>31</v>
      </c>
      <c r="S1314" t="s">
        <v>32</v>
      </c>
      <c r="T1314" t="s">
        <v>912</v>
      </c>
      <c r="U1314" t="s">
        <v>34</v>
      </c>
      <c r="V1314">
        <v>-156.815</v>
      </c>
    </row>
    <row r="1315" spans="1:22" x14ac:dyDescent="0.3">
      <c r="A1315" t="s">
        <v>2630</v>
      </c>
      <c r="B1315" s="2">
        <v>46153</v>
      </c>
      <c r="C1315" t="s">
        <v>1803</v>
      </c>
      <c r="D1315" t="s">
        <v>24</v>
      </c>
      <c r="E1315" t="s">
        <v>25</v>
      </c>
      <c r="F1315">
        <v>3</v>
      </c>
      <c r="G1315">
        <v>0.05</v>
      </c>
      <c r="H1315">
        <v>39900</v>
      </c>
      <c r="I1315">
        <v>6700.89</v>
      </c>
      <c r="J1315" t="s">
        <v>26</v>
      </c>
      <c r="K1315" t="s">
        <v>40</v>
      </c>
      <c r="L1315">
        <v>13300</v>
      </c>
      <c r="M1315">
        <v>16.794210526315791</v>
      </c>
      <c r="N1315" t="s">
        <v>8</v>
      </c>
      <c r="O1315" t="s">
        <v>1804</v>
      </c>
      <c r="P1315" t="s">
        <v>29</v>
      </c>
      <c r="Q1315" t="s">
        <v>74</v>
      </c>
      <c r="R1315" t="s">
        <v>115</v>
      </c>
      <c r="S1315" t="s">
        <v>115</v>
      </c>
      <c r="T1315" t="s">
        <v>604</v>
      </c>
      <c r="U1315" t="s">
        <v>46</v>
      </c>
      <c r="V1315">
        <v>2233.63</v>
      </c>
    </row>
    <row r="1316" spans="1:22" x14ac:dyDescent="0.3">
      <c r="A1316" t="s">
        <v>2631</v>
      </c>
      <c r="B1316" s="2">
        <v>45947</v>
      </c>
      <c r="C1316" t="s">
        <v>1116</v>
      </c>
      <c r="D1316" t="s">
        <v>49</v>
      </c>
      <c r="E1316" t="s">
        <v>50</v>
      </c>
      <c r="F1316">
        <v>3</v>
      </c>
      <c r="G1316">
        <v>0.15</v>
      </c>
      <c r="H1316">
        <v>33150</v>
      </c>
      <c r="I1316">
        <v>6477.32</v>
      </c>
      <c r="J1316" t="s">
        <v>26</v>
      </c>
      <c r="K1316" t="s">
        <v>40</v>
      </c>
      <c r="L1316">
        <v>11050</v>
      </c>
      <c r="M1316">
        <v>19.539426847662138</v>
      </c>
      <c r="N1316" t="s">
        <v>8</v>
      </c>
      <c r="O1316" t="s">
        <v>1117</v>
      </c>
      <c r="P1316" t="s">
        <v>29</v>
      </c>
      <c r="Q1316" t="s">
        <v>30</v>
      </c>
      <c r="R1316" t="s">
        <v>98</v>
      </c>
      <c r="S1316" t="s">
        <v>54</v>
      </c>
      <c r="T1316" t="s">
        <v>1118</v>
      </c>
      <c r="U1316" t="s">
        <v>34</v>
      </c>
      <c r="V1316">
        <v>2159.106666666667</v>
      </c>
    </row>
    <row r="1317" spans="1:22" x14ac:dyDescent="0.3">
      <c r="A1317" t="s">
        <v>2632</v>
      </c>
      <c r="B1317" s="2">
        <v>45896</v>
      </c>
      <c r="C1317" t="s">
        <v>409</v>
      </c>
      <c r="D1317" t="s">
        <v>24</v>
      </c>
      <c r="E1317" t="s">
        <v>87</v>
      </c>
      <c r="F1317">
        <v>4</v>
      </c>
      <c r="G1317">
        <v>0.05</v>
      </c>
      <c r="H1317">
        <v>1330</v>
      </c>
      <c r="I1317">
        <v>443.17</v>
      </c>
      <c r="J1317" t="s">
        <v>51</v>
      </c>
      <c r="K1317" t="s">
        <v>27</v>
      </c>
      <c r="L1317">
        <v>332.5</v>
      </c>
      <c r="M1317">
        <v>33.321052631578951</v>
      </c>
      <c r="N1317" t="s">
        <v>8</v>
      </c>
      <c r="O1317" t="s">
        <v>410</v>
      </c>
      <c r="P1317" t="s">
        <v>73</v>
      </c>
      <c r="Q1317" t="s">
        <v>131</v>
      </c>
      <c r="R1317" t="s">
        <v>200</v>
      </c>
      <c r="S1317" t="s">
        <v>201</v>
      </c>
      <c r="T1317" t="s">
        <v>411</v>
      </c>
      <c r="U1317" t="s">
        <v>100</v>
      </c>
      <c r="V1317">
        <v>110.7925</v>
      </c>
    </row>
    <row r="1318" spans="1:22" x14ac:dyDescent="0.3">
      <c r="A1318" t="s">
        <v>2633</v>
      </c>
      <c r="B1318" s="2">
        <v>46166</v>
      </c>
      <c r="C1318" t="s">
        <v>328</v>
      </c>
      <c r="D1318" t="s">
        <v>37</v>
      </c>
      <c r="E1318" t="s">
        <v>170</v>
      </c>
      <c r="F1318">
        <v>1</v>
      </c>
      <c r="G1318">
        <v>0.15</v>
      </c>
      <c r="H1318">
        <v>1190</v>
      </c>
      <c r="I1318">
        <v>327.18</v>
      </c>
      <c r="J1318" t="s">
        <v>26</v>
      </c>
      <c r="K1318" t="s">
        <v>40</v>
      </c>
      <c r="L1318">
        <v>1190</v>
      </c>
      <c r="M1318">
        <v>27.494117647058829</v>
      </c>
      <c r="N1318" t="s">
        <v>8</v>
      </c>
      <c r="O1318" t="s">
        <v>329</v>
      </c>
      <c r="P1318" t="s">
        <v>83</v>
      </c>
      <c r="Q1318" t="s">
        <v>74</v>
      </c>
      <c r="R1318" t="s">
        <v>75</v>
      </c>
      <c r="S1318" t="s">
        <v>75</v>
      </c>
      <c r="T1318" t="s">
        <v>330</v>
      </c>
      <c r="U1318" t="s">
        <v>34</v>
      </c>
      <c r="V1318">
        <v>327.18</v>
      </c>
    </row>
    <row r="1319" spans="1:22" x14ac:dyDescent="0.3">
      <c r="A1319" t="s">
        <v>2634</v>
      </c>
      <c r="B1319" s="2">
        <v>46251</v>
      </c>
      <c r="C1319" t="s">
        <v>2635</v>
      </c>
      <c r="D1319" t="s">
        <v>49</v>
      </c>
      <c r="E1319" t="s">
        <v>58</v>
      </c>
      <c r="F1319">
        <v>1</v>
      </c>
      <c r="G1319">
        <v>0.15</v>
      </c>
      <c r="H1319">
        <v>12750</v>
      </c>
      <c r="I1319">
        <v>2443.4699999999998</v>
      </c>
      <c r="J1319" t="s">
        <v>39</v>
      </c>
      <c r="K1319" t="s">
        <v>40</v>
      </c>
      <c r="L1319">
        <v>12750</v>
      </c>
      <c r="M1319">
        <v>19.164470588235289</v>
      </c>
      <c r="N1319" t="s">
        <v>8</v>
      </c>
      <c r="O1319" t="s">
        <v>2636</v>
      </c>
      <c r="P1319" t="s">
        <v>29</v>
      </c>
      <c r="Q1319" t="s">
        <v>42</v>
      </c>
      <c r="R1319" t="s">
        <v>121</v>
      </c>
      <c r="S1319" t="s">
        <v>44</v>
      </c>
      <c r="T1319" t="s">
        <v>252</v>
      </c>
      <c r="U1319" t="s">
        <v>34</v>
      </c>
      <c r="V1319">
        <v>2443.4699999999998</v>
      </c>
    </row>
    <row r="1320" spans="1:22" x14ac:dyDescent="0.3">
      <c r="A1320" t="s">
        <v>2637</v>
      </c>
      <c r="B1320" s="2">
        <v>46022</v>
      </c>
      <c r="C1320" t="s">
        <v>814</v>
      </c>
      <c r="D1320" t="s">
        <v>70</v>
      </c>
      <c r="E1320" t="s">
        <v>165</v>
      </c>
      <c r="F1320">
        <v>1</v>
      </c>
      <c r="G1320">
        <v>0.15</v>
      </c>
      <c r="H1320">
        <v>2125</v>
      </c>
      <c r="I1320">
        <v>532.46</v>
      </c>
      <c r="J1320" t="s">
        <v>26</v>
      </c>
      <c r="K1320" t="s">
        <v>27</v>
      </c>
      <c r="L1320">
        <v>2125</v>
      </c>
      <c r="M1320">
        <v>25.056941176470591</v>
      </c>
      <c r="N1320" t="s">
        <v>8</v>
      </c>
      <c r="O1320" t="s">
        <v>815</v>
      </c>
      <c r="P1320" t="s">
        <v>73</v>
      </c>
      <c r="Q1320" t="s">
        <v>42</v>
      </c>
      <c r="R1320" t="s">
        <v>121</v>
      </c>
      <c r="S1320" t="s">
        <v>44</v>
      </c>
      <c r="T1320" t="s">
        <v>816</v>
      </c>
      <c r="U1320" t="s">
        <v>46</v>
      </c>
      <c r="V1320">
        <v>532.46</v>
      </c>
    </row>
    <row r="1321" spans="1:22" x14ac:dyDescent="0.3">
      <c r="A1321" t="s">
        <v>2638</v>
      </c>
      <c r="B1321" s="2">
        <v>45896</v>
      </c>
      <c r="C1321" t="s">
        <v>2017</v>
      </c>
      <c r="D1321" t="s">
        <v>70</v>
      </c>
      <c r="E1321" t="s">
        <v>165</v>
      </c>
      <c r="F1321">
        <v>1</v>
      </c>
      <c r="G1321">
        <v>0.05</v>
      </c>
      <c r="H1321">
        <v>2375</v>
      </c>
      <c r="I1321">
        <v>88.96</v>
      </c>
      <c r="J1321" t="s">
        <v>65</v>
      </c>
      <c r="K1321" t="s">
        <v>80</v>
      </c>
      <c r="L1321">
        <v>2375</v>
      </c>
      <c r="M1321">
        <v>3.7456842105263162</v>
      </c>
      <c r="N1321" t="s">
        <v>8</v>
      </c>
      <c r="O1321" t="s">
        <v>844</v>
      </c>
      <c r="P1321" t="s">
        <v>29</v>
      </c>
      <c r="Q1321" t="s">
        <v>30</v>
      </c>
      <c r="R1321" t="s">
        <v>31</v>
      </c>
      <c r="S1321" t="s">
        <v>32</v>
      </c>
      <c r="T1321" t="s">
        <v>2018</v>
      </c>
      <c r="U1321" t="s">
        <v>34</v>
      </c>
      <c r="V1321">
        <v>88.96</v>
      </c>
    </row>
    <row r="1322" spans="1:22" x14ac:dyDescent="0.3">
      <c r="A1322" t="s">
        <v>2639</v>
      </c>
      <c r="B1322" s="2">
        <v>46005</v>
      </c>
      <c r="C1322" t="s">
        <v>225</v>
      </c>
      <c r="D1322" t="s">
        <v>70</v>
      </c>
      <c r="E1322" t="s">
        <v>71</v>
      </c>
      <c r="F1322">
        <v>5</v>
      </c>
      <c r="G1322">
        <v>0</v>
      </c>
      <c r="H1322">
        <v>90000</v>
      </c>
      <c r="I1322">
        <v>17500</v>
      </c>
      <c r="J1322" t="s">
        <v>26</v>
      </c>
      <c r="K1322" t="s">
        <v>40</v>
      </c>
      <c r="L1322">
        <v>18000</v>
      </c>
      <c r="M1322">
        <v>19.44444444444445</v>
      </c>
      <c r="N1322" t="s">
        <v>8</v>
      </c>
      <c r="O1322" t="s">
        <v>226</v>
      </c>
      <c r="P1322" t="s">
        <v>29</v>
      </c>
      <c r="Q1322" t="s">
        <v>30</v>
      </c>
      <c r="R1322" t="s">
        <v>31</v>
      </c>
      <c r="S1322" t="s">
        <v>32</v>
      </c>
      <c r="T1322" t="s">
        <v>227</v>
      </c>
      <c r="U1322" t="s">
        <v>100</v>
      </c>
      <c r="V1322">
        <v>3500</v>
      </c>
    </row>
    <row r="1323" spans="1:22" x14ac:dyDescent="0.3">
      <c r="A1323" t="s">
        <v>2640</v>
      </c>
      <c r="B1323" s="2">
        <v>46104</v>
      </c>
      <c r="C1323" t="s">
        <v>1637</v>
      </c>
      <c r="D1323" t="s">
        <v>24</v>
      </c>
      <c r="E1323" t="s">
        <v>242</v>
      </c>
      <c r="F1323">
        <v>2</v>
      </c>
      <c r="G1323">
        <v>0.1</v>
      </c>
      <c r="H1323">
        <v>810</v>
      </c>
      <c r="I1323">
        <v>155.32</v>
      </c>
      <c r="J1323" t="s">
        <v>39</v>
      </c>
      <c r="K1323" t="s">
        <v>27</v>
      </c>
      <c r="L1323">
        <v>405</v>
      </c>
      <c r="M1323">
        <v>19.17530864197531</v>
      </c>
      <c r="N1323" t="s">
        <v>8</v>
      </c>
      <c r="O1323" t="s">
        <v>697</v>
      </c>
      <c r="P1323" t="s">
        <v>29</v>
      </c>
      <c r="Q1323" t="s">
        <v>30</v>
      </c>
      <c r="R1323" t="s">
        <v>31</v>
      </c>
      <c r="S1323" t="s">
        <v>32</v>
      </c>
      <c r="T1323" t="s">
        <v>1638</v>
      </c>
      <c r="U1323" t="s">
        <v>46</v>
      </c>
      <c r="V1323">
        <v>77.66</v>
      </c>
    </row>
    <row r="1324" spans="1:22" x14ac:dyDescent="0.3">
      <c r="A1324" t="s">
        <v>2641</v>
      </c>
      <c r="B1324" s="2">
        <v>45840</v>
      </c>
      <c r="C1324" t="s">
        <v>562</v>
      </c>
      <c r="D1324" t="s">
        <v>70</v>
      </c>
      <c r="E1324" t="s">
        <v>129</v>
      </c>
      <c r="F1324">
        <v>3</v>
      </c>
      <c r="G1324">
        <v>0.1</v>
      </c>
      <c r="H1324">
        <v>148500</v>
      </c>
      <c r="I1324">
        <v>17514.77</v>
      </c>
      <c r="J1324" t="s">
        <v>51</v>
      </c>
      <c r="K1324" t="s">
        <v>40</v>
      </c>
      <c r="L1324">
        <v>49500</v>
      </c>
      <c r="M1324">
        <v>11.79445791245791</v>
      </c>
      <c r="N1324" t="s">
        <v>8</v>
      </c>
      <c r="O1324" t="s">
        <v>563</v>
      </c>
      <c r="P1324" t="s">
        <v>29</v>
      </c>
      <c r="Q1324" t="s">
        <v>30</v>
      </c>
      <c r="R1324" t="s">
        <v>60</v>
      </c>
      <c r="S1324" t="s">
        <v>61</v>
      </c>
      <c r="T1324" t="s">
        <v>564</v>
      </c>
      <c r="U1324" t="s">
        <v>100</v>
      </c>
      <c r="V1324">
        <v>5838.2566666666671</v>
      </c>
    </row>
    <row r="1325" spans="1:22" x14ac:dyDescent="0.3">
      <c r="A1325" t="s">
        <v>2642</v>
      </c>
      <c r="B1325" s="2">
        <v>45933</v>
      </c>
      <c r="C1325" t="s">
        <v>91</v>
      </c>
      <c r="D1325" t="s">
        <v>49</v>
      </c>
      <c r="E1325" t="s">
        <v>119</v>
      </c>
      <c r="F1325">
        <v>4</v>
      </c>
      <c r="G1325">
        <v>0.1</v>
      </c>
      <c r="H1325">
        <v>32400</v>
      </c>
      <c r="I1325">
        <v>7203.79</v>
      </c>
      <c r="J1325" t="s">
        <v>39</v>
      </c>
      <c r="K1325" t="s">
        <v>40</v>
      </c>
      <c r="L1325">
        <v>8100</v>
      </c>
      <c r="M1325">
        <v>22.233919753086418</v>
      </c>
      <c r="N1325" t="s">
        <v>8</v>
      </c>
      <c r="O1325" t="s">
        <v>93</v>
      </c>
      <c r="P1325" t="s">
        <v>73</v>
      </c>
      <c r="Q1325" t="s">
        <v>30</v>
      </c>
      <c r="R1325" t="s">
        <v>60</v>
      </c>
      <c r="S1325" t="s">
        <v>61</v>
      </c>
      <c r="T1325" t="s">
        <v>94</v>
      </c>
      <c r="U1325" t="s">
        <v>34</v>
      </c>
      <c r="V1325">
        <v>1800.9475</v>
      </c>
    </row>
    <row r="1326" spans="1:22" x14ac:dyDescent="0.3">
      <c r="A1326" t="s">
        <v>2643</v>
      </c>
      <c r="B1326" s="2">
        <v>45966</v>
      </c>
      <c r="C1326" t="s">
        <v>1824</v>
      </c>
      <c r="D1326" t="s">
        <v>70</v>
      </c>
      <c r="E1326" t="s">
        <v>129</v>
      </c>
      <c r="F1326">
        <v>5</v>
      </c>
      <c r="G1326">
        <v>0.05</v>
      </c>
      <c r="H1326">
        <v>261250</v>
      </c>
      <c r="I1326">
        <v>38173.769999999997</v>
      </c>
      <c r="J1326" t="s">
        <v>39</v>
      </c>
      <c r="K1326" t="s">
        <v>40</v>
      </c>
      <c r="L1326">
        <v>52250</v>
      </c>
      <c r="M1326">
        <v>14.61196937799043</v>
      </c>
      <c r="N1326" t="s">
        <v>8</v>
      </c>
      <c r="O1326" t="s">
        <v>205</v>
      </c>
      <c r="P1326" t="s">
        <v>83</v>
      </c>
      <c r="Q1326" t="s">
        <v>30</v>
      </c>
      <c r="R1326" t="s">
        <v>31</v>
      </c>
      <c r="S1326" t="s">
        <v>32</v>
      </c>
      <c r="T1326" t="s">
        <v>303</v>
      </c>
      <c r="U1326" t="s">
        <v>46</v>
      </c>
      <c r="V1326">
        <v>7634.753999999999</v>
      </c>
    </row>
    <row r="1327" spans="1:22" x14ac:dyDescent="0.3">
      <c r="A1327" t="s">
        <v>2644</v>
      </c>
      <c r="B1327" s="2">
        <v>46147</v>
      </c>
      <c r="C1327" t="s">
        <v>48</v>
      </c>
      <c r="D1327" t="s">
        <v>24</v>
      </c>
      <c r="E1327" t="s">
        <v>25</v>
      </c>
      <c r="F1327">
        <v>2</v>
      </c>
      <c r="G1327">
        <v>0.05</v>
      </c>
      <c r="H1327">
        <v>26600</v>
      </c>
      <c r="I1327">
        <v>4539.74</v>
      </c>
      <c r="J1327" t="s">
        <v>39</v>
      </c>
      <c r="K1327" t="s">
        <v>40</v>
      </c>
      <c r="L1327">
        <v>13300</v>
      </c>
      <c r="M1327">
        <v>17.06669172932331</v>
      </c>
      <c r="N1327" t="s">
        <v>8</v>
      </c>
      <c r="O1327" t="s">
        <v>52</v>
      </c>
      <c r="P1327" t="s">
        <v>29</v>
      </c>
      <c r="Q1327" t="s">
        <v>30</v>
      </c>
      <c r="R1327" t="s">
        <v>53</v>
      </c>
      <c r="S1327" t="s">
        <v>54</v>
      </c>
      <c r="T1327" t="s">
        <v>55</v>
      </c>
      <c r="U1327" t="s">
        <v>34</v>
      </c>
      <c r="V1327">
        <v>2269.87</v>
      </c>
    </row>
    <row r="1328" spans="1:22" x14ac:dyDescent="0.3">
      <c r="A1328" t="s">
        <v>2645</v>
      </c>
      <c r="B1328" s="2">
        <v>46188</v>
      </c>
      <c r="C1328" t="s">
        <v>1262</v>
      </c>
      <c r="D1328" t="s">
        <v>70</v>
      </c>
      <c r="E1328" t="s">
        <v>71</v>
      </c>
      <c r="F1328">
        <v>1</v>
      </c>
      <c r="G1328">
        <v>0.05</v>
      </c>
      <c r="H1328">
        <v>17100</v>
      </c>
      <c r="I1328">
        <v>2780.82</v>
      </c>
      <c r="J1328" t="s">
        <v>39</v>
      </c>
      <c r="K1328" t="s">
        <v>40</v>
      </c>
      <c r="L1328">
        <v>17100</v>
      </c>
      <c r="M1328">
        <v>16.262105263157899</v>
      </c>
      <c r="N1328" t="s">
        <v>8</v>
      </c>
      <c r="O1328" t="s">
        <v>1263</v>
      </c>
      <c r="P1328" t="s">
        <v>83</v>
      </c>
      <c r="Q1328" t="s">
        <v>30</v>
      </c>
      <c r="R1328" t="s">
        <v>53</v>
      </c>
      <c r="S1328" t="s">
        <v>54</v>
      </c>
      <c r="T1328" t="s">
        <v>1264</v>
      </c>
      <c r="U1328" t="s">
        <v>46</v>
      </c>
      <c r="V1328">
        <v>2780.82</v>
      </c>
    </row>
    <row r="1329" spans="1:22" x14ac:dyDescent="0.3">
      <c r="A1329" t="s">
        <v>2646</v>
      </c>
      <c r="B1329" s="2">
        <v>46091</v>
      </c>
      <c r="C1329" t="s">
        <v>2386</v>
      </c>
      <c r="D1329" t="s">
        <v>70</v>
      </c>
      <c r="E1329" t="s">
        <v>71</v>
      </c>
      <c r="F1329">
        <v>5</v>
      </c>
      <c r="G1329">
        <v>0</v>
      </c>
      <c r="H1329">
        <v>90000</v>
      </c>
      <c r="I1329">
        <v>17500</v>
      </c>
      <c r="J1329" t="s">
        <v>39</v>
      </c>
      <c r="K1329" t="s">
        <v>40</v>
      </c>
      <c r="L1329">
        <v>18000</v>
      </c>
      <c r="M1329">
        <v>19.44444444444445</v>
      </c>
      <c r="N1329" t="s">
        <v>8</v>
      </c>
      <c r="O1329" t="s">
        <v>1364</v>
      </c>
      <c r="P1329" t="s">
        <v>29</v>
      </c>
      <c r="Q1329" t="s">
        <v>131</v>
      </c>
      <c r="R1329" t="s">
        <v>289</v>
      </c>
      <c r="S1329" t="s">
        <v>290</v>
      </c>
      <c r="T1329" t="s">
        <v>1203</v>
      </c>
      <c r="U1329" t="s">
        <v>46</v>
      </c>
      <c r="V1329">
        <v>3500</v>
      </c>
    </row>
    <row r="1330" spans="1:22" x14ac:dyDescent="0.3">
      <c r="A1330" t="s">
        <v>2647</v>
      </c>
      <c r="B1330" s="2">
        <v>45898</v>
      </c>
      <c r="C1330" t="s">
        <v>1367</v>
      </c>
      <c r="D1330" t="s">
        <v>70</v>
      </c>
      <c r="E1330" t="s">
        <v>108</v>
      </c>
      <c r="F1330">
        <v>2</v>
      </c>
      <c r="G1330">
        <v>0.1</v>
      </c>
      <c r="H1330">
        <v>8100</v>
      </c>
      <c r="I1330">
        <v>-21.8</v>
      </c>
      <c r="J1330" t="s">
        <v>51</v>
      </c>
      <c r="K1330" t="s">
        <v>434</v>
      </c>
      <c r="L1330">
        <v>4050</v>
      </c>
      <c r="M1330">
        <v>-0.26913580246913582</v>
      </c>
      <c r="N1330" t="s">
        <v>81</v>
      </c>
      <c r="O1330" t="s">
        <v>1329</v>
      </c>
      <c r="P1330" t="s">
        <v>29</v>
      </c>
      <c r="Q1330" t="s">
        <v>131</v>
      </c>
      <c r="R1330" t="s">
        <v>132</v>
      </c>
      <c r="S1330" t="s">
        <v>133</v>
      </c>
      <c r="T1330" t="s">
        <v>1368</v>
      </c>
      <c r="U1330" t="s">
        <v>34</v>
      </c>
      <c r="V1330">
        <v>-10.9</v>
      </c>
    </row>
    <row r="1331" spans="1:22" x14ac:dyDescent="0.3">
      <c r="A1331" t="s">
        <v>2648</v>
      </c>
      <c r="B1331" s="2">
        <v>46081</v>
      </c>
      <c r="C1331" t="s">
        <v>983</v>
      </c>
      <c r="D1331" t="s">
        <v>70</v>
      </c>
      <c r="E1331" t="s">
        <v>71</v>
      </c>
      <c r="F1331">
        <v>3</v>
      </c>
      <c r="G1331">
        <v>0.1</v>
      </c>
      <c r="H1331">
        <v>48600</v>
      </c>
      <c r="I1331">
        <v>-25372.17</v>
      </c>
      <c r="J1331" t="s">
        <v>39</v>
      </c>
      <c r="K1331" t="s">
        <v>434</v>
      </c>
      <c r="L1331">
        <v>16200</v>
      </c>
      <c r="M1331">
        <v>-52.206111111111113</v>
      </c>
      <c r="N1331" t="s">
        <v>81</v>
      </c>
      <c r="O1331" t="s">
        <v>984</v>
      </c>
      <c r="P1331" t="s">
        <v>29</v>
      </c>
      <c r="Q1331" t="s">
        <v>30</v>
      </c>
      <c r="R1331" t="s">
        <v>31</v>
      </c>
      <c r="S1331" t="s">
        <v>32</v>
      </c>
      <c r="T1331" t="s">
        <v>985</v>
      </c>
      <c r="U1331" t="s">
        <v>46</v>
      </c>
      <c r="V1331">
        <v>-8457.39</v>
      </c>
    </row>
    <row r="1332" spans="1:22" x14ac:dyDescent="0.3">
      <c r="A1332" t="s">
        <v>2649</v>
      </c>
      <c r="B1332" s="2">
        <v>46093</v>
      </c>
      <c r="C1332" t="s">
        <v>1818</v>
      </c>
      <c r="D1332" t="s">
        <v>49</v>
      </c>
      <c r="E1332" t="s">
        <v>79</v>
      </c>
      <c r="F1332">
        <v>5</v>
      </c>
      <c r="G1332">
        <v>0.3</v>
      </c>
      <c r="H1332">
        <v>38500</v>
      </c>
      <c r="I1332">
        <v>1460.23</v>
      </c>
      <c r="J1332" t="s">
        <v>51</v>
      </c>
      <c r="K1332" t="s">
        <v>40</v>
      </c>
      <c r="L1332">
        <v>7700</v>
      </c>
      <c r="M1332">
        <v>3.7928051948051951</v>
      </c>
      <c r="N1332" t="s">
        <v>8</v>
      </c>
      <c r="O1332" t="s">
        <v>243</v>
      </c>
      <c r="P1332" t="s">
        <v>29</v>
      </c>
      <c r="Q1332" t="s">
        <v>131</v>
      </c>
      <c r="R1332" t="s">
        <v>449</v>
      </c>
      <c r="S1332" t="s">
        <v>450</v>
      </c>
      <c r="T1332" t="s">
        <v>1819</v>
      </c>
      <c r="U1332" t="s">
        <v>100</v>
      </c>
      <c r="V1332">
        <v>292.04599999999999</v>
      </c>
    </row>
    <row r="1333" spans="1:22" x14ac:dyDescent="0.3">
      <c r="A1333" t="s">
        <v>2650</v>
      </c>
      <c r="B1333" s="2">
        <v>45909</v>
      </c>
      <c r="C1333" t="s">
        <v>834</v>
      </c>
      <c r="D1333" t="s">
        <v>37</v>
      </c>
      <c r="E1333" t="s">
        <v>38</v>
      </c>
      <c r="F1333">
        <v>10</v>
      </c>
      <c r="G1333">
        <v>0.05</v>
      </c>
      <c r="H1333">
        <v>17100</v>
      </c>
      <c r="I1333">
        <v>6022.17</v>
      </c>
      <c r="J1333" t="s">
        <v>65</v>
      </c>
      <c r="K1333" t="s">
        <v>40</v>
      </c>
      <c r="L1333">
        <v>1710</v>
      </c>
      <c r="M1333">
        <v>35.217368421052633</v>
      </c>
      <c r="N1333" t="s">
        <v>8</v>
      </c>
      <c r="O1333" t="s">
        <v>549</v>
      </c>
      <c r="P1333" t="s">
        <v>29</v>
      </c>
      <c r="Q1333" t="s">
        <v>74</v>
      </c>
      <c r="R1333" t="s">
        <v>115</v>
      </c>
      <c r="S1333" t="s">
        <v>115</v>
      </c>
      <c r="T1333" t="s">
        <v>835</v>
      </c>
      <c r="U1333" t="s">
        <v>34</v>
      </c>
      <c r="V1333">
        <v>602.21699999999998</v>
      </c>
    </row>
    <row r="1334" spans="1:22" x14ac:dyDescent="0.3">
      <c r="A1334" t="s">
        <v>2651</v>
      </c>
      <c r="B1334" s="2">
        <v>46110</v>
      </c>
      <c r="C1334" t="s">
        <v>1575</v>
      </c>
      <c r="D1334" t="s">
        <v>70</v>
      </c>
      <c r="E1334" t="s">
        <v>129</v>
      </c>
      <c r="F1334">
        <v>3</v>
      </c>
      <c r="G1334">
        <v>0.1</v>
      </c>
      <c r="H1334">
        <v>148500</v>
      </c>
      <c r="I1334">
        <v>17767.64</v>
      </c>
      <c r="J1334" t="s">
        <v>51</v>
      </c>
      <c r="K1334" t="s">
        <v>40</v>
      </c>
      <c r="L1334">
        <v>49500</v>
      </c>
      <c r="M1334">
        <v>11.964740740740741</v>
      </c>
      <c r="N1334" t="s">
        <v>8</v>
      </c>
      <c r="O1334" t="s">
        <v>349</v>
      </c>
      <c r="P1334" t="s">
        <v>83</v>
      </c>
      <c r="Q1334" t="s">
        <v>74</v>
      </c>
      <c r="R1334" t="s">
        <v>75</v>
      </c>
      <c r="S1334" t="s">
        <v>75</v>
      </c>
      <c r="T1334" t="s">
        <v>1576</v>
      </c>
      <c r="U1334" t="s">
        <v>34</v>
      </c>
      <c r="V1334">
        <v>5922.5466666666662</v>
      </c>
    </row>
    <row r="1335" spans="1:22" x14ac:dyDescent="0.3">
      <c r="A1335" t="s">
        <v>2652</v>
      </c>
      <c r="B1335" s="2">
        <v>46038</v>
      </c>
      <c r="C1335" t="s">
        <v>1799</v>
      </c>
      <c r="D1335" t="s">
        <v>49</v>
      </c>
      <c r="E1335" t="s">
        <v>119</v>
      </c>
      <c r="F1335">
        <v>2</v>
      </c>
      <c r="G1335">
        <v>0.05</v>
      </c>
      <c r="H1335">
        <v>17100</v>
      </c>
      <c r="I1335">
        <v>4025.39</v>
      </c>
      <c r="J1335" t="s">
        <v>39</v>
      </c>
      <c r="K1335" t="s">
        <v>40</v>
      </c>
      <c r="L1335">
        <v>8550</v>
      </c>
      <c r="M1335">
        <v>23.540292397660821</v>
      </c>
      <c r="N1335" t="s">
        <v>8</v>
      </c>
      <c r="O1335" t="s">
        <v>1800</v>
      </c>
      <c r="P1335" t="s">
        <v>73</v>
      </c>
      <c r="Q1335" t="s">
        <v>30</v>
      </c>
      <c r="R1335" t="s">
        <v>98</v>
      </c>
      <c r="S1335" t="s">
        <v>54</v>
      </c>
      <c r="T1335" t="s">
        <v>1801</v>
      </c>
      <c r="U1335" t="s">
        <v>100</v>
      </c>
      <c r="V1335">
        <v>2012.6949999999999</v>
      </c>
    </row>
    <row r="1336" spans="1:22" x14ac:dyDescent="0.3">
      <c r="A1336" t="s">
        <v>2653</v>
      </c>
      <c r="B1336" s="2">
        <v>46176</v>
      </c>
      <c r="C1336" t="s">
        <v>610</v>
      </c>
      <c r="D1336" t="s">
        <v>24</v>
      </c>
      <c r="E1336" t="s">
        <v>92</v>
      </c>
      <c r="F1336">
        <v>2</v>
      </c>
      <c r="G1336">
        <v>0.05</v>
      </c>
      <c r="H1336">
        <v>1710</v>
      </c>
      <c r="I1336">
        <v>484.2</v>
      </c>
      <c r="J1336" t="s">
        <v>65</v>
      </c>
      <c r="K1336" t="s">
        <v>40</v>
      </c>
      <c r="L1336">
        <v>855</v>
      </c>
      <c r="M1336">
        <v>28.315789473684209</v>
      </c>
      <c r="N1336" t="s">
        <v>8</v>
      </c>
      <c r="O1336" t="s">
        <v>611</v>
      </c>
      <c r="P1336" t="s">
        <v>83</v>
      </c>
      <c r="Q1336" t="s">
        <v>42</v>
      </c>
      <c r="R1336" t="s">
        <v>110</v>
      </c>
      <c r="S1336" t="s">
        <v>111</v>
      </c>
      <c r="T1336" t="s">
        <v>612</v>
      </c>
      <c r="U1336" t="s">
        <v>34</v>
      </c>
      <c r="V1336">
        <v>242.1</v>
      </c>
    </row>
    <row r="1337" spans="1:22" x14ac:dyDescent="0.3">
      <c r="A1337" t="s">
        <v>2654</v>
      </c>
      <c r="B1337" s="2">
        <v>46085</v>
      </c>
      <c r="C1337" t="s">
        <v>1262</v>
      </c>
      <c r="D1337" t="s">
        <v>49</v>
      </c>
      <c r="E1337" t="s">
        <v>50</v>
      </c>
      <c r="F1337">
        <v>3</v>
      </c>
      <c r="G1337">
        <v>0.2</v>
      </c>
      <c r="H1337">
        <v>31200</v>
      </c>
      <c r="I1337">
        <v>-11525.23</v>
      </c>
      <c r="J1337" t="s">
        <v>51</v>
      </c>
      <c r="K1337" t="s">
        <v>80</v>
      </c>
      <c r="L1337">
        <v>10400</v>
      </c>
      <c r="M1337">
        <v>-36.939839743589737</v>
      </c>
      <c r="N1337" t="s">
        <v>81</v>
      </c>
      <c r="O1337" t="s">
        <v>1263</v>
      </c>
      <c r="P1337" t="s">
        <v>83</v>
      </c>
      <c r="Q1337" t="s">
        <v>30</v>
      </c>
      <c r="R1337" t="s">
        <v>53</v>
      </c>
      <c r="S1337" t="s">
        <v>54</v>
      </c>
      <c r="T1337" t="s">
        <v>1264</v>
      </c>
      <c r="U1337" t="s">
        <v>46</v>
      </c>
      <c r="V1337">
        <v>-3841.7433333333329</v>
      </c>
    </row>
    <row r="1338" spans="1:22" x14ac:dyDescent="0.3">
      <c r="A1338" t="s">
        <v>2655</v>
      </c>
      <c r="B1338" s="2">
        <v>45883</v>
      </c>
      <c r="C1338" t="s">
        <v>1497</v>
      </c>
      <c r="D1338" t="s">
        <v>49</v>
      </c>
      <c r="E1338" t="s">
        <v>79</v>
      </c>
      <c r="F1338">
        <v>1</v>
      </c>
      <c r="G1338">
        <v>0.15</v>
      </c>
      <c r="H1338">
        <v>9350</v>
      </c>
      <c r="I1338">
        <v>-4344.8</v>
      </c>
      <c r="J1338" t="s">
        <v>65</v>
      </c>
      <c r="K1338" t="s">
        <v>80</v>
      </c>
      <c r="L1338">
        <v>9350</v>
      </c>
      <c r="M1338">
        <v>-46.46844919786097</v>
      </c>
      <c r="N1338" t="s">
        <v>81</v>
      </c>
      <c r="O1338" t="s">
        <v>88</v>
      </c>
      <c r="P1338" t="s">
        <v>73</v>
      </c>
      <c r="Q1338" t="s">
        <v>30</v>
      </c>
      <c r="R1338" t="s">
        <v>31</v>
      </c>
      <c r="S1338" t="s">
        <v>32</v>
      </c>
      <c r="T1338" t="s">
        <v>1498</v>
      </c>
      <c r="U1338" t="s">
        <v>46</v>
      </c>
      <c r="V1338">
        <v>-4344.8</v>
      </c>
    </row>
    <row r="1339" spans="1:22" x14ac:dyDescent="0.3">
      <c r="A1339" t="s">
        <v>2656</v>
      </c>
      <c r="B1339" s="2">
        <v>46250</v>
      </c>
      <c r="C1339" t="s">
        <v>891</v>
      </c>
      <c r="D1339" t="s">
        <v>70</v>
      </c>
      <c r="E1339" t="s">
        <v>129</v>
      </c>
      <c r="F1339">
        <v>2</v>
      </c>
      <c r="G1339">
        <v>0</v>
      </c>
      <c r="H1339">
        <v>110000</v>
      </c>
      <c r="I1339">
        <v>18000</v>
      </c>
      <c r="J1339" t="s">
        <v>51</v>
      </c>
      <c r="K1339" t="s">
        <v>40</v>
      </c>
      <c r="L1339">
        <v>55000</v>
      </c>
      <c r="M1339">
        <v>16.36363636363636</v>
      </c>
      <c r="N1339" t="s">
        <v>8</v>
      </c>
      <c r="O1339" t="s">
        <v>892</v>
      </c>
      <c r="P1339" t="s">
        <v>29</v>
      </c>
      <c r="Q1339" t="s">
        <v>30</v>
      </c>
      <c r="R1339" t="s">
        <v>31</v>
      </c>
      <c r="S1339" t="s">
        <v>32</v>
      </c>
      <c r="T1339" t="s">
        <v>893</v>
      </c>
      <c r="U1339" t="s">
        <v>34</v>
      </c>
      <c r="V1339">
        <v>9000</v>
      </c>
    </row>
    <row r="1340" spans="1:22" x14ac:dyDescent="0.3">
      <c r="A1340" t="s">
        <v>2657</v>
      </c>
      <c r="B1340" s="2">
        <v>46002</v>
      </c>
      <c r="C1340" t="s">
        <v>91</v>
      </c>
      <c r="D1340" t="s">
        <v>70</v>
      </c>
      <c r="E1340" t="s">
        <v>71</v>
      </c>
      <c r="F1340">
        <v>2</v>
      </c>
      <c r="G1340">
        <v>0.05</v>
      </c>
      <c r="H1340">
        <v>34200</v>
      </c>
      <c r="I1340">
        <v>5757.47</v>
      </c>
      <c r="J1340" t="s">
        <v>26</v>
      </c>
      <c r="K1340" t="s">
        <v>40</v>
      </c>
      <c r="L1340">
        <v>17100</v>
      </c>
      <c r="M1340">
        <v>16.834707602339179</v>
      </c>
      <c r="N1340" t="s">
        <v>8</v>
      </c>
      <c r="O1340" t="s">
        <v>93</v>
      </c>
      <c r="P1340" t="s">
        <v>73</v>
      </c>
      <c r="Q1340" t="s">
        <v>30</v>
      </c>
      <c r="R1340" t="s">
        <v>60</v>
      </c>
      <c r="S1340" t="s">
        <v>61</v>
      </c>
      <c r="T1340" t="s">
        <v>94</v>
      </c>
      <c r="U1340" t="s">
        <v>34</v>
      </c>
      <c r="V1340">
        <v>2878.7350000000001</v>
      </c>
    </row>
    <row r="1341" spans="1:22" x14ac:dyDescent="0.3">
      <c r="A1341" t="s">
        <v>2658</v>
      </c>
      <c r="B1341" s="2">
        <v>46083</v>
      </c>
      <c r="C1341" t="s">
        <v>1324</v>
      </c>
      <c r="D1341" t="s">
        <v>49</v>
      </c>
      <c r="E1341" t="s">
        <v>50</v>
      </c>
      <c r="F1341">
        <v>1</v>
      </c>
      <c r="G1341">
        <v>0.05</v>
      </c>
      <c r="H1341">
        <v>12350</v>
      </c>
      <c r="I1341">
        <v>2722.03</v>
      </c>
      <c r="J1341" t="s">
        <v>51</v>
      </c>
      <c r="K1341" t="s">
        <v>40</v>
      </c>
      <c r="L1341">
        <v>12350</v>
      </c>
      <c r="M1341">
        <v>22.040728744939269</v>
      </c>
      <c r="N1341" t="s">
        <v>8</v>
      </c>
      <c r="O1341" t="s">
        <v>1325</v>
      </c>
      <c r="P1341" t="s">
        <v>83</v>
      </c>
      <c r="Q1341" t="s">
        <v>74</v>
      </c>
      <c r="R1341" t="s">
        <v>115</v>
      </c>
      <c r="S1341" t="s">
        <v>115</v>
      </c>
      <c r="T1341" t="s">
        <v>1326</v>
      </c>
      <c r="U1341" t="s">
        <v>34</v>
      </c>
      <c r="V1341">
        <v>2722.03</v>
      </c>
    </row>
    <row r="1342" spans="1:22" x14ac:dyDescent="0.3">
      <c r="A1342" t="s">
        <v>2659</v>
      </c>
      <c r="B1342" s="2">
        <v>46231</v>
      </c>
      <c r="C1342" t="s">
        <v>332</v>
      </c>
      <c r="D1342" t="s">
        <v>70</v>
      </c>
      <c r="E1342" t="s">
        <v>165</v>
      </c>
      <c r="F1342">
        <v>3</v>
      </c>
      <c r="G1342">
        <v>0.15</v>
      </c>
      <c r="H1342">
        <v>6375</v>
      </c>
      <c r="I1342">
        <v>1645.88</v>
      </c>
      <c r="J1342" t="s">
        <v>65</v>
      </c>
      <c r="K1342" t="s">
        <v>40</v>
      </c>
      <c r="L1342">
        <v>2125</v>
      </c>
      <c r="M1342">
        <v>25.817725490196079</v>
      </c>
      <c r="N1342" t="s">
        <v>8</v>
      </c>
      <c r="O1342" t="s">
        <v>333</v>
      </c>
      <c r="P1342" t="s">
        <v>29</v>
      </c>
      <c r="Q1342" t="s">
        <v>42</v>
      </c>
      <c r="R1342" t="s">
        <v>121</v>
      </c>
      <c r="S1342" t="s">
        <v>44</v>
      </c>
      <c r="T1342" t="s">
        <v>334</v>
      </c>
      <c r="U1342" t="s">
        <v>100</v>
      </c>
      <c r="V1342">
        <v>548.62666666666667</v>
      </c>
    </row>
    <row r="1343" spans="1:22" x14ac:dyDescent="0.3">
      <c r="A1343" t="s">
        <v>2660</v>
      </c>
      <c r="B1343" s="2">
        <v>45912</v>
      </c>
      <c r="C1343" t="s">
        <v>891</v>
      </c>
      <c r="D1343" t="s">
        <v>70</v>
      </c>
      <c r="E1343" t="s">
        <v>108</v>
      </c>
      <c r="F1343">
        <v>2</v>
      </c>
      <c r="G1343">
        <v>0</v>
      </c>
      <c r="H1343">
        <v>9000</v>
      </c>
      <c r="I1343">
        <v>3000</v>
      </c>
      <c r="J1343" t="s">
        <v>26</v>
      </c>
      <c r="K1343" t="s">
        <v>40</v>
      </c>
      <c r="L1343">
        <v>4500</v>
      </c>
      <c r="M1343">
        <v>33.333333333333329</v>
      </c>
      <c r="N1343" t="s">
        <v>8</v>
      </c>
      <c r="O1343" t="s">
        <v>892</v>
      </c>
      <c r="P1343" t="s">
        <v>29</v>
      </c>
      <c r="Q1343" t="s">
        <v>30</v>
      </c>
      <c r="R1343" t="s">
        <v>31</v>
      </c>
      <c r="S1343" t="s">
        <v>32</v>
      </c>
      <c r="T1343" t="s">
        <v>893</v>
      </c>
      <c r="U1343" t="s">
        <v>34</v>
      </c>
      <c r="V1343">
        <v>1500</v>
      </c>
    </row>
    <row r="1344" spans="1:22" x14ac:dyDescent="0.3">
      <c r="A1344" t="s">
        <v>2661</v>
      </c>
      <c r="B1344" s="2">
        <v>46222</v>
      </c>
      <c r="C1344" t="s">
        <v>814</v>
      </c>
      <c r="D1344" t="s">
        <v>49</v>
      </c>
      <c r="E1344" t="s">
        <v>119</v>
      </c>
      <c r="F1344">
        <v>1</v>
      </c>
      <c r="G1344">
        <v>0</v>
      </c>
      <c r="H1344">
        <v>9000</v>
      </c>
      <c r="I1344">
        <v>2300</v>
      </c>
      <c r="J1344" t="s">
        <v>65</v>
      </c>
      <c r="K1344" t="s">
        <v>40</v>
      </c>
      <c r="L1344">
        <v>9000</v>
      </c>
      <c r="M1344">
        <v>25.55555555555555</v>
      </c>
      <c r="N1344" t="s">
        <v>8</v>
      </c>
      <c r="O1344" t="s">
        <v>815</v>
      </c>
      <c r="P1344" t="s">
        <v>73</v>
      </c>
      <c r="Q1344" t="s">
        <v>42</v>
      </c>
      <c r="R1344" t="s">
        <v>121</v>
      </c>
      <c r="S1344" t="s">
        <v>44</v>
      </c>
      <c r="T1344" t="s">
        <v>816</v>
      </c>
      <c r="U1344" t="s">
        <v>46</v>
      </c>
      <c r="V1344">
        <v>2300</v>
      </c>
    </row>
    <row r="1345" spans="1:22" x14ac:dyDescent="0.3">
      <c r="A1345" t="s">
        <v>2662</v>
      </c>
      <c r="B1345" s="2">
        <v>45853</v>
      </c>
      <c r="C1345" t="s">
        <v>96</v>
      </c>
      <c r="D1345" t="s">
        <v>70</v>
      </c>
      <c r="E1345" t="s">
        <v>129</v>
      </c>
      <c r="F1345">
        <v>2</v>
      </c>
      <c r="G1345">
        <v>0</v>
      </c>
      <c r="H1345">
        <v>110000</v>
      </c>
      <c r="I1345">
        <v>18000</v>
      </c>
      <c r="J1345" t="s">
        <v>39</v>
      </c>
      <c r="K1345" t="s">
        <v>40</v>
      </c>
      <c r="L1345">
        <v>55000</v>
      </c>
      <c r="M1345">
        <v>16.36363636363636</v>
      </c>
      <c r="N1345" t="s">
        <v>8</v>
      </c>
      <c r="O1345" t="s">
        <v>97</v>
      </c>
      <c r="P1345" t="s">
        <v>73</v>
      </c>
      <c r="Q1345" t="s">
        <v>30</v>
      </c>
      <c r="R1345" t="s">
        <v>98</v>
      </c>
      <c r="S1345" t="s">
        <v>54</v>
      </c>
      <c r="T1345" t="s">
        <v>99</v>
      </c>
      <c r="U1345" t="s">
        <v>100</v>
      </c>
      <c r="V1345">
        <v>9000</v>
      </c>
    </row>
    <row r="1346" spans="1:22" x14ac:dyDescent="0.3">
      <c r="A1346" t="s">
        <v>2663</v>
      </c>
      <c r="B1346" s="2">
        <v>45968</v>
      </c>
      <c r="C1346" t="s">
        <v>834</v>
      </c>
      <c r="D1346" t="s">
        <v>24</v>
      </c>
      <c r="E1346" t="s">
        <v>87</v>
      </c>
      <c r="F1346">
        <v>3</v>
      </c>
      <c r="G1346">
        <v>0.05</v>
      </c>
      <c r="H1346">
        <v>997.5</v>
      </c>
      <c r="I1346">
        <v>-434.13</v>
      </c>
      <c r="J1346" t="s">
        <v>51</v>
      </c>
      <c r="K1346" t="s">
        <v>434</v>
      </c>
      <c r="L1346">
        <v>332.5</v>
      </c>
      <c r="M1346">
        <v>-43.521804511278198</v>
      </c>
      <c r="N1346" t="s">
        <v>81</v>
      </c>
      <c r="O1346" t="s">
        <v>549</v>
      </c>
      <c r="P1346" t="s">
        <v>29</v>
      </c>
      <c r="Q1346" t="s">
        <v>74</v>
      </c>
      <c r="R1346" t="s">
        <v>115</v>
      </c>
      <c r="S1346" t="s">
        <v>115</v>
      </c>
      <c r="T1346" t="s">
        <v>835</v>
      </c>
      <c r="U1346" t="s">
        <v>34</v>
      </c>
      <c r="V1346">
        <v>-144.71</v>
      </c>
    </row>
    <row r="1347" spans="1:22" x14ac:dyDescent="0.3">
      <c r="A1347" t="s">
        <v>2664</v>
      </c>
      <c r="B1347" s="2">
        <v>45961</v>
      </c>
      <c r="C1347" t="s">
        <v>1860</v>
      </c>
      <c r="D1347" t="s">
        <v>24</v>
      </c>
      <c r="E1347" t="s">
        <v>242</v>
      </c>
      <c r="F1347">
        <v>3</v>
      </c>
      <c r="G1347">
        <v>0.05</v>
      </c>
      <c r="H1347">
        <v>1282.5</v>
      </c>
      <c r="I1347">
        <v>273.54000000000002</v>
      </c>
      <c r="J1347" t="s">
        <v>26</v>
      </c>
      <c r="K1347" t="s">
        <v>40</v>
      </c>
      <c r="L1347">
        <v>427.5</v>
      </c>
      <c r="M1347">
        <v>21.32865497076024</v>
      </c>
      <c r="N1347" t="s">
        <v>8</v>
      </c>
      <c r="O1347" t="s">
        <v>1861</v>
      </c>
      <c r="P1347" t="s">
        <v>83</v>
      </c>
      <c r="Q1347" t="s">
        <v>30</v>
      </c>
      <c r="R1347" t="s">
        <v>98</v>
      </c>
      <c r="S1347" t="s">
        <v>54</v>
      </c>
      <c r="T1347" t="s">
        <v>1862</v>
      </c>
      <c r="U1347" t="s">
        <v>34</v>
      </c>
      <c r="V1347">
        <v>91.18</v>
      </c>
    </row>
    <row r="1348" spans="1:22" x14ac:dyDescent="0.3">
      <c r="A1348" t="s">
        <v>2665</v>
      </c>
      <c r="B1348" s="2">
        <v>45984</v>
      </c>
      <c r="C1348" t="s">
        <v>2666</v>
      </c>
      <c r="D1348" t="s">
        <v>49</v>
      </c>
      <c r="E1348" t="s">
        <v>79</v>
      </c>
      <c r="F1348">
        <v>3</v>
      </c>
      <c r="G1348">
        <v>0.05</v>
      </c>
      <c r="H1348">
        <v>31350</v>
      </c>
      <c r="I1348">
        <v>-10224.51</v>
      </c>
      <c r="J1348" t="s">
        <v>65</v>
      </c>
      <c r="K1348" t="s">
        <v>434</v>
      </c>
      <c r="L1348">
        <v>10450</v>
      </c>
      <c r="M1348">
        <v>-32.614066985645927</v>
      </c>
      <c r="N1348" t="s">
        <v>81</v>
      </c>
      <c r="O1348" t="s">
        <v>431</v>
      </c>
      <c r="P1348" t="s">
        <v>83</v>
      </c>
      <c r="Q1348" t="s">
        <v>74</v>
      </c>
      <c r="R1348" t="s">
        <v>237</v>
      </c>
      <c r="S1348" t="s">
        <v>238</v>
      </c>
      <c r="T1348" t="s">
        <v>2667</v>
      </c>
      <c r="U1348" t="s">
        <v>34</v>
      </c>
      <c r="V1348">
        <v>-3408.17</v>
      </c>
    </row>
    <row r="1349" spans="1:22" x14ac:dyDescent="0.3">
      <c r="A1349" t="s">
        <v>2668</v>
      </c>
      <c r="B1349" s="2">
        <v>46223</v>
      </c>
      <c r="C1349" t="s">
        <v>559</v>
      </c>
      <c r="D1349" t="s">
        <v>49</v>
      </c>
      <c r="E1349" t="s">
        <v>50</v>
      </c>
      <c r="F1349">
        <v>3</v>
      </c>
      <c r="G1349">
        <v>0.1</v>
      </c>
      <c r="H1349">
        <v>35100</v>
      </c>
      <c r="I1349">
        <v>7368.88</v>
      </c>
      <c r="J1349" t="s">
        <v>51</v>
      </c>
      <c r="K1349" t="s">
        <v>40</v>
      </c>
      <c r="L1349">
        <v>11700</v>
      </c>
      <c r="M1349">
        <v>20.99396011396011</v>
      </c>
      <c r="N1349" t="s">
        <v>8</v>
      </c>
      <c r="O1349" t="s">
        <v>478</v>
      </c>
      <c r="P1349" t="s">
        <v>29</v>
      </c>
      <c r="Q1349" t="s">
        <v>30</v>
      </c>
      <c r="R1349" t="s">
        <v>53</v>
      </c>
      <c r="S1349" t="s">
        <v>54</v>
      </c>
      <c r="T1349" t="s">
        <v>560</v>
      </c>
      <c r="U1349" t="s">
        <v>34</v>
      </c>
      <c r="V1349">
        <v>2456.293333333334</v>
      </c>
    </row>
    <row r="1350" spans="1:22" x14ac:dyDescent="0.3">
      <c r="A1350" t="s">
        <v>2669</v>
      </c>
      <c r="B1350" s="2">
        <v>46044</v>
      </c>
      <c r="C1350" t="s">
        <v>2670</v>
      </c>
      <c r="D1350" t="s">
        <v>37</v>
      </c>
      <c r="E1350" t="s">
        <v>190</v>
      </c>
      <c r="F1350">
        <v>1</v>
      </c>
      <c r="G1350">
        <v>0.15</v>
      </c>
      <c r="H1350">
        <v>3570</v>
      </c>
      <c r="I1350">
        <v>711.48</v>
      </c>
      <c r="J1350" t="s">
        <v>26</v>
      </c>
      <c r="K1350" t="s">
        <v>40</v>
      </c>
      <c r="L1350">
        <v>3570</v>
      </c>
      <c r="M1350">
        <v>19.929411764705879</v>
      </c>
      <c r="N1350" t="s">
        <v>8</v>
      </c>
      <c r="O1350" t="s">
        <v>1383</v>
      </c>
      <c r="P1350" t="s">
        <v>29</v>
      </c>
      <c r="Q1350" t="s">
        <v>42</v>
      </c>
      <c r="R1350" t="s">
        <v>110</v>
      </c>
      <c r="S1350" t="s">
        <v>111</v>
      </c>
      <c r="T1350" t="s">
        <v>2114</v>
      </c>
      <c r="U1350" t="s">
        <v>100</v>
      </c>
      <c r="V1350">
        <v>711.48</v>
      </c>
    </row>
    <row r="1351" spans="1:22" x14ac:dyDescent="0.3">
      <c r="A1351" t="s">
        <v>2671</v>
      </c>
      <c r="B1351" s="2">
        <v>46206</v>
      </c>
      <c r="C1351" t="s">
        <v>659</v>
      </c>
      <c r="D1351" t="s">
        <v>70</v>
      </c>
      <c r="E1351" t="s">
        <v>129</v>
      </c>
      <c r="F1351">
        <v>1</v>
      </c>
      <c r="G1351">
        <v>0.05</v>
      </c>
      <c r="H1351">
        <v>52250</v>
      </c>
      <c r="I1351">
        <v>7526.14</v>
      </c>
      <c r="J1351" t="s">
        <v>65</v>
      </c>
      <c r="K1351" t="s">
        <v>40</v>
      </c>
      <c r="L1351">
        <v>52250</v>
      </c>
      <c r="M1351">
        <v>14.40409569377991</v>
      </c>
      <c r="N1351" t="s">
        <v>8</v>
      </c>
      <c r="O1351" t="s">
        <v>660</v>
      </c>
      <c r="P1351" t="s">
        <v>83</v>
      </c>
      <c r="Q1351" t="s">
        <v>30</v>
      </c>
      <c r="R1351" t="s">
        <v>60</v>
      </c>
      <c r="S1351" t="s">
        <v>61</v>
      </c>
      <c r="T1351" t="s">
        <v>475</v>
      </c>
      <c r="U1351" t="s">
        <v>46</v>
      </c>
      <c r="V1351">
        <v>7526.14</v>
      </c>
    </row>
    <row r="1352" spans="1:22" x14ac:dyDescent="0.3">
      <c r="A1352" t="s">
        <v>2672</v>
      </c>
      <c r="B1352" s="2">
        <v>45879</v>
      </c>
      <c r="C1352" t="s">
        <v>2673</v>
      </c>
      <c r="D1352" t="s">
        <v>70</v>
      </c>
      <c r="E1352" t="s">
        <v>71</v>
      </c>
      <c r="F1352">
        <v>2</v>
      </c>
      <c r="G1352">
        <v>0</v>
      </c>
      <c r="H1352">
        <v>36000</v>
      </c>
      <c r="I1352">
        <v>7000</v>
      </c>
      <c r="J1352" t="s">
        <v>39</v>
      </c>
      <c r="K1352" t="s">
        <v>40</v>
      </c>
      <c r="L1352">
        <v>18000</v>
      </c>
      <c r="M1352">
        <v>19.44444444444445</v>
      </c>
      <c r="N1352" t="s">
        <v>8</v>
      </c>
      <c r="O1352" t="s">
        <v>2674</v>
      </c>
      <c r="P1352" t="s">
        <v>73</v>
      </c>
      <c r="Q1352" t="s">
        <v>30</v>
      </c>
      <c r="R1352" t="s">
        <v>98</v>
      </c>
      <c r="S1352" t="s">
        <v>54</v>
      </c>
      <c r="T1352" t="s">
        <v>2675</v>
      </c>
      <c r="U1352" t="s">
        <v>34</v>
      </c>
      <c r="V1352">
        <v>3500</v>
      </c>
    </row>
    <row r="1353" spans="1:22" x14ac:dyDescent="0.3">
      <c r="A1353" t="s">
        <v>2676</v>
      </c>
      <c r="B1353" s="2">
        <v>46258</v>
      </c>
      <c r="C1353" t="s">
        <v>351</v>
      </c>
      <c r="D1353" t="s">
        <v>24</v>
      </c>
      <c r="E1353" t="s">
        <v>25</v>
      </c>
      <c r="F1353">
        <v>5</v>
      </c>
      <c r="G1353">
        <v>0.1</v>
      </c>
      <c r="H1353">
        <v>63000</v>
      </c>
      <c r="I1353">
        <v>-35871.89</v>
      </c>
      <c r="J1353" t="s">
        <v>39</v>
      </c>
      <c r="K1353" t="s">
        <v>434</v>
      </c>
      <c r="L1353">
        <v>12600</v>
      </c>
      <c r="M1353">
        <v>-56.939507936507937</v>
      </c>
      <c r="N1353" t="s">
        <v>81</v>
      </c>
      <c r="O1353" t="s">
        <v>352</v>
      </c>
      <c r="P1353" t="s">
        <v>73</v>
      </c>
      <c r="Q1353" t="s">
        <v>30</v>
      </c>
      <c r="R1353" t="s">
        <v>31</v>
      </c>
      <c r="S1353" t="s">
        <v>32</v>
      </c>
      <c r="T1353" t="s">
        <v>338</v>
      </c>
      <c r="U1353" t="s">
        <v>100</v>
      </c>
      <c r="V1353">
        <v>-7174.3779999999997</v>
      </c>
    </row>
    <row r="1354" spans="1:22" x14ac:dyDescent="0.3">
      <c r="A1354" t="s">
        <v>2677</v>
      </c>
      <c r="B1354" s="2">
        <v>46144</v>
      </c>
      <c r="C1354" t="s">
        <v>2678</v>
      </c>
      <c r="D1354" t="s">
        <v>70</v>
      </c>
      <c r="E1354" t="s">
        <v>129</v>
      </c>
      <c r="F1354">
        <v>5</v>
      </c>
      <c r="G1354">
        <v>0.2</v>
      </c>
      <c r="H1354">
        <v>220000</v>
      </c>
      <c r="I1354">
        <v>14484.29</v>
      </c>
      <c r="J1354" t="s">
        <v>39</v>
      </c>
      <c r="K1354" t="s">
        <v>27</v>
      </c>
      <c r="L1354">
        <v>44000</v>
      </c>
      <c r="M1354">
        <v>6.5837681818181819</v>
      </c>
      <c r="N1354" t="s">
        <v>8</v>
      </c>
      <c r="O1354" t="s">
        <v>510</v>
      </c>
      <c r="P1354" t="s">
        <v>29</v>
      </c>
      <c r="Q1354" t="s">
        <v>42</v>
      </c>
      <c r="R1354" t="s">
        <v>43</v>
      </c>
      <c r="S1354" t="s">
        <v>44</v>
      </c>
      <c r="T1354" t="s">
        <v>2679</v>
      </c>
      <c r="U1354" t="s">
        <v>46</v>
      </c>
      <c r="V1354">
        <v>2896.8580000000002</v>
      </c>
    </row>
    <row r="1355" spans="1:22" x14ac:dyDescent="0.3">
      <c r="A1355" t="s">
        <v>2680</v>
      </c>
      <c r="B1355" s="2">
        <v>46114</v>
      </c>
      <c r="C1355" t="s">
        <v>2681</v>
      </c>
      <c r="D1355" t="s">
        <v>70</v>
      </c>
      <c r="E1355" t="s">
        <v>165</v>
      </c>
      <c r="F1355">
        <v>3</v>
      </c>
      <c r="G1355">
        <v>0.1</v>
      </c>
      <c r="H1355">
        <v>6750</v>
      </c>
      <c r="I1355">
        <v>1804.43</v>
      </c>
      <c r="J1355" t="s">
        <v>65</v>
      </c>
      <c r="K1355" t="s">
        <v>40</v>
      </c>
      <c r="L1355">
        <v>2250</v>
      </c>
      <c r="M1355">
        <v>26.732296296296301</v>
      </c>
      <c r="N1355" t="s">
        <v>8</v>
      </c>
      <c r="O1355" t="s">
        <v>2636</v>
      </c>
      <c r="P1355" t="s">
        <v>73</v>
      </c>
      <c r="Q1355" t="s">
        <v>74</v>
      </c>
      <c r="R1355" t="s">
        <v>75</v>
      </c>
      <c r="S1355" t="s">
        <v>75</v>
      </c>
      <c r="T1355" t="s">
        <v>2682</v>
      </c>
      <c r="U1355" t="s">
        <v>34</v>
      </c>
      <c r="V1355">
        <v>601.47666666666669</v>
      </c>
    </row>
    <row r="1356" spans="1:22" x14ac:dyDescent="0.3">
      <c r="A1356" t="s">
        <v>2683</v>
      </c>
      <c r="B1356" s="2">
        <v>45918</v>
      </c>
      <c r="C1356" t="s">
        <v>2684</v>
      </c>
      <c r="D1356" t="s">
        <v>24</v>
      </c>
      <c r="E1356" t="s">
        <v>25</v>
      </c>
      <c r="F1356">
        <v>1</v>
      </c>
      <c r="G1356">
        <v>0.2</v>
      </c>
      <c r="H1356">
        <v>11200</v>
      </c>
      <c r="I1356">
        <v>1356.86</v>
      </c>
      <c r="J1356" t="s">
        <v>51</v>
      </c>
      <c r="K1356" t="s">
        <v>40</v>
      </c>
      <c r="L1356">
        <v>11200</v>
      </c>
      <c r="M1356">
        <v>12.11482142857143</v>
      </c>
      <c r="N1356" t="s">
        <v>8</v>
      </c>
      <c r="O1356" t="s">
        <v>41</v>
      </c>
      <c r="P1356" t="s">
        <v>73</v>
      </c>
      <c r="Q1356" t="s">
        <v>131</v>
      </c>
      <c r="R1356" t="s">
        <v>289</v>
      </c>
      <c r="S1356" t="s">
        <v>290</v>
      </c>
      <c r="T1356" t="s">
        <v>2685</v>
      </c>
      <c r="U1356" t="s">
        <v>46</v>
      </c>
      <c r="V1356">
        <v>1356.86</v>
      </c>
    </row>
    <row r="1357" spans="1:22" x14ac:dyDescent="0.3">
      <c r="A1357" t="s">
        <v>2686</v>
      </c>
      <c r="B1357" s="2">
        <v>46014</v>
      </c>
      <c r="C1357" t="s">
        <v>2295</v>
      </c>
      <c r="D1357" t="s">
        <v>24</v>
      </c>
      <c r="E1357" t="s">
        <v>87</v>
      </c>
      <c r="F1357">
        <v>5</v>
      </c>
      <c r="G1357">
        <v>0.05</v>
      </c>
      <c r="H1357">
        <v>1662.5</v>
      </c>
      <c r="I1357">
        <v>552.46</v>
      </c>
      <c r="J1357" t="s">
        <v>51</v>
      </c>
      <c r="K1357" t="s">
        <v>40</v>
      </c>
      <c r="L1357">
        <v>332.5</v>
      </c>
      <c r="M1357">
        <v>33.230676691729329</v>
      </c>
      <c r="N1357" t="s">
        <v>8</v>
      </c>
      <c r="O1357" t="s">
        <v>2296</v>
      </c>
      <c r="P1357" t="s">
        <v>29</v>
      </c>
      <c r="Q1357" t="s">
        <v>74</v>
      </c>
      <c r="R1357" t="s">
        <v>493</v>
      </c>
      <c r="S1357" t="s">
        <v>494</v>
      </c>
      <c r="T1357" t="s">
        <v>2297</v>
      </c>
      <c r="U1357" t="s">
        <v>105</v>
      </c>
      <c r="V1357">
        <v>110.492</v>
      </c>
    </row>
    <row r="1358" spans="1:22" x14ac:dyDescent="0.3">
      <c r="A1358" t="s">
        <v>2687</v>
      </c>
      <c r="B1358" s="2">
        <v>46041</v>
      </c>
      <c r="C1358" t="s">
        <v>194</v>
      </c>
      <c r="D1358" t="s">
        <v>70</v>
      </c>
      <c r="E1358" t="s">
        <v>129</v>
      </c>
      <c r="F1358">
        <v>2</v>
      </c>
      <c r="G1358">
        <v>0</v>
      </c>
      <c r="H1358">
        <v>110000</v>
      </c>
      <c r="I1358">
        <v>18000</v>
      </c>
      <c r="J1358" t="s">
        <v>51</v>
      </c>
      <c r="K1358" t="s">
        <v>40</v>
      </c>
      <c r="L1358">
        <v>55000</v>
      </c>
      <c r="M1358">
        <v>16.36363636363636</v>
      </c>
      <c r="N1358" t="s">
        <v>8</v>
      </c>
      <c r="O1358" t="s">
        <v>195</v>
      </c>
      <c r="P1358" t="s">
        <v>73</v>
      </c>
      <c r="Q1358" t="s">
        <v>30</v>
      </c>
      <c r="R1358" t="s">
        <v>98</v>
      </c>
      <c r="S1358" t="s">
        <v>54</v>
      </c>
      <c r="T1358" t="s">
        <v>196</v>
      </c>
      <c r="U1358" t="s">
        <v>105</v>
      </c>
      <c r="V1358">
        <v>9000</v>
      </c>
    </row>
    <row r="1359" spans="1:22" x14ac:dyDescent="0.3">
      <c r="A1359" t="s">
        <v>2688</v>
      </c>
      <c r="B1359" s="2">
        <v>46058</v>
      </c>
      <c r="C1359" t="s">
        <v>525</v>
      </c>
      <c r="D1359" t="s">
        <v>70</v>
      </c>
      <c r="E1359" t="s">
        <v>108</v>
      </c>
      <c r="F1359">
        <v>2</v>
      </c>
      <c r="G1359">
        <v>0.1</v>
      </c>
      <c r="H1359">
        <v>8100</v>
      </c>
      <c r="I1359">
        <v>2500.54</v>
      </c>
      <c r="J1359" t="s">
        <v>39</v>
      </c>
      <c r="K1359" t="s">
        <v>40</v>
      </c>
      <c r="L1359">
        <v>4050</v>
      </c>
      <c r="M1359">
        <v>30.87086419753086</v>
      </c>
      <c r="N1359" t="s">
        <v>8</v>
      </c>
      <c r="O1359" t="s">
        <v>526</v>
      </c>
      <c r="P1359" t="s">
        <v>29</v>
      </c>
      <c r="Q1359" t="s">
        <v>30</v>
      </c>
      <c r="R1359" t="s">
        <v>98</v>
      </c>
      <c r="S1359" t="s">
        <v>54</v>
      </c>
      <c r="T1359" t="s">
        <v>527</v>
      </c>
      <c r="U1359" t="s">
        <v>34</v>
      </c>
      <c r="V1359">
        <v>1250.27</v>
      </c>
    </row>
    <row r="1360" spans="1:22" x14ac:dyDescent="0.3">
      <c r="A1360" t="s">
        <v>2689</v>
      </c>
      <c r="B1360" s="2">
        <v>46036</v>
      </c>
      <c r="C1360" t="s">
        <v>2690</v>
      </c>
      <c r="D1360" t="s">
        <v>37</v>
      </c>
      <c r="E1360" t="s">
        <v>310</v>
      </c>
      <c r="F1360">
        <v>5</v>
      </c>
      <c r="G1360">
        <v>0.15</v>
      </c>
      <c r="H1360">
        <v>9350</v>
      </c>
      <c r="I1360">
        <v>-3938.89</v>
      </c>
      <c r="J1360" t="s">
        <v>51</v>
      </c>
      <c r="K1360" t="s">
        <v>434</v>
      </c>
      <c r="L1360">
        <v>1870</v>
      </c>
      <c r="M1360">
        <v>-42.127165775401068</v>
      </c>
      <c r="N1360" t="s">
        <v>81</v>
      </c>
      <c r="O1360" t="s">
        <v>1169</v>
      </c>
      <c r="P1360" t="s">
        <v>83</v>
      </c>
      <c r="Q1360" t="s">
        <v>42</v>
      </c>
      <c r="R1360" t="s">
        <v>121</v>
      </c>
      <c r="S1360" t="s">
        <v>44</v>
      </c>
      <c r="T1360" t="s">
        <v>2691</v>
      </c>
      <c r="U1360" t="s">
        <v>46</v>
      </c>
      <c r="V1360">
        <v>-787.77800000000002</v>
      </c>
    </row>
    <row r="1361" spans="1:22" x14ac:dyDescent="0.3">
      <c r="A1361" t="s">
        <v>2692</v>
      </c>
      <c r="B1361" s="2">
        <v>46023</v>
      </c>
      <c r="C1361" t="s">
        <v>1460</v>
      </c>
      <c r="D1361" t="s">
        <v>37</v>
      </c>
      <c r="E1361" t="s">
        <v>310</v>
      </c>
      <c r="F1361">
        <v>2</v>
      </c>
      <c r="G1361">
        <v>0.1</v>
      </c>
      <c r="H1361">
        <v>3960</v>
      </c>
      <c r="I1361">
        <v>1136.8499999999999</v>
      </c>
      <c r="J1361" t="s">
        <v>39</v>
      </c>
      <c r="K1361" t="s">
        <v>40</v>
      </c>
      <c r="L1361">
        <v>1980</v>
      </c>
      <c r="M1361">
        <v>28.708333333333329</v>
      </c>
      <c r="N1361" t="s">
        <v>8</v>
      </c>
      <c r="O1361" t="s">
        <v>1461</v>
      </c>
      <c r="P1361" t="s">
        <v>29</v>
      </c>
      <c r="Q1361" t="s">
        <v>42</v>
      </c>
      <c r="R1361" t="s">
        <v>110</v>
      </c>
      <c r="S1361" t="s">
        <v>111</v>
      </c>
      <c r="T1361" t="s">
        <v>1462</v>
      </c>
      <c r="U1361" t="s">
        <v>105</v>
      </c>
      <c r="V1361">
        <v>568.42499999999995</v>
      </c>
    </row>
    <row r="1362" spans="1:22" x14ac:dyDescent="0.3">
      <c r="A1362" t="s">
        <v>2693</v>
      </c>
      <c r="B1362" s="2">
        <v>46218</v>
      </c>
      <c r="C1362" t="s">
        <v>156</v>
      </c>
      <c r="D1362" t="s">
        <v>70</v>
      </c>
      <c r="E1362" t="s">
        <v>71</v>
      </c>
      <c r="F1362">
        <v>1</v>
      </c>
      <c r="G1362">
        <v>0.1</v>
      </c>
      <c r="H1362">
        <v>16200</v>
      </c>
      <c r="I1362">
        <v>2142.19</v>
      </c>
      <c r="J1362" t="s">
        <v>39</v>
      </c>
      <c r="K1362" t="s">
        <v>40</v>
      </c>
      <c r="L1362">
        <v>16200</v>
      </c>
      <c r="M1362">
        <v>13.2233950617284</v>
      </c>
      <c r="N1362" t="s">
        <v>8</v>
      </c>
      <c r="O1362" t="s">
        <v>157</v>
      </c>
      <c r="P1362" t="s">
        <v>83</v>
      </c>
      <c r="Q1362" t="s">
        <v>30</v>
      </c>
      <c r="R1362" t="s">
        <v>31</v>
      </c>
      <c r="S1362" t="s">
        <v>32</v>
      </c>
      <c r="T1362" t="s">
        <v>158</v>
      </c>
      <c r="U1362" t="s">
        <v>34</v>
      </c>
      <c r="V1362">
        <v>2142.19</v>
      </c>
    </row>
    <row r="1363" spans="1:22" x14ac:dyDescent="0.3">
      <c r="A1363" t="s">
        <v>2694</v>
      </c>
      <c r="B1363" s="2">
        <v>45853</v>
      </c>
      <c r="C1363" t="s">
        <v>2635</v>
      </c>
      <c r="D1363" t="s">
        <v>49</v>
      </c>
      <c r="E1363" t="s">
        <v>119</v>
      </c>
      <c r="F1363">
        <v>1</v>
      </c>
      <c r="G1363">
        <v>0.05</v>
      </c>
      <c r="H1363">
        <v>8550</v>
      </c>
      <c r="I1363">
        <v>1920.67</v>
      </c>
      <c r="J1363" t="s">
        <v>65</v>
      </c>
      <c r="K1363" t="s">
        <v>40</v>
      </c>
      <c r="L1363">
        <v>8550</v>
      </c>
      <c r="M1363">
        <v>22.463976608187139</v>
      </c>
      <c r="N1363" t="s">
        <v>8</v>
      </c>
      <c r="O1363" t="s">
        <v>2636</v>
      </c>
      <c r="P1363" t="s">
        <v>29</v>
      </c>
      <c r="Q1363" t="s">
        <v>42</v>
      </c>
      <c r="R1363" t="s">
        <v>121</v>
      </c>
      <c r="S1363" t="s">
        <v>44</v>
      </c>
      <c r="T1363" t="s">
        <v>252</v>
      </c>
      <c r="U1363" t="s">
        <v>34</v>
      </c>
      <c r="V1363">
        <v>1920.67</v>
      </c>
    </row>
    <row r="1364" spans="1:22" x14ac:dyDescent="0.3">
      <c r="A1364" t="s">
        <v>2695</v>
      </c>
      <c r="B1364" s="2">
        <v>45902</v>
      </c>
      <c r="C1364" t="s">
        <v>621</v>
      </c>
      <c r="D1364" t="s">
        <v>37</v>
      </c>
      <c r="E1364" t="s">
        <v>38</v>
      </c>
      <c r="F1364">
        <v>3</v>
      </c>
      <c r="G1364">
        <v>0</v>
      </c>
      <c r="H1364">
        <v>5400</v>
      </c>
      <c r="I1364">
        <v>1950</v>
      </c>
      <c r="J1364" t="s">
        <v>65</v>
      </c>
      <c r="K1364" t="s">
        <v>40</v>
      </c>
      <c r="L1364">
        <v>1800</v>
      </c>
      <c r="M1364">
        <v>36.111111111111107</v>
      </c>
      <c r="N1364" t="s">
        <v>8</v>
      </c>
      <c r="O1364" t="s">
        <v>622</v>
      </c>
      <c r="P1364" t="s">
        <v>29</v>
      </c>
      <c r="Q1364" t="s">
        <v>74</v>
      </c>
      <c r="R1364" t="s">
        <v>115</v>
      </c>
      <c r="S1364" t="s">
        <v>115</v>
      </c>
      <c r="T1364" t="s">
        <v>623</v>
      </c>
      <c r="U1364" t="s">
        <v>100</v>
      </c>
      <c r="V1364">
        <v>650</v>
      </c>
    </row>
    <row r="1365" spans="1:22" x14ac:dyDescent="0.3">
      <c r="A1365" t="s">
        <v>2696</v>
      </c>
      <c r="B1365" s="2">
        <v>46151</v>
      </c>
      <c r="C1365" t="s">
        <v>1371</v>
      </c>
      <c r="D1365" t="s">
        <v>49</v>
      </c>
      <c r="E1365" t="s">
        <v>50</v>
      </c>
      <c r="F1365">
        <v>6</v>
      </c>
      <c r="G1365">
        <v>0</v>
      </c>
      <c r="H1365">
        <v>78000</v>
      </c>
      <c r="I1365">
        <v>19200</v>
      </c>
      <c r="J1365" t="s">
        <v>26</v>
      </c>
      <c r="K1365" t="s">
        <v>27</v>
      </c>
      <c r="L1365">
        <v>13000</v>
      </c>
      <c r="M1365">
        <v>24.61538461538462</v>
      </c>
      <c r="N1365" t="s">
        <v>8</v>
      </c>
      <c r="O1365" t="s">
        <v>641</v>
      </c>
      <c r="P1365" t="s">
        <v>29</v>
      </c>
      <c r="Q1365" t="s">
        <v>131</v>
      </c>
      <c r="R1365" t="s">
        <v>200</v>
      </c>
      <c r="S1365" t="s">
        <v>201</v>
      </c>
      <c r="T1365" t="s">
        <v>1372</v>
      </c>
      <c r="U1365" t="s">
        <v>100</v>
      </c>
      <c r="V1365">
        <v>3200</v>
      </c>
    </row>
    <row r="1366" spans="1:22" x14ac:dyDescent="0.3">
      <c r="A1366" t="s">
        <v>2697</v>
      </c>
      <c r="B1366" s="2">
        <v>46024</v>
      </c>
      <c r="C1366" t="s">
        <v>186</v>
      </c>
      <c r="D1366" t="s">
        <v>70</v>
      </c>
      <c r="E1366" t="s">
        <v>129</v>
      </c>
      <c r="F1366">
        <v>5</v>
      </c>
      <c r="G1366">
        <v>0.1</v>
      </c>
      <c r="H1366">
        <v>247500</v>
      </c>
      <c r="I1366">
        <v>29677.13</v>
      </c>
      <c r="J1366" t="s">
        <v>65</v>
      </c>
      <c r="K1366" t="s">
        <v>40</v>
      </c>
      <c r="L1366">
        <v>49500</v>
      </c>
      <c r="M1366">
        <v>11.990759595959601</v>
      </c>
      <c r="N1366" t="s">
        <v>8</v>
      </c>
      <c r="O1366" t="s">
        <v>187</v>
      </c>
      <c r="P1366" t="s">
        <v>83</v>
      </c>
      <c r="Q1366" t="s">
        <v>42</v>
      </c>
      <c r="R1366" t="s">
        <v>43</v>
      </c>
      <c r="S1366" t="s">
        <v>44</v>
      </c>
      <c r="T1366" t="s">
        <v>122</v>
      </c>
      <c r="U1366" t="s">
        <v>34</v>
      </c>
      <c r="V1366">
        <v>5935.4260000000004</v>
      </c>
    </row>
    <row r="1367" spans="1:22" x14ac:dyDescent="0.3">
      <c r="A1367" t="s">
        <v>2698</v>
      </c>
      <c r="B1367" s="2">
        <v>45941</v>
      </c>
      <c r="C1367" t="s">
        <v>2311</v>
      </c>
      <c r="D1367" t="s">
        <v>70</v>
      </c>
      <c r="E1367" t="s">
        <v>165</v>
      </c>
      <c r="F1367">
        <v>1</v>
      </c>
      <c r="G1367">
        <v>0.05</v>
      </c>
      <c r="H1367">
        <v>2375</v>
      </c>
      <c r="I1367">
        <v>702.98</v>
      </c>
      <c r="J1367" t="s">
        <v>39</v>
      </c>
      <c r="K1367" t="s">
        <v>40</v>
      </c>
      <c r="L1367">
        <v>2375</v>
      </c>
      <c r="M1367">
        <v>29.599157894736841</v>
      </c>
      <c r="N1367" t="s">
        <v>8</v>
      </c>
      <c r="O1367" t="s">
        <v>2312</v>
      </c>
      <c r="P1367" t="s">
        <v>73</v>
      </c>
      <c r="Q1367" t="s">
        <v>131</v>
      </c>
      <c r="R1367" t="s">
        <v>132</v>
      </c>
      <c r="S1367" t="s">
        <v>133</v>
      </c>
      <c r="T1367" t="s">
        <v>2313</v>
      </c>
      <c r="U1367" t="s">
        <v>46</v>
      </c>
      <c r="V1367">
        <v>702.98</v>
      </c>
    </row>
    <row r="1368" spans="1:22" x14ac:dyDescent="0.3">
      <c r="A1368" t="s">
        <v>2699</v>
      </c>
      <c r="B1368" s="2">
        <v>46154</v>
      </c>
      <c r="C1368" t="s">
        <v>189</v>
      </c>
      <c r="D1368" t="s">
        <v>37</v>
      </c>
      <c r="E1368" t="s">
        <v>38</v>
      </c>
      <c r="F1368">
        <v>10</v>
      </c>
      <c r="G1368">
        <v>0.05</v>
      </c>
      <c r="H1368">
        <v>17100</v>
      </c>
      <c r="I1368">
        <v>5967.66</v>
      </c>
      <c r="J1368" t="s">
        <v>26</v>
      </c>
      <c r="K1368" t="s">
        <v>27</v>
      </c>
      <c r="L1368">
        <v>1710</v>
      </c>
      <c r="M1368">
        <v>34.898596491228069</v>
      </c>
      <c r="N1368" t="s">
        <v>8</v>
      </c>
      <c r="O1368" t="s">
        <v>191</v>
      </c>
      <c r="P1368" t="s">
        <v>29</v>
      </c>
      <c r="Q1368" t="s">
        <v>30</v>
      </c>
      <c r="R1368" t="s">
        <v>31</v>
      </c>
      <c r="S1368" t="s">
        <v>32</v>
      </c>
      <c r="T1368" t="s">
        <v>192</v>
      </c>
      <c r="U1368" t="s">
        <v>34</v>
      </c>
      <c r="V1368">
        <v>596.76599999999996</v>
      </c>
    </row>
    <row r="1369" spans="1:22" x14ac:dyDescent="0.3">
      <c r="A1369" t="s">
        <v>2700</v>
      </c>
      <c r="B1369" s="2">
        <v>46143</v>
      </c>
      <c r="C1369" t="s">
        <v>1262</v>
      </c>
      <c r="D1369" t="s">
        <v>49</v>
      </c>
      <c r="E1369" t="s">
        <v>58</v>
      </c>
      <c r="F1369">
        <v>1</v>
      </c>
      <c r="G1369">
        <v>0.2</v>
      </c>
      <c r="H1369">
        <v>12000</v>
      </c>
      <c r="I1369">
        <v>-2079.9499999999998</v>
      </c>
      <c r="J1369" t="s">
        <v>65</v>
      </c>
      <c r="K1369" t="s">
        <v>434</v>
      </c>
      <c r="L1369">
        <v>12000</v>
      </c>
      <c r="M1369">
        <v>-17.332916666666669</v>
      </c>
      <c r="N1369" t="s">
        <v>81</v>
      </c>
      <c r="O1369" t="s">
        <v>1263</v>
      </c>
      <c r="P1369" t="s">
        <v>83</v>
      </c>
      <c r="Q1369" t="s">
        <v>30</v>
      </c>
      <c r="R1369" t="s">
        <v>53</v>
      </c>
      <c r="S1369" t="s">
        <v>54</v>
      </c>
      <c r="T1369" t="s">
        <v>1264</v>
      </c>
      <c r="U1369" t="s">
        <v>46</v>
      </c>
      <c r="V1369">
        <v>-2079.9499999999998</v>
      </c>
    </row>
    <row r="1370" spans="1:22" x14ac:dyDescent="0.3">
      <c r="A1370" t="s">
        <v>2701</v>
      </c>
      <c r="B1370" s="2">
        <v>45978</v>
      </c>
      <c r="C1370" t="s">
        <v>878</v>
      </c>
      <c r="D1370" t="s">
        <v>37</v>
      </c>
      <c r="E1370" t="s">
        <v>310</v>
      </c>
      <c r="F1370">
        <v>1</v>
      </c>
      <c r="G1370">
        <v>0.1</v>
      </c>
      <c r="H1370">
        <v>1980</v>
      </c>
      <c r="I1370">
        <v>-112.18</v>
      </c>
      <c r="J1370" t="s">
        <v>65</v>
      </c>
      <c r="K1370" t="s">
        <v>80</v>
      </c>
      <c r="L1370">
        <v>1980</v>
      </c>
      <c r="M1370">
        <v>-5.6656565656565663</v>
      </c>
      <c r="N1370" t="s">
        <v>81</v>
      </c>
      <c r="O1370" t="s">
        <v>879</v>
      </c>
      <c r="P1370" t="s">
        <v>83</v>
      </c>
      <c r="Q1370" t="s">
        <v>30</v>
      </c>
      <c r="R1370" t="s">
        <v>98</v>
      </c>
      <c r="S1370" t="s">
        <v>54</v>
      </c>
      <c r="T1370" t="s">
        <v>880</v>
      </c>
      <c r="U1370" t="s">
        <v>46</v>
      </c>
      <c r="V1370">
        <v>-112.18</v>
      </c>
    </row>
    <row r="1371" spans="1:22" x14ac:dyDescent="0.3">
      <c r="A1371" t="s">
        <v>2702</v>
      </c>
      <c r="B1371" s="2">
        <v>45999</v>
      </c>
      <c r="C1371" t="s">
        <v>2257</v>
      </c>
      <c r="D1371" t="s">
        <v>24</v>
      </c>
      <c r="E1371" t="s">
        <v>87</v>
      </c>
      <c r="F1371">
        <v>2</v>
      </c>
      <c r="G1371">
        <v>0.15</v>
      </c>
      <c r="H1371">
        <v>595</v>
      </c>
      <c r="I1371">
        <v>153.85</v>
      </c>
      <c r="J1371" t="s">
        <v>51</v>
      </c>
      <c r="K1371" t="s">
        <v>40</v>
      </c>
      <c r="L1371">
        <v>297.5</v>
      </c>
      <c r="M1371">
        <v>25.857142857142861</v>
      </c>
      <c r="N1371" t="s">
        <v>8</v>
      </c>
      <c r="O1371" t="s">
        <v>626</v>
      </c>
      <c r="P1371" t="s">
        <v>29</v>
      </c>
      <c r="Q1371" t="s">
        <v>42</v>
      </c>
      <c r="R1371" t="s">
        <v>110</v>
      </c>
      <c r="S1371" t="s">
        <v>111</v>
      </c>
      <c r="T1371" t="s">
        <v>2258</v>
      </c>
      <c r="U1371" t="s">
        <v>46</v>
      </c>
      <c r="V1371">
        <v>76.924999999999997</v>
      </c>
    </row>
    <row r="1372" spans="1:22" x14ac:dyDescent="0.3">
      <c r="A1372" t="s">
        <v>2703</v>
      </c>
      <c r="B1372" s="2">
        <v>46002</v>
      </c>
      <c r="C1372" t="s">
        <v>1519</v>
      </c>
      <c r="D1372" t="s">
        <v>49</v>
      </c>
      <c r="E1372" t="s">
        <v>119</v>
      </c>
      <c r="F1372">
        <v>5</v>
      </c>
      <c r="G1372">
        <v>0.05</v>
      </c>
      <c r="H1372">
        <v>42750</v>
      </c>
      <c r="I1372">
        <v>9946.09</v>
      </c>
      <c r="J1372" t="s">
        <v>39</v>
      </c>
      <c r="K1372" t="s">
        <v>27</v>
      </c>
      <c r="L1372">
        <v>8550</v>
      </c>
      <c r="M1372">
        <v>23.26570760233918</v>
      </c>
      <c r="N1372" t="s">
        <v>8</v>
      </c>
      <c r="O1372" t="s">
        <v>1520</v>
      </c>
      <c r="P1372" t="s">
        <v>83</v>
      </c>
      <c r="Q1372" t="s">
        <v>30</v>
      </c>
      <c r="R1372" t="s">
        <v>31</v>
      </c>
      <c r="S1372" t="s">
        <v>32</v>
      </c>
      <c r="T1372" t="s">
        <v>1521</v>
      </c>
      <c r="U1372" t="s">
        <v>105</v>
      </c>
      <c r="V1372">
        <v>1989.2180000000001</v>
      </c>
    </row>
    <row r="1373" spans="1:22" x14ac:dyDescent="0.3">
      <c r="A1373" t="s">
        <v>2704</v>
      </c>
      <c r="B1373" s="2">
        <v>46085</v>
      </c>
      <c r="C1373" t="s">
        <v>1028</v>
      </c>
      <c r="D1373" t="s">
        <v>70</v>
      </c>
      <c r="E1373" t="s">
        <v>129</v>
      </c>
      <c r="F1373">
        <v>1</v>
      </c>
      <c r="G1373">
        <v>0.15</v>
      </c>
      <c r="H1373">
        <v>46750</v>
      </c>
      <c r="I1373">
        <v>3473.82</v>
      </c>
      <c r="J1373" t="s">
        <v>65</v>
      </c>
      <c r="K1373" t="s">
        <v>40</v>
      </c>
      <c r="L1373">
        <v>46750</v>
      </c>
      <c r="M1373">
        <v>7.4306310160427813</v>
      </c>
      <c r="N1373" t="s">
        <v>8</v>
      </c>
      <c r="O1373" t="s">
        <v>390</v>
      </c>
      <c r="P1373" t="s">
        <v>29</v>
      </c>
      <c r="Q1373" t="s">
        <v>74</v>
      </c>
      <c r="R1373" t="s">
        <v>237</v>
      </c>
      <c r="S1373" t="s">
        <v>238</v>
      </c>
      <c r="T1373" t="s">
        <v>1029</v>
      </c>
      <c r="U1373" t="s">
        <v>46</v>
      </c>
      <c r="V1373">
        <v>3473.82</v>
      </c>
    </row>
    <row r="1374" spans="1:22" x14ac:dyDescent="0.3">
      <c r="A1374" t="s">
        <v>2705</v>
      </c>
      <c r="B1374" s="2">
        <v>46249</v>
      </c>
      <c r="C1374" t="s">
        <v>866</v>
      </c>
      <c r="D1374" t="s">
        <v>24</v>
      </c>
      <c r="E1374" t="s">
        <v>242</v>
      </c>
      <c r="F1374">
        <v>1</v>
      </c>
      <c r="G1374">
        <v>0.1</v>
      </c>
      <c r="H1374">
        <v>405</v>
      </c>
      <c r="I1374">
        <v>82.7</v>
      </c>
      <c r="J1374" t="s">
        <v>26</v>
      </c>
      <c r="K1374" t="s">
        <v>40</v>
      </c>
      <c r="L1374">
        <v>405</v>
      </c>
      <c r="M1374">
        <v>20.41975308641975</v>
      </c>
      <c r="N1374" t="s">
        <v>8</v>
      </c>
      <c r="O1374" t="s">
        <v>247</v>
      </c>
      <c r="P1374" t="s">
        <v>73</v>
      </c>
      <c r="Q1374" t="s">
        <v>30</v>
      </c>
      <c r="R1374" t="s">
        <v>98</v>
      </c>
      <c r="S1374" t="s">
        <v>54</v>
      </c>
      <c r="T1374" t="s">
        <v>319</v>
      </c>
      <c r="U1374" t="s">
        <v>34</v>
      </c>
      <c r="V1374">
        <v>82.7</v>
      </c>
    </row>
    <row r="1375" spans="1:22" x14ac:dyDescent="0.3">
      <c r="A1375" t="s">
        <v>2706</v>
      </c>
      <c r="B1375" s="2">
        <v>45905</v>
      </c>
      <c r="C1375" t="s">
        <v>1196</v>
      </c>
      <c r="D1375" t="s">
        <v>24</v>
      </c>
      <c r="E1375" t="s">
        <v>242</v>
      </c>
      <c r="F1375">
        <v>1</v>
      </c>
      <c r="G1375">
        <v>0.15</v>
      </c>
      <c r="H1375">
        <v>382.5</v>
      </c>
      <c r="I1375">
        <v>66</v>
      </c>
      <c r="J1375" t="s">
        <v>65</v>
      </c>
      <c r="K1375" t="s">
        <v>40</v>
      </c>
      <c r="L1375">
        <v>382.5</v>
      </c>
      <c r="M1375">
        <v>17.254901960784309</v>
      </c>
      <c r="N1375" t="s">
        <v>8</v>
      </c>
      <c r="O1375" t="s">
        <v>686</v>
      </c>
      <c r="P1375" t="s">
        <v>73</v>
      </c>
      <c r="Q1375" t="s">
        <v>30</v>
      </c>
      <c r="R1375" t="s">
        <v>53</v>
      </c>
      <c r="S1375" t="s">
        <v>54</v>
      </c>
      <c r="T1375" t="s">
        <v>1197</v>
      </c>
      <c r="U1375" t="s">
        <v>100</v>
      </c>
      <c r="V1375">
        <v>66</v>
      </c>
    </row>
    <row r="1376" spans="1:22" x14ac:dyDescent="0.3">
      <c r="A1376" t="s">
        <v>2707</v>
      </c>
      <c r="B1376" s="2">
        <v>45951</v>
      </c>
      <c r="C1376" t="s">
        <v>358</v>
      </c>
      <c r="D1376" t="s">
        <v>24</v>
      </c>
      <c r="E1376" t="s">
        <v>92</v>
      </c>
      <c r="F1376">
        <v>2</v>
      </c>
      <c r="G1376">
        <v>0.3</v>
      </c>
      <c r="H1376">
        <v>1260</v>
      </c>
      <c r="I1376">
        <v>263.86</v>
      </c>
      <c r="J1376" t="s">
        <v>51</v>
      </c>
      <c r="K1376" t="s">
        <v>40</v>
      </c>
      <c r="L1376">
        <v>630</v>
      </c>
      <c r="M1376">
        <v>20.94126984126984</v>
      </c>
      <c r="N1376" t="s">
        <v>8</v>
      </c>
      <c r="O1376" t="s">
        <v>359</v>
      </c>
      <c r="P1376" t="s">
        <v>83</v>
      </c>
      <c r="Q1376" t="s">
        <v>42</v>
      </c>
      <c r="R1376" t="s">
        <v>214</v>
      </c>
      <c r="S1376" t="s">
        <v>111</v>
      </c>
      <c r="T1376" t="s">
        <v>256</v>
      </c>
      <c r="U1376" t="s">
        <v>46</v>
      </c>
      <c r="V1376">
        <v>131.93</v>
      </c>
    </row>
    <row r="1377" spans="1:22" x14ac:dyDescent="0.3">
      <c r="A1377" t="s">
        <v>2708</v>
      </c>
      <c r="B1377" s="2">
        <v>45907</v>
      </c>
      <c r="C1377" t="s">
        <v>2511</v>
      </c>
      <c r="D1377" t="s">
        <v>49</v>
      </c>
      <c r="E1377" t="s">
        <v>119</v>
      </c>
      <c r="F1377">
        <v>1</v>
      </c>
      <c r="G1377">
        <v>0.05</v>
      </c>
      <c r="H1377">
        <v>8550</v>
      </c>
      <c r="I1377">
        <v>2007.98</v>
      </c>
      <c r="J1377" t="s">
        <v>65</v>
      </c>
      <c r="K1377" t="s">
        <v>40</v>
      </c>
      <c r="L1377">
        <v>8550</v>
      </c>
      <c r="M1377">
        <v>23.48514619883041</v>
      </c>
      <c r="N1377" t="s">
        <v>8</v>
      </c>
      <c r="O1377" t="s">
        <v>1695</v>
      </c>
      <c r="P1377" t="s">
        <v>83</v>
      </c>
      <c r="Q1377" t="s">
        <v>30</v>
      </c>
      <c r="R1377" t="s">
        <v>98</v>
      </c>
      <c r="S1377" t="s">
        <v>54</v>
      </c>
      <c r="T1377" t="s">
        <v>2512</v>
      </c>
      <c r="U1377" t="s">
        <v>46</v>
      </c>
      <c r="V1377">
        <v>2007.98</v>
      </c>
    </row>
    <row r="1378" spans="1:22" x14ac:dyDescent="0.3">
      <c r="A1378" t="s">
        <v>2709</v>
      </c>
      <c r="B1378" s="2">
        <v>46042</v>
      </c>
      <c r="C1378" t="s">
        <v>678</v>
      </c>
      <c r="D1378" t="s">
        <v>49</v>
      </c>
      <c r="E1378" t="s">
        <v>119</v>
      </c>
      <c r="F1378">
        <v>2</v>
      </c>
      <c r="G1378">
        <v>0.05</v>
      </c>
      <c r="H1378">
        <v>17100</v>
      </c>
      <c r="I1378">
        <v>4177.2299999999996</v>
      </c>
      <c r="J1378" t="s">
        <v>51</v>
      </c>
      <c r="K1378" t="s">
        <v>40</v>
      </c>
      <c r="L1378">
        <v>8550</v>
      </c>
      <c r="M1378">
        <v>24.428245614035081</v>
      </c>
      <c r="N1378" t="s">
        <v>8</v>
      </c>
      <c r="O1378" t="s">
        <v>657</v>
      </c>
      <c r="P1378" t="s">
        <v>83</v>
      </c>
      <c r="Q1378" t="s">
        <v>30</v>
      </c>
      <c r="R1378" t="s">
        <v>31</v>
      </c>
      <c r="S1378" t="s">
        <v>32</v>
      </c>
      <c r="T1378" t="s">
        <v>679</v>
      </c>
      <c r="U1378" t="s">
        <v>100</v>
      </c>
      <c r="V1378">
        <v>2088.6149999999998</v>
      </c>
    </row>
    <row r="1379" spans="1:22" x14ac:dyDescent="0.3">
      <c r="A1379" t="s">
        <v>2710</v>
      </c>
      <c r="B1379" s="2">
        <v>45952</v>
      </c>
      <c r="C1379" t="s">
        <v>2089</v>
      </c>
      <c r="D1379" t="s">
        <v>70</v>
      </c>
      <c r="E1379" t="s">
        <v>108</v>
      </c>
      <c r="F1379">
        <v>2</v>
      </c>
      <c r="G1379">
        <v>0.1</v>
      </c>
      <c r="H1379">
        <v>8100</v>
      </c>
      <c r="I1379">
        <v>2551</v>
      </c>
      <c r="J1379" t="s">
        <v>65</v>
      </c>
      <c r="K1379" t="s">
        <v>40</v>
      </c>
      <c r="L1379">
        <v>4050</v>
      </c>
      <c r="M1379">
        <v>31.493827160493829</v>
      </c>
      <c r="N1379" t="s">
        <v>8</v>
      </c>
      <c r="O1379" t="s">
        <v>518</v>
      </c>
      <c r="P1379" t="s">
        <v>29</v>
      </c>
      <c r="Q1379" t="s">
        <v>42</v>
      </c>
      <c r="R1379" t="s">
        <v>214</v>
      </c>
      <c r="S1379" t="s">
        <v>111</v>
      </c>
      <c r="T1379" t="s">
        <v>2090</v>
      </c>
      <c r="U1379" t="s">
        <v>34</v>
      </c>
      <c r="V1379">
        <v>1275.5</v>
      </c>
    </row>
    <row r="1380" spans="1:22" x14ac:dyDescent="0.3">
      <c r="A1380" t="s">
        <v>2711</v>
      </c>
      <c r="B1380" s="2">
        <v>45858</v>
      </c>
      <c r="C1380" t="s">
        <v>2673</v>
      </c>
      <c r="D1380" t="s">
        <v>24</v>
      </c>
      <c r="E1380" t="s">
        <v>87</v>
      </c>
      <c r="F1380">
        <v>2</v>
      </c>
      <c r="G1380">
        <v>0.05</v>
      </c>
      <c r="H1380">
        <v>665</v>
      </c>
      <c r="I1380">
        <v>211.12</v>
      </c>
      <c r="J1380" t="s">
        <v>39</v>
      </c>
      <c r="K1380" t="s">
        <v>40</v>
      </c>
      <c r="L1380">
        <v>332.5</v>
      </c>
      <c r="M1380">
        <v>31.747368421052631</v>
      </c>
      <c r="N1380" t="s">
        <v>8</v>
      </c>
      <c r="O1380" t="s">
        <v>2674</v>
      </c>
      <c r="P1380" t="s">
        <v>73</v>
      </c>
      <c r="Q1380" t="s">
        <v>30</v>
      </c>
      <c r="R1380" t="s">
        <v>98</v>
      </c>
      <c r="S1380" t="s">
        <v>54</v>
      </c>
      <c r="T1380" t="s">
        <v>2675</v>
      </c>
      <c r="U1380" t="s">
        <v>34</v>
      </c>
      <c r="V1380">
        <v>105.56</v>
      </c>
    </row>
    <row r="1381" spans="1:22" x14ac:dyDescent="0.3">
      <c r="A1381" t="s">
        <v>2712</v>
      </c>
      <c r="B1381" s="2">
        <v>46219</v>
      </c>
      <c r="C1381" t="s">
        <v>48</v>
      </c>
      <c r="D1381" t="s">
        <v>24</v>
      </c>
      <c r="E1381" t="s">
        <v>87</v>
      </c>
      <c r="F1381">
        <v>5</v>
      </c>
      <c r="G1381">
        <v>0.1</v>
      </c>
      <c r="H1381">
        <v>1575</v>
      </c>
      <c r="I1381">
        <v>-710.46</v>
      </c>
      <c r="J1381" t="s">
        <v>51</v>
      </c>
      <c r="K1381" t="s">
        <v>80</v>
      </c>
      <c r="L1381">
        <v>315</v>
      </c>
      <c r="M1381">
        <v>-45.10857142857143</v>
      </c>
      <c r="N1381" t="s">
        <v>81</v>
      </c>
      <c r="O1381" t="s">
        <v>52</v>
      </c>
      <c r="P1381" t="s">
        <v>29</v>
      </c>
      <c r="Q1381" t="s">
        <v>30</v>
      </c>
      <c r="R1381" t="s">
        <v>53</v>
      </c>
      <c r="S1381" t="s">
        <v>54</v>
      </c>
      <c r="T1381" t="s">
        <v>55</v>
      </c>
      <c r="U1381" t="s">
        <v>34</v>
      </c>
      <c r="V1381">
        <v>-142.09200000000001</v>
      </c>
    </row>
    <row r="1382" spans="1:22" x14ac:dyDescent="0.3">
      <c r="A1382" t="s">
        <v>2713</v>
      </c>
      <c r="B1382" s="2">
        <v>46034</v>
      </c>
      <c r="C1382" t="s">
        <v>1148</v>
      </c>
      <c r="D1382" t="s">
        <v>70</v>
      </c>
      <c r="E1382" t="s">
        <v>71</v>
      </c>
      <c r="F1382">
        <v>2</v>
      </c>
      <c r="G1382">
        <v>0</v>
      </c>
      <c r="H1382">
        <v>36000</v>
      </c>
      <c r="I1382">
        <v>7000</v>
      </c>
      <c r="J1382" t="s">
        <v>39</v>
      </c>
      <c r="K1382" t="s">
        <v>40</v>
      </c>
      <c r="L1382">
        <v>18000</v>
      </c>
      <c r="M1382">
        <v>19.44444444444445</v>
      </c>
      <c r="N1382" t="s">
        <v>8</v>
      </c>
      <c r="O1382" t="s">
        <v>302</v>
      </c>
      <c r="P1382" t="s">
        <v>73</v>
      </c>
      <c r="Q1382" t="s">
        <v>42</v>
      </c>
      <c r="R1382" t="s">
        <v>214</v>
      </c>
      <c r="S1382" t="s">
        <v>111</v>
      </c>
      <c r="T1382" t="s">
        <v>1149</v>
      </c>
      <c r="U1382" t="s">
        <v>34</v>
      </c>
      <c r="V1382">
        <v>3500</v>
      </c>
    </row>
    <row r="1383" spans="1:22" x14ac:dyDescent="0.3">
      <c r="A1383" t="s">
        <v>2714</v>
      </c>
      <c r="B1383" s="2">
        <v>45843</v>
      </c>
      <c r="C1383" t="s">
        <v>807</v>
      </c>
      <c r="D1383" t="s">
        <v>70</v>
      </c>
      <c r="E1383" t="s">
        <v>108</v>
      </c>
      <c r="F1383">
        <v>1</v>
      </c>
      <c r="G1383">
        <v>0.1</v>
      </c>
      <c r="H1383">
        <v>4050</v>
      </c>
      <c r="I1383">
        <v>-1076.29</v>
      </c>
      <c r="J1383" t="s">
        <v>39</v>
      </c>
      <c r="K1383" t="s">
        <v>434</v>
      </c>
      <c r="L1383">
        <v>4050</v>
      </c>
      <c r="M1383">
        <v>-26.57506172839506</v>
      </c>
      <c r="N1383" t="s">
        <v>81</v>
      </c>
      <c r="O1383" t="s">
        <v>545</v>
      </c>
      <c r="P1383" t="s">
        <v>73</v>
      </c>
      <c r="Q1383" t="s">
        <v>30</v>
      </c>
      <c r="R1383" t="s">
        <v>31</v>
      </c>
      <c r="S1383" t="s">
        <v>32</v>
      </c>
      <c r="T1383" t="s">
        <v>808</v>
      </c>
      <c r="U1383" t="s">
        <v>105</v>
      </c>
      <c r="V1383">
        <v>-1076.29</v>
      </c>
    </row>
    <row r="1384" spans="1:22" x14ac:dyDescent="0.3">
      <c r="A1384" t="s">
        <v>2715</v>
      </c>
      <c r="B1384" s="2">
        <v>46258</v>
      </c>
      <c r="C1384" t="s">
        <v>1224</v>
      </c>
      <c r="D1384" t="s">
        <v>37</v>
      </c>
      <c r="E1384" t="s">
        <v>170</v>
      </c>
      <c r="F1384">
        <v>1</v>
      </c>
      <c r="G1384">
        <v>0.1</v>
      </c>
      <c r="H1384">
        <v>1260</v>
      </c>
      <c r="I1384">
        <v>433.61</v>
      </c>
      <c r="J1384" t="s">
        <v>26</v>
      </c>
      <c r="K1384" t="s">
        <v>40</v>
      </c>
      <c r="L1384">
        <v>1260</v>
      </c>
      <c r="M1384">
        <v>34.413492063492058</v>
      </c>
      <c r="N1384" t="s">
        <v>8</v>
      </c>
      <c r="O1384" t="s">
        <v>1225</v>
      </c>
      <c r="P1384" t="s">
        <v>29</v>
      </c>
      <c r="Q1384" t="s">
        <v>74</v>
      </c>
      <c r="R1384" t="s">
        <v>75</v>
      </c>
      <c r="S1384" t="s">
        <v>75</v>
      </c>
      <c r="T1384" t="s">
        <v>342</v>
      </c>
      <c r="U1384" t="s">
        <v>34</v>
      </c>
      <c r="V1384">
        <v>433.61</v>
      </c>
    </row>
    <row r="1385" spans="1:22" x14ac:dyDescent="0.3">
      <c r="A1385" t="s">
        <v>2716</v>
      </c>
      <c r="B1385" s="2">
        <v>46262</v>
      </c>
      <c r="C1385" t="s">
        <v>225</v>
      </c>
      <c r="D1385" t="s">
        <v>70</v>
      </c>
      <c r="E1385" t="s">
        <v>129</v>
      </c>
      <c r="F1385">
        <v>3</v>
      </c>
      <c r="G1385">
        <v>0.1</v>
      </c>
      <c r="H1385">
        <v>148500</v>
      </c>
      <c r="I1385">
        <v>17401.22</v>
      </c>
      <c r="J1385" t="s">
        <v>39</v>
      </c>
      <c r="K1385" t="s">
        <v>40</v>
      </c>
      <c r="L1385">
        <v>49500</v>
      </c>
      <c r="M1385">
        <v>11.71799326599327</v>
      </c>
      <c r="N1385" t="s">
        <v>8</v>
      </c>
      <c r="O1385" t="s">
        <v>226</v>
      </c>
      <c r="P1385" t="s">
        <v>29</v>
      </c>
      <c r="Q1385" t="s">
        <v>30</v>
      </c>
      <c r="R1385" t="s">
        <v>31</v>
      </c>
      <c r="S1385" t="s">
        <v>32</v>
      </c>
      <c r="T1385" t="s">
        <v>227</v>
      </c>
      <c r="U1385" t="s">
        <v>100</v>
      </c>
      <c r="V1385">
        <v>5800.4066666666668</v>
      </c>
    </row>
    <row r="1386" spans="1:22" x14ac:dyDescent="0.3">
      <c r="A1386" t="s">
        <v>2717</v>
      </c>
      <c r="B1386" s="2">
        <v>46103</v>
      </c>
      <c r="C1386" t="s">
        <v>1648</v>
      </c>
      <c r="D1386" t="s">
        <v>24</v>
      </c>
      <c r="E1386" t="s">
        <v>92</v>
      </c>
      <c r="F1386">
        <v>6</v>
      </c>
      <c r="G1386">
        <v>0.05</v>
      </c>
      <c r="H1386">
        <v>5130</v>
      </c>
      <c r="I1386">
        <v>1554.52</v>
      </c>
      <c r="J1386" t="s">
        <v>26</v>
      </c>
      <c r="K1386" t="s">
        <v>40</v>
      </c>
      <c r="L1386">
        <v>855</v>
      </c>
      <c r="M1386">
        <v>30.302534113060432</v>
      </c>
      <c r="N1386" t="s">
        <v>8</v>
      </c>
      <c r="O1386" t="s">
        <v>1649</v>
      </c>
      <c r="P1386" t="s">
        <v>73</v>
      </c>
      <c r="Q1386" t="s">
        <v>30</v>
      </c>
      <c r="R1386" t="s">
        <v>98</v>
      </c>
      <c r="S1386" t="s">
        <v>54</v>
      </c>
      <c r="T1386" t="s">
        <v>1650</v>
      </c>
      <c r="U1386" t="s">
        <v>34</v>
      </c>
      <c r="V1386">
        <v>259.08666666666659</v>
      </c>
    </row>
    <row r="1387" spans="1:22" x14ac:dyDescent="0.3">
      <c r="A1387" t="s">
        <v>2718</v>
      </c>
      <c r="B1387" s="2">
        <v>46009</v>
      </c>
      <c r="C1387" t="s">
        <v>189</v>
      </c>
      <c r="D1387" t="s">
        <v>70</v>
      </c>
      <c r="E1387" t="s">
        <v>71</v>
      </c>
      <c r="F1387">
        <v>4</v>
      </c>
      <c r="G1387">
        <v>0</v>
      </c>
      <c r="H1387">
        <v>72000</v>
      </c>
      <c r="I1387">
        <v>14000</v>
      </c>
      <c r="J1387" t="s">
        <v>65</v>
      </c>
      <c r="K1387" t="s">
        <v>40</v>
      </c>
      <c r="L1387">
        <v>18000</v>
      </c>
      <c r="M1387">
        <v>19.44444444444445</v>
      </c>
      <c r="N1387" t="s">
        <v>8</v>
      </c>
      <c r="O1387" t="s">
        <v>191</v>
      </c>
      <c r="P1387" t="s">
        <v>29</v>
      </c>
      <c r="Q1387" t="s">
        <v>30</v>
      </c>
      <c r="R1387" t="s">
        <v>31</v>
      </c>
      <c r="S1387" t="s">
        <v>32</v>
      </c>
      <c r="T1387" t="s">
        <v>192</v>
      </c>
      <c r="U1387" t="s">
        <v>34</v>
      </c>
      <c r="V1387">
        <v>3500</v>
      </c>
    </row>
    <row r="1388" spans="1:22" x14ac:dyDescent="0.3">
      <c r="A1388" t="s">
        <v>2719</v>
      </c>
      <c r="B1388" s="2">
        <v>46014</v>
      </c>
      <c r="C1388" t="s">
        <v>2720</v>
      </c>
      <c r="D1388" t="s">
        <v>24</v>
      </c>
      <c r="E1388" t="s">
        <v>92</v>
      </c>
      <c r="F1388">
        <v>2</v>
      </c>
      <c r="G1388">
        <v>0.1</v>
      </c>
      <c r="H1388">
        <v>1620</v>
      </c>
      <c r="I1388">
        <v>469.31</v>
      </c>
      <c r="J1388" t="s">
        <v>39</v>
      </c>
      <c r="K1388" t="s">
        <v>40</v>
      </c>
      <c r="L1388">
        <v>810</v>
      </c>
      <c r="M1388">
        <v>28.96975308641975</v>
      </c>
      <c r="N1388" t="s">
        <v>8</v>
      </c>
      <c r="O1388" t="s">
        <v>52</v>
      </c>
      <c r="P1388" t="s">
        <v>73</v>
      </c>
      <c r="Q1388" t="s">
        <v>42</v>
      </c>
      <c r="R1388" t="s">
        <v>110</v>
      </c>
      <c r="S1388" t="s">
        <v>111</v>
      </c>
      <c r="T1388" t="s">
        <v>2721</v>
      </c>
      <c r="U1388" t="s">
        <v>46</v>
      </c>
      <c r="V1388">
        <v>234.655</v>
      </c>
    </row>
    <row r="1389" spans="1:22" x14ac:dyDescent="0.3">
      <c r="A1389" t="s">
        <v>2722</v>
      </c>
      <c r="B1389" s="2">
        <v>46176</v>
      </c>
      <c r="C1389" t="s">
        <v>2678</v>
      </c>
      <c r="D1389" t="s">
        <v>49</v>
      </c>
      <c r="E1389" t="s">
        <v>58</v>
      </c>
      <c r="F1389">
        <v>2</v>
      </c>
      <c r="G1389">
        <v>0.1</v>
      </c>
      <c r="H1389">
        <v>27000</v>
      </c>
      <c r="I1389">
        <v>5069.99</v>
      </c>
      <c r="J1389" t="s">
        <v>39</v>
      </c>
      <c r="K1389" t="s">
        <v>40</v>
      </c>
      <c r="L1389">
        <v>13500</v>
      </c>
      <c r="M1389">
        <v>18.77774074074074</v>
      </c>
      <c r="N1389" t="s">
        <v>8</v>
      </c>
      <c r="O1389" t="s">
        <v>510</v>
      </c>
      <c r="P1389" t="s">
        <v>29</v>
      </c>
      <c r="Q1389" t="s">
        <v>42</v>
      </c>
      <c r="R1389" t="s">
        <v>43</v>
      </c>
      <c r="S1389" t="s">
        <v>44</v>
      </c>
      <c r="T1389" t="s">
        <v>2679</v>
      </c>
      <c r="U1389" t="s">
        <v>46</v>
      </c>
      <c r="V1389">
        <v>2534.9949999999999</v>
      </c>
    </row>
    <row r="1390" spans="1:22" x14ac:dyDescent="0.3">
      <c r="A1390" t="s">
        <v>2723</v>
      </c>
      <c r="B1390" s="2">
        <v>46008</v>
      </c>
      <c r="C1390" t="s">
        <v>1785</v>
      </c>
      <c r="D1390" t="s">
        <v>37</v>
      </c>
      <c r="E1390" t="s">
        <v>310</v>
      </c>
      <c r="F1390">
        <v>4</v>
      </c>
      <c r="G1390">
        <v>0</v>
      </c>
      <c r="H1390">
        <v>8800</v>
      </c>
      <c r="I1390">
        <v>3000</v>
      </c>
      <c r="J1390" t="s">
        <v>51</v>
      </c>
      <c r="K1390" t="s">
        <v>40</v>
      </c>
      <c r="L1390">
        <v>2200</v>
      </c>
      <c r="M1390">
        <v>34.090909090909093</v>
      </c>
      <c r="N1390" t="s">
        <v>8</v>
      </c>
      <c r="O1390" t="s">
        <v>1786</v>
      </c>
      <c r="P1390" t="s">
        <v>83</v>
      </c>
      <c r="Q1390" t="s">
        <v>30</v>
      </c>
      <c r="R1390" t="s">
        <v>53</v>
      </c>
      <c r="S1390" t="s">
        <v>54</v>
      </c>
      <c r="T1390" t="s">
        <v>227</v>
      </c>
      <c r="U1390" t="s">
        <v>46</v>
      </c>
      <c r="V1390">
        <v>750</v>
      </c>
    </row>
    <row r="1391" spans="1:22" x14ac:dyDescent="0.3">
      <c r="A1391" t="s">
        <v>2724</v>
      </c>
      <c r="B1391" s="2">
        <v>45911</v>
      </c>
      <c r="C1391" t="s">
        <v>1694</v>
      </c>
      <c r="D1391" t="s">
        <v>70</v>
      </c>
      <c r="E1391" t="s">
        <v>108</v>
      </c>
      <c r="F1391">
        <v>2</v>
      </c>
      <c r="G1391">
        <v>0</v>
      </c>
      <c r="H1391">
        <v>9000</v>
      </c>
      <c r="I1391">
        <v>3000</v>
      </c>
      <c r="J1391" t="s">
        <v>26</v>
      </c>
      <c r="K1391" t="s">
        <v>40</v>
      </c>
      <c r="L1391">
        <v>4500</v>
      </c>
      <c r="M1391">
        <v>33.333333333333329</v>
      </c>
      <c r="N1391" t="s">
        <v>8</v>
      </c>
      <c r="O1391" t="s">
        <v>1695</v>
      </c>
      <c r="P1391" t="s">
        <v>73</v>
      </c>
      <c r="Q1391" t="s">
        <v>30</v>
      </c>
      <c r="R1391" t="s">
        <v>60</v>
      </c>
      <c r="S1391" t="s">
        <v>61</v>
      </c>
      <c r="T1391" t="s">
        <v>1696</v>
      </c>
      <c r="U1391" t="s">
        <v>100</v>
      </c>
      <c r="V1391">
        <v>1500</v>
      </c>
    </row>
    <row r="1392" spans="1:22" x14ac:dyDescent="0.3">
      <c r="A1392" t="s">
        <v>2725</v>
      </c>
      <c r="B1392" s="2">
        <v>46033</v>
      </c>
      <c r="C1392" t="s">
        <v>810</v>
      </c>
      <c r="D1392" t="s">
        <v>70</v>
      </c>
      <c r="E1392" t="s">
        <v>165</v>
      </c>
      <c r="F1392">
        <v>2</v>
      </c>
      <c r="G1392">
        <v>0.1</v>
      </c>
      <c r="H1392">
        <v>4500</v>
      </c>
      <c r="I1392">
        <v>1208.83</v>
      </c>
      <c r="J1392" t="s">
        <v>65</v>
      </c>
      <c r="K1392" t="s">
        <v>40</v>
      </c>
      <c r="L1392">
        <v>2250</v>
      </c>
      <c r="M1392">
        <v>26.862888888888889</v>
      </c>
      <c r="N1392" t="s">
        <v>8</v>
      </c>
      <c r="O1392" t="s">
        <v>811</v>
      </c>
      <c r="P1392" t="s">
        <v>73</v>
      </c>
      <c r="Q1392" t="s">
        <v>30</v>
      </c>
      <c r="R1392" t="s">
        <v>60</v>
      </c>
      <c r="S1392" t="s">
        <v>61</v>
      </c>
      <c r="T1392" t="s">
        <v>812</v>
      </c>
      <c r="U1392" t="s">
        <v>34</v>
      </c>
      <c r="V1392">
        <v>604.41499999999996</v>
      </c>
    </row>
    <row r="1393" spans="1:22" x14ac:dyDescent="0.3">
      <c r="A1393" t="s">
        <v>2726</v>
      </c>
      <c r="B1393" s="2">
        <v>46176</v>
      </c>
      <c r="C1393" t="s">
        <v>481</v>
      </c>
      <c r="D1393" t="s">
        <v>24</v>
      </c>
      <c r="E1393" t="s">
        <v>242</v>
      </c>
      <c r="F1393">
        <v>1</v>
      </c>
      <c r="G1393">
        <v>0</v>
      </c>
      <c r="H1393">
        <v>450</v>
      </c>
      <c r="I1393">
        <v>110</v>
      </c>
      <c r="J1393" t="s">
        <v>65</v>
      </c>
      <c r="K1393" t="s">
        <v>40</v>
      </c>
      <c r="L1393">
        <v>450</v>
      </c>
      <c r="M1393">
        <v>24.444444444444439</v>
      </c>
      <c r="N1393" t="s">
        <v>8</v>
      </c>
      <c r="O1393" t="s">
        <v>482</v>
      </c>
      <c r="P1393" t="s">
        <v>83</v>
      </c>
      <c r="Q1393" t="s">
        <v>30</v>
      </c>
      <c r="R1393" t="s">
        <v>31</v>
      </c>
      <c r="S1393" t="s">
        <v>32</v>
      </c>
      <c r="T1393" t="s">
        <v>483</v>
      </c>
      <c r="U1393" t="s">
        <v>46</v>
      </c>
      <c r="V1393">
        <v>110</v>
      </c>
    </row>
    <row r="1394" spans="1:22" x14ac:dyDescent="0.3">
      <c r="A1394" t="s">
        <v>2727</v>
      </c>
      <c r="B1394" s="2">
        <v>46051</v>
      </c>
      <c r="C1394" t="s">
        <v>1480</v>
      </c>
      <c r="D1394" t="s">
        <v>49</v>
      </c>
      <c r="E1394" t="s">
        <v>58</v>
      </c>
      <c r="F1394">
        <v>2</v>
      </c>
      <c r="G1394">
        <v>0.15</v>
      </c>
      <c r="H1394">
        <v>25500</v>
      </c>
      <c r="I1394">
        <v>3343.88</v>
      </c>
      <c r="J1394" t="s">
        <v>51</v>
      </c>
      <c r="K1394" t="s">
        <v>40</v>
      </c>
      <c r="L1394">
        <v>12750</v>
      </c>
      <c r="M1394">
        <v>13.11325490196079</v>
      </c>
      <c r="N1394" t="s">
        <v>8</v>
      </c>
      <c r="O1394" t="s">
        <v>66</v>
      </c>
      <c r="P1394" t="s">
        <v>73</v>
      </c>
      <c r="Q1394" t="s">
        <v>30</v>
      </c>
      <c r="R1394" t="s">
        <v>98</v>
      </c>
      <c r="S1394" t="s">
        <v>54</v>
      </c>
      <c r="T1394" t="s">
        <v>1481</v>
      </c>
      <c r="U1394" t="s">
        <v>46</v>
      </c>
      <c r="V1394">
        <v>1671.94</v>
      </c>
    </row>
    <row r="1395" spans="1:22" x14ac:dyDescent="0.3">
      <c r="A1395" t="s">
        <v>2728</v>
      </c>
      <c r="B1395" s="2">
        <v>46145</v>
      </c>
      <c r="C1395" t="s">
        <v>1352</v>
      </c>
      <c r="D1395" t="s">
        <v>49</v>
      </c>
      <c r="E1395" t="s">
        <v>79</v>
      </c>
      <c r="F1395">
        <v>1</v>
      </c>
      <c r="G1395">
        <v>0.1</v>
      </c>
      <c r="H1395">
        <v>9900</v>
      </c>
      <c r="I1395">
        <v>1987.24</v>
      </c>
      <c r="J1395" t="s">
        <v>26</v>
      </c>
      <c r="K1395" t="s">
        <v>40</v>
      </c>
      <c r="L1395">
        <v>9900</v>
      </c>
      <c r="M1395">
        <v>20.073131313131309</v>
      </c>
      <c r="N1395" t="s">
        <v>8</v>
      </c>
      <c r="O1395" t="s">
        <v>1353</v>
      </c>
      <c r="P1395" t="s">
        <v>29</v>
      </c>
      <c r="Q1395" t="s">
        <v>42</v>
      </c>
      <c r="R1395" t="s">
        <v>214</v>
      </c>
      <c r="S1395" t="s">
        <v>111</v>
      </c>
      <c r="T1395" t="s">
        <v>1354</v>
      </c>
      <c r="U1395" t="s">
        <v>34</v>
      </c>
      <c r="V1395">
        <v>1987.24</v>
      </c>
    </row>
    <row r="1396" spans="1:22" x14ac:dyDescent="0.3">
      <c r="A1396" t="s">
        <v>2729</v>
      </c>
      <c r="B1396" s="2">
        <v>46083</v>
      </c>
      <c r="C1396" t="s">
        <v>1270</v>
      </c>
      <c r="D1396" t="s">
        <v>70</v>
      </c>
      <c r="E1396" t="s">
        <v>108</v>
      </c>
      <c r="F1396">
        <v>1</v>
      </c>
      <c r="G1396">
        <v>0.2</v>
      </c>
      <c r="H1396">
        <v>3600</v>
      </c>
      <c r="I1396">
        <v>1059.68</v>
      </c>
      <c r="J1396" t="s">
        <v>39</v>
      </c>
      <c r="K1396" t="s">
        <v>40</v>
      </c>
      <c r="L1396">
        <v>3600</v>
      </c>
      <c r="M1396">
        <v>29.43555555555556</v>
      </c>
      <c r="N1396" t="s">
        <v>8</v>
      </c>
      <c r="O1396" t="s">
        <v>306</v>
      </c>
      <c r="P1396" t="s">
        <v>29</v>
      </c>
      <c r="Q1396" t="s">
        <v>74</v>
      </c>
      <c r="R1396" t="s">
        <v>493</v>
      </c>
      <c r="S1396" t="s">
        <v>494</v>
      </c>
      <c r="T1396" t="s">
        <v>1271</v>
      </c>
      <c r="U1396" t="s">
        <v>34</v>
      </c>
      <c r="V1396">
        <v>1059.68</v>
      </c>
    </row>
    <row r="1397" spans="1:22" x14ac:dyDescent="0.3">
      <c r="A1397" t="s">
        <v>2730</v>
      </c>
      <c r="B1397" s="2">
        <v>46210</v>
      </c>
      <c r="C1397" t="s">
        <v>878</v>
      </c>
      <c r="D1397" t="s">
        <v>24</v>
      </c>
      <c r="E1397" t="s">
        <v>242</v>
      </c>
      <c r="F1397">
        <v>2</v>
      </c>
      <c r="G1397">
        <v>0.1</v>
      </c>
      <c r="H1397">
        <v>810</v>
      </c>
      <c r="I1397">
        <v>-157.65</v>
      </c>
      <c r="J1397" t="s">
        <v>65</v>
      </c>
      <c r="K1397" t="s">
        <v>434</v>
      </c>
      <c r="L1397">
        <v>405</v>
      </c>
      <c r="M1397">
        <v>-19.462962962962958</v>
      </c>
      <c r="N1397" t="s">
        <v>81</v>
      </c>
      <c r="O1397" t="s">
        <v>879</v>
      </c>
      <c r="P1397" t="s">
        <v>83</v>
      </c>
      <c r="Q1397" t="s">
        <v>30</v>
      </c>
      <c r="R1397" t="s">
        <v>98</v>
      </c>
      <c r="S1397" t="s">
        <v>54</v>
      </c>
      <c r="T1397" t="s">
        <v>880</v>
      </c>
      <c r="U1397" t="s">
        <v>46</v>
      </c>
      <c r="V1397">
        <v>-78.825000000000003</v>
      </c>
    </row>
    <row r="1398" spans="1:22" x14ac:dyDescent="0.3">
      <c r="A1398" t="s">
        <v>2731</v>
      </c>
      <c r="B1398" s="2">
        <v>46173</v>
      </c>
      <c r="C1398" t="s">
        <v>1255</v>
      </c>
      <c r="D1398" t="s">
        <v>70</v>
      </c>
      <c r="E1398" t="s">
        <v>71</v>
      </c>
      <c r="F1398">
        <v>2</v>
      </c>
      <c r="G1398">
        <v>0.15</v>
      </c>
      <c r="H1398">
        <v>30600</v>
      </c>
      <c r="I1398">
        <v>3731.52</v>
      </c>
      <c r="J1398" t="s">
        <v>65</v>
      </c>
      <c r="K1398" t="s">
        <v>40</v>
      </c>
      <c r="L1398">
        <v>15300</v>
      </c>
      <c r="M1398">
        <v>12.194509803921569</v>
      </c>
      <c r="N1398" t="s">
        <v>8</v>
      </c>
      <c r="O1398" t="s">
        <v>1256</v>
      </c>
      <c r="P1398" t="s">
        <v>73</v>
      </c>
      <c r="Q1398" t="s">
        <v>131</v>
      </c>
      <c r="R1398" t="s">
        <v>289</v>
      </c>
      <c r="S1398" t="s">
        <v>290</v>
      </c>
      <c r="T1398" t="s">
        <v>1257</v>
      </c>
      <c r="U1398" t="s">
        <v>105</v>
      </c>
      <c r="V1398">
        <v>1865.76</v>
      </c>
    </row>
    <row r="1399" spans="1:22" x14ac:dyDescent="0.3">
      <c r="A1399" t="s">
        <v>2732</v>
      </c>
      <c r="B1399" s="2">
        <v>45921</v>
      </c>
      <c r="C1399" t="s">
        <v>2210</v>
      </c>
      <c r="D1399" t="s">
        <v>49</v>
      </c>
      <c r="E1399" t="s">
        <v>79</v>
      </c>
      <c r="F1399">
        <v>1</v>
      </c>
      <c r="G1399">
        <v>0.3</v>
      </c>
      <c r="H1399">
        <v>7700</v>
      </c>
      <c r="I1399">
        <v>514.16</v>
      </c>
      <c r="J1399" t="s">
        <v>26</v>
      </c>
      <c r="K1399" t="s">
        <v>40</v>
      </c>
      <c r="L1399">
        <v>7700</v>
      </c>
      <c r="M1399">
        <v>6.6774025974025966</v>
      </c>
      <c r="N1399" t="s">
        <v>8</v>
      </c>
      <c r="O1399" t="s">
        <v>2211</v>
      </c>
      <c r="P1399" t="s">
        <v>83</v>
      </c>
      <c r="Q1399" t="s">
        <v>42</v>
      </c>
      <c r="R1399" t="s">
        <v>110</v>
      </c>
      <c r="S1399" t="s">
        <v>111</v>
      </c>
      <c r="T1399" t="s">
        <v>1156</v>
      </c>
      <c r="U1399" t="s">
        <v>100</v>
      </c>
      <c r="V1399">
        <v>514.16</v>
      </c>
    </row>
    <row r="1400" spans="1:22" x14ac:dyDescent="0.3">
      <c r="A1400" t="s">
        <v>2733</v>
      </c>
      <c r="B1400" s="2">
        <v>45878</v>
      </c>
      <c r="C1400" t="s">
        <v>148</v>
      </c>
      <c r="D1400" t="s">
        <v>49</v>
      </c>
      <c r="E1400" t="s">
        <v>79</v>
      </c>
      <c r="F1400">
        <v>2</v>
      </c>
      <c r="G1400">
        <v>0.1</v>
      </c>
      <c r="H1400">
        <v>19800</v>
      </c>
      <c r="I1400">
        <v>3354.68</v>
      </c>
      <c r="J1400" t="s">
        <v>65</v>
      </c>
      <c r="K1400" t="s">
        <v>40</v>
      </c>
      <c r="L1400">
        <v>9900</v>
      </c>
      <c r="M1400">
        <v>16.94282828282828</v>
      </c>
      <c r="N1400" t="s">
        <v>8</v>
      </c>
      <c r="O1400" t="s">
        <v>149</v>
      </c>
      <c r="P1400" t="s">
        <v>29</v>
      </c>
      <c r="Q1400" t="s">
        <v>30</v>
      </c>
      <c r="R1400" t="s">
        <v>60</v>
      </c>
      <c r="S1400" t="s">
        <v>61</v>
      </c>
      <c r="T1400" t="s">
        <v>150</v>
      </c>
      <c r="U1400" t="s">
        <v>105</v>
      </c>
      <c r="V1400">
        <v>1677.34</v>
      </c>
    </row>
    <row r="1401" spans="1:22" x14ac:dyDescent="0.3">
      <c r="A1401" t="s">
        <v>2734</v>
      </c>
      <c r="B1401" s="2">
        <v>46093</v>
      </c>
      <c r="C1401" t="s">
        <v>1017</v>
      </c>
      <c r="D1401" t="s">
        <v>49</v>
      </c>
      <c r="E1401" t="s">
        <v>50</v>
      </c>
      <c r="F1401">
        <v>4</v>
      </c>
      <c r="G1401">
        <v>0.15</v>
      </c>
      <c r="H1401">
        <v>44200</v>
      </c>
      <c r="I1401">
        <v>8889.34</v>
      </c>
      <c r="J1401" t="s">
        <v>51</v>
      </c>
      <c r="K1401" t="s">
        <v>40</v>
      </c>
      <c r="L1401">
        <v>11050</v>
      </c>
      <c r="M1401">
        <v>20.111628959276018</v>
      </c>
      <c r="N1401" t="s">
        <v>8</v>
      </c>
      <c r="O1401" t="s">
        <v>1018</v>
      </c>
      <c r="P1401" t="s">
        <v>83</v>
      </c>
      <c r="Q1401" t="s">
        <v>30</v>
      </c>
      <c r="R1401" t="s">
        <v>98</v>
      </c>
      <c r="S1401" t="s">
        <v>54</v>
      </c>
      <c r="T1401" t="s">
        <v>1019</v>
      </c>
      <c r="U1401" t="s">
        <v>46</v>
      </c>
      <c r="V1401">
        <v>2222.335</v>
      </c>
    </row>
    <row r="1402" spans="1:22" x14ac:dyDescent="0.3">
      <c r="A1402" t="s">
        <v>2735</v>
      </c>
      <c r="B1402" s="2">
        <v>46035</v>
      </c>
      <c r="C1402" t="s">
        <v>1809</v>
      </c>
      <c r="D1402" t="s">
        <v>70</v>
      </c>
      <c r="E1402" t="s">
        <v>129</v>
      </c>
      <c r="F1402">
        <v>2</v>
      </c>
      <c r="G1402">
        <v>0.2</v>
      </c>
      <c r="H1402">
        <v>88000</v>
      </c>
      <c r="I1402">
        <v>7002.79</v>
      </c>
      <c r="J1402" t="s">
        <v>26</v>
      </c>
      <c r="K1402" t="s">
        <v>27</v>
      </c>
      <c r="L1402">
        <v>44000</v>
      </c>
      <c r="M1402">
        <v>7.9577159090909104</v>
      </c>
      <c r="N1402" t="s">
        <v>8</v>
      </c>
      <c r="O1402" t="s">
        <v>730</v>
      </c>
      <c r="P1402" t="s">
        <v>29</v>
      </c>
      <c r="Q1402" t="s">
        <v>74</v>
      </c>
      <c r="R1402" t="s">
        <v>115</v>
      </c>
      <c r="S1402" t="s">
        <v>115</v>
      </c>
      <c r="T1402" t="s">
        <v>1203</v>
      </c>
      <c r="U1402" t="s">
        <v>46</v>
      </c>
      <c r="V1402">
        <v>3501.395</v>
      </c>
    </row>
    <row r="1403" spans="1:22" x14ac:dyDescent="0.3">
      <c r="A1403" t="s">
        <v>2736</v>
      </c>
      <c r="B1403" s="2">
        <v>45981</v>
      </c>
      <c r="C1403" t="s">
        <v>2737</v>
      </c>
      <c r="D1403" t="s">
        <v>37</v>
      </c>
      <c r="E1403" t="s">
        <v>310</v>
      </c>
      <c r="F1403">
        <v>4</v>
      </c>
      <c r="G1403">
        <v>0.15</v>
      </c>
      <c r="H1403">
        <v>7480</v>
      </c>
      <c r="I1403">
        <v>2221.37</v>
      </c>
      <c r="J1403" t="s">
        <v>51</v>
      </c>
      <c r="K1403" t="s">
        <v>40</v>
      </c>
      <c r="L1403">
        <v>1870</v>
      </c>
      <c r="M1403">
        <v>29.69745989304813</v>
      </c>
      <c r="N1403" t="s">
        <v>8</v>
      </c>
      <c r="O1403" t="s">
        <v>567</v>
      </c>
      <c r="P1403" t="s">
        <v>29</v>
      </c>
      <c r="Q1403" t="s">
        <v>42</v>
      </c>
      <c r="R1403" t="s">
        <v>121</v>
      </c>
      <c r="S1403" t="s">
        <v>44</v>
      </c>
      <c r="T1403" t="s">
        <v>2738</v>
      </c>
      <c r="U1403" t="s">
        <v>46</v>
      </c>
      <c r="V1403">
        <v>555.34249999999997</v>
      </c>
    </row>
    <row r="1404" spans="1:22" x14ac:dyDescent="0.3">
      <c r="A1404" t="s">
        <v>2739</v>
      </c>
      <c r="B1404" s="2">
        <v>45989</v>
      </c>
      <c r="C1404" t="s">
        <v>1655</v>
      </c>
      <c r="D1404" t="s">
        <v>70</v>
      </c>
      <c r="E1404" t="s">
        <v>165</v>
      </c>
      <c r="F1404">
        <v>4</v>
      </c>
      <c r="G1404">
        <v>0.2</v>
      </c>
      <c r="H1404">
        <v>8000</v>
      </c>
      <c r="I1404">
        <v>1681.44</v>
      </c>
      <c r="J1404" t="s">
        <v>26</v>
      </c>
      <c r="K1404" t="s">
        <v>40</v>
      </c>
      <c r="L1404">
        <v>2000</v>
      </c>
      <c r="M1404">
        <v>21.018000000000001</v>
      </c>
      <c r="N1404" t="s">
        <v>8</v>
      </c>
      <c r="O1404" t="s">
        <v>1656</v>
      </c>
      <c r="P1404" t="s">
        <v>29</v>
      </c>
      <c r="Q1404" t="s">
        <v>30</v>
      </c>
      <c r="R1404" t="s">
        <v>53</v>
      </c>
      <c r="S1404" t="s">
        <v>54</v>
      </c>
      <c r="T1404" t="s">
        <v>1657</v>
      </c>
      <c r="U1404" t="s">
        <v>34</v>
      </c>
      <c r="V1404">
        <v>420.36</v>
      </c>
    </row>
    <row r="1405" spans="1:22" x14ac:dyDescent="0.3">
      <c r="A1405" t="s">
        <v>2740</v>
      </c>
      <c r="B1405" s="2">
        <v>46145</v>
      </c>
      <c r="C1405" t="s">
        <v>2241</v>
      </c>
      <c r="D1405" t="s">
        <v>70</v>
      </c>
      <c r="E1405" t="s">
        <v>129</v>
      </c>
      <c r="F1405">
        <v>2</v>
      </c>
      <c r="G1405">
        <v>0</v>
      </c>
      <c r="H1405">
        <v>110000</v>
      </c>
      <c r="I1405">
        <v>18000</v>
      </c>
      <c r="J1405" t="s">
        <v>51</v>
      </c>
      <c r="K1405" t="s">
        <v>40</v>
      </c>
      <c r="L1405">
        <v>55000</v>
      </c>
      <c r="M1405">
        <v>16.36363636363636</v>
      </c>
      <c r="N1405" t="s">
        <v>8</v>
      </c>
      <c r="O1405" t="s">
        <v>2242</v>
      </c>
      <c r="P1405" t="s">
        <v>73</v>
      </c>
      <c r="Q1405" t="s">
        <v>74</v>
      </c>
      <c r="R1405" t="s">
        <v>493</v>
      </c>
      <c r="S1405" t="s">
        <v>494</v>
      </c>
      <c r="T1405" t="s">
        <v>2243</v>
      </c>
      <c r="U1405" t="s">
        <v>100</v>
      </c>
      <c r="V1405">
        <v>9000</v>
      </c>
    </row>
    <row r="1406" spans="1:22" x14ac:dyDescent="0.3">
      <c r="A1406" t="s">
        <v>2741</v>
      </c>
      <c r="B1406" s="2">
        <v>46041</v>
      </c>
      <c r="C1406" t="s">
        <v>861</v>
      </c>
      <c r="D1406" t="s">
        <v>70</v>
      </c>
      <c r="E1406" t="s">
        <v>129</v>
      </c>
      <c r="F1406">
        <v>1</v>
      </c>
      <c r="G1406">
        <v>0.05</v>
      </c>
      <c r="H1406">
        <v>52250</v>
      </c>
      <c r="I1406">
        <v>7537.66</v>
      </c>
      <c r="J1406" t="s">
        <v>65</v>
      </c>
      <c r="K1406" t="s">
        <v>40</v>
      </c>
      <c r="L1406">
        <v>52250</v>
      </c>
      <c r="M1406">
        <v>14.426143540669861</v>
      </c>
      <c r="N1406" t="s">
        <v>8</v>
      </c>
      <c r="O1406" t="s">
        <v>369</v>
      </c>
      <c r="P1406" t="s">
        <v>29</v>
      </c>
      <c r="Q1406" t="s">
        <v>74</v>
      </c>
      <c r="R1406" t="s">
        <v>237</v>
      </c>
      <c r="S1406" t="s">
        <v>238</v>
      </c>
      <c r="T1406" t="s">
        <v>750</v>
      </c>
      <c r="U1406" t="s">
        <v>105</v>
      </c>
      <c r="V1406">
        <v>7537.66</v>
      </c>
    </row>
    <row r="1407" spans="1:22" x14ac:dyDescent="0.3">
      <c r="A1407" t="s">
        <v>2742</v>
      </c>
      <c r="B1407" s="2">
        <v>45960</v>
      </c>
      <c r="C1407" t="s">
        <v>1017</v>
      </c>
      <c r="D1407" t="s">
        <v>70</v>
      </c>
      <c r="E1407" t="s">
        <v>165</v>
      </c>
      <c r="F1407">
        <v>6</v>
      </c>
      <c r="G1407">
        <v>0.1</v>
      </c>
      <c r="H1407">
        <v>13500</v>
      </c>
      <c r="I1407">
        <v>3565.21</v>
      </c>
      <c r="J1407" t="s">
        <v>26</v>
      </c>
      <c r="K1407" t="s">
        <v>40</v>
      </c>
      <c r="L1407">
        <v>2250</v>
      </c>
      <c r="M1407">
        <v>26.40896296296296</v>
      </c>
      <c r="N1407" t="s">
        <v>8</v>
      </c>
      <c r="O1407" t="s">
        <v>1018</v>
      </c>
      <c r="P1407" t="s">
        <v>83</v>
      </c>
      <c r="Q1407" t="s">
        <v>30</v>
      </c>
      <c r="R1407" t="s">
        <v>98</v>
      </c>
      <c r="S1407" t="s">
        <v>54</v>
      </c>
      <c r="T1407" t="s">
        <v>1019</v>
      </c>
      <c r="U1407" t="s">
        <v>46</v>
      </c>
      <c r="V1407">
        <v>594.20166666666671</v>
      </c>
    </row>
    <row r="1408" spans="1:22" x14ac:dyDescent="0.3">
      <c r="A1408" t="s">
        <v>2743</v>
      </c>
      <c r="B1408" s="2">
        <v>46155</v>
      </c>
      <c r="C1408" t="s">
        <v>1824</v>
      </c>
      <c r="D1408" t="s">
        <v>70</v>
      </c>
      <c r="E1408" t="s">
        <v>165</v>
      </c>
      <c r="F1408">
        <v>4</v>
      </c>
      <c r="G1408">
        <v>0.05</v>
      </c>
      <c r="H1408">
        <v>9500</v>
      </c>
      <c r="I1408">
        <v>2858.04</v>
      </c>
      <c r="J1408" t="s">
        <v>65</v>
      </c>
      <c r="K1408" t="s">
        <v>40</v>
      </c>
      <c r="L1408">
        <v>2375</v>
      </c>
      <c r="M1408">
        <v>30.08463157894737</v>
      </c>
      <c r="N1408" t="s">
        <v>8</v>
      </c>
      <c r="O1408" t="s">
        <v>205</v>
      </c>
      <c r="P1408" t="s">
        <v>83</v>
      </c>
      <c r="Q1408" t="s">
        <v>30</v>
      </c>
      <c r="R1408" t="s">
        <v>31</v>
      </c>
      <c r="S1408" t="s">
        <v>32</v>
      </c>
      <c r="T1408" t="s">
        <v>303</v>
      </c>
      <c r="U1408" t="s">
        <v>46</v>
      </c>
      <c r="V1408">
        <v>714.51</v>
      </c>
    </row>
    <row r="1409" spans="1:22" x14ac:dyDescent="0.3">
      <c r="A1409" t="s">
        <v>2744</v>
      </c>
      <c r="B1409" s="2">
        <v>46024</v>
      </c>
      <c r="C1409" t="s">
        <v>1004</v>
      </c>
      <c r="D1409" t="s">
        <v>49</v>
      </c>
      <c r="E1409" t="s">
        <v>58</v>
      </c>
      <c r="F1409">
        <v>3</v>
      </c>
      <c r="G1409">
        <v>0.05</v>
      </c>
      <c r="H1409">
        <v>42750</v>
      </c>
      <c r="I1409">
        <v>8950.06</v>
      </c>
      <c r="J1409" t="s">
        <v>26</v>
      </c>
      <c r="K1409" t="s">
        <v>40</v>
      </c>
      <c r="L1409">
        <v>14250</v>
      </c>
      <c r="M1409">
        <v>20.93581286549707</v>
      </c>
      <c r="N1409" t="s">
        <v>8</v>
      </c>
      <c r="O1409" t="s">
        <v>1005</v>
      </c>
      <c r="P1409" t="s">
        <v>29</v>
      </c>
      <c r="Q1409" t="s">
        <v>30</v>
      </c>
      <c r="R1409" t="s">
        <v>98</v>
      </c>
      <c r="S1409" t="s">
        <v>54</v>
      </c>
      <c r="T1409" t="s">
        <v>1006</v>
      </c>
      <c r="U1409" t="s">
        <v>105</v>
      </c>
      <c r="V1409">
        <v>2983.353333333333</v>
      </c>
    </row>
    <row r="1410" spans="1:22" x14ac:dyDescent="0.3">
      <c r="A1410" t="s">
        <v>2745</v>
      </c>
      <c r="B1410" s="2">
        <v>46137</v>
      </c>
      <c r="C1410" t="s">
        <v>1017</v>
      </c>
      <c r="D1410" t="s">
        <v>24</v>
      </c>
      <c r="E1410" t="s">
        <v>25</v>
      </c>
      <c r="F1410">
        <v>4</v>
      </c>
      <c r="G1410">
        <v>0</v>
      </c>
      <c r="H1410">
        <v>56000</v>
      </c>
      <c r="I1410">
        <v>-18927.37</v>
      </c>
      <c r="J1410" t="s">
        <v>39</v>
      </c>
      <c r="K1410" t="s">
        <v>434</v>
      </c>
      <c r="L1410">
        <v>14000</v>
      </c>
      <c r="M1410">
        <v>-33.798875000000002</v>
      </c>
      <c r="N1410" t="s">
        <v>81</v>
      </c>
      <c r="O1410" t="s">
        <v>1018</v>
      </c>
      <c r="P1410" t="s">
        <v>83</v>
      </c>
      <c r="Q1410" t="s">
        <v>30</v>
      </c>
      <c r="R1410" t="s">
        <v>98</v>
      </c>
      <c r="S1410" t="s">
        <v>54</v>
      </c>
      <c r="T1410" t="s">
        <v>1019</v>
      </c>
      <c r="U1410" t="s">
        <v>46</v>
      </c>
      <c r="V1410">
        <v>-4731.8424999999997</v>
      </c>
    </row>
    <row r="1411" spans="1:22" x14ac:dyDescent="0.3">
      <c r="A1411" t="s">
        <v>2746</v>
      </c>
      <c r="B1411" s="2">
        <v>45978</v>
      </c>
      <c r="C1411" t="s">
        <v>2495</v>
      </c>
      <c r="D1411" t="s">
        <v>49</v>
      </c>
      <c r="E1411" t="s">
        <v>58</v>
      </c>
      <c r="F1411">
        <v>4</v>
      </c>
      <c r="G1411">
        <v>0</v>
      </c>
      <c r="H1411">
        <v>60000</v>
      </c>
      <c r="I1411">
        <v>14000</v>
      </c>
      <c r="J1411" t="s">
        <v>65</v>
      </c>
      <c r="K1411" t="s">
        <v>40</v>
      </c>
      <c r="L1411">
        <v>15000</v>
      </c>
      <c r="M1411">
        <v>23.333333333333329</v>
      </c>
      <c r="N1411" t="s">
        <v>8</v>
      </c>
      <c r="O1411" t="s">
        <v>1831</v>
      </c>
      <c r="P1411" t="s">
        <v>29</v>
      </c>
      <c r="Q1411" t="s">
        <v>74</v>
      </c>
      <c r="R1411" t="s">
        <v>237</v>
      </c>
      <c r="S1411" t="s">
        <v>238</v>
      </c>
      <c r="T1411" t="s">
        <v>2496</v>
      </c>
      <c r="U1411" t="s">
        <v>46</v>
      </c>
      <c r="V1411">
        <v>3500</v>
      </c>
    </row>
    <row r="1412" spans="1:22" x14ac:dyDescent="0.3">
      <c r="A1412" t="s">
        <v>2747</v>
      </c>
      <c r="B1412" s="2">
        <v>46056</v>
      </c>
      <c r="C1412" t="s">
        <v>533</v>
      </c>
      <c r="D1412" t="s">
        <v>49</v>
      </c>
      <c r="E1412" t="s">
        <v>119</v>
      </c>
      <c r="F1412">
        <v>2</v>
      </c>
      <c r="G1412">
        <v>0.15</v>
      </c>
      <c r="H1412">
        <v>15300</v>
      </c>
      <c r="I1412">
        <v>3127.18</v>
      </c>
      <c r="J1412" t="s">
        <v>51</v>
      </c>
      <c r="K1412" t="s">
        <v>40</v>
      </c>
      <c r="L1412">
        <v>7650</v>
      </c>
      <c r="M1412">
        <v>20.439084967320259</v>
      </c>
      <c r="N1412" t="s">
        <v>8</v>
      </c>
      <c r="O1412" t="s">
        <v>306</v>
      </c>
      <c r="P1412" t="s">
        <v>83</v>
      </c>
      <c r="Q1412" t="s">
        <v>131</v>
      </c>
      <c r="R1412" t="s">
        <v>132</v>
      </c>
      <c r="S1412" t="s">
        <v>133</v>
      </c>
      <c r="T1412" t="s">
        <v>534</v>
      </c>
      <c r="U1412" t="s">
        <v>46</v>
      </c>
      <c r="V1412">
        <v>1563.59</v>
      </c>
    </row>
    <row r="1413" spans="1:22" x14ac:dyDescent="0.3">
      <c r="A1413" t="s">
        <v>2748</v>
      </c>
      <c r="B1413" s="2">
        <v>45888</v>
      </c>
      <c r="C1413" t="s">
        <v>1324</v>
      </c>
      <c r="D1413" t="s">
        <v>24</v>
      </c>
      <c r="E1413" t="s">
        <v>242</v>
      </c>
      <c r="F1413">
        <v>4</v>
      </c>
      <c r="G1413">
        <v>0.1</v>
      </c>
      <c r="H1413">
        <v>1620</v>
      </c>
      <c r="I1413">
        <v>347.92</v>
      </c>
      <c r="J1413" t="s">
        <v>51</v>
      </c>
      <c r="K1413" t="s">
        <v>40</v>
      </c>
      <c r="L1413">
        <v>405</v>
      </c>
      <c r="M1413">
        <v>21.476543209876549</v>
      </c>
      <c r="N1413" t="s">
        <v>8</v>
      </c>
      <c r="O1413" t="s">
        <v>1325</v>
      </c>
      <c r="P1413" t="s">
        <v>83</v>
      </c>
      <c r="Q1413" t="s">
        <v>74</v>
      </c>
      <c r="R1413" t="s">
        <v>115</v>
      </c>
      <c r="S1413" t="s">
        <v>115</v>
      </c>
      <c r="T1413" t="s">
        <v>1326</v>
      </c>
      <c r="U1413" t="s">
        <v>34</v>
      </c>
      <c r="V1413">
        <v>86.98</v>
      </c>
    </row>
    <row r="1414" spans="1:22" x14ac:dyDescent="0.3">
      <c r="A1414" t="s">
        <v>2749</v>
      </c>
      <c r="B1414" s="2">
        <v>46237</v>
      </c>
      <c r="C1414" t="s">
        <v>1181</v>
      </c>
      <c r="D1414" t="s">
        <v>70</v>
      </c>
      <c r="E1414" t="s">
        <v>108</v>
      </c>
      <c r="F1414">
        <v>1</v>
      </c>
      <c r="G1414">
        <v>0.1</v>
      </c>
      <c r="H1414">
        <v>4050</v>
      </c>
      <c r="I1414">
        <v>1183.56</v>
      </c>
      <c r="J1414" t="s">
        <v>26</v>
      </c>
      <c r="K1414" t="s">
        <v>40</v>
      </c>
      <c r="L1414">
        <v>4050</v>
      </c>
      <c r="M1414">
        <v>29.223703703703698</v>
      </c>
      <c r="N1414" t="s">
        <v>8</v>
      </c>
      <c r="O1414" t="s">
        <v>1182</v>
      </c>
      <c r="P1414" t="s">
        <v>29</v>
      </c>
      <c r="Q1414" t="s">
        <v>30</v>
      </c>
      <c r="R1414" t="s">
        <v>31</v>
      </c>
      <c r="S1414" t="s">
        <v>32</v>
      </c>
      <c r="T1414" t="s">
        <v>206</v>
      </c>
      <c r="U1414" t="s">
        <v>46</v>
      </c>
      <c r="V1414">
        <v>1183.56</v>
      </c>
    </row>
    <row r="1415" spans="1:22" x14ac:dyDescent="0.3">
      <c r="A1415" t="s">
        <v>2750</v>
      </c>
      <c r="B1415" s="2">
        <v>46252</v>
      </c>
      <c r="C1415" t="s">
        <v>748</v>
      </c>
      <c r="D1415" t="s">
        <v>70</v>
      </c>
      <c r="E1415" t="s">
        <v>108</v>
      </c>
      <c r="F1415">
        <v>1</v>
      </c>
      <c r="G1415">
        <v>0</v>
      </c>
      <c r="H1415">
        <v>4500</v>
      </c>
      <c r="I1415">
        <v>1500</v>
      </c>
      <c r="J1415" t="s">
        <v>65</v>
      </c>
      <c r="K1415" t="s">
        <v>40</v>
      </c>
      <c r="L1415">
        <v>4500</v>
      </c>
      <c r="M1415">
        <v>33.333333333333329</v>
      </c>
      <c r="N1415" t="s">
        <v>8</v>
      </c>
      <c r="O1415" t="s">
        <v>749</v>
      </c>
      <c r="P1415" t="s">
        <v>29</v>
      </c>
      <c r="Q1415" t="s">
        <v>30</v>
      </c>
      <c r="R1415" t="s">
        <v>60</v>
      </c>
      <c r="S1415" t="s">
        <v>61</v>
      </c>
      <c r="T1415" t="s">
        <v>750</v>
      </c>
      <c r="U1415" t="s">
        <v>34</v>
      </c>
      <c r="V1415">
        <v>1500</v>
      </c>
    </row>
    <row r="1416" spans="1:22" x14ac:dyDescent="0.3">
      <c r="A1416" t="s">
        <v>2751</v>
      </c>
      <c r="B1416" s="2">
        <v>46066</v>
      </c>
      <c r="C1416" t="s">
        <v>2177</v>
      </c>
      <c r="D1416" t="s">
        <v>24</v>
      </c>
      <c r="E1416" t="s">
        <v>92</v>
      </c>
      <c r="F1416">
        <v>1</v>
      </c>
      <c r="G1416">
        <v>0.2</v>
      </c>
      <c r="H1416">
        <v>720</v>
      </c>
      <c r="I1416">
        <v>-192.59</v>
      </c>
      <c r="J1416" t="s">
        <v>39</v>
      </c>
      <c r="K1416" t="s">
        <v>434</v>
      </c>
      <c r="L1416">
        <v>720</v>
      </c>
      <c r="M1416">
        <v>-26.74861111111111</v>
      </c>
      <c r="N1416" t="s">
        <v>81</v>
      </c>
      <c r="O1416" t="s">
        <v>175</v>
      </c>
      <c r="P1416" t="s">
        <v>29</v>
      </c>
      <c r="Q1416" t="s">
        <v>30</v>
      </c>
      <c r="R1416" t="s">
        <v>98</v>
      </c>
      <c r="S1416" t="s">
        <v>54</v>
      </c>
      <c r="T1416" t="s">
        <v>2178</v>
      </c>
      <c r="U1416" t="s">
        <v>46</v>
      </c>
      <c r="V1416">
        <v>-192.59</v>
      </c>
    </row>
    <row r="1417" spans="1:22" x14ac:dyDescent="0.3">
      <c r="A1417" t="s">
        <v>2752</v>
      </c>
      <c r="B1417" s="2">
        <v>45923</v>
      </c>
      <c r="C1417" t="s">
        <v>309</v>
      </c>
      <c r="D1417" t="s">
        <v>24</v>
      </c>
      <c r="E1417" t="s">
        <v>92</v>
      </c>
      <c r="F1417">
        <v>2</v>
      </c>
      <c r="G1417">
        <v>0.1</v>
      </c>
      <c r="H1417">
        <v>1620</v>
      </c>
      <c r="I1417">
        <v>469.97</v>
      </c>
      <c r="J1417" t="s">
        <v>26</v>
      </c>
      <c r="K1417" t="s">
        <v>40</v>
      </c>
      <c r="L1417">
        <v>810</v>
      </c>
      <c r="M1417">
        <v>29.010493827160499</v>
      </c>
      <c r="N1417" t="s">
        <v>8</v>
      </c>
      <c r="O1417" t="s">
        <v>59</v>
      </c>
      <c r="P1417" t="s">
        <v>73</v>
      </c>
      <c r="Q1417" t="s">
        <v>74</v>
      </c>
      <c r="R1417" t="s">
        <v>237</v>
      </c>
      <c r="S1417" t="s">
        <v>238</v>
      </c>
      <c r="T1417" t="s">
        <v>311</v>
      </c>
      <c r="U1417" t="s">
        <v>46</v>
      </c>
      <c r="V1417">
        <v>234.98500000000001</v>
      </c>
    </row>
    <row r="1418" spans="1:22" x14ac:dyDescent="0.3">
      <c r="A1418" t="s">
        <v>2753</v>
      </c>
      <c r="B1418" s="2">
        <v>46215</v>
      </c>
      <c r="C1418" t="s">
        <v>581</v>
      </c>
      <c r="D1418" t="s">
        <v>24</v>
      </c>
      <c r="E1418" t="s">
        <v>242</v>
      </c>
      <c r="F1418">
        <v>2</v>
      </c>
      <c r="G1418">
        <v>0</v>
      </c>
      <c r="H1418">
        <v>900</v>
      </c>
      <c r="I1418">
        <v>220</v>
      </c>
      <c r="J1418" t="s">
        <v>65</v>
      </c>
      <c r="K1418" t="s">
        <v>40</v>
      </c>
      <c r="L1418">
        <v>450</v>
      </c>
      <c r="M1418">
        <v>24.444444444444439</v>
      </c>
      <c r="N1418" t="s">
        <v>8</v>
      </c>
      <c r="O1418" t="s">
        <v>582</v>
      </c>
      <c r="P1418" t="s">
        <v>73</v>
      </c>
      <c r="Q1418" t="s">
        <v>131</v>
      </c>
      <c r="R1418" t="s">
        <v>289</v>
      </c>
      <c r="S1418" t="s">
        <v>290</v>
      </c>
      <c r="T1418" t="s">
        <v>583</v>
      </c>
      <c r="U1418" t="s">
        <v>46</v>
      </c>
      <c r="V1418">
        <v>110</v>
      </c>
    </row>
    <row r="1419" spans="1:22" x14ac:dyDescent="0.3">
      <c r="A1419" t="s">
        <v>2754</v>
      </c>
      <c r="B1419" s="2">
        <v>45918</v>
      </c>
      <c r="C1419" t="s">
        <v>667</v>
      </c>
      <c r="D1419" t="s">
        <v>24</v>
      </c>
      <c r="E1419" t="s">
        <v>87</v>
      </c>
      <c r="F1419">
        <v>2</v>
      </c>
      <c r="G1419">
        <v>0</v>
      </c>
      <c r="H1419">
        <v>700</v>
      </c>
      <c r="I1419">
        <v>240</v>
      </c>
      <c r="J1419" t="s">
        <v>51</v>
      </c>
      <c r="K1419" t="s">
        <v>40</v>
      </c>
      <c r="L1419">
        <v>350</v>
      </c>
      <c r="M1419">
        <v>34.285714285714278</v>
      </c>
      <c r="N1419" t="s">
        <v>8</v>
      </c>
      <c r="O1419" t="s">
        <v>668</v>
      </c>
      <c r="P1419" t="s">
        <v>29</v>
      </c>
      <c r="Q1419" t="s">
        <v>30</v>
      </c>
      <c r="R1419" t="s">
        <v>31</v>
      </c>
      <c r="S1419" t="s">
        <v>32</v>
      </c>
      <c r="T1419" t="s">
        <v>669</v>
      </c>
      <c r="U1419" t="s">
        <v>46</v>
      </c>
      <c r="V1419">
        <v>120</v>
      </c>
    </row>
    <row r="1420" spans="1:22" x14ac:dyDescent="0.3">
      <c r="A1420" t="s">
        <v>2755</v>
      </c>
      <c r="B1420" s="2">
        <v>46203</v>
      </c>
      <c r="C1420" t="s">
        <v>2756</v>
      </c>
      <c r="D1420" t="s">
        <v>49</v>
      </c>
      <c r="E1420" t="s">
        <v>58</v>
      </c>
      <c r="F1420">
        <v>1</v>
      </c>
      <c r="G1420">
        <v>0.05</v>
      </c>
      <c r="H1420">
        <v>14250</v>
      </c>
      <c r="I1420">
        <v>2949.27</v>
      </c>
      <c r="J1420" t="s">
        <v>65</v>
      </c>
      <c r="K1420" t="s">
        <v>27</v>
      </c>
      <c r="L1420">
        <v>14250</v>
      </c>
      <c r="M1420">
        <v>20.696631578947368</v>
      </c>
      <c r="N1420" t="s">
        <v>8</v>
      </c>
      <c r="O1420" t="s">
        <v>213</v>
      </c>
      <c r="P1420" t="s">
        <v>73</v>
      </c>
      <c r="Q1420" t="s">
        <v>42</v>
      </c>
      <c r="R1420" t="s">
        <v>121</v>
      </c>
      <c r="S1420" t="s">
        <v>44</v>
      </c>
      <c r="T1420" t="s">
        <v>2757</v>
      </c>
      <c r="U1420" t="s">
        <v>105</v>
      </c>
      <c r="V1420">
        <v>2949.27</v>
      </c>
    </row>
    <row r="1421" spans="1:22" x14ac:dyDescent="0.3">
      <c r="A1421" t="s">
        <v>2758</v>
      </c>
      <c r="B1421" s="2">
        <v>46059</v>
      </c>
      <c r="C1421" t="s">
        <v>872</v>
      </c>
      <c r="D1421" t="s">
        <v>70</v>
      </c>
      <c r="E1421" t="s">
        <v>165</v>
      </c>
      <c r="F1421">
        <v>3</v>
      </c>
      <c r="G1421">
        <v>0.15</v>
      </c>
      <c r="H1421">
        <v>6375</v>
      </c>
      <c r="I1421">
        <v>1460.08</v>
      </c>
      <c r="J1421" t="s">
        <v>51</v>
      </c>
      <c r="K1421" t="s">
        <v>40</v>
      </c>
      <c r="L1421">
        <v>2125</v>
      </c>
      <c r="M1421">
        <v>22.90321568627451</v>
      </c>
      <c r="N1421" t="s">
        <v>8</v>
      </c>
      <c r="O1421" t="s">
        <v>492</v>
      </c>
      <c r="P1421" t="s">
        <v>29</v>
      </c>
      <c r="Q1421" t="s">
        <v>42</v>
      </c>
      <c r="R1421" t="s">
        <v>121</v>
      </c>
      <c r="S1421" t="s">
        <v>44</v>
      </c>
      <c r="T1421" t="s">
        <v>873</v>
      </c>
      <c r="U1421" t="s">
        <v>46</v>
      </c>
      <c r="V1421">
        <v>486.69333333333333</v>
      </c>
    </row>
    <row r="1422" spans="1:22" x14ac:dyDescent="0.3">
      <c r="A1422" t="s">
        <v>2759</v>
      </c>
      <c r="B1422" s="2">
        <v>45846</v>
      </c>
      <c r="C1422" t="s">
        <v>1533</v>
      </c>
      <c r="D1422" t="s">
        <v>24</v>
      </c>
      <c r="E1422" t="s">
        <v>25</v>
      </c>
      <c r="F1422">
        <v>1</v>
      </c>
      <c r="G1422">
        <v>0.3</v>
      </c>
      <c r="H1422">
        <v>9800</v>
      </c>
      <c r="I1422">
        <v>-5934.13</v>
      </c>
      <c r="J1422" t="s">
        <v>65</v>
      </c>
      <c r="K1422" t="s">
        <v>434</v>
      </c>
      <c r="L1422">
        <v>9800</v>
      </c>
      <c r="M1422">
        <v>-60.552346938775507</v>
      </c>
      <c r="N1422" t="s">
        <v>81</v>
      </c>
      <c r="O1422" t="s">
        <v>1534</v>
      </c>
      <c r="P1422" t="s">
        <v>83</v>
      </c>
      <c r="Q1422" t="s">
        <v>42</v>
      </c>
      <c r="R1422" t="s">
        <v>110</v>
      </c>
      <c r="S1422" t="s">
        <v>111</v>
      </c>
      <c r="T1422" t="s">
        <v>503</v>
      </c>
      <c r="U1422" t="s">
        <v>46</v>
      </c>
      <c r="V1422">
        <v>-5934.13</v>
      </c>
    </row>
    <row r="1423" spans="1:22" x14ac:dyDescent="0.3">
      <c r="A1423" t="s">
        <v>2760</v>
      </c>
      <c r="B1423" s="2">
        <v>46022</v>
      </c>
      <c r="C1423" t="s">
        <v>1363</v>
      </c>
      <c r="D1423" t="s">
        <v>70</v>
      </c>
      <c r="E1423" t="s">
        <v>129</v>
      </c>
      <c r="F1423">
        <v>5</v>
      </c>
      <c r="G1423">
        <v>0.1</v>
      </c>
      <c r="H1423">
        <v>247500</v>
      </c>
      <c r="I1423">
        <v>-68668.95</v>
      </c>
      <c r="J1423" t="s">
        <v>51</v>
      </c>
      <c r="K1423" t="s">
        <v>80</v>
      </c>
      <c r="L1423">
        <v>49500</v>
      </c>
      <c r="M1423">
        <v>-27.745030303030301</v>
      </c>
      <c r="N1423" t="s">
        <v>81</v>
      </c>
      <c r="O1423" t="s">
        <v>1364</v>
      </c>
      <c r="P1423" t="s">
        <v>73</v>
      </c>
      <c r="Q1423" t="s">
        <v>30</v>
      </c>
      <c r="R1423" t="s">
        <v>98</v>
      </c>
      <c r="S1423" t="s">
        <v>54</v>
      </c>
      <c r="T1423" t="s">
        <v>1365</v>
      </c>
      <c r="U1423" t="s">
        <v>105</v>
      </c>
      <c r="V1423">
        <v>-13733.79</v>
      </c>
    </row>
    <row r="1424" spans="1:22" x14ac:dyDescent="0.3">
      <c r="A1424" t="s">
        <v>2761</v>
      </c>
      <c r="B1424" s="2">
        <v>46140</v>
      </c>
      <c r="C1424" t="s">
        <v>1542</v>
      </c>
      <c r="D1424" t="s">
        <v>49</v>
      </c>
      <c r="E1424" t="s">
        <v>119</v>
      </c>
      <c r="F1424">
        <v>2</v>
      </c>
      <c r="G1424">
        <v>0</v>
      </c>
      <c r="H1424">
        <v>18000</v>
      </c>
      <c r="I1424">
        <v>4600</v>
      </c>
      <c r="J1424" t="s">
        <v>65</v>
      </c>
      <c r="K1424" t="s">
        <v>40</v>
      </c>
      <c r="L1424">
        <v>9000</v>
      </c>
      <c r="M1424">
        <v>25.55555555555555</v>
      </c>
      <c r="N1424" t="s">
        <v>8</v>
      </c>
      <c r="O1424" t="s">
        <v>141</v>
      </c>
      <c r="P1424" t="s">
        <v>29</v>
      </c>
      <c r="Q1424" t="s">
        <v>74</v>
      </c>
      <c r="R1424" t="s">
        <v>75</v>
      </c>
      <c r="S1424" t="s">
        <v>75</v>
      </c>
      <c r="T1424" t="s">
        <v>1543</v>
      </c>
      <c r="U1424" t="s">
        <v>100</v>
      </c>
      <c r="V1424">
        <v>2300</v>
      </c>
    </row>
    <row r="1425" spans="1:22" x14ac:dyDescent="0.3">
      <c r="A1425" t="s">
        <v>2762</v>
      </c>
      <c r="B1425" s="2">
        <v>46258</v>
      </c>
      <c r="C1425" t="s">
        <v>543</v>
      </c>
      <c r="D1425" t="s">
        <v>70</v>
      </c>
      <c r="E1425" t="s">
        <v>165</v>
      </c>
      <c r="F1425">
        <v>1</v>
      </c>
      <c r="G1425">
        <v>0.2</v>
      </c>
      <c r="H1425">
        <v>2000</v>
      </c>
      <c r="I1425">
        <v>499.27</v>
      </c>
      <c r="J1425" t="s">
        <v>51</v>
      </c>
      <c r="K1425" t="s">
        <v>40</v>
      </c>
      <c r="L1425">
        <v>2000</v>
      </c>
      <c r="M1425">
        <v>24.9635</v>
      </c>
      <c r="N1425" t="s">
        <v>8</v>
      </c>
      <c r="O1425" t="s">
        <v>545</v>
      </c>
      <c r="P1425" t="s">
        <v>83</v>
      </c>
      <c r="Q1425" t="s">
        <v>74</v>
      </c>
      <c r="R1425" t="s">
        <v>75</v>
      </c>
      <c r="S1425" t="s">
        <v>75</v>
      </c>
      <c r="T1425" t="s">
        <v>546</v>
      </c>
      <c r="U1425" t="s">
        <v>34</v>
      </c>
      <c r="V1425">
        <v>499.27</v>
      </c>
    </row>
    <row r="1426" spans="1:22" x14ac:dyDescent="0.3">
      <c r="A1426" t="s">
        <v>2763</v>
      </c>
      <c r="B1426" s="2">
        <v>46002</v>
      </c>
      <c r="C1426" t="s">
        <v>617</v>
      </c>
      <c r="D1426" t="s">
        <v>37</v>
      </c>
      <c r="E1426" t="s">
        <v>310</v>
      </c>
      <c r="F1426">
        <v>2</v>
      </c>
      <c r="G1426">
        <v>0.05</v>
      </c>
      <c r="H1426">
        <v>4180</v>
      </c>
      <c r="I1426">
        <v>-942.15</v>
      </c>
      <c r="J1426" t="s">
        <v>26</v>
      </c>
      <c r="K1426" t="s">
        <v>80</v>
      </c>
      <c r="L1426">
        <v>2090</v>
      </c>
      <c r="M1426">
        <v>-22.539473684210531</v>
      </c>
      <c r="N1426" t="s">
        <v>81</v>
      </c>
      <c r="O1426" t="s">
        <v>618</v>
      </c>
      <c r="P1426" t="s">
        <v>83</v>
      </c>
      <c r="Q1426" t="s">
        <v>30</v>
      </c>
      <c r="R1426" t="s">
        <v>98</v>
      </c>
      <c r="S1426" t="s">
        <v>54</v>
      </c>
      <c r="T1426" t="s">
        <v>619</v>
      </c>
      <c r="U1426" t="s">
        <v>100</v>
      </c>
      <c r="V1426">
        <v>-471.07499999999999</v>
      </c>
    </row>
    <row r="1427" spans="1:22" x14ac:dyDescent="0.3">
      <c r="A1427" t="s">
        <v>2764</v>
      </c>
      <c r="B1427" s="2">
        <v>46139</v>
      </c>
      <c r="C1427" t="s">
        <v>1690</v>
      </c>
      <c r="D1427" t="s">
        <v>49</v>
      </c>
      <c r="E1427" t="s">
        <v>79</v>
      </c>
      <c r="F1427">
        <v>1</v>
      </c>
      <c r="G1427">
        <v>0.1</v>
      </c>
      <c r="H1427">
        <v>9900</v>
      </c>
      <c r="I1427">
        <v>2023.34</v>
      </c>
      <c r="J1427" t="s">
        <v>26</v>
      </c>
      <c r="K1427" t="s">
        <v>27</v>
      </c>
      <c r="L1427">
        <v>9900</v>
      </c>
      <c r="M1427">
        <v>20.437777777777779</v>
      </c>
      <c r="N1427" t="s">
        <v>8</v>
      </c>
      <c r="O1427" t="s">
        <v>1566</v>
      </c>
      <c r="P1427" t="s">
        <v>73</v>
      </c>
      <c r="Q1427" t="s">
        <v>30</v>
      </c>
      <c r="R1427" t="s">
        <v>53</v>
      </c>
      <c r="S1427" t="s">
        <v>54</v>
      </c>
      <c r="T1427" t="s">
        <v>1691</v>
      </c>
      <c r="U1427" t="s">
        <v>105</v>
      </c>
      <c r="V1427">
        <v>2023.34</v>
      </c>
    </row>
    <row r="1428" spans="1:22" x14ac:dyDescent="0.3">
      <c r="A1428" t="s">
        <v>2765</v>
      </c>
      <c r="B1428" s="2">
        <v>46101</v>
      </c>
      <c r="C1428" t="s">
        <v>1557</v>
      </c>
      <c r="D1428" t="s">
        <v>49</v>
      </c>
      <c r="E1428" t="s">
        <v>119</v>
      </c>
      <c r="F1428">
        <v>3</v>
      </c>
      <c r="G1428">
        <v>0.15</v>
      </c>
      <c r="H1428">
        <v>22950</v>
      </c>
      <c r="I1428">
        <v>3492.91</v>
      </c>
      <c r="J1428" t="s">
        <v>65</v>
      </c>
      <c r="K1428" t="s">
        <v>40</v>
      </c>
      <c r="L1428">
        <v>7650</v>
      </c>
      <c r="M1428">
        <v>15.21965141612201</v>
      </c>
      <c r="N1428" t="s">
        <v>8</v>
      </c>
      <c r="O1428" t="s">
        <v>821</v>
      </c>
      <c r="P1428" t="s">
        <v>73</v>
      </c>
      <c r="Q1428" t="s">
        <v>42</v>
      </c>
      <c r="R1428" t="s">
        <v>121</v>
      </c>
      <c r="S1428" t="s">
        <v>44</v>
      </c>
      <c r="T1428" t="s">
        <v>1558</v>
      </c>
      <c r="U1428" t="s">
        <v>105</v>
      </c>
      <c r="V1428">
        <v>1164.3033333333331</v>
      </c>
    </row>
    <row r="1429" spans="1:22" x14ac:dyDescent="0.3">
      <c r="A1429" t="s">
        <v>2766</v>
      </c>
      <c r="B1429" s="2">
        <v>45899</v>
      </c>
      <c r="C1429" t="s">
        <v>258</v>
      </c>
      <c r="D1429" t="s">
        <v>49</v>
      </c>
      <c r="E1429" t="s">
        <v>119</v>
      </c>
      <c r="F1429">
        <v>1</v>
      </c>
      <c r="G1429">
        <v>0.05</v>
      </c>
      <c r="H1429">
        <v>8550</v>
      </c>
      <c r="I1429">
        <v>-674.01</v>
      </c>
      <c r="J1429" t="s">
        <v>39</v>
      </c>
      <c r="K1429" t="s">
        <v>434</v>
      </c>
      <c r="L1429">
        <v>8550</v>
      </c>
      <c r="M1429">
        <v>-7.8831578947368417</v>
      </c>
      <c r="N1429" t="s">
        <v>81</v>
      </c>
      <c r="O1429" t="s">
        <v>259</v>
      </c>
      <c r="P1429" t="s">
        <v>73</v>
      </c>
      <c r="Q1429" t="s">
        <v>30</v>
      </c>
      <c r="R1429" t="s">
        <v>60</v>
      </c>
      <c r="S1429" t="s">
        <v>61</v>
      </c>
      <c r="T1429" t="s">
        <v>260</v>
      </c>
      <c r="U1429" t="s">
        <v>105</v>
      </c>
      <c r="V1429">
        <v>-674.01</v>
      </c>
    </row>
    <row r="1430" spans="1:22" x14ac:dyDescent="0.3">
      <c r="A1430" t="s">
        <v>2767</v>
      </c>
      <c r="B1430" s="2">
        <v>45963</v>
      </c>
      <c r="C1430" t="s">
        <v>1704</v>
      </c>
      <c r="D1430" t="s">
        <v>24</v>
      </c>
      <c r="E1430" t="s">
        <v>92</v>
      </c>
      <c r="F1430">
        <v>2</v>
      </c>
      <c r="G1430">
        <v>0</v>
      </c>
      <c r="H1430">
        <v>1800</v>
      </c>
      <c r="I1430">
        <v>560</v>
      </c>
      <c r="J1430" t="s">
        <v>51</v>
      </c>
      <c r="K1430" t="s">
        <v>40</v>
      </c>
      <c r="L1430">
        <v>900</v>
      </c>
      <c r="M1430">
        <v>31.111111111111111</v>
      </c>
      <c r="N1430" t="s">
        <v>8</v>
      </c>
      <c r="O1430" t="s">
        <v>636</v>
      </c>
      <c r="P1430" t="s">
        <v>29</v>
      </c>
      <c r="Q1430" t="s">
        <v>30</v>
      </c>
      <c r="R1430" t="s">
        <v>53</v>
      </c>
      <c r="S1430" t="s">
        <v>54</v>
      </c>
      <c r="T1430" t="s">
        <v>1705</v>
      </c>
      <c r="U1430" t="s">
        <v>34</v>
      </c>
      <c r="V1430">
        <v>280</v>
      </c>
    </row>
    <row r="1431" spans="1:22" x14ac:dyDescent="0.3">
      <c r="A1431" t="s">
        <v>2768</v>
      </c>
      <c r="B1431" s="2">
        <v>46257</v>
      </c>
      <c r="C1431" t="s">
        <v>1837</v>
      </c>
      <c r="D1431" t="s">
        <v>70</v>
      </c>
      <c r="E1431" t="s">
        <v>165</v>
      </c>
      <c r="F1431">
        <v>10</v>
      </c>
      <c r="G1431">
        <v>0.05</v>
      </c>
      <c r="H1431">
        <v>23750</v>
      </c>
      <c r="I1431">
        <v>7151.93</v>
      </c>
      <c r="J1431" t="s">
        <v>39</v>
      </c>
      <c r="K1431" t="s">
        <v>40</v>
      </c>
      <c r="L1431">
        <v>2375</v>
      </c>
      <c r="M1431">
        <v>30.113389473684212</v>
      </c>
      <c r="N1431" t="s">
        <v>8</v>
      </c>
      <c r="O1431" t="s">
        <v>492</v>
      </c>
      <c r="P1431" t="s">
        <v>29</v>
      </c>
      <c r="Q1431" t="s">
        <v>131</v>
      </c>
      <c r="R1431" t="s">
        <v>200</v>
      </c>
      <c r="S1431" t="s">
        <v>1838</v>
      </c>
      <c r="T1431" t="s">
        <v>1839</v>
      </c>
      <c r="U1431" t="s">
        <v>34</v>
      </c>
      <c r="V1431">
        <v>715.19299999999998</v>
      </c>
    </row>
    <row r="1432" spans="1:22" x14ac:dyDescent="0.3">
      <c r="A1432" t="s">
        <v>2769</v>
      </c>
      <c r="B1432" s="2">
        <v>45875</v>
      </c>
      <c r="C1432" t="s">
        <v>1423</v>
      </c>
      <c r="D1432" t="s">
        <v>37</v>
      </c>
      <c r="E1432" t="s">
        <v>38</v>
      </c>
      <c r="F1432">
        <v>4</v>
      </c>
      <c r="G1432">
        <v>0.1</v>
      </c>
      <c r="H1432">
        <v>6480</v>
      </c>
      <c r="I1432">
        <v>2264.5100000000002</v>
      </c>
      <c r="J1432" t="s">
        <v>26</v>
      </c>
      <c r="K1432" t="s">
        <v>40</v>
      </c>
      <c r="L1432">
        <v>1620</v>
      </c>
      <c r="M1432">
        <v>34.946141975308649</v>
      </c>
      <c r="N1432" t="s">
        <v>8</v>
      </c>
      <c r="O1432" t="s">
        <v>1424</v>
      </c>
      <c r="P1432" t="s">
        <v>29</v>
      </c>
      <c r="Q1432" t="s">
        <v>74</v>
      </c>
      <c r="R1432" t="s">
        <v>75</v>
      </c>
      <c r="S1432" t="s">
        <v>75</v>
      </c>
      <c r="T1432" t="s">
        <v>1425</v>
      </c>
      <c r="U1432" t="s">
        <v>34</v>
      </c>
      <c r="V1432">
        <v>566.12750000000005</v>
      </c>
    </row>
    <row r="1433" spans="1:22" x14ac:dyDescent="0.3">
      <c r="A1433" t="s">
        <v>2770</v>
      </c>
      <c r="B1433" s="2">
        <v>46033</v>
      </c>
      <c r="C1433" t="s">
        <v>417</v>
      </c>
      <c r="D1433" t="s">
        <v>70</v>
      </c>
      <c r="E1433" t="s">
        <v>108</v>
      </c>
      <c r="F1433">
        <v>2</v>
      </c>
      <c r="G1433">
        <v>0</v>
      </c>
      <c r="H1433">
        <v>9000</v>
      </c>
      <c r="I1433">
        <v>3000</v>
      </c>
      <c r="J1433" t="s">
        <v>39</v>
      </c>
      <c r="K1433" t="s">
        <v>40</v>
      </c>
      <c r="L1433">
        <v>4500</v>
      </c>
      <c r="M1433">
        <v>33.333333333333329</v>
      </c>
      <c r="N1433" t="s">
        <v>8</v>
      </c>
      <c r="O1433" t="s">
        <v>418</v>
      </c>
      <c r="P1433" t="s">
        <v>29</v>
      </c>
      <c r="Q1433" t="s">
        <v>30</v>
      </c>
      <c r="R1433" t="s">
        <v>60</v>
      </c>
      <c r="S1433" t="s">
        <v>61</v>
      </c>
      <c r="T1433" t="s">
        <v>419</v>
      </c>
      <c r="U1433" t="s">
        <v>34</v>
      </c>
      <c r="V1433">
        <v>1500</v>
      </c>
    </row>
    <row r="1434" spans="1:22" x14ac:dyDescent="0.3">
      <c r="A1434" t="s">
        <v>2771</v>
      </c>
      <c r="B1434" s="2">
        <v>45990</v>
      </c>
      <c r="C1434" t="s">
        <v>1524</v>
      </c>
      <c r="D1434" t="s">
        <v>24</v>
      </c>
      <c r="E1434" t="s">
        <v>87</v>
      </c>
      <c r="F1434">
        <v>3</v>
      </c>
      <c r="G1434">
        <v>0.05</v>
      </c>
      <c r="H1434">
        <v>997.5</v>
      </c>
      <c r="I1434">
        <v>330.71</v>
      </c>
      <c r="J1434" t="s">
        <v>39</v>
      </c>
      <c r="K1434" t="s">
        <v>40</v>
      </c>
      <c r="L1434">
        <v>332.5</v>
      </c>
      <c r="M1434">
        <v>33.153884711779448</v>
      </c>
      <c r="N1434" t="s">
        <v>8</v>
      </c>
      <c r="O1434" t="s">
        <v>243</v>
      </c>
      <c r="P1434" t="s">
        <v>73</v>
      </c>
      <c r="Q1434" t="s">
        <v>74</v>
      </c>
      <c r="R1434" t="s">
        <v>493</v>
      </c>
      <c r="S1434" t="s">
        <v>494</v>
      </c>
      <c r="T1434" t="s">
        <v>1525</v>
      </c>
      <c r="U1434" t="s">
        <v>34</v>
      </c>
      <c r="V1434">
        <v>110.23666666666669</v>
      </c>
    </row>
    <row r="1435" spans="1:22" x14ac:dyDescent="0.3">
      <c r="A1435" t="s">
        <v>2772</v>
      </c>
      <c r="B1435" s="2">
        <v>46084</v>
      </c>
      <c r="C1435" t="s">
        <v>900</v>
      </c>
      <c r="D1435" t="s">
        <v>49</v>
      </c>
      <c r="E1435" t="s">
        <v>50</v>
      </c>
      <c r="F1435">
        <v>2</v>
      </c>
      <c r="G1435">
        <v>0</v>
      </c>
      <c r="H1435">
        <v>26000</v>
      </c>
      <c r="I1435">
        <v>6400</v>
      </c>
      <c r="J1435" t="s">
        <v>65</v>
      </c>
      <c r="K1435" t="s">
        <v>40</v>
      </c>
      <c r="L1435">
        <v>13000</v>
      </c>
      <c r="M1435">
        <v>24.61538461538462</v>
      </c>
      <c r="N1435" t="s">
        <v>8</v>
      </c>
      <c r="O1435" t="s">
        <v>901</v>
      </c>
      <c r="P1435" t="s">
        <v>29</v>
      </c>
      <c r="Q1435" t="s">
        <v>30</v>
      </c>
      <c r="R1435" t="s">
        <v>31</v>
      </c>
      <c r="S1435" t="s">
        <v>32</v>
      </c>
      <c r="T1435" t="s">
        <v>902</v>
      </c>
      <c r="U1435" t="s">
        <v>34</v>
      </c>
      <c r="V1435">
        <v>3200</v>
      </c>
    </row>
    <row r="1436" spans="1:22" x14ac:dyDescent="0.3">
      <c r="A1436" t="s">
        <v>2773</v>
      </c>
      <c r="B1436" s="2">
        <v>46140</v>
      </c>
      <c r="C1436" t="s">
        <v>2233</v>
      </c>
      <c r="D1436" t="s">
        <v>70</v>
      </c>
      <c r="E1436" t="s">
        <v>71</v>
      </c>
      <c r="F1436">
        <v>3</v>
      </c>
      <c r="G1436">
        <v>0</v>
      </c>
      <c r="H1436">
        <v>54000</v>
      </c>
      <c r="I1436">
        <v>10500</v>
      </c>
      <c r="J1436" t="s">
        <v>39</v>
      </c>
      <c r="K1436" t="s">
        <v>27</v>
      </c>
      <c r="L1436">
        <v>18000</v>
      </c>
      <c r="M1436">
        <v>19.44444444444445</v>
      </c>
      <c r="N1436" t="s">
        <v>8</v>
      </c>
      <c r="O1436" t="s">
        <v>398</v>
      </c>
      <c r="P1436" t="s">
        <v>73</v>
      </c>
      <c r="Q1436" t="s">
        <v>74</v>
      </c>
      <c r="R1436" t="s">
        <v>75</v>
      </c>
      <c r="S1436" t="s">
        <v>75</v>
      </c>
      <c r="T1436" t="s">
        <v>391</v>
      </c>
      <c r="U1436" t="s">
        <v>46</v>
      </c>
      <c r="V1436">
        <v>3500</v>
      </c>
    </row>
    <row r="1437" spans="1:22" x14ac:dyDescent="0.3">
      <c r="A1437" t="s">
        <v>2774</v>
      </c>
      <c r="B1437" s="2">
        <v>46169</v>
      </c>
      <c r="C1437" t="s">
        <v>2737</v>
      </c>
      <c r="D1437" t="s">
        <v>49</v>
      </c>
      <c r="E1437" t="s">
        <v>58</v>
      </c>
      <c r="F1437">
        <v>6</v>
      </c>
      <c r="G1437">
        <v>0.15</v>
      </c>
      <c r="H1437">
        <v>76500</v>
      </c>
      <c r="I1437">
        <v>11838.23</v>
      </c>
      <c r="J1437" t="s">
        <v>51</v>
      </c>
      <c r="K1437" t="s">
        <v>40</v>
      </c>
      <c r="L1437">
        <v>12750</v>
      </c>
      <c r="M1437">
        <v>15.474810457516339</v>
      </c>
      <c r="N1437" t="s">
        <v>8</v>
      </c>
      <c r="O1437" t="s">
        <v>567</v>
      </c>
      <c r="P1437" t="s">
        <v>29</v>
      </c>
      <c r="Q1437" t="s">
        <v>42</v>
      </c>
      <c r="R1437" t="s">
        <v>121</v>
      </c>
      <c r="S1437" t="s">
        <v>44</v>
      </c>
      <c r="T1437" t="s">
        <v>2738</v>
      </c>
      <c r="U1437" t="s">
        <v>46</v>
      </c>
      <c r="V1437">
        <v>1973.038333333333</v>
      </c>
    </row>
    <row r="1438" spans="1:22" x14ac:dyDescent="0.3">
      <c r="A1438" t="s">
        <v>2775</v>
      </c>
      <c r="B1438" s="2">
        <v>46113</v>
      </c>
      <c r="C1438" t="s">
        <v>2415</v>
      </c>
      <c r="D1438" t="s">
        <v>70</v>
      </c>
      <c r="E1438" t="s">
        <v>129</v>
      </c>
      <c r="F1438">
        <v>5</v>
      </c>
      <c r="G1438">
        <v>0.2</v>
      </c>
      <c r="H1438">
        <v>220000</v>
      </c>
      <c r="I1438">
        <v>12601.32</v>
      </c>
      <c r="J1438" t="s">
        <v>51</v>
      </c>
      <c r="K1438" t="s">
        <v>40</v>
      </c>
      <c r="L1438">
        <v>44000</v>
      </c>
      <c r="M1438">
        <v>5.727872727272727</v>
      </c>
      <c r="N1438" t="s">
        <v>8</v>
      </c>
      <c r="O1438" t="s">
        <v>1098</v>
      </c>
      <c r="P1438" t="s">
        <v>29</v>
      </c>
      <c r="Q1438" t="s">
        <v>30</v>
      </c>
      <c r="R1438" t="s">
        <v>53</v>
      </c>
      <c r="S1438" t="s">
        <v>54</v>
      </c>
      <c r="T1438" t="s">
        <v>2416</v>
      </c>
      <c r="U1438" t="s">
        <v>34</v>
      </c>
      <c r="V1438">
        <v>2520.2640000000001</v>
      </c>
    </row>
    <row r="1439" spans="1:22" x14ac:dyDescent="0.3">
      <c r="A1439" t="s">
        <v>2776</v>
      </c>
      <c r="B1439" s="2">
        <v>46037</v>
      </c>
      <c r="C1439" t="s">
        <v>875</v>
      </c>
      <c r="D1439" t="s">
        <v>70</v>
      </c>
      <c r="E1439" t="s">
        <v>129</v>
      </c>
      <c r="F1439">
        <v>2</v>
      </c>
      <c r="G1439">
        <v>0.15</v>
      </c>
      <c r="H1439">
        <v>93500</v>
      </c>
      <c r="I1439">
        <v>9194.5</v>
      </c>
      <c r="J1439" t="s">
        <v>51</v>
      </c>
      <c r="K1439" t="s">
        <v>27</v>
      </c>
      <c r="L1439">
        <v>46750</v>
      </c>
      <c r="M1439">
        <v>9.8336898395721928</v>
      </c>
      <c r="N1439" t="s">
        <v>8</v>
      </c>
      <c r="O1439" t="s">
        <v>149</v>
      </c>
      <c r="P1439" t="s">
        <v>73</v>
      </c>
      <c r="Q1439" t="s">
        <v>42</v>
      </c>
      <c r="R1439" t="s">
        <v>214</v>
      </c>
      <c r="S1439" t="s">
        <v>111</v>
      </c>
      <c r="T1439" t="s">
        <v>876</v>
      </c>
      <c r="U1439" t="s">
        <v>100</v>
      </c>
      <c r="V1439">
        <v>4597.25</v>
      </c>
    </row>
    <row r="1440" spans="1:22" x14ac:dyDescent="0.3">
      <c r="A1440" t="s">
        <v>2777</v>
      </c>
      <c r="B1440" s="2">
        <v>46059</v>
      </c>
      <c r="C1440" t="s">
        <v>1723</v>
      </c>
      <c r="D1440" t="s">
        <v>24</v>
      </c>
      <c r="E1440" t="s">
        <v>92</v>
      </c>
      <c r="F1440">
        <v>4</v>
      </c>
      <c r="G1440">
        <v>0.15</v>
      </c>
      <c r="H1440">
        <v>3060</v>
      </c>
      <c r="I1440">
        <v>-925.04</v>
      </c>
      <c r="J1440" t="s">
        <v>39</v>
      </c>
      <c r="K1440" t="s">
        <v>434</v>
      </c>
      <c r="L1440">
        <v>765</v>
      </c>
      <c r="M1440">
        <v>-30.23006535947712</v>
      </c>
      <c r="N1440" t="s">
        <v>81</v>
      </c>
      <c r="O1440" t="s">
        <v>398</v>
      </c>
      <c r="P1440" t="s">
        <v>83</v>
      </c>
      <c r="Q1440" t="s">
        <v>30</v>
      </c>
      <c r="R1440" t="s">
        <v>98</v>
      </c>
      <c r="S1440" t="s">
        <v>54</v>
      </c>
      <c r="T1440" t="s">
        <v>1724</v>
      </c>
      <c r="U1440" t="s">
        <v>46</v>
      </c>
      <c r="V1440">
        <v>-231.26</v>
      </c>
    </row>
    <row r="1441" spans="1:22" x14ac:dyDescent="0.3">
      <c r="A1441" t="s">
        <v>2778</v>
      </c>
      <c r="B1441" s="2">
        <v>46191</v>
      </c>
      <c r="C1441" t="s">
        <v>421</v>
      </c>
      <c r="D1441" t="s">
        <v>70</v>
      </c>
      <c r="E1441" t="s">
        <v>165</v>
      </c>
      <c r="F1441">
        <v>3</v>
      </c>
      <c r="G1441">
        <v>0</v>
      </c>
      <c r="H1441">
        <v>7500</v>
      </c>
      <c r="I1441">
        <v>2400</v>
      </c>
      <c r="J1441" t="s">
        <v>39</v>
      </c>
      <c r="K1441" t="s">
        <v>40</v>
      </c>
      <c r="L1441">
        <v>2500</v>
      </c>
      <c r="M1441">
        <v>32</v>
      </c>
      <c r="N1441" t="s">
        <v>8</v>
      </c>
      <c r="O1441" t="s">
        <v>422</v>
      </c>
      <c r="P1441" t="s">
        <v>73</v>
      </c>
      <c r="Q1441" t="s">
        <v>30</v>
      </c>
      <c r="R1441" t="s">
        <v>98</v>
      </c>
      <c r="S1441" t="s">
        <v>54</v>
      </c>
      <c r="T1441" t="s">
        <v>423</v>
      </c>
      <c r="U1441" t="s">
        <v>34</v>
      </c>
      <c r="V1441">
        <v>800</v>
      </c>
    </row>
    <row r="1442" spans="1:22" x14ac:dyDescent="0.3">
      <c r="A1442" t="s">
        <v>2779</v>
      </c>
      <c r="B1442" s="2">
        <v>45994</v>
      </c>
      <c r="C1442" t="s">
        <v>258</v>
      </c>
      <c r="D1442" t="s">
        <v>24</v>
      </c>
      <c r="E1442" t="s">
        <v>87</v>
      </c>
      <c r="F1442">
        <v>5</v>
      </c>
      <c r="G1442">
        <v>0.05</v>
      </c>
      <c r="H1442">
        <v>1662.5</v>
      </c>
      <c r="I1442">
        <v>541.1</v>
      </c>
      <c r="J1442" t="s">
        <v>65</v>
      </c>
      <c r="K1442" t="s">
        <v>40</v>
      </c>
      <c r="L1442">
        <v>332.5</v>
      </c>
      <c r="M1442">
        <v>32.547368421052632</v>
      </c>
      <c r="N1442" t="s">
        <v>8</v>
      </c>
      <c r="O1442" t="s">
        <v>259</v>
      </c>
      <c r="P1442" t="s">
        <v>73</v>
      </c>
      <c r="Q1442" t="s">
        <v>30</v>
      </c>
      <c r="R1442" t="s">
        <v>60</v>
      </c>
      <c r="S1442" t="s">
        <v>61</v>
      </c>
      <c r="T1442" t="s">
        <v>260</v>
      </c>
      <c r="U1442" t="s">
        <v>105</v>
      </c>
      <c r="V1442">
        <v>108.22</v>
      </c>
    </row>
    <row r="1443" spans="1:22" x14ac:dyDescent="0.3">
      <c r="A1443" t="s">
        <v>2780</v>
      </c>
      <c r="B1443" s="2">
        <v>46026</v>
      </c>
      <c r="C1443" t="s">
        <v>1751</v>
      </c>
      <c r="D1443" t="s">
        <v>70</v>
      </c>
      <c r="E1443" t="s">
        <v>108</v>
      </c>
      <c r="F1443">
        <v>2</v>
      </c>
      <c r="G1443">
        <v>0.1</v>
      </c>
      <c r="H1443">
        <v>8100</v>
      </c>
      <c r="I1443">
        <v>2281.88</v>
      </c>
      <c r="J1443" t="s">
        <v>39</v>
      </c>
      <c r="K1443" t="s">
        <v>27</v>
      </c>
      <c r="L1443">
        <v>4050</v>
      </c>
      <c r="M1443">
        <v>28.171358024691362</v>
      </c>
      <c r="N1443" t="s">
        <v>8</v>
      </c>
      <c r="O1443" t="s">
        <v>537</v>
      </c>
      <c r="P1443" t="s">
        <v>83</v>
      </c>
      <c r="Q1443" t="s">
        <v>74</v>
      </c>
      <c r="R1443" t="s">
        <v>115</v>
      </c>
      <c r="S1443" t="s">
        <v>115</v>
      </c>
      <c r="T1443" t="s">
        <v>1752</v>
      </c>
      <c r="U1443" t="s">
        <v>46</v>
      </c>
      <c r="V1443">
        <v>1140.94</v>
      </c>
    </row>
    <row r="1444" spans="1:22" x14ac:dyDescent="0.3">
      <c r="A1444" t="s">
        <v>2781</v>
      </c>
      <c r="B1444" s="2">
        <v>46052</v>
      </c>
      <c r="C1444" t="s">
        <v>664</v>
      </c>
      <c r="D1444" t="s">
        <v>37</v>
      </c>
      <c r="E1444" t="s">
        <v>310</v>
      </c>
      <c r="F1444">
        <v>3</v>
      </c>
      <c r="G1444">
        <v>0.05</v>
      </c>
      <c r="H1444">
        <v>6270</v>
      </c>
      <c r="I1444">
        <v>2097.6799999999998</v>
      </c>
      <c r="J1444" t="s">
        <v>51</v>
      </c>
      <c r="K1444" t="s">
        <v>40</v>
      </c>
      <c r="L1444">
        <v>2090</v>
      </c>
      <c r="M1444">
        <v>33.455821371610853</v>
      </c>
      <c r="N1444" t="s">
        <v>8</v>
      </c>
      <c r="O1444" t="s">
        <v>665</v>
      </c>
      <c r="P1444" t="s">
        <v>29</v>
      </c>
      <c r="Q1444" t="s">
        <v>30</v>
      </c>
      <c r="R1444" t="s">
        <v>31</v>
      </c>
      <c r="S1444" t="s">
        <v>32</v>
      </c>
      <c r="T1444" t="s">
        <v>256</v>
      </c>
      <c r="U1444" t="s">
        <v>34</v>
      </c>
      <c r="V1444">
        <v>699.22666666666657</v>
      </c>
    </row>
    <row r="1445" spans="1:22" x14ac:dyDescent="0.3">
      <c r="A1445" t="s">
        <v>2782</v>
      </c>
      <c r="B1445" s="2">
        <v>45902</v>
      </c>
      <c r="C1445" t="s">
        <v>365</v>
      </c>
      <c r="D1445" t="s">
        <v>24</v>
      </c>
      <c r="E1445" t="s">
        <v>242</v>
      </c>
      <c r="F1445">
        <v>1</v>
      </c>
      <c r="G1445">
        <v>0.1</v>
      </c>
      <c r="H1445">
        <v>405</v>
      </c>
      <c r="I1445">
        <v>77.209999999999994</v>
      </c>
      <c r="J1445" t="s">
        <v>39</v>
      </c>
      <c r="K1445" t="s">
        <v>40</v>
      </c>
      <c r="L1445">
        <v>405</v>
      </c>
      <c r="M1445">
        <v>19.064197530864199</v>
      </c>
      <c r="N1445" t="s">
        <v>8</v>
      </c>
      <c r="O1445" t="s">
        <v>318</v>
      </c>
      <c r="P1445" t="s">
        <v>29</v>
      </c>
      <c r="Q1445" t="s">
        <v>30</v>
      </c>
      <c r="R1445" t="s">
        <v>31</v>
      </c>
      <c r="S1445" t="s">
        <v>32</v>
      </c>
      <c r="T1445" t="s">
        <v>366</v>
      </c>
      <c r="U1445" t="s">
        <v>105</v>
      </c>
      <c r="V1445">
        <v>77.209999999999994</v>
      </c>
    </row>
    <row r="1446" spans="1:22" x14ac:dyDescent="0.3">
      <c r="A1446" t="s">
        <v>2783</v>
      </c>
      <c r="B1446" s="2">
        <v>46112</v>
      </c>
      <c r="C1446" t="s">
        <v>204</v>
      </c>
      <c r="D1446" t="s">
        <v>24</v>
      </c>
      <c r="E1446" t="s">
        <v>25</v>
      </c>
      <c r="F1446">
        <v>3</v>
      </c>
      <c r="G1446">
        <v>0.1</v>
      </c>
      <c r="H1446">
        <v>37800</v>
      </c>
      <c r="I1446">
        <v>5817.06</v>
      </c>
      <c r="J1446" t="s">
        <v>26</v>
      </c>
      <c r="K1446" t="s">
        <v>40</v>
      </c>
      <c r="L1446">
        <v>12600</v>
      </c>
      <c r="M1446">
        <v>15.38904761904762</v>
      </c>
      <c r="N1446" t="s">
        <v>8</v>
      </c>
      <c r="O1446" t="s">
        <v>205</v>
      </c>
      <c r="P1446" t="s">
        <v>29</v>
      </c>
      <c r="Q1446" t="s">
        <v>30</v>
      </c>
      <c r="R1446" t="s">
        <v>98</v>
      </c>
      <c r="S1446" t="s">
        <v>54</v>
      </c>
      <c r="T1446" t="s">
        <v>206</v>
      </c>
      <c r="U1446" t="s">
        <v>34</v>
      </c>
      <c r="V1446">
        <v>1939.02</v>
      </c>
    </row>
    <row r="1447" spans="1:22" x14ac:dyDescent="0.3">
      <c r="A1447" t="s">
        <v>2784</v>
      </c>
      <c r="B1447" s="2">
        <v>45938</v>
      </c>
      <c r="C1447" t="s">
        <v>397</v>
      </c>
      <c r="D1447" t="s">
        <v>70</v>
      </c>
      <c r="E1447" t="s">
        <v>71</v>
      </c>
      <c r="F1447">
        <v>4</v>
      </c>
      <c r="G1447">
        <v>0</v>
      </c>
      <c r="H1447">
        <v>72000</v>
      </c>
      <c r="I1447">
        <v>-6463.47</v>
      </c>
      <c r="J1447" t="s">
        <v>65</v>
      </c>
      <c r="K1447" t="s">
        <v>434</v>
      </c>
      <c r="L1447">
        <v>18000</v>
      </c>
      <c r="M1447">
        <v>-8.9770416666666666</v>
      </c>
      <c r="N1447" t="s">
        <v>81</v>
      </c>
      <c r="O1447" t="s">
        <v>398</v>
      </c>
      <c r="P1447" t="s">
        <v>73</v>
      </c>
      <c r="Q1447" t="s">
        <v>30</v>
      </c>
      <c r="R1447" t="s">
        <v>98</v>
      </c>
      <c r="S1447" t="s">
        <v>54</v>
      </c>
      <c r="T1447" t="s">
        <v>399</v>
      </c>
      <c r="U1447" t="s">
        <v>34</v>
      </c>
      <c r="V1447">
        <v>-1615.8675000000001</v>
      </c>
    </row>
    <row r="1448" spans="1:22" x14ac:dyDescent="0.3">
      <c r="A1448" t="s">
        <v>2785</v>
      </c>
      <c r="B1448" s="2">
        <v>45952</v>
      </c>
      <c r="C1448" t="s">
        <v>2014</v>
      </c>
      <c r="D1448" t="s">
        <v>49</v>
      </c>
      <c r="E1448" t="s">
        <v>79</v>
      </c>
      <c r="F1448">
        <v>1</v>
      </c>
      <c r="G1448">
        <v>0.15</v>
      </c>
      <c r="H1448">
        <v>9350</v>
      </c>
      <c r="I1448">
        <v>1687.46</v>
      </c>
      <c r="J1448" t="s">
        <v>51</v>
      </c>
      <c r="K1448" t="s">
        <v>40</v>
      </c>
      <c r="L1448">
        <v>9350</v>
      </c>
      <c r="M1448">
        <v>18.047700534759361</v>
      </c>
      <c r="N1448" t="s">
        <v>8</v>
      </c>
      <c r="O1448" t="s">
        <v>911</v>
      </c>
      <c r="P1448" t="s">
        <v>29</v>
      </c>
      <c r="Q1448" t="s">
        <v>42</v>
      </c>
      <c r="R1448" t="s">
        <v>214</v>
      </c>
      <c r="S1448" t="s">
        <v>111</v>
      </c>
      <c r="T1448" t="s">
        <v>2015</v>
      </c>
      <c r="U1448" t="s">
        <v>105</v>
      </c>
      <c r="V1448">
        <v>1687.46</v>
      </c>
    </row>
    <row r="1449" spans="1:22" x14ac:dyDescent="0.3">
      <c r="A1449" t="s">
        <v>2786</v>
      </c>
      <c r="B1449" s="2">
        <v>45872</v>
      </c>
      <c r="C1449" t="s">
        <v>1984</v>
      </c>
      <c r="D1449" t="s">
        <v>70</v>
      </c>
      <c r="E1449" t="s">
        <v>165</v>
      </c>
      <c r="F1449">
        <v>3</v>
      </c>
      <c r="G1449">
        <v>0.1</v>
      </c>
      <c r="H1449">
        <v>6750</v>
      </c>
      <c r="I1449">
        <v>1994.37</v>
      </c>
      <c r="J1449" t="s">
        <v>51</v>
      </c>
      <c r="K1449" t="s">
        <v>40</v>
      </c>
      <c r="L1449">
        <v>2250</v>
      </c>
      <c r="M1449">
        <v>29.54622222222222</v>
      </c>
      <c r="N1449" t="s">
        <v>8</v>
      </c>
      <c r="O1449" t="s">
        <v>959</v>
      </c>
      <c r="P1449" t="s">
        <v>73</v>
      </c>
      <c r="Q1449" t="s">
        <v>74</v>
      </c>
      <c r="R1449" t="s">
        <v>493</v>
      </c>
      <c r="S1449" t="s">
        <v>494</v>
      </c>
      <c r="T1449" t="s">
        <v>1985</v>
      </c>
      <c r="U1449" t="s">
        <v>100</v>
      </c>
      <c r="V1449">
        <v>664.79</v>
      </c>
    </row>
    <row r="1450" spans="1:22" x14ac:dyDescent="0.3">
      <c r="A1450" t="s">
        <v>2787</v>
      </c>
      <c r="B1450" s="2">
        <v>46064</v>
      </c>
      <c r="C1450" t="s">
        <v>2308</v>
      </c>
      <c r="D1450" t="s">
        <v>70</v>
      </c>
      <c r="E1450" t="s">
        <v>108</v>
      </c>
      <c r="F1450">
        <v>5</v>
      </c>
      <c r="G1450">
        <v>0.15</v>
      </c>
      <c r="H1450">
        <v>19125</v>
      </c>
      <c r="I1450">
        <v>5734.51</v>
      </c>
      <c r="J1450" t="s">
        <v>65</v>
      </c>
      <c r="K1450" t="s">
        <v>40</v>
      </c>
      <c r="L1450">
        <v>3825</v>
      </c>
      <c r="M1450">
        <v>29.984366013071899</v>
      </c>
      <c r="N1450" t="s">
        <v>8</v>
      </c>
      <c r="O1450" t="s">
        <v>2211</v>
      </c>
      <c r="P1450" t="s">
        <v>29</v>
      </c>
      <c r="Q1450" t="s">
        <v>42</v>
      </c>
      <c r="R1450" t="s">
        <v>121</v>
      </c>
      <c r="S1450" t="s">
        <v>44</v>
      </c>
      <c r="T1450" t="s">
        <v>763</v>
      </c>
      <c r="U1450" t="s">
        <v>46</v>
      </c>
      <c r="V1450">
        <v>1146.902</v>
      </c>
    </row>
    <row r="1451" spans="1:22" x14ac:dyDescent="0.3">
      <c r="A1451" t="s">
        <v>2788</v>
      </c>
      <c r="B1451" s="2">
        <v>46235</v>
      </c>
      <c r="C1451" t="s">
        <v>1060</v>
      </c>
      <c r="D1451" t="s">
        <v>49</v>
      </c>
      <c r="E1451" t="s">
        <v>50</v>
      </c>
      <c r="F1451">
        <v>6</v>
      </c>
      <c r="G1451">
        <v>0.2</v>
      </c>
      <c r="H1451">
        <v>62400</v>
      </c>
      <c r="I1451">
        <v>10241.11</v>
      </c>
      <c r="J1451" t="s">
        <v>26</v>
      </c>
      <c r="K1451" t="s">
        <v>40</v>
      </c>
      <c r="L1451">
        <v>10400</v>
      </c>
      <c r="M1451">
        <v>16.41203525641026</v>
      </c>
      <c r="N1451" t="s">
        <v>8</v>
      </c>
      <c r="O1451" t="s">
        <v>1061</v>
      </c>
      <c r="P1451" t="s">
        <v>73</v>
      </c>
      <c r="Q1451" t="s">
        <v>30</v>
      </c>
      <c r="R1451" t="s">
        <v>31</v>
      </c>
      <c r="S1451" t="s">
        <v>32</v>
      </c>
      <c r="T1451" t="s">
        <v>1062</v>
      </c>
      <c r="U1451" t="s">
        <v>46</v>
      </c>
      <c r="V1451">
        <v>1706.8516666666669</v>
      </c>
    </row>
    <row r="1452" spans="1:22" x14ac:dyDescent="0.3">
      <c r="A1452" t="s">
        <v>2789</v>
      </c>
      <c r="B1452" s="2">
        <v>45981</v>
      </c>
      <c r="C1452" t="s">
        <v>1181</v>
      </c>
      <c r="D1452" t="s">
        <v>24</v>
      </c>
      <c r="E1452" t="s">
        <v>242</v>
      </c>
      <c r="F1452">
        <v>2</v>
      </c>
      <c r="G1452">
        <v>0</v>
      </c>
      <c r="H1452">
        <v>900</v>
      </c>
      <c r="I1452">
        <v>-190.79</v>
      </c>
      <c r="J1452" t="s">
        <v>65</v>
      </c>
      <c r="K1452" t="s">
        <v>80</v>
      </c>
      <c r="L1452">
        <v>450</v>
      </c>
      <c r="M1452">
        <v>-21.198888888888892</v>
      </c>
      <c r="N1452" t="s">
        <v>81</v>
      </c>
      <c r="O1452" t="s">
        <v>1182</v>
      </c>
      <c r="P1452" t="s">
        <v>29</v>
      </c>
      <c r="Q1452" t="s">
        <v>30</v>
      </c>
      <c r="R1452" t="s">
        <v>31</v>
      </c>
      <c r="S1452" t="s">
        <v>32</v>
      </c>
      <c r="T1452" t="s">
        <v>206</v>
      </c>
      <c r="U1452" t="s">
        <v>46</v>
      </c>
      <c r="V1452">
        <v>-95.394999999999996</v>
      </c>
    </row>
    <row r="1453" spans="1:22" x14ac:dyDescent="0.3">
      <c r="A1453" t="s">
        <v>2790</v>
      </c>
      <c r="B1453" s="2">
        <v>45958</v>
      </c>
      <c r="C1453" t="s">
        <v>1629</v>
      </c>
      <c r="D1453" t="s">
        <v>24</v>
      </c>
      <c r="E1453" t="s">
        <v>242</v>
      </c>
      <c r="F1453">
        <v>1</v>
      </c>
      <c r="G1453">
        <v>0.05</v>
      </c>
      <c r="H1453">
        <v>427.5</v>
      </c>
      <c r="I1453">
        <v>99.54</v>
      </c>
      <c r="J1453" t="s">
        <v>51</v>
      </c>
      <c r="K1453" t="s">
        <v>40</v>
      </c>
      <c r="L1453">
        <v>427.5</v>
      </c>
      <c r="M1453">
        <v>23.284210526315789</v>
      </c>
      <c r="N1453" t="s">
        <v>8</v>
      </c>
      <c r="O1453" t="s">
        <v>1630</v>
      </c>
      <c r="P1453" t="s">
        <v>83</v>
      </c>
      <c r="Q1453" t="s">
        <v>42</v>
      </c>
      <c r="R1453" t="s">
        <v>121</v>
      </c>
      <c r="S1453" t="s">
        <v>44</v>
      </c>
      <c r="T1453" t="s">
        <v>1631</v>
      </c>
      <c r="U1453" t="s">
        <v>46</v>
      </c>
      <c r="V1453">
        <v>99.54</v>
      </c>
    </row>
    <row r="1454" spans="1:22" x14ac:dyDescent="0.3">
      <c r="A1454" t="s">
        <v>2791</v>
      </c>
      <c r="B1454" s="2">
        <v>46223</v>
      </c>
      <c r="C1454" t="s">
        <v>736</v>
      </c>
      <c r="D1454" t="s">
        <v>70</v>
      </c>
      <c r="E1454" t="s">
        <v>129</v>
      </c>
      <c r="F1454">
        <v>2</v>
      </c>
      <c r="G1454">
        <v>0.1</v>
      </c>
      <c r="H1454">
        <v>99000</v>
      </c>
      <c r="I1454">
        <v>12526.28</v>
      </c>
      <c r="J1454" t="s">
        <v>39</v>
      </c>
      <c r="K1454" t="s">
        <v>40</v>
      </c>
      <c r="L1454">
        <v>49500</v>
      </c>
      <c r="M1454">
        <v>12.652808080808081</v>
      </c>
      <c r="N1454" t="s">
        <v>8</v>
      </c>
      <c r="O1454" t="s">
        <v>648</v>
      </c>
      <c r="P1454" t="s">
        <v>29</v>
      </c>
      <c r="Q1454" t="s">
        <v>30</v>
      </c>
      <c r="R1454" t="s">
        <v>60</v>
      </c>
      <c r="S1454" t="s">
        <v>61</v>
      </c>
      <c r="T1454" t="s">
        <v>311</v>
      </c>
      <c r="U1454" t="s">
        <v>34</v>
      </c>
      <c r="V1454">
        <v>6263.14</v>
      </c>
    </row>
    <row r="1455" spans="1:22" x14ac:dyDescent="0.3">
      <c r="A1455" t="s">
        <v>2792</v>
      </c>
      <c r="B1455" s="2">
        <v>46235</v>
      </c>
      <c r="C1455" t="s">
        <v>1542</v>
      </c>
      <c r="D1455" t="s">
        <v>37</v>
      </c>
      <c r="E1455" t="s">
        <v>38</v>
      </c>
      <c r="F1455">
        <v>3</v>
      </c>
      <c r="G1455">
        <v>0.05</v>
      </c>
      <c r="H1455">
        <v>5130</v>
      </c>
      <c r="I1455">
        <v>1821.83</v>
      </c>
      <c r="J1455" t="s">
        <v>65</v>
      </c>
      <c r="K1455" t="s">
        <v>40</v>
      </c>
      <c r="L1455">
        <v>1710</v>
      </c>
      <c r="M1455">
        <v>35.513255360623781</v>
      </c>
      <c r="N1455" t="s">
        <v>8</v>
      </c>
      <c r="O1455" t="s">
        <v>141</v>
      </c>
      <c r="P1455" t="s">
        <v>29</v>
      </c>
      <c r="Q1455" t="s">
        <v>74</v>
      </c>
      <c r="R1455" t="s">
        <v>75</v>
      </c>
      <c r="S1455" t="s">
        <v>75</v>
      </c>
      <c r="T1455" t="s">
        <v>1543</v>
      </c>
      <c r="U1455" t="s">
        <v>100</v>
      </c>
      <c r="V1455">
        <v>607.27666666666664</v>
      </c>
    </row>
    <row r="1456" spans="1:22" x14ac:dyDescent="0.3">
      <c r="A1456" t="s">
        <v>2793</v>
      </c>
      <c r="B1456" s="2">
        <v>46212</v>
      </c>
      <c r="C1456" t="s">
        <v>1704</v>
      </c>
      <c r="D1456" t="s">
        <v>37</v>
      </c>
      <c r="E1456" t="s">
        <v>38</v>
      </c>
      <c r="F1456">
        <v>3</v>
      </c>
      <c r="G1456">
        <v>0.05</v>
      </c>
      <c r="H1456">
        <v>5130</v>
      </c>
      <c r="I1456">
        <v>1771.81</v>
      </c>
      <c r="J1456" t="s">
        <v>65</v>
      </c>
      <c r="K1456" t="s">
        <v>40</v>
      </c>
      <c r="L1456">
        <v>1710</v>
      </c>
      <c r="M1456">
        <v>34.53820662768031</v>
      </c>
      <c r="N1456" t="s">
        <v>8</v>
      </c>
      <c r="O1456" t="s">
        <v>636</v>
      </c>
      <c r="P1456" t="s">
        <v>29</v>
      </c>
      <c r="Q1456" t="s">
        <v>30</v>
      </c>
      <c r="R1456" t="s">
        <v>53</v>
      </c>
      <c r="S1456" t="s">
        <v>54</v>
      </c>
      <c r="T1456" t="s">
        <v>1705</v>
      </c>
      <c r="U1456" t="s">
        <v>34</v>
      </c>
      <c r="V1456">
        <v>590.60333333333335</v>
      </c>
    </row>
    <row r="1457" spans="1:22" x14ac:dyDescent="0.3">
      <c r="A1457" t="s">
        <v>2794</v>
      </c>
      <c r="B1457" s="2">
        <v>46191</v>
      </c>
      <c r="C1457" t="s">
        <v>332</v>
      </c>
      <c r="D1457" t="s">
        <v>49</v>
      </c>
      <c r="E1457" t="s">
        <v>119</v>
      </c>
      <c r="F1457">
        <v>2</v>
      </c>
      <c r="G1457">
        <v>0</v>
      </c>
      <c r="H1457">
        <v>18000</v>
      </c>
      <c r="I1457">
        <v>4600</v>
      </c>
      <c r="J1457" t="s">
        <v>65</v>
      </c>
      <c r="K1457" t="s">
        <v>40</v>
      </c>
      <c r="L1457">
        <v>9000</v>
      </c>
      <c r="M1457">
        <v>25.55555555555555</v>
      </c>
      <c r="N1457" t="s">
        <v>8</v>
      </c>
      <c r="O1457" t="s">
        <v>333</v>
      </c>
      <c r="P1457" t="s">
        <v>29</v>
      </c>
      <c r="Q1457" t="s">
        <v>42</v>
      </c>
      <c r="R1457" t="s">
        <v>121</v>
      </c>
      <c r="S1457" t="s">
        <v>44</v>
      </c>
      <c r="T1457" t="s">
        <v>334</v>
      </c>
      <c r="U1457" t="s">
        <v>100</v>
      </c>
      <c r="V1457">
        <v>2300</v>
      </c>
    </row>
    <row r="1458" spans="1:22" x14ac:dyDescent="0.3">
      <c r="A1458" t="s">
        <v>2795</v>
      </c>
      <c r="B1458" s="2">
        <v>46190</v>
      </c>
      <c r="C1458" t="s">
        <v>1193</v>
      </c>
      <c r="D1458" t="s">
        <v>70</v>
      </c>
      <c r="E1458" t="s">
        <v>71</v>
      </c>
      <c r="F1458">
        <v>3</v>
      </c>
      <c r="G1458">
        <v>0.15</v>
      </c>
      <c r="H1458">
        <v>45900</v>
      </c>
      <c r="I1458">
        <v>4929.57</v>
      </c>
      <c r="J1458" t="s">
        <v>65</v>
      </c>
      <c r="K1458" t="s">
        <v>40</v>
      </c>
      <c r="L1458">
        <v>15300</v>
      </c>
      <c r="M1458">
        <v>10.73980392156863</v>
      </c>
      <c r="N1458" t="s">
        <v>8</v>
      </c>
      <c r="O1458" t="s">
        <v>781</v>
      </c>
      <c r="P1458" t="s">
        <v>29</v>
      </c>
      <c r="Q1458" t="s">
        <v>30</v>
      </c>
      <c r="R1458" t="s">
        <v>31</v>
      </c>
      <c r="S1458" t="s">
        <v>32</v>
      </c>
      <c r="T1458" t="s">
        <v>1194</v>
      </c>
      <c r="U1458" t="s">
        <v>46</v>
      </c>
      <c r="V1458">
        <v>1643.19</v>
      </c>
    </row>
    <row r="1459" spans="1:22" x14ac:dyDescent="0.3">
      <c r="A1459" t="s">
        <v>2796</v>
      </c>
      <c r="B1459" s="2">
        <v>45896</v>
      </c>
      <c r="C1459" t="s">
        <v>869</v>
      </c>
      <c r="D1459" t="s">
        <v>49</v>
      </c>
      <c r="E1459" t="s">
        <v>58</v>
      </c>
      <c r="F1459">
        <v>2</v>
      </c>
      <c r="G1459">
        <v>0.05</v>
      </c>
      <c r="H1459">
        <v>28500</v>
      </c>
      <c r="I1459">
        <v>6090.47</v>
      </c>
      <c r="J1459" t="s">
        <v>51</v>
      </c>
      <c r="K1459" t="s">
        <v>40</v>
      </c>
      <c r="L1459">
        <v>14250</v>
      </c>
      <c r="M1459">
        <v>21.370070175438599</v>
      </c>
      <c r="N1459" t="s">
        <v>8</v>
      </c>
      <c r="O1459" t="s">
        <v>870</v>
      </c>
      <c r="P1459" t="s">
        <v>73</v>
      </c>
      <c r="Q1459" t="s">
        <v>30</v>
      </c>
      <c r="R1459" t="s">
        <v>98</v>
      </c>
      <c r="S1459" t="s">
        <v>54</v>
      </c>
      <c r="T1459" t="s">
        <v>859</v>
      </c>
      <c r="U1459" t="s">
        <v>34</v>
      </c>
      <c r="V1459">
        <v>3045.2350000000001</v>
      </c>
    </row>
    <row r="1460" spans="1:22" x14ac:dyDescent="0.3">
      <c r="A1460" t="s">
        <v>2797</v>
      </c>
      <c r="B1460" s="2">
        <v>45900</v>
      </c>
      <c r="C1460" t="s">
        <v>2798</v>
      </c>
      <c r="D1460" t="s">
        <v>37</v>
      </c>
      <c r="E1460" t="s">
        <v>310</v>
      </c>
      <c r="F1460">
        <v>3</v>
      </c>
      <c r="G1460">
        <v>0.05</v>
      </c>
      <c r="H1460">
        <v>6270</v>
      </c>
      <c r="I1460">
        <v>2075.83</v>
      </c>
      <c r="J1460" t="s">
        <v>39</v>
      </c>
      <c r="K1460" t="s">
        <v>40</v>
      </c>
      <c r="L1460">
        <v>2090</v>
      </c>
      <c r="M1460">
        <v>33.107336523125987</v>
      </c>
      <c r="N1460" t="s">
        <v>8</v>
      </c>
      <c r="O1460" t="s">
        <v>1309</v>
      </c>
      <c r="P1460" t="s">
        <v>73</v>
      </c>
      <c r="Q1460" t="s">
        <v>42</v>
      </c>
      <c r="R1460" t="s">
        <v>214</v>
      </c>
      <c r="S1460" t="s">
        <v>111</v>
      </c>
      <c r="T1460" t="s">
        <v>2799</v>
      </c>
      <c r="U1460" t="s">
        <v>34</v>
      </c>
      <c r="V1460">
        <v>691.94333333333327</v>
      </c>
    </row>
    <row r="1461" spans="1:22" x14ac:dyDescent="0.3">
      <c r="A1461" t="s">
        <v>2800</v>
      </c>
      <c r="B1461" s="2">
        <v>45947</v>
      </c>
      <c r="C1461" t="s">
        <v>810</v>
      </c>
      <c r="D1461" t="s">
        <v>24</v>
      </c>
      <c r="E1461" t="s">
        <v>242</v>
      </c>
      <c r="F1461">
        <v>1</v>
      </c>
      <c r="G1461">
        <v>0.1</v>
      </c>
      <c r="H1461">
        <v>405</v>
      </c>
      <c r="I1461">
        <v>82.2</v>
      </c>
      <c r="J1461" t="s">
        <v>65</v>
      </c>
      <c r="K1461" t="s">
        <v>40</v>
      </c>
      <c r="L1461">
        <v>405</v>
      </c>
      <c r="M1461">
        <v>20.296296296296291</v>
      </c>
      <c r="N1461" t="s">
        <v>8</v>
      </c>
      <c r="O1461" t="s">
        <v>811</v>
      </c>
      <c r="P1461" t="s">
        <v>73</v>
      </c>
      <c r="Q1461" t="s">
        <v>30</v>
      </c>
      <c r="R1461" t="s">
        <v>60</v>
      </c>
      <c r="S1461" t="s">
        <v>61</v>
      </c>
      <c r="T1461" t="s">
        <v>812</v>
      </c>
      <c r="U1461" t="s">
        <v>34</v>
      </c>
      <c r="V1461">
        <v>82.2</v>
      </c>
    </row>
    <row r="1462" spans="1:22" x14ac:dyDescent="0.3">
      <c r="A1462" t="s">
        <v>2801</v>
      </c>
      <c r="B1462" s="2">
        <v>46041</v>
      </c>
      <c r="C1462" t="s">
        <v>1777</v>
      </c>
      <c r="D1462" t="s">
        <v>70</v>
      </c>
      <c r="E1462" t="s">
        <v>71</v>
      </c>
      <c r="F1462">
        <v>2</v>
      </c>
      <c r="G1462">
        <v>0.1</v>
      </c>
      <c r="H1462">
        <v>32400</v>
      </c>
      <c r="I1462">
        <v>5228.7</v>
      </c>
      <c r="J1462" t="s">
        <v>65</v>
      </c>
      <c r="K1462" t="s">
        <v>40</v>
      </c>
      <c r="L1462">
        <v>16200</v>
      </c>
      <c r="M1462">
        <v>16.137962962962959</v>
      </c>
      <c r="N1462" t="s">
        <v>8</v>
      </c>
      <c r="O1462" t="s">
        <v>322</v>
      </c>
      <c r="P1462" t="s">
        <v>83</v>
      </c>
      <c r="Q1462" t="s">
        <v>30</v>
      </c>
      <c r="R1462" t="s">
        <v>31</v>
      </c>
      <c r="S1462" t="s">
        <v>32</v>
      </c>
      <c r="T1462" t="s">
        <v>1778</v>
      </c>
      <c r="U1462" t="s">
        <v>34</v>
      </c>
      <c r="V1462">
        <v>2614.35</v>
      </c>
    </row>
    <row r="1463" spans="1:22" x14ac:dyDescent="0.3">
      <c r="A1463" t="s">
        <v>2802</v>
      </c>
      <c r="B1463" s="2">
        <v>45854</v>
      </c>
      <c r="C1463" t="s">
        <v>258</v>
      </c>
      <c r="D1463" t="s">
        <v>37</v>
      </c>
      <c r="E1463" t="s">
        <v>38</v>
      </c>
      <c r="F1463">
        <v>2</v>
      </c>
      <c r="G1463">
        <v>0</v>
      </c>
      <c r="H1463">
        <v>3600</v>
      </c>
      <c r="I1463">
        <v>1300</v>
      </c>
      <c r="J1463" t="s">
        <v>65</v>
      </c>
      <c r="K1463" t="s">
        <v>40</v>
      </c>
      <c r="L1463">
        <v>1800</v>
      </c>
      <c r="M1463">
        <v>36.111111111111107</v>
      </c>
      <c r="N1463" t="s">
        <v>8</v>
      </c>
      <c r="O1463" t="s">
        <v>259</v>
      </c>
      <c r="P1463" t="s">
        <v>73</v>
      </c>
      <c r="Q1463" t="s">
        <v>30</v>
      </c>
      <c r="R1463" t="s">
        <v>60</v>
      </c>
      <c r="S1463" t="s">
        <v>61</v>
      </c>
      <c r="T1463" t="s">
        <v>260</v>
      </c>
      <c r="U1463" t="s">
        <v>105</v>
      </c>
      <c r="V1463">
        <v>650</v>
      </c>
    </row>
    <row r="1464" spans="1:22" x14ac:dyDescent="0.3">
      <c r="A1464" t="s">
        <v>2803</v>
      </c>
      <c r="B1464" s="2">
        <v>46224</v>
      </c>
      <c r="C1464" t="s">
        <v>983</v>
      </c>
      <c r="D1464" t="s">
        <v>70</v>
      </c>
      <c r="E1464" t="s">
        <v>129</v>
      </c>
      <c r="F1464">
        <v>3</v>
      </c>
      <c r="G1464">
        <v>0.1</v>
      </c>
      <c r="H1464">
        <v>148500</v>
      </c>
      <c r="I1464">
        <v>19308.48</v>
      </c>
      <c r="J1464" t="s">
        <v>65</v>
      </c>
      <c r="K1464" t="s">
        <v>40</v>
      </c>
      <c r="L1464">
        <v>49500</v>
      </c>
      <c r="M1464">
        <v>13.00234343434343</v>
      </c>
      <c r="N1464" t="s">
        <v>8</v>
      </c>
      <c r="O1464" t="s">
        <v>984</v>
      </c>
      <c r="P1464" t="s">
        <v>29</v>
      </c>
      <c r="Q1464" t="s">
        <v>30</v>
      </c>
      <c r="R1464" t="s">
        <v>31</v>
      </c>
      <c r="S1464" t="s">
        <v>32</v>
      </c>
      <c r="T1464" t="s">
        <v>985</v>
      </c>
      <c r="U1464" t="s">
        <v>46</v>
      </c>
      <c r="V1464">
        <v>6436.16</v>
      </c>
    </row>
    <row r="1465" spans="1:22" x14ac:dyDescent="0.3">
      <c r="A1465" t="s">
        <v>2804</v>
      </c>
      <c r="B1465" s="2">
        <v>45861</v>
      </c>
      <c r="C1465" t="s">
        <v>875</v>
      </c>
      <c r="D1465" t="s">
        <v>49</v>
      </c>
      <c r="E1465" t="s">
        <v>119</v>
      </c>
      <c r="F1465">
        <v>5</v>
      </c>
      <c r="G1465">
        <v>0.05</v>
      </c>
      <c r="H1465">
        <v>42750</v>
      </c>
      <c r="I1465">
        <v>10086.19</v>
      </c>
      <c r="J1465" t="s">
        <v>51</v>
      </c>
      <c r="K1465" t="s">
        <v>40</v>
      </c>
      <c r="L1465">
        <v>8550</v>
      </c>
      <c r="M1465">
        <v>23.593426900584799</v>
      </c>
      <c r="N1465" t="s">
        <v>8</v>
      </c>
      <c r="O1465" t="s">
        <v>149</v>
      </c>
      <c r="P1465" t="s">
        <v>73</v>
      </c>
      <c r="Q1465" t="s">
        <v>42</v>
      </c>
      <c r="R1465" t="s">
        <v>214</v>
      </c>
      <c r="S1465" t="s">
        <v>111</v>
      </c>
      <c r="T1465" t="s">
        <v>876</v>
      </c>
      <c r="U1465" t="s">
        <v>100</v>
      </c>
      <c r="V1465">
        <v>2017.2380000000001</v>
      </c>
    </row>
    <row r="1466" spans="1:22" x14ac:dyDescent="0.3">
      <c r="A1466" t="s">
        <v>2805</v>
      </c>
      <c r="B1466" s="2">
        <v>46060</v>
      </c>
      <c r="C1466" t="s">
        <v>1004</v>
      </c>
      <c r="D1466" t="s">
        <v>24</v>
      </c>
      <c r="E1466" t="s">
        <v>242</v>
      </c>
      <c r="F1466">
        <v>2</v>
      </c>
      <c r="G1466">
        <v>0</v>
      </c>
      <c r="H1466">
        <v>900</v>
      </c>
      <c r="I1466">
        <v>220</v>
      </c>
      <c r="J1466" t="s">
        <v>26</v>
      </c>
      <c r="K1466" t="s">
        <v>40</v>
      </c>
      <c r="L1466">
        <v>450</v>
      </c>
      <c r="M1466">
        <v>24.444444444444439</v>
      </c>
      <c r="N1466" t="s">
        <v>8</v>
      </c>
      <c r="O1466" t="s">
        <v>1005</v>
      </c>
      <c r="P1466" t="s">
        <v>29</v>
      </c>
      <c r="Q1466" t="s">
        <v>30</v>
      </c>
      <c r="R1466" t="s">
        <v>98</v>
      </c>
      <c r="S1466" t="s">
        <v>54</v>
      </c>
      <c r="T1466" t="s">
        <v>1006</v>
      </c>
      <c r="U1466" t="s">
        <v>105</v>
      </c>
      <c r="V1466">
        <v>110</v>
      </c>
    </row>
    <row r="1467" spans="1:22" x14ac:dyDescent="0.3">
      <c r="A1467" t="s">
        <v>2806</v>
      </c>
      <c r="B1467" s="2">
        <v>45924</v>
      </c>
      <c r="C1467" t="s">
        <v>1979</v>
      </c>
      <c r="D1467" t="s">
        <v>49</v>
      </c>
      <c r="E1467" t="s">
        <v>50</v>
      </c>
      <c r="F1467">
        <v>2</v>
      </c>
      <c r="G1467">
        <v>0</v>
      </c>
      <c r="H1467">
        <v>26000</v>
      </c>
      <c r="I1467">
        <v>6400</v>
      </c>
      <c r="J1467" t="s">
        <v>26</v>
      </c>
      <c r="K1467" t="s">
        <v>40</v>
      </c>
      <c r="L1467">
        <v>13000</v>
      </c>
      <c r="M1467">
        <v>24.61538461538462</v>
      </c>
      <c r="N1467" t="s">
        <v>8</v>
      </c>
      <c r="O1467" t="s">
        <v>1980</v>
      </c>
      <c r="P1467" t="s">
        <v>29</v>
      </c>
      <c r="Q1467" t="s">
        <v>42</v>
      </c>
      <c r="R1467" t="s">
        <v>110</v>
      </c>
      <c r="S1467" t="s">
        <v>111</v>
      </c>
      <c r="T1467" t="s">
        <v>1981</v>
      </c>
      <c r="U1467" t="s">
        <v>46</v>
      </c>
      <c r="V1467">
        <v>3200</v>
      </c>
    </row>
    <row r="1468" spans="1:22" x14ac:dyDescent="0.3">
      <c r="A1468" t="s">
        <v>2807</v>
      </c>
      <c r="B1468" s="2">
        <v>45899</v>
      </c>
      <c r="C1468" t="s">
        <v>1008</v>
      </c>
      <c r="D1468" t="s">
        <v>49</v>
      </c>
      <c r="E1468" t="s">
        <v>50</v>
      </c>
      <c r="F1468">
        <v>4</v>
      </c>
      <c r="G1468">
        <v>0.15</v>
      </c>
      <c r="H1468">
        <v>44200</v>
      </c>
      <c r="I1468">
        <v>9064.4699999999993</v>
      </c>
      <c r="J1468" t="s">
        <v>26</v>
      </c>
      <c r="K1468" t="s">
        <v>40</v>
      </c>
      <c r="L1468">
        <v>11050</v>
      </c>
      <c r="M1468">
        <v>20.507850678733028</v>
      </c>
      <c r="N1468" t="s">
        <v>8</v>
      </c>
      <c r="O1468" t="s">
        <v>1009</v>
      </c>
      <c r="P1468" t="s">
        <v>83</v>
      </c>
      <c r="Q1468" t="s">
        <v>42</v>
      </c>
      <c r="R1468" t="s">
        <v>214</v>
      </c>
      <c r="S1468" t="s">
        <v>111</v>
      </c>
      <c r="T1468" t="s">
        <v>848</v>
      </c>
      <c r="U1468" t="s">
        <v>100</v>
      </c>
      <c r="V1468">
        <v>2266.1174999999998</v>
      </c>
    </row>
    <row r="1469" spans="1:22" x14ac:dyDescent="0.3">
      <c r="A1469" t="s">
        <v>2808</v>
      </c>
      <c r="B1469" s="2">
        <v>46165</v>
      </c>
      <c r="C1469" t="s">
        <v>1751</v>
      </c>
      <c r="D1469" t="s">
        <v>37</v>
      </c>
      <c r="E1469" t="s">
        <v>170</v>
      </c>
      <c r="F1469">
        <v>1</v>
      </c>
      <c r="G1469">
        <v>0.1</v>
      </c>
      <c r="H1469">
        <v>1260</v>
      </c>
      <c r="I1469">
        <v>409.71</v>
      </c>
      <c r="J1469" t="s">
        <v>51</v>
      </c>
      <c r="K1469" t="s">
        <v>40</v>
      </c>
      <c r="L1469">
        <v>1260</v>
      </c>
      <c r="M1469">
        <v>32.516666666666673</v>
      </c>
      <c r="N1469" t="s">
        <v>8</v>
      </c>
      <c r="O1469" t="s">
        <v>537</v>
      </c>
      <c r="P1469" t="s">
        <v>83</v>
      </c>
      <c r="Q1469" t="s">
        <v>74</v>
      </c>
      <c r="R1469" t="s">
        <v>115</v>
      </c>
      <c r="S1469" t="s">
        <v>115</v>
      </c>
      <c r="T1469" t="s">
        <v>1752</v>
      </c>
      <c r="U1469" t="s">
        <v>46</v>
      </c>
      <c r="V1469">
        <v>409.71</v>
      </c>
    </row>
    <row r="1470" spans="1:22" x14ac:dyDescent="0.3">
      <c r="A1470" t="s">
        <v>2809</v>
      </c>
      <c r="B1470" s="2">
        <v>45843</v>
      </c>
      <c r="C1470" t="s">
        <v>2126</v>
      </c>
      <c r="D1470" t="s">
        <v>37</v>
      </c>
      <c r="E1470" t="s">
        <v>170</v>
      </c>
      <c r="F1470">
        <v>2</v>
      </c>
      <c r="G1470">
        <v>0</v>
      </c>
      <c r="H1470">
        <v>2800</v>
      </c>
      <c r="I1470">
        <v>1000</v>
      </c>
      <c r="J1470" t="s">
        <v>65</v>
      </c>
      <c r="K1470" t="s">
        <v>40</v>
      </c>
      <c r="L1470">
        <v>1400</v>
      </c>
      <c r="M1470">
        <v>35.714285714285722</v>
      </c>
      <c r="N1470" t="s">
        <v>8</v>
      </c>
      <c r="O1470" t="s">
        <v>2127</v>
      </c>
      <c r="P1470" t="s">
        <v>83</v>
      </c>
      <c r="Q1470" t="s">
        <v>131</v>
      </c>
      <c r="R1470" t="s">
        <v>200</v>
      </c>
      <c r="S1470" t="s">
        <v>201</v>
      </c>
      <c r="T1470" t="s">
        <v>2128</v>
      </c>
      <c r="U1470" t="s">
        <v>46</v>
      </c>
      <c r="V1470">
        <v>500</v>
      </c>
    </row>
    <row r="1471" spans="1:22" x14ac:dyDescent="0.3">
      <c r="A1471" t="s">
        <v>2810</v>
      </c>
      <c r="B1471" s="2">
        <v>45938</v>
      </c>
      <c r="C1471" t="s">
        <v>1214</v>
      </c>
      <c r="D1471" t="s">
        <v>70</v>
      </c>
      <c r="E1471" t="s">
        <v>71</v>
      </c>
      <c r="F1471">
        <v>3</v>
      </c>
      <c r="G1471">
        <v>0.1</v>
      </c>
      <c r="H1471">
        <v>48600</v>
      </c>
      <c r="I1471">
        <v>-21160.400000000001</v>
      </c>
      <c r="J1471" t="s">
        <v>39</v>
      </c>
      <c r="K1471" t="s">
        <v>434</v>
      </c>
      <c r="L1471">
        <v>16200</v>
      </c>
      <c r="M1471">
        <v>-43.53991769547325</v>
      </c>
      <c r="N1471" t="s">
        <v>81</v>
      </c>
      <c r="O1471" t="s">
        <v>1215</v>
      </c>
      <c r="P1471" t="s">
        <v>29</v>
      </c>
      <c r="Q1471" t="s">
        <v>74</v>
      </c>
      <c r="R1471" t="s">
        <v>493</v>
      </c>
      <c r="S1471" t="s">
        <v>494</v>
      </c>
      <c r="T1471" t="s">
        <v>1216</v>
      </c>
      <c r="U1471" t="s">
        <v>34</v>
      </c>
      <c r="V1471">
        <v>-7053.4666666666672</v>
      </c>
    </row>
    <row r="1472" spans="1:22" x14ac:dyDescent="0.3">
      <c r="A1472" t="s">
        <v>2811</v>
      </c>
      <c r="B1472" s="2">
        <v>45917</v>
      </c>
      <c r="C1472" t="s">
        <v>1036</v>
      </c>
      <c r="D1472" t="s">
        <v>70</v>
      </c>
      <c r="E1472" t="s">
        <v>108</v>
      </c>
      <c r="F1472">
        <v>2</v>
      </c>
      <c r="G1472">
        <v>0.05</v>
      </c>
      <c r="H1472">
        <v>8550</v>
      </c>
      <c r="I1472">
        <v>-3916.88</v>
      </c>
      <c r="J1472" t="s">
        <v>51</v>
      </c>
      <c r="K1472" t="s">
        <v>434</v>
      </c>
      <c r="L1472">
        <v>4275</v>
      </c>
      <c r="M1472">
        <v>-45.811461988304103</v>
      </c>
      <c r="N1472" t="s">
        <v>81</v>
      </c>
      <c r="O1472" t="s">
        <v>149</v>
      </c>
      <c r="P1472" t="s">
        <v>83</v>
      </c>
      <c r="Q1472" t="s">
        <v>30</v>
      </c>
      <c r="R1472" t="s">
        <v>53</v>
      </c>
      <c r="S1472" t="s">
        <v>54</v>
      </c>
      <c r="T1472" t="s">
        <v>1037</v>
      </c>
      <c r="U1472" t="s">
        <v>46</v>
      </c>
      <c r="V1472">
        <v>-1958.44</v>
      </c>
    </row>
    <row r="1473" spans="1:22" x14ac:dyDescent="0.3">
      <c r="A1473" t="s">
        <v>2812</v>
      </c>
      <c r="B1473" s="2">
        <v>45991</v>
      </c>
      <c r="C1473" t="s">
        <v>2813</v>
      </c>
      <c r="D1473" t="s">
        <v>70</v>
      </c>
      <c r="E1473" t="s">
        <v>108</v>
      </c>
      <c r="F1473">
        <v>1</v>
      </c>
      <c r="G1473">
        <v>0.15</v>
      </c>
      <c r="H1473">
        <v>3825</v>
      </c>
      <c r="I1473">
        <v>-1752.9</v>
      </c>
      <c r="J1473" t="s">
        <v>26</v>
      </c>
      <c r="K1473" t="s">
        <v>434</v>
      </c>
      <c r="L1473">
        <v>3825</v>
      </c>
      <c r="M1473">
        <v>-45.827450980392157</v>
      </c>
      <c r="N1473" t="s">
        <v>81</v>
      </c>
      <c r="O1473" t="s">
        <v>626</v>
      </c>
      <c r="P1473" t="s">
        <v>29</v>
      </c>
      <c r="Q1473" t="s">
        <v>131</v>
      </c>
      <c r="R1473" t="s">
        <v>200</v>
      </c>
      <c r="S1473" t="s">
        <v>201</v>
      </c>
      <c r="T1473" t="s">
        <v>1002</v>
      </c>
      <c r="U1473" t="s">
        <v>46</v>
      </c>
      <c r="V1473">
        <v>-1752.9</v>
      </c>
    </row>
    <row r="1474" spans="1:22" x14ac:dyDescent="0.3">
      <c r="A1474" t="s">
        <v>2814</v>
      </c>
      <c r="B1474" s="2">
        <v>46224</v>
      </c>
      <c r="C1474" t="s">
        <v>1101</v>
      </c>
      <c r="D1474" t="s">
        <v>70</v>
      </c>
      <c r="E1474" t="s">
        <v>108</v>
      </c>
      <c r="F1474">
        <v>3</v>
      </c>
      <c r="G1474">
        <v>0.1</v>
      </c>
      <c r="H1474">
        <v>12150</v>
      </c>
      <c r="I1474">
        <v>3725.98</v>
      </c>
      <c r="J1474" t="s">
        <v>26</v>
      </c>
      <c r="K1474" t="s">
        <v>40</v>
      </c>
      <c r="L1474">
        <v>4050</v>
      </c>
      <c r="M1474">
        <v>30.666502057613169</v>
      </c>
      <c r="N1474" t="s">
        <v>8</v>
      </c>
      <c r="O1474" t="s">
        <v>1102</v>
      </c>
      <c r="P1474" t="s">
        <v>29</v>
      </c>
      <c r="Q1474" t="s">
        <v>42</v>
      </c>
      <c r="R1474" t="s">
        <v>110</v>
      </c>
      <c r="S1474" t="s">
        <v>111</v>
      </c>
      <c r="T1474" t="s">
        <v>1103</v>
      </c>
      <c r="U1474" t="s">
        <v>100</v>
      </c>
      <c r="V1474">
        <v>1241.9933333333331</v>
      </c>
    </row>
    <row r="1475" spans="1:22" x14ac:dyDescent="0.3">
      <c r="A1475" t="s">
        <v>2815</v>
      </c>
      <c r="B1475" s="2">
        <v>46041</v>
      </c>
      <c r="C1475" t="s">
        <v>23</v>
      </c>
      <c r="D1475" t="s">
        <v>70</v>
      </c>
      <c r="E1475" t="s">
        <v>108</v>
      </c>
      <c r="F1475">
        <v>1</v>
      </c>
      <c r="G1475">
        <v>0.1</v>
      </c>
      <c r="H1475">
        <v>4050</v>
      </c>
      <c r="I1475">
        <v>1188.68</v>
      </c>
      <c r="J1475" t="s">
        <v>65</v>
      </c>
      <c r="K1475" t="s">
        <v>40</v>
      </c>
      <c r="L1475">
        <v>4050</v>
      </c>
      <c r="M1475">
        <v>29.350123456790119</v>
      </c>
      <c r="N1475" t="s">
        <v>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 t="s">
        <v>33</v>
      </c>
      <c r="U1475" t="s">
        <v>34</v>
      </c>
      <c r="V1475">
        <v>1188.68</v>
      </c>
    </row>
    <row r="1476" spans="1:22" x14ac:dyDescent="0.3">
      <c r="A1476" t="s">
        <v>2816</v>
      </c>
      <c r="B1476" s="2">
        <v>46118</v>
      </c>
      <c r="C1476" t="s">
        <v>1723</v>
      </c>
      <c r="D1476" t="s">
        <v>70</v>
      </c>
      <c r="E1476" t="s">
        <v>71</v>
      </c>
      <c r="F1476">
        <v>1</v>
      </c>
      <c r="G1476">
        <v>0.15</v>
      </c>
      <c r="H1476">
        <v>15300</v>
      </c>
      <c r="I1476">
        <v>1684.64</v>
      </c>
      <c r="J1476" t="s">
        <v>39</v>
      </c>
      <c r="K1476" t="s">
        <v>40</v>
      </c>
      <c r="L1476">
        <v>15300</v>
      </c>
      <c r="M1476">
        <v>11.01071895424837</v>
      </c>
      <c r="N1476" t="s">
        <v>8</v>
      </c>
      <c r="O1476" t="s">
        <v>398</v>
      </c>
      <c r="P1476" t="s">
        <v>83</v>
      </c>
      <c r="Q1476" t="s">
        <v>30</v>
      </c>
      <c r="R1476" t="s">
        <v>98</v>
      </c>
      <c r="S1476" t="s">
        <v>54</v>
      </c>
      <c r="T1476" t="s">
        <v>1724</v>
      </c>
      <c r="U1476" t="s">
        <v>46</v>
      </c>
      <c r="V1476">
        <v>1684.64</v>
      </c>
    </row>
    <row r="1477" spans="1:22" x14ac:dyDescent="0.3">
      <c r="A1477" t="s">
        <v>2817</v>
      </c>
      <c r="B1477" s="2">
        <v>46059</v>
      </c>
      <c r="C1477" t="s">
        <v>810</v>
      </c>
      <c r="D1477" t="s">
        <v>70</v>
      </c>
      <c r="E1477" t="s">
        <v>71</v>
      </c>
      <c r="F1477">
        <v>1</v>
      </c>
      <c r="G1477">
        <v>0</v>
      </c>
      <c r="H1477">
        <v>18000</v>
      </c>
      <c r="I1477">
        <v>3500</v>
      </c>
      <c r="J1477" t="s">
        <v>26</v>
      </c>
      <c r="K1477" t="s">
        <v>40</v>
      </c>
      <c r="L1477">
        <v>18000</v>
      </c>
      <c r="M1477">
        <v>19.44444444444445</v>
      </c>
      <c r="N1477" t="s">
        <v>8</v>
      </c>
      <c r="O1477" t="s">
        <v>811</v>
      </c>
      <c r="P1477" t="s">
        <v>73</v>
      </c>
      <c r="Q1477" t="s">
        <v>30</v>
      </c>
      <c r="R1477" t="s">
        <v>60</v>
      </c>
      <c r="S1477" t="s">
        <v>61</v>
      </c>
      <c r="T1477" t="s">
        <v>812</v>
      </c>
      <c r="U1477" t="s">
        <v>34</v>
      </c>
      <c r="V1477">
        <v>3500</v>
      </c>
    </row>
    <row r="1478" spans="1:22" x14ac:dyDescent="0.3">
      <c r="A1478" t="s">
        <v>2818</v>
      </c>
      <c r="B1478" s="2">
        <v>46214</v>
      </c>
      <c r="C1478" t="s">
        <v>577</v>
      </c>
      <c r="D1478" t="s">
        <v>24</v>
      </c>
      <c r="E1478" t="s">
        <v>242</v>
      </c>
      <c r="F1478">
        <v>2</v>
      </c>
      <c r="G1478">
        <v>0.1</v>
      </c>
      <c r="H1478">
        <v>810</v>
      </c>
      <c r="I1478">
        <v>175.04</v>
      </c>
      <c r="J1478" t="s">
        <v>26</v>
      </c>
      <c r="K1478" t="s">
        <v>40</v>
      </c>
      <c r="L1478">
        <v>405</v>
      </c>
      <c r="M1478">
        <v>21.609876543209879</v>
      </c>
      <c r="N1478" t="s">
        <v>8</v>
      </c>
      <c r="O1478" t="s">
        <v>578</v>
      </c>
      <c r="P1478" t="s">
        <v>73</v>
      </c>
      <c r="Q1478" t="s">
        <v>30</v>
      </c>
      <c r="R1478" t="s">
        <v>98</v>
      </c>
      <c r="S1478" t="s">
        <v>54</v>
      </c>
      <c r="T1478" t="s">
        <v>579</v>
      </c>
      <c r="U1478" t="s">
        <v>46</v>
      </c>
      <c r="V1478">
        <v>87.52</v>
      </c>
    </row>
    <row r="1479" spans="1:22" x14ac:dyDescent="0.3">
      <c r="A1479" t="s">
        <v>2819</v>
      </c>
      <c r="B1479" s="2">
        <v>46177</v>
      </c>
      <c r="C1479" t="s">
        <v>744</v>
      </c>
      <c r="D1479" t="s">
        <v>37</v>
      </c>
      <c r="E1479" t="s">
        <v>190</v>
      </c>
      <c r="F1479">
        <v>5</v>
      </c>
      <c r="G1479">
        <v>0.1</v>
      </c>
      <c r="H1479">
        <v>18900</v>
      </c>
      <c r="I1479">
        <v>4933.05</v>
      </c>
      <c r="J1479" t="s">
        <v>26</v>
      </c>
      <c r="K1479" t="s">
        <v>40</v>
      </c>
      <c r="L1479">
        <v>3780</v>
      </c>
      <c r="M1479">
        <v>26.100793650793651</v>
      </c>
      <c r="N1479" t="s">
        <v>8</v>
      </c>
      <c r="O1479" t="s">
        <v>745</v>
      </c>
      <c r="P1479" t="s">
        <v>29</v>
      </c>
      <c r="Q1479" t="s">
        <v>131</v>
      </c>
      <c r="R1479" t="s">
        <v>449</v>
      </c>
      <c r="S1479" t="s">
        <v>450</v>
      </c>
      <c r="T1479" t="s">
        <v>746</v>
      </c>
      <c r="U1479" t="s">
        <v>46</v>
      </c>
      <c r="V1479">
        <v>986.61</v>
      </c>
    </row>
    <row r="1480" spans="1:22" x14ac:dyDescent="0.3">
      <c r="A1480" t="s">
        <v>2820</v>
      </c>
      <c r="B1480" s="2">
        <v>45934</v>
      </c>
      <c r="C1480" t="s">
        <v>2182</v>
      </c>
      <c r="D1480" t="s">
        <v>49</v>
      </c>
      <c r="E1480" t="s">
        <v>58</v>
      </c>
      <c r="F1480">
        <v>2</v>
      </c>
      <c r="G1480">
        <v>0.1</v>
      </c>
      <c r="H1480">
        <v>27000</v>
      </c>
      <c r="I1480">
        <v>4732.49</v>
      </c>
      <c r="J1480" t="s">
        <v>51</v>
      </c>
      <c r="K1480" t="s">
        <v>40</v>
      </c>
      <c r="L1480">
        <v>13500</v>
      </c>
      <c r="M1480">
        <v>17.52774074074074</v>
      </c>
      <c r="N1480" t="s">
        <v>8</v>
      </c>
      <c r="O1480" t="s">
        <v>2183</v>
      </c>
      <c r="P1480" t="s">
        <v>73</v>
      </c>
      <c r="Q1480" t="s">
        <v>30</v>
      </c>
      <c r="R1480" t="s">
        <v>98</v>
      </c>
      <c r="S1480" t="s">
        <v>54</v>
      </c>
      <c r="T1480" t="s">
        <v>2184</v>
      </c>
      <c r="U1480" t="s">
        <v>105</v>
      </c>
      <c r="V1480">
        <v>2366.2449999999999</v>
      </c>
    </row>
    <row r="1481" spans="1:22" x14ac:dyDescent="0.3">
      <c r="A1481" t="s">
        <v>2821</v>
      </c>
      <c r="B1481" s="2">
        <v>45971</v>
      </c>
      <c r="C1481" t="s">
        <v>1143</v>
      </c>
      <c r="D1481" t="s">
        <v>70</v>
      </c>
      <c r="E1481" t="s">
        <v>71</v>
      </c>
      <c r="F1481">
        <v>4</v>
      </c>
      <c r="G1481">
        <v>0.2</v>
      </c>
      <c r="H1481">
        <v>57600</v>
      </c>
      <c r="I1481">
        <v>7413.57</v>
      </c>
      <c r="J1481" t="s">
        <v>51</v>
      </c>
      <c r="K1481" t="s">
        <v>40</v>
      </c>
      <c r="L1481">
        <v>14400</v>
      </c>
      <c r="M1481">
        <v>12.87078125</v>
      </c>
      <c r="N1481" t="s">
        <v>8</v>
      </c>
      <c r="O1481" t="s">
        <v>1144</v>
      </c>
      <c r="P1481" t="s">
        <v>29</v>
      </c>
      <c r="Q1481" t="s">
        <v>30</v>
      </c>
      <c r="R1481" t="s">
        <v>31</v>
      </c>
      <c r="S1481" t="s">
        <v>32</v>
      </c>
      <c r="T1481" t="s">
        <v>1145</v>
      </c>
      <c r="U1481" t="s">
        <v>100</v>
      </c>
      <c r="V1481">
        <v>1853.3924999999999</v>
      </c>
    </row>
    <row r="1482" spans="1:22" x14ac:dyDescent="0.3">
      <c r="A1482" t="s">
        <v>2822</v>
      </c>
      <c r="B1482" s="2">
        <v>45881</v>
      </c>
      <c r="C1482" t="s">
        <v>421</v>
      </c>
      <c r="D1482" t="s">
        <v>49</v>
      </c>
      <c r="E1482" t="s">
        <v>58</v>
      </c>
      <c r="F1482">
        <v>4</v>
      </c>
      <c r="G1482">
        <v>0.15</v>
      </c>
      <c r="H1482">
        <v>51000</v>
      </c>
      <c r="I1482">
        <v>9474.15</v>
      </c>
      <c r="J1482" t="s">
        <v>65</v>
      </c>
      <c r="K1482" t="s">
        <v>40</v>
      </c>
      <c r="L1482">
        <v>12750</v>
      </c>
      <c r="M1482">
        <v>18.576764705882351</v>
      </c>
      <c r="N1482" t="s">
        <v>8</v>
      </c>
      <c r="O1482" t="s">
        <v>422</v>
      </c>
      <c r="P1482" t="s">
        <v>73</v>
      </c>
      <c r="Q1482" t="s">
        <v>30</v>
      </c>
      <c r="R1482" t="s">
        <v>98</v>
      </c>
      <c r="S1482" t="s">
        <v>54</v>
      </c>
      <c r="T1482" t="s">
        <v>423</v>
      </c>
      <c r="U1482" t="s">
        <v>34</v>
      </c>
      <c r="V1482">
        <v>2368.5374999999999</v>
      </c>
    </row>
    <row r="1483" spans="1:22" x14ac:dyDescent="0.3">
      <c r="A1483" t="s">
        <v>2823</v>
      </c>
      <c r="B1483" s="2">
        <v>46176</v>
      </c>
      <c r="C1483" t="s">
        <v>23</v>
      </c>
      <c r="D1483" t="s">
        <v>24</v>
      </c>
      <c r="E1483" t="s">
        <v>87</v>
      </c>
      <c r="F1483">
        <v>6</v>
      </c>
      <c r="G1483">
        <v>0.3</v>
      </c>
      <c r="H1483">
        <v>1470</v>
      </c>
      <c r="I1483">
        <v>-264.18</v>
      </c>
      <c r="J1483" t="s">
        <v>51</v>
      </c>
      <c r="K1483" t="s">
        <v>80</v>
      </c>
      <c r="L1483">
        <v>245</v>
      </c>
      <c r="M1483">
        <v>-17.971428571428572</v>
      </c>
      <c r="N1483" t="s">
        <v>81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 t="s">
        <v>33</v>
      </c>
      <c r="U1483" t="s">
        <v>34</v>
      </c>
      <c r="V1483">
        <v>-44.03</v>
      </c>
    </row>
    <row r="1484" spans="1:22" x14ac:dyDescent="0.3">
      <c r="A1484" t="s">
        <v>2824</v>
      </c>
      <c r="B1484" s="2">
        <v>46187</v>
      </c>
      <c r="C1484" t="s">
        <v>910</v>
      </c>
      <c r="D1484" t="s">
        <v>70</v>
      </c>
      <c r="E1484" t="s">
        <v>129</v>
      </c>
      <c r="F1484">
        <v>2</v>
      </c>
      <c r="G1484">
        <v>0.05</v>
      </c>
      <c r="H1484">
        <v>104500</v>
      </c>
      <c r="I1484">
        <v>15247.95</v>
      </c>
      <c r="J1484" t="s">
        <v>51</v>
      </c>
      <c r="K1484" t="s">
        <v>40</v>
      </c>
      <c r="L1484">
        <v>52250</v>
      </c>
      <c r="M1484">
        <v>14.591339712918661</v>
      </c>
      <c r="N1484" t="s">
        <v>8</v>
      </c>
      <c r="O1484" t="s">
        <v>911</v>
      </c>
      <c r="P1484" t="s">
        <v>29</v>
      </c>
      <c r="Q1484" t="s">
        <v>30</v>
      </c>
      <c r="R1484" t="s">
        <v>31</v>
      </c>
      <c r="S1484" t="s">
        <v>32</v>
      </c>
      <c r="T1484" t="s">
        <v>912</v>
      </c>
      <c r="U1484" t="s">
        <v>34</v>
      </c>
      <c r="V1484">
        <v>7623.9750000000004</v>
      </c>
    </row>
    <row r="1485" spans="1:22" x14ac:dyDescent="0.3">
      <c r="A1485" t="s">
        <v>2825</v>
      </c>
      <c r="B1485" s="2">
        <v>46216</v>
      </c>
      <c r="C1485" t="s">
        <v>869</v>
      </c>
      <c r="D1485" t="s">
        <v>49</v>
      </c>
      <c r="E1485" t="s">
        <v>119</v>
      </c>
      <c r="F1485">
        <v>3</v>
      </c>
      <c r="G1485">
        <v>0.1</v>
      </c>
      <c r="H1485">
        <v>24300</v>
      </c>
      <c r="I1485">
        <v>4833.97</v>
      </c>
      <c r="J1485" t="s">
        <v>65</v>
      </c>
      <c r="K1485" t="s">
        <v>40</v>
      </c>
      <c r="L1485">
        <v>8100</v>
      </c>
      <c r="M1485">
        <v>19.892880658436219</v>
      </c>
      <c r="N1485" t="s">
        <v>8</v>
      </c>
      <c r="O1485" t="s">
        <v>870</v>
      </c>
      <c r="P1485" t="s">
        <v>73</v>
      </c>
      <c r="Q1485" t="s">
        <v>30</v>
      </c>
      <c r="R1485" t="s">
        <v>98</v>
      </c>
      <c r="S1485" t="s">
        <v>54</v>
      </c>
      <c r="T1485" t="s">
        <v>859</v>
      </c>
      <c r="U1485" t="s">
        <v>34</v>
      </c>
      <c r="V1485">
        <v>1611.323333333333</v>
      </c>
    </row>
    <row r="1486" spans="1:22" x14ac:dyDescent="0.3">
      <c r="A1486" t="s">
        <v>2826</v>
      </c>
      <c r="B1486" s="2">
        <v>45979</v>
      </c>
      <c r="C1486" t="s">
        <v>861</v>
      </c>
      <c r="D1486" t="s">
        <v>49</v>
      </c>
      <c r="E1486" t="s">
        <v>119</v>
      </c>
      <c r="F1486">
        <v>3</v>
      </c>
      <c r="G1486">
        <v>0.2</v>
      </c>
      <c r="H1486">
        <v>21600</v>
      </c>
      <c r="I1486">
        <v>-9560.0400000000009</v>
      </c>
      <c r="J1486" t="s">
        <v>51</v>
      </c>
      <c r="K1486" t="s">
        <v>80</v>
      </c>
      <c r="L1486">
        <v>7200</v>
      </c>
      <c r="M1486">
        <v>-44.259444444444448</v>
      </c>
      <c r="N1486" t="s">
        <v>81</v>
      </c>
      <c r="O1486" t="s">
        <v>369</v>
      </c>
      <c r="P1486" t="s">
        <v>29</v>
      </c>
      <c r="Q1486" t="s">
        <v>74</v>
      </c>
      <c r="R1486" t="s">
        <v>237</v>
      </c>
      <c r="S1486" t="s">
        <v>238</v>
      </c>
      <c r="T1486" t="s">
        <v>750</v>
      </c>
      <c r="U1486" t="s">
        <v>105</v>
      </c>
      <c r="V1486">
        <v>-3186.68</v>
      </c>
    </row>
    <row r="1487" spans="1:22" x14ac:dyDescent="0.3">
      <c r="A1487" t="s">
        <v>2827</v>
      </c>
      <c r="B1487" s="2">
        <v>46104</v>
      </c>
      <c r="C1487" t="s">
        <v>2101</v>
      </c>
      <c r="D1487" t="s">
        <v>70</v>
      </c>
      <c r="E1487" t="s">
        <v>165</v>
      </c>
      <c r="F1487">
        <v>1</v>
      </c>
      <c r="G1487">
        <v>0.1</v>
      </c>
      <c r="H1487">
        <v>2250</v>
      </c>
      <c r="I1487">
        <v>-792.37</v>
      </c>
      <c r="J1487" t="s">
        <v>26</v>
      </c>
      <c r="K1487" t="s">
        <v>80</v>
      </c>
      <c r="L1487">
        <v>2250</v>
      </c>
      <c r="M1487">
        <v>-35.216444444444441</v>
      </c>
      <c r="N1487" t="s">
        <v>81</v>
      </c>
      <c r="O1487" t="s">
        <v>2102</v>
      </c>
      <c r="P1487" t="s">
        <v>29</v>
      </c>
      <c r="Q1487" t="s">
        <v>131</v>
      </c>
      <c r="R1487" t="s">
        <v>289</v>
      </c>
      <c r="S1487" t="s">
        <v>290</v>
      </c>
      <c r="T1487" t="s">
        <v>2103</v>
      </c>
      <c r="U1487" t="s">
        <v>34</v>
      </c>
      <c r="V1487">
        <v>-792.37</v>
      </c>
    </row>
    <row r="1488" spans="1:22" x14ac:dyDescent="0.3">
      <c r="A1488" t="s">
        <v>2828</v>
      </c>
      <c r="B1488" s="2">
        <v>46159</v>
      </c>
      <c r="C1488" t="s">
        <v>1131</v>
      </c>
      <c r="D1488" t="s">
        <v>24</v>
      </c>
      <c r="E1488" t="s">
        <v>92</v>
      </c>
      <c r="F1488">
        <v>1</v>
      </c>
      <c r="G1488">
        <v>0</v>
      </c>
      <c r="H1488">
        <v>900</v>
      </c>
      <c r="I1488">
        <v>280</v>
      </c>
      <c r="J1488" t="s">
        <v>65</v>
      </c>
      <c r="K1488" t="s">
        <v>40</v>
      </c>
      <c r="L1488">
        <v>900</v>
      </c>
      <c r="M1488">
        <v>31.111111111111111</v>
      </c>
      <c r="N1488" t="s">
        <v>8</v>
      </c>
      <c r="O1488" t="s">
        <v>226</v>
      </c>
      <c r="P1488" t="s">
        <v>73</v>
      </c>
      <c r="Q1488" t="s">
        <v>74</v>
      </c>
      <c r="R1488" t="s">
        <v>75</v>
      </c>
      <c r="S1488" t="s">
        <v>75</v>
      </c>
      <c r="T1488" t="s">
        <v>1132</v>
      </c>
      <c r="U1488" t="s">
        <v>100</v>
      </c>
      <c r="V1488">
        <v>280</v>
      </c>
    </row>
    <row r="1489" spans="1:22" x14ac:dyDescent="0.3">
      <c r="A1489" t="s">
        <v>2829</v>
      </c>
      <c r="B1489" s="2">
        <v>46256</v>
      </c>
      <c r="C1489" t="s">
        <v>1210</v>
      </c>
      <c r="D1489" t="s">
        <v>70</v>
      </c>
      <c r="E1489" t="s">
        <v>129</v>
      </c>
      <c r="F1489">
        <v>4</v>
      </c>
      <c r="G1489">
        <v>0</v>
      </c>
      <c r="H1489">
        <v>220000</v>
      </c>
      <c r="I1489">
        <v>36000</v>
      </c>
      <c r="J1489" t="s">
        <v>39</v>
      </c>
      <c r="K1489" t="s">
        <v>27</v>
      </c>
      <c r="L1489">
        <v>55000</v>
      </c>
      <c r="M1489">
        <v>16.36363636363636</v>
      </c>
      <c r="N1489" t="s">
        <v>8</v>
      </c>
      <c r="O1489" t="s">
        <v>1190</v>
      </c>
      <c r="P1489" t="s">
        <v>73</v>
      </c>
      <c r="Q1489" t="s">
        <v>30</v>
      </c>
      <c r="R1489" t="s">
        <v>31</v>
      </c>
      <c r="S1489" t="s">
        <v>32</v>
      </c>
      <c r="T1489" t="s">
        <v>1211</v>
      </c>
      <c r="U1489" t="s">
        <v>46</v>
      </c>
      <c r="V1489">
        <v>9000</v>
      </c>
    </row>
    <row r="1490" spans="1:22" x14ac:dyDescent="0.3">
      <c r="A1490" t="s">
        <v>2830</v>
      </c>
      <c r="B1490" s="2">
        <v>46100</v>
      </c>
      <c r="C1490" t="s">
        <v>1004</v>
      </c>
      <c r="D1490" t="s">
        <v>24</v>
      </c>
      <c r="E1490" t="s">
        <v>87</v>
      </c>
      <c r="F1490">
        <v>4</v>
      </c>
      <c r="G1490">
        <v>0.1</v>
      </c>
      <c r="H1490">
        <v>1260</v>
      </c>
      <c r="I1490">
        <v>399.88</v>
      </c>
      <c r="J1490" t="s">
        <v>51</v>
      </c>
      <c r="K1490" t="s">
        <v>40</v>
      </c>
      <c r="L1490">
        <v>315</v>
      </c>
      <c r="M1490">
        <v>31.73650793650793</v>
      </c>
      <c r="N1490" t="s">
        <v>8</v>
      </c>
      <c r="O1490" t="s">
        <v>1005</v>
      </c>
      <c r="P1490" t="s">
        <v>29</v>
      </c>
      <c r="Q1490" t="s">
        <v>30</v>
      </c>
      <c r="R1490" t="s">
        <v>98</v>
      </c>
      <c r="S1490" t="s">
        <v>54</v>
      </c>
      <c r="T1490" t="s">
        <v>1006</v>
      </c>
      <c r="U1490" t="s">
        <v>105</v>
      </c>
      <c r="V1490">
        <v>99.97</v>
      </c>
    </row>
    <row r="1491" spans="1:22" x14ac:dyDescent="0.3">
      <c r="A1491" t="s">
        <v>2831</v>
      </c>
      <c r="B1491" s="2">
        <v>46110</v>
      </c>
      <c r="C1491" t="s">
        <v>1391</v>
      </c>
      <c r="D1491" t="s">
        <v>70</v>
      </c>
      <c r="E1491" t="s">
        <v>129</v>
      </c>
      <c r="F1491">
        <v>5</v>
      </c>
      <c r="G1491">
        <v>0.15</v>
      </c>
      <c r="H1491">
        <v>233750</v>
      </c>
      <c r="I1491">
        <v>-120992.04</v>
      </c>
      <c r="J1491" t="s">
        <v>26</v>
      </c>
      <c r="K1491" t="s">
        <v>434</v>
      </c>
      <c r="L1491">
        <v>46750</v>
      </c>
      <c r="M1491">
        <v>-51.761300534759357</v>
      </c>
      <c r="N1491" t="s">
        <v>81</v>
      </c>
      <c r="O1491" t="s">
        <v>844</v>
      </c>
      <c r="P1491" t="s">
        <v>29</v>
      </c>
      <c r="Q1491" t="s">
        <v>30</v>
      </c>
      <c r="R1491" t="s">
        <v>60</v>
      </c>
      <c r="S1491" t="s">
        <v>61</v>
      </c>
      <c r="T1491" t="s">
        <v>1392</v>
      </c>
      <c r="U1491" t="s">
        <v>34</v>
      </c>
      <c r="V1491">
        <v>-24198.407999999999</v>
      </c>
    </row>
    <row r="1492" spans="1:22" x14ac:dyDescent="0.3">
      <c r="A1492" t="s">
        <v>2832</v>
      </c>
      <c r="B1492" s="2">
        <v>45989</v>
      </c>
      <c r="C1492" t="s">
        <v>194</v>
      </c>
      <c r="D1492" t="s">
        <v>24</v>
      </c>
      <c r="E1492" t="s">
        <v>87</v>
      </c>
      <c r="F1492">
        <v>3</v>
      </c>
      <c r="G1492">
        <v>0</v>
      </c>
      <c r="H1492">
        <v>1050</v>
      </c>
      <c r="I1492">
        <v>360</v>
      </c>
      <c r="J1492" t="s">
        <v>51</v>
      </c>
      <c r="K1492" t="s">
        <v>40</v>
      </c>
      <c r="L1492">
        <v>350</v>
      </c>
      <c r="M1492">
        <v>34.285714285714278</v>
      </c>
      <c r="N1492" t="s">
        <v>8</v>
      </c>
      <c r="O1492" t="s">
        <v>195</v>
      </c>
      <c r="P1492" t="s">
        <v>73</v>
      </c>
      <c r="Q1492" t="s">
        <v>30</v>
      </c>
      <c r="R1492" t="s">
        <v>98</v>
      </c>
      <c r="S1492" t="s">
        <v>54</v>
      </c>
      <c r="T1492" t="s">
        <v>196</v>
      </c>
      <c r="U1492" t="s">
        <v>105</v>
      </c>
      <c r="V1492">
        <v>120</v>
      </c>
    </row>
    <row r="1493" spans="1:22" x14ac:dyDescent="0.3">
      <c r="A1493" t="s">
        <v>2833</v>
      </c>
      <c r="B1493" s="2">
        <v>45893</v>
      </c>
      <c r="C1493" t="s">
        <v>189</v>
      </c>
      <c r="D1493" t="s">
        <v>49</v>
      </c>
      <c r="E1493" t="s">
        <v>58</v>
      </c>
      <c r="F1493">
        <v>1</v>
      </c>
      <c r="G1493">
        <v>0.05</v>
      </c>
      <c r="H1493">
        <v>14250</v>
      </c>
      <c r="I1493">
        <v>2968.51</v>
      </c>
      <c r="J1493" t="s">
        <v>26</v>
      </c>
      <c r="K1493" t="s">
        <v>40</v>
      </c>
      <c r="L1493">
        <v>14250</v>
      </c>
      <c r="M1493">
        <v>20.831649122807018</v>
      </c>
      <c r="N1493" t="s">
        <v>8</v>
      </c>
      <c r="O1493" t="s">
        <v>191</v>
      </c>
      <c r="P1493" t="s">
        <v>29</v>
      </c>
      <c r="Q1493" t="s">
        <v>30</v>
      </c>
      <c r="R1493" t="s">
        <v>31</v>
      </c>
      <c r="S1493" t="s">
        <v>32</v>
      </c>
      <c r="T1493" t="s">
        <v>192</v>
      </c>
      <c r="U1493" t="s">
        <v>34</v>
      </c>
      <c r="V1493">
        <v>2968.51</v>
      </c>
    </row>
    <row r="1494" spans="1:22" x14ac:dyDescent="0.3">
      <c r="A1494" t="s">
        <v>2834</v>
      </c>
      <c r="B1494" s="2">
        <v>46058</v>
      </c>
      <c r="C1494" t="s">
        <v>263</v>
      </c>
      <c r="D1494" t="s">
        <v>24</v>
      </c>
      <c r="E1494" t="s">
        <v>25</v>
      </c>
      <c r="F1494">
        <v>1</v>
      </c>
      <c r="G1494">
        <v>0.1</v>
      </c>
      <c r="H1494">
        <v>12600</v>
      </c>
      <c r="I1494">
        <v>1677.26</v>
      </c>
      <c r="J1494" t="s">
        <v>65</v>
      </c>
      <c r="K1494" t="s">
        <v>40</v>
      </c>
      <c r="L1494">
        <v>12600</v>
      </c>
      <c r="M1494">
        <v>13.3115873015873</v>
      </c>
      <c r="N1494" t="s">
        <v>8</v>
      </c>
      <c r="O1494" t="s">
        <v>265</v>
      </c>
      <c r="P1494" t="s">
        <v>73</v>
      </c>
      <c r="Q1494" t="s">
        <v>30</v>
      </c>
      <c r="R1494" t="s">
        <v>31</v>
      </c>
      <c r="S1494" t="s">
        <v>32</v>
      </c>
      <c r="T1494" t="s">
        <v>266</v>
      </c>
      <c r="U1494" t="s">
        <v>46</v>
      </c>
      <c r="V1494">
        <v>1677.26</v>
      </c>
    </row>
    <row r="1495" spans="1:22" x14ac:dyDescent="0.3">
      <c r="A1495" t="s">
        <v>2835</v>
      </c>
      <c r="B1495" s="2">
        <v>46067</v>
      </c>
      <c r="C1495" t="s">
        <v>2836</v>
      </c>
      <c r="D1495" t="s">
        <v>49</v>
      </c>
      <c r="E1495" t="s">
        <v>119</v>
      </c>
      <c r="F1495">
        <v>6</v>
      </c>
      <c r="G1495">
        <v>0.2</v>
      </c>
      <c r="H1495">
        <v>43200</v>
      </c>
      <c r="I1495">
        <v>8863.34</v>
      </c>
      <c r="J1495" t="s">
        <v>65</v>
      </c>
      <c r="K1495" t="s">
        <v>40</v>
      </c>
      <c r="L1495">
        <v>7200</v>
      </c>
      <c r="M1495">
        <v>20.516990740740741</v>
      </c>
      <c r="N1495" t="s">
        <v>8</v>
      </c>
      <c r="O1495" t="s">
        <v>280</v>
      </c>
      <c r="P1495" t="s">
        <v>83</v>
      </c>
      <c r="Q1495" t="s">
        <v>42</v>
      </c>
      <c r="R1495" t="s">
        <v>43</v>
      </c>
      <c r="S1495" t="s">
        <v>44</v>
      </c>
      <c r="T1495" t="s">
        <v>2837</v>
      </c>
      <c r="U1495" t="s">
        <v>46</v>
      </c>
      <c r="V1495">
        <v>1477.2233333333329</v>
      </c>
    </row>
    <row r="1496" spans="1:22" x14ac:dyDescent="0.3">
      <c r="A1496" t="s">
        <v>2838</v>
      </c>
      <c r="B1496" s="2">
        <v>46188</v>
      </c>
      <c r="C1496" t="s">
        <v>722</v>
      </c>
      <c r="D1496" t="s">
        <v>70</v>
      </c>
      <c r="E1496" t="s">
        <v>108</v>
      </c>
      <c r="F1496">
        <v>1</v>
      </c>
      <c r="G1496">
        <v>0.1</v>
      </c>
      <c r="H1496">
        <v>4050</v>
      </c>
      <c r="I1496">
        <v>1133.83</v>
      </c>
      <c r="J1496" t="s">
        <v>65</v>
      </c>
      <c r="K1496" t="s">
        <v>40</v>
      </c>
      <c r="L1496">
        <v>4050</v>
      </c>
      <c r="M1496">
        <v>27.9958024691358</v>
      </c>
      <c r="N1496" t="s">
        <v>8</v>
      </c>
      <c r="O1496" t="s">
        <v>723</v>
      </c>
      <c r="P1496" t="s">
        <v>73</v>
      </c>
      <c r="Q1496" t="s">
        <v>42</v>
      </c>
      <c r="R1496" t="s">
        <v>121</v>
      </c>
      <c r="S1496" t="s">
        <v>44</v>
      </c>
      <c r="T1496" t="s">
        <v>138</v>
      </c>
      <c r="U1496" t="s">
        <v>46</v>
      </c>
      <c r="V1496">
        <v>1133.83</v>
      </c>
    </row>
    <row r="1497" spans="1:22" x14ac:dyDescent="0.3">
      <c r="A1497" t="s">
        <v>2839</v>
      </c>
      <c r="B1497" s="2">
        <v>46045</v>
      </c>
      <c r="C1497" t="s">
        <v>2840</v>
      </c>
      <c r="D1497" t="s">
        <v>70</v>
      </c>
      <c r="E1497" t="s">
        <v>108</v>
      </c>
      <c r="F1497">
        <v>1</v>
      </c>
      <c r="G1497">
        <v>0.05</v>
      </c>
      <c r="H1497">
        <v>4275</v>
      </c>
      <c r="I1497">
        <v>-1276.58</v>
      </c>
      <c r="J1497" t="s">
        <v>65</v>
      </c>
      <c r="K1497" t="s">
        <v>80</v>
      </c>
      <c r="L1497">
        <v>4275</v>
      </c>
      <c r="M1497">
        <v>-29.861520467836261</v>
      </c>
      <c r="N1497" t="s">
        <v>81</v>
      </c>
      <c r="O1497" t="s">
        <v>1630</v>
      </c>
      <c r="P1497" t="s">
        <v>73</v>
      </c>
      <c r="Q1497" t="s">
        <v>42</v>
      </c>
      <c r="R1497" t="s">
        <v>110</v>
      </c>
      <c r="S1497" t="s">
        <v>111</v>
      </c>
      <c r="T1497" t="s">
        <v>2841</v>
      </c>
      <c r="U1497" t="s">
        <v>34</v>
      </c>
      <c r="V1497">
        <v>-1276.58</v>
      </c>
    </row>
    <row r="1498" spans="1:22" x14ac:dyDescent="0.3">
      <c r="A1498" t="s">
        <v>2842</v>
      </c>
      <c r="B1498" s="2">
        <v>46078</v>
      </c>
      <c r="C1498" t="s">
        <v>644</v>
      </c>
      <c r="D1498" t="s">
        <v>70</v>
      </c>
      <c r="E1498" t="s">
        <v>129</v>
      </c>
      <c r="F1498">
        <v>1</v>
      </c>
      <c r="G1498">
        <v>0.2</v>
      </c>
      <c r="H1498">
        <v>44000</v>
      </c>
      <c r="I1498">
        <v>-161.61000000000001</v>
      </c>
      <c r="J1498" t="s">
        <v>65</v>
      </c>
      <c r="K1498" t="s">
        <v>40</v>
      </c>
      <c r="L1498">
        <v>44000</v>
      </c>
      <c r="M1498">
        <v>-0.36729545454545459</v>
      </c>
      <c r="N1498" t="s">
        <v>81</v>
      </c>
      <c r="O1498" t="s">
        <v>213</v>
      </c>
      <c r="P1498" t="s">
        <v>29</v>
      </c>
      <c r="Q1498" t="s">
        <v>30</v>
      </c>
      <c r="R1498" t="s">
        <v>31</v>
      </c>
      <c r="S1498" t="s">
        <v>32</v>
      </c>
      <c r="T1498" t="s">
        <v>645</v>
      </c>
      <c r="U1498" t="s">
        <v>46</v>
      </c>
      <c r="V1498">
        <v>-161.61000000000001</v>
      </c>
    </row>
    <row r="1499" spans="1:22" x14ac:dyDescent="0.3">
      <c r="A1499" t="s">
        <v>2843</v>
      </c>
      <c r="B1499" s="2">
        <v>46062</v>
      </c>
      <c r="C1499" t="s">
        <v>736</v>
      </c>
      <c r="D1499" t="s">
        <v>49</v>
      </c>
      <c r="E1499" t="s">
        <v>58</v>
      </c>
      <c r="F1499">
        <v>1</v>
      </c>
      <c r="G1499">
        <v>0.15</v>
      </c>
      <c r="H1499">
        <v>12750</v>
      </c>
      <c r="I1499">
        <v>-2908.66</v>
      </c>
      <c r="J1499" t="s">
        <v>39</v>
      </c>
      <c r="K1499" t="s">
        <v>434</v>
      </c>
      <c r="L1499">
        <v>12750</v>
      </c>
      <c r="M1499">
        <v>-22.813019607843131</v>
      </c>
      <c r="N1499" t="s">
        <v>81</v>
      </c>
      <c r="O1499" t="s">
        <v>648</v>
      </c>
      <c r="P1499" t="s">
        <v>29</v>
      </c>
      <c r="Q1499" t="s">
        <v>30</v>
      </c>
      <c r="R1499" t="s">
        <v>60</v>
      </c>
      <c r="S1499" t="s">
        <v>61</v>
      </c>
      <c r="T1499" t="s">
        <v>311</v>
      </c>
      <c r="U1499" t="s">
        <v>34</v>
      </c>
      <c r="V1499">
        <v>-2908.66</v>
      </c>
    </row>
    <row r="1500" spans="1:22" x14ac:dyDescent="0.3">
      <c r="A1500" t="s">
        <v>2844</v>
      </c>
      <c r="B1500" s="2">
        <v>46264</v>
      </c>
      <c r="C1500" t="s">
        <v>397</v>
      </c>
      <c r="D1500" t="s">
        <v>70</v>
      </c>
      <c r="E1500" t="s">
        <v>129</v>
      </c>
      <c r="F1500">
        <v>1</v>
      </c>
      <c r="G1500">
        <v>0.05</v>
      </c>
      <c r="H1500">
        <v>52250</v>
      </c>
      <c r="I1500">
        <v>6757.66</v>
      </c>
      <c r="J1500" t="s">
        <v>26</v>
      </c>
      <c r="K1500" t="s">
        <v>40</v>
      </c>
      <c r="L1500">
        <v>52250</v>
      </c>
      <c r="M1500">
        <v>12.93332057416268</v>
      </c>
      <c r="N1500" t="s">
        <v>8</v>
      </c>
      <c r="O1500" t="s">
        <v>398</v>
      </c>
      <c r="P1500" t="s">
        <v>73</v>
      </c>
      <c r="Q1500" t="s">
        <v>30</v>
      </c>
      <c r="R1500" t="s">
        <v>98</v>
      </c>
      <c r="S1500" t="s">
        <v>54</v>
      </c>
      <c r="T1500" t="s">
        <v>399</v>
      </c>
      <c r="U1500" t="s">
        <v>34</v>
      </c>
      <c r="V1500">
        <v>6757.66</v>
      </c>
    </row>
    <row r="1501" spans="1:22" x14ac:dyDescent="0.3">
      <c r="A1501" t="s">
        <v>2845</v>
      </c>
      <c r="B1501" s="2">
        <v>46052</v>
      </c>
      <c r="C1501" t="s">
        <v>221</v>
      </c>
      <c r="D1501" t="s">
        <v>49</v>
      </c>
      <c r="E1501" t="s">
        <v>58</v>
      </c>
      <c r="F1501">
        <v>1</v>
      </c>
      <c r="G1501">
        <v>0.2</v>
      </c>
      <c r="H1501">
        <v>12000</v>
      </c>
      <c r="I1501">
        <v>2106.1999999999998</v>
      </c>
      <c r="J1501" t="s">
        <v>51</v>
      </c>
      <c r="K1501" t="s">
        <v>40</v>
      </c>
      <c r="L1501">
        <v>12000</v>
      </c>
      <c r="M1501">
        <v>17.551666666666669</v>
      </c>
      <c r="N1501" t="s">
        <v>8</v>
      </c>
      <c r="O1501" t="s">
        <v>222</v>
      </c>
      <c r="P1501" t="s">
        <v>29</v>
      </c>
      <c r="Q1501" t="s">
        <v>30</v>
      </c>
      <c r="R1501" t="s">
        <v>53</v>
      </c>
      <c r="S1501" t="s">
        <v>54</v>
      </c>
      <c r="T1501" t="s">
        <v>223</v>
      </c>
      <c r="U1501" t="s">
        <v>100</v>
      </c>
      <c r="V1501">
        <v>2106.1999999999998</v>
      </c>
    </row>
    <row r="1502" spans="1:22" x14ac:dyDescent="0.3">
      <c r="A1502" t="s">
        <v>2846</v>
      </c>
      <c r="B1502" s="2">
        <v>46022</v>
      </c>
      <c r="C1502" t="s">
        <v>2182</v>
      </c>
      <c r="D1502" t="s">
        <v>70</v>
      </c>
      <c r="E1502" t="s">
        <v>108</v>
      </c>
      <c r="F1502">
        <v>3</v>
      </c>
      <c r="G1502">
        <v>0.1</v>
      </c>
      <c r="H1502">
        <v>12150</v>
      </c>
      <c r="I1502">
        <v>3664.53</v>
      </c>
      <c r="J1502" t="s">
        <v>26</v>
      </c>
      <c r="K1502" t="s">
        <v>40</v>
      </c>
      <c r="L1502">
        <v>4050</v>
      </c>
      <c r="M1502">
        <v>30.160740740740739</v>
      </c>
      <c r="N1502" t="s">
        <v>8</v>
      </c>
      <c r="O1502" t="s">
        <v>2183</v>
      </c>
      <c r="P1502" t="s">
        <v>73</v>
      </c>
      <c r="Q1502" t="s">
        <v>30</v>
      </c>
      <c r="R1502" t="s">
        <v>98</v>
      </c>
      <c r="S1502" t="s">
        <v>54</v>
      </c>
      <c r="T1502" t="s">
        <v>2184</v>
      </c>
      <c r="U1502" t="s">
        <v>105</v>
      </c>
      <c r="V1502">
        <v>1221.51</v>
      </c>
    </row>
    <row r="1503" spans="1:22" x14ac:dyDescent="0.3">
      <c r="A1503" t="s">
        <v>2847</v>
      </c>
      <c r="B1503" s="2">
        <v>46023</v>
      </c>
      <c r="C1503" t="s">
        <v>348</v>
      </c>
      <c r="D1503" t="s">
        <v>37</v>
      </c>
      <c r="E1503" t="s">
        <v>190</v>
      </c>
      <c r="F1503">
        <v>4</v>
      </c>
      <c r="G1503">
        <v>0.1</v>
      </c>
      <c r="H1503">
        <v>15120</v>
      </c>
      <c r="I1503">
        <v>3690.59</v>
      </c>
      <c r="J1503" t="s">
        <v>39</v>
      </c>
      <c r="K1503" t="s">
        <v>40</v>
      </c>
      <c r="L1503">
        <v>3780</v>
      </c>
      <c r="M1503">
        <v>24.408664021164022</v>
      </c>
      <c r="N1503" t="s">
        <v>8</v>
      </c>
      <c r="O1503" t="s">
        <v>349</v>
      </c>
      <c r="P1503" t="s">
        <v>83</v>
      </c>
      <c r="Q1503" t="s">
        <v>30</v>
      </c>
      <c r="R1503" t="s">
        <v>31</v>
      </c>
      <c r="S1503" t="s">
        <v>32</v>
      </c>
      <c r="T1503" t="s">
        <v>307</v>
      </c>
      <c r="U1503" t="s">
        <v>100</v>
      </c>
      <c r="V1503">
        <v>922.64750000000004</v>
      </c>
    </row>
    <row r="1504" spans="1:22" x14ac:dyDescent="0.3">
      <c r="A1504" t="s">
        <v>2848</v>
      </c>
      <c r="B1504" s="2">
        <v>46214</v>
      </c>
      <c r="C1504" t="s">
        <v>1958</v>
      </c>
      <c r="D1504" t="s">
        <v>49</v>
      </c>
      <c r="E1504" t="s">
        <v>119</v>
      </c>
      <c r="F1504">
        <v>4</v>
      </c>
      <c r="G1504">
        <v>0.05</v>
      </c>
      <c r="H1504">
        <v>34200</v>
      </c>
      <c r="I1504">
        <v>7844.69</v>
      </c>
      <c r="J1504" t="s">
        <v>26</v>
      </c>
      <c r="K1504" t="s">
        <v>40</v>
      </c>
      <c r="L1504">
        <v>8550</v>
      </c>
      <c r="M1504">
        <v>22.937690058479529</v>
      </c>
      <c r="N1504" t="s">
        <v>8</v>
      </c>
      <c r="O1504" t="s">
        <v>959</v>
      </c>
      <c r="P1504" t="s">
        <v>29</v>
      </c>
      <c r="Q1504" t="s">
        <v>131</v>
      </c>
      <c r="R1504" t="s">
        <v>289</v>
      </c>
      <c r="S1504" t="s">
        <v>290</v>
      </c>
      <c r="T1504" t="s">
        <v>1959</v>
      </c>
      <c r="U1504" t="s">
        <v>34</v>
      </c>
      <c r="V1504">
        <v>1961.1724999999999</v>
      </c>
    </row>
    <row r="1505" spans="1:22" x14ac:dyDescent="0.3">
      <c r="A1505" t="s">
        <v>2849</v>
      </c>
      <c r="B1505" s="2">
        <v>46174</v>
      </c>
      <c r="C1505" t="s">
        <v>1423</v>
      </c>
      <c r="D1505" t="s">
        <v>37</v>
      </c>
      <c r="E1505" t="s">
        <v>190</v>
      </c>
      <c r="F1505">
        <v>3</v>
      </c>
      <c r="G1505">
        <v>0</v>
      </c>
      <c r="H1505">
        <v>12600</v>
      </c>
      <c r="I1505">
        <v>3600</v>
      </c>
      <c r="J1505" t="s">
        <v>39</v>
      </c>
      <c r="K1505" t="s">
        <v>40</v>
      </c>
      <c r="L1505">
        <v>4200</v>
      </c>
      <c r="M1505">
        <v>28.571428571428569</v>
      </c>
      <c r="N1505" t="s">
        <v>8</v>
      </c>
      <c r="O1505" t="s">
        <v>1424</v>
      </c>
      <c r="P1505" t="s">
        <v>29</v>
      </c>
      <c r="Q1505" t="s">
        <v>74</v>
      </c>
      <c r="R1505" t="s">
        <v>75</v>
      </c>
      <c r="S1505" t="s">
        <v>75</v>
      </c>
      <c r="T1505" t="s">
        <v>1425</v>
      </c>
      <c r="U1505" t="s">
        <v>34</v>
      </c>
      <c r="V1505">
        <v>1200</v>
      </c>
    </row>
    <row r="1506" spans="1:22" x14ac:dyDescent="0.3">
      <c r="A1506" t="s">
        <v>2850</v>
      </c>
      <c r="B1506" s="2">
        <v>45907</v>
      </c>
      <c r="C1506" t="s">
        <v>1173</v>
      </c>
      <c r="D1506" t="s">
        <v>70</v>
      </c>
      <c r="E1506" t="s">
        <v>71</v>
      </c>
      <c r="F1506">
        <v>4</v>
      </c>
      <c r="G1506">
        <v>0</v>
      </c>
      <c r="H1506">
        <v>72000</v>
      </c>
      <c r="I1506">
        <v>14000</v>
      </c>
      <c r="J1506" t="s">
        <v>65</v>
      </c>
      <c r="K1506" t="s">
        <v>40</v>
      </c>
      <c r="L1506">
        <v>18000</v>
      </c>
      <c r="M1506">
        <v>19.44444444444445</v>
      </c>
      <c r="N1506" t="s">
        <v>8</v>
      </c>
      <c r="O1506" t="s">
        <v>406</v>
      </c>
      <c r="P1506" t="s">
        <v>83</v>
      </c>
      <c r="Q1506" t="s">
        <v>131</v>
      </c>
      <c r="R1506" t="s">
        <v>289</v>
      </c>
      <c r="S1506" t="s">
        <v>290</v>
      </c>
      <c r="T1506" t="s">
        <v>1174</v>
      </c>
      <c r="U1506" t="s">
        <v>34</v>
      </c>
      <c r="V1506">
        <v>3500</v>
      </c>
    </row>
    <row r="1507" spans="1:22" x14ac:dyDescent="0.3">
      <c r="A1507" t="s">
        <v>2851</v>
      </c>
      <c r="B1507" s="2">
        <v>46245</v>
      </c>
      <c r="C1507" t="s">
        <v>1046</v>
      </c>
      <c r="D1507" t="s">
        <v>49</v>
      </c>
      <c r="E1507" t="s">
        <v>50</v>
      </c>
      <c r="F1507">
        <v>2</v>
      </c>
      <c r="G1507">
        <v>0.1</v>
      </c>
      <c r="H1507">
        <v>23400</v>
      </c>
      <c r="I1507">
        <v>4715.6400000000003</v>
      </c>
      <c r="J1507" t="s">
        <v>39</v>
      </c>
      <c r="K1507" t="s">
        <v>40</v>
      </c>
      <c r="L1507">
        <v>11700</v>
      </c>
      <c r="M1507">
        <v>20.152307692307691</v>
      </c>
      <c r="N1507" t="s">
        <v>8</v>
      </c>
      <c r="O1507" t="s">
        <v>1047</v>
      </c>
      <c r="P1507" t="s">
        <v>29</v>
      </c>
      <c r="Q1507" t="s">
        <v>42</v>
      </c>
      <c r="R1507" t="s">
        <v>121</v>
      </c>
      <c r="S1507" t="s">
        <v>44</v>
      </c>
      <c r="T1507" t="s">
        <v>1048</v>
      </c>
      <c r="U1507" t="s">
        <v>100</v>
      </c>
      <c r="V1507">
        <v>2357.8200000000002</v>
      </c>
    </row>
    <row r="1508" spans="1:22" x14ac:dyDescent="0.3">
      <c r="A1508" t="s">
        <v>2852</v>
      </c>
      <c r="B1508" s="2">
        <v>46106</v>
      </c>
      <c r="C1508" t="s">
        <v>2853</v>
      </c>
      <c r="D1508" t="s">
        <v>24</v>
      </c>
      <c r="E1508" t="s">
        <v>25</v>
      </c>
      <c r="F1508">
        <v>3</v>
      </c>
      <c r="G1508">
        <v>0.05</v>
      </c>
      <c r="H1508">
        <v>39900</v>
      </c>
      <c r="I1508">
        <v>6962.82</v>
      </c>
      <c r="J1508" t="s">
        <v>65</v>
      </c>
      <c r="K1508" t="s">
        <v>40</v>
      </c>
      <c r="L1508">
        <v>13300</v>
      </c>
      <c r="M1508">
        <v>17.450676691729321</v>
      </c>
      <c r="N1508" t="s">
        <v>8</v>
      </c>
      <c r="O1508" t="s">
        <v>2854</v>
      </c>
      <c r="P1508" t="s">
        <v>73</v>
      </c>
      <c r="Q1508" t="s">
        <v>74</v>
      </c>
      <c r="R1508" t="s">
        <v>237</v>
      </c>
      <c r="S1508" t="s">
        <v>238</v>
      </c>
      <c r="T1508" t="s">
        <v>511</v>
      </c>
      <c r="U1508" t="s">
        <v>34</v>
      </c>
      <c r="V1508">
        <v>2320.94</v>
      </c>
    </row>
    <row r="1509" spans="1:22" x14ac:dyDescent="0.3">
      <c r="A1509" t="s">
        <v>2855</v>
      </c>
      <c r="B1509" s="2">
        <v>46172</v>
      </c>
      <c r="C1509" t="s">
        <v>1420</v>
      </c>
      <c r="D1509" t="s">
        <v>49</v>
      </c>
      <c r="E1509" t="s">
        <v>50</v>
      </c>
      <c r="F1509">
        <v>1</v>
      </c>
      <c r="G1509">
        <v>0</v>
      </c>
      <c r="H1509">
        <v>13000</v>
      </c>
      <c r="I1509">
        <v>3200</v>
      </c>
      <c r="J1509" t="s">
        <v>51</v>
      </c>
      <c r="K1509" t="s">
        <v>40</v>
      </c>
      <c r="L1509">
        <v>13000</v>
      </c>
      <c r="M1509">
        <v>24.61538461538462</v>
      </c>
      <c r="N1509" t="s">
        <v>8</v>
      </c>
      <c r="O1509" t="s">
        <v>369</v>
      </c>
      <c r="P1509" t="s">
        <v>73</v>
      </c>
      <c r="Q1509" t="s">
        <v>30</v>
      </c>
      <c r="R1509" t="s">
        <v>98</v>
      </c>
      <c r="S1509" t="s">
        <v>54</v>
      </c>
      <c r="T1509" t="s">
        <v>1421</v>
      </c>
      <c r="U1509" t="s">
        <v>46</v>
      </c>
      <c r="V1509">
        <v>3200</v>
      </c>
    </row>
    <row r="1510" spans="1:22" x14ac:dyDescent="0.3">
      <c r="A1510" t="s">
        <v>2856</v>
      </c>
      <c r="B1510" s="2">
        <v>46108</v>
      </c>
      <c r="C1510" t="s">
        <v>1565</v>
      </c>
      <c r="D1510" t="s">
        <v>24</v>
      </c>
      <c r="E1510" t="s">
        <v>25</v>
      </c>
      <c r="F1510">
        <v>1</v>
      </c>
      <c r="G1510">
        <v>0.1</v>
      </c>
      <c r="H1510">
        <v>12600</v>
      </c>
      <c r="I1510">
        <v>2033.43</v>
      </c>
      <c r="J1510" t="s">
        <v>65</v>
      </c>
      <c r="K1510" t="s">
        <v>40</v>
      </c>
      <c r="L1510">
        <v>12600</v>
      </c>
      <c r="M1510">
        <v>16.138333333333339</v>
      </c>
      <c r="N1510" t="s">
        <v>8</v>
      </c>
      <c r="O1510" t="s">
        <v>1566</v>
      </c>
      <c r="P1510" t="s">
        <v>83</v>
      </c>
      <c r="Q1510" t="s">
        <v>42</v>
      </c>
      <c r="R1510" t="s">
        <v>43</v>
      </c>
      <c r="S1510" t="s">
        <v>44</v>
      </c>
      <c r="T1510" t="s">
        <v>146</v>
      </c>
      <c r="U1510" t="s">
        <v>34</v>
      </c>
      <c r="V1510">
        <v>2033.43</v>
      </c>
    </row>
    <row r="1511" spans="1:22" x14ac:dyDescent="0.3">
      <c r="A1511" t="s">
        <v>2857</v>
      </c>
      <c r="B1511" s="2">
        <v>46023</v>
      </c>
      <c r="C1511" t="s">
        <v>1319</v>
      </c>
      <c r="D1511" t="s">
        <v>70</v>
      </c>
      <c r="E1511" t="s">
        <v>129</v>
      </c>
      <c r="F1511">
        <v>5</v>
      </c>
      <c r="G1511">
        <v>0</v>
      </c>
      <c r="H1511">
        <v>275000</v>
      </c>
      <c r="I1511">
        <v>45000</v>
      </c>
      <c r="J1511" t="s">
        <v>39</v>
      </c>
      <c r="K1511" t="s">
        <v>40</v>
      </c>
      <c r="L1511">
        <v>55000</v>
      </c>
      <c r="M1511">
        <v>16.36363636363636</v>
      </c>
      <c r="N1511" t="s">
        <v>8</v>
      </c>
      <c r="O1511" t="s">
        <v>166</v>
      </c>
      <c r="P1511" t="s">
        <v>83</v>
      </c>
      <c r="Q1511" t="s">
        <v>42</v>
      </c>
      <c r="R1511" t="s">
        <v>110</v>
      </c>
      <c r="S1511" t="s">
        <v>111</v>
      </c>
      <c r="T1511" t="s">
        <v>1320</v>
      </c>
      <c r="U1511" t="s">
        <v>34</v>
      </c>
      <c r="V1511">
        <v>9000</v>
      </c>
    </row>
    <row r="1512" spans="1:22" x14ac:dyDescent="0.3">
      <c r="A1512" t="s">
        <v>2858</v>
      </c>
      <c r="B1512" s="2">
        <v>45863</v>
      </c>
      <c r="C1512" t="s">
        <v>1682</v>
      </c>
      <c r="D1512" t="s">
        <v>70</v>
      </c>
      <c r="E1512" t="s">
        <v>71</v>
      </c>
      <c r="F1512">
        <v>5</v>
      </c>
      <c r="G1512">
        <v>0.1</v>
      </c>
      <c r="H1512">
        <v>81000</v>
      </c>
      <c r="I1512">
        <v>10920.01</v>
      </c>
      <c r="J1512" t="s">
        <v>65</v>
      </c>
      <c r="K1512" t="s">
        <v>40</v>
      </c>
      <c r="L1512">
        <v>16200</v>
      </c>
      <c r="M1512">
        <v>13.48149382716049</v>
      </c>
      <c r="N1512" t="s">
        <v>8</v>
      </c>
      <c r="O1512" t="s">
        <v>648</v>
      </c>
      <c r="P1512" t="s">
        <v>73</v>
      </c>
      <c r="Q1512" t="s">
        <v>131</v>
      </c>
      <c r="R1512" t="s">
        <v>449</v>
      </c>
      <c r="S1512" t="s">
        <v>450</v>
      </c>
      <c r="T1512" t="s">
        <v>912</v>
      </c>
      <c r="U1512" t="s">
        <v>46</v>
      </c>
      <c r="V1512">
        <v>2184.002</v>
      </c>
    </row>
    <row r="1513" spans="1:22" x14ac:dyDescent="0.3">
      <c r="A1513" t="s">
        <v>2859</v>
      </c>
      <c r="B1513" s="2">
        <v>45970</v>
      </c>
      <c r="C1513" t="s">
        <v>854</v>
      </c>
      <c r="D1513" t="s">
        <v>70</v>
      </c>
      <c r="E1513" t="s">
        <v>71</v>
      </c>
      <c r="F1513">
        <v>1</v>
      </c>
      <c r="G1513">
        <v>0</v>
      </c>
      <c r="H1513">
        <v>18000</v>
      </c>
      <c r="I1513">
        <v>3500</v>
      </c>
      <c r="J1513" t="s">
        <v>51</v>
      </c>
      <c r="K1513" t="s">
        <v>40</v>
      </c>
      <c r="L1513">
        <v>18000</v>
      </c>
      <c r="M1513">
        <v>19.44444444444445</v>
      </c>
      <c r="N1513" t="s">
        <v>8</v>
      </c>
      <c r="O1513" t="s">
        <v>855</v>
      </c>
      <c r="P1513" t="s">
        <v>29</v>
      </c>
      <c r="Q1513" t="s">
        <v>74</v>
      </c>
      <c r="R1513" t="s">
        <v>493</v>
      </c>
      <c r="S1513" t="s">
        <v>494</v>
      </c>
      <c r="T1513" t="s">
        <v>856</v>
      </c>
      <c r="U1513" t="s">
        <v>100</v>
      </c>
      <c r="V1513">
        <v>3500</v>
      </c>
    </row>
    <row r="1514" spans="1:22" x14ac:dyDescent="0.3">
      <c r="A1514" t="s">
        <v>2860</v>
      </c>
      <c r="B1514" s="2">
        <v>45926</v>
      </c>
      <c r="C1514" t="s">
        <v>962</v>
      </c>
      <c r="D1514" t="s">
        <v>70</v>
      </c>
      <c r="E1514" t="s">
        <v>108</v>
      </c>
      <c r="F1514">
        <v>2</v>
      </c>
      <c r="G1514">
        <v>0.15</v>
      </c>
      <c r="H1514">
        <v>7650</v>
      </c>
      <c r="I1514">
        <v>2137.02</v>
      </c>
      <c r="J1514" t="s">
        <v>51</v>
      </c>
      <c r="K1514" t="s">
        <v>40</v>
      </c>
      <c r="L1514">
        <v>3825</v>
      </c>
      <c r="M1514">
        <v>27.934901960784309</v>
      </c>
      <c r="N1514" t="s">
        <v>8</v>
      </c>
      <c r="O1514" t="s">
        <v>963</v>
      </c>
      <c r="P1514" t="s">
        <v>29</v>
      </c>
      <c r="Q1514" t="s">
        <v>42</v>
      </c>
      <c r="R1514" t="s">
        <v>214</v>
      </c>
      <c r="S1514" t="s">
        <v>111</v>
      </c>
      <c r="T1514" t="s">
        <v>964</v>
      </c>
      <c r="U1514" t="s">
        <v>100</v>
      </c>
      <c r="V1514">
        <v>1068.51</v>
      </c>
    </row>
    <row r="1515" spans="1:22" x14ac:dyDescent="0.3">
      <c r="A1515" t="s">
        <v>2861</v>
      </c>
      <c r="B1515" s="2">
        <v>46130</v>
      </c>
      <c r="C1515" t="s">
        <v>585</v>
      </c>
      <c r="D1515" t="s">
        <v>37</v>
      </c>
      <c r="E1515" t="s">
        <v>38</v>
      </c>
      <c r="F1515">
        <v>1</v>
      </c>
      <c r="G1515">
        <v>0.1</v>
      </c>
      <c r="H1515">
        <v>1620</v>
      </c>
      <c r="I1515">
        <v>544.70000000000005</v>
      </c>
      <c r="J1515" t="s">
        <v>26</v>
      </c>
      <c r="K1515" t="s">
        <v>40</v>
      </c>
      <c r="L1515">
        <v>1620</v>
      </c>
      <c r="M1515">
        <v>33.623456790123463</v>
      </c>
      <c r="N1515" t="s">
        <v>8</v>
      </c>
      <c r="O1515" t="s">
        <v>586</v>
      </c>
      <c r="P1515" t="s">
        <v>73</v>
      </c>
      <c r="Q1515" t="s">
        <v>30</v>
      </c>
      <c r="R1515" t="s">
        <v>98</v>
      </c>
      <c r="S1515" t="s">
        <v>54</v>
      </c>
      <c r="T1515" t="s">
        <v>587</v>
      </c>
      <c r="U1515" t="s">
        <v>46</v>
      </c>
      <c r="V1515">
        <v>544.70000000000005</v>
      </c>
    </row>
    <row r="1516" spans="1:22" x14ac:dyDescent="0.3">
      <c r="A1516" t="s">
        <v>2862</v>
      </c>
      <c r="B1516" s="2">
        <v>46159</v>
      </c>
      <c r="C1516" t="s">
        <v>102</v>
      </c>
      <c r="D1516" t="s">
        <v>70</v>
      </c>
      <c r="E1516" t="s">
        <v>71</v>
      </c>
      <c r="F1516">
        <v>1</v>
      </c>
      <c r="G1516">
        <v>0.05</v>
      </c>
      <c r="H1516">
        <v>17100</v>
      </c>
      <c r="I1516">
        <v>3004.2</v>
      </c>
      <c r="J1516" t="s">
        <v>65</v>
      </c>
      <c r="K1516" t="s">
        <v>40</v>
      </c>
      <c r="L1516">
        <v>17100</v>
      </c>
      <c r="M1516">
        <v>17.568421052631582</v>
      </c>
      <c r="N1516" t="s">
        <v>8</v>
      </c>
      <c r="O1516" t="s">
        <v>103</v>
      </c>
      <c r="P1516" t="s">
        <v>29</v>
      </c>
      <c r="Q1516" t="s">
        <v>30</v>
      </c>
      <c r="R1516" t="s">
        <v>98</v>
      </c>
      <c r="S1516" t="s">
        <v>54</v>
      </c>
      <c r="T1516" t="s">
        <v>104</v>
      </c>
      <c r="U1516" t="s">
        <v>105</v>
      </c>
      <c r="V1516">
        <v>3004.2</v>
      </c>
    </row>
    <row r="1517" spans="1:22" x14ac:dyDescent="0.3">
      <c r="A1517" t="s">
        <v>2863</v>
      </c>
      <c r="B1517" s="2">
        <v>46041</v>
      </c>
      <c r="C1517" t="s">
        <v>1410</v>
      </c>
      <c r="D1517" t="s">
        <v>49</v>
      </c>
      <c r="E1517" t="s">
        <v>79</v>
      </c>
      <c r="F1517">
        <v>2</v>
      </c>
      <c r="G1517">
        <v>0.2</v>
      </c>
      <c r="H1517">
        <v>17600</v>
      </c>
      <c r="I1517">
        <v>2633.8</v>
      </c>
      <c r="J1517" t="s">
        <v>51</v>
      </c>
      <c r="K1517" t="s">
        <v>40</v>
      </c>
      <c r="L1517">
        <v>8800</v>
      </c>
      <c r="M1517">
        <v>14.964772727272729</v>
      </c>
      <c r="N1517" t="s">
        <v>8</v>
      </c>
      <c r="O1517" t="s">
        <v>995</v>
      </c>
      <c r="P1517" t="s">
        <v>73</v>
      </c>
      <c r="Q1517" t="s">
        <v>30</v>
      </c>
      <c r="R1517" t="s">
        <v>60</v>
      </c>
      <c r="S1517" t="s">
        <v>61</v>
      </c>
      <c r="T1517" t="s">
        <v>1411</v>
      </c>
      <c r="U1517" t="s">
        <v>34</v>
      </c>
      <c r="V1517">
        <v>1316.9</v>
      </c>
    </row>
    <row r="1518" spans="1:22" x14ac:dyDescent="0.3">
      <c r="A1518" t="s">
        <v>2864</v>
      </c>
      <c r="B1518" s="2">
        <v>46064</v>
      </c>
      <c r="C1518" t="s">
        <v>348</v>
      </c>
      <c r="D1518" t="s">
        <v>70</v>
      </c>
      <c r="E1518" t="s">
        <v>71</v>
      </c>
      <c r="F1518">
        <v>3</v>
      </c>
      <c r="G1518">
        <v>0</v>
      </c>
      <c r="H1518">
        <v>54000</v>
      </c>
      <c r="I1518">
        <v>10500</v>
      </c>
      <c r="J1518" t="s">
        <v>39</v>
      </c>
      <c r="K1518" t="s">
        <v>40</v>
      </c>
      <c r="L1518">
        <v>18000</v>
      </c>
      <c r="M1518">
        <v>19.44444444444445</v>
      </c>
      <c r="N1518" t="s">
        <v>8</v>
      </c>
      <c r="O1518" t="s">
        <v>349</v>
      </c>
      <c r="P1518" t="s">
        <v>83</v>
      </c>
      <c r="Q1518" t="s">
        <v>30</v>
      </c>
      <c r="R1518" t="s">
        <v>31</v>
      </c>
      <c r="S1518" t="s">
        <v>32</v>
      </c>
      <c r="T1518" t="s">
        <v>307</v>
      </c>
      <c r="U1518" t="s">
        <v>100</v>
      </c>
      <c r="V1518">
        <v>3500</v>
      </c>
    </row>
    <row r="1519" spans="1:22" x14ac:dyDescent="0.3">
      <c r="A1519" t="s">
        <v>2865</v>
      </c>
      <c r="B1519" s="2">
        <v>46261</v>
      </c>
      <c r="C1519" t="s">
        <v>1319</v>
      </c>
      <c r="D1519" t="s">
        <v>49</v>
      </c>
      <c r="E1519" t="s">
        <v>119</v>
      </c>
      <c r="F1519">
        <v>2</v>
      </c>
      <c r="G1519">
        <v>0.15</v>
      </c>
      <c r="H1519">
        <v>15300</v>
      </c>
      <c r="I1519">
        <v>3340.93</v>
      </c>
      <c r="J1519" t="s">
        <v>65</v>
      </c>
      <c r="K1519" t="s">
        <v>40</v>
      </c>
      <c r="L1519">
        <v>7650</v>
      </c>
      <c r="M1519">
        <v>21.836143790849668</v>
      </c>
      <c r="N1519" t="s">
        <v>8</v>
      </c>
      <c r="O1519" t="s">
        <v>166</v>
      </c>
      <c r="P1519" t="s">
        <v>83</v>
      </c>
      <c r="Q1519" t="s">
        <v>42</v>
      </c>
      <c r="R1519" t="s">
        <v>110</v>
      </c>
      <c r="S1519" t="s">
        <v>111</v>
      </c>
      <c r="T1519" t="s">
        <v>1320</v>
      </c>
      <c r="U1519" t="s">
        <v>34</v>
      </c>
      <c r="V1519">
        <v>1670.4649999999999</v>
      </c>
    </row>
    <row r="1520" spans="1:22" x14ac:dyDescent="0.3">
      <c r="A1520" t="s">
        <v>2866</v>
      </c>
      <c r="B1520" s="2">
        <v>46114</v>
      </c>
      <c r="C1520" t="s">
        <v>1120</v>
      </c>
      <c r="D1520" t="s">
        <v>70</v>
      </c>
      <c r="E1520" t="s">
        <v>165</v>
      </c>
      <c r="F1520">
        <v>1</v>
      </c>
      <c r="G1520">
        <v>0.05</v>
      </c>
      <c r="H1520">
        <v>2375</v>
      </c>
      <c r="I1520">
        <v>713.76</v>
      </c>
      <c r="J1520" t="s">
        <v>26</v>
      </c>
      <c r="K1520" t="s">
        <v>40</v>
      </c>
      <c r="L1520">
        <v>2375</v>
      </c>
      <c r="M1520">
        <v>30.05305263157895</v>
      </c>
      <c r="N1520" t="s">
        <v>8</v>
      </c>
      <c r="O1520" t="s">
        <v>1121</v>
      </c>
      <c r="P1520" t="s">
        <v>73</v>
      </c>
      <c r="Q1520" t="s">
        <v>74</v>
      </c>
      <c r="R1520" t="s">
        <v>493</v>
      </c>
      <c r="S1520" t="s">
        <v>494</v>
      </c>
      <c r="T1520" t="s">
        <v>1122</v>
      </c>
      <c r="U1520" t="s">
        <v>34</v>
      </c>
      <c r="V1520">
        <v>713.76</v>
      </c>
    </row>
    <row r="1521" spans="1:22" x14ac:dyDescent="0.3">
      <c r="A1521" t="s">
        <v>2867</v>
      </c>
      <c r="B1521" s="2">
        <v>46241</v>
      </c>
      <c r="C1521" t="s">
        <v>736</v>
      </c>
      <c r="D1521" t="s">
        <v>70</v>
      </c>
      <c r="E1521" t="s">
        <v>108</v>
      </c>
      <c r="F1521">
        <v>1</v>
      </c>
      <c r="G1521">
        <v>0.15</v>
      </c>
      <c r="H1521">
        <v>3825</v>
      </c>
      <c r="I1521">
        <v>927.35</v>
      </c>
      <c r="J1521" t="s">
        <v>26</v>
      </c>
      <c r="K1521" t="s">
        <v>40</v>
      </c>
      <c r="L1521">
        <v>3825</v>
      </c>
      <c r="M1521">
        <v>24.244444444444451</v>
      </c>
      <c r="N1521" t="s">
        <v>8</v>
      </c>
      <c r="O1521" t="s">
        <v>648</v>
      </c>
      <c r="P1521" t="s">
        <v>29</v>
      </c>
      <c r="Q1521" t="s">
        <v>30</v>
      </c>
      <c r="R1521" t="s">
        <v>60</v>
      </c>
      <c r="S1521" t="s">
        <v>61</v>
      </c>
      <c r="T1521" t="s">
        <v>311</v>
      </c>
      <c r="U1521" t="s">
        <v>34</v>
      </c>
      <c r="V1521">
        <v>927.35</v>
      </c>
    </row>
    <row r="1522" spans="1:22" x14ac:dyDescent="0.3">
      <c r="A1522" t="s">
        <v>2868</v>
      </c>
      <c r="B1522" s="2">
        <v>46242</v>
      </c>
      <c r="C1522" t="s">
        <v>2869</v>
      </c>
      <c r="D1522" t="s">
        <v>70</v>
      </c>
      <c r="E1522" t="s">
        <v>129</v>
      </c>
      <c r="F1522">
        <v>4</v>
      </c>
      <c r="G1522">
        <v>0</v>
      </c>
      <c r="H1522">
        <v>220000</v>
      </c>
      <c r="I1522">
        <v>36000</v>
      </c>
      <c r="J1522" t="s">
        <v>65</v>
      </c>
      <c r="K1522" t="s">
        <v>40</v>
      </c>
      <c r="L1522">
        <v>55000</v>
      </c>
      <c r="M1522">
        <v>16.36363636363636</v>
      </c>
      <c r="N1522" t="s">
        <v>8</v>
      </c>
      <c r="O1522" t="s">
        <v>2870</v>
      </c>
      <c r="P1522" t="s">
        <v>29</v>
      </c>
      <c r="Q1522" t="s">
        <v>42</v>
      </c>
      <c r="R1522" t="s">
        <v>121</v>
      </c>
      <c r="S1522" t="s">
        <v>44</v>
      </c>
      <c r="T1522" t="s">
        <v>2080</v>
      </c>
      <c r="U1522" t="s">
        <v>100</v>
      </c>
      <c r="V1522">
        <v>9000</v>
      </c>
    </row>
    <row r="1523" spans="1:22" x14ac:dyDescent="0.3">
      <c r="A1523" t="s">
        <v>2871</v>
      </c>
      <c r="B1523" s="2">
        <v>45999</v>
      </c>
      <c r="C1523" t="s">
        <v>869</v>
      </c>
      <c r="D1523" t="s">
        <v>49</v>
      </c>
      <c r="E1523" t="s">
        <v>50</v>
      </c>
      <c r="F1523">
        <v>6</v>
      </c>
      <c r="G1523">
        <v>0.15</v>
      </c>
      <c r="H1523">
        <v>66300</v>
      </c>
      <c r="I1523">
        <v>9427.5</v>
      </c>
      <c r="J1523" t="s">
        <v>39</v>
      </c>
      <c r="K1523" t="s">
        <v>40</v>
      </c>
      <c r="L1523">
        <v>11050</v>
      </c>
      <c r="M1523">
        <v>14.21945701357466</v>
      </c>
      <c r="N1523" t="s">
        <v>8</v>
      </c>
      <c r="O1523" t="s">
        <v>870</v>
      </c>
      <c r="P1523" t="s">
        <v>73</v>
      </c>
      <c r="Q1523" t="s">
        <v>30</v>
      </c>
      <c r="R1523" t="s">
        <v>98</v>
      </c>
      <c r="S1523" t="s">
        <v>54</v>
      </c>
      <c r="T1523" t="s">
        <v>859</v>
      </c>
      <c r="U1523" t="s">
        <v>34</v>
      </c>
      <c r="V1523">
        <v>1571.25</v>
      </c>
    </row>
    <row r="1524" spans="1:22" x14ac:dyDescent="0.3">
      <c r="A1524" t="s">
        <v>2872</v>
      </c>
      <c r="B1524" s="2">
        <v>46026</v>
      </c>
      <c r="C1524" t="s">
        <v>2150</v>
      </c>
      <c r="D1524" t="s">
        <v>70</v>
      </c>
      <c r="E1524" t="s">
        <v>165</v>
      </c>
      <c r="F1524">
        <v>3</v>
      </c>
      <c r="G1524">
        <v>0.05</v>
      </c>
      <c r="H1524">
        <v>7125</v>
      </c>
      <c r="I1524">
        <v>2128.4299999999998</v>
      </c>
      <c r="J1524" t="s">
        <v>65</v>
      </c>
      <c r="K1524" t="s">
        <v>40</v>
      </c>
      <c r="L1524">
        <v>2375</v>
      </c>
      <c r="M1524">
        <v>29.872701754385961</v>
      </c>
      <c r="N1524" t="s">
        <v>8</v>
      </c>
      <c r="O1524" t="s">
        <v>149</v>
      </c>
      <c r="P1524" t="s">
        <v>83</v>
      </c>
      <c r="Q1524" t="s">
        <v>74</v>
      </c>
      <c r="R1524" t="s">
        <v>75</v>
      </c>
      <c r="S1524" t="s">
        <v>75</v>
      </c>
      <c r="T1524" t="s">
        <v>1862</v>
      </c>
      <c r="U1524" t="s">
        <v>105</v>
      </c>
      <c r="V1524">
        <v>709.47666666666657</v>
      </c>
    </row>
    <row r="1525" spans="1:22" x14ac:dyDescent="0.3">
      <c r="A1525" t="s">
        <v>2873</v>
      </c>
      <c r="B1525" s="2">
        <v>45912</v>
      </c>
      <c r="C1525" t="s">
        <v>1788</v>
      </c>
      <c r="D1525" t="s">
        <v>70</v>
      </c>
      <c r="E1525" t="s">
        <v>129</v>
      </c>
      <c r="F1525">
        <v>10</v>
      </c>
      <c r="G1525">
        <v>0.1</v>
      </c>
      <c r="H1525">
        <v>495000</v>
      </c>
      <c r="I1525">
        <v>44354.5</v>
      </c>
      <c r="J1525" t="s">
        <v>51</v>
      </c>
      <c r="K1525" t="s">
        <v>40</v>
      </c>
      <c r="L1525">
        <v>49500</v>
      </c>
      <c r="M1525">
        <v>8.9605050505050503</v>
      </c>
      <c r="N1525" t="s">
        <v>8</v>
      </c>
      <c r="O1525" t="s">
        <v>349</v>
      </c>
      <c r="P1525" t="s">
        <v>73</v>
      </c>
      <c r="Q1525" t="s">
        <v>131</v>
      </c>
      <c r="R1525" t="s">
        <v>200</v>
      </c>
      <c r="S1525" t="s">
        <v>201</v>
      </c>
      <c r="T1525" t="s">
        <v>1789</v>
      </c>
      <c r="U1525" t="s">
        <v>34</v>
      </c>
      <c r="V1525">
        <v>4435.45</v>
      </c>
    </row>
    <row r="1526" spans="1:22" x14ac:dyDescent="0.3">
      <c r="A1526" t="s">
        <v>2874</v>
      </c>
      <c r="B1526" s="2">
        <v>45866</v>
      </c>
      <c r="C1526" t="s">
        <v>858</v>
      </c>
      <c r="D1526" t="s">
        <v>70</v>
      </c>
      <c r="E1526" t="s">
        <v>71</v>
      </c>
      <c r="F1526">
        <v>3</v>
      </c>
      <c r="G1526">
        <v>0</v>
      </c>
      <c r="H1526">
        <v>54000</v>
      </c>
      <c r="I1526">
        <v>10500</v>
      </c>
      <c r="J1526" t="s">
        <v>26</v>
      </c>
      <c r="K1526" t="s">
        <v>40</v>
      </c>
      <c r="L1526">
        <v>18000</v>
      </c>
      <c r="M1526">
        <v>19.44444444444445</v>
      </c>
      <c r="N1526" t="s">
        <v>8</v>
      </c>
      <c r="O1526" t="s">
        <v>406</v>
      </c>
      <c r="P1526" t="s">
        <v>73</v>
      </c>
      <c r="Q1526" t="s">
        <v>30</v>
      </c>
      <c r="R1526" t="s">
        <v>53</v>
      </c>
      <c r="S1526" t="s">
        <v>54</v>
      </c>
      <c r="T1526" t="s">
        <v>859</v>
      </c>
      <c r="U1526" t="s">
        <v>105</v>
      </c>
      <c r="V1526">
        <v>3500</v>
      </c>
    </row>
    <row r="1527" spans="1:22" x14ac:dyDescent="0.3">
      <c r="A1527" t="s">
        <v>2875</v>
      </c>
      <c r="B1527" s="2">
        <v>46130</v>
      </c>
      <c r="C1527" t="s">
        <v>621</v>
      </c>
      <c r="D1527" t="s">
        <v>70</v>
      </c>
      <c r="E1527" t="s">
        <v>108</v>
      </c>
      <c r="F1527">
        <v>3</v>
      </c>
      <c r="G1527">
        <v>0.05</v>
      </c>
      <c r="H1527">
        <v>12825</v>
      </c>
      <c r="I1527">
        <v>4158.67</v>
      </c>
      <c r="J1527" t="s">
        <v>65</v>
      </c>
      <c r="K1527" t="s">
        <v>40</v>
      </c>
      <c r="L1527">
        <v>4275</v>
      </c>
      <c r="M1527">
        <v>32.42627680311891</v>
      </c>
      <c r="N1527" t="s">
        <v>8</v>
      </c>
      <c r="O1527" t="s">
        <v>622</v>
      </c>
      <c r="P1527" t="s">
        <v>29</v>
      </c>
      <c r="Q1527" t="s">
        <v>74</v>
      </c>
      <c r="R1527" t="s">
        <v>115</v>
      </c>
      <c r="S1527" t="s">
        <v>115</v>
      </c>
      <c r="T1527" t="s">
        <v>623</v>
      </c>
      <c r="U1527" t="s">
        <v>100</v>
      </c>
      <c r="V1527">
        <v>1386.2233333333329</v>
      </c>
    </row>
    <row r="1528" spans="1:22" x14ac:dyDescent="0.3">
      <c r="A1528" t="s">
        <v>2876</v>
      </c>
      <c r="B1528" s="2">
        <v>46010</v>
      </c>
      <c r="C1528" t="s">
        <v>1548</v>
      </c>
      <c r="D1528" t="s">
        <v>37</v>
      </c>
      <c r="E1528" t="s">
        <v>170</v>
      </c>
      <c r="F1528">
        <v>3</v>
      </c>
      <c r="G1528">
        <v>0.1</v>
      </c>
      <c r="H1528">
        <v>3780</v>
      </c>
      <c r="I1528">
        <v>1184.4000000000001</v>
      </c>
      <c r="J1528" t="s">
        <v>26</v>
      </c>
      <c r="K1528" t="s">
        <v>40</v>
      </c>
      <c r="L1528">
        <v>1260</v>
      </c>
      <c r="M1528">
        <v>31.333333333333339</v>
      </c>
      <c r="N1528" t="s">
        <v>8</v>
      </c>
      <c r="O1528" t="s">
        <v>825</v>
      </c>
      <c r="P1528" t="s">
        <v>83</v>
      </c>
      <c r="Q1528" t="s">
        <v>30</v>
      </c>
      <c r="R1528" t="s">
        <v>98</v>
      </c>
      <c r="S1528" t="s">
        <v>54</v>
      </c>
      <c r="T1528" t="s">
        <v>1549</v>
      </c>
      <c r="U1528" t="s">
        <v>34</v>
      </c>
      <c r="V1528">
        <v>394.8</v>
      </c>
    </row>
    <row r="1529" spans="1:22" x14ac:dyDescent="0.3">
      <c r="A1529" t="s">
        <v>2877</v>
      </c>
      <c r="B1529" s="2">
        <v>46118</v>
      </c>
      <c r="C1529" t="s">
        <v>574</v>
      </c>
      <c r="D1529" t="s">
        <v>70</v>
      </c>
      <c r="E1529" t="s">
        <v>108</v>
      </c>
      <c r="F1529">
        <v>1</v>
      </c>
      <c r="G1529">
        <v>0.15</v>
      </c>
      <c r="H1529">
        <v>3825</v>
      </c>
      <c r="I1529">
        <v>1148.8499999999999</v>
      </c>
      <c r="J1529" t="s">
        <v>51</v>
      </c>
      <c r="K1529" t="s">
        <v>40</v>
      </c>
      <c r="L1529">
        <v>3825</v>
      </c>
      <c r="M1529">
        <v>30.035294117647059</v>
      </c>
      <c r="N1529" t="s">
        <v>8</v>
      </c>
      <c r="O1529" t="s">
        <v>510</v>
      </c>
      <c r="P1529" t="s">
        <v>73</v>
      </c>
      <c r="Q1529" t="s">
        <v>74</v>
      </c>
      <c r="R1529" t="s">
        <v>75</v>
      </c>
      <c r="S1529" t="s">
        <v>75</v>
      </c>
      <c r="T1529" t="s">
        <v>575</v>
      </c>
      <c r="U1529" t="s">
        <v>100</v>
      </c>
      <c r="V1529">
        <v>1148.8499999999999</v>
      </c>
    </row>
    <row r="1530" spans="1:22" x14ac:dyDescent="0.3">
      <c r="A1530" t="s">
        <v>2878</v>
      </c>
      <c r="B1530" s="2">
        <v>46016</v>
      </c>
      <c r="C1530" t="s">
        <v>178</v>
      </c>
      <c r="D1530" t="s">
        <v>24</v>
      </c>
      <c r="E1530" t="s">
        <v>92</v>
      </c>
      <c r="F1530">
        <v>2</v>
      </c>
      <c r="G1530">
        <v>0</v>
      </c>
      <c r="H1530">
        <v>1800</v>
      </c>
      <c r="I1530">
        <v>560</v>
      </c>
      <c r="J1530" t="s">
        <v>39</v>
      </c>
      <c r="K1530" t="s">
        <v>40</v>
      </c>
      <c r="L1530">
        <v>900</v>
      </c>
      <c r="M1530">
        <v>31.111111111111111</v>
      </c>
      <c r="N1530" t="s">
        <v>8</v>
      </c>
      <c r="O1530" t="s">
        <v>179</v>
      </c>
      <c r="P1530" t="s">
        <v>83</v>
      </c>
      <c r="Q1530" t="s">
        <v>30</v>
      </c>
      <c r="R1530" t="s">
        <v>31</v>
      </c>
      <c r="S1530" t="s">
        <v>32</v>
      </c>
      <c r="T1530" t="s">
        <v>180</v>
      </c>
      <c r="U1530" t="s">
        <v>105</v>
      </c>
      <c r="V1530">
        <v>280</v>
      </c>
    </row>
    <row r="1531" spans="1:22" x14ac:dyDescent="0.3">
      <c r="A1531" t="s">
        <v>2879</v>
      </c>
      <c r="B1531" s="2">
        <v>45894</v>
      </c>
      <c r="C1531" t="s">
        <v>1250</v>
      </c>
      <c r="D1531" t="s">
        <v>37</v>
      </c>
      <c r="E1531" t="s">
        <v>170</v>
      </c>
      <c r="F1531">
        <v>5</v>
      </c>
      <c r="G1531">
        <v>0.1</v>
      </c>
      <c r="H1531">
        <v>6300</v>
      </c>
      <c r="I1531">
        <v>-1358.7</v>
      </c>
      <c r="J1531" t="s">
        <v>65</v>
      </c>
      <c r="K1531" t="s">
        <v>80</v>
      </c>
      <c r="L1531">
        <v>1260</v>
      </c>
      <c r="M1531">
        <v>-21.56666666666667</v>
      </c>
      <c r="N1531" t="s">
        <v>81</v>
      </c>
      <c r="O1531" t="s">
        <v>1251</v>
      </c>
      <c r="P1531" t="s">
        <v>29</v>
      </c>
      <c r="Q1531" t="s">
        <v>42</v>
      </c>
      <c r="R1531" t="s">
        <v>43</v>
      </c>
      <c r="S1531" t="s">
        <v>44</v>
      </c>
      <c r="T1531" t="s">
        <v>1252</v>
      </c>
      <c r="U1531" t="s">
        <v>105</v>
      </c>
      <c r="V1531">
        <v>-271.74</v>
      </c>
    </row>
    <row r="1532" spans="1:22" x14ac:dyDescent="0.3">
      <c r="A1532" t="s">
        <v>2880</v>
      </c>
      <c r="B1532" s="2">
        <v>46047</v>
      </c>
      <c r="C1532" t="s">
        <v>2881</v>
      </c>
      <c r="D1532" t="s">
        <v>24</v>
      </c>
      <c r="E1532" t="s">
        <v>25</v>
      </c>
      <c r="F1532">
        <v>3</v>
      </c>
      <c r="G1532">
        <v>0</v>
      </c>
      <c r="H1532">
        <v>42000</v>
      </c>
      <c r="I1532">
        <v>8400</v>
      </c>
      <c r="J1532" t="s">
        <v>51</v>
      </c>
      <c r="K1532" t="s">
        <v>40</v>
      </c>
      <c r="L1532">
        <v>14000</v>
      </c>
      <c r="M1532">
        <v>20</v>
      </c>
      <c r="N1532" t="s">
        <v>8</v>
      </c>
      <c r="O1532" t="s">
        <v>2301</v>
      </c>
      <c r="P1532" t="s">
        <v>73</v>
      </c>
      <c r="Q1532" t="s">
        <v>42</v>
      </c>
      <c r="R1532" t="s">
        <v>43</v>
      </c>
      <c r="S1532" t="s">
        <v>44</v>
      </c>
      <c r="T1532" t="s">
        <v>2882</v>
      </c>
      <c r="U1532" t="s">
        <v>100</v>
      </c>
      <c r="V1532">
        <v>2800</v>
      </c>
    </row>
    <row r="1533" spans="1:22" x14ac:dyDescent="0.3">
      <c r="A1533" t="s">
        <v>2883</v>
      </c>
      <c r="B1533" s="2">
        <v>46209</v>
      </c>
      <c r="C1533" t="s">
        <v>2150</v>
      </c>
      <c r="D1533" t="s">
        <v>24</v>
      </c>
      <c r="E1533" t="s">
        <v>242</v>
      </c>
      <c r="F1533">
        <v>3</v>
      </c>
      <c r="G1533">
        <v>0.15</v>
      </c>
      <c r="H1533">
        <v>1147.5</v>
      </c>
      <c r="I1533">
        <v>235.26</v>
      </c>
      <c r="J1533" t="s">
        <v>65</v>
      </c>
      <c r="K1533" t="s">
        <v>40</v>
      </c>
      <c r="L1533">
        <v>382.5</v>
      </c>
      <c r="M1533">
        <v>20.50196078431372</v>
      </c>
      <c r="N1533" t="s">
        <v>8</v>
      </c>
      <c r="O1533" t="s">
        <v>149</v>
      </c>
      <c r="P1533" t="s">
        <v>83</v>
      </c>
      <c r="Q1533" t="s">
        <v>74</v>
      </c>
      <c r="R1533" t="s">
        <v>75</v>
      </c>
      <c r="S1533" t="s">
        <v>75</v>
      </c>
      <c r="T1533" t="s">
        <v>1862</v>
      </c>
      <c r="U1533" t="s">
        <v>105</v>
      </c>
      <c r="V1533">
        <v>78.42</v>
      </c>
    </row>
    <row r="1534" spans="1:22" x14ac:dyDescent="0.3">
      <c r="A1534" t="s">
        <v>2884</v>
      </c>
      <c r="B1534" s="2">
        <v>46169</v>
      </c>
      <c r="C1534" t="s">
        <v>933</v>
      </c>
      <c r="D1534" t="s">
        <v>70</v>
      </c>
      <c r="E1534" t="s">
        <v>108</v>
      </c>
      <c r="F1534">
        <v>4</v>
      </c>
      <c r="G1534">
        <v>0.3</v>
      </c>
      <c r="H1534">
        <v>12600</v>
      </c>
      <c r="I1534">
        <v>3278.41</v>
      </c>
      <c r="J1534" t="s">
        <v>39</v>
      </c>
      <c r="K1534" t="s">
        <v>40</v>
      </c>
      <c r="L1534">
        <v>3150</v>
      </c>
      <c r="M1534">
        <v>26.019126984126981</v>
      </c>
      <c r="N1534" t="s">
        <v>8</v>
      </c>
      <c r="O1534" t="s">
        <v>233</v>
      </c>
      <c r="P1534" t="s">
        <v>29</v>
      </c>
      <c r="Q1534" t="s">
        <v>30</v>
      </c>
      <c r="R1534" t="s">
        <v>31</v>
      </c>
      <c r="S1534" t="s">
        <v>32</v>
      </c>
      <c r="T1534" t="s">
        <v>934</v>
      </c>
      <c r="U1534" t="s">
        <v>34</v>
      </c>
      <c r="V1534">
        <v>819.60249999999996</v>
      </c>
    </row>
    <row r="1535" spans="1:22" x14ac:dyDescent="0.3">
      <c r="A1535" t="s">
        <v>2885</v>
      </c>
      <c r="B1535" s="2">
        <v>45881</v>
      </c>
      <c r="C1535" t="s">
        <v>1860</v>
      </c>
      <c r="D1535" t="s">
        <v>49</v>
      </c>
      <c r="E1535" t="s">
        <v>79</v>
      </c>
      <c r="F1535">
        <v>3</v>
      </c>
      <c r="G1535">
        <v>0.05</v>
      </c>
      <c r="H1535">
        <v>31350</v>
      </c>
      <c r="I1535">
        <v>6773.71</v>
      </c>
      <c r="J1535" t="s">
        <v>65</v>
      </c>
      <c r="K1535" t="s">
        <v>40</v>
      </c>
      <c r="L1535">
        <v>10450</v>
      </c>
      <c r="M1535">
        <v>21.606730462519931</v>
      </c>
      <c r="N1535" t="s">
        <v>8</v>
      </c>
      <c r="O1535" t="s">
        <v>1861</v>
      </c>
      <c r="P1535" t="s">
        <v>83</v>
      </c>
      <c r="Q1535" t="s">
        <v>30</v>
      </c>
      <c r="R1535" t="s">
        <v>98</v>
      </c>
      <c r="S1535" t="s">
        <v>54</v>
      </c>
      <c r="T1535" t="s">
        <v>1862</v>
      </c>
      <c r="U1535" t="s">
        <v>34</v>
      </c>
      <c r="V1535">
        <v>2257.9033333333332</v>
      </c>
    </row>
    <row r="1536" spans="1:22" x14ac:dyDescent="0.3">
      <c r="A1536" t="s">
        <v>2886</v>
      </c>
      <c r="B1536" s="2">
        <v>45880</v>
      </c>
      <c r="C1536" t="s">
        <v>525</v>
      </c>
      <c r="D1536" t="s">
        <v>49</v>
      </c>
      <c r="E1536" t="s">
        <v>79</v>
      </c>
      <c r="F1536">
        <v>10</v>
      </c>
      <c r="G1536">
        <v>0.05</v>
      </c>
      <c r="H1536">
        <v>104500</v>
      </c>
      <c r="I1536">
        <v>23376.45</v>
      </c>
      <c r="J1536" t="s">
        <v>39</v>
      </c>
      <c r="K1536" t="s">
        <v>40</v>
      </c>
      <c r="L1536">
        <v>10450</v>
      </c>
      <c r="M1536">
        <v>22.369808612440188</v>
      </c>
      <c r="N1536" t="s">
        <v>8</v>
      </c>
      <c r="O1536" t="s">
        <v>526</v>
      </c>
      <c r="P1536" t="s">
        <v>29</v>
      </c>
      <c r="Q1536" t="s">
        <v>30</v>
      </c>
      <c r="R1536" t="s">
        <v>98</v>
      </c>
      <c r="S1536" t="s">
        <v>54</v>
      </c>
      <c r="T1536" t="s">
        <v>527</v>
      </c>
      <c r="U1536" t="s">
        <v>34</v>
      </c>
      <c r="V1536">
        <v>2337.645</v>
      </c>
    </row>
    <row r="1537" spans="1:22" x14ac:dyDescent="0.3">
      <c r="A1537" t="s">
        <v>2887</v>
      </c>
      <c r="B1537" s="2">
        <v>46193</v>
      </c>
      <c r="C1537" t="s">
        <v>1497</v>
      </c>
      <c r="D1537" t="s">
        <v>24</v>
      </c>
      <c r="E1537" t="s">
        <v>242</v>
      </c>
      <c r="F1537">
        <v>2</v>
      </c>
      <c r="G1537">
        <v>0.05</v>
      </c>
      <c r="H1537">
        <v>855</v>
      </c>
      <c r="I1537">
        <v>-361.38</v>
      </c>
      <c r="J1537" t="s">
        <v>65</v>
      </c>
      <c r="K1537" t="s">
        <v>80</v>
      </c>
      <c r="L1537">
        <v>427.5</v>
      </c>
      <c r="M1537">
        <v>-42.266666666666673</v>
      </c>
      <c r="N1537" t="s">
        <v>81</v>
      </c>
      <c r="O1537" t="s">
        <v>88</v>
      </c>
      <c r="P1537" t="s">
        <v>73</v>
      </c>
      <c r="Q1537" t="s">
        <v>30</v>
      </c>
      <c r="R1537" t="s">
        <v>31</v>
      </c>
      <c r="S1537" t="s">
        <v>32</v>
      </c>
      <c r="T1537" t="s">
        <v>1498</v>
      </c>
      <c r="U1537" t="s">
        <v>46</v>
      </c>
      <c r="V1537">
        <v>-180.69</v>
      </c>
    </row>
    <row r="1538" spans="1:22" x14ac:dyDescent="0.3">
      <c r="A1538" t="s">
        <v>2888</v>
      </c>
      <c r="B1538" s="2">
        <v>46049</v>
      </c>
      <c r="C1538" t="s">
        <v>1250</v>
      </c>
      <c r="D1538" t="s">
        <v>37</v>
      </c>
      <c r="E1538" t="s">
        <v>38</v>
      </c>
      <c r="F1538">
        <v>5</v>
      </c>
      <c r="G1538">
        <v>0.05</v>
      </c>
      <c r="H1538">
        <v>8550</v>
      </c>
      <c r="I1538">
        <v>2890.01</v>
      </c>
      <c r="J1538" t="s">
        <v>39</v>
      </c>
      <c r="K1538" t="s">
        <v>40</v>
      </c>
      <c r="L1538">
        <v>1710</v>
      </c>
      <c r="M1538">
        <v>33.801286549707598</v>
      </c>
      <c r="N1538" t="s">
        <v>8</v>
      </c>
      <c r="O1538" t="s">
        <v>1251</v>
      </c>
      <c r="P1538" t="s">
        <v>29</v>
      </c>
      <c r="Q1538" t="s">
        <v>42</v>
      </c>
      <c r="R1538" t="s">
        <v>43</v>
      </c>
      <c r="S1538" t="s">
        <v>44</v>
      </c>
      <c r="T1538" t="s">
        <v>1252</v>
      </c>
      <c r="U1538" t="s">
        <v>105</v>
      </c>
      <c r="V1538">
        <v>578.00200000000007</v>
      </c>
    </row>
    <row r="1539" spans="1:22" x14ac:dyDescent="0.3">
      <c r="A1539" t="s">
        <v>2889</v>
      </c>
      <c r="B1539" s="2">
        <v>46121</v>
      </c>
      <c r="C1539" t="s">
        <v>916</v>
      </c>
      <c r="D1539" t="s">
        <v>37</v>
      </c>
      <c r="E1539" t="s">
        <v>170</v>
      </c>
      <c r="F1539">
        <v>1</v>
      </c>
      <c r="G1539">
        <v>0.15</v>
      </c>
      <c r="H1539">
        <v>1190</v>
      </c>
      <c r="I1539">
        <v>399.29</v>
      </c>
      <c r="J1539" t="s">
        <v>51</v>
      </c>
      <c r="K1539" t="s">
        <v>40</v>
      </c>
      <c r="L1539">
        <v>1190</v>
      </c>
      <c r="M1539">
        <v>33.553781512605049</v>
      </c>
      <c r="N1539" t="s">
        <v>8</v>
      </c>
      <c r="O1539" t="s">
        <v>917</v>
      </c>
      <c r="P1539" t="s">
        <v>29</v>
      </c>
      <c r="Q1539" t="s">
        <v>42</v>
      </c>
      <c r="R1539" t="s">
        <v>121</v>
      </c>
      <c r="S1539" t="s">
        <v>44</v>
      </c>
      <c r="T1539" t="s">
        <v>918</v>
      </c>
      <c r="U1539" t="s">
        <v>34</v>
      </c>
      <c r="V1539">
        <v>399.29</v>
      </c>
    </row>
    <row r="1540" spans="1:22" x14ac:dyDescent="0.3">
      <c r="A1540" t="s">
        <v>2890</v>
      </c>
      <c r="B1540" s="2">
        <v>45967</v>
      </c>
      <c r="C1540" t="s">
        <v>1087</v>
      </c>
      <c r="D1540" t="s">
        <v>70</v>
      </c>
      <c r="E1540" t="s">
        <v>71</v>
      </c>
      <c r="F1540">
        <v>1</v>
      </c>
      <c r="G1540">
        <v>0.1</v>
      </c>
      <c r="H1540">
        <v>16200</v>
      </c>
      <c r="I1540">
        <v>2274.92</v>
      </c>
      <c r="J1540" t="s">
        <v>65</v>
      </c>
      <c r="K1540" t="s">
        <v>40</v>
      </c>
      <c r="L1540">
        <v>16200</v>
      </c>
      <c r="M1540">
        <v>14.042716049382721</v>
      </c>
      <c r="N1540" t="s">
        <v>8</v>
      </c>
      <c r="O1540" t="s">
        <v>1088</v>
      </c>
      <c r="P1540" t="s">
        <v>73</v>
      </c>
      <c r="Q1540" t="s">
        <v>131</v>
      </c>
      <c r="R1540" t="s">
        <v>200</v>
      </c>
      <c r="S1540" t="s">
        <v>201</v>
      </c>
      <c r="T1540" t="s">
        <v>1089</v>
      </c>
      <c r="U1540" t="s">
        <v>46</v>
      </c>
      <c r="V1540">
        <v>2274.92</v>
      </c>
    </row>
    <row r="1541" spans="1:22" x14ac:dyDescent="0.3">
      <c r="A1541" t="s">
        <v>2891</v>
      </c>
      <c r="B1541" s="2">
        <v>46136</v>
      </c>
      <c r="C1541" t="s">
        <v>1704</v>
      </c>
      <c r="D1541" t="s">
        <v>70</v>
      </c>
      <c r="E1541" t="s">
        <v>108</v>
      </c>
      <c r="F1541">
        <v>1</v>
      </c>
      <c r="G1541">
        <v>0.1</v>
      </c>
      <c r="H1541">
        <v>4050</v>
      </c>
      <c r="I1541">
        <v>1264.69</v>
      </c>
      <c r="J1541" t="s">
        <v>65</v>
      </c>
      <c r="K1541" t="s">
        <v>40</v>
      </c>
      <c r="L1541">
        <v>4050</v>
      </c>
      <c r="M1541">
        <v>31.226913580246912</v>
      </c>
      <c r="N1541" t="s">
        <v>8</v>
      </c>
      <c r="O1541" t="s">
        <v>636</v>
      </c>
      <c r="P1541" t="s">
        <v>29</v>
      </c>
      <c r="Q1541" t="s">
        <v>30</v>
      </c>
      <c r="R1541" t="s">
        <v>53</v>
      </c>
      <c r="S1541" t="s">
        <v>54</v>
      </c>
      <c r="T1541" t="s">
        <v>1705</v>
      </c>
      <c r="U1541" t="s">
        <v>34</v>
      </c>
      <c r="V1541">
        <v>1264.69</v>
      </c>
    </row>
    <row r="1542" spans="1:22" x14ac:dyDescent="0.3">
      <c r="A1542" t="s">
        <v>2892</v>
      </c>
      <c r="B1542" s="2">
        <v>46165</v>
      </c>
      <c r="C1542" t="s">
        <v>897</v>
      </c>
      <c r="D1542" t="s">
        <v>70</v>
      </c>
      <c r="E1542" t="s">
        <v>108</v>
      </c>
      <c r="F1542">
        <v>1</v>
      </c>
      <c r="G1542">
        <v>0.1</v>
      </c>
      <c r="H1542">
        <v>4050</v>
      </c>
      <c r="I1542">
        <v>1225.1500000000001</v>
      </c>
      <c r="J1542" t="s">
        <v>39</v>
      </c>
      <c r="K1542" t="s">
        <v>27</v>
      </c>
      <c r="L1542">
        <v>4050</v>
      </c>
      <c r="M1542">
        <v>30.250617283950621</v>
      </c>
      <c r="N1542" t="s">
        <v>8</v>
      </c>
      <c r="O1542" t="s">
        <v>607</v>
      </c>
      <c r="P1542" t="s">
        <v>73</v>
      </c>
      <c r="Q1542" t="s">
        <v>30</v>
      </c>
      <c r="R1542" t="s">
        <v>31</v>
      </c>
      <c r="S1542" t="s">
        <v>32</v>
      </c>
      <c r="T1542" t="s">
        <v>898</v>
      </c>
      <c r="U1542" t="s">
        <v>34</v>
      </c>
      <c r="V1542">
        <v>1225.1500000000001</v>
      </c>
    </row>
    <row r="1543" spans="1:22" x14ac:dyDescent="0.3">
      <c r="A1543" t="s">
        <v>2893</v>
      </c>
      <c r="B1543" s="2">
        <v>46237</v>
      </c>
      <c r="C1543" t="s">
        <v>946</v>
      </c>
      <c r="D1543" t="s">
        <v>49</v>
      </c>
      <c r="E1543" t="s">
        <v>119</v>
      </c>
      <c r="F1543">
        <v>5</v>
      </c>
      <c r="G1543">
        <v>0</v>
      </c>
      <c r="H1543">
        <v>45000</v>
      </c>
      <c r="I1543">
        <v>11500</v>
      </c>
      <c r="J1543" t="s">
        <v>65</v>
      </c>
      <c r="K1543" t="s">
        <v>40</v>
      </c>
      <c r="L1543">
        <v>9000</v>
      </c>
      <c r="M1543">
        <v>25.55555555555555</v>
      </c>
      <c r="N1543" t="s">
        <v>8</v>
      </c>
      <c r="O1543" t="s">
        <v>947</v>
      </c>
      <c r="P1543" t="s">
        <v>73</v>
      </c>
      <c r="Q1543" t="s">
        <v>74</v>
      </c>
      <c r="R1543" t="s">
        <v>75</v>
      </c>
      <c r="S1543" t="s">
        <v>75</v>
      </c>
      <c r="T1543" t="s">
        <v>948</v>
      </c>
      <c r="U1543" t="s">
        <v>100</v>
      </c>
      <c r="V1543">
        <v>2300</v>
      </c>
    </row>
    <row r="1544" spans="1:22" x14ac:dyDescent="0.3">
      <c r="A1544" t="s">
        <v>2894</v>
      </c>
      <c r="B1544" s="2">
        <v>45893</v>
      </c>
      <c r="C1544" t="s">
        <v>1193</v>
      </c>
      <c r="D1544" t="s">
        <v>24</v>
      </c>
      <c r="E1544" t="s">
        <v>25</v>
      </c>
      <c r="F1544">
        <v>2</v>
      </c>
      <c r="G1544">
        <v>0.1</v>
      </c>
      <c r="H1544">
        <v>25200</v>
      </c>
      <c r="I1544">
        <v>3358.97</v>
      </c>
      <c r="J1544" t="s">
        <v>51</v>
      </c>
      <c r="K1544" t="s">
        <v>40</v>
      </c>
      <c r="L1544">
        <v>12600</v>
      </c>
      <c r="M1544">
        <v>13.329246031746029</v>
      </c>
      <c r="N1544" t="s">
        <v>8</v>
      </c>
      <c r="O1544" t="s">
        <v>781</v>
      </c>
      <c r="P1544" t="s">
        <v>29</v>
      </c>
      <c r="Q1544" t="s">
        <v>30</v>
      </c>
      <c r="R1544" t="s">
        <v>31</v>
      </c>
      <c r="S1544" t="s">
        <v>32</v>
      </c>
      <c r="T1544" t="s">
        <v>1194</v>
      </c>
      <c r="U1544" t="s">
        <v>46</v>
      </c>
      <c r="V1544">
        <v>1679.4849999999999</v>
      </c>
    </row>
    <row r="1545" spans="1:22" x14ac:dyDescent="0.3">
      <c r="A1545" t="s">
        <v>2895</v>
      </c>
      <c r="B1545" s="2">
        <v>45981</v>
      </c>
      <c r="C1545" t="s">
        <v>1700</v>
      </c>
      <c r="D1545" t="s">
        <v>24</v>
      </c>
      <c r="E1545" t="s">
        <v>25</v>
      </c>
      <c r="F1545">
        <v>2</v>
      </c>
      <c r="G1545">
        <v>0.2</v>
      </c>
      <c r="H1545">
        <v>22400</v>
      </c>
      <c r="I1545">
        <v>1990.48</v>
      </c>
      <c r="J1545" t="s">
        <v>65</v>
      </c>
      <c r="K1545" t="s">
        <v>40</v>
      </c>
      <c r="L1545">
        <v>11200</v>
      </c>
      <c r="M1545">
        <v>8.8860714285714302</v>
      </c>
      <c r="N1545" t="s">
        <v>8</v>
      </c>
      <c r="O1545" t="s">
        <v>1009</v>
      </c>
      <c r="P1545" t="s">
        <v>73</v>
      </c>
      <c r="Q1545" t="s">
        <v>30</v>
      </c>
      <c r="R1545" t="s">
        <v>53</v>
      </c>
      <c r="S1545" t="s">
        <v>54</v>
      </c>
      <c r="T1545" t="s">
        <v>172</v>
      </c>
      <c r="U1545" t="s">
        <v>34</v>
      </c>
      <c r="V1545">
        <v>995.24</v>
      </c>
    </row>
    <row r="1546" spans="1:22" x14ac:dyDescent="0.3">
      <c r="A1546" t="s">
        <v>2896</v>
      </c>
      <c r="B1546" s="2">
        <v>45867</v>
      </c>
      <c r="C1546" t="s">
        <v>2353</v>
      </c>
      <c r="D1546" t="s">
        <v>70</v>
      </c>
      <c r="E1546" t="s">
        <v>71</v>
      </c>
      <c r="F1546">
        <v>3</v>
      </c>
      <c r="G1546">
        <v>0.1</v>
      </c>
      <c r="H1546">
        <v>48600</v>
      </c>
      <c r="I1546">
        <v>-18508.400000000001</v>
      </c>
      <c r="J1546" t="s">
        <v>39</v>
      </c>
      <c r="K1546" t="s">
        <v>80</v>
      </c>
      <c r="L1546">
        <v>16200</v>
      </c>
      <c r="M1546">
        <v>-38.083127572016473</v>
      </c>
      <c r="N1546" t="s">
        <v>81</v>
      </c>
      <c r="O1546" t="s">
        <v>2127</v>
      </c>
      <c r="P1546" t="s">
        <v>29</v>
      </c>
      <c r="Q1546" t="s">
        <v>30</v>
      </c>
      <c r="R1546" t="s">
        <v>31</v>
      </c>
      <c r="S1546" t="s">
        <v>32</v>
      </c>
      <c r="T1546" t="s">
        <v>1283</v>
      </c>
      <c r="U1546" t="s">
        <v>46</v>
      </c>
      <c r="V1546">
        <v>-6169.4666666666672</v>
      </c>
    </row>
    <row r="1547" spans="1:22" x14ac:dyDescent="0.3">
      <c r="A1547" t="s">
        <v>2897</v>
      </c>
      <c r="B1547" s="2">
        <v>45917</v>
      </c>
      <c r="C1547" t="s">
        <v>829</v>
      </c>
      <c r="D1547" t="s">
        <v>49</v>
      </c>
      <c r="E1547" t="s">
        <v>58</v>
      </c>
      <c r="F1547">
        <v>1</v>
      </c>
      <c r="G1547">
        <v>0.15</v>
      </c>
      <c r="H1547">
        <v>12750</v>
      </c>
      <c r="I1547">
        <v>-3972.22</v>
      </c>
      <c r="J1547" t="s">
        <v>51</v>
      </c>
      <c r="K1547" t="s">
        <v>80</v>
      </c>
      <c r="L1547">
        <v>12750</v>
      </c>
      <c r="M1547">
        <v>-31.15466666666666</v>
      </c>
      <c r="N1547" t="s">
        <v>81</v>
      </c>
      <c r="O1547" t="s">
        <v>830</v>
      </c>
      <c r="P1547" t="s">
        <v>29</v>
      </c>
      <c r="Q1547" t="s">
        <v>74</v>
      </c>
      <c r="R1547" t="s">
        <v>115</v>
      </c>
      <c r="S1547" t="s">
        <v>115</v>
      </c>
      <c r="T1547" t="s">
        <v>831</v>
      </c>
      <c r="U1547" t="s">
        <v>46</v>
      </c>
      <c r="V1547">
        <v>-3972.22</v>
      </c>
    </row>
    <row r="1548" spans="1:22" x14ac:dyDescent="0.3">
      <c r="A1548" t="s">
        <v>2898</v>
      </c>
      <c r="B1548" s="2">
        <v>46025</v>
      </c>
      <c r="C1548" t="s">
        <v>664</v>
      </c>
      <c r="D1548" t="s">
        <v>24</v>
      </c>
      <c r="E1548" t="s">
        <v>242</v>
      </c>
      <c r="F1548">
        <v>1</v>
      </c>
      <c r="G1548">
        <v>0.15</v>
      </c>
      <c r="H1548">
        <v>382.5</v>
      </c>
      <c r="I1548">
        <v>58.3</v>
      </c>
      <c r="J1548" t="s">
        <v>39</v>
      </c>
      <c r="K1548" t="s">
        <v>40</v>
      </c>
      <c r="L1548">
        <v>382.5</v>
      </c>
      <c r="M1548">
        <v>15.24183006535948</v>
      </c>
      <c r="N1548" t="s">
        <v>8</v>
      </c>
      <c r="O1548" t="s">
        <v>665</v>
      </c>
      <c r="P1548" t="s">
        <v>29</v>
      </c>
      <c r="Q1548" t="s">
        <v>30</v>
      </c>
      <c r="R1548" t="s">
        <v>31</v>
      </c>
      <c r="S1548" t="s">
        <v>32</v>
      </c>
      <c r="T1548" t="s">
        <v>256</v>
      </c>
      <c r="U1548" t="s">
        <v>34</v>
      </c>
      <c r="V1548">
        <v>58.3</v>
      </c>
    </row>
    <row r="1549" spans="1:22" x14ac:dyDescent="0.3">
      <c r="A1549" t="s">
        <v>2899</v>
      </c>
      <c r="B1549" s="2">
        <v>46230</v>
      </c>
      <c r="C1549" t="s">
        <v>178</v>
      </c>
      <c r="D1549" t="s">
        <v>49</v>
      </c>
      <c r="E1549" t="s">
        <v>50</v>
      </c>
      <c r="F1549">
        <v>5</v>
      </c>
      <c r="G1549">
        <v>0.05</v>
      </c>
      <c r="H1549">
        <v>61750</v>
      </c>
      <c r="I1549">
        <v>14345.13</v>
      </c>
      <c r="J1549" t="s">
        <v>65</v>
      </c>
      <c r="K1549" t="s">
        <v>40</v>
      </c>
      <c r="L1549">
        <v>12350</v>
      </c>
      <c r="M1549">
        <v>23.23097975708502</v>
      </c>
      <c r="N1549" t="s">
        <v>8</v>
      </c>
      <c r="O1549" t="s">
        <v>179</v>
      </c>
      <c r="P1549" t="s">
        <v>83</v>
      </c>
      <c r="Q1549" t="s">
        <v>30</v>
      </c>
      <c r="R1549" t="s">
        <v>31</v>
      </c>
      <c r="S1549" t="s">
        <v>32</v>
      </c>
      <c r="T1549" t="s">
        <v>180</v>
      </c>
      <c r="U1549" t="s">
        <v>105</v>
      </c>
      <c r="V1549">
        <v>2869.0259999999998</v>
      </c>
    </row>
    <row r="1550" spans="1:22" x14ac:dyDescent="0.3">
      <c r="A1550" t="s">
        <v>2900</v>
      </c>
      <c r="B1550" s="2">
        <v>45845</v>
      </c>
      <c r="C1550" t="s">
        <v>2530</v>
      </c>
      <c r="D1550" t="s">
        <v>70</v>
      </c>
      <c r="E1550" t="s">
        <v>108</v>
      </c>
      <c r="F1550">
        <v>6</v>
      </c>
      <c r="G1550">
        <v>0.15</v>
      </c>
      <c r="H1550">
        <v>22950</v>
      </c>
      <c r="I1550">
        <v>6899.55</v>
      </c>
      <c r="J1550" t="s">
        <v>26</v>
      </c>
      <c r="K1550" t="s">
        <v>40</v>
      </c>
      <c r="L1550">
        <v>3825</v>
      </c>
      <c r="M1550">
        <v>30.063398692810459</v>
      </c>
      <c r="N1550" t="s">
        <v>8</v>
      </c>
      <c r="O1550" t="s">
        <v>2531</v>
      </c>
      <c r="P1550" t="s">
        <v>29</v>
      </c>
      <c r="Q1550" t="s">
        <v>131</v>
      </c>
      <c r="R1550" t="s">
        <v>132</v>
      </c>
      <c r="S1550" t="s">
        <v>133</v>
      </c>
      <c r="T1550" t="s">
        <v>1927</v>
      </c>
      <c r="U1550" t="s">
        <v>105</v>
      </c>
      <c r="V1550">
        <v>1149.925</v>
      </c>
    </row>
    <row r="1551" spans="1:22" x14ac:dyDescent="0.3">
      <c r="A1551" t="s">
        <v>2901</v>
      </c>
      <c r="B1551" s="2">
        <v>46115</v>
      </c>
      <c r="C1551" t="s">
        <v>1824</v>
      </c>
      <c r="D1551" t="s">
        <v>37</v>
      </c>
      <c r="E1551" t="s">
        <v>190</v>
      </c>
      <c r="F1551">
        <v>3</v>
      </c>
      <c r="G1551">
        <v>0.15</v>
      </c>
      <c r="H1551">
        <v>10710</v>
      </c>
      <c r="I1551">
        <v>-6216.48</v>
      </c>
      <c r="J1551" t="s">
        <v>51</v>
      </c>
      <c r="K1551" t="s">
        <v>434</v>
      </c>
      <c r="L1551">
        <v>3570</v>
      </c>
      <c r="M1551">
        <v>-58.043697478991596</v>
      </c>
      <c r="N1551" t="s">
        <v>81</v>
      </c>
      <c r="O1551" t="s">
        <v>205</v>
      </c>
      <c r="P1551" t="s">
        <v>83</v>
      </c>
      <c r="Q1551" t="s">
        <v>30</v>
      </c>
      <c r="R1551" t="s">
        <v>31</v>
      </c>
      <c r="S1551" t="s">
        <v>32</v>
      </c>
      <c r="T1551" t="s">
        <v>303</v>
      </c>
      <c r="U1551" t="s">
        <v>46</v>
      </c>
      <c r="V1551">
        <v>-2072.16</v>
      </c>
    </row>
    <row r="1552" spans="1:22" x14ac:dyDescent="0.3">
      <c r="A1552" t="s">
        <v>2902</v>
      </c>
      <c r="B1552" s="2">
        <v>45883</v>
      </c>
      <c r="C1552" t="s">
        <v>1289</v>
      </c>
      <c r="D1552" t="s">
        <v>49</v>
      </c>
      <c r="E1552" t="s">
        <v>79</v>
      </c>
      <c r="F1552">
        <v>3</v>
      </c>
      <c r="G1552">
        <v>0.05</v>
      </c>
      <c r="H1552">
        <v>31350</v>
      </c>
      <c r="I1552">
        <v>6451.84</v>
      </c>
      <c r="J1552" t="s">
        <v>26</v>
      </c>
      <c r="K1552" t="s">
        <v>40</v>
      </c>
      <c r="L1552">
        <v>10450</v>
      </c>
      <c r="M1552">
        <v>20.580031897926631</v>
      </c>
      <c r="N1552" t="s">
        <v>8</v>
      </c>
      <c r="O1552" t="s">
        <v>879</v>
      </c>
      <c r="P1552" t="s">
        <v>83</v>
      </c>
      <c r="Q1552" t="s">
        <v>30</v>
      </c>
      <c r="R1552" t="s">
        <v>493</v>
      </c>
      <c r="S1552" t="s">
        <v>494</v>
      </c>
      <c r="T1552" t="s">
        <v>1290</v>
      </c>
      <c r="U1552" t="s">
        <v>34</v>
      </c>
      <c r="V1552">
        <v>2150.6133333333328</v>
      </c>
    </row>
    <row r="1553" spans="1:22" x14ac:dyDescent="0.3">
      <c r="A1553" t="s">
        <v>2903</v>
      </c>
      <c r="B1553" s="2">
        <v>45914</v>
      </c>
      <c r="C1553" t="s">
        <v>2182</v>
      </c>
      <c r="D1553" t="s">
        <v>24</v>
      </c>
      <c r="E1553" t="s">
        <v>92</v>
      </c>
      <c r="F1553">
        <v>4</v>
      </c>
      <c r="G1553">
        <v>0.1</v>
      </c>
      <c r="H1553">
        <v>3240</v>
      </c>
      <c r="I1553">
        <v>924.2</v>
      </c>
      <c r="J1553" t="s">
        <v>39</v>
      </c>
      <c r="K1553" t="s">
        <v>27</v>
      </c>
      <c r="L1553">
        <v>810</v>
      </c>
      <c r="M1553">
        <v>28.5246913580247</v>
      </c>
      <c r="N1553" t="s">
        <v>8</v>
      </c>
      <c r="O1553" t="s">
        <v>2183</v>
      </c>
      <c r="P1553" t="s">
        <v>73</v>
      </c>
      <c r="Q1553" t="s">
        <v>30</v>
      </c>
      <c r="R1553" t="s">
        <v>98</v>
      </c>
      <c r="S1553" t="s">
        <v>54</v>
      </c>
      <c r="T1553" t="s">
        <v>2184</v>
      </c>
      <c r="U1553" t="s">
        <v>105</v>
      </c>
      <c r="V1553">
        <v>231.05</v>
      </c>
    </row>
    <row r="1554" spans="1:22" x14ac:dyDescent="0.3">
      <c r="A1554" t="s">
        <v>2904</v>
      </c>
      <c r="B1554" s="2">
        <v>45936</v>
      </c>
      <c r="C1554" t="s">
        <v>198</v>
      </c>
      <c r="D1554" t="s">
        <v>49</v>
      </c>
      <c r="E1554" t="s">
        <v>79</v>
      </c>
      <c r="F1554">
        <v>3</v>
      </c>
      <c r="G1554">
        <v>0.1</v>
      </c>
      <c r="H1554">
        <v>29700</v>
      </c>
      <c r="I1554">
        <v>5859.65</v>
      </c>
      <c r="J1554" t="s">
        <v>65</v>
      </c>
      <c r="K1554" t="s">
        <v>40</v>
      </c>
      <c r="L1554">
        <v>9900</v>
      </c>
      <c r="M1554">
        <v>19.72946127946128</v>
      </c>
      <c r="N1554" t="s">
        <v>8</v>
      </c>
      <c r="O1554" t="s">
        <v>199</v>
      </c>
      <c r="P1554" t="s">
        <v>83</v>
      </c>
      <c r="Q1554" t="s">
        <v>131</v>
      </c>
      <c r="R1554" t="s">
        <v>200</v>
      </c>
      <c r="S1554" t="s">
        <v>201</v>
      </c>
      <c r="T1554" t="s">
        <v>202</v>
      </c>
      <c r="U1554" t="s">
        <v>46</v>
      </c>
      <c r="V1554">
        <v>1953.216666666666</v>
      </c>
    </row>
    <row r="1555" spans="1:22" x14ac:dyDescent="0.3">
      <c r="A1555" t="s">
        <v>2905</v>
      </c>
      <c r="B1555" s="2">
        <v>45959</v>
      </c>
      <c r="C1555" t="s">
        <v>1398</v>
      </c>
      <c r="D1555" t="s">
        <v>37</v>
      </c>
      <c r="E1555" t="s">
        <v>190</v>
      </c>
      <c r="F1555">
        <v>6</v>
      </c>
      <c r="G1555">
        <v>0.1</v>
      </c>
      <c r="H1555">
        <v>22680</v>
      </c>
      <c r="I1555">
        <v>5909.57</v>
      </c>
      <c r="J1555" t="s">
        <v>26</v>
      </c>
      <c r="K1555" t="s">
        <v>40</v>
      </c>
      <c r="L1555">
        <v>3780</v>
      </c>
      <c r="M1555">
        <v>26.056305114638441</v>
      </c>
      <c r="N1555" t="s">
        <v>8</v>
      </c>
      <c r="O1555" t="s">
        <v>153</v>
      </c>
      <c r="P1555" t="s">
        <v>83</v>
      </c>
      <c r="Q1555" t="s">
        <v>30</v>
      </c>
      <c r="R1555" t="s">
        <v>53</v>
      </c>
      <c r="S1555" t="s">
        <v>54</v>
      </c>
      <c r="T1555" t="s">
        <v>734</v>
      </c>
      <c r="U1555" t="s">
        <v>46</v>
      </c>
      <c r="V1555">
        <v>984.92833333333328</v>
      </c>
    </row>
    <row r="1556" spans="1:22" x14ac:dyDescent="0.3">
      <c r="A1556" t="s">
        <v>2906</v>
      </c>
      <c r="B1556" s="2">
        <v>46112</v>
      </c>
      <c r="C1556" t="s">
        <v>48</v>
      </c>
      <c r="D1556" t="s">
        <v>49</v>
      </c>
      <c r="E1556" t="s">
        <v>50</v>
      </c>
      <c r="F1556">
        <v>1</v>
      </c>
      <c r="G1556">
        <v>0.1</v>
      </c>
      <c r="H1556">
        <v>11700</v>
      </c>
      <c r="I1556">
        <v>-3752.1</v>
      </c>
      <c r="J1556" t="s">
        <v>65</v>
      </c>
      <c r="K1556" t="s">
        <v>80</v>
      </c>
      <c r="L1556">
        <v>11700</v>
      </c>
      <c r="M1556">
        <v>-32.069230769230757</v>
      </c>
      <c r="N1556" t="s">
        <v>81</v>
      </c>
      <c r="O1556" t="s">
        <v>52</v>
      </c>
      <c r="P1556" t="s">
        <v>29</v>
      </c>
      <c r="Q1556" t="s">
        <v>30</v>
      </c>
      <c r="R1556" t="s">
        <v>53</v>
      </c>
      <c r="S1556" t="s">
        <v>54</v>
      </c>
      <c r="T1556" t="s">
        <v>55</v>
      </c>
      <c r="U1556" t="s">
        <v>34</v>
      </c>
      <c r="V1556">
        <v>-3752.1</v>
      </c>
    </row>
    <row r="1557" spans="1:22" x14ac:dyDescent="0.3">
      <c r="A1557" t="s">
        <v>2907</v>
      </c>
      <c r="B1557" s="2">
        <v>46220</v>
      </c>
      <c r="C1557" t="s">
        <v>2057</v>
      </c>
      <c r="D1557" t="s">
        <v>37</v>
      </c>
      <c r="E1557" t="s">
        <v>38</v>
      </c>
      <c r="F1557">
        <v>1</v>
      </c>
      <c r="G1557">
        <v>0.2</v>
      </c>
      <c r="H1557">
        <v>1440</v>
      </c>
      <c r="I1557">
        <v>448.73</v>
      </c>
      <c r="J1557" t="s">
        <v>39</v>
      </c>
      <c r="K1557" t="s">
        <v>40</v>
      </c>
      <c r="L1557">
        <v>1440</v>
      </c>
      <c r="M1557">
        <v>31.16180555555556</v>
      </c>
      <c r="N1557" t="s">
        <v>8</v>
      </c>
      <c r="O1557" t="s">
        <v>2058</v>
      </c>
      <c r="P1557" t="s">
        <v>29</v>
      </c>
      <c r="Q1557" t="s">
        <v>131</v>
      </c>
      <c r="R1557" t="s">
        <v>449</v>
      </c>
      <c r="S1557" t="s">
        <v>450</v>
      </c>
      <c r="T1557" t="s">
        <v>138</v>
      </c>
      <c r="U1557" t="s">
        <v>34</v>
      </c>
      <c r="V1557">
        <v>448.73</v>
      </c>
    </row>
    <row r="1558" spans="1:22" x14ac:dyDescent="0.3">
      <c r="A1558" t="s">
        <v>2908</v>
      </c>
      <c r="B1558" s="2">
        <v>45846</v>
      </c>
      <c r="C1558" t="s">
        <v>941</v>
      </c>
      <c r="D1558" t="s">
        <v>24</v>
      </c>
      <c r="E1558" t="s">
        <v>25</v>
      </c>
      <c r="F1558">
        <v>2</v>
      </c>
      <c r="G1558">
        <v>0.2</v>
      </c>
      <c r="H1558">
        <v>22400</v>
      </c>
      <c r="I1558">
        <v>1916.8</v>
      </c>
      <c r="J1558" t="s">
        <v>51</v>
      </c>
      <c r="K1558" t="s">
        <v>27</v>
      </c>
      <c r="L1558">
        <v>11200</v>
      </c>
      <c r="M1558">
        <v>8.5571428571428569</v>
      </c>
      <c r="N1558" t="s">
        <v>8</v>
      </c>
      <c r="O1558" t="s">
        <v>942</v>
      </c>
      <c r="P1558" t="s">
        <v>73</v>
      </c>
      <c r="Q1558" t="s">
        <v>42</v>
      </c>
      <c r="R1558" t="s">
        <v>110</v>
      </c>
      <c r="S1558" t="s">
        <v>111</v>
      </c>
      <c r="T1558" t="s">
        <v>943</v>
      </c>
      <c r="U1558" t="s">
        <v>46</v>
      </c>
      <c r="V1558">
        <v>958.4</v>
      </c>
    </row>
    <row r="1559" spans="1:22" x14ac:dyDescent="0.3">
      <c r="A1559" t="s">
        <v>2909</v>
      </c>
      <c r="B1559" s="2">
        <v>45973</v>
      </c>
      <c r="C1559" t="s">
        <v>929</v>
      </c>
      <c r="D1559" t="s">
        <v>70</v>
      </c>
      <c r="E1559" t="s">
        <v>108</v>
      </c>
      <c r="F1559">
        <v>2</v>
      </c>
      <c r="G1559">
        <v>0.2</v>
      </c>
      <c r="H1559">
        <v>7200</v>
      </c>
      <c r="I1559">
        <v>1951.9</v>
      </c>
      <c r="J1559" t="s">
        <v>65</v>
      </c>
      <c r="K1559" t="s">
        <v>40</v>
      </c>
      <c r="L1559">
        <v>3600</v>
      </c>
      <c r="M1559">
        <v>27.109722222222221</v>
      </c>
      <c r="N1559" t="s">
        <v>8</v>
      </c>
      <c r="O1559" t="s">
        <v>930</v>
      </c>
      <c r="P1559" t="s">
        <v>83</v>
      </c>
      <c r="Q1559" t="s">
        <v>74</v>
      </c>
      <c r="R1559" t="s">
        <v>493</v>
      </c>
      <c r="S1559" t="s">
        <v>494</v>
      </c>
      <c r="T1559" t="s">
        <v>931</v>
      </c>
      <c r="U1559" t="s">
        <v>46</v>
      </c>
      <c r="V1559">
        <v>975.95</v>
      </c>
    </row>
    <row r="1560" spans="1:22" x14ac:dyDescent="0.3">
      <c r="A1560" t="s">
        <v>2910</v>
      </c>
      <c r="B1560" s="2">
        <v>46061</v>
      </c>
      <c r="C1560" t="s">
        <v>268</v>
      </c>
      <c r="D1560" t="s">
        <v>70</v>
      </c>
      <c r="E1560" t="s">
        <v>165</v>
      </c>
      <c r="F1560">
        <v>1</v>
      </c>
      <c r="G1560">
        <v>0.1</v>
      </c>
      <c r="H1560">
        <v>2250</v>
      </c>
      <c r="I1560">
        <v>663.96</v>
      </c>
      <c r="J1560" t="s">
        <v>65</v>
      </c>
      <c r="K1560" t="s">
        <v>40</v>
      </c>
      <c r="L1560">
        <v>2250</v>
      </c>
      <c r="M1560">
        <v>29.509333333333341</v>
      </c>
      <c r="N1560" t="s">
        <v>8</v>
      </c>
      <c r="O1560" t="s">
        <v>269</v>
      </c>
      <c r="P1560" t="s">
        <v>29</v>
      </c>
      <c r="Q1560" t="s">
        <v>30</v>
      </c>
      <c r="R1560" t="s">
        <v>31</v>
      </c>
      <c r="S1560" t="s">
        <v>32</v>
      </c>
      <c r="T1560" t="s">
        <v>270</v>
      </c>
      <c r="U1560" t="s">
        <v>34</v>
      </c>
      <c r="V1560">
        <v>663.96</v>
      </c>
    </row>
    <row r="1561" spans="1:22" x14ac:dyDescent="0.3">
      <c r="A1561" t="s">
        <v>2911</v>
      </c>
      <c r="B1561" s="2">
        <v>45960</v>
      </c>
      <c r="C1561" t="s">
        <v>397</v>
      </c>
      <c r="D1561" t="s">
        <v>49</v>
      </c>
      <c r="E1561" t="s">
        <v>79</v>
      </c>
      <c r="F1561">
        <v>3</v>
      </c>
      <c r="G1561">
        <v>0.1</v>
      </c>
      <c r="H1561">
        <v>29700</v>
      </c>
      <c r="I1561">
        <v>6212.39</v>
      </c>
      <c r="J1561" t="s">
        <v>51</v>
      </c>
      <c r="K1561" t="s">
        <v>27</v>
      </c>
      <c r="L1561">
        <v>9900</v>
      </c>
      <c r="M1561">
        <v>20.917138047138049</v>
      </c>
      <c r="N1561" t="s">
        <v>8</v>
      </c>
      <c r="O1561" t="s">
        <v>398</v>
      </c>
      <c r="P1561" t="s">
        <v>73</v>
      </c>
      <c r="Q1561" t="s">
        <v>30</v>
      </c>
      <c r="R1561" t="s">
        <v>98</v>
      </c>
      <c r="S1561" t="s">
        <v>54</v>
      </c>
      <c r="T1561" t="s">
        <v>399</v>
      </c>
      <c r="U1561" t="s">
        <v>34</v>
      </c>
      <c r="V1561">
        <v>2070.7966666666671</v>
      </c>
    </row>
    <row r="1562" spans="1:22" x14ac:dyDescent="0.3">
      <c r="A1562" t="s">
        <v>2912</v>
      </c>
      <c r="B1562" s="2">
        <v>45919</v>
      </c>
      <c r="C1562" t="s">
        <v>2635</v>
      </c>
      <c r="D1562" t="s">
        <v>49</v>
      </c>
      <c r="E1562" t="s">
        <v>79</v>
      </c>
      <c r="F1562">
        <v>4</v>
      </c>
      <c r="G1562">
        <v>0.05</v>
      </c>
      <c r="H1562">
        <v>41800</v>
      </c>
      <c r="I1562">
        <v>9147.1299999999992</v>
      </c>
      <c r="J1562" t="s">
        <v>39</v>
      </c>
      <c r="K1562" t="s">
        <v>40</v>
      </c>
      <c r="L1562">
        <v>10450</v>
      </c>
      <c r="M1562">
        <v>21.88308612440191</v>
      </c>
      <c r="N1562" t="s">
        <v>8</v>
      </c>
      <c r="O1562" t="s">
        <v>2636</v>
      </c>
      <c r="P1562" t="s">
        <v>29</v>
      </c>
      <c r="Q1562" t="s">
        <v>42</v>
      </c>
      <c r="R1562" t="s">
        <v>121</v>
      </c>
      <c r="S1562" t="s">
        <v>44</v>
      </c>
      <c r="T1562" t="s">
        <v>252</v>
      </c>
      <c r="U1562" t="s">
        <v>34</v>
      </c>
      <c r="V1562">
        <v>2286.7824999999998</v>
      </c>
    </row>
    <row r="1563" spans="1:22" x14ac:dyDescent="0.3">
      <c r="A1563" t="s">
        <v>2913</v>
      </c>
      <c r="B1563" s="2">
        <v>46106</v>
      </c>
      <c r="C1563" t="s">
        <v>1594</v>
      </c>
      <c r="D1563" t="s">
        <v>49</v>
      </c>
      <c r="E1563" t="s">
        <v>119</v>
      </c>
      <c r="F1563">
        <v>2</v>
      </c>
      <c r="G1563">
        <v>0</v>
      </c>
      <c r="H1563">
        <v>18000</v>
      </c>
      <c r="I1563">
        <v>4600</v>
      </c>
      <c r="J1563" t="s">
        <v>65</v>
      </c>
      <c r="K1563" t="s">
        <v>40</v>
      </c>
      <c r="L1563">
        <v>9000</v>
      </c>
      <c r="M1563">
        <v>25.55555555555555</v>
      </c>
      <c r="N1563" t="s">
        <v>8</v>
      </c>
      <c r="O1563" t="s">
        <v>523</v>
      </c>
      <c r="P1563" t="s">
        <v>83</v>
      </c>
      <c r="Q1563" t="s">
        <v>30</v>
      </c>
      <c r="R1563" t="s">
        <v>31</v>
      </c>
      <c r="S1563" t="s">
        <v>32</v>
      </c>
      <c r="T1563" t="s">
        <v>767</v>
      </c>
      <c r="U1563" t="s">
        <v>105</v>
      </c>
      <c r="V1563">
        <v>2300</v>
      </c>
    </row>
    <row r="1564" spans="1:22" x14ac:dyDescent="0.3">
      <c r="A1564" t="s">
        <v>2914</v>
      </c>
      <c r="B1564" s="2">
        <v>46090</v>
      </c>
      <c r="C1564" t="s">
        <v>2915</v>
      </c>
      <c r="D1564" t="s">
        <v>49</v>
      </c>
      <c r="E1564" t="s">
        <v>58</v>
      </c>
      <c r="F1564">
        <v>3</v>
      </c>
      <c r="G1564">
        <v>0.1</v>
      </c>
      <c r="H1564">
        <v>40500</v>
      </c>
      <c r="I1564">
        <v>7732.24</v>
      </c>
      <c r="J1564" t="s">
        <v>26</v>
      </c>
      <c r="K1564" t="s">
        <v>27</v>
      </c>
      <c r="L1564">
        <v>13500</v>
      </c>
      <c r="M1564">
        <v>19.091950617283949</v>
      </c>
      <c r="N1564" t="s">
        <v>8</v>
      </c>
      <c r="O1564" t="s">
        <v>2323</v>
      </c>
      <c r="P1564" t="s">
        <v>73</v>
      </c>
      <c r="Q1564" t="s">
        <v>131</v>
      </c>
      <c r="R1564" t="s">
        <v>132</v>
      </c>
      <c r="S1564" t="s">
        <v>133</v>
      </c>
      <c r="T1564" t="s">
        <v>2916</v>
      </c>
      <c r="U1564" t="s">
        <v>34</v>
      </c>
      <c r="V1564">
        <v>2577.413333333333</v>
      </c>
    </row>
    <row r="1565" spans="1:22" x14ac:dyDescent="0.3">
      <c r="A1565" t="s">
        <v>2917</v>
      </c>
      <c r="B1565" s="2">
        <v>46112</v>
      </c>
      <c r="C1565" t="s">
        <v>246</v>
      </c>
      <c r="D1565" t="s">
        <v>37</v>
      </c>
      <c r="E1565" t="s">
        <v>38</v>
      </c>
      <c r="F1565">
        <v>3</v>
      </c>
      <c r="G1565">
        <v>0.05</v>
      </c>
      <c r="H1565">
        <v>5130</v>
      </c>
      <c r="I1565">
        <v>1729.02</v>
      </c>
      <c r="J1565" t="s">
        <v>26</v>
      </c>
      <c r="K1565" t="s">
        <v>27</v>
      </c>
      <c r="L1565">
        <v>1710</v>
      </c>
      <c r="M1565">
        <v>33.704093567251462</v>
      </c>
      <c r="N1565" t="s">
        <v>8</v>
      </c>
      <c r="O1565" t="s">
        <v>247</v>
      </c>
      <c r="P1565" t="s">
        <v>73</v>
      </c>
      <c r="Q1565" t="s">
        <v>30</v>
      </c>
      <c r="R1565" t="s">
        <v>53</v>
      </c>
      <c r="S1565" t="s">
        <v>54</v>
      </c>
      <c r="T1565" t="s">
        <v>248</v>
      </c>
      <c r="U1565" t="s">
        <v>100</v>
      </c>
      <c r="V1565">
        <v>576.34</v>
      </c>
    </row>
    <row r="1566" spans="1:22" x14ac:dyDescent="0.3">
      <c r="A1566" t="s">
        <v>2918</v>
      </c>
      <c r="B1566" s="2">
        <v>46232</v>
      </c>
      <c r="C1566" t="s">
        <v>1072</v>
      </c>
      <c r="D1566" t="s">
        <v>70</v>
      </c>
      <c r="E1566" t="s">
        <v>108</v>
      </c>
      <c r="F1566">
        <v>1</v>
      </c>
      <c r="G1566">
        <v>0.1</v>
      </c>
      <c r="H1566">
        <v>4050</v>
      </c>
      <c r="I1566">
        <v>1214.79</v>
      </c>
      <c r="J1566" t="s">
        <v>65</v>
      </c>
      <c r="K1566" t="s">
        <v>40</v>
      </c>
      <c r="L1566">
        <v>4050</v>
      </c>
      <c r="M1566">
        <v>29.994814814814809</v>
      </c>
      <c r="N1566" t="s">
        <v>8</v>
      </c>
      <c r="O1566" t="s">
        <v>1073</v>
      </c>
      <c r="P1566" t="s">
        <v>73</v>
      </c>
      <c r="Q1566" t="s">
        <v>30</v>
      </c>
      <c r="R1566" t="s">
        <v>60</v>
      </c>
      <c r="S1566" t="s">
        <v>61</v>
      </c>
      <c r="T1566" t="s">
        <v>1074</v>
      </c>
      <c r="U1566" t="s">
        <v>34</v>
      </c>
      <c r="V1566">
        <v>1214.79</v>
      </c>
    </row>
    <row r="1567" spans="1:22" x14ac:dyDescent="0.3">
      <c r="A1567" t="s">
        <v>2919</v>
      </c>
      <c r="B1567" s="2">
        <v>45844</v>
      </c>
      <c r="C1567" t="s">
        <v>772</v>
      </c>
      <c r="D1567" t="s">
        <v>49</v>
      </c>
      <c r="E1567" t="s">
        <v>50</v>
      </c>
      <c r="F1567">
        <v>3</v>
      </c>
      <c r="G1567">
        <v>0.05</v>
      </c>
      <c r="H1567">
        <v>37050</v>
      </c>
      <c r="I1567">
        <v>8495.4500000000007</v>
      </c>
      <c r="J1567" t="s">
        <v>26</v>
      </c>
      <c r="K1567" t="s">
        <v>27</v>
      </c>
      <c r="L1567">
        <v>12350</v>
      </c>
      <c r="M1567">
        <v>22.929689608636981</v>
      </c>
      <c r="N1567" t="s">
        <v>8</v>
      </c>
      <c r="O1567" t="s">
        <v>773</v>
      </c>
      <c r="P1567" t="s">
        <v>29</v>
      </c>
      <c r="Q1567" t="s">
        <v>42</v>
      </c>
      <c r="R1567" t="s">
        <v>121</v>
      </c>
      <c r="S1567" t="s">
        <v>44</v>
      </c>
      <c r="T1567" t="s">
        <v>774</v>
      </c>
      <c r="U1567" t="s">
        <v>34</v>
      </c>
      <c r="V1567">
        <v>2831.8166666666671</v>
      </c>
    </row>
    <row r="1568" spans="1:22" x14ac:dyDescent="0.3">
      <c r="A1568" t="s">
        <v>2920</v>
      </c>
      <c r="B1568" s="2">
        <v>46127</v>
      </c>
      <c r="C1568" t="s">
        <v>2921</v>
      </c>
      <c r="D1568" t="s">
        <v>70</v>
      </c>
      <c r="E1568" t="s">
        <v>71</v>
      </c>
      <c r="F1568">
        <v>1</v>
      </c>
      <c r="G1568">
        <v>0.15</v>
      </c>
      <c r="H1568">
        <v>15300</v>
      </c>
      <c r="I1568">
        <v>-6534.86</v>
      </c>
      <c r="J1568" t="s">
        <v>39</v>
      </c>
      <c r="K1568" t="s">
        <v>434</v>
      </c>
      <c r="L1568">
        <v>15300</v>
      </c>
      <c r="M1568">
        <v>-42.711503267973853</v>
      </c>
      <c r="N1568" t="s">
        <v>81</v>
      </c>
      <c r="O1568" t="s">
        <v>537</v>
      </c>
      <c r="P1568" t="s">
        <v>83</v>
      </c>
      <c r="Q1568" t="s">
        <v>42</v>
      </c>
      <c r="R1568" t="s">
        <v>121</v>
      </c>
      <c r="S1568" t="s">
        <v>44</v>
      </c>
      <c r="T1568" t="s">
        <v>2004</v>
      </c>
      <c r="U1568" t="s">
        <v>34</v>
      </c>
      <c r="V1568">
        <v>-6534.86</v>
      </c>
    </row>
    <row r="1569" spans="1:22" x14ac:dyDescent="0.3">
      <c r="A1569" t="s">
        <v>2922</v>
      </c>
      <c r="B1569" s="2">
        <v>46020</v>
      </c>
      <c r="C1569" t="s">
        <v>958</v>
      </c>
      <c r="D1569" t="s">
        <v>37</v>
      </c>
      <c r="E1569" t="s">
        <v>38</v>
      </c>
      <c r="F1569">
        <v>4</v>
      </c>
      <c r="G1569">
        <v>0.2</v>
      </c>
      <c r="H1569">
        <v>5760</v>
      </c>
      <c r="I1569">
        <v>1842.49</v>
      </c>
      <c r="J1569" t="s">
        <v>39</v>
      </c>
      <c r="K1569" t="s">
        <v>40</v>
      </c>
      <c r="L1569">
        <v>1440</v>
      </c>
      <c r="M1569">
        <v>31.987673611111109</v>
      </c>
      <c r="N1569" t="s">
        <v>8</v>
      </c>
      <c r="O1569" t="s">
        <v>959</v>
      </c>
      <c r="P1569" t="s">
        <v>73</v>
      </c>
      <c r="Q1569" t="s">
        <v>42</v>
      </c>
      <c r="R1569" t="s">
        <v>43</v>
      </c>
      <c r="S1569" t="s">
        <v>44</v>
      </c>
      <c r="T1569" t="s">
        <v>960</v>
      </c>
      <c r="U1569" t="s">
        <v>34</v>
      </c>
      <c r="V1569">
        <v>460.6225</v>
      </c>
    </row>
    <row r="1570" spans="1:22" x14ac:dyDescent="0.3">
      <c r="A1570" t="s">
        <v>2923</v>
      </c>
      <c r="B1570" s="2">
        <v>45933</v>
      </c>
      <c r="C1570" t="s">
        <v>617</v>
      </c>
      <c r="D1570" t="s">
        <v>49</v>
      </c>
      <c r="E1570" t="s">
        <v>119</v>
      </c>
      <c r="F1570">
        <v>2</v>
      </c>
      <c r="G1570">
        <v>0</v>
      </c>
      <c r="H1570">
        <v>18000</v>
      </c>
      <c r="I1570">
        <v>-3078.64</v>
      </c>
      <c r="J1570" t="s">
        <v>65</v>
      </c>
      <c r="K1570" t="s">
        <v>80</v>
      </c>
      <c r="L1570">
        <v>9000</v>
      </c>
      <c r="M1570">
        <v>-17.103555555555559</v>
      </c>
      <c r="N1570" t="s">
        <v>81</v>
      </c>
      <c r="O1570" t="s">
        <v>618</v>
      </c>
      <c r="P1570" t="s">
        <v>83</v>
      </c>
      <c r="Q1570" t="s">
        <v>30</v>
      </c>
      <c r="R1570" t="s">
        <v>98</v>
      </c>
      <c r="S1570" t="s">
        <v>54</v>
      </c>
      <c r="T1570" t="s">
        <v>619</v>
      </c>
      <c r="U1570" t="s">
        <v>100</v>
      </c>
      <c r="V1570">
        <v>-1539.32</v>
      </c>
    </row>
    <row r="1571" spans="1:22" x14ac:dyDescent="0.3">
      <c r="A1571" t="s">
        <v>2924</v>
      </c>
      <c r="B1571" s="2">
        <v>46060</v>
      </c>
      <c r="C1571" t="s">
        <v>2925</v>
      </c>
      <c r="D1571" t="s">
        <v>49</v>
      </c>
      <c r="E1571" t="s">
        <v>50</v>
      </c>
      <c r="F1571">
        <v>2</v>
      </c>
      <c r="G1571">
        <v>0</v>
      </c>
      <c r="H1571">
        <v>26000</v>
      </c>
      <c r="I1571">
        <v>6400</v>
      </c>
      <c r="J1571" t="s">
        <v>39</v>
      </c>
      <c r="K1571" t="s">
        <v>40</v>
      </c>
      <c r="L1571">
        <v>13000</v>
      </c>
      <c r="M1571">
        <v>24.61538461538462</v>
      </c>
      <c r="N1571" t="s">
        <v>8</v>
      </c>
      <c r="O1571" t="s">
        <v>1117</v>
      </c>
      <c r="P1571" t="s">
        <v>29</v>
      </c>
      <c r="Q1571" t="s">
        <v>74</v>
      </c>
      <c r="R1571" t="s">
        <v>493</v>
      </c>
      <c r="S1571" t="s">
        <v>494</v>
      </c>
      <c r="T1571" t="s">
        <v>395</v>
      </c>
      <c r="U1571" t="s">
        <v>105</v>
      </c>
      <c r="V1571">
        <v>3200</v>
      </c>
    </row>
    <row r="1572" spans="1:22" x14ac:dyDescent="0.3">
      <c r="A1572" t="s">
        <v>2926</v>
      </c>
      <c r="B1572" s="2">
        <v>46059</v>
      </c>
      <c r="C1572" t="s">
        <v>1951</v>
      </c>
      <c r="D1572" t="s">
        <v>70</v>
      </c>
      <c r="E1572" t="s">
        <v>165</v>
      </c>
      <c r="F1572">
        <v>2</v>
      </c>
      <c r="G1572">
        <v>0.1</v>
      </c>
      <c r="H1572">
        <v>4500</v>
      </c>
      <c r="I1572">
        <v>1265.43</v>
      </c>
      <c r="J1572" t="s">
        <v>65</v>
      </c>
      <c r="K1572" t="s">
        <v>40</v>
      </c>
      <c r="L1572">
        <v>2250</v>
      </c>
      <c r="M1572">
        <v>28.120666666666661</v>
      </c>
      <c r="N1572" t="s">
        <v>8</v>
      </c>
      <c r="O1572" t="s">
        <v>1952</v>
      </c>
      <c r="P1572" t="s">
        <v>29</v>
      </c>
      <c r="Q1572" t="s">
        <v>30</v>
      </c>
      <c r="R1572" t="s">
        <v>31</v>
      </c>
      <c r="S1572" t="s">
        <v>32</v>
      </c>
      <c r="T1572" t="s">
        <v>1953</v>
      </c>
      <c r="U1572" t="s">
        <v>34</v>
      </c>
      <c r="V1572">
        <v>632.71500000000003</v>
      </c>
    </row>
    <row r="1573" spans="1:22" x14ac:dyDescent="0.3">
      <c r="A1573" t="s">
        <v>2927</v>
      </c>
      <c r="B1573" s="2">
        <v>45918</v>
      </c>
      <c r="C1573" t="s">
        <v>1232</v>
      </c>
      <c r="D1573" t="s">
        <v>70</v>
      </c>
      <c r="E1573" t="s">
        <v>165</v>
      </c>
      <c r="F1573">
        <v>1</v>
      </c>
      <c r="G1573">
        <v>0.05</v>
      </c>
      <c r="H1573">
        <v>2375</v>
      </c>
      <c r="I1573">
        <v>703.07</v>
      </c>
      <c r="J1573" t="s">
        <v>26</v>
      </c>
      <c r="K1573" t="s">
        <v>27</v>
      </c>
      <c r="L1573">
        <v>2375</v>
      </c>
      <c r="M1573">
        <v>29.602947368421059</v>
      </c>
      <c r="N1573" t="s">
        <v>8</v>
      </c>
      <c r="O1573" t="s">
        <v>1233</v>
      </c>
      <c r="P1573" t="s">
        <v>29</v>
      </c>
      <c r="Q1573" t="s">
        <v>74</v>
      </c>
      <c r="R1573" t="s">
        <v>237</v>
      </c>
      <c r="S1573" t="s">
        <v>238</v>
      </c>
      <c r="T1573" t="s">
        <v>1234</v>
      </c>
      <c r="U1573" t="s">
        <v>100</v>
      </c>
      <c r="V1573">
        <v>703.07</v>
      </c>
    </row>
    <row r="1574" spans="1:22" x14ac:dyDescent="0.3">
      <c r="A1574" t="s">
        <v>2928</v>
      </c>
      <c r="B1574" s="2">
        <v>46245</v>
      </c>
      <c r="C1574" t="s">
        <v>1602</v>
      </c>
      <c r="D1574" t="s">
        <v>24</v>
      </c>
      <c r="E1574" t="s">
        <v>242</v>
      </c>
      <c r="F1574">
        <v>1</v>
      </c>
      <c r="G1574">
        <v>0.2</v>
      </c>
      <c r="H1574">
        <v>360</v>
      </c>
      <c r="I1574">
        <v>42.95</v>
      </c>
      <c r="J1574" t="s">
        <v>26</v>
      </c>
      <c r="K1574" t="s">
        <v>40</v>
      </c>
      <c r="L1574">
        <v>360</v>
      </c>
      <c r="M1574">
        <v>11.930555555555561</v>
      </c>
      <c r="N1574" t="s">
        <v>8</v>
      </c>
      <c r="O1574" t="s">
        <v>1237</v>
      </c>
      <c r="P1574" t="s">
        <v>73</v>
      </c>
      <c r="Q1574" t="s">
        <v>131</v>
      </c>
      <c r="R1574" t="s">
        <v>449</v>
      </c>
      <c r="S1574" t="s">
        <v>450</v>
      </c>
      <c r="T1574" t="s">
        <v>880</v>
      </c>
      <c r="U1574" t="s">
        <v>105</v>
      </c>
      <c r="V1574">
        <v>42.95</v>
      </c>
    </row>
    <row r="1575" spans="1:22" x14ac:dyDescent="0.3">
      <c r="A1575" t="s">
        <v>2929</v>
      </c>
      <c r="B1575" s="2">
        <v>46219</v>
      </c>
      <c r="C1575" t="s">
        <v>1785</v>
      </c>
      <c r="D1575" t="s">
        <v>49</v>
      </c>
      <c r="E1575" t="s">
        <v>58</v>
      </c>
      <c r="F1575">
        <v>2</v>
      </c>
      <c r="G1575">
        <v>0.05</v>
      </c>
      <c r="H1575">
        <v>28500</v>
      </c>
      <c r="I1575">
        <v>5997.92</v>
      </c>
      <c r="J1575" t="s">
        <v>51</v>
      </c>
      <c r="K1575" t="s">
        <v>40</v>
      </c>
      <c r="L1575">
        <v>14250</v>
      </c>
      <c r="M1575">
        <v>21.045333333333328</v>
      </c>
      <c r="N1575" t="s">
        <v>8</v>
      </c>
      <c r="O1575" t="s">
        <v>1786</v>
      </c>
      <c r="P1575" t="s">
        <v>83</v>
      </c>
      <c r="Q1575" t="s">
        <v>30</v>
      </c>
      <c r="R1575" t="s">
        <v>53</v>
      </c>
      <c r="S1575" t="s">
        <v>54</v>
      </c>
      <c r="T1575" t="s">
        <v>227</v>
      </c>
      <c r="U1575" t="s">
        <v>46</v>
      </c>
      <c r="V1575">
        <v>2998.96</v>
      </c>
    </row>
    <row r="1576" spans="1:22" x14ac:dyDescent="0.3">
      <c r="A1576" t="s">
        <v>2930</v>
      </c>
      <c r="B1576" s="2">
        <v>46089</v>
      </c>
      <c r="C1576" t="s">
        <v>1676</v>
      </c>
      <c r="D1576" t="s">
        <v>24</v>
      </c>
      <c r="E1576" t="s">
        <v>92</v>
      </c>
      <c r="F1576">
        <v>2</v>
      </c>
      <c r="G1576">
        <v>0.1</v>
      </c>
      <c r="H1576">
        <v>1620</v>
      </c>
      <c r="I1576">
        <v>440.6</v>
      </c>
      <c r="J1576" t="s">
        <v>65</v>
      </c>
      <c r="K1576" t="s">
        <v>27</v>
      </c>
      <c r="L1576">
        <v>810</v>
      </c>
      <c r="M1576">
        <v>27.197530864197532</v>
      </c>
      <c r="N1576" t="s">
        <v>8</v>
      </c>
      <c r="O1576" t="s">
        <v>1649</v>
      </c>
      <c r="P1576" t="s">
        <v>73</v>
      </c>
      <c r="Q1576" t="s">
        <v>30</v>
      </c>
      <c r="R1576" t="s">
        <v>31</v>
      </c>
      <c r="S1576" t="s">
        <v>32</v>
      </c>
      <c r="T1576" t="s">
        <v>1677</v>
      </c>
      <c r="U1576" t="s">
        <v>46</v>
      </c>
      <c r="V1576">
        <v>220.3</v>
      </c>
    </row>
    <row r="1577" spans="1:22" x14ac:dyDescent="0.3">
      <c r="A1577" t="s">
        <v>2931</v>
      </c>
      <c r="B1577" s="2">
        <v>46011</v>
      </c>
      <c r="C1577" t="s">
        <v>301</v>
      </c>
      <c r="D1577" t="s">
        <v>24</v>
      </c>
      <c r="E1577" t="s">
        <v>242</v>
      </c>
      <c r="F1577">
        <v>3</v>
      </c>
      <c r="G1577">
        <v>0.3</v>
      </c>
      <c r="H1577">
        <v>945</v>
      </c>
      <c r="I1577">
        <v>-1.51</v>
      </c>
      <c r="J1577" t="s">
        <v>26</v>
      </c>
      <c r="K1577" t="s">
        <v>40</v>
      </c>
      <c r="L1577">
        <v>315</v>
      </c>
      <c r="M1577">
        <v>-0.15978835978835981</v>
      </c>
      <c r="N1577" t="s">
        <v>81</v>
      </c>
      <c r="O1577" t="s">
        <v>302</v>
      </c>
      <c r="P1577" t="s">
        <v>29</v>
      </c>
      <c r="Q1577" t="s">
        <v>42</v>
      </c>
      <c r="R1577" t="s">
        <v>110</v>
      </c>
      <c r="S1577" t="s">
        <v>111</v>
      </c>
      <c r="T1577" t="s">
        <v>303</v>
      </c>
      <c r="U1577" t="s">
        <v>46</v>
      </c>
      <c r="V1577">
        <v>-0.5033333333333333</v>
      </c>
    </row>
    <row r="1578" spans="1:22" x14ac:dyDescent="0.3">
      <c r="A1578" t="s">
        <v>2932</v>
      </c>
      <c r="B1578" s="2">
        <v>45898</v>
      </c>
      <c r="C1578" t="s">
        <v>1116</v>
      </c>
      <c r="D1578" t="s">
        <v>49</v>
      </c>
      <c r="E1578" t="s">
        <v>58</v>
      </c>
      <c r="F1578">
        <v>10</v>
      </c>
      <c r="G1578">
        <v>0.1</v>
      </c>
      <c r="H1578">
        <v>135000</v>
      </c>
      <c r="I1578">
        <v>28233.78</v>
      </c>
      <c r="J1578" t="s">
        <v>51</v>
      </c>
      <c r="K1578" t="s">
        <v>40</v>
      </c>
      <c r="L1578">
        <v>13500</v>
      </c>
      <c r="M1578">
        <v>20.913911111111108</v>
      </c>
      <c r="N1578" t="s">
        <v>8</v>
      </c>
      <c r="O1578" t="s">
        <v>1117</v>
      </c>
      <c r="P1578" t="s">
        <v>29</v>
      </c>
      <c r="Q1578" t="s">
        <v>30</v>
      </c>
      <c r="R1578" t="s">
        <v>98</v>
      </c>
      <c r="S1578" t="s">
        <v>54</v>
      </c>
      <c r="T1578" t="s">
        <v>1118</v>
      </c>
      <c r="U1578" t="s">
        <v>34</v>
      </c>
      <c r="V1578">
        <v>2823.3780000000002</v>
      </c>
    </row>
    <row r="1579" spans="1:22" x14ac:dyDescent="0.3">
      <c r="A1579" t="s">
        <v>2933</v>
      </c>
      <c r="B1579" s="2">
        <v>46035</v>
      </c>
      <c r="C1579" t="s">
        <v>160</v>
      </c>
      <c r="D1579" t="s">
        <v>24</v>
      </c>
      <c r="E1579" t="s">
        <v>87</v>
      </c>
      <c r="F1579">
        <v>4</v>
      </c>
      <c r="G1579">
        <v>0.05</v>
      </c>
      <c r="H1579">
        <v>1330</v>
      </c>
      <c r="I1579">
        <v>428.23</v>
      </c>
      <c r="J1579" t="s">
        <v>51</v>
      </c>
      <c r="K1579" t="s">
        <v>40</v>
      </c>
      <c r="L1579">
        <v>332.5</v>
      </c>
      <c r="M1579">
        <v>32.197744360902263</v>
      </c>
      <c r="N1579" t="s">
        <v>8</v>
      </c>
      <c r="O1579" t="s">
        <v>161</v>
      </c>
      <c r="P1579" t="s">
        <v>29</v>
      </c>
      <c r="Q1579" t="s">
        <v>30</v>
      </c>
      <c r="R1579" t="s">
        <v>98</v>
      </c>
      <c r="S1579" t="s">
        <v>54</v>
      </c>
      <c r="T1579" t="s">
        <v>162</v>
      </c>
      <c r="U1579" t="s">
        <v>34</v>
      </c>
      <c r="V1579">
        <v>107.0575</v>
      </c>
    </row>
    <row r="1580" spans="1:22" x14ac:dyDescent="0.3">
      <c r="A1580" t="s">
        <v>2934</v>
      </c>
      <c r="B1580" s="2">
        <v>46086</v>
      </c>
      <c r="C1580" t="s">
        <v>2673</v>
      </c>
      <c r="D1580" t="s">
        <v>37</v>
      </c>
      <c r="E1580" t="s">
        <v>310</v>
      </c>
      <c r="F1580">
        <v>2</v>
      </c>
      <c r="G1580">
        <v>0.05</v>
      </c>
      <c r="H1580">
        <v>4180</v>
      </c>
      <c r="I1580">
        <v>1357.72</v>
      </c>
      <c r="J1580" t="s">
        <v>26</v>
      </c>
      <c r="K1580" t="s">
        <v>27</v>
      </c>
      <c r="L1580">
        <v>2090</v>
      </c>
      <c r="M1580">
        <v>32.481339712918661</v>
      </c>
      <c r="N1580" t="s">
        <v>8</v>
      </c>
      <c r="O1580" t="s">
        <v>2674</v>
      </c>
      <c r="P1580" t="s">
        <v>73</v>
      </c>
      <c r="Q1580" t="s">
        <v>30</v>
      </c>
      <c r="R1580" t="s">
        <v>98</v>
      </c>
      <c r="S1580" t="s">
        <v>54</v>
      </c>
      <c r="T1580" t="s">
        <v>2675</v>
      </c>
      <c r="U1580" t="s">
        <v>34</v>
      </c>
      <c r="V1580">
        <v>678.86</v>
      </c>
    </row>
    <row r="1581" spans="1:22" x14ac:dyDescent="0.3">
      <c r="A1581" t="s">
        <v>2935</v>
      </c>
      <c r="B1581" s="2">
        <v>46006</v>
      </c>
      <c r="C1581" t="s">
        <v>148</v>
      </c>
      <c r="D1581" t="s">
        <v>37</v>
      </c>
      <c r="E1581" t="s">
        <v>170</v>
      </c>
      <c r="F1581">
        <v>4</v>
      </c>
      <c r="G1581">
        <v>0.1</v>
      </c>
      <c r="H1581">
        <v>5040</v>
      </c>
      <c r="I1581">
        <v>1594.62</v>
      </c>
      <c r="J1581" t="s">
        <v>51</v>
      </c>
      <c r="K1581" t="s">
        <v>40</v>
      </c>
      <c r="L1581">
        <v>1260</v>
      </c>
      <c r="M1581">
        <v>31.639285714285709</v>
      </c>
      <c r="N1581" t="s">
        <v>8</v>
      </c>
      <c r="O1581" t="s">
        <v>149</v>
      </c>
      <c r="P1581" t="s">
        <v>29</v>
      </c>
      <c r="Q1581" t="s">
        <v>30</v>
      </c>
      <c r="R1581" t="s">
        <v>60</v>
      </c>
      <c r="S1581" t="s">
        <v>61</v>
      </c>
      <c r="T1581" t="s">
        <v>150</v>
      </c>
      <c r="U1581" t="s">
        <v>105</v>
      </c>
      <c r="V1581">
        <v>398.65499999999997</v>
      </c>
    </row>
    <row r="1582" spans="1:22" x14ac:dyDescent="0.3">
      <c r="A1582" t="s">
        <v>2936</v>
      </c>
      <c r="B1582" s="2">
        <v>45904</v>
      </c>
      <c r="C1582" t="s">
        <v>1655</v>
      </c>
      <c r="D1582" t="s">
        <v>70</v>
      </c>
      <c r="E1582" t="s">
        <v>108</v>
      </c>
      <c r="F1582">
        <v>2</v>
      </c>
      <c r="G1582">
        <v>0.2</v>
      </c>
      <c r="H1582">
        <v>7200</v>
      </c>
      <c r="I1582">
        <v>2170.92</v>
      </c>
      <c r="J1582" t="s">
        <v>39</v>
      </c>
      <c r="K1582" t="s">
        <v>40</v>
      </c>
      <c r="L1582">
        <v>3600</v>
      </c>
      <c r="M1582">
        <v>30.15166666666666</v>
      </c>
      <c r="N1582" t="s">
        <v>8</v>
      </c>
      <c r="O1582" t="s">
        <v>1656</v>
      </c>
      <c r="P1582" t="s">
        <v>29</v>
      </c>
      <c r="Q1582" t="s">
        <v>30</v>
      </c>
      <c r="R1582" t="s">
        <v>53</v>
      </c>
      <c r="S1582" t="s">
        <v>54</v>
      </c>
      <c r="T1582" t="s">
        <v>1657</v>
      </c>
      <c r="U1582" t="s">
        <v>34</v>
      </c>
      <c r="V1582">
        <v>1085.46</v>
      </c>
    </row>
    <row r="1583" spans="1:22" x14ac:dyDescent="0.3">
      <c r="A1583" t="s">
        <v>2937</v>
      </c>
      <c r="B1583" s="2">
        <v>46113</v>
      </c>
      <c r="C1583" t="s">
        <v>2459</v>
      </c>
      <c r="D1583" t="s">
        <v>70</v>
      </c>
      <c r="E1583" t="s">
        <v>165</v>
      </c>
      <c r="F1583">
        <v>4</v>
      </c>
      <c r="G1583">
        <v>0</v>
      </c>
      <c r="H1583">
        <v>10000</v>
      </c>
      <c r="I1583">
        <v>3200</v>
      </c>
      <c r="J1583" t="s">
        <v>51</v>
      </c>
      <c r="K1583" t="s">
        <v>40</v>
      </c>
      <c r="L1583">
        <v>2500</v>
      </c>
      <c r="M1583">
        <v>32</v>
      </c>
      <c r="N1583" t="s">
        <v>8</v>
      </c>
      <c r="O1583" t="s">
        <v>378</v>
      </c>
      <c r="P1583" t="s">
        <v>83</v>
      </c>
      <c r="Q1583" t="s">
        <v>74</v>
      </c>
      <c r="R1583" t="s">
        <v>115</v>
      </c>
      <c r="S1583" t="s">
        <v>115</v>
      </c>
      <c r="T1583" t="s">
        <v>2460</v>
      </c>
      <c r="U1583" t="s">
        <v>105</v>
      </c>
      <c r="V1583">
        <v>800</v>
      </c>
    </row>
    <row r="1584" spans="1:22" x14ac:dyDescent="0.3">
      <c r="A1584" t="s">
        <v>2938</v>
      </c>
      <c r="B1584" s="2">
        <v>45911</v>
      </c>
      <c r="C1584" t="s">
        <v>1036</v>
      </c>
      <c r="D1584" t="s">
        <v>70</v>
      </c>
      <c r="E1584" t="s">
        <v>129</v>
      </c>
      <c r="F1584">
        <v>2</v>
      </c>
      <c r="G1584">
        <v>0.15</v>
      </c>
      <c r="H1584">
        <v>93500</v>
      </c>
      <c r="I1584">
        <v>-15211.7</v>
      </c>
      <c r="J1584" t="s">
        <v>51</v>
      </c>
      <c r="K1584" t="s">
        <v>80</v>
      </c>
      <c r="L1584">
        <v>46750</v>
      </c>
      <c r="M1584">
        <v>-16.269197860962571</v>
      </c>
      <c r="N1584" t="s">
        <v>81</v>
      </c>
      <c r="O1584" t="s">
        <v>149</v>
      </c>
      <c r="P1584" t="s">
        <v>83</v>
      </c>
      <c r="Q1584" t="s">
        <v>30</v>
      </c>
      <c r="R1584" t="s">
        <v>53</v>
      </c>
      <c r="S1584" t="s">
        <v>54</v>
      </c>
      <c r="T1584" t="s">
        <v>1037</v>
      </c>
      <c r="U1584" t="s">
        <v>46</v>
      </c>
      <c r="V1584">
        <v>-7605.85</v>
      </c>
    </row>
    <row r="1585" spans="1:22" x14ac:dyDescent="0.3">
      <c r="A1585" t="s">
        <v>2939</v>
      </c>
      <c r="B1585" s="2">
        <v>45957</v>
      </c>
      <c r="C1585" t="s">
        <v>91</v>
      </c>
      <c r="D1585" t="s">
        <v>49</v>
      </c>
      <c r="E1585" t="s">
        <v>58</v>
      </c>
      <c r="F1585">
        <v>2</v>
      </c>
      <c r="G1585">
        <v>0.05</v>
      </c>
      <c r="H1585">
        <v>28500</v>
      </c>
      <c r="I1585">
        <v>6062.87</v>
      </c>
      <c r="J1585" t="s">
        <v>39</v>
      </c>
      <c r="K1585" t="s">
        <v>40</v>
      </c>
      <c r="L1585">
        <v>14250</v>
      </c>
      <c r="M1585">
        <v>21.273228070175438</v>
      </c>
      <c r="N1585" t="s">
        <v>8</v>
      </c>
      <c r="O1585" t="s">
        <v>93</v>
      </c>
      <c r="P1585" t="s">
        <v>73</v>
      </c>
      <c r="Q1585" t="s">
        <v>30</v>
      </c>
      <c r="R1585" t="s">
        <v>60</v>
      </c>
      <c r="S1585" t="s">
        <v>61</v>
      </c>
      <c r="T1585" t="s">
        <v>94</v>
      </c>
      <c r="U1585" t="s">
        <v>34</v>
      </c>
      <c r="V1585">
        <v>3031.4349999999999</v>
      </c>
    </row>
    <row r="1586" spans="1:22" x14ac:dyDescent="0.3">
      <c r="A1586" t="s">
        <v>2940</v>
      </c>
      <c r="B1586" s="2">
        <v>45868</v>
      </c>
      <c r="C1586" t="s">
        <v>457</v>
      </c>
      <c r="D1586" t="s">
        <v>24</v>
      </c>
      <c r="E1586" t="s">
        <v>92</v>
      </c>
      <c r="F1586">
        <v>3</v>
      </c>
      <c r="G1586">
        <v>0.05</v>
      </c>
      <c r="H1586">
        <v>2565</v>
      </c>
      <c r="I1586">
        <v>744.7</v>
      </c>
      <c r="J1586" t="s">
        <v>51</v>
      </c>
      <c r="K1586" t="s">
        <v>40</v>
      </c>
      <c r="L1586">
        <v>855</v>
      </c>
      <c r="M1586">
        <v>29.033138401559459</v>
      </c>
      <c r="N1586" t="s">
        <v>8</v>
      </c>
      <c r="O1586" t="s">
        <v>458</v>
      </c>
      <c r="P1586" t="s">
        <v>73</v>
      </c>
      <c r="Q1586" t="s">
        <v>30</v>
      </c>
      <c r="R1586" t="s">
        <v>60</v>
      </c>
      <c r="S1586" t="s">
        <v>61</v>
      </c>
      <c r="T1586" t="s">
        <v>459</v>
      </c>
      <c r="U1586" t="s">
        <v>34</v>
      </c>
      <c r="V1586">
        <v>248.23333333333329</v>
      </c>
    </row>
    <row r="1587" spans="1:22" x14ac:dyDescent="0.3">
      <c r="A1587" t="s">
        <v>2941</v>
      </c>
      <c r="B1587" s="2">
        <v>46033</v>
      </c>
      <c r="C1587" t="s">
        <v>824</v>
      </c>
      <c r="D1587" t="s">
        <v>49</v>
      </c>
      <c r="E1587" t="s">
        <v>79</v>
      </c>
      <c r="F1587">
        <v>1</v>
      </c>
      <c r="G1587">
        <v>0.15</v>
      </c>
      <c r="H1587">
        <v>9350</v>
      </c>
      <c r="I1587">
        <v>1519.7</v>
      </c>
      <c r="J1587" t="s">
        <v>39</v>
      </c>
      <c r="K1587" t="s">
        <v>40</v>
      </c>
      <c r="L1587">
        <v>9350</v>
      </c>
      <c r="M1587">
        <v>16.253475935828881</v>
      </c>
      <c r="N1587" t="s">
        <v>8</v>
      </c>
      <c r="O1587" t="s">
        <v>825</v>
      </c>
      <c r="P1587" t="s">
        <v>29</v>
      </c>
      <c r="Q1587" t="s">
        <v>30</v>
      </c>
      <c r="R1587" t="s">
        <v>53</v>
      </c>
      <c r="S1587" t="s">
        <v>54</v>
      </c>
      <c r="T1587" t="s">
        <v>826</v>
      </c>
      <c r="U1587" t="s">
        <v>105</v>
      </c>
      <c r="V1587">
        <v>1519.7</v>
      </c>
    </row>
    <row r="1588" spans="1:22" x14ac:dyDescent="0.3">
      <c r="A1588" t="s">
        <v>2942</v>
      </c>
      <c r="B1588" s="2">
        <v>46183</v>
      </c>
      <c r="C1588" t="s">
        <v>1860</v>
      </c>
      <c r="D1588" t="s">
        <v>70</v>
      </c>
      <c r="E1588" t="s">
        <v>108</v>
      </c>
      <c r="F1588">
        <v>4</v>
      </c>
      <c r="G1588">
        <v>0.1</v>
      </c>
      <c r="H1588">
        <v>16200</v>
      </c>
      <c r="I1588">
        <v>-5593.01</v>
      </c>
      <c r="J1588" t="s">
        <v>51</v>
      </c>
      <c r="K1588" t="s">
        <v>80</v>
      </c>
      <c r="L1588">
        <v>4050</v>
      </c>
      <c r="M1588">
        <v>-34.524753086419757</v>
      </c>
      <c r="N1588" t="s">
        <v>81</v>
      </c>
      <c r="O1588" t="s">
        <v>1861</v>
      </c>
      <c r="P1588" t="s">
        <v>83</v>
      </c>
      <c r="Q1588" t="s">
        <v>30</v>
      </c>
      <c r="R1588" t="s">
        <v>98</v>
      </c>
      <c r="S1588" t="s">
        <v>54</v>
      </c>
      <c r="T1588" t="s">
        <v>1862</v>
      </c>
      <c r="U1588" t="s">
        <v>34</v>
      </c>
      <c r="V1588">
        <v>-1398.2525000000001</v>
      </c>
    </row>
    <row r="1589" spans="1:22" x14ac:dyDescent="0.3">
      <c r="A1589" t="s">
        <v>2943</v>
      </c>
      <c r="B1589" s="2">
        <v>46062</v>
      </c>
      <c r="C1589" t="s">
        <v>268</v>
      </c>
      <c r="D1589" t="s">
        <v>70</v>
      </c>
      <c r="E1589" t="s">
        <v>108</v>
      </c>
      <c r="F1589">
        <v>3</v>
      </c>
      <c r="G1589">
        <v>0.05</v>
      </c>
      <c r="H1589">
        <v>12825</v>
      </c>
      <c r="I1589">
        <v>-2855.38</v>
      </c>
      <c r="J1589" t="s">
        <v>65</v>
      </c>
      <c r="K1589" t="s">
        <v>80</v>
      </c>
      <c r="L1589">
        <v>4275</v>
      </c>
      <c r="M1589">
        <v>-22.264171539961019</v>
      </c>
      <c r="N1589" t="s">
        <v>81</v>
      </c>
      <c r="O1589" t="s">
        <v>269</v>
      </c>
      <c r="P1589" t="s">
        <v>29</v>
      </c>
      <c r="Q1589" t="s">
        <v>30</v>
      </c>
      <c r="R1589" t="s">
        <v>31</v>
      </c>
      <c r="S1589" t="s">
        <v>32</v>
      </c>
      <c r="T1589" t="s">
        <v>270</v>
      </c>
      <c r="U1589" t="s">
        <v>34</v>
      </c>
      <c r="V1589">
        <v>-951.79333333333341</v>
      </c>
    </row>
    <row r="1590" spans="1:22" x14ac:dyDescent="0.3">
      <c r="A1590" t="s">
        <v>2944</v>
      </c>
      <c r="B1590" s="2">
        <v>45843</v>
      </c>
      <c r="C1590" t="s">
        <v>958</v>
      </c>
      <c r="D1590" t="s">
        <v>37</v>
      </c>
      <c r="E1590" t="s">
        <v>170</v>
      </c>
      <c r="F1590">
        <v>3</v>
      </c>
      <c r="G1590">
        <v>0.1</v>
      </c>
      <c r="H1590">
        <v>3780</v>
      </c>
      <c r="I1590">
        <v>1180.4000000000001</v>
      </c>
      <c r="J1590" t="s">
        <v>39</v>
      </c>
      <c r="K1590" t="s">
        <v>40</v>
      </c>
      <c r="L1590">
        <v>1260</v>
      </c>
      <c r="M1590">
        <v>31.227513227513231</v>
      </c>
      <c r="N1590" t="s">
        <v>8</v>
      </c>
      <c r="O1590" t="s">
        <v>959</v>
      </c>
      <c r="P1590" t="s">
        <v>73</v>
      </c>
      <c r="Q1590" t="s">
        <v>42</v>
      </c>
      <c r="R1590" t="s">
        <v>43</v>
      </c>
      <c r="S1590" t="s">
        <v>44</v>
      </c>
      <c r="T1590" t="s">
        <v>960</v>
      </c>
      <c r="U1590" t="s">
        <v>34</v>
      </c>
      <c r="V1590">
        <v>393.4666666666667</v>
      </c>
    </row>
    <row r="1591" spans="1:22" x14ac:dyDescent="0.3">
      <c r="A1591" t="s">
        <v>2945</v>
      </c>
      <c r="B1591" s="2">
        <v>45962</v>
      </c>
      <c r="C1591" t="s">
        <v>533</v>
      </c>
      <c r="D1591" t="s">
        <v>24</v>
      </c>
      <c r="E1591" t="s">
        <v>87</v>
      </c>
      <c r="F1591">
        <v>5</v>
      </c>
      <c r="G1591">
        <v>0.15</v>
      </c>
      <c r="H1591">
        <v>1487.5</v>
      </c>
      <c r="I1591">
        <v>381.13</v>
      </c>
      <c r="J1591" t="s">
        <v>39</v>
      </c>
      <c r="K1591" t="s">
        <v>40</v>
      </c>
      <c r="L1591">
        <v>297.5</v>
      </c>
      <c r="M1591">
        <v>25.622184873949578</v>
      </c>
      <c r="N1591" t="s">
        <v>8</v>
      </c>
      <c r="O1591" t="s">
        <v>306</v>
      </c>
      <c r="P1591" t="s">
        <v>83</v>
      </c>
      <c r="Q1591" t="s">
        <v>131</v>
      </c>
      <c r="R1591" t="s">
        <v>132</v>
      </c>
      <c r="S1591" t="s">
        <v>133</v>
      </c>
      <c r="T1591" t="s">
        <v>534</v>
      </c>
      <c r="U1591" t="s">
        <v>46</v>
      </c>
      <c r="V1591">
        <v>76.225999999999999</v>
      </c>
    </row>
    <row r="1592" spans="1:22" x14ac:dyDescent="0.3">
      <c r="A1592" t="s">
        <v>2946</v>
      </c>
      <c r="B1592" s="2">
        <v>45889</v>
      </c>
      <c r="C1592" t="s">
        <v>2947</v>
      </c>
      <c r="D1592" t="s">
        <v>37</v>
      </c>
      <c r="E1592" t="s">
        <v>190</v>
      </c>
      <c r="F1592">
        <v>2</v>
      </c>
      <c r="G1592">
        <v>0.1</v>
      </c>
      <c r="H1592">
        <v>7560</v>
      </c>
      <c r="I1592">
        <v>1865.61</v>
      </c>
      <c r="J1592" t="s">
        <v>65</v>
      </c>
      <c r="K1592" t="s">
        <v>40</v>
      </c>
      <c r="L1592">
        <v>3780</v>
      </c>
      <c r="M1592">
        <v>24.67738095238095</v>
      </c>
      <c r="N1592" t="s">
        <v>8</v>
      </c>
      <c r="O1592" t="s">
        <v>2674</v>
      </c>
      <c r="P1592" t="s">
        <v>29</v>
      </c>
      <c r="Q1592" t="s">
        <v>74</v>
      </c>
      <c r="R1592" t="s">
        <v>115</v>
      </c>
      <c r="S1592" t="s">
        <v>115</v>
      </c>
      <c r="T1592" t="s">
        <v>2948</v>
      </c>
      <c r="U1592" t="s">
        <v>105</v>
      </c>
      <c r="V1592">
        <v>932.80499999999995</v>
      </c>
    </row>
    <row r="1593" spans="1:22" x14ac:dyDescent="0.3">
      <c r="A1593" t="s">
        <v>2949</v>
      </c>
      <c r="B1593" s="2">
        <v>45845</v>
      </c>
      <c r="C1593" t="s">
        <v>2431</v>
      </c>
      <c r="D1593" t="s">
        <v>49</v>
      </c>
      <c r="E1593" t="s">
        <v>79</v>
      </c>
      <c r="F1593">
        <v>5</v>
      </c>
      <c r="G1593">
        <v>0</v>
      </c>
      <c r="H1593">
        <v>55000</v>
      </c>
      <c r="I1593">
        <v>13000</v>
      </c>
      <c r="J1593" t="s">
        <v>39</v>
      </c>
      <c r="K1593" t="s">
        <v>40</v>
      </c>
      <c r="L1593">
        <v>11000</v>
      </c>
      <c r="M1593">
        <v>23.63636363636364</v>
      </c>
      <c r="N1593" t="s">
        <v>8</v>
      </c>
      <c r="O1593" t="s">
        <v>2432</v>
      </c>
      <c r="P1593" t="s">
        <v>29</v>
      </c>
      <c r="Q1593" t="s">
        <v>131</v>
      </c>
      <c r="R1593" t="s">
        <v>200</v>
      </c>
      <c r="S1593" t="s">
        <v>201</v>
      </c>
      <c r="T1593" t="s">
        <v>2433</v>
      </c>
      <c r="U1593" t="s">
        <v>46</v>
      </c>
      <c r="V1593">
        <v>2600</v>
      </c>
    </row>
    <row r="1594" spans="1:22" x14ac:dyDescent="0.3">
      <c r="A1594" t="s">
        <v>2950</v>
      </c>
      <c r="B1594" s="2">
        <v>45911</v>
      </c>
      <c r="C1594" t="s">
        <v>757</v>
      </c>
      <c r="D1594" t="s">
        <v>24</v>
      </c>
      <c r="E1594" t="s">
        <v>25</v>
      </c>
      <c r="F1594">
        <v>5</v>
      </c>
      <c r="G1594">
        <v>0.05</v>
      </c>
      <c r="H1594">
        <v>66500</v>
      </c>
      <c r="I1594">
        <v>12106.42</v>
      </c>
      <c r="J1594" t="s">
        <v>65</v>
      </c>
      <c r="K1594" t="s">
        <v>40</v>
      </c>
      <c r="L1594">
        <v>13300</v>
      </c>
      <c r="M1594">
        <v>18.20514285714286</v>
      </c>
      <c r="N1594" t="s">
        <v>8</v>
      </c>
      <c r="O1594" t="s">
        <v>758</v>
      </c>
      <c r="P1594" t="s">
        <v>83</v>
      </c>
      <c r="Q1594" t="s">
        <v>74</v>
      </c>
      <c r="R1594" t="s">
        <v>237</v>
      </c>
      <c r="S1594" t="s">
        <v>238</v>
      </c>
      <c r="T1594" t="s">
        <v>759</v>
      </c>
      <c r="U1594" t="s">
        <v>34</v>
      </c>
      <c r="V1594">
        <v>2421.2840000000001</v>
      </c>
    </row>
    <row r="1595" spans="1:22" x14ac:dyDescent="0.3">
      <c r="A1595" t="s">
        <v>2951</v>
      </c>
      <c r="B1595" s="2">
        <v>46184</v>
      </c>
      <c r="C1595" t="s">
        <v>689</v>
      </c>
      <c r="D1595" t="s">
        <v>49</v>
      </c>
      <c r="E1595" t="s">
        <v>50</v>
      </c>
      <c r="F1595">
        <v>1</v>
      </c>
      <c r="G1595">
        <v>0.05</v>
      </c>
      <c r="H1595">
        <v>12350</v>
      </c>
      <c r="I1595">
        <v>2678.32</v>
      </c>
      <c r="J1595" t="s">
        <v>39</v>
      </c>
      <c r="K1595" t="s">
        <v>40</v>
      </c>
      <c r="L1595">
        <v>12350</v>
      </c>
      <c r="M1595">
        <v>21.686801619433201</v>
      </c>
      <c r="N1595" t="s">
        <v>8</v>
      </c>
      <c r="O1595" t="s">
        <v>218</v>
      </c>
      <c r="P1595" t="s">
        <v>73</v>
      </c>
      <c r="Q1595" t="s">
        <v>131</v>
      </c>
      <c r="R1595" t="s">
        <v>289</v>
      </c>
      <c r="S1595" t="s">
        <v>290</v>
      </c>
      <c r="T1595" t="s">
        <v>679</v>
      </c>
      <c r="U1595" t="s">
        <v>46</v>
      </c>
      <c r="V1595">
        <v>2678.32</v>
      </c>
    </row>
    <row r="1596" spans="1:22" x14ac:dyDescent="0.3">
      <c r="A1596" t="s">
        <v>2952</v>
      </c>
      <c r="B1596" s="2">
        <v>45899</v>
      </c>
      <c r="C1596" t="s">
        <v>275</v>
      </c>
      <c r="D1596" t="s">
        <v>24</v>
      </c>
      <c r="E1596" t="s">
        <v>25</v>
      </c>
      <c r="F1596">
        <v>1</v>
      </c>
      <c r="G1596">
        <v>0.2</v>
      </c>
      <c r="H1596">
        <v>11200</v>
      </c>
      <c r="I1596">
        <v>624.41999999999996</v>
      </c>
      <c r="J1596" t="s">
        <v>51</v>
      </c>
      <c r="K1596" t="s">
        <v>40</v>
      </c>
      <c r="L1596">
        <v>11200</v>
      </c>
      <c r="M1596">
        <v>5.5751785714285713</v>
      </c>
      <c r="N1596" t="s">
        <v>8</v>
      </c>
      <c r="O1596" t="s">
        <v>276</v>
      </c>
      <c r="P1596" t="s">
        <v>83</v>
      </c>
      <c r="Q1596" t="s">
        <v>30</v>
      </c>
      <c r="R1596" t="s">
        <v>53</v>
      </c>
      <c r="S1596" t="s">
        <v>54</v>
      </c>
      <c r="T1596" t="s">
        <v>277</v>
      </c>
      <c r="U1596" t="s">
        <v>100</v>
      </c>
      <c r="V1596">
        <v>624.41999999999996</v>
      </c>
    </row>
    <row r="1597" spans="1:22" x14ac:dyDescent="0.3">
      <c r="A1597" t="s">
        <v>2953</v>
      </c>
      <c r="B1597" s="2">
        <v>46135</v>
      </c>
      <c r="C1597" t="s">
        <v>838</v>
      </c>
      <c r="D1597" t="s">
        <v>70</v>
      </c>
      <c r="E1597" t="s">
        <v>108</v>
      </c>
      <c r="F1597">
        <v>4</v>
      </c>
      <c r="G1597">
        <v>0.15</v>
      </c>
      <c r="H1597">
        <v>15300</v>
      </c>
      <c r="I1597">
        <v>-2774.41</v>
      </c>
      <c r="J1597" t="s">
        <v>39</v>
      </c>
      <c r="K1597" t="s">
        <v>80</v>
      </c>
      <c r="L1597">
        <v>3825</v>
      </c>
      <c r="M1597">
        <v>-18.133398692810459</v>
      </c>
      <c r="N1597" t="s">
        <v>81</v>
      </c>
      <c r="O1597" t="s">
        <v>839</v>
      </c>
      <c r="P1597" t="s">
        <v>73</v>
      </c>
      <c r="Q1597" t="s">
        <v>30</v>
      </c>
      <c r="R1597" t="s">
        <v>31</v>
      </c>
      <c r="S1597" t="s">
        <v>32</v>
      </c>
      <c r="T1597" t="s">
        <v>840</v>
      </c>
      <c r="U1597" t="s">
        <v>100</v>
      </c>
      <c r="V1597">
        <v>-693.60249999999996</v>
      </c>
    </row>
    <row r="1598" spans="1:22" x14ac:dyDescent="0.3">
      <c r="A1598" t="s">
        <v>2954</v>
      </c>
      <c r="B1598" s="2">
        <v>45848</v>
      </c>
      <c r="C1598" t="s">
        <v>2188</v>
      </c>
      <c r="D1598" t="s">
        <v>24</v>
      </c>
      <c r="E1598" t="s">
        <v>87</v>
      </c>
      <c r="F1598">
        <v>10</v>
      </c>
      <c r="G1598">
        <v>0.1</v>
      </c>
      <c r="H1598">
        <v>3150</v>
      </c>
      <c r="I1598">
        <v>987.35</v>
      </c>
      <c r="J1598" t="s">
        <v>26</v>
      </c>
      <c r="K1598" t="s">
        <v>40</v>
      </c>
      <c r="L1598">
        <v>315</v>
      </c>
      <c r="M1598">
        <v>31.344444444444449</v>
      </c>
      <c r="N1598" t="s">
        <v>8</v>
      </c>
      <c r="O1598" t="s">
        <v>1963</v>
      </c>
      <c r="P1598" t="s">
        <v>29</v>
      </c>
      <c r="Q1598" t="s">
        <v>42</v>
      </c>
      <c r="R1598" t="s">
        <v>214</v>
      </c>
      <c r="S1598" t="s">
        <v>111</v>
      </c>
      <c r="T1598" t="s">
        <v>2189</v>
      </c>
      <c r="U1598" t="s">
        <v>46</v>
      </c>
      <c r="V1598">
        <v>98.734999999999999</v>
      </c>
    </row>
    <row r="1599" spans="1:22" x14ac:dyDescent="0.3">
      <c r="A1599" t="s">
        <v>2955</v>
      </c>
      <c r="B1599" s="2">
        <v>46011</v>
      </c>
      <c r="C1599" t="s">
        <v>2690</v>
      </c>
      <c r="D1599" t="s">
        <v>49</v>
      </c>
      <c r="E1599" t="s">
        <v>79</v>
      </c>
      <c r="F1599">
        <v>1</v>
      </c>
      <c r="G1599">
        <v>0.1</v>
      </c>
      <c r="H1599">
        <v>9900</v>
      </c>
      <c r="I1599">
        <v>1802.24</v>
      </c>
      <c r="J1599" t="s">
        <v>65</v>
      </c>
      <c r="K1599" t="s">
        <v>40</v>
      </c>
      <c r="L1599">
        <v>9900</v>
      </c>
      <c r="M1599">
        <v>18.204444444444441</v>
      </c>
      <c r="N1599" t="s">
        <v>8</v>
      </c>
      <c r="O1599" t="s">
        <v>1169</v>
      </c>
      <c r="P1599" t="s">
        <v>83</v>
      </c>
      <c r="Q1599" t="s">
        <v>42</v>
      </c>
      <c r="R1599" t="s">
        <v>121</v>
      </c>
      <c r="S1599" t="s">
        <v>44</v>
      </c>
      <c r="T1599" t="s">
        <v>2691</v>
      </c>
      <c r="U1599" t="s">
        <v>46</v>
      </c>
      <c r="V1599">
        <v>1802.24</v>
      </c>
    </row>
    <row r="1600" spans="1:22" x14ac:dyDescent="0.3">
      <c r="A1600" t="s">
        <v>2956</v>
      </c>
      <c r="B1600" s="2">
        <v>46145</v>
      </c>
      <c r="C1600" t="s">
        <v>2957</v>
      </c>
      <c r="D1600" t="s">
        <v>37</v>
      </c>
      <c r="E1600" t="s">
        <v>170</v>
      </c>
      <c r="F1600">
        <v>2</v>
      </c>
      <c r="G1600">
        <v>0.1</v>
      </c>
      <c r="H1600">
        <v>2520</v>
      </c>
      <c r="I1600">
        <v>825.93</v>
      </c>
      <c r="J1600" t="s">
        <v>39</v>
      </c>
      <c r="K1600" t="s">
        <v>40</v>
      </c>
      <c r="L1600">
        <v>1260</v>
      </c>
      <c r="M1600">
        <v>32.774999999999999</v>
      </c>
      <c r="N1600" t="s">
        <v>8</v>
      </c>
      <c r="O1600" t="s">
        <v>439</v>
      </c>
      <c r="P1600" t="s">
        <v>83</v>
      </c>
      <c r="Q1600" t="s">
        <v>131</v>
      </c>
      <c r="R1600" t="s">
        <v>200</v>
      </c>
      <c r="S1600" t="s">
        <v>201</v>
      </c>
      <c r="T1600" t="s">
        <v>2958</v>
      </c>
      <c r="U1600" t="s">
        <v>46</v>
      </c>
      <c r="V1600">
        <v>412.96499999999997</v>
      </c>
    </row>
    <row r="1601" spans="1:22" x14ac:dyDescent="0.3">
      <c r="A1601" t="s">
        <v>2959</v>
      </c>
      <c r="B1601" s="2">
        <v>46220</v>
      </c>
      <c r="C1601" t="s">
        <v>2562</v>
      </c>
      <c r="D1601" t="s">
        <v>37</v>
      </c>
      <c r="E1601" t="s">
        <v>170</v>
      </c>
      <c r="F1601">
        <v>4</v>
      </c>
      <c r="G1601">
        <v>0.1</v>
      </c>
      <c r="H1601">
        <v>5040</v>
      </c>
      <c r="I1601">
        <v>1672.61</v>
      </c>
      <c r="J1601" t="s">
        <v>26</v>
      </c>
      <c r="K1601" t="s">
        <v>40</v>
      </c>
      <c r="L1601">
        <v>1260</v>
      </c>
      <c r="M1601">
        <v>33.186706349206347</v>
      </c>
      <c r="N1601" t="s">
        <v>8</v>
      </c>
      <c r="O1601" t="s">
        <v>2563</v>
      </c>
      <c r="P1601" t="s">
        <v>29</v>
      </c>
      <c r="Q1601" t="s">
        <v>30</v>
      </c>
      <c r="R1601" t="s">
        <v>60</v>
      </c>
      <c r="S1601" t="s">
        <v>61</v>
      </c>
      <c r="T1601" t="s">
        <v>1619</v>
      </c>
      <c r="U1601" t="s">
        <v>34</v>
      </c>
      <c r="V1601">
        <v>418.15249999999997</v>
      </c>
    </row>
    <row r="1602" spans="1:22" x14ac:dyDescent="0.3">
      <c r="A1602" t="s">
        <v>2960</v>
      </c>
      <c r="B1602" s="2">
        <v>46147</v>
      </c>
      <c r="C1602" t="s">
        <v>2961</v>
      </c>
      <c r="D1602" t="s">
        <v>37</v>
      </c>
      <c r="E1602" t="s">
        <v>310</v>
      </c>
      <c r="F1602">
        <v>4</v>
      </c>
      <c r="G1602">
        <v>0</v>
      </c>
      <c r="H1602">
        <v>8800</v>
      </c>
      <c r="I1602">
        <v>3000</v>
      </c>
      <c r="J1602" t="s">
        <v>51</v>
      </c>
      <c r="K1602" t="s">
        <v>40</v>
      </c>
      <c r="L1602">
        <v>2200</v>
      </c>
      <c r="M1602">
        <v>34.090909090909093</v>
      </c>
      <c r="N1602" t="s">
        <v>8</v>
      </c>
      <c r="O1602" t="s">
        <v>2962</v>
      </c>
      <c r="P1602" t="s">
        <v>73</v>
      </c>
      <c r="Q1602" t="s">
        <v>42</v>
      </c>
      <c r="R1602" t="s">
        <v>43</v>
      </c>
      <c r="S1602" t="s">
        <v>44</v>
      </c>
      <c r="T1602" t="s">
        <v>2963</v>
      </c>
      <c r="U1602" t="s">
        <v>46</v>
      </c>
      <c r="V1602">
        <v>750</v>
      </c>
    </row>
    <row r="1603" spans="1:22" x14ac:dyDescent="0.3">
      <c r="A1603" t="s">
        <v>2964</v>
      </c>
      <c r="B1603" s="2">
        <v>45877</v>
      </c>
      <c r="C1603" t="s">
        <v>2295</v>
      </c>
      <c r="D1603" t="s">
        <v>37</v>
      </c>
      <c r="E1603" t="s">
        <v>190</v>
      </c>
      <c r="F1603">
        <v>5</v>
      </c>
      <c r="G1603">
        <v>0.05</v>
      </c>
      <c r="H1603">
        <v>19950</v>
      </c>
      <c r="I1603">
        <v>5313.88</v>
      </c>
      <c r="J1603" t="s">
        <v>39</v>
      </c>
      <c r="K1603" t="s">
        <v>27</v>
      </c>
      <c r="L1603">
        <v>3990</v>
      </c>
      <c r="M1603">
        <v>26.635989974937349</v>
      </c>
      <c r="N1603" t="s">
        <v>8</v>
      </c>
      <c r="O1603" t="s">
        <v>2296</v>
      </c>
      <c r="P1603" t="s">
        <v>29</v>
      </c>
      <c r="Q1603" t="s">
        <v>74</v>
      </c>
      <c r="R1603" t="s">
        <v>493</v>
      </c>
      <c r="S1603" t="s">
        <v>494</v>
      </c>
      <c r="T1603" t="s">
        <v>2297</v>
      </c>
      <c r="U1603" t="s">
        <v>105</v>
      </c>
      <c r="V1603">
        <v>1062.7760000000001</v>
      </c>
    </row>
    <row r="1604" spans="1:22" x14ac:dyDescent="0.3">
      <c r="A1604" t="s">
        <v>2965</v>
      </c>
      <c r="B1604" s="2">
        <v>45950</v>
      </c>
      <c r="C1604" t="s">
        <v>1091</v>
      </c>
      <c r="D1604" t="s">
        <v>37</v>
      </c>
      <c r="E1604" t="s">
        <v>170</v>
      </c>
      <c r="F1604">
        <v>5</v>
      </c>
      <c r="G1604">
        <v>0</v>
      </c>
      <c r="H1604">
        <v>7000</v>
      </c>
      <c r="I1604">
        <v>2500</v>
      </c>
      <c r="J1604" t="s">
        <v>39</v>
      </c>
      <c r="K1604" t="s">
        <v>27</v>
      </c>
      <c r="L1604">
        <v>1400</v>
      </c>
      <c r="M1604">
        <v>35.714285714285722</v>
      </c>
      <c r="N1604" t="s">
        <v>8</v>
      </c>
      <c r="O1604" t="s">
        <v>1018</v>
      </c>
      <c r="P1604" t="s">
        <v>83</v>
      </c>
      <c r="Q1604" t="s">
        <v>30</v>
      </c>
      <c r="R1604" t="s">
        <v>31</v>
      </c>
      <c r="S1604" t="s">
        <v>32</v>
      </c>
      <c r="T1604" t="s">
        <v>1092</v>
      </c>
      <c r="U1604" t="s">
        <v>105</v>
      </c>
      <c r="V1604">
        <v>500</v>
      </c>
    </row>
    <row r="1605" spans="1:22" x14ac:dyDescent="0.3">
      <c r="A1605" t="s">
        <v>2966</v>
      </c>
      <c r="B1605" s="2">
        <v>46184</v>
      </c>
      <c r="C1605" t="s">
        <v>1676</v>
      </c>
      <c r="D1605" t="s">
        <v>70</v>
      </c>
      <c r="E1605" t="s">
        <v>165</v>
      </c>
      <c r="F1605">
        <v>3</v>
      </c>
      <c r="G1605">
        <v>0.1</v>
      </c>
      <c r="H1605">
        <v>6750</v>
      </c>
      <c r="I1605">
        <v>1961.16</v>
      </c>
      <c r="J1605" t="s">
        <v>26</v>
      </c>
      <c r="K1605" t="s">
        <v>40</v>
      </c>
      <c r="L1605">
        <v>2250</v>
      </c>
      <c r="M1605">
        <v>29.054222222222229</v>
      </c>
      <c r="N1605" t="s">
        <v>8</v>
      </c>
      <c r="O1605" t="s">
        <v>1649</v>
      </c>
      <c r="P1605" t="s">
        <v>73</v>
      </c>
      <c r="Q1605" t="s">
        <v>30</v>
      </c>
      <c r="R1605" t="s">
        <v>31</v>
      </c>
      <c r="S1605" t="s">
        <v>32</v>
      </c>
      <c r="T1605" t="s">
        <v>1677</v>
      </c>
      <c r="U1605" t="s">
        <v>46</v>
      </c>
      <c r="V1605">
        <v>653.72</v>
      </c>
    </row>
    <row r="1606" spans="1:22" x14ac:dyDescent="0.3">
      <c r="A1606" t="s">
        <v>2967</v>
      </c>
      <c r="B1606" s="2">
        <v>46046</v>
      </c>
      <c r="C1606" t="s">
        <v>1313</v>
      </c>
      <c r="D1606" t="s">
        <v>70</v>
      </c>
      <c r="E1606" t="s">
        <v>165</v>
      </c>
      <c r="F1606">
        <v>3</v>
      </c>
      <c r="G1606">
        <v>0.05</v>
      </c>
      <c r="H1606">
        <v>7125</v>
      </c>
      <c r="I1606">
        <v>2228.7399999999998</v>
      </c>
      <c r="J1606" t="s">
        <v>65</v>
      </c>
      <c r="K1606" t="s">
        <v>27</v>
      </c>
      <c r="L1606">
        <v>2375</v>
      </c>
      <c r="M1606">
        <v>31.28056140350877</v>
      </c>
      <c r="N1606" t="s">
        <v>8</v>
      </c>
      <c r="O1606" t="s">
        <v>1314</v>
      </c>
      <c r="P1606" t="s">
        <v>73</v>
      </c>
      <c r="Q1606" t="s">
        <v>131</v>
      </c>
      <c r="R1606" t="s">
        <v>289</v>
      </c>
      <c r="S1606" t="s">
        <v>290</v>
      </c>
      <c r="T1606" t="s">
        <v>1161</v>
      </c>
      <c r="U1606" t="s">
        <v>105</v>
      </c>
      <c r="V1606">
        <v>742.9133333333333</v>
      </c>
    </row>
    <row r="1607" spans="1:22" x14ac:dyDescent="0.3">
      <c r="A1607" t="s">
        <v>2968</v>
      </c>
      <c r="B1607" s="2">
        <v>46120</v>
      </c>
      <c r="C1607" t="s">
        <v>477</v>
      </c>
      <c r="D1607" t="s">
        <v>70</v>
      </c>
      <c r="E1607" t="s">
        <v>129</v>
      </c>
      <c r="F1607">
        <v>2</v>
      </c>
      <c r="G1607">
        <v>0</v>
      </c>
      <c r="H1607">
        <v>110000</v>
      </c>
      <c r="I1607">
        <v>-28584.639999999999</v>
      </c>
      <c r="J1607" t="s">
        <v>39</v>
      </c>
      <c r="K1607" t="s">
        <v>434</v>
      </c>
      <c r="L1607">
        <v>55000</v>
      </c>
      <c r="M1607">
        <v>-25.986036363636359</v>
      </c>
      <c r="N1607" t="s">
        <v>81</v>
      </c>
      <c r="O1607" t="s">
        <v>478</v>
      </c>
      <c r="P1607" t="s">
        <v>73</v>
      </c>
      <c r="Q1607" t="s">
        <v>131</v>
      </c>
      <c r="R1607" t="s">
        <v>289</v>
      </c>
      <c r="S1607" t="s">
        <v>290</v>
      </c>
      <c r="T1607" t="s">
        <v>479</v>
      </c>
      <c r="U1607" t="s">
        <v>100</v>
      </c>
      <c r="V1607">
        <v>-14292.32</v>
      </c>
    </row>
    <row r="1608" spans="1:22" x14ac:dyDescent="0.3">
      <c r="A1608" t="s">
        <v>2969</v>
      </c>
      <c r="B1608" s="2">
        <v>46173</v>
      </c>
      <c r="C1608" t="s">
        <v>1694</v>
      </c>
      <c r="D1608" t="s">
        <v>24</v>
      </c>
      <c r="E1608" t="s">
        <v>92</v>
      </c>
      <c r="F1608">
        <v>5</v>
      </c>
      <c r="G1608">
        <v>0.05</v>
      </c>
      <c r="H1608">
        <v>4275</v>
      </c>
      <c r="I1608">
        <v>1247.3499999999999</v>
      </c>
      <c r="J1608" t="s">
        <v>26</v>
      </c>
      <c r="K1608" t="s">
        <v>40</v>
      </c>
      <c r="L1608">
        <v>855</v>
      </c>
      <c r="M1608">
        <v>29.17777777777777</v>
      </c>
      <c r="N1608" t="s">
        <v>8</v>
      </c>
      <c r="O1608" t="s">
        <v>1695</v>
      </c>
      <c r="P1608" t="s">
        <v>73</v>
      </c>
      <c r="Q1608" t="s">
        <v>30</v>
      </c>
      <c r="R1608" t="s">
        <v>60</v>
      </c>
      <c r="S1608" t="s">
        <v>61</v>
      </c>
      <c r="T1608" t="s">
        <v>1696</v>
      </c>
      <c r="U1608" t="s">
        <v>100</v>
      </c>
      <c r="V1608">
        <v>249.47</v>
      </c>
    </row>
    <row r="1609" spans="1:22" x14ac:dyDescent="0.3">
      <c r="A1609" t="s">
        <v>2970</v>
      </c>
      <c r="B1609" s="2">
        <v>45870</v>
      </c>
      <c r="C1609" t="s">
        <v>2017</v>
      </c>
      <c r="D1609" t="s">
        <v>70</v>
      </c>
      <c r="E1609" t="s">
        <v>165</v>
      </c>
      <c r="F1609">
        <v>1</v>
      </c>
      <c r="G1609">
        <v>0.15</v>
      </c>
      <c r="H1609">
        <v>2125</v>
      </c>
      <c r="I1609">
        <v>529.35</v>
      </c>
      <c r="J1609" t="s">
        <v>65</v>
      </c>
      <c r="K1609" t="s">
        <v>40</v>
      </c>
      <c r="L1609">
        <v>2125</v>
      </c>
      <c r="M1609">
        <v>24.910588235294121</v>
      </c>
      <c r="N1609" t="s">
        <v>8</v>
      </c>
      <c r="O1609" t="s">
        <v>844</v>
      </c>
      <c r="P1609" t="s">
        <v>29</v>
      </c>
      <c r="Q1609" t="s">
        <v>30</v>
      </c>
      <c r="R1609" t="s">
        <v>31</v>
      </c>
      <c r="S1609" t="s">
        <v>32</v>
      </c>
      <c r="T1609" t="s">
        <v>2018</v>
      </c>
      <c r="U1609" t="s">
        <v>34</v>
      </c>
      <c r="V1609">
        <v>529.35</v>
      </c>
    </row>
    <row r="1610" spans="1:22" x14ac:dyDescent="0.3">
      <c r="A1610" t="s">
        <v>2971</v>
      </c>
      <c r="B1610" s="2">
        <v>46211</v>
      </c>
      <c r="C1610" t="s">
        <v>2972</v>
      </c>
      <c r="D1610" t="s">
        <v>24</v>
      </c>
      <c r="E1610" t="s">
        <v>87</v>
      </c>
      <c r="F1610">
        <v>1</v>
      </c>
      <c r="G1610">
        <v>0.05</v>
      </c>
      <c r="H1610">
        <v>332.5</v>
      </c>
      <c r="I1610">
        <v>109.52</v>
      </c>
      <c r="J1610" t="s">
        <v>51</v>
      </c>
      <c r="K1610" t="s">
        <v>40</v>
      </c>
      <c r="L1610">
        <v>332.5</v>
      </c>
      <c r="M1610">
        <v>32.938345864661663</v>
      </c>
      <c r="N1610" t="s">
        <v>8</v>
      </c>
      <c r="O1610" t="s">
        <v>870</v>
      </c>
      <c r="P1610" t="s">
        <v>83</v>
      </c>
      <c r="Q1610" t="s">
        <v>30</v>
      </c>
      <c r="R1610" t="s">
        <v>60</v>
      </c>
      <c r="S1610" t="s">
        <v>61</v>
      </c>
      <c r="T1610" t="s">
        <v>898</v>
      </c>
      <c r="U1610" t="s">
        <v>34</v>
      </c>
      <c r="V1610">
        <v>109.52</v>
      </c>
    </row>
    <row r="1611" spans="1:22" x14ac:dyDescent="0.3">
      <c r="A1611" t="s">
        <v>2973</v>
      </c>
      <c r="B1611" s="2">
        <v>45983</v>
      </c>
      <c r="C1611" t="s">
        <v>577</v>
      </c>
      <c r="D1611" t="s">
        <v>49</v>
      </c>
      <c r="E1611" t="s">
        <v>58</v>
      </c>
      <c r="F1611">
        <v>2</v>
      </c>
      <c r="G1611">
        <v>0.15</v>
      </c>
      <c r="H1611">
        <v>25500</v>
      </c>
      <c r="I1611">
        <v>4348.99</v>
      </c>
      <c r="J1611" t="s">
        <v>65</v>
      </c>
      <c r="K1611" t="s">
        <v>40</v>
      </c>
      <c r="L1611">
        <v>12750</v>
      </c>
      <c r="M1611">
        <v>17.054862745098038</v>
      </c>
      <c r="N1611" t="s">
        <v>8</v>
      </c>
      <c r="O1611" t="s">
        <v>578</v>
      </c>
      <c r="P1611" t="s">
        <v>73</v>
      </c>
      <c r="Q1611" t="s">
        <v>30</v>
      </c>
      <c r="R1611" t="s">
        <v>98</v>
      </c>
      <c r="S1611" t="s">
        <v>54</v>
      </c>
      <c r="T1611" t="s">
        <v>579</v>
      </c>
      <c r="U1611" t="s">
        <v>46</v>
      </c>
      <c r="V1611">
        <v>2174.4949999999999</v>
      </c>
    </row>
    <row r="1612" spans="1:22" x14ac:dyDescent="0.3">
      <c r="A1612" t="s">
        <v>2974</v>
      </c>
      <c r="B1612" s="2">
        <v>46041</v>
      </c>
      <c r="C1612" t="s">
        <v>506</v>
      </c>
      <c r="D1612" t="s">
        <v>70</v>
      </c>
      <c r="E1612" t="s">
        <v>108</v>
      </c>
      <c r="F1612">
        <v>4</v>
      </c>
      <c r="G1612">
        <v>0.05</v>
      </c>
      <c r="H1612">
        <v>17100</v>
      </c>
      <c r="I1612">
        <v>5369.81</v>
      </c>
      <c r="J1612" t="s">
        <v>51</v>
      </c>
      <c r="K1612" t="s">
        <v>27</v>
      </c>
      <c r="L1612">
        <v>4275</v>
      </c>
      <c r="M1612">
        <v>31.402397660818711</v>
      </c>
      <c r="N1612" t="s">
        <v>8</v>
      </c>
      <c r="O1612" t="s">
        <v>359</v>
      </c>
      <c r="P1612" t="s">
        <v>83</v>
      </c>
      <c r="Q1612" t="s">
        <v>131</v>
      </c>
      <c r="R1612" t="s">
        <v>289</v>
      </c>
      <c r="S1612" t="s">
        <v>290</v>
      </c>
      <c r="T1612" t="s">
        <v>507</v>
      </c>
      <c r="U1612" t="s">
        <v>105</v>
      </c>
      <c r="V1612">
        <v>1342.4525000000001</v>
      </c>
    </row>
    <row r="1613" spans="1:22" x14ac:dyDescent="0.3">
      <c r="A1613" t="s">
        <v>2975</v>
      </c>
      <c r="B1613" s="2">
        <v>46188</v>
      </c>
      <c r="C1613" t="s">
        <v>1637</v>
      </c>
      <c r="D1613" t="s">
        <v>49</v>
      </c>
      <c r="E1613" t="s">
        <v>58</v>
      </c>
      <c r="F1613">
        <v>1</v>
      </c>
      <c r="G1613">
        <v>0.15</v>
      </c>
      <c r="H1613">
        <v>12750</v>
      </c>
      <c r="I1613">
        <v>1834.63</v>
      </c>
      <c r="J1613" t="s">
        <v>39</v>
      </c>
      <c r="K1613" t="s">
        <v>27</v>
      </c>
      <c r="L1613">
        <v>12750</v>
      </c>
      <c r="M1613">
        <v>14.389254901960779</v>
      </c>
      <c r="N1613" t="s">
        <v>8</v>
      </c>
      <c r="O1613" t="s">
        <v>697</v>
      </c>
      <c r="P1613" t="s">
        <v>29</v>
      </c>
      <c r="Q1613" t="s">
        <v>30</v>
      </c>
      <c r="R1613" t="s">
        <v>31</v>
      </c>
      <c r="S1613" t="s">
        <v>32</v>
      </c>
      <c r="T1613" t="s">
        <v>1638</v>
      </c>
      <c r="U1613" t="s">
        <v>46</v>
      </c>
      <c r="V1613">
        <v>1834.63</v>
      </c>
    </row>
    <row r="1614" spans="1:22" x14ac:dyDescent="0.3">
      <c r="A1614" t="s">
        <v>2976</v>
      </c>
      <c r="B1614" s="2">
        <v>46097</v>
      </c>
      <c r="C1614" t="s">
        <v>254</v>
      </c>
      <c r="D1614" t="s">
        <v>24</v>
      </c>
      <c r="E1614" t="s">
        <v>25</v>
      </c>
      <c r="F1614">
        <v>2</v>
      </c>
      <c r="G1614">
        <v>0</v>
      </c>
      <c r="H1614">
        <v>28000</v>
      </c>
      <c r="I1614">
        <v>-2797.35</v>
      </c>
      <c r="J1614" t="s">
        <v>39</v>
      </c>
      <c r="K1614" t="s">
        <v>434</v>
      </c>
      <c r="L1614">
        <v>14000</v>
      </c>
      <c r="M1614">
        <v>-9.9905357142857145</v>
      </c>
      <c r="N1614" t="s">
        <v>81</v>
      </c>
      <c r="O1614" t="s">
        <v>255</v>
      </c>
      <c r="P1614" t="s">
        <v>29</v>
      </c>
      <c r="Q1614" t="s">
        <v>30</v>
      </c>
      <c r="R1614" t="s">
        <v>53</v>
      </c>
      <c r="S1614" t="s">
        <v>54</v>
      </c>
      <c r="T1614" t="s">
        <v>256</v>
      </c>
      <c r="U1614" t="s">
        <v>46</v>
      </c>
      <c r="V1614">
        <v>-1398.675</v>
      </c>
    </row>
    <row r="1615" spans="1:22" x14ac:dyDescent="0.3">
      <c r="A1615" t="s">
        <v>2977</v>
      </c>
      <c r="B1615" s="2">
        <v>46109</v>
      </c>
      <c r="C1615" t="s">
        <v>598</v>
      </c>
      <c r="D1615" t="s">
        <v>37</v>
      </c>
      <c r="E1615" t="s">
        <v>38</v>
      </c>
      <c r="F1615">
        <v>6</v>
      </c>
      <c r="G1615">
        <v>0.05</v>
      </c>
      <c r="H1615">
        <v>10260</v>
      </c>
      <c r="I1615">
        <v>3612.24</v>
      </c>
      <c r="J1615" t="s">
        <v>51</v>
      </c>
      <c r="K1615" t="s">
        <v>40</v>
      </c>
      <c r="L1615">
        <v>1710</v>
      </c>
      <c r="M1615">
        <v>35.207017543859649</v>
      </c>
      <c r="N1615" t="s">
        <v>8</v>
      </c>
      <c r="O1615" t="s">
        <v>599</v>
      </c>
      <c r="P1615" t="s">
        <v>600</v>
      </c>
      <c r="Q1615" t="s">
        <v>131</v>
      </c>
      <c r="R1615" t="s">
        <v>200</v>
      </c>
      <c r="S1615" t="s">
        <v>201</v>
      </c>
      <c r="T1615" t="s">
        <v>601</v>
      </c>
      <c r="U1615" t="s">
        <v>34</v>
      </c>
      <c r="V1615">
        <v>602.04</v>
      </c>
    </row>
    <row r="1616" spans="1:22" x14ac:dyDescent="0.3">
      <c r="A1616" t="s">
        <v>2978</v>
      </c>
      <c r="B1616" s="2">
        <v>45893</v>
      </c>
      <c r="C1616" t="s">
        <v>225</v>
      </c>
      <c r="D1616" t="s">
        <v>49</v>
      </c>
      <c r="E1616" t="s">
        <v>79</v>
      </c>
      <c r="F1616">
        <v>1</v>
      </c>
      <c r="G1616">
        <v>0.05</v>
      </c>
      <c r="H1616">
        <v>10450</v>
      </c>
      <c r="I1616">
        <v>2255.14</v>
      </c>
      <c r="J1616" t="s">
        <v>65</v>
      </c>
      <c r="K1616" t="s">
        <v>40</v>
      </c>
      <c r="L1616">
        <v>10450</v>
      </c>
      <c r="M1616">
        <v>21.580287081339709</v>
      </c>
      <c r="N1616" t="s">
        <v>8</v>
      </c>
      <c r="O1616" t="s">
        <v>226</v>
      </c>
      <c r="P1616" t="s">
        <v>29</v>
      </c>
      <c r="Q1616" t="s">
        <v>30</v>
      </c>
      <c r="R1616" t="s">
        <v>31</v>
      </c>
      <c r="S1616" t="s">
        <v>32</v>
      </c>
      <c r="T1616" t="s">
        <v>227</v>
      </c>
      <c r="U1616" t="s">
        <v>100</v>
      </c>
      <c r="V1616">
        <v>2255.14</v>
      </c>
    </row>
    <row r="1617" spans="1:22" x14ac:dyDescent="0.3">
      <c r="A1617" t="s">
        <v>2979</v>
      </c>
      <c r="B1617" s="2">
        <v>46031</v>
      </c>
      <c r="C1617" t="s">
        <v>529</v>
      </c>
      <c r="D1617" t="s">
        <v>37</v>
      </c>
      <c r="E1617" t="s">
        <v>190</v>
      </c>
      <c r="F1617">
        <v>4</v>
      </c>
      <c r="G1617">
        <v>0.15</v>
      </c>
      <c r="H1617">
        <v>14280</v>
      </c>
      <c r="I1617">
        <v>-1087.9000000000001</v>
      </c>
      <c r="J1617" t="s">
        <v>39</v>
      </c>
      <c r="K1617" t="s">
        <v>80</v>
      </c>
      <c r="L1617">
        <v>3570</v>
      </c>
      <c r="M1617">
        <v>-7.6183473389355747</v>
      </c>
      <c r="N1617" t="s">
        <v>81</v>
      </c>
      <c r="O1617" t="s">
        <v>530</v>
      </c>
      <c r="P1617" t="s">
        <v>29</v>
      </c>
      <c r="Q1617" t="s">
        <v>30</v>
      </c>
      <c r="R1617" t="s">
        <v>98</v>
      </c>
      <c r="S1617" t="s">
        <v>54</v>
      </c>
      <c r="T1617" t="s">
        <v>531</v>
      </c>
      <c r="U1617" t="s">
        <v>105</v>
      </c>
      <c r="V1617">
        <v>-271.97500000000002</v>
      </c>
    </row>
    <row r="1618" spans="1:22" x14ac:dyDescent="0.3">
      <c r="A1618" t="s">
        <v>2980</v>
      </c>
      <c r="B1618" s="2">
        <v>46196</v>
      </c>
      <c r="C1618" t="s">
        <v>810</v>
      </c>
      <c r="D1618" t="s">
        <v>49</v>
      </c>
      <c r="E1618" t="s">
        <v>79</v>
      </c>
      <c r="F1618">
        <v>2</v>
      </c>
      <c r="G1618">
        <v>0.1</v>
      </c>
      <c r="H1618">
        <v>19800</v>
      </c>
      <c r="I1618">
        <v>3617.81</v>
      </c>
      <c r="J1618" t="s">
        <v>65</v>
      </c>
      <c r="K1618" t="s">
        <v>40</v>
      </c>
      <c r="L1618">
        <v>9900</v>
      </c>
      <c r="M1618">
        <v>18.271767676767681</v>
      </c>
      <c r="N1618" t="s">
        <v>8</v>
      </c>
      <c r="O1618" t="s">
        <v>811</v>
      </c>
      <c r="P1618" t="s">
        <v>73</v>
      </c>
      <c r="Q1618" t="s">
        <v>30</v>
      </c>
      <c r="R1618" t="s">
        <v>60</v>
      </c>
      <c r="S1618" t="s">
        <v>61</v>
      </c>
      <c r="T1618" t="s">
        <v>812</v>
      </c>
      <c r="U1618" t="s">
        <v>34</v>
      </c>
      <c r="V1618">
        <v>1808.905</v>
      </c>
    </row>
    <row r="1619" spans="1:22" x14ac:dyDescent="0.3">
      <c r="A1619" t="s">
        <v>2981</v>
      </c>
      <c r="B1619" s="2">
        <v>45910</v>
      </c>
      <c r="C1619" t="s">
        <v>1655</v>
      </c>
      <c r="D1619" t="s">
        <v>24</v>
      </c>
      <c r="E1619" t="s">
        <v>92</v>
      </c>
      <c r="F1619">
        <v>1</v>
      </c>
      <c r="G1619">
        <v>0.1</v>
      </c>
      <c r="H1619">
        <v>810</v>
      </c>
      <c r="I1619">
        <v>232.1</v>
      </c>
      <c r="J1619" t="s">
        <v>39</v>
      </c>
      <c r="K1619" t="s">
        <v>40</v>
      </c>
      <c r="L1619">
        <v>810</v>
      </c>
      <c r="M1619">
        <v>28.654320987654319</v>
      </c>
      <c r="N1619" t="s">
        <v>8</v>
      </c>
      <c r="O1619" t="s">
        <v>1656</v>
      </c>
      <c r="P1619" t="s">
        <v>29</v>
      </c>
      <c r="Q1619" t="s">
        <v>30</v>
      </c>
      <c r="R1619" t="s">
        <v>53</v>
      </c>
      <c r="S1619" t="s">
        <v>54</v>
      </c>
      <c r="T1619" t="s">
        <v>1657</v>
      </c>
      <c r="U1619" t="s">
        <v>34</v>
      </c>
      <c r="V1619">
        <v>232.1</v>
      </c>
    </row>
    <row r="1620" spans="1:22" x14ac:dyDescent="0.3">
      <c r="A1620" t="s">
        <v>2982</v>
      </c>
      <c r="B1620" s="2">
        <v>45975</v>
      </c>
      <c r="C1620" t="s">
        <v>1398</v>
      </c>
      <c r="D1620" t="s">
        <v>49</v>
      </c>
      <c r="E1620" t="s">
        <v>119</v>
      </c>
      <c r="F1620">
        <v>1</v>
      </c>
      <c r="G1620">
        <v>0.2</v>
      </c>
      <c r="H1620">
        <v>7200</v>
      </c>
      <c r="I1620">
        <v>975.85</v>
      </c>
      <c r="J1620" t="s">
        <v>51</v>
      </c>
      <c r="K1620" t="s">
        <v>40</v>
      </c>
      <c r="L1620">
        <v>7200</v>
      </c>
      <c r="M1620">
        <v>13.55347222222222</v>
      </c>
      <c r="N1620" t="s">
        <v>8</v>
      </c>
      <c r="O1620" t="s">
        <v>153</v>
      </c>
      <c r="P1620" t="s">
        <v>83</v>
      </c>
      <c r="Q1620" t="s">
        <v>30</v>
      </c>
      <c r="R1620" t="s">
        <v>53</v>
      </c>
      <c r="S1620" t="s">
        <v>54</v>
      </c>
      <c r="T1620" t="s">
        <v>734</v>
      </c>
      <c r="U1620" t="s">
        <v>46</v>
      </c>
      <c r="V1620">
        <v>975.85</v>
      </c>
    </row>
    <row r="1621" spans="1:22" x14ac:dyDescent="0.3">
      <c r="A1621" t="s">
        <v>2983</v>
      </c>
      <c r="B1621" s="2">
        <v>46216</v>
      </c>
      <c r="C1621" t="s">
        <v>1685</v>
      </c>
      <c r="D1621" t="s">
        <v>49</v>
      </c>
      <c r="E1621" t="s">
        <v>79</v>
      </c>
      <c r="F1621">
        <v>1</v>
      </c>
      <c r="G1621">
        <v>0.1</v>
      </c>
      <c r="H1621">
        <v>9900</v>
      </c>
      <c r="I1621">
        <v>1776.47</v>
      </c>
      <c r="J1621" t="s">
        <v>51</v>
      </c>
      <c r="K1621" t="s">
        <v>40</v>
      </c>
      <c r="L1621">
        <v>9900</v>
      </c>
      <c r="M1621">
        <v>17.94414141414142</v>
      </c>
      <c r="N1621" t="s">
        <v>8</v>
      </c>
      <c r="O1621" t="s">
        <v>1215</v>
      </c>
      <c r="P1621" t="s">
        <v>29</v>
      </c>
      <c r="Q1621" t="s">
        <v>131</v>
      </c>
      <c r="R1621" t="s">
        <v>132</v>
      </c>
      <c r="S1621" t="s">
        <v>133</v>
      </c>
      <c r="T1621" t="s">
        <v>1686</v>
      </c>
      <c r="U1621" t="s">
        <v>105</v>
      </c>
      <c r="V1621">
        <v>1776.47</v>
      </c>
    </row>
    <row r="1622" spans="1:22" x14ac:dyDescent="0.3">
      <c r="A1622" t="s">
        <v>2984</v>
      </c>
      <c r="B1622" s="2">
        <v>45942</v>
      </c>
      <c r="C1622" t="s">
        <v>2985</v>
      </c>
      <c r="D1622" t="s">
        <v>70</v>
      </c>
      <c r="E1622" t="s">
        <v>129</v>
      </c>
      <c r="F1622">
        <v>1</v>
      </c>
      <c r="G1622">
        <v>0</v>
      </c>
      <c r="H1622">
        <v>55000</v>
      </c>
      <c r="I1622">
        <v>9000</v>
      </c>
      <c r="J1622" t="s">
        <v>26</v>
      </c>
      <c r="K1622" t="s">
        <v>40</v>
      </c>
      <c r="L1622">
        <v>55000</v>
      </c>
      <c r="M1622">
        <v>16.36363636363636</v>
      </c>
      <c r="N1622" t="s">
        <v>8</v>
      </c>
      <c r="O1622" t="s">
        <v>754</v>
      </c>
      <c r="P1622" t="s">
        <v>83</v>
      </c>
      <c r="Q1622" t="s">
        <v>74</v>
      </c>
      <c r="R1622" t="s">
        <v>75</v>
      </c>
      <c r="S1622" t="s">
        <v>75</v>
      </c>
      <c r="T1622" t="s">
        <v>2986</v>
      </c>
      <c r="U1622" t="s">
        <v>34</v>
      </c>
      <c r="V1622">
        <v>9000</v>
      </c>
    </row>
    <row r="1623" spans="1:22" x14ac:dyDescent="0.3">
      <c r="A1623" t="s">
        <v>2987</v>
      </c>
      <c r="B1623" s="2">
        <v>45982</v>
      </c>
      <c r="C1623" t="s">
        <v>1662</v>
      </c>
      <c r="D1623" t="s">
        <v>24</v>
      </c>
      <c r="E1623" t="s">
        <v>25</v>
      </c>
      <c r="F1623">
        <v>3</v>
      </c>
      <c r="G1623">
        <v>0.3</v>
      </c>
      <c r="H1623">
        <v>29400</v>
      </c>
      <c r="I1623">
        <v>-1214.19</v>
      </c>
      <c r="J1623" t="s">
        <v>39</v>
      </c>
      <c r="K1623" t="s">
        <v>40</v>
      </c>
      <c r="L1623">
        <v>9800</v>
      </c>
      <c r="M1623">
        <v>-4.1298979591836744</v>
      </c>
      <c r="N1623" t="s">
        <v>81</v>
      </c>
      <c r="O1623" t="s">
        <v>1663</v>
      </c>
      <c r="P1623" t="s">
        <v>29</v>
      </c>
      <c r="Q1623" t="s">
        <v>131</v>
      </c>
      <c r="R1623" t="s">
        <v>200</v>
      </c>
      <c r="S1623" t="s">
        <v>201</v>
      </c>
      <c r="T1623" t="s">
        <v>1664</v>
      </c>
      <c r="U1623" t="s">
        <v>34</v>
      </c>
      <c r="V1623">
        <v>-404.73</v>
      </c>
    </row>
    <row r="1624" spans="1:22" x14ac:dyDescent="0.3">
      <c r="A1624" t="s">
        <v>2988</v>
      </c>
      <c r="B1624" s="2">
        <v>46180</v>
      </c>
      <c r="C1624" t="s">
        <v>1281</v>
      </c>
      <c r="D1624" t="s">
        <v>70</v>
      </c>
      <c r="E1624" t="s">
        <v>71</v>
      </c>
      <c r="F1624">
        <v>2</v>
      </c>
      <c r="G1624">
        <v>0</v>
      </c>
      <c r="H1624">
        <v>36000</v>
      </c>
      <c r="I1624">
        <v>7000</v>
      </c>
      <c r="J1624" t="s">
        <v>26</v>
      </c>
      <c r="K1624" t="s">
        <v>40</v>
      </c>
      <c r="L1624">
        <v>18000</v>
      </c>
      <c r="M1624">
        <v>19.44444444444445</v>
      </c>
      <c r="N1624" t="s">
        <v>8</v>
      </c>
      <c r="O1624" t="s">
        <v>1282</v>
      </c>
      <c r="P1624" t="s">
        <v>29</v>
      </c>
      <c r="Q1624" t="s">
        <v>74</v>
      </c>
      <c r="R1624" t="s">
        <v>237</v>
      </c>
      <c r="S1624" t="s">
        <v>238</v>
      </c>
      <c r="T1624" t="s">
        <v>1283</v>
      </c>
      <c r="U1624" t="s">
        <v>34</v>
      </c>
      <c r="V1624">
        <v>3500</v>
      </c>
    </row>
    <row r="1625" spans="1:22" x14ac:dyDescent="0.3">
      <c r="A1625" t="s">
        <v>2989</v>
      </c>
      <c r="B1625" s="2">
        <v>45899</v>
      </c>
      <c r="C1625" t="s">
        <v>533</v>
      </c>
      <c r="D1625" t="s">
        <v>70</v>
      </c>
      <c r="E1625" t="s">
        <v>108</v>
      </c>
      <c r="F1625">
        <v>4</v>
      </c>
      <c r="G1625">
        <v>0</v>
      </c>
      <c r="H1625">
        <v>18000</v>
      </c>
      <c r="I1625">
        <v>6000</v>
      </c>
      <c r="J1625" t="s">
        <v>65</v>
      </c>
      <c r="K1625" t="s">
        <v>40</v>
      </c>
      <c r="L1625">
        <v>4500</v>
      </c>
      <c r="M1625">
        <v>33.333333333333329</v>
      </c>
      <c r="N1625" t="s">
        <v>8</v>
      </c>
      <c r="O1625" t="s">
        <v>306</v>
      </c>
      <c r="P1625" t="s">
        <v>83</v>
      </c>
      <c r="Q1625" t="s">
        <v>131</v>
      </c>
      <c r="R1625" t="s">
        <v>132</v>
      </c>
      <c r="S1625" t="s">
        <v>133</v>
      </c>
      <c r="T1625" t="s">
        <v>534</v>
      </c>
      <c r="U1625" t="s">
        <v>46</v>
      </c>
      <c r="V1625">
        <v>1500</v>
      </c>
    </row>
    <row r="1626" spans="1:22" x14ac:dyDescent="0.3">
      <c r="A1626" t="s">
        <v>2990</v>
      </c>
      <c r="B1626" s="2">
        <v>45990</v>
      </c>
      <c r="C1626" t="s">
        <v>1236</v>
      </c>
      <c r="D1626" t="s">
        <v>24</v>
      </c>
      <c r="E1626" t="s">
        <v>92</v>
      </c>
      <c r="F1626">
        <v>2</v>
      </c>
      <c r="G1626">
        <v>0.15</v>
      </c>
      <c r="H1626">
        <v>1530</v>
      </c>
      <c r="I1626">
        <v>377.12</v>
      </c>
      <c r="J1626" t="s">
        <v>26</v>
      </c>
      <c r="K1626" t="s">
        <v>40</v>
      </c>
      <c r="L1626">
        <v>765</v>
      </c>
      <c r="M1626">
        <v>24.6483660130719</v>
      </c>
      <c r="N1626" t="s">
        <v>8</v>
      </c>
      <c r="O1626" t="s">
        <v>1237</v>
      </c>
      <c r="P1626" t="s">
        <v>29</v>
      </c>
      <c r="Q1626" t="s">
        <v>74</v>
      </c>
      <c r="R1626" t="s">
        <v>493</v>
      </c>
      <c r="S1626" t="s">
        <v>494</v>
      </c>
      <c r="T1626" t="s">
        <v>679</v>
      </c>
      <c r="U1626" t="s">
        <v>46</v>
      </c>
      <c r="V1626">
        <v>188.56</v>
      </c>
    </row>
    <row r="1627" spans="1:22" x14ac:dyDescent="0.3">
      <c r="A1627" t="s">
        <v>2991</v>
      </c>
      <c r="B1627" s="2">
        <v>46115</v>
      </c>
      <c r="C1627" t="s">
        <v>1236</v>
      </c>
      <c r="D1627" t="s">
        <v>70</v>
      </c>
      <c r="E1627" t="s">
        <v>165</v>
      </c>
      <c r="F1627">
        <v>1</v>
      </c>
      <c r="G1627">
        <v>0.2</v>
      </c>
      <c r="H1627">
        <v>2000</v>
      </c>
      <c r="I1627">
        <v>559.49</v>
      </c>
      <c r="J1627" t="s">
        <v>65</v>
      </c>
      <c r="K1627" t="s">
        <v>40</v>
      </c>
      <c r="L1627">
        <v>2000</v>
      </c>
      <c r="M1627">
        <v>27.974499999999999</v>
      </c>
      <c r="N1627" t="s">
        <v>8</v>
      </c>
      <c r="O1627" t="s">
        <v>1237</v>
      </c>
      <c r="P1627" t="s">
        <v>29</v>
      </c>
      <c r="Q1627" t="s">
        <v>74</v>
      </c>
      <c r="R1627" t="s">
        <v>493</v>
      </c>
      <c r="S1627" t="s">
        <v>494</v>
      </c>
      <c r="T1627" t="s">
        <v>679</v>
      </c>
      <c r="U1627" t="s">
        <v>46</v>
      </c>
      <c r="V1627">
        <v>559.49</v>
      </c>
    </row>
    <row r="1628" spans="1:22" x14ac:dyDescent="0.3">
      <c r="A1628" t="s">
        <v>2992</v>
      </c>
      <c r="B1628" s="2">
        <v>46251</v>
      </c>
      <c r="C1628" t="s">
        <v>1069</v>
      </c>
      <c r="D1628" t="s">
        <v>49</v>
      </c>
      <c r="E1628" t="s">
        <v>79</v>
      </c>
      <c r="F1628">
        <v>2</v>
      </c>
      <c r="G1628">
        <v>0.05</v>
      </c>
      <c r="H1628">
        <v>20900</v>
      </c>
      <c r="I1628">
        <v>4478.67</v>
      </c>
      <c r="J1628" t="s">
        <v>26</v>
      </c>
      <c r="K1628" t="s">
        <v>40</v>
      </c>
      <c r="L1628">
        <v>10450</v>
      </c>
      <c r="M1628">
        <v>21.429043062200961</v>
      </c>
      <c r="N1628" t="s">
        <v>8</v>
      </c>
      <c r="O1628" t="s">
        <v>937</v>
      </c>
      <c r="P1628" t="s">
        <v>29</v>
      </c>
      <c r="Q1628" t="s">
        <v>42</v>
      </c>
      <c r="R1628" t="s">
        <v>121</v>
      </c>
      <c r="S1628" t="s">
        <v>44</v>
      </c>
      <c r="T1628" t="s">
        <v>1070</v>
      </c>
      <c r="U1628" t="s">
        <v>34</v>
      </c>
      <c r="V1628">
        <v>2239.335</v>
      </c>
    </row>
    <row r="1629" spans="1:22" x14ac:dyDescent="0.3">
      <c r="A1629" t="s">
        <v>2993</v>
      </c>
      <c r="B1629" s="2">
        <v>45967</v>
      </c>
      <c r="C1629" t="s">
        <v>178</v>
      </c>
      <c r="D1629" t="s">
        <v>70</v>
      </c>
      <c r="E1629" t="s">
        <v>108</v>
      </c>
      <c r="F1629">
        <v>2</v>
      </c>
      <c r="G1629">
        <v>0.15</v>
      </c>
      <c r="H1629">
        <v>7650</v>
      </c>
      <c r="I1629">
        <v>2014.52</v>
      </c>
      <c r="J1629" t="s">
        <v>65</v>
      </c>
      <c r="K1629" t="s">
        <v>40</v>
      </c>
      <c r="L1629">
        <v>3825</v>
      </c>
      <c r="M1629">
        <v>26.333594771241831</v>
      </c>
      <c r="N1629" t="s">
        <v>8</v>
      </c>
      <c r="O1629" t="s">
        <v>179</v>
      </c>
      <c r="P1629" t="s">
        <v>83</v>
      </c>
      <c r="Q1629" t="s">
        <v>30</v>
      </c>
      <c r="R1629" t="s">
        <v>31</v>
      </c>
      <c r="S1629" t="s">
        <v>32</v>
      </c>
      <c r="T1629" t="s">
        <v>180</v>
      </c>
      <c r="U1629" t="s">
        <v>105</v>
      </c>
      <c r="V1629">
        <v>1007.26</v>
      </c>
    </row>
    <row r="1630" spans="1:22" x14ac:dyDescent="0.3">
      <c r="A1630" t="s">
        <v>2994</v>
      </c>
      <c r="B1630" s="2">
        <v>46259</v>
      </c>
      <c r="C1630" t="s">
        <v>156</v>
      </c>
      <c r="D1630" t="s">
        <v>70</v>
      </c>
      <c r="E1630" t="s">
        <v>165</v>
      </c>
      <c r="F1630">
        <v>3</v>
      </c>
      <c r="G1630">
        <v>0.2</v>
      </c>
      <c r="H1630">
        <v>6000</v>
      </c>
      <c r="I1630">
        <v>1373.84</v>
      </c>
      <c r="J1630" t="s">
        <v>51</v>
      </c>
      <c r="K1630" t="s">
        <v>27</v>
      </c>
      <c r="L1630">
        <v>2000</v>
      </c>
      <c r="M1630">
        <v>22.897333333333329</v>
      </c>
      <c r="N1630" t="s">
        <v>8</v>
      </c>
      <c r="O1630" t="s">
        <v>157</v>
      </c>
      <c r="P1630" t="s">
        <v>83</v>
      </c>
      <c r="Q1630" t="s">
        <v>30</v>
      </c>
      <c r="R1630" t="s">
        <v>31</v>
      </c>
      <c r="S1630" t="s">
        <v>32</v>
      </c>
      <c r="T1630" t="s">
        <v>158</v>
      </c>
      <c r="U1630" t="s">
        <v>34</v>
      </c>
      <c r="V1630">
        <v>457.94666666666672</v>
      </c>
    </row>
    <row r="1631" spans="1:22" x14ac:dyDescent="0.3">
      <c r="A1631" t="s">
        <v>2995</v>
      </c>
      <c r="B1631" s="2">
        <v>46119</v>
      </c>
      <c r="C1631" t="s">
        <v>1629</v>
      </c>
      <c r="D1631" t="s">
        <v>70</v>
      </c>
      <c r="E1631" t="s">
        <v>71</v>
      </c>
      <c r="F1631">
        <v>1</v>
      </c>
      <c r="G1631">
        <v>0</v>
      </c>
      <c r="H1631">
        <v>18000</v>
      </c>
      <c r="I1631">
        <v>3500</v>
      </c>
      <c r="J1631" t="s">
        <v>39</v>
      </c>
      <c r="K1631" t="s">
        <v>40</v>
      </c>
      <c r="L1631">
        <v>18000</v>
      </c>
      <c r="M1631">
        <v>19.44444444444445</v>
      </c>
      <c r="N1631" t="s">
        <v>8</v>
      </c>
      <c r="O1631" t="s">
        <v>1630</v>
      </c>
      <c r="P1631" t="s">
        <v>83</v>
      </c>
      <c r="Q1631" t="s">
        <v>42</v>
      </c>
      <c r="R1631" t="s">
        <v>121</v>
      </c>
      <c r="S1631" t="s">
        <v>44</v>
      </c>
      <c r="T1631" t="s">
        <v>1631</v>
      </c>
      <c r="U1631" t="s">
        <v>46</v>
      </c>
      <c r="V1631">
        <v>3500</v>
      </c>
    </row>
    <row r="1632" spans="1:22" x14ac:dyDescent="0.3">
      <c r="A1632" t="s">
        <v>2996</v>
      </c>
      <c r="B1632" s="2">
        <v>45870</v>
      </c>
      <c r="C1632" t="s">
        <v>1958</v>
      </c>
      <c r="D1632" t="s">
        <v>70</v>
      </c>
      <c r="E1632" t="s">
        <v>108</v>
      </c>
      <c r="F1632">
        <v>4</v>
      </c>
      <c r="G1632">
        <v>0.1</v>
      </c>
      <c r="H1632">
        <v>16200</v>
      </c>
      <c r="I1632">
        <v>-7051.91</v>
      </c>
      <c r="J1632" t="s">
        <v>26</v>
      </c>
      <c r="K1632" t="s">
        <v>434</v>
      </c>
      <c r="L1632">
        <v>4050</v>
      </c>
      <c r="M1632">
        <v>-43.53030864197531</v>
      </c>
      <c r="N1632" t="s">
        <v>81</v>
      </c>
      <c r="O1632" t="s">
        <v>959</v>
      </c>
      <c r="P1632" t="s">
        <v>29</v>
      </c>
      <c r="Q1632" t="s">
        <v>131</v>
      </c>
      <c r="R1632" t="s">
        <v>289</v>
      </c>
      <c r="S1632" t="s">
        <v>290</v>
      </c>
      <c r="T1632" t="s">
        <v>1959</v>
      </c>
      <c r="U1632" t="s">
        <v>34</v>
      </c>
      <c r="V1632">
        <v>-1762.9775</v>
      </c>
    </row>
    <row r="1633" spans="1:22" x14ac:dyDescent="0.3">
      <c r="A1633" t="s">
        <v>2997</v>
      </c>
      <c r="B1633" s="2">
        <v>46206</v>
      </c>
      <c r="C1633" t="s">
        <v>1255</v>
      </c>
      <c r="D1633" t="s">
        <v>37</v>
      </c>
      <c r="E1633" t="s">
        <v>38</v>
      </c>
      <c r="F1633">
        <v>1</v>
      </c>
      <c r="G1633">
        <v>0.1</v>
      </c>
      <c r="H1633">
        <v>1620</v>
      </c>
      <c r="I1633">
        <v>549.51</v>
      </c>
      <c r="J1633" t="s">
        <v>51</v>
      </c>
      <c r="K1633" t="s">
        <v>27</v>
      </c>
      <c r="L1633">
        <v>1620</v>
      </c>
      <c r="M1633">
        <v>33.920370370370357</v>
      </c>
      <c r="N1633" t="s">
        <v>8</v>
      </c>
      <c r="O1633" t="s">
        <v>1256</v>
      </c>
      <c r="P1633" t="s">
        <v>73</v>
      </c>
      <c r="Q1633" t="s">
        <v>131</v>
      </c>
      <c r="R1633" t="s">
        <v>289</v>
      </c>
      <c r="S1633" t="s">
        <v>290</v>
      </c>
      <c r="T1633" t="s">
        <v>1257</v>
      </c>
      <c r="U1633" t="s">
        <v>105</v>
      </c>
      <c r="V1633">
        <v>549.51</v>
      </c>
    </row>
    <row r="1634" spans="1:22" x14ac:dyDescent="0.3">
      <c r="A1634" t="s">
        <v>2998</v>
      </c>
      <c r="B1634" s="2">
        <v>45921</v>
      </c>
      <c r="C1634" t="s">
        <v>897</v>
      </c>
      <c r="D1634" t="s">
        <v>49</v>
      </c>
      <c r="E1634" t="s">
        <v>58</v>
      </c>
      <c r="F1634">
        <v>5</v>
      </c>
      <c r="G1634">
        <v>0.1</v>
      </c>
      <c r="H1634">
        <v>67500</v>
      </c>
      <c r="I1634">
        <v>13496.59</v>
      </c>
      <c r="J1634" t="s">
        <v>51</v>
      </c>
      <c r="K1634" t="s">
        <v>40</v>
      </c>
      <c r="L1634">
        <v>13500</v>
      </c>
      <c r="M1634">
        <v>19.994948148148151</v>
      </c>
      <c r="N1634" t="s">
        <v>8</v>
      </c>
      <c r="O1634" t="s">
        <v>607</v>
      </c>
      <c r="P1634" t="s">
        <v>73</v>
      </c>
      <c r="Q1634" t="s">
        <v>30</v>
      </c>
      <c r="R1634" t="s">
        <v>31</v>
      </c>
      <c r="S1634" t="s">
        <v>32</v>
      </c>
      <c r="T1634" t="s">
        <v>898</v>
      </c>
      <c r="U1634" t="s">
        <v>34</v>
      </c>
      <c r="V1634">
        <v>2699.3180000000002</v>
      </c>
    </row>
    <row r="1635" spans="1:22" x14ac:dyDescent="0.3">
      <c r="A1635" t="s">
        <v>2999</v>
      </c>
      <c r="B1635" s="2">
        <v>45874</v>
      </c>
      <c r="C1635" t="s">
        <v>156</v>
      </c>
      <c r="D1635" t="s">
        <v>49</v>
      </c>
      <c r="E1635" t="s">
        <v>119</v>
      </c>
      <c r="F1635">
        <v>1</v>
      </c>
      <c r="G1635">
        <v>0.2</v>
      </c>
      <c r="H1635">
        <v>7200</v>
      </c>
      <c r="I1635">
        <v>909.05</v>
      </c>
      <c r="J1635" t="s">
        <v>51</v>
      </c>
      <c r="K1635" t="s">
        <v>40</v>
      </c>
      <c r="L1635">
        <v>7200</v>
      </c>
      <c r="M1635">
        <v>12.62569444444444</v>
      </c>
      <c r="N1635" t="s">
        <v>8</v>
      </c>
      <c r="O1635" t="s">
        <v>157</v>
      </c>
      <c r="P1635" t="s">
        <v>83</v>
      </c>
      <c r="Q1635" t="s">
        <v>30</v>
      </c>
      <c r="R1635" t="s">
        <v>31</v>
      </c>
      <c r="S1635" t="s">
        <v>32</v>
      </c>
      <c r="T1635" t="s">
        <v>158</v>
      </c>
      <c r="U1635" t="s">
        <v>34</v>
      </c>
      <c r="V1635">
        <v>909.05</v>
      </c>
    </row>
    <row r="1636" spans="1:22" x14ac:dyDescent="0.3">
      <c r="A1636" t="s">
        <v>3000</v>
      </c>
      <c r="B1636" s="2">
        <v>46058</v>
      </c>
      <c r="C1636" t="s">
        <v>810</v>
      </c>
      <c r="D1636" t="s">
        <v>70</v>
      </c>
      <c r="E1636" t="s">
        <v>71</v>
      </c>
      <c r="F1636">
        <v>1</v>
      </c>
      <c r="G1636">
        <v>0.05</v>
      </c>
      <c r="H1636">
        <v>17100</v>
      </c>
      <c r="I1636">
        <v>2958.21</v>
      </c>
      <c r="J1636" t="s">
        <v>65</v>
      </c>
      <c r="K1636" t="s">
        <v>27</v>
      </c>
      <c r="L1636">
        <v>17100</v>
      </c>
      <c r="M1636">
        <v>17.299473684210529</v>
      </c>
      <c r="N1636" t="s">
        <v>8</v>
      </c>
      <c r="O1636" t="s">
        <v>811</v>
      </c>
      <c r="P1636" t="s">
        <v>73</v>
      </c>
      <c r="Q1636" t="s">
        <v>30</v>
      </c>
      <c r="R1636" t="s">
        <v>60</v>
      </c>
      <c r="S1636" t="s">
        <v>61</v>
      </c>
      <c r="T1636" t="s">
        <v>812</v>
      </c>
      <c r="U1636" t="s">
        <v>34</v>
      </c>
      <c r="V1636">
        <v>2958.21</v>
      </c>
    </row>
    <row r="1637" spans="1:22" x14ac:dyDescent="0.3">
      <c r="A1637" t="s">
        <v>3001</v>
      </c>
      <c r="B1637" s="2">
        <v>46035</v>
      </c>
      <c r="C1637" t="s">
        <v>3002</v>
      </c>
      <c r="D1637" t="s">
        <v>37</v>
      </c>
      <c r="E1637" t="s">
        <v>190</v>
      </c>
      <c r="F1637">
        <v>3</v>
      </c>
      <c r="G1637">
        <v>0.15</v>
      </c>
      <c r="H1637">
        <v>10710</v>
      </c>
      <c r="I1637">
        <v>2002.44</v>
      </c>
      <c r="J1637" t="s">
        <v>26</v>
      </c>
      <c r="K1637" t="s">
        <v>27</v>
      </c>
      <c r="L1637">
        <v>3570</v>
      </c>
      <c r="M1637">
        <v>18.696918767507</v>
      </c>
      <c r="N1637" t="s">
        <v>8</v>
      </c>
      <c r="O1637" t="s">
        <v>3003</v>
      </c>
      <c r="P1637" t="s">
        <v>83</v>
      </c>
      <c r="Q1637" t="s">
        <v>42</v>
      </c>
      <c r="R1637" t="s">
        <v>121</v>
      </c>
      <c r="S1637" t="s">
        <v>44</v>
      </c>
      <c r="T1637" t="s">
        <v>3004</v>
      </c>
      <c r="U1637" t="s">
        <v>34</v>
      </c>
      <c r="V1637">
        <v>667.48</v>
      </c>
    </row>
    <row r="1638" spans="1:22" x14ac:dyDescent="0.3">
      <c r="A1638" t="s">
        <v>3005</v>
      </c>
      <c r="B1638" s="2">
        <v>46063</v>
      </c>
      <c r="C1638" t="s">
        <v>1578</v>
      </c>
      <c r="D1638" t="s">
        <v>37</v>
      </c>
      <c r="E1638" t="s">
        <v>310</v>
      </c>
      <c r="F1638">
        <v>2</v>
      </c>
      <c r="G1638">
        <v>0.05</v>
      </c>
      <c r="H1638">
        <v>4180</v>
      </c>
      <c r="I1638">
        <v>1363.06</v>
      </c>
      <c r="J1638" t="s">
        <v>39</v>
      </c>
      <c r="K1638" t="s">
        <v>40</v>
      </c>
      <c r="L1638">
        <v>2090</v>
      </c>
      <c r="M1638">
        <v>32.609090909090909</v>
      </c>
      <c r="N1638" t="s">
        <v>8</v>
      </c>
      <c r="O1638" t="s">
        <v>1579</v>
      </c>
      <c r="P1638" t="s">
        <v>29</v>
      </c>
      <c r="Q1638" t="s">
        <v>74</v>
      </c>
      <c r="R1638" t="s">
        <v>115</v>
      </c>
      <c r="S1638" t="s">
        <v>115</v>
      </c>
      <c r="T1638" t="s">
        <v>1580</v>
      </c>
      <c r="U1638" t="s">
        <v>100</v>
      </c>
      <c r="V1638">
        <v>681.53</v>
      </c>
    </row>
    <row r="1639" spans="1:22" x14ac:dyDescent="0.3">
      <c r="A1639" t="s">
        <v>3006</v>
      </c>
      <c r="B1639" s="2">
        <v>46178</v>
      </c>
      <c r="C1639" t="s">
        <v>656</v>
      </c>
      <c r="D1639" t="s">
        <v>24</v>
      </c>
      <c r="E1639" t="s">
        <v>92</v>
      </c>
      <c r="F1639">
        <v>1</v>
      </c>
      <c r="G1639">
        <v>0.1</v>
      </c>
      <c r="H1639">
        <v>810</v>
      </c>
      <c r="I1639">
        <v>-196.14</v>
      </c>
      <c r="J1639" t="s">
        <v>65</v>
      </c>
      <c r="K1639" t="s">
        <v>434</v>
      </c>
      <c r="L1639">
        <v>810</v>
      </c>
      <c r="M1639">
        <v>-24.214814814814819</v>
      </c>
      <c r="N1639" t="s">
        <v>81</v>
      </c>
      <c r="O1639" t="s">
        <v>657</v>
      </c>
      <c r="P1639" t="s">
        <v>83</v>
      </c>
      <c r="Q1639" t="s">
        <v>74</v>
      </c>
      <c r="R1639" t="s">
        <v>115</v>
      </c>
      <c r="S1639" t="s">
        <v>115</v>
      </c>
      <c r="T1639" t="s">
        <v>76</v>
      </c>
      <c r="U1639" t="s">
        <v>100</v>
      </c>
      <c r="V1639">
        <v>-196.14</v>
      </c>
    </row>
    <row r="1640" spans="1:22" x14ac:dyDescent="0.3">
      <c r="A1640" t="s">
        <v>3007</v>
      </c>
      <c r="B1640" s="2">
        <v>46234</v>
      </c>
      <c r="C1640" t="s">
        <v>194</v>
      </c>
      <c r="D1640" t="s">
        <v>37</v>
      </c>
      <c r="E1640" t="s">
        <v>170</v>
      </c>
      <c r="F1640">
        <v>6</v>
      </c>
      <c r="G1640">
        <v>0.15</v>
      </c>
      <c r="H1640">
        <v>7140</v>
      </c>
      <c r="I1640">
        <v>2103.5</v>
      </c>
      <c r="J1640" t="s">
        <v>26</v>
      </c>
      <c r="K1640" t="s">
        <v>40</v>
      </c>
      <c r="L1640">
        <v>1190</v>
      </c>
      <c r="M1640">
        <v>29.46078431372549</v>
      </c>
      <c r="N1640" t="s">
        <v>8</v>
      </c>
      <c r="O1640" t="s">
        <v>195</v>
      </c>
      <c r="P1640" t="s">
        <v>73</v>
      </c>
      <c r="Q1640" t="s">
        <v>30</v>
      </c>
      <c r="R1640" t="s">
        <v>98</v>
      </c>
      <c r="S1640" t="s">
        <v>54</v>
      </c>
      <c r="T1640" t="s">
        <v>196</v>
      </c>
      <c r="U1640" t="s">
        <v>105</v>
      </c>
      <c r="V1640">
        <v>350.58333333333331</v>
      </c>
    </row>
    <row r="1641" spans="1:22" x14ac:dyDescent="0.3">
      <c r="A1641" t="s">
        <v>3008</v>
      </c>
      <c r="B1641" s="2">
        <v>46080</v>
      </c>
      <c r="C1641" t="s">
        <v>869</v>
      </c>
      <c r="D1641" t="s">
        <v>49</v>
      </c>
      <c r="E1641" t="s">
        <v>79</v>
      </c>
      <c r="F1641">
        <v>2</v>
      </c>
      <c r="G1641">
        <v>0.2</v>
      </c>
      <c r="H1641">
        <v>17600</v>
      </c>
      <c r="I1641">
        <v>2013.89</v>
      </c>
      <c r="J1641" t="s">
        <v>39</v>
      </c>
      <c r="K1641" t="s">
        <v>40</v>
      </c>
      <c r="L1641">
        <v>8800</v>
      </c>
      <c r="M1641">
        <v>11.442556818181821</v>
      </c>
      <c r="N1641" t="s">
        <v>8</v>
      </c>
      <c r="O1641" t="s">
        <v>870</v>
      </c>
      <c r="P1641" t="s">
        <v>73</v>
      </c>
      <c r="Q1641" t="s">
        <v>30</v>
      </c>
      <c r="R1641" t="s">
        <v>98</v>
      </c>
      <c r="S1641" t="s">
        <v>54</v>
      </c>
      <c r="T1641" t="s">
        <v>859</v>
      </c>
      <c r="U1641" t="s">
        <v>34</v>
      </c>
      <c r="V1641">
        <v>1006.9450000000001</v>
      </c>
    </row>
    <row r="1642" spans="1:22" x14ac:dyDescent="0.3">
      <c r="A1642" t="s">
        <v>3009</v>
      </c>
      <c r="B1642" s="2">
        <v>46219</v>
      </c>
      <c r="C1642" t="s">
        <v>1809</v>
      </c>
      <c r="D1642" t="s">
        <v>37</v>
      </c>
      <c r="E1642" t="s">
        <v>38</v>
      </c>
      <c r="F1642">
        <v>2</v>
      </c>
      <c r="G1642">
        <v>0.15</v>
      </c>
      <c r="H1642">
        <v>3060</v>
      </c>
      <c r="I1642">
        <v>893.04</v>
      </c>
      <c r="J1642" t="s">
        <v>39</v>
      </c>
      <c r="K1642" t="s">
        <v>40</v>
      </c>
      <c r="L1642">
        <v>1530</v>
      </c>
      <c r="M1642">
        <v>29.184313725490199</v>
      </c>
      <c r="N1642" t="s">
        <v>8</v>
      </c>
      <c r="O1642" t="s">
        <v>730</v>
      </c>
      <c r="P1642" t="s">
        <v>29</v>
      </c>
      <c r="Q1642" t="s">
        <v>74</v>
      </c>
      <c r="R1642" t="s">
        <v>115</v>
      </c>
      <c r="S1642" t="s">
        <v>115</v>
      </c>
      <c r="T1642" t="s">
        <v>1203</v>
      </c>
      <c r="U1642" t="s">
        <v>46</v>
      </c>
      <c r="V1642">
        <v>446.52</v>
      </c>
    </row>
    <row r="1643" spans="1:22" x14ac:dyDescent="0.3">
      <c r="A1643" t="s">
        <v>3010</v>
      </c>
      <c r="B1643" s="2">
        <v>46216</v>
      </c>
      <c r="C1643" t="s">
        <v>776</v>
      </c>
      <c r="D1643" t="s">
        <v>24</v>
      </c>
      <c r="E1643" t="s">
        <v>25</v>
      </c>
      <c r="F1643">
        <v>2</v>
      </c>
      <c r="G1643">
        <v>0.1</v>
      </c>
      <c r="H1643">
        <v>25200</v>
      </c>
      <c r="I1643">
        <v>3850.24</v>
      </c>
      <c r="J1643" t="s">
        <v>65</v>
      </c>
      <c r="K1643" t="s">
        <v>40</v>
      </c>
      <c r="L1643">
        <v>12600</v>
      </c>
      <c r="M1643">
        <v>15.278730158730159</v>
      </c>
      <c r="N1643" t="s">
        <v>8</v>
      </c>
      <c r="O1643" t="s">
        <v>777</v>
      </c>
      <c r="P1643" t="s">
        <v>29</v>
      </c>
      <c r="Q1643" t="s">
        <v>74</v>
      </c>
      <c r="R1643" t="s">
        <v>493</v>
      </c>
      <c r="S1643" t="s">
        <v>494</v>
      </c>
      <c r="T1643" t="s">
        <v>778</v>
      </c>
      <c r="U1643" t="s">
        <v>100</v>
      </c>
      <c r="V1643">
        <v>1925.12</v>
      </c>
    </row>
    <row r="1644" spans="1:22" x14ac:dyDescent="0.3">
      <c r="A1644" t="s">
        <v>3011</v>
      </c>
      <c r="B1644" s="2">
        <v>46092</v>
      </c>
      <c r="C1644" t="s">
        <v>1734</v>
      </c>
      <c r="D1644" t="s">
        <v>37</v>
      </c>
      <c r="E1644" t="s">
        <v>170</v>
      </c>
      <c r="F1644">
        <v>1</v>
      </c>
      <c r="G1644">
        <v>0.1</v>
      </c>
      <c r="H1644">
        <v>1260</v>
      </c>
      <c r="I1644">
        <v>-464.49</v>
      </c>
      <c r="J1644" t="s">
        <v>65</v>
      </c>
      <c r="K1644" t="s">
        <v>434</v>
      </c>
      <c r="L1644">
        <v>1260</v>
      </c>
      <c r="M1644">
        <v>-36.864285714285707</v>
      </c>
      <c r="N1644" t="s">
        <v>81</v>
      </c>
      <c r="O1644" t="s">
        <v>1735</v>
      </c>
      <c r="P1644" t="s">
        <v>29</v>
      </c>
      <c r="Q1644" t="s">
        <v>74</v>
      </c>
      <c r="R1644" t="s">
        <v>237</v>
      </c>
      <c r="S1644" t="s">
        <v>238</v>
      </c>
      <c r="T1644" t="s">
        <v>1736</v>
      </c>
      <c r="U1644" t="s">
        <v>34</v>
      </c>
      <c r="V1644">
        <v>-464.49</v>
      </c>
    </row>
    <row r="1645" spans="1:22" x14ac:dyDescent="0.3">
      <c r="A1645" t="s">
        <v>3012</v>
      </c>
      <c r="B1645" s="2">
        <v>45960</v>
      </c>
      <c r="C1645" t="s">
        <v>1872</v>
      </c>
      <c r="D1645" t="s">
        <v>24</v>
      </c>
      <c r="E1645" t="s">
        <v>25</v>
      </c>
      <c r="F1645">
        <v>4</v>
      </c>
      <c r="G1645">
        <v>0</v>
      </c>
      <c r="H1645">
        <v>56000</v>
      </c>
      <c r="I1645">
        <v>11200</v>
      </c>
      <c r="J1645" t="s">
        <v>51</v>
      </c>
      <c r="K1645" t="s">
        <v>40</v>
      </c>
      <c r="L1645">
        <v>14000</v>
      </c>
      <c r="M1645">
        <v>20</v>
      </c>
      <c r="N1645" t="s">
        <v>8</v>
      </c>
      <c r="O1645" t="s">
        <v>386</v>
      </c>
      <c r="P1645" t="s">
        <v>73</v>
      </c>
      <c r="Q1645" t="s">
        <v>42</v>
      </c>
      <c r="R1645" t="s">
        <v>110</v>
      </c>
      <c r="S1645" t="s">
        <v>111</v>
      </c>
      <c r="T1645" t="s">
        <v>852</v>
      </c>
      <c r="U1645" t="s">
        <v>34</v>
      </c>
      <c r="V1645">
        <v>2800</v>
      </c>
    </row>
    <row r="1646" spans="1:22" x14ac:dyDescent="0.3">
      <c r="A1646" t="s">
        <v>3013</v>
      </c>
      <c r="B1646" s="2">
        <v>45938</v>
      </c>
      <c r="C1646" t="s">
        <v>525</v>
      </c>
      <c r="D1646" t="s">
        <v>49</v>
      </c>
      <c r="E1646" t="s">
        <v>79</v>
      </c>
      <c r="F1646">
        <v>6</v>
      </c>
      <c r="G1646">
        <v>0.15</v>
      </c>
      <c r="H1646">
        <v>56100</v>
      </c>
      <c r="I1646">
        <v>9549.6</v>
      </c>
      <c r="J1646" t="s">
        <v>51</v>
      </c>
      <c r="K1646" t="s">
        <v>40</v>
      </c>
      <c r="L1646">
        <v>9350</v>
      </c>
      <c r="M1646">
        <v>17.022459893048129</v>
      </c>
      <c r="N1646" t="s">
        <v>8</v>
      </c>
      <c r="O1646" t="s">
        <v>526</v>
      </c>
      <c r="P1646" t="s">
        <v>29</v>
      </c>
      <c r="Q1646" t="s">
        <v>30</v>
      </c>
      <c r="R1646" t="s">
        <v>98</v>
      </c>
      <c r="S1646" t="s">
        <v>54</v>
      </c>
      <c r="T1646" t="s">
        <v>527</v>
      </c>
      <c r="U1646" t="s">
        <v>34</v>
      </c>
      <c r="V1646">
        <v>1591.6</v>
      </c>
    </row>
    <row r="1647" spans="1:22" x14ac:dyDescent="0.3">
      <c r="A1647" t="s">
        <v>3014</v>
      </c>
      <c r="B1647" s="2">
        <v>46096</v>
      </c>
      <c r="C1647" t="s">
        <v>1444</v>
      </c>
      <c r="D1647" t="s">
        <v>37</v>
      </c>
      <c r="E1647" t="s">
        <v>310</v>
      </c>
      <c r="F1647">
        <v>2</v>
      </c>
      <c r="G1647">
        <v>0.1</v>
      </c>
      <c r="H1647">
        <v>3960</v>
      </c>
      <c r="I1647">
        <v>1217.43</v>
      </c>
      <c r="J1647" t="s">
        <v>51</v>
      </c>
      <c r="K1647" t="s">
        <v>40</v>
      </c>
      <c r="L1647">
        <v>1980</v>
      </c>
      <c r="M1647">
        <v>30.743181818181821</v>
      </c>
      <c r="N1647" t="s">
        <v>8</v>
      </c>
      <c r="O1647" t="s">
        <v>839</v>
      </c>
      <c r="P1647" t="s">
        <v>29</v>
      </c>
      <c r="Q1647" t="s">
        <v>42</v>
      </c>
      <c r="R1647" t="s">
        <v>121</v>
      </c>
      <c r="S1647" t="s">
        <v>44</v>
      </c>
      <c r="T1647" t="s">
        <v>1445</v>
      </c>
      <c r="U1647" t="s">
        <v>34</v>
      </c>
      <c r="V1647">
        <v>608.71500000000003</v>
      </c>
    </row>
    <row r="1648" spans="1:22" x14ac:dyDescent="0.3">
      <c r="A1648" t="s">
        <v>3015</v>
      </c>
      <c r="B1648" s="2">
        <v>46044</v>
      </c>
      <c r="C1648" t="s">
        <v>552</v>
      </c>
      <c r="D1648" t="s">
        <v>24</v>
      </c>
      <c r="E1648" t="s">
        <v>87</v>
      </c>
      <c r="F1648">
        <v>3</v>
      </c>
      <c r="G1648">
        <v>0.2</v>
      </c>
      <c r="H1648">
        <v>840</v>
      </c>
      <c r="I1648">
        <v>238.52</v>
      </c>
      <c r="J1648" t="s">
        <v>65</v>
      </c>
      <c r="K1648" t="s">
        <v>40</v>
      </c>
      <c r="L1648">
        <v>280</v>
      </c>
      <c r="M1648">
        <v>28.395238095238099</v>
      </c>
      <c r="N1648" t="s">
        <v>8</v>
      </c>
      <c r="O1648" t="s">
        <v>553</v>
      </c>
      <c r="P1648" t="s">
        <v>29</v>
      </c>
      <c r="Q1648" t="s">
        <v>74</v>
      </c>
      <c r="R1648" t="s">
        <v>493</v>
      </c>
      <c r="S1648" t="s">
        <v>494</v>
      </c>
      <c r="T1648" t="s">
        <v>554</v>
      </c>
      <c r="U1648" t="s">
        <v>105</v>
      </c>
      <c r="V1648">
        <v>79.506666666666675</v>
      </c>
    </row>
    <row r="1649" spans="1:22" x14ac:dyDescent="0.3">
      <c r="A1649" t="s">
        <v>3016</v>
      </c>
      <c r="B1649" s="2">
        <v>45938</v>
      </c>
      <c r="C1649" t="s">
        <v>748</v>
      </c>
      <c r="D1649" t="s">
        <v>70</v>
      </c>
      <c r="E1649" t="s">
        <v>108</v>
      </c>
      <c r="F1649">
        <v>4</v>
      </c>
      <c r="G1649">
        <v>0.05</v>
      </c>
      <c r="H1649">
        <v>17100</v>
      </c>
      <c r="I1649">
        <v>5318.25</v>
      </c>
      <c r="J1649" t="s">
        <v>65</v>
      </c>
      <c r="K1649" t="s">
        <v>27</v>
      </c>
      <c r="L1649">
        <v>4275</v>
      </c>
      <c r="M1649">
        <v>31.100877192982459</v>
      </c>
      <c r="N1649" t="s">
        <v>8</v>
      </c>
      <c r="O1649" t="s">
        <v>749</v>
      </c>
      <c r="P1649" t="s">
        <v>29</v>
      </c>
      <c r="Q1649" t="s">
        <v>30</v>
      </c>
      <c r="R1649" t="s">
        <v>60</v>
      </c>
      <c r="S1649" t="s">
        <v>61</v>
      </c>
      <c r="T1649" t="s">
        <v>750</v>
      </c>
      <c r="U1649" t="s">
        <v>34</v>
      </c>
      <c r="V1649">
        <v>1329.5625</v>
      </c>
    </row>
    <row r="1650" spans="1:22" x14ac:dyDescent="0.3">
      <c r="A1650" t="s">
        <v>3017</v>
      </c>
      <c r="B1650" s="2">
        <v>45883</v>
      </c>
      <c r="C1650" t="s">
        <v>1474</v>
      </c>
      <c r="D1650" t="s">
        <v>24</v>
      </c>
      <c r="E1650" t="s">
        <v>242</v>
      </c>
      <c r="F1650">
        <v>3</v>
      </c>
      <c r="G1650">
        <v>0</v>
      </c>
      <c r="H1650">
        <v>1350</v>
      </c>
      <c r="I1650">
        <v>330</v>
      </c>
      <c r="J1650" t="s">
        <v>51</v>
      </c>
      <c r="K1650" t="s">
        <v>40</v>
      </c>
      <c r="L1650">
        <v>450</v>
      </c>
      <c r="M1650">
        <v>24.444444444444439</v>
      </c>
      <c r="N1650" t="s">
        <v>8</v>
      </c>
      <c r="O1650" t="s">
        <v>1475</v>
      </c>
      <c r="P1650" t="s">
        <v>73</v>
      </c>
      <c r="Q1650" t="s">
        <v>30</v>
      </c>
      <c r="R1650" t="s">
        <v>98</v>
      </c>
      <c r="S1650" t="s">
        <v>54</v>
      </c>
      <c r="T1650" t="s">
        <v>1476</v>
      </c>
      <c r="U1650" t="s">
        <v>100</v>
      </c>
      <c r="V1650">
        <v>110</v>
      </c>
    </row>
    <row r="1651" spans="1:22" x14ac:dyDescent="0.3">
      <c r="A1651" t="s">
        <v>3018</v>
      </c>
      <c r="B1651" s="2">
        <v>45973</v>
      </c>
      <c r="C1651" t="s">
        <v>1676</v>
      </c>
      <c r="D1651" t="s">
        <v>24</v>
      </c>
      <c r="E1651" t="s">
        <v>25</v>
      </c>
      <c r="F1651">
        <v>1</v>
      </c>
      <c r="G1651">
        <v>0.2</v>
      </c>
      <c r="H1651">
        <v>11200</v>
      </c>
      <c r="I1651">
        <v>1407.24</v>
      </c>
      <c r="J1651" t="s">
        <v>39</v>
      </c>
      <c r="K1651" t="s">
        <v>40</v>
      </c>
      <c r="L1651">
        <v>11200</v>
      </c>
      <c r="M1651">
        <v>12.564642857142861</v>
      </c>
      <c r="N1651" t="s">
        <v>8</v>
      </c>
      <c r="O1651" t="s">
        <v>1649</v>
      </c>
      <c r="P1651" t="s">
        <v>73</v>
      </c>
      <c r="Q1651" t="s">
        <v>30</v>
      </c>
      <c r="R1651" t="s">
        <v>31</v>
      </c>
      <c r="S1651" t="s">
        <v>32</v>
      </c>
      <c r="T1651" t="s">
        <v>1677</v>
      </c>
      <c r="U1651" t="s">
        <v>46</v>
      </c>
      <c r="V1651">
        <v>1407.24</v>
      </c>
    </row>
    <row r="1652" spans="1:22" x14ac:dyDescent="0.3">
      <c r="A1652" t="s">
        <v>3019</v>
      </c>
      <c r="B1652" s="2">
        <v>46260</v>
      </c>
      <c r="C1652" t="s">
        <v>465</v>
      </c>
      <c r="D1652" t="s">
        <v>24</v>
      </c>
      <c r="E1652" t="s">
        <v>87</v>
      </c>
      <c r="F1652">
        <v>6</v>
      </c>
      <c r="G1652">
        <v>0</v>
      </c>
      <c r="H1652">
        <v>2100</v>
      </c>
      <c r="I1652">
        <v>720</v>
      </c>
      <c r="J1652" t="s">
        <v>51</v>
      </c>
      <c r="K1652" t="s">
        <v>40</v>
      </c>
      <c r="L1652">
        <v>350</v>
      </c>
      <c r="M1652">
        <v>34.285714285714278</v>
      </c>
      <c r="N1652" t="s">
        <v>8</v>
      </c>
      <c r="O1652" t="s">
        <v>362</v>
      </c>
      <c r="P1652" t="s">
        <v>29</v>
      </c>
      <c r="Q1652" t="s">
        <v>42</v>
      </c>
      <c r="R1652" t="s">
        <v>121</v>
      </c>
      <c r="S1652" t="s">
        <v>44</v>
      </c>
      <c r="T1652" t="s">
        <v>466</v>
      </c>
      <c r="U1652" t="s">
        <v>100</v>
      </c>
      <c r="V1652">
        <v>120</v>
      </c>
    </row>
    <row r="1653" spans="1:22" x14ac:dyDescent="0.3">
      <c r="A1653" t="s">
        <v>3020</v>
      </c>
      <c r="B1653" s="2">
        <v>46115</v>
      </c>
      <c r="C1653" t="s">
        <v>617</v>
      </c>
      <c r="D1653" t="s">
        <v>70</v>
      </c>
      <c r="E1653" t="s">
        <v>71</v>
      </c>
      <c r="F1653">
        <v>3</v>
      </c>
      <c r="G1653">
        <v>0</v>
      </c>
      <c r="H1653">
        <v>54000</v>
      </c>
      <c r="I1653">
        <v>10500</v>
      </c>
      <c r="J1653" t="s">
        <v>65</v>
      </c>
      <c r="K1653" t="s">
        <v>40</v>
      </c>
      <c r="L1653">
        <v>18000</v>
      </c>
      <c r="M1653">
        <v>19.44444444444445</v>
      </c>
      <c r="N1653" t="s">
        <v>8</v>
      </c>
      <c r="O1653" t="s">
        <v>618</v>
      </c>
      <c r="P1653" t="s">
        <v>83</v>
      </c>
      <c r="Q1653" t="s">
        <v>30</v>
      </c>
      <c r="R1653" t="s">
        <v>98</v>
      </c>
      <c r="S1653" t="s">
        <v>54</v>
      </c>
      <c r="T1653" t="s">
        <v>619</v>
      </c>
      <c r="U1653" t="s">
        <v>100</v>
      </c>
      <c r="V1653">
        <v>3500</v>
      </c>
    </row>
    <row r="1654" spans="1:22" x14ac:dyDescent="0.3">
      <c r="A1654" t="s">
        <v>3021</v>
      </c>
      <c r="B1654" s="2">
        <v>46167</v>
      </c>
      <c r="C1654" t="s">
        <v>1648</v>
      </c>
      <c r="D1654" t="s">
        <v>24</v>
      </c>
      <c r="E1654" t="s">
        <v>87</v>
      </c>
      <c r="F1654">
        <v>2</v>
      </c>
      <c r="G1654">
        <v>0</v>
      </c>
      <c r="H1654">
        <v>700</v>
      </c>
      <c r="I1654">
        <v>41.37</v>
      </c>
      <c r="J1654" t="s">
        <v>39</v>
      </c>
      <c r="K1654" t="s">
        <v>434</v>
      </c>
      <c r="L1654">
        <v>350</v>
      </c>
      <c r="M1654">
        <v>5.91</v>
      </c>
      <c r="N1654" t="s">
        <v>8</v>
      </c>
      <c r="O1654" t="s">
        <v>1649</v>
      </c>
      <c r="P1654" t="s">
        <v>73</v>
      </c>
      <c r="Q1654" t="s">
        <v>30</v>
      </c>
      <c r="R1654" t="s">
        <v>98</v>
      </c>
      <c r="S1654" t="s">
        <v>54</v>
      </c>
      <c r="T1654" t="s">
        <v>1650</v>
      </c>
      <c r="U1654" t="s">
        <v>34</v>
      </c>
      <c r="V1654">
        <v>20.684999999999999</v>
      </c>
    </row>
    <row r="1655" spans="1:22" x14ac:dyDescent="0.3">
      <c r="A1655" t="s">
        <v>3022</v>
      </c>
      <c r="B1655" s="2">
        <v>46138</v>
      </c>
      <c r="C1655" t="s">
        <v>1791</v>
      </c>
      <c r="D1655" t="s">
        <v>37</v>
      </c>
      <c r="E1655" t="s">
        <v>190</v>
      </c>
      <c r="F1655">
        <v>3</v>
      </c>
      <c r="G1655">
        <v>0.1</v>
      </c>
      <c r="H1655">
        <v>11340</v>
      </c>
      <c r="I1655">
        <v>2584.3000000000002</v>
      </c>
      <c r="J1655" t="s">
        <v>51</v>
      </c>
      <c r="K1655" t="s">
        <v>40</v>
      </c>
      <c r="L1655">
        <v>3780</v>
      </c>
      <c r="M1655">
        <v>22.789241622574959</v>
      </c>
      <c r="N1655" t="s">
        <v>8</v>
      </c>
      <c r="O1655" t="s">
        <v>851</v>
      </c>
      <c r="P1655" t="s">
        <v>83</v>
      </c>
      <c r="Q1655" t="s">
        <v>30</v>
      </c>
      <c r="R1655" t="s">
        <v>60</v>
      </c>
      <c r="S1655" t="s">
        <v>61</v>
      </c>
      <c r="T1655" t="s">
        <v>1792</v>
      </c>
      <c r="U1655" t="s">
        <v>105</v>
      </c>
      <c r="V1655">
        <v>861.43333333333339</v>
      </c>
    </row>
    <row r="1656" spans="1:22" x14ac:dyDescent="0.3">
      <c r="A1656" t="s">
        <v>3023</v>
      </c>
      <c r="B1656" s="2">
        <v>46078</v>
      </c>
      <c r="C1656" t="s">
        <v>3024</v>
      </c>
      <c r="D1656" t="s">
        <v>49</v>
      </c>
      <c r="E1656" t="s">
        <v>58</v>
      </c>
      <c r="F1656">
        <v>1</v>
      </c>
      <c r="G1656">
        <v>0.1</v>
      </c>
      <c r="H1656">
        <v>13500</v>
      </c>
      <c r="I1656">
        <v>2645.78</v>
      </c>
      <c r="J1656" t="s">
        <v>65</v>
      </c>
      <c r="K1656" t="s">
        <v>40</v>
      </c>
      <c r="L1656">
        <v>13500</v>
      </c>
      <c r="M1656">
        <v>19.598370370370372</v>
      </c>
      <c r="N1656" t="s">
        <v>8</v>
      </c>
      <c r="O1656" t="s">
        <v>1466</v>
      </c>
      <c r="P1656" t="s">
        <v>29</v>
      </c>
      <c r="Q1656" t="s">
        <v>42</v>
      </c>
      <c r="R1656" t="s">
        <v>214</v>
      </c>
      <c r="S1656" t="s">
        <v>111</v>
      </c>
      <c r="T1656" t="s">
        <v>2425</v>
      </c>
      <c r="U1656" t="s">
        <v>34</v>
      </c>
      <c r="V1656">
        <v>2645.78</v>
      </c>
    </row>
    <row r="1657" spans="1:22" x14ac:dyDescent="0.3">
      <c r="A1657" t="s">
        <v>3025</v>
      </c>
      <c r="B1657" s="2">
        <v>46205</v>
      </c>
      <c r="C1657" t="s">
        <v>96</v>
      </c>
      <c r="D1657" t="s">
        <v>70</v>
      </c>
      <c r="E1657" t="s">
        <v>129</v>
      </c>
      <c r="F1657">
        <v>4</v>
      </c>
      <c r="G1657">
        <v>0.2</v>
      </c>
      <c r="H1657">
        <v>176000</v>
      </c>
      <c r="I1657">
        <v>12191.07</v>
      </c>
      <c r="J1657" t="s">
        <v>39</v>
      </c>
      <c r="K1657" t="s">
        <v>27</v>
      </c>
      <c r="L1657">
        <v>44000</v>
      </c>
      <c r="M1657">
        <v>6.926744318181818</v>
      </c>
      <c r="N1657" t="s">
        <v>8</v>
      </c>
      <c r="O1657" t="s">
        <v>97</v>
      </c>
      <c r="P1657" t="s">
        <v>73</v>
      </c>
      <c r="Q1657" t="s">
        <v>30</v>
      </c>
      <c r="R1657" t="s">
        <v>98</v>
      </c>
      <c r="S1657" t="s">
        <v>54</v>
      </c>
      <c r="T1657" t="s">
        <v>99</v>
      </c>
      <c r="U1657" t="s">
        <v>100</v>
      </c>
      <c r="V1657">
        <v>3047.7674999999999</v>
      </c>
    </row>
    <row r="1658" spans="1:22" x14ac:dyDescent="0.3">
      <c r="A1658" t="s">
        <v>3026</v>
      </c>
      <c r="B1658" s="2">
        <v>46067</v>
      </c>
      <c r="C1658" t="s">
        <v>801</v>
      </c>
      <c r="D1658" t="s">
        <v>70</v>
      </c>
      <c r="E1658" t="s">
        <v>165</v>
      </c>
      <c r="F1658">
        <v>2</v>
      </c>
      <c r="G1658">
        <v>0.15</v>
      </c>
      <c r="H1658">
        <v>4250</v>
      </c>
      <c r="I1658">
        <v>1100.7</v>
      </c>
      <c r="J1658" t="s">
        <v>26</v>
      </c>
      <c r="K1658" t="s">
        <v>40</v>
      </c>
      <c r="L1658">
        <v>2125</v>
      </c>
      <c r="M1658">
        <v>25.898823529411761</v>
      </c>
      <c r="N1658" t="s">
        <v>8</v>
      </c>
      <c r="O1658" t="s">
        <v>478</v>
      </c>
      <c r="P1658" t="s">
        <v>29</v>
      </c>
      <c r="Q1658" t="s">
        <v>30</v>
      </c>
      <c r="R1658" t="s">
        <v>98</v>
      </c>
      <c r="S1658" t="s">
        <v>54</v>
      </c>
      <c r="T1658" t="s">
        <v>802</v>
      </c>
      <c r="U1658" t="s">
        <v>34</v>
      </c>
      <c r="V1658">
        <v>550.35</v>
      </c>
    </row>
    <row r="1659" spans="1:22" x14ac:dyDescent="0.3">
      <c r="A1659" t="s">
        <v>3027</v>
      </c>
      <c r="B1659" s="2">
        <v>46072</v>
      </c>
      <c r="C1659" t="s">
        <v>887</v>
      </c>
      <c r="D1659" t="s">
        <v>37</v>
      </c>
      <c r="E1659" t="s">
        <v>170</v>
      </c>
      <c r="F1659">
        <v>6</v>
      </c>
      <c r="G1659">
        <v>0</v>
      </c>
      <c r="H1659">
        <v>8400</v>
      </c>
      <c r="I1659">
        <v>3000</v>
      </c>
      <c r="J1659" t="s">
        <v>51</v>
      </c>
      <c r="K1659" t="s">
        <v>40</v>
      </c>
      <c r="L1659">
        <v>1400</v>
      </c>
      <c r="M1659">
        <v>35.714285714285722</v>
      </c>
      <c r="N1659" t="s">
        <v>8</v>
      </c>
      <c r="O1659" t="s">
        <v>888</v>
      </c>
      <c r="P1659" t="s">
        <v>29</v>
      </c>
      <c r="Q1659" t="s">
        <v>74</v>
      </c>
      <c r="R1659" t="s">
        <v>115</v>
      </c>
      <c r="S1659" t="s">
        <v>115</v>
      </c>
      <c r="T1659" t="s">
        <v>889</v>
      </c>
      <c r="U1659" t="s">
        <v>46</v>
      </c>
      <c r="V1659">
        <v>500</v>
      </c>
    </row>
    <row r="1660" spans="1:22" x14ac:dyDescent="0.3">
      <c r="A1660" t="s">
        <v>3028</v>
      </c>
      <c r="B1660" s="2">
        <v>45998</v>
      </c>
      <c r="C1660" t="s">
        <v>128</v>
      </c>
      <c r="D1660" t="s">
        <v>49</v>
      </c>
      <c r="E1660" t="s">
        <v>119</v>
      </c>
      <c r="F1660">
        <v>4</v>
      </c>
      <c r="G1660">
        <v>0</v>
      </c>
      <c r="H1660">
        <v>36000</v>
      </c>
      <c r="I1660">
        <v>9200</v>
      </c>
      <c r="J1660" t="s">
        <v>51</v>
      </c>
      <c r="K1660" t="s">
        <v>40</v>
      </c>
      <c r="L1660">
        <v>9000</v>
      </c>
      <c r="M1660">
        <v>25.55555555555555</v>
      </c>
      <c r="N1660" t="s">
        <v>8</v>
      </c>
      <c r="O1660" t="s">
        <v>130</v>
      </c>
      <c r="P1660" t="s">
        <v>83</v>
      </c>
      <c r="Q1660" t="s">
        <v>131</v>
      </c>
      <c r="R1660" t="s">
        <v>132</v>
      </c>
      <c r="S1660" t="s">
        <v>133</v>
      </c>
      <c r="T1660" t="s">
        <v>134</v>
      </c>
      <c r="U1660" t="s">
        <v>46</v>
      </c>
      <c r="V1660">
        <v>2300</v>
      </c>
    </row>
    <row r="1661" spans="1:22" x14ac:dyDescent="0.3">
      <c r="A1661" t="s">
        <v>3029</v>
      </c>
      <c r="B1661" s="2">
        <v>46014</v>
      </c>
      <c r="C1661" t="s">
        <v>1136</v>
      </c>
      <c r="D1661" t="s">
        <v>37</v>
      </c>
      <c r="E1661" t="s">
        <v>170</v>
      </c>
      <c r="F1661">
        <v>6</v>
      </c>
      <c r="G1661">
        <v>0.1</v>
      </c>
      <c r="H1661">
        <v>7560</v>
      </c>
      <c r="I1661">
        <v>-2689.22</v>
      </c>
      <c r="J1661" t="s">
        <v>51</v>
      </c>
      <c r="K1661" t="s">
        <v>80</v>
      </c>
      <c r="L1661">
        <v>1260</v>
      </c>
      <c r="M1661">
        <v>-35.571693121693123</v>
      </c>
      <c r="N1661" t="s">
        <v>81</v>
      </c>
      <c r="O1661" t="s">
        <v>1137</v>
      </c>
      <c r="P1661" t="s">
        <v>73</v>
      </c>
      <c r="Q1661" t="s">
        <v>74</v>
      </c>
      <c r="R1661" t="s">
        <v>75</v>
      </c>
      <c r="S1661" t="s">
        <v>75</v>
      </c>
      <c r="T1661" t="s">
        <v>1138</v>
      </c>
      <c r="U1661" t="s">
        <v>46</v>
      </c>
      <c r="V1661">
        <v>-448.20333333333332</v>
      </c>
    </row>
    <row r="1662" spans="1:22" x14ac:dyDescent="0.3">
      <c r="A1662" t="s">
        <v>3030</v>
      </c>
      <c r="B1662" s="2">
        <v>45922</v>
      </c>
      <c r="C1662" t="s">
        <v>1000</v>
      </c>
      <c r="D1662" t="s">
        <v>49</v>
      </c>
      <c r="E1662" t="s">
        <v>58</v>
      </c>
      <c r="F1662">
        <v>2</v>
      </c>
      <c r="G1662">
        <v>0</v>
      </c>
      <c r="H1662">
        <v>30000</v>
      </c>
      <c r="I1662">
        <v>7000</v>
      </c>
      <c r="J1662" t="s">
        <v>39</v>
      </c>
      <c r="K1662" t="s">
        <v>40</v>
      </c>
      <c r="L1662">
        <v>15000</v>
      </c>
      <c r="M1662">
        <v>23.333333333333329</v>
      </c>
      <c r="N1662" t="s">
        <v>8</v>
      </c>
      <c r="O1662" t="s">
        <v>1001</v>
      </c>
      <c r="P1662" t="s">
        <v>29</v>
      </c>
      <c r="Q1662" t="s">
        <v>30</v>
      </c>
      <c r="R1662" t="s">
        <v>60</v>
      </c>
      <c r="S1662" t="s">
        <v>61</v>
      </c>
      <c r="T1662" t="s">
        <v>1002</v>
      </c>
      <c r="U1662" t="s">
        <v>105</v>
      </c>
      <c r="V1662">
        <v>3500</v>
      </c>
    </row>
    <row r="1663" spans="1:22" x14ac:dyDescent="0.3">
      <c r="A1663" t="s">
        <v>3031</v>
      </c>
      <c r="B1663" s="2">
        <v>46059</v>
      </c>
      <c r="C1663" t="s">
        <v>152</v>
      </c>
      <c r="D1663" t="s">
        <v>49</v>
      </c>
      <c r="E1663" t="s">
        <v>50</v>
      </c>
      <c r="F1663">
        <v>1</v>
      </c>
      <c r="G1663">
        <v>0.1</v>
      </c>
      <c r="H1663">
        <v>11700</v>
      </c>
      <c r="I1663">
        <v>2553.61</v>
      </c>
      <c r="J1663" t="s">
        <v>51</v>
      </c>
      <c r="K1663" t="s">
        <v>40</v>
      </c>
      <c r="L1663">
        <v>11700</v>
      </c>
      <c r="M1663">
        <v>21.825726495726499</v>
      </c>
      <c r="N1663" t="s">
        <v>8</v>
      </c>
      <c r="O1663" t="s">
        <v>153</v>
      </c>
      <c r="P1663" t="s">
        <v>83</v>
      </c>
      <c r="Q1663" t="s">
        <v>30</v>
      </c>
      <c r="R1663" t="s">
        <v>53</v>
      </c>
      <c r="S1663" t="s">
        <v>54</v>
      </c>
      <c r="T1663" t="s">
        <v>154</v>
      </c>
      <c r="U1663" t="s">
        <v>100</v>
      </c>
      <c r="V1663">
        <v>2553.61</v>
      </c>
    </row>
    <row r="1664" spans="1:22" x14ac:dyDescent="0.3">
      <c r="A1664" t="s">
        <v>3032</v>
      </c>
      <c r="B1664" s="2">
        <v>46106</v>
      </c>
      <c r="C1664" t="s">
        <v>678</v>
      </c>
      <c r="D1664" t="s">
        <v>70</v>
      </c>
      <c r="E1664" t="s">
        <v>165</v>
      </c>
      <c r="F1664">
        <v>5</v>
      </c>
      <c r="G1664">
        <v>0.05</v>
      </c>
      <c r="H1664">
        <v>11875</v>
      </c>
      <c r="I1664">
        <v>3581.99</v>
      </c>
      <c r="J1664" t="s">
        <v>39</v>
      </c>
      <c r="K1664" t="s">
        <v>40</v>
      </c>
      <c r="L1664">
        <v>2375</v>
      </c>
      <c r="M1664">
        <v>30.164126315789471</v>
      </c>
      <c r="N1664" t="s">
        <v>8</v>
      </c>
      <c r="O1664" t="s">
        <v>657</v>
      </c>
      <c r="P1664" t="s">
        <v>83</v>
      </c>
      <c r="Q1664" t="s">
        <v>30</v>
      </c>
      <c r="R1664" t="s">
        <v>31</v>
      </c>
      <c r="S1664" t="s">
        <v>32</v>
      </c>
      <c r="T1664" t="s">
        <v>679</v>
      </c>
      <c r="U1664" t="s">
        <v>100</v>
      </c>
      <c r="V1664">
        <v>716.39799999999991</v>
      </c>
    </row>
    <row r="1665" spans="1:22" x14ac:dyDescent="0.3">
      <c r="A1665" t="s">
        <v>3033</v>
      </c>
      <c r="B1665" s="2">
        <v>45972</v>
      </c>
      <c r="C1665" t="s">
        <v>1382</v>
      </c>
      <c r="D1665" t="s">
        <v>70</v>
      </c>
      <c r="E1665" t="s">
        <v>71</v>
      </c>
      <c r="F1665">
        <v>1</v>
      </c>
      <c r="G1665">
        <v>0.1</v>
      </c>
      <c r="H1665">
        <v>16200</v>
      </c>
      <c r="I1665">
        <v>2398.6799999999998</v>
      </c>
      <c r="J1665" t="s">
        <v>65</v>
      </c>
      <c r="K1665" t="s">
        <v>40</v>
      </c>
      <c r="L1665">
        <v>16200</v>
      </c>
      <c r="M1665">
        <v>14.80666666666666</v>
      </c>
      <c r="N1665" t="s">
        <v>8</v>
      </c>
      <c r="O1665" t="s">
        <v>1383</v>
      </c>
      <c r="P1665" t="s">
        <v>83</v>
      </c>
      <c r="Q1665" t="s">
        <v>30</v>
      </c>
      <c r="R1665" t="s">
        <v>60</v>
      </c>
      <c r="S1665" t="s">
        <v>61</v>
      </c>
      <c r="T1665" t="s">
        <v>227</v>
      </c>
      <c r="U1665" t="s">
        <v>46</v>
      </c>
      <c r="V1665">
        <v>2398.6799999999998</v>
      </c>
    </row>
    <row r="1666" spans="1:22" x14ac:dyDescent="0.3">
      <c r="A1666" t="s">
        <v>3034</v>
      </c>
      <c r="B1666" s="2">
        <v>46148</v>
      </c>
      <c r="C1666" t="s">
        <v>344</v>
      </c>
      <c r="D1666" t="s">
        <v>70</v>
      </c>
      <c r="E1666" t="s">
        <v>129</v>
      </c>
      <c r="F1666">
        <v>3</v>
      </c>
      <c r="G1666">
        <v>0.05</v>
      </c>
      <c r="H1666">
        <v>156750</v>
      </c>
      <c r="I1666">
        <v>-48839.95</v>
      </c>
      <c r="J1666" t="s">
        <v>51</v>
      </c>
      <c r="K1666" t="s">
        <v>434</v>
      </c>
      <c r="L1666">
        <v>52250</v>
      </c>
      <c r="M1666">
        <v>-31.15786283891547</v>
      </c>
      <c r="N1666" t="s">
        <v>81</v>
      </c>
      <c r="O1666" t="s">
        <v>345</v>
      </c>
      <c r="P1666" t="s">
        <v>29</v>
      </c>
      <c r="Q1666" t="s">
        <v>74</v>
      </c>
      <c r="R1666" t="s">
        <v>115</v>
      </c>
      <c r="S1666" t="s">
        <v>115</v>
      </c>
      <c r="T1666" t="s">
        <v>346</v>
      </c>
      <c r="U1666" t="s">
        <v>46</v>
      </c>
      <c r="V1666">
        <v>-16279.98333333333</v>
      </c>
    </row>
    <row r="1667" spans="1:22" x14ac:dyDescent="0.3">
      <c r="A1667" t="s">
        <v>3035</v>
      </c>
      <c r="B1667" s="2">
        <v>46111</v>
      </c>
      <c r="C1667" t="s">
        <v>834</v>
      </c>
      <c r="D1667" t="s">
        <v>70</v>
      </c>
      <c r="E1667" t="s">
        <v>129</v>
      </c>
      <c r="F1667">
        <v>2</v>
      </c>
      <c r="G1667">
        <v>0.1</v>
      </c>
      <c r="H1667">
        <v>99000</v>
      </c>
      <c r="I1667">
        <v>9704.76</v>
      </c>
      <c r="J1667" t="s">
        <v>51</v>
      </c>
      <c r="K1667" t="s">
        <v>40</v>
      </c>
      <c r="L1667">
        <v>49500</v>
      </c>
      <c r="M1667">
        <v>9.8027878787878784</v>
      </c>
      <c r="N1667" t="s">
        <v>8</v>
      </c>
      <c r="O1667" t="s">
        <v>549</v>
      </c>
      <c r="P1667" t="s">
        <v>29</v>
      </c>
      <c r="Q1667" t="s">
        <v>74</v>
      </c>
      <c r="R1667" t="s">
        <v>115</v>
      </c>
      <c r="S1667" t="s">
        <v>115</v>
      </c>
      <c r="T1667" t="s">
        <v>835</v>
      </c>
      <c r="U1667" t="s">
        <v>34</v>
      </c>
      <c r="V1667">
        <v>4852.38</v>
      </c>
    </row>
    <row r="1668" spans="1:22" x14ac:dyDescent="0.3">
      <c r="A1668" t="s">
        <v>3036</v>
      </c>
      <c r="B1668" s="2">
        <v>46101</v>
      </c>
      <c r="C1668" t="s">
        <v>2197</v>
      </c>
      <c r="D1668" t="s">
        <v>37</v>
      </c>
      <c r="E1668" t="s">
        <v>190</v>
      </c>
      <c r="F1668">
        <v>2</v>
      </c>
      <c r="G1668">
        <v>0.05</v>
      </c>
      <c r="H1668">
        <v>7980</v>
      </c>
      <c r="I1668">
        <v>-3290.54</v>
      </c>
      <c r="J1668" t="s">
        <v>65</v>
      </c>
      <c r="K1668" t="s">
        <v>434</v>
      </c>
      <c r="L1668">
        <v>3990</v>
      </c>
      <c r="M1668">
        <v>-41.23483709273183</v>
      </c>
      <c r="N1668" t="s">
        <v>81</v>
      </c>
      <c r="O1668" t="s">
        <v>2027</v>
      </c>
      <c r="P1668" t="s">
        <v>29</v>
      </c>
      <c r="Q1668" t="s">
        <v>74</v>
      </c>
      <c r="R1668" t="s">
        <v>493</v>
      </c>
      <c r="S1668" t="s">
        <v>494</v>
      </c>
      <c r="T1668" t="s">
        <v>2198</v>
      </c>
      <c r="U1668" t="s">
        <v>34</v>
      </c>
      <c r="V1668">
        <v>-1645.27</v>
      </c>
    </row>
    <row r="1669" spans="1:22" x14ac:dyDescent="0.3">
      <c r="A1669" t="s">
        <v>3037</v>
      </c>
      <c r="B1669" s="2">
        <v>46060</v>
      </c>
      <c r="C1669" t="s">
        <v>925</v>
      </c>
      <c r="D1669" t="s">
        <v>37</v>
      </c>
      <c r="E1669" t="s">
        <v>170</v>
      </c>
      <c r="F1669">
        <v>2</v>
      </c>
      <c r="G1669">
        <v>0.15</v>
      </c>
      <c r="H1669">
        <v>2380</v>
      </c>
      <c r="I1669">
        <v>675.55</v>
      </c>
      <c r="J1669" t="s">
        <v>65</v>
      </c>
      <c r="K1669" t="s">
        <v>40</v>
      </c>
      <c r="L1669">
        <v>1190</v>
      </c>
      <c r="M1669">
        <v>28.384453781512601</v>
      </c>
      <c r="N1669" t="s">
        <v>8</v>
      </c>
      <c r="O1669" t="s">
        <v>926</v>
      </c>
      <c r="P1669" t="s">
        <v>83</v>
      </c>
      <c r="Q1669" t="s">
        <v>74</v>
      </c>
      <c r="R1669" t="s">
        <v>75</v>
      </c>
      <c r="S1669" t="s">
        <v>75</v>
      </c>
      <c r="T1669" t="s">
        <v>927</v>
      </c>
      <c r="U1669" t="s">
        <v>34</v>
      </c>
      <c r="V1669">
        <v>337.77499999999998</v>
      </c>
    </row>
    <row r="1670" spans="1:22" x14ac:dyDescent="0.3">
      <c r="A1670" t="s">
        <v>3038</v>
      </c>
      <c r="B1670" s="2">
        <v>45880</v>
      </c>
      <c r="C1670" t="s">
        <v>824</v>
      </c>
      <c r="D1670" t="s">
        <v>24</v>
      </c>
      <c r="E1670" t="s">
        <v>92</v>
      </c>
      <c r="F1670">
        <v>4</v>
      </c>
      <c r="G1670">
        <v>0</v>
      </c>
      <c r="H1670">
        <v>3600</v>
      </c>
      <c r="I1670">
        <v>-1242.6199999999999</v>
      </c>
      <c r="J1670" t="s">
        <v>65</v>
      </c>
      <c r="K1670" t="s">
        <v>80</v>
      </c>
      <c r="L1670">
        <v>900</v>
      </c>
      <c r="M1670">
        <v>-34.517222222222223</v>
      </c>
      <c r="N1670" t="s">
        <v>81</v>
      </c>
      <c r="O1670" t="s">
        <v>825</v>
      </c>
      <c r="P1670" t="s">
        <v>29</v>
      </c>
      <c r="Q1670" t="s">
        <v>30</v>
      </c>
      <c r="R1670" t="s">
        <v>53</v>
      </c>
      <c r="S1670" t="s">
        <v>54</v>
      </c>
      <c r="T1670" t="s">
        <v>826</v>
      </c>
      <c r="U1670" t="s">
        <v>105</v>
      </c>
      <c r="V1670">
        <v>-310.65499999999997</v>
      </c>
    </row>
    <row r="1671" spans="1:22" x14ac:dyDescent="0.3">
      <c r="A1671" t="s">
        <v>3039</v>
      </c>
      <c r="B1671" s="2">
        <v>46247</v>
      </c>
      <c r="C1671" t="s">
        <v>1605</v>
      </c>
      <c r="D1671" t="s">
        <v>49</v>
      </c>
      <c r="E1671" t="s">
        <v>50</v>
      </c>
      <c r="F1671">
        <v>2</v>
      </c>
      <c r="G1671">
        <v>0.1</v>
      </c>
      <c r="H1671">
        <v>23400</v>
      </c>
      <c r="I1671">
        <v>4329.4799999999996</v>
      </c>
      <c r="J1671" t="s">
        <v>51</v>
      </c>
      <c r="K1671" t="s">
        <v>40</v>
      </c>
      <c r="L1671">
        <v>11700</v>
      </c>
      <c r="M1671">
        <v>18.50205128205128</v>
      </c>
      <c r="N1671" t="s">
        <v>8</v>
      </c>
      <c r="O1671" t="s">
        <v>1606</v>
      </c>
      <c r="P1671" t="s">
        <v>73</v>
      </c>
      <c r="Q1671" t="s">
        <v>30</v>
      </c>
      <c r="R1671" t="s">
        <v>53</v>
      </c>
      <c r="S1671" t="s">
        <v>54</v>
      </c>
      <c r="T1671" t="s">
        <v>1607</v>
      </c>
      <c r="U1671" t="s">
        <v>34</v>
      </c>
      <c r="V1671">
        <v>2164.7399999999998</v>
      </c>
    </row>
    <row r="1672" spans="1:22" x14ac:dyDescent="0.3">
      <c r="A1672" t="s">
        <v>3040</v>
      </c>
      <c r="B1672" s="2">
        <v>46207</v>
      </c>
      <c r="C1672" t="s">
        <v>700</v>
      </c>
      <c r="D1672" t="s">
        <v>24</v>
      </c>
      <c r="E1672" t="s">
        <v>92</v>
      </c>
      <c r="F1672">
        <v>3</v>
      </c>
      <c r="G1672">
        <v>0.05</v>
      </c>
      <c r="H1672">
        <v>2565</v>
      </c>
      <c r="I1672">
        <v>726.26</v>
      </c>
      <c r="J1672" t="s">
        <v>51</v>
      </c>
      <c r="K1672" t="s">
        <v>40</v>
      </c>
      <c r="L1672">
        <v>855</v>
      </c>
      <c r="M1672">
        <v>28.31423001949317</v>
      </c>
      <c r="N1672" t="s">
        <v>8</v>
      </c>
      <c r="O1672" t="s">
        <v>701</v>
      </c>
      <c r="P1672" t="s">
        <v>29</v>
      </c>
      <c r="Q1672" t="s">
        <v>30</v>
      </c>
      <c r="R1672" t="s">
        <v>60</v>
      </c>
      <c r="S1672" t="s">
        <v>61</v>
      </c>
      <c r="T1672" t="s">
        <v>702</v>
      </c>
      <c r="U1672" t="s">
        <v>34</v>
      </c>
      <c r="V1672">
        <v>242.0866666666667</v>
      </c>
    </row>
    <row r="1673" spans="1:22" x14ac:dyDescent="0.3">
      <c r="A1673" t="s">
        <v>3041</v>
      </c>
      <c r="B1673" s="2">
        <v>46245</v>
      </c>
      <c r="C1673" t="s">
        <v>818</v>
      </c>
      <c r="D1673" t="s">
        <v>70</v>
      </c>
      <c r="E1673" t="s">
        <v>71</v>
      </c>
      <c r="F1673">
        <v>2</v>
      </c>
      <c r="G1673">
        <v>0.2</v>
      </c>
      <c r="H1673">
        <v>28800</v>
      </c>
      <c r="I1673">
        <v>2919.75</v>
      </c>
      <c r="J1673" t="s">
        <v>26</v>
      </c>
      <c r="K1673" t="s">
        <v>40</v>
      </c>
      <c r="L1673">
        <v>14400</v>
      </c>
      <c r="M1673">
        <v>10.13802083333333</v>
      </c>
      <c r="N1673" t="s">
        <v>8</v>
      </c>
      <c r="O1673" t="s">
        <v>209</v>
      </c>
      <c r="P1673" t="s">
        <v>29</v>
      </c>
      <c r="Q1673" t="s">
        <v>42</v>
      </c>
      <c r="R1673" t="s">
        <v>110</v>
      </c>
      <c r="S1673" t="s">
        <v>111</v>
      </c>
      <c r="T1673" t="s">
        <v>162</v>
      </c>
      <c r="U1673" t="s">
        <v>105</v>
      </c>
      <c r="V1673">
        <v>1459.875</v>
      </c>
    </row>
    <row r="1674" spans="1:22" x14ac:dyDescent="0.3">
      <c r="A1674" t="s">
        <v>3042</v>
      </c>
      <c r="B1674" s="2">
        <v>46067</v>
      </c>
      <c r="C1674" t="s">
        <v>1308</v>
      </c>
      <c r="D1674" t="s">
        <v>49</v>
      </c>
      <c r="E1674" t="s">
        <v>79</v>
      </c>
      <c r="F1674">
        <v>1</v>
      </c>
      <c r="G1674">
        <v>0.1</v>
      </c>
      <c r="H1674">
        <v>9900</v>
      </c>
      <c r="I1674">
        <v>1708.82</v>
      </c>
      <c r="J1674" t="s">
        <v>51</v>
      </c>
      <c r="K1674" t="s">
        <v>40</v>
      </c>
      <c r="L1674">
        <v>9900</v>
      </c>
      <c r="M1674">
        <v>17.260808080808079</v>
      </c>
      <c r="N1674" t="s">
        <v>8</v>
      </c>
      <c r="O1674" t="s">
        <v>1309</v>
      </c>
      <c r="P1674" t="s">
        <v>29</v>
      </c>
      <c r="Q1674" t="s">
        <v>131</v>
      </c>
      <c r="R1674" t="s">
        <v>132</v>
      </c>
      <c r="S1674" t="s">
        <v>133</v>
      </c>
      <c r="T1674" t="s">
        <v>1310</v>
      </c>
      <c r="U1674" t="s">
        <v>46</v>
      </c>
      <c r="V1674">
        <v>1708.82</v>
      </c>
    </row>
    <row r="1675" spans="1:22" x14ac:dyDescent="0.3">
      <c r="A1675" t="s">
        <v>3043</v>
      </c>
      <c r="B1675" s="2">
        <v>45859</v>
      </c>
      <c r="C1675" t="s">
        <v>1004</v>
      </c>
      <c r="D1675" t="s">
        <v>24</v>
      </c>
      <c r="E1675" t="s">
        <v>242</v>
      </c>
      <c r="F1675">
        <v>2</v>
      </c>
      <c r="G1675">
        <v>0.2</v>
      </c>
      <c r="H1675">
        <v>720</v>
      </c>
      <c r="I1675">
        <v>120.92</v>
      </c>
      <c r="J1675" t="s">
        <v>65</v>
      </c>
      <c r="K1675" t="s">
        <v>40</v>
      </c>
      <c r="L1675">
        <v>360</v>
      </c>
      <c r="M1675">
        <v>16.794444444444441</v>
      </c>
      <c r="N1675" t="s">
        <v>8</v>
      </c>
      <c r="O1675" t="s">
        <v>1005</v>
      </c>
      <c r="P1675" t="s">
        <v>29</v>
      </c>
      <c r="Q1675" t="s">
        <v>30</v>
      </c>
      <c r="R1675" t="s">
        <v>98</v>
      </c>
      <c r="S1675" t="s">
        <v>54</v>
      </c>
      <c r="T1675" t="s">
        <v>1006</v>
      </c>
      <c r="U1675" t="s">
        <v>105</v>
      </c>
      <c r="V1675">
        <v>60.46</v>
      </c>
    </row>
    <row r="1676" spans="1:22" x14ac:dyDescent="0.3">
      <c r="A1676" t="s">
        <v>3044</v>
      </c>
      <c r="B1676" s="2">
        <v>46230</v>
      </c>
      <c r="C1676" t="s">
        <v>2126</v>
      </c>
      <c r="D1676" t="s">
        <v>24</v>
      </c>
      <c r="E1676" t="s">
        <v>242</v>
      </c>
      <c r="F1676">
        <v>1</v>
      </c>
      <c r="G1676">
        <v>0</v>
      </c>
      <c r="H1676">
        <v>450</v>
      </c>
      <c r="I1676">
        <v>-54.66</v>
      </c>
      <c r="J1676" t="s">
        <v>51</v>
      </c>
      <c r="K1676" t="s">
        <v>80</v>
      </c>
      <c r="L1676">
        <v>450</v>
      </c>
      <c r="M1676">
        <v>-12.146666666666659</v>
      </c>
      <c r="N1676" t="s">
        <v>81</v>
      </c>
      <c r="O1676" t="s">
        <v>2127</v>
      </c>
      <c r="P1676" t="s">
        <v>83</v>
      </c>
      <c r="Q1676" t="s">
        <v>131</v>
      </c>
      <c r="R1676" t="s">
        <v>200</v>
      </c>
      <c r="S1676" t="s">
        <v>201</v>
      </c>
      <c r="T1676" t="s">
        <v>2128</v>
      </c>
      <c r="U1676" t="s">
        <v>46</v>
      </c>
      <c r="V1676">
        <v>-54.66</v>
      </c>
    </row>
    <row r="1677" spans="1:22" x14ac:dyDescent="0.3">
      <c r="A1677" t="s">
        <v>3045</v>
      </c>
      <c r="B1677" s="2">
        <v>46118</v>
      </c>
      <c r="C1677" t="s">
        <v>501</v>
      </c>
      <c r="D1677" t="s">
        <v>37</v>
      </c>
      <c r="E1677" t="s">
        <v>170</v>
      </c>
      <c r="F1677">
        <v>1</v>
      </c>
      <c r="G1677">
        <v>0</v>
      </c>
      <c r="H1677">
        <v>1400</v>
      </c>
      <c r="I1677">
        <v>500</v>
      </c>
      <c r="J1677" t="s">
        <v>51</v>
      </c>
      <c r="K1677" t="s">
        <v>40</v>
      </c>
      <c r="L1677">
        <v>1400</v>
      </c>
      <c r="M1677">
        <v>35.714285714285722</v>
      </c>
      <c r="N1677" t="s">
        <v>8</v>
      </c>
      <c r="O1677" t="s">
        <v>502</v>
      </c>
      <c r="P1677" t="s">
        <v>29</v>
      </c>
      <c r="Q1677" t="s">
        <v>30</v>
      </c>
      <c r="R1677" t="s">
        <v>31</v>
      </c>
      <c r="S1677" t="s">
        <v>32</v>
      </c>
      <c r="T1677" t="s">
        <v>503</v>
      </c>
      <c r="U1677" t="s">
        <v>100</v>
      </c>
      <c r="V1677">
        <v>500</v>
      </c>
    </row>
    <row r="1678" spans="1:22" x14ac:dyDescent="0.3">
      <c r="A1678" t="s">
        <v>3046</v>
      </c>
      <c r="B1678" s="2">
        <v>45879</v>
      </c>
      <c r="C1678" t="s">
        <v>1229</v>
      </c>
      <c r="D1678" t="s">
        <v>49</v>
      </c>
      <c r="E1678" t="s">
        <v>119</v>
      </c>
      <c r="F1678">
        <v>4</v>
      </c>
      <c r="G1678">
        <v>0</v>
      </c>
      <c r="H1678">
        <v>36000</v>
      </c>
      <c r="I1678">
        <v>9200</v>
      </c>
      <c r="J1678" t="s">
        <v>39</v>
      </c>
      <c r="K1678" t="s">
        <v>27</v>
      </c>
      <c r="L1678">
        <v>9000</v>
      </c>
      <c r="M1678">
        <v>25.55555555555555</v>
      </c>
      <c r="N1678" t="s">
        <v>8</v>
      </c>
      <c r="O1678" t="s">
        <v>1102</v>
      </c>
      <c r="P1678" t="s">
        <v>83</v>
      </c>
      <c r="Q1678" t="s">
        <v>42</v>
      </c>
      <c r="R1678" t="s">
        <v>110</v>
      </c>
      <c r="S1678" t="s">
        <v>111</v>
      </c>
      <c r="T1678" t="s">
        <v>912</v>
      </c>
      <c r="U1678" t="s">
        <v>46</v>
      </c>
      <c r="V1678">
        <v>2300</v>
      </c>
    </row>
    <row r="1679" spans="1:22" x14ac:dyDescent="0.3">
      <c r="A1679" t="s">
        <v>3047</v>
      </c>
      <c r="B1679" s="2">
        <v>45890</v>
      </c>
      <c r="C1679" t="s">
        <v>469</v>
      </c>
      <c r="D1679" t="s">
        <v>24</v>
      </c>
      <c r="E1679" t="s">
        <v>92</v>
      </c>
      <c r="F1679">
        <v>3</v>
      </c>
      <c r="G1679">
        <v>0</v>
      </c>
      <c r="H1679">
        <v>2700</v>
      </c>
      <c r="I1679">
        <v>840</v>
      </c>
      <c r="J1679" t="s">
        <v>51</v>
      </c>
      <c r="K1679" t="s">
        <v>40</v>
      </c>
      <c r="L1679">
        <v>900</v>
      </c>
      <c r="M1679">
        <v>31.111111111111111</v>
      </c>
      <c r="N1679" t="s">
        <v>8</v>
      </c>
      <c r="O1679" t="s">
        <v>470</v>
      </c>
      <c r="P1679" t="s">
        <v>83</v>
      </c>
      <c r="Q1679" t="s">
        <v>30</v>
      </c>
      <c r="R1679" t="s">
        <v>31</v>
      </c>
      <c r="S1679" t="s">
        <v>32</v>
      </c>
      <c r="T1679" t="s">
        <v>471</v>
      </c>
      <c r="U1679" t="s">
        <v>100</v>
      </c>
      <c r="V1679">
        <v>280</v>
      </c>
    </row>
    <row r="1680" spans="1:22" x14ac:dyDescent="0.3">
      <c r="A1680" t="s">
        <v>3048</v>
      </c>
      <c r="B1680" s="2">
        <v>45893</v>
      </c>
      <c r="C1680" t="s">
        <v>1087</v>
      </c>
      <c r="D1680" t="s">
        <v>49</v>
      </c>
      <c r="E1680" t="s">
        <v>58</v>
      </c>
      <c r="F1680">
        <v>2</v>
      </c>
      <c r="G1680">
        <v>0.15</v>
      </c>
      <c r="H1680">
        <v>25500</v>
      </c>
      <c r="I1680">
        <v>3556.4</v>
      </c>
      <c r="J1680" t="s">
        <v>26</v>
      </c>
      <c r="K1680" t="s">
        <v>40</v>
      </c>
      <c r="L1680">
        <v>12750</v>
      </c>
      <c r="M1680">
        <v>13.946666666666671</v>
      </c>
      <c r="N1680" t="s">
        <v>8</v>
      </c>
      <c r="O1680" t="s">
        <v>1088</v>
      </c>
      <c r="P1680" t="s">
        <v>73</v>
      </c>
      <c r="Q1680" t="s">
        <v>131</v>
      </c>
      <c r="R1680" t="s">
        <v>200</v>
      </c>
      <c r="S1680" t="s">
        <v>201</v>
      </c>
      <c r="T1680" t="s">
        <v>1089</v>
      </c>
      <c r="U1680" t="s">
        <v>46</v>
      </c>
      <c r="V1680">
        <v>1778.2</v>
      </c>
    </row>
    <row r="1681" spans="1:22" x14ac:dyDescent="0.3">
      <c r="A1681" t="s">
        <v>3049</v>
      </c>
      <c r="B1681" s="2">
        <v>45939</v>
      </c>
      <c r="C1681" t="s">
        <v>1297</v>
      </c>
      <c r="D1681" t="s">
        <v>24</v>
      </c>
      <c r="E1681" t="s">
        <v>25</v>
      </c>
      <c r="F1681">
        <v>2</v>
      </c>
      <c r="G1681">
        <v>0.15</v>
      </c>
      <c r="H1681">
        <v>23800</v>
      </c>
      <c r="I1681">
        <v>2458.0500000000002</v>
      </c>
      <c r="J1681" t="s">
        <v>65</v>
      </c>
      <c r="K1681" t="s">
        <v>40</v>
      </c>
      <c r="L1681">
        <v>11900</v>
      </c>
      <c r="M1681">
        <v>10.32794117647059</v>
      </c>
      <c r="N1681" t="s">
        <v>8</v>
      </c>
      <c r="O1681" t="s">
        <v>781</v>
      </c>
      <c r="P1681" t="s">
        <v>29</v>
      </c>
      <c r="Q1681" t="s">
        <v>30</v>
      </c>
      <c r="R1681" t="s">
        <v>31</v>
      </c>
      <c r="S1681" t="s">
        <v>32</v>
      </c>
      <c r="T1681" t="s">
        <v>1298</v>
      </c>
      <c r="U1681" t="s">
        <v>100</v>
      </c>
      <c r="V1681">
        <v>1229.0250000000001</v>
      </c>
    </row>
    <row r="1682" spans="1:22" x14ac:dyDescent="0.3">
      <c r="A1682" t="s">
        <v>3050</v>
      </c>
      <c r="B1682" s="2">
        <v>45883</v>
      </c>
      <c r="C1682" t="s">
        <v>664</v>
      </c>
      <c r="D1682" t="s">
        <v>24</v>
      </c>
      <c r="E1682" t="s">
        <v>25</v>
      </c>
      <c r="F1682">
        <v>1</v>
      </c>
      <c r="G1682">
        <v>0.15</v>
      </c>
      <c r="H1682">
        <v>11900</v>
      </c>
      <c r="I1682">
        <v>1187.68</v>
      </c>
      <c r="J1682" t="s">
        <v>51</v>
      </c>
      <c r="K1682" t="s">
        <v>40</v>
      </c>
      <c r="L1682">
        <v>11900</v>
      </c>
      <c r="M1682">
        <v>9.9805042016806738</v>
      </c>
      <c r="N1682" t="s">
        <v>8</v>
      </c>
      <c r="O1682" t="s">
        <v>665</v>
      </c>
      <c r="P1682" t="s">
        <v>29</v>
      </c>
      <c r="Q1682" t="s">
        <v>30</v>
      </c>
      <c r="R1682" t="s">
        <v>31</v>
      </c>
      <c r="S1682" t="s">
        <v>32</v>
      </c>
      <c r="T1682" t="s">
        <v>256</v>
      </c>
      <c r="U1682" t="s">
        <v>34</v>
      </c>
      <c r="V1682">
        <v>1187.68</v>
      </c>
    </row>
    <row r="1683" spans="1:22" x14ac:dyDescent="0.3">
      <c r="A1683" t="s">
        <v>3051</v>
      </c>
      <c r="B1683" s="2">
        <v>46001</v>
      </c>
      <c r="C1683" t="s">
        <v>2521</v>
      </c>
      <c r="D1683" t="s">
        <v>49</v>
      </c>
      <c r="E1683" t="s">
        <v>58</v>
      </c>
      <c r="F1683">
        <v>2</v>
      </c>
      <c r="G1683">
        <v>0</v>
      </c>
      <c r="H1683">
        <v>30000</v>
      </c>
      <c r="I1683">
        <v>7000</v>
      </c>
      <c r="J1683" t="s">
        <v>39</v>
      </c>
      <c r="K1683" t="s">
        <v>40</v>
      </c>
      <c r="L1683">
        <v>15000</v>
      </c>
      <c r="M1683">
        <v>23.333333333333329</v>
      </c>
      <c r="N1683" t="s">
        <v>8</v>
      </c>
      <c r="O1683" t="s">
        <v>571</v>
      </c>
      <c r="P1683" t="s">
        <v>29</v>
      </c>
      <c r="Q1683" t="s">
        <v>74</v>
      </c>
      <c r="R1683" t="s">
        <v>75</v>
      </c>
      <c r="S1683" t="s">
        <v>75</v>
      </c>
      <c r="T1683" t="s">
        <v>2522</v>
      </c>
      <c r="U1683" t="s">
        <v>34</v>
      </c>
      <c r="V1683">
        <v>3500</v>
      </c>
    </row>
    <row r="1684" spans="1:22" x14ac:dyDescent="0.3">
      <c r="A1684" t="s">
        <v>3052</v>
      </c>
      <c r="B1684" s="2">
        <v>45858</v>
      </c>
      <c r="C1684" t="s">
        <v>1243</v>
      </c>
      <c r="D1684" t="s">
        <v>70</v>
      </c>
      <c r="E1684" t="s">
        <v>129</v>
      </c>
      <c r="F1684">
        <v>4</v>
      </c>
      <c r="G1684">
        <v>0.1</v>
      </c>
      <c r="H1684">
        <v>198000</v>
      </c>
      <c r="I1684">
        <v>24175.88</v>
      </c>
      <c r="J1684" t="s">
        <v>39</v>
      </c>
      <c r="K1684" t="s">
        <v>40</v>
      </c>
      <c r="L1684">
        <v>49500</v>
      </c>
      <c r="M1684">
        <v>12.210040404040409</v>
      </c>
      <c r="N1684" t="s">
        <v>8</v>
      </c>
      <c r="O1684" t="s">
        <v>754</v>
      </c>
      <c r="P1684" t="s">
        <v>73</v>
      </c>
      <c r="Q1684" t="s">
        <v>42</v>
      </c>
      <c r="R1684" t="s">
        <v>110</v>
      </c>
      <c r="S1684" t="s">
        <v>111</v>
      </c>
      <c r="T1684" t="s">
        <v>1244</v>
      </c>
      <c r="U1684" t="s">
        <v>105</v>
      </c>
      <c r="V1684">
        <v>6043.97</v>
      </c>
    </row>
    <row r="1685" spans="1:22" x14ac:dyDescent="0.3">
      <c r="A1685" t="s">
        <v>3053</v>
      </c>
      <c r="B1685" s="2">
        <v>46102</v>
      </c>
      <c r="C1685" t="s">
        <v>2756</v>
      </c>
      <c r="D1685" t="s">
        <v>49</v>
      </c>
      <c r="E1685" t="s">
        <v>58</v>
      </c>
      <c r="F1685">
        <v>1</v>
      </c>
      <c r="G1685">
        <v>0.15</v>
      </c>
      <c r="H1685">
        <v>12750</v>
      </c>
      <c r="I1685">
        <v>-1996.97</v>
      </c>
      <c r="J1685" t="s">
        <v>65</v>
      </c>
      <c r="K1685" t="s">
        <v>434</v>
      </c>
      <c r="L1685">
        <v>12750</v>
      </c>
      <c r="M1685">
        <v>-15.662509803921569</v>
      </c>
      <c r="N1685" t="s">
        <v>81</v>
      </c>
      <c r="O1685" t="s">
        <v>213</v>
      </c>
      <c r="P1685" t="s">
        <v>73</v>
      </c>
      <c r="Q1685" t="s">
        <v>42</v>
      </c>
      <c r="R1685" t="s">
        <v>121</v>
      </c>
      <c r="S1685" t="s">
        <v>44</v>
      </c>
      <c r="T1685" t="s">
        <v>2757</v>
      </c>
      <c r="U1685" t="s">
        <v>105</v>
      </c>
      <c r="V1685">
        <v>-1996.97</v>
      </c>
    </row>
    <row r="1686" spans="1:22" x14ac:dyDescent="0.3">
      <c r="A1686" t="s">
        <v>3054</v>
      </c>
      <c r="B1686" s="2">
        <v>46223</v>
      </c>
      <c r="C1686" t="s">
        <v>2327</v>
      </c>
      <c r="D1686" t="s">
        <v>70</v>
      </c>
      <c r="E1686" t="s">
        <v>129</v>
      </c>
      <c r="F1686">
        <v>5</v>
      </c>
      <c r="G1686">
        <v>0.15</v>
      </c>
      <c r="H1686">
        <v>233750</v>
      </c>
      <c r="I1686">
        <v>24550.03</v>
      </c>
      <c r="J1686" t="s">
        <v>26</v>
      </c>
      <c r="K1686" t="s">
        <v>40</v>
      </c>
      <c r="L1686">
        <v>46750</v>
      </c>
      <c r="M1686">
        <v>10.50268663101604</v>
      </c>
      <c r="N1686" t="s">
        <v>8</v>
      </c>
      <c r="O1686" t="s">
        <v>825</v>
      </c>
      <c r="P1686" t="s">
        <v>73</v>
      </c>
      <c r="Q1686" t="s">
        <v>30</v>
      </c>
      <c r="R1686" t="s">
        <v>31</v>
      </c>
      <c r="S1686" t="s">
        <v>32</v>
      </c>
      <c r="T1686" t="s">
        <v>55</v>
      </c>
      <c r="U1686" t="s">
        <v>46</v>
      </c>
      <c r="V1686">
        <v>4910.0059999999994</v>
      </c>
    </row>
    <row r="1687" spans="1:22" x14ac:dyDescent="0.3">
      <c r="A1687" t="s">
        <v>3055</v>
      </c>
      <c r="B1687" s="2">
        <v>45999</v>
      </c>
      <c r="C1687" t="s">
        <v>1091</v>
      </c>
      <c r="D1687" t="s">
        <v>24</v>
      </c>
      <c r="E1687" t="s">
        <v>87</v>
      </c>
      <c r="F1687">
        <v>6</v>
      </c>
      <c r="G1687">
        <v>0</v>
      </c>
      <c r="H1687">
        <v>2100</v>
      </c>
      <c r="I1687">
        <v>720</v>
      </c>
      <c r="J1687" t="s">
        <v>26</v>
      </c>
      <c r="K1687" t="s">
        <v>40</v>
      </c>
      <c r="L1687">
        <v>350</v>
      </c>
      <c r="M1687">
        <v>34.285714285714278</v>
      </c>
      <c r="N1687" t="s">
        <v>8</v>
      </c>
      <c r="O1687" t="s">
        <v>1018</v>
      </c>
      <c r="P1687" t="s">
        <v>83</v>
      </c>
      <c r="Q1687" t="s">
        <v>30</v>
      </c>
      <c r="R1687" t="s">
        <v>31</v>
      </c>
      <c r="S1687" t="s">
        <v>32</v>
      </c>
      <c r="T1687" t="s">
        <v>1092</v>
      </c>
      <c r="U1687" t="s">
        <v>105</v>
      </c>
      <c r="V1687">
        <v>120</v>
      </c>
    </row>
    <row r="1688" spans="1:22" x14ac:dyDescent="0.3">
      <c r="A1688" t="s">
        <v>3056</v>
      </c>
      <c r="B1688" s="2">
        <v>46207</v>
      </c>
      <c r="C1688" t="s">
        <v>2424</v>
      </c>
      <c r="D1688" t="s">
        <v>49</v>
      </c>
      <c r="E1688" t="s">
        <v>119</v>
      </c>
      <c r="F1688">
        <v>6</v>
      </c>
      <c r="G1688">
        <v>0</v>
      </c>
      <c r="H1688">
        <v>54000</v>
      </c>
      <c r="I1688">
        <v>-13543.59</v>
      </c>
      <c r="J1688" t="s">
        <v>65</v>
      </c>
      <c r="K1688" t="s">
        <v>80</v>
      </c>
      <c r="L1688">
        <v>9000</v>
      </c>
      <c r="M1688">
        <v>-25.080722222222221</v>
      </c>
      <c r="N1688" t="s">
        <v>81</v>
      </c>
      <c r="O1688" t="s">
        <v>1668</v>
      </c>
      <c r="P1688" t="s">
        <v>29</v>
      </c>
      <c r="Q1688" t="s">
        <v>42</v>
      </c>
      <c r="R1688" t="s">
        <v>43</v>
      </c>
      <c r="S1688" t="s">
        <v>44</v>
      </c>
      <c r="T1688" t="s">
        <v>2425</v>
      </c>
      <c r="U1688" t="s">
        <v>100</v>
      </c>
      <c r="V1688">
        <v>-2257.2649999999999</v>
      </c>
    </row>
    <row r="1689" spans="1:22" x14ac:dyDescent="0.3">
      <c r="A1689" t="s">
        <v>3057</v>
      </c>
      <c r="B1689" s="2">
        <v>45847</v>
      </c>
      <c r="C1689" t="s">
        <v>2164</v>
      </c>
      <c r="D1689" t="s">
        <v>49</v>
      </c>
      <c r="E1689" t="s">
        <v>50</v>
      </c>
      <c r="F1689">
        <v>1</v>
      </c>
      <c r="G1689">
        <v>0.1</v>
      </c>
      <c r="H1689">
        <v>11700</v>
      </c>
      <c r="I1689">
        <v>2515.73</v>
      </c>
      <c r="J1689" t="s">
        <v>26</v>
      </c>
      <c r="K1689" t="s">
        <v>40</v>
      </c>
      <c r="L1689">
        <v>11700</v>
      </c>
      <c r="M1689">
        <v>21.50196581196581</v>
      </c>
      <c r="N1689" t="s">
        <v>8</v>
      </c>
      <c r="O1689" t="s">
        <v>141</v>
      </c>
      <c r="P1689" t="s">
        <v>29</v>
      </c>
      <c r="Q1689" t="s">
        <v>74</v>
      </c>
      <c r="R1689" t="s">
        <v>75</v>
      </c>
      <c r="S1689" t="s">
        <v>75</v>
      </c>
      <c r="T1689" t="s">
        <v>2165</v>
      </c>
      <c r="U1689" t="s">
        <v>105</v>
      </c>
      <c r="V1689">
        <v>2515.73</v>
      </c>
    </row>
    <row r="1690" spans="1:22" x14ac:dyDescent="0.3">
      <c r="A1690" t="s">
        <v>3058</v>
      </c>
      <c r="B1690" s="2">
        <v>46153</v>
      </c>
      <c r="C1690" t="s">
        <v>1094</v>
      </c>
      <c r="D1690" t="s">
        <v>37</v>
      </c>
      <c r="E1690" t="s">
        <v>38</v>
      </c>
      <c r="F1690">
        <v>1</v>
      </c>
      <c r="G1690">
        <v>0.1</v>
      </c>
      <c r="H1690">
        <v>1620</v>
      </c>
      <c r="I1690">
        <v>-682.89</v>
      </c>
      <c r="J1690" t="s">
        <v>51</v>
      </c>
      <c r="K1690" t="s">
        <v>80</v>
      </c>
      <c r="L1690">
        <v>1620</v>
      </c>
      <c r="M1690">
        <v>-42.153703703703712</v>
      </c>
      <c r="N1690" t="s">
        <v>81</v>
      </c>
      <c r="O1690" t="s">
        <v>183</v>
      </c>
      <c r="P1690" t="s">
        <v>73</v>
      </c>
      <c r="Q1690" t="s">
        <v>30</v>
      </c>
      <c r="R1690" t="s">
        <v>31</v>
      </c>
      <c r="S1690" t="s">
        <v>32</v>
      </c>
      <c r="T1690" t="s">
        <v>1095</v>
      </c>
      <c r="U1690" t="s">
        <v>105</v>
      </c>
      <c r="V1690">
        <v>-682.89</v>
      </c>
    </row>
    <row r="1691" spans="1:22" x14ac:dyDescent="0.3">
      <c r="A1691" t="s">
        <v>3059</v>
      </c>
      <c r="B1691" s="2">
        <v>45951</v>
      </c>
      <c r="C1691" t="s">
        <v>678</v>
      </c>
      <c r="D1691" t="s">
        <v>70</v>
      </c>
      <c r="E1691" t="s">
        <v>108</v>
      </c>
      <c r="F1691">
        <v>1</v>
      </c>
      <c r="G1691">
        <v>0</v>
      </c>
      <c r="H1691">
        <v>4500</v>
      </c>
      <c r="I1691">
        <v>-1730.05</v>
      </c>
      <c r="J1691" t="s">
        <v>51</v>
      </c>
      <c r="K1691" t="s">
        <v>434</v>
      </c>
      <c r="L1691">
        <v>4500</v>
      </c>
      <c r="M1691">
        <v>-38.445555555555558</v>
      </c>
      <c r="N1691" t="s">
        <v>81</v>
      </c>
      <c r="O1691" t="s">
        <v>657</v>
      </c>
      <c r="P1691" t="s">
        <v>83</v>
      </c>
      <c r="Q1691" t="s">
        <v>30</v>
      </c>
      <c r="R1691" t="s">
        <v>31</v>
      </c>
      <c r="S1691" t="s">
        <v>32</v>
      </c>
      <c r="T1691" t="s">
        <v>679</v>
      </c>
      <c r="U1691" t="s">
        <v>100</v>
      </c>
      <c r="V1691">
        <v>-1730.05</v>
      </c>
    </row>
    <row r="1692" spans="1:22" x14ac:dyDescent="0.3">
      <c r="A1692" t="s">
        <v>3060</v>
      </c>
      <c r="B1692" s="2">
        <v>46215</v>
      </c>
      <c r="C1692" t="s">
        <v>212</v>
      </c>
      <c r="D1692" t="s">
        <v>70</v>
      </c>
      <c r="E1692" t="s">
        <v>165</v>
      </c>
      <c r="F1692">
        <v>2</v>
      </c>
      <c r="G1692">
        <v>0.1</v>
      </c>
      <c r="H1692">
        <v>4500</v>
      </c>
      <c r="I1692">
        <v>1212.27</v>
      </c>
      <c r="J1692" t="s">
        <v>39</v>
      </c>
      <c r="K1692" t="s">
        <v>40</v>
      </c>
      <c r="L1692">
        <v>2250</v>
      </c>
      <c r="M1692">
        <v>26.93933333333333</v>
      </c>
      <c r="N1692" t="s">
        <v>8</v>
      </c>
      <c r="O1692" t="s">
        <v>213</v>
      </c>
      <c r="P1692" t="s">
        <v>29</v>
      </c>
      <c r="Q1692" t="s">
        <v>42</v>
      </c>
      <c r="R1692" t="s">
        <v>214</v>
      </c>
      <c r="S1692" t="s">
        <v>111</v>
      </c>
      <c r="T1692" t="s">
        <v>215</v>
      </c>
      <c r="U1692" t="s">
        <v>105</v>
      </c>
      <c r="V1692">
        <v>606.13499999999999</v>
      </c>
    </row>
    <row r="1693" spans="1:22" x14ac:dyDescent="0.3">
      <c r="A1693" t="s">
        <v>3061</v>
      </c>
      <c r="B1693" s="2">
        <v>46263</v>
      </c>
      <c r="C1693" t="s">
        <v>726</v>
      </c>
      <c r="D1693" t="s">
        <v>49</v>
      </c>
      <c r="E1693" t="s">
        <v>119</v>
      </c>
      <c r="F1693">
        <v>2</v>
      </c>
      <c r="G1693">
        <v>0.05</v>
      </c>
      <c r="H1693">
        <v>17100</v>
      </c>
      <c r="I1693">
        <v>-4716.91</v>
      </c>
      <c r="J1693" t="s">
        <v>39</v>
      </c>
      <c r="K1693" t="s">
        <v>80</v>
      </c>
      <c r="L1693">
        <v>8550</v>
      </c>
      <c r="M1693">
        <v>-27.58426900584795</v>
      </c>
      <c r="N1693" t="s">
        <v>81</v>
      </c>
      <c r="O1693" t="s">
        <v>727</v>
      </c>
      <c r="P1693" t="s">
        <v>29</v>
      </c>
      <c r="Q1693" t="s">
        <v>30</v>
      </c>
      <c r="R1693" t="s">
        <v>31</v>
      </c>
      <c r="S1693" t="s">
        <v>32</v>
      </c>
      <c r="T1693" t="s">
        <v>33</v>
      </c>
      <c r="U1693" t="s">
        <v>34</v>
      </c>
      <c r="V1693">
        <v>-2358.4549999999999</v>
      </c>
    </row>
    <row r="1694" spans="1:22" x14ac:dyDescent="0.3">
      <c r="A1694" t="s">
        <v>3062</v>
      </c>
      <c r="B1694" s="2">
        <v>46007</v>
      </c>
      <c r="C1694" t="s">
        <v>426</v>
      </c>
      <c r="D1694" t="s">
        <v>24</v>
      </c>
      <c r="E1694" t="s">
        <v>87</v>
      </c>
      <c r="F1694">
        <v>3</v>
      </c>
      <c r="G1694">
        <v>0.1</v>
      </c>
      <c r="H1694">
        <v>945</v>
      </c>
      <c r="I1694">
        <v>36</v>
      </c>
      <c r="J1694" t="s">
        <v>65</v>
      </c>
      <c r="K1694" t="s">
        <v>80</v>
      </c>
      <c r="L1694">
        <v>315</v>
      </c>
      <c r="M1694">
        <v>3.8095238095238102</v>
      </c>
      <c r="N1694" t="s">
        <v>8</v>
      </c>
      <c r="O1694" t="s">
        <v>427</v>
      </c>
      <c r="P1694" t="s">
        <v>73</v>
      </c>
      <c r="Q1694" t="s">
        <v>30</v>
      </c>
      <c r="R1694" t="s">
        <v>60</v>
      </c>
      <c r="S1694" t="s">
        <v>61</v>
      </c>
      <c r="T1694" t="s">
        <v>428</v>
      </c>
      <c r="U1694" t="s">
        <v>34</v>
      </c>
      <c r="V1694">
        <v>12</v>
      </c>
    </row>
    <row r="1695" spans="1:22" x14ac:dyDescent="0.3">
      <c r="A1695" t="s">
        <v>3063</v>
      </c>
      <c r="B1695" s="2">
        <v>45885</v>
      </c>
      <c r="C1695" t="s">
        <v>2017</v>
      </c>
      <c r="D1695" t="s">
        <v>70</v>
      </c>
      <c r="E1695" t="s">
        <v>165</v>
      </c>
      <c r="F1695">
        <v>2</v>
      </c>
      <c r="G1695">
        <v>0</v>
      </c>
      <c r="H1695">
        <v>5000</v>
      </c>
      <c r="I1695">
        <v>-520.44000000000005</v>
      </c>
      <c r="J1695" t="s">
        <v>39</v>
      </c>
      <c r="K1695" t="s">
        <v>80</v>
      </c>
      <c r="L1695">
        <v>2500</v>
      </c>
      <c r="M1695">
        <v>-10.408799999999999</v>
      </c>
      <c r="N1695" t="s">
        <v>81</v>
      </c>
      <c r="O1695" t="s">
        <v>844</v>
      </c>
      <c r="P1695" t="s">
        <v>29</v>
      </c>
      <c r="Q1695" t="s">
        <v>30</v>
      </c>
      <c r="R1695" t="s">
        <v>31</v>
      </c>
      <c r="S1695" t="s">
        <v>32</v>
      </c>
      <c r="T1695" t="s">
        <v>2018</v>
      </c>
      <c r="U1695" t="s">
        <v>34</v>
      </c>
      <c r="V1695">
        <v>-260.22000000000003</v>
      </c>
    </row>
    <row r="1696" spans="1:22" x14ac:dyDescent="0.3">
      <c r="A1696" t="s">
        <v>3064</v>
      </c>
      <c r="B1696" s="2">
        <v>45915</v>
      </c>
      <c r="C1696" t="s">
        <v>426</v>
      </c>
      <c r="D1696" t="s">
        <v>24</v>
      </c>
      <c r="E1696" t="s">
        <v>87</v>
      </c>
      <c r="F1696">
        <v>2</v>
      </c>
      <c r="G1696">
        <v>0.05</v>
      </c>
      <c r="H1696">
        <v>665</v>
      </c>
      <c r="I1696">
        <v>218.49</v>
      </c>
      <c r="J1696" t="s">
        <v>65</v>
      </c>
      <c r="K1696" t="s">
        <v>40</v>
      </c>
      <c r="L1696">
        <v>332.5</v>
      </c>
      <c r="M1696">
        <v>32.855639097744358</v>
      </c>
      <c r="N1696" t="s">
        <v>8</v>
      </c>
      <c r="O1696" t="s">
        <v>427</v>
      </c>
      <c r="P1696" t="s">
        <v>73</v>
      </c>
      <c r="Q1696" t="s">
        <v>30</v>
      </c>
      <c r="R1696" t="s">
        <v>60</v>
      </c>
      <c r="S1696" t="s">
        <v>61</v>
      </c>
      <c r="T1696" t="s">
        <v>428</v>
      </c>
      <c r="U1696" t="s">
        <v>34</v>
      </c>
      <c r="V1696">
        <v>109.245</v>
      </c>
    </row>
    <row r="1697" spans="1:22" x14ac:dyDescent="0.3">
      <c r="A1697" t="s">
        <v>3065</v>
      </c>
      <c r="B1697" s="2">
        <v>45839</v>
      </c>
      <c r="C1697" t="s">
        <v>340</v>
      </c>
      <c r="D1697" t="s">
        <v>24</v>
      </c>
      <c r="E1697" t="s">
        <v>92</v>
      </c>
      <c r="F1697">
        <v>5</v>
      </c>
      <c r="G1697">
        <v>0</v>
      </c>
      <c r="H1697">
        <v>4500</v>
      </c>
      <c r="I1697">
        <v>1400</v>
      </c>
      <c r="J1697" t="s">
        <v>39</v>
      </c>
      <c r="K1697" t="s">
        <v>40</v>
      </c>
      <c r="L1697">
        <v>900</v>
      </c>
      <c r="M1697">
        <v>31.111111111111111</v>
      </c>
      <c r="N1697" t="s">
        <v>8</v>
      </c>
      <c r="O1697" t="s">
        <v>341</v>
      </c>
      <c r="P1697" t="s">
        <v>29</v>
      </c>
      <c r="Q1697" t="s">
        <v>30</v>
      </c>
      <c r="R1697" t="s">
        <v>98</v>
      </c>
      <c r="S1697" t="s">
        <v>54</v>
      </c>
      <c r="T1697" t="s">
        <v>342</v>
      </c>
      <c r="U1697" t="s">
        <v>100</v>
      </c>
      <c r="V1697">
        <v>280</v>
      </c>
    </row>
    <row r="1698" spans="1:22" x14ac:dyDescent="0.3">
      <c r="A1698" t="s">
        <v>3066</v>
      </c>
      <c r="B1698" s="2">
        <v>46162</v>
      </c>
      <c r="C1698" t="s">
        <v>491</v>
      </c>
      <c r="D1698" t="s">
        <v>49</v>
      </c>
      <c r="E1698" t="s">
        <v>119</v>
      </c>
      <c r="F1698">
        <v>2</v>
      </c>
      <c r="G1698">
        <v>0.05</v>
      </c>
      <c r="H1698">
        <v>17100</v>
      </c>
      <c r="I1698">
        <v>-2921.72</v>
      </c>
      <c r="J1698" t="s">
        <v>39</v>
      </c>
      <c r="K1698" t="s">
        <v>434</v>
      </c>
      <c r="L1698">
        <v>8550</v>
      </c>
      <c r="M1698">
        <v>-17.08608187134503</v>
      </c>
      <c r="N1698" t="s">
        <v>81</v>
      </c>
      <c r="O1698" t="s">
        <v>492</v>
      </c>
      <c r="P1698" t="s">
        <v>29</v>
      </c>
      <c r="Q1698" t="s">
        <v>74</v>
      </c>
      <c r="R1698" t="s">
        <v>493</v>
      </c>
      <c r="S1698" t="s">
        <v>494</v>
      </c>
      <c r="T1698" t="s">
        <v>495</v>
      </c>
      <c r="U1698" t="s">
        <v>100</v>
      </c>
      <c r="V1698">
        <v>-1460.86</v>
      </c>
    </row>
    <row r="1699" spans="1:22" x14ac:dyDescent="0.3">
      <c r="A1699" t="s">
        <v>3067</v>
      </c>
      <c r="B1699" s="2">
        <v>45964</v>
      </c>
      <c r="C1699" t="s">
        <v>3068</v>
      </c>
      <c r="D1699" t="s">
        <v>37</v>
      </c>
      <c r="E1699" t="s">
        <v>190</v>
      </c>
      <c r="F1699">
        <v>3</v>
      </c>
      <c r="G1699">
        <v>0.1</v>
      </c>
      <c r="H1699">
        <v>11340</v>
      </c>
      <c r="I1699">
        <v>2640.33</v>
      </c>
      <c r="J1699" t="s">
        <v>39</v>
      </c>
      <c r="K1699" t="s">
        <v>40</v>
      </c>
      <c r="L1699">
        <v>3780</v>
      </c>
      <c r="M1699">
        <v>23.283333333333331</v>
      </c>
      <c r="N1699" t="s">
        <v>8</v>
      </c>
      <c r="O1699" t="s">
        <v>784</v>
      </c>
      <c r="P1699" t="s">
        <v>29</v>
      </c>
      <c r="Q1699" t="s">
        <v>42</v>
      </c>
      <c r="R1699" t="s">
        <v>121</v>
      </c>
      <c r="S1699" t="s">
        <v>44</v>
      </c>
      <c r="T1699" t="s">
        <v>3069</v>
      </c>
      <c r="U1699" t="s">
        <v>34</v>
      </c>
      <c r="V1699">
        <v>880.11</v>
      </c>
    </row>
    <row r="1700" spans="1:22" x14ac:dyDescent="0.3">
      <c r="A1700" t="s">
        <v>3070</v>
      </c>
      <c r="B1700" s="2">
        <v>46083</v>
      </c>
      <c r="C1700" t="s">
        <v>783</v>
      </c>
      <c r="D1700" t="s">
        <v>24</v>
      </c>
      <c r="E1700" t="s">
        <v>87</v>
      </c>
      <c r="F1700">
        <v>2</v>
      </c>
      <c r="G1700">
        <v>0.1</v>
      </c>
      <c r="H1700">
        <v>630</v>
      </c>
      <c r="I1700">
        <v>201.81</v>
      </c>
      <c r="J1700" t="s">
        <v>39</v>
      </c>
      <c r="K1700" t="s">
        <v>27</v>
      </c>
      <c r="L1700">
        <v>315</v>
      </c>
      <c r="M1700">
        <v>32.033333333333339</v>
      </c>
      <c r="N1700" t="s">
        <v>8</v>
      </c>
      <c r="O1700" t="s">
        <v>784</v>
      </c>
      <c r="P1700" t="s">
        <v>73</v>
      </c>
      <c r="Q1700" t="s">
        <v>74</v>
      </c>
      <c r="R1700" t="s">
        <v>493</v>
      </c>
      <c r="S1700" t="s">
        <v>494</v>
      </c>
      <c r="T1700" t="s">
        <v>785</v>
      </c>
      <c r="U1700" t="s">
        <v>46</v>
      </c>
      <c r="V1700">
        <v>100.905</v>
      </c>
    </row>
    <row r="1701" spans="1:22" x14ac:dyDescent="0.3">
      <c r="A1701" t="s">
        <v>3071</v>
      </c>
      <c r="B1701" s="2">
        <v>45933</v>
      </c>
      <c r="C1701" t="s">
        <v>182</v>
      </c>
      <c r="D1701" t="s">
        <v>70</v>
      </c>
      <c r="E1701" t="s">
        <v>129</v>
      </c>
      <c r="F1701">
        <v>3</v>
      </c>
      <c r="G1701">
        <v>0.1</v>
      </c>
      <c r="H1701">
        <v>148500</v>
      </c>
      <c r="I1701">
        <v>14449.83</v>
      </c>
      <c r="J1701" t="s">
        <v>51</v>
      </c>
      <c r="K1701" t="s">
        <v>27</v>
      </c>
      <c r="L1701">
        <v>49500</v>
      </c>
      <c r="M1701">
        <v>9.7305252525252524</v>
      </c>
      <c r="N1701" t="s">
        <v>8</v>
      </c>
      <c r="O1701" t="s">
        <v>183</v>
      </c>
      <c r="P1701" t="s">
        <v>73</v>
      </c>
      <c r="Q1701" t="s">
        <v>30</v>
      </c>
      <c r="R1701" t="s">
        <v>53</v>
      </c>
      <c r="S1701" t="s">
        <v>54</v>
      </c>
      <c r="T1701" t="s">
        <v>184</v>
      </c>
      <c r="U1701" t="s">
        <v>34</v>
      </c>
      <c r="V1701">
        <v>4816.6099999999997</v>
      </c>
    </row>
    <row r="1702" spans="1:22" x14ac:dyDescent="0.3">
      <c r="A1702" t="s">
        <v>3072</v>
      </c>
      <c r="B1702" s="2">
        <v>45887</v>
      </c>
      <c r="C1702" t="s">
        <v>854</v>
      </c>
      <c r="D1702" t="s">
        <v>24</v>
      </c>
      <c r="E1702" t="s">
        <v>242</v>
      </c>
      <c r="F1702">
        <v>1</v>
      </c>
      <c r="G1702">
        <v>0.1</v>
      </c>
      <c r="H1702">
        <v>405</v>
      </c>
      <c r="I1702">
        <v>87.22</v>
      </c>
      <c r="J1702" t="s">
        <v>51</v>
      </c>
      <c r="K1702" t="s">
        <v>40</v>
      </c>
      <c r="L1702">
        <v>405</v>
      </c>
      <c r="M1702">
        <v>21.535802469135799</v>
      </c>
      <c r="N1702" t="s">
        <v>8</v>
      </c>
      <c r="O1702" t="s">
        <v>855</v>
      </c>
      <c r="P1702" t="s">
        <v>29</v>
      </c>
      <c r="Q1702" t="s">
        <v>74</v>
      </c>
      <c r="R1702" t="s">
        <v>493</v>
      </c>
      <c r="S1702" t="s">
        <v>494</v>
      </c>
      <c r="T1702" t="s">
        <v>856</v>
      </c>
      <c r="U1702" t="s">
        <v>100</v>
      </c>
      <c r="V1702">
        <v>87.22</v>
      </c>
    </row>
    <row r="1703" spans="1:22" x14ac:dyDescent="0.3">
      <c r="A1703" t="s">
        <v>3073</v>
      </c>
      <c r="B1703" s="2">
        <v>46171</v>
      </c>
      <c r="C1703" t="s">
        <v>772</v>
      </c>
      <c r="D1703" t="s">
        <v>24</v>
      </c>
      <c r="E1703" t="s">
        <v>92</v>
      </c>
      <c r="F1703">
        <v>3</v>
      </c>
      <c r="G1703">
        <v>0.1</v>
      </c>
      <c r="H1703">
        <v>2430</v>
      </c>
      <c r="I1703">
        <v>688.2</v>
      </c>
      <c r="J1703" t="s">
        <v>51</v>
      </c>
      <c r="K1703" t="s">
        <v>40</v>
      </c>
      <c r="L1703">
        <v>810</v>
      </c>
      <c r="M1703">
        <v>28.320987654320991</v>
      </c>
      <c r="N1703" t="s">
        <v>8</v>
      </c>
      <c r="O1703" t="s">
        <v>773</v>
      </c>
      <c r="P1703" t="s">
        <v>29</v>
      </c>
      <c r="Q1703" t="s">
        <v>42</v>
      </c>
      <c r="R1703" t="s">
        <v>121</v>
      </c>
      <c r="S1703" t="s">
        <v>44</v>
      </c>
      <c r="T1703" t="s">
        <v>774</v>
      </c>
      <c r="U1703" t="s">
        <v>34</v>
      </c>
      <c r="V1703">
        <v>229.4</v>
      </c>
    </row>
    <row r="1704" spans="1:22" x14ac:dyDescent="0.3">
      <c r="A1704" t="s">
        <v>3074</v>
      </c>
      <c r="B1704" s="2">
        <v>46258</v>
      </c>
      <c r="C1704" t="s">
        <v>409</v>
      </c>
      <c r="D1704" t="s">
        <v>37</v>
      </c>
      <c r="E1704" t="s">
        <v>38</v>
      </c>
      <c r="F1704">
        <v>5</v>
      </c>
      <c r="G1704">
        <v>0.05</v>
      </c>
      <c r="H1704">
        <v>8550</v>
      </c>
      <c r="I1704">
        <v>751.99</v>
      </c>
      <c r="J1704" t="s">
        <v>26</v>
      </c>
      <c r="K1704" t="s">
        <v>80</v>
      </c>
      <c r="L1704">
        <v>1710</v>
      </c>
      <c r="M1704">
        <v>8.7952046783625732</v>
      </c>
      <c r="N1704" t="s">
        <v>8</v>
      </c>
      <c r="O1704" t="s">
        <v>410</v>
      </c>
      <c r="P1704" t="s">
        <v>73</v>
      </c>
      <c r="Q1704" t="s">
        <v>131</v>
      </c>
      <c r="R1704" t="s">
        <v>200</v>
      </c>
      <c r="S1704" t="s">
        <v>201</v>
      </c>
      <c r="T1704" t="s">
        <v>411</v>
      </c>
      <c r="U1704" t="s">
        <v>100</v>
      </c>
      <c r="V1704">
        <v>150.398</v>
      </c>
    </row>
    <row r="1705" spans="1:22" x14ac:dyDescent="0.3">
      <c r="A1705" t="s">
        <v>3075</v>
      </c>
      <c r="B1705" s="2">
        <v>45876</v>
      </c>
      <c r="C1705" t="s">
        <v>2322</v>
      </c>
      <c r="D1705" t="s">
        <v>70</v>
      </c>
      <c r="E1705" t="s">
        <v>71</v>
      </c>
      <c r="F1705">
        <v>2</v>
      </c>
      <c r="G1705">
        <v>0</v>
      </c>
      <c r="H1705">
        <v>36000</v>
      </c>
      <c r="I1705">
        <v>7000</v>
      </c>
      <c r="J1705" t="s">
        <v>65</v>
      </c>
      <c r="K1705" t="s">
        <v>40</v>
      </c>
      <c r="L1705">
        <v>18000</v>
      </c>
      <c r="M1705">
        <v>19.44444444444445</v>
      </c>
      <c r="N1705" t="s">
        <v>8</v>
      </c>
      <c r="O1705" t="s">
        <v>2323</v>
      </c>
      <c r="P1705" t="s">
        <v>29</v>
      </c>
      <c r="Q1705" t="s">
        <v>74</v>
      </c>
      <c r="R1705" t="s">
        <v>75</v>
      </c>
      <c r="S1705" t="s">
        <v>75</v>
      </c>
      <c r="T1705" t="s">
        <v>463</v>
      </c>
      <c r="U1705" t="s">
        <v>100</v>
      </c>
      <c r="V1705">
        <v>3500</v>
      </c>
    </row>
    <row r="1706" spans="1:22" x14ac:dyDescent="0.3">
      <c r="A1706" t="s">
        <v>3076</v>
      </c>
      <c r="B1706" s="2">
        <v>46144</v>
      </c>
      <c r="C1706" t="s">
        <v>3077</v>
      </c>
      <c r="D1706" t="s">
        <v>37</v>
      </c>
      <c r="E1706" t="s">
        <v>170</v>
      </c>
      <c r="F1706">
        <v>5</v>
      </c>
      <c r="G1706">
        <v>0.15</v>
      </c>
      <c r="H1706">
        <v>5950</v>
      </c>
      <c r="I1706">
        <v>1695.18</v>
      </c>
      <c r="J1706" t="s">
        <v>51</v>
      </c>
      <c r="K1706" t="s">
        <v>40</v>
      </c>
      <c r="L1706">
        <v>1190</v>
      </c>
      <c r="M1706">
        <v>28.490420168067232</v>
      </c>
      <c r="N1706" t="s">
        <v>8</v>
      </c>
      <c r="O1706" t="s">
        <v>3078</v>
      </c>
      <c r="P1706" t="s">
        <v>83</v>
      </c>
      <c r="Q1706" t="s">
        <v>42</v>
      </c>
      <c r="R1706" t="s">
        <v>214</v>
      </c>
      <c r="S1706" t="s">
        <v>111</v>
      </c>
      <c r="T1706" t="s">
        <v>3079</v>
      </c>
      <c r="U1706" t="s">
        <v>46</v>
      </c>
      <c r="V1706">
        <v>339.036</v>
      </c>
    </row>
    <row r="1707" spans="1:22" x14ac:dyDescent="0.3">
      <c r="A1707" t="s">
        <v>3080</v>
      </c>
      <c r="B1707" s="2">
        <v>45917</v>
      </c>
      <c r="C1707" t="s">
        <v>279</v>
      </c>
      <c r="D1707" t="s">
        <v>70</v>
      </c>
      <c r="E1707" t="s">
        <v>108</v>
      </c>
      <c r="F1707">
        <v>1</v>
      </c>
      <c r="G1707">
        <v>0.15</v>
      </c>
      <c r="H1707">
        <v>3825</v>
      </c>
      <c r="I1707">
        <v>1095.6300000000001</v>
      </c>
      <c r="J1707" t="s">
        <v>65</v>
      </c>
      <c r="K1707" t="s">
        <v>40</v>
      </c>
      <c r="L1707">
        <v>3825</v>
      </c>
      <c r="M1707">
        <v>28.643921568627459</v>
      </c>
      <c r="N1707" t="s">
        <v>8</v>
      </c>
      <c r="O1707" t="s">
        <v>280</v>
      </c>
      <c r="P1707" t="s">
        <v>73</v>
      </c>
      <c r="Q1707" t="s">
        <v>30</v>
      </c>
      <c r="R1707" t="s">
        <v>31</v>
      </c>
      <c r="S1707" t="s">
        <v>32</v>
      </c>
      <c r="T1707" t="s">
        <v>281</v>
      </c>
      <c r="U1707" t="s">
        <v>46</v>
      </c>
      <c r="V1707">
        <v>1095.6300000000001</v>
      </c>
    </row>
    <row r="1708" spans="1:22" x14ac:dyDescent="0.3">
      <c r="A1708" t="s">
        <v>3081</v>
      </c>
      <c r="B1708" s="2">
        <v>45933</v>
      </c>
      <c r="C1708" t="s">
        <v>556</v>
      </c>
      <c r="D1708" t="s">
        <v>70</v>
      </c>
      <c r="E1708" t="s">
        <v>165</v>
      </c>
      <c r="F1708">
        <v>3</v>
      </c>
      <c r="G1708">
        <v>0</v>
      </c>
      <c r="H1708">
        <v>7500</v>
      </c>
      <c r="I1708">
        <v>2400</v>
      </c>
      <c r="J1708" t="s">
        <v>26</v>
      </c>
      <c r="K1708" t="s">
        <v>27</v>
      </c>
      <c r="L1708">
        <v>2500</v>
      </c>
      <c r="M1708">
        <v>32</v>
      </c>
      <c r="N1708" t="s">
        <v>8</v>
      </c>
      <c r="O1708" t="s">
        <v>161</v>
      </c>
      <c r="P1708" t="s">
        <v>29</v>
      </c>
      <c r="Q1708" t="s">
        <v>30</v>
      </c>
      <c r="R1708" t="s">
        <v>53</v>
      </c>
      <c r="S1708" t="s">
        <v>54</v>
      </c>
      <c r="T1708" t="s">
        <v>557</v>
      </c>
      <c r="U1708" t="s">
        <v>34</v>
      </c>
      <c r="V1708">
        <v>800</v>
      </c>
    </row>
    <row r="1709" spans="1:22" x14ac:dyDescent="0.3">
      <c r="A1709" t="s">
        <v>3082</v>
      </c>
      <c r="B1709" s="2">
        <v>46022</v>
      </c>
      <c r="C1709" t="s">
        <v>491</v>
      </c>
      <c r="D1709" t="s">
        <v>70</v>
      </c>
      <c r="E1709" t="s">
        <v>129</v>
      </c>
      <c r="F1709">
        <v>3</v>
      </c>
      <c r="G1709">
        <v>0.05</v>
      </c>
      <c r="H1709">
        <v>156750</v>
      </c>
      <c r="I1709">
        <v>21075.31</v>
      </c>
      <c r="J1709" t="s">
        <v>65</v>
      </c>
      <c r="K1709" t="s">
        <v>40</v>
      </c>
      <c r="L1709">
        <v>52250</v>
      </c>
      <c r="M1709">
        <v>13.445173843700161</v>
      </c>
      <c r="N1709" t="s">
        <v>8</v>
      </c>
      <c r="O1709" t="s">
        <v>492</v>
      </c>
      <c r="P1709" t="s">
        <v>29</v>
      </c>
      <c r="Q1709" t="s">
        <v>74</v>
      </c>
      <c r="R1709" t="s">
        <v>493</v>
      </c>
      <c r="S1709" t="s">
        <v>494</v>
      </c>
      <c r="T1709" t="s">
        <v>495</v>
      </c>
      <c r="U1709" t="s">
        <v>100</v>
      </c>
      <c r="V1709">
        <v>7025.1033333333326</v>
      </c>
    </row>
    <row r="1710" spans="1:22" x14ac:dyDescent="0.3">
      <c r="A1710" t="s">
        <v>3083</v>
      </c>
      <c r="B1710" s="2">
        <v>46080</v>
      </c>
      <c r="C1710" t="s">
        <v>488</v>
      </c>
      <c r="D1710" t="s">
        <v>24</v>
      </c>
      <c r="E1710" t="s">
        <v>87</v>
      </c>
      <c r="F1710">
        <v>10</v>
      </c>
      <c r="G1710">
        <v>0.15</v>
      </c>
      <c r="H1710">
        <v>2975</v>
      </c>
      <c r="I1710">
        <v>832.29</v>
      </c>
      <c r="J1710" t="s">
        <v>65</v>
      </c>
      <c r="K1710" t="s">
        <v>40</v>
      </c>
      <c r="L1710">
        <v>297.5</v>
      </c>
      <c r="M1710">
        <v>27.976134453781508</v>
      </c>
      <c r="N1710" t="s">
        <v>8</v>
      </c>
      <c r="O1710" t="s">
        <v>398</v>
      </c>
      <c r="P1710" t="s">
        <v>29</v>
      </c>
      <c r="Q1710" t="s">
        <v>30</v>
      </c>
      <c r="R1710" t="s">
        <v>60</v>
      </c>
      <c r="S1710" t="s">
        <v>61</v>
      </c>
      <c r="T1710" t="s">
        <v>489</v>
      </c>
      <c r="U1710" t="s">
        <v>105</v>
      </c>
      <c r="V1710">
        <v>83.228999999999999</v>
      </c>
    </row>
    <row r="1711" spans="1:22" x14ac:dyDescent="0.3">
      <c r="A1711" t="s">
        <v>3084</v>
      </c>
      <c r="B1711" s="2">
        <v>46261</v>
      </c>
      <c r="C1711" t="s">
        <v>522</v>
      </c>
      <c r="D1711" t="s">
        <v>70</v>
      </c>
      <c r="E1711" t="s">
        <v>71</v>
      </c>
      <c r="F1711">
        <v>2</v>
      </c>
      <c r="G1711">
        <v>0.2</v>
      </c>
      <c r="H1711">
        <v>28800</v>
      </c>
      <c r="I1711">
        <v>3304.24</v>
      </c>
      <c r="J1711" t="s">
        <v>39</v>
      </c>
      <c r="K1711" t="s">
        <v>40</v>
      </c>
      <c r="L1711">
        <v>14400</v>
      </c>
      <c r="M1711">
        <v>11.47305555555555</v>
      </c>
      <c r="N1711" t="s">
        <v>8</v>
      </c>
      <c r="O1711" t="s">
        <v>523</v>
      </c>
      <c r="P1711" t="s">
        <v>73</v>
      </c>
      <c r="Q1711" t="s">
        <v>30</v>
      </c>
      <c r="R1711" t="s">
        <v>98</v>
      </c>
      <c r="S1711" t="s">
        <v>54</v>
      </c>
      <c r="T1711" t="s">
        <v>62</v>
      </c>
      <c r="U1711" t="s">
        <v>46</v>
      </c>
      <c r="V1711">
        <v>1652.12</v>
      </c>
    </row>
    <row r="1712" spans="1:22" x14ac:dyDescent="0.3">
      <c r="A1712" t="s">
        <v>3085</v>
      </c>
      <c r="B1712" s="2">
        <v>46032</v>
      </c>
      <c r="C1712" t="s">
        <v>1480</v>
      </c>
      <c r="D1712" t="s">
        <v>49</v>
      </c>
      <c r="E1712" t="s">
        <v>50</v>
      </c>
      <c r="F1712">
        <v>2</v>
      </c>
      <c r="G1712">
        <v>0.15</v>
      </c>
      <c r="H1712">
        <v>22100</v>
      </c>
      <c r="I1712">
        <v>-7677.06</v>
      </c>
      <c r="J1712" t="s">
        <v>51</v>
      </c>
      <c r="K1712" t="s">
        <v>80</v>
      </c>
      <c r="L1712">
        <v>11050</v>
      </c>
      <c r="M1712">
        <v>-34.737828054298639</v>
      </c>
      <c r="N1712" t="s">
        <v>81</v>
      </c>
      <c r="O1712" t="s">
        <v>66</v>
      </c>
      <c r="P1712" t="s">
        <v>73</v>
      </c>
      <c r="Q1712" t="s">
        <v>30</v>
      </c>
      <c r="R1712" t="s">
        <v>98</v>
      </c>
      <c r="S1712" t="s">
        <v>54</v>
      </c>
      <c r="T1712" t="s">
        <v>1481</v>
      </c>
      <c r="U1712" t="s">
        <v>46</v>
      </c>
      <c r="V1712">
        <v>-3838.53</v>
      </c>
    </row>
    <row r="1713" spans="1:22" x14ac:dyDescent="0.3">
      <c r="A1713" t="s">
        <v>3086</v>
      </c>
      <c r="B1713" s="2">
        <v>45907</v>
      </c>
      <c r="C1713" t="s">
        <v>1824</v>
      </c>
      <c r="D1713" t="s">
        <v>37</v>
      </c>
      <c r="E1713" t="s">
        <v>38</v>
      </c>
      <c r="F1713">
        <v>5</v>
      </c>
      <c r="G1713">
        <v>0.1</v>
      </c>
      <c r="H1713">
        <v>8100</v>
      </c>
      <c r="I1713">
        <v>2766.69</v>
      </c>
      <c r="J1713" t="s">
        <v>26</v>
      </c>
      <c r="K1713" t="s">
        <v>40</v>
      </c>
      <c r="L1713">
        <v>1620</v>
      </c>
      <c r="M1713">
        <v>34.156666666666673</v>
      </c>
      <c r="N1713" t="s">
        <v>8</v>
      </c>
      <c r="O1713" t="s">
        <v>205</v>
      </c>
      <c r="P1713" t="s">
        <v>83</v>
      </c>
      <c r="Q1713" t="s">
        <v>30</v>
      </c>
      <c r="R1713" t="s">
        <v>31</v>
      </c>
      <c r="S1713" t="s">
        <v>32</v>
      </c>
      <c r="T1713" t="s">
        <v>303</v>
      </c>
      <c r="U1713" t="s">
        <v>46</v>
      </c>
      <c r="V1713">
        <v>553.33799999999997</v>
      </c>
    </row>
    <row r="1714" spans="1:22" x14ac:dyDescent="0.3">
      <c r="A1714" t="s">
        <v>3087</v>
      </c>
      <c r="B1714" s="2">
        <v>46090</v>
      </c>
      <c r="C1714" t="s">
        <v>305</v>
      </c>
      <c r="D1714" t="s">
        <v>37</v>
      </c>
      <c r="E1714" t="s">
        <v>38</v>
      </c>
      <c r="F1714">
        <v>4</v>
      </c>
      <c r="G1714">
        <v>0.1</v>
      </c>
      <c r="H1714">
        <v>6480</v>
      </c>
      <c r="I1714">
        <v>-1915.43</v>
      </c>
      <c r="J1714" t="s">
        <v>51</v>
      </c>
      <c r="K1714" t="s">
        <v>80</v>
      </c>
      <c r="L1714">
        <v>1620</v>
      </c>
      <c r="M1714">
        <v>-29.559104938271609</v>
      </c>
      <c r="N1714" t="s">
        <v>81</v>
      </c>
      <c r="O1714" t="s">
        <v>306</v>
      </c>
      <c r="P1714" t="s">
        <v>29</v>
      </c>
      <c r="Q1714" t="s">
        <v>30</v>
      </c>
      <c r="R1714" t="s">
        <v>60</v>
      </c>
      <c r="S1714" t="s">
        <v>61</v>
      </c>
      <c r="T1714" t="s">
        <v>307</v>
      </c>
      <c r="U1714" t="s">
        <v>34</v>
      </c>
      <c r="V1714">
        <v>-478.85750000000002</v>
      </c>
    </row>
    <row r="1715" spans="1:22" x14ac:dyDescent="0.3">
      <c r="A1715" t="s">
        <v>3088</v>
      </c>
      <c r="B1715" s="2">
        <v>46098</v>
      </c>
      <c r="C1715" t="s">
        <v>385</v>
      </c>
      <c r="D1715" t="s">
        <v>37</v>
      </c>
      <c r="E1715" t="s">
        <v>310</v>
      </c>
      <c r="F1715">
        <v>1</v>
      </c>
      <c r="G1715">
        <v>0.05</v>
      </c>
      <c r="H1715">
        <v>2090</v>
      </c>
      <c r="I1715">
        <v>689.42</v>
      </c>
      <c r="J1715" t="s">
        <v>65</v>
      </c>
      <c r="K1715" t="s">
        <v>40</v>
      </c>
      <c r="L1715">
        <v>2090</v>
      </c>
      <c r="M1715">
        <v>32.9866028708134</v>
      </c>
      <c r="N1715" t="s">
        <v>8</v>
      </c>
      <c r="O1715" t="s">
        <v>386</v>
      </c>
      <c r="P1715" t="s">
        <v>29</v>
      </c>
      <c r="Q1715" t="s">
        <v>30</v>
      </c>
      <c r="R1715" t="s">
        <v>60</v>
      </c>
      <c r="S1715" t="s">
        <v>61</v>
      </c>
      <c r="T1715" t="s">
        <v>387</v>
      </c>
      <c r="U1715" t="s">
        <v>100</v>
      </c>
      <c r="V1715">
        <v>689.42</v>
      </c>
    </row>
    <row r="1716" spans="1:22" x14ac:dyDescent="0.3">
      <c r="A1716" t="s">
        <v>3089</v>
      </c>
      <c r="B1716" s="2">
        <v>45863</v>
      </c>
      <c r="C1716" t="s">
        <v>3090</v>
      </c>
      <c r="D1716" t="s">
        <v>70</v>
      </c>
      <c r="E1716" t="s">
        <v>129</v>
      </c>
      <c r="F1716">
        <v>2</v>
      </c>
      <c r="G1716">
        <v>0.1</v>
      </c>
      <c r="H1716">
        <v>99000</v>
      </c>
      <c r="I1716">
        <v>9970.9599999999991</v>
      </c>
      <c r="J1716" t="s">
        <v>51</v>
      </c>
      <c r="K1716" t="s">
        <v>40</v>
      </c>
      <c r="L1716">
        <v>49500</v>
      </c>
      <c r="M1716">
        <v>10.07167676767677</v>
      </c>
      <c r="N1716" t="s">
        <v>8</v>
      </c>
      <c r="O1716" t="s">
        <v>526</v>
      </c>
      <c r="P1716" t="s">
        <v>29</v>
      </c>
      <c r="Q1716" t="s">
        <v>42</v>
      </c>
      <c r="R1716" t="s">
        <v>121</v>
      </c>
      <c r="S1716" t="s">
        <v>44</v>
      </c>
      <c r="T1716" t="s">
        <v>1612</v>
      </c>
      <c r="U1716" t="s">
        <v>34</v>
      </c>
      <c r="V1716">
        <v>4985.4799999999996</v>
      </c>
    </row>
    <row r="1717" spans="1:22" x14ac:dyDescent="0.3">
      <c r="A1717" t="s">
        <v>3091</v>
      </c>
      <c r="B1717" s="2">
        <v>46183</v>
      </c>
      <c r="C1717" t="s">
        <v>1155</v>
      </c>
      <c r="D1717" t="s">
        <v>70</v>
      </c>
      <c r="E1717" t="s">
        <v>165</v>
      </c>
      <c r="F1717">
        <v>5</v>
      </c>
      <c r="G1717">
        <v>0</v>
      </c>
      <c r="H1717">
        <v>12500</v>
      </c>
      <c r="I1717">
        <v>4000</v>
      </c>
      <c r="J1717" t="s">
        <v>39</v>
      </c>
      <c r="K1717" t="s">
        <v>40</v>
      </c>
      <c r="L1717">
        <v>2500</v>
      </c>
      <c r="M1717">
        <v>32</v>
      </c>
      <c r="N1717" t="s">
        <v>8</v>
      </c>
      <c r="O1717" t="s">
        <v>975</v>
      </c>
      <c r="P1717" t="s">
        <v>73</v>
      </c>
      <c r="Q1717" t="s">
        <v>74</v>
      </c>
      <c r="R1717" t="s">
        <v>75</v>
      </c>
      <c r="S1717" t="s">
        <v>75</v>
      </c>
      <c r="T1717" t="s">
        <v>1156</v>
      </c>
      <c r="U1717" t="s">
        <v>100</v>
      </c>
      <c r="V1717">
        <v>800</v>
      </c>
    </row>
    <row r="1718" spans="1:22" x14ac:dyDescent="0.3">
      <c r="A1718" t="s">
        <v>3092</v>
      </c>
      <c r="B1718" s="2">
        <v>46236</v>
      </c>
      <c r="C1718" t="s">
        <v>221</v>
      </c>
      <c r="D1718" t="s">
        <v>49</v>
      </c>
      <c r="E1718" t="s">
        <v>58</v>
      </c>
      <c r="F1718">
        <v>2</v>
      </c>
      <c r="G1718">
        <v>0.05</v>
      </c>
      <c r="H1718">
        <v>28500</v>
      </c>
      <c r="I1718">
        <v>5772.39</v>
      </c>
      <c r="J1718" t="s">
        <v>26</v>
      </c>
      <c r="K1718" t="s">
        <v>40</v>
      </c>
      <c r="L1718">
        <v>14250</v>
      </c>
      <c r="M1718">
        <v>20.254000000000001</v>
      </c>
      <c r="N1718" t="s">
        <v>8</v>
      </c>
      <c r="O1718" t="s">
        <v>222</v>
      </c>
      <c r="P1718" t="s">
        <v>29</v>
      </c>
      <c r="Q1718" t="s">
        <v>30</v>
      </c>
      <c r="R1718" t="s">
        <v>53</v>
      </c>
      <c r="S1718" t="s">
        <v>54</v>
      </c>
      <c r="T1718" t="s">
        <v>223</v>
      </c>
      <c r="U1718" t="s">
        <v>100</v>
      </c>
      <c r="V1718">
        <v>2886.1950000000002</v>
      </c>
    </row>
    <row r="1719" spans="1:22" x14ac:dyDescent="0.3">
      <c r="A1719" t="s">
        <v>3093</v>
      </c>
      <c r="B1719" s="2">
        <v>45845</v>
      </c>
      <c r="C1719" t="s">
        <v>457</v>
      </c>
      <c r="D1719" t="s">
        <v>70</v>
      </c>
      <c r="E1719" t="s">
        <v>165</v>
      </c>
      <c r="F1719">
        <v>1</v>
      </c>
      <c r="G1719">
        <v>0</v>
      </c>
      <c r="H1719">
        <v>2500</v>
      </c>
      <c r="I1719">
        <v>800</v>
      </c>
      <c r="J1719" t="s">
        <v>51</v>
      </c>
      <c r="K1719" t="s">
        <v>40</v>
      </c>
      <c r="L1719">
        <v>2500</v>
      </c>
      <c r="M1719">
        <v>32</v>
      </c>
      <c r="N1719" t="s">
        <v>8</v>
      </c>
      <c r="O1719" t="s">
        <v>458</v>
      </c>
      <c r="P1719" t="s">
        <v>73</v>
      </c>
      <c r="Q1719" t="s">
        <v>30</v>
      </c>
      <c r="R1719" t="s">
        <v>60</v>
      </c>
      <c r="S1719" t="s">
        <v>61</v>
      </c>
      <c r="T1719" t="s">
        <v>459</v>
      </c>
      <c r="U1719" t="s">
        <v>34</v>
      </c>
      <c r="V1719">
        <v>800</v>
      </c>
    </row>
    <row r="1720" spans="1:22" x14ac:dyDescent="0.3">
      <c r="A1720" t="s">
        <v>3094</v>
      </c>
      <c r="B1720" s="2">
        <v>46016</v>
      </c>
      <c r="C1720" t="s">
        <v>1560</v>
      </c>
      <c r="D1720" t="s">
        <v>24</v>
      </c>
      <c r="E1720" t="s">
        <v>242</v>
      </c>
      <c r="F1720">
        <v>2</v>
      </c>
      <c r="G1720">
        <v>0.1</v>
      </c>
      <c r="H1720">
        <v>810</v>
      </c>
      <c r="I1720">
        <v>156.19</v>
      </c>
      <c r="J1720" t="s">
        <v>51</v>
      </c>
      <c r="K1720" t="s">
        <v>40</v>
      </c>
      <c r="L1720">
        <v>405</v>
      </c>
      <c r="M1720">
        <v>19.282716049382721</v>
      </c>
      <c r="N1720" t="s">
        <v>8</v>
      </c>
      <c r="O1720" t="s">
        <v>161</v>
      </c>
      <c r="P1720" t="s">
        <v>29</v>
      </c>
      <c r="Q1720" t="s">
        <v>42</v>
      </c>
      <c r="R1720" t="s">
        <v>110</v>
      </c>
      <c r="S1720" t="s">
        <v>111</v>
      </c>
      <c r="T1720" t="s">
        <v>1561</v>
      </c>
      <c r="U1720" t="s">
        <v>46</v>
      </c>
      <c r="V1720">
        <v>78.094999999999999</v>
      </c>
    </row>
    <row r="1721" spans="1:22" x14ac:dyDescent="0.3">
      <c r="A1721" t="s">
        <v>3095</v>
      </c>
      <c r="B1721" s="2">
        <v>46120</v>
      </c>
      <c r="C1721" t="s">
        <v>1346</v>
      </c>
      <c r="D1721" t="s">
        <v>24</v>
      </c>
      <c r="E1721" t="s">
        <v>87</v>
      </c>
      <c r="F1721">
        <v>2</v>
      </c>
      <c r="G1721">
        <v>0.05</v>
      </c>
      <c r="H1721">
        <v>665</v>
      </c>
      <c r="I1721">
        <v>210.79</v>
      </c>
      <c r="J1721" t="s">
        <v>26</v>
      </c>
      <c r="K1721" t="s">
        <v>40</v>
      </c>
      <c r="L1721">
        <v>332.5</v>
      </c>
      <c r="M1721">
        <v>31.697744360902249</v>
      </c>
      <c r="N1721" t="s">
        <v>8</v>
      </c>
      <c r="O1721" t="s">
        <v>825</v>
      </c>
      <c r="P1721" t="s">
        <v>73</v>
      </c>
      <c r="Q1721" t="s">
        <v>30</v>
      </c>
      <c r="R1721" t="s">
        <v>98</v>
      </c>
      <c r="S1721" t="s">
        <v>54</v>
      </c>
      <c r="T1721" t="s">
        <v>1347</v>
      </c>
      <c r="U1721" t="s">
        <v>34</v>
      </c>
      <c r="V1721">
        <v>105.395</v>
      </c>
    </row>
    <row r="1722" spans="1:22" x14ac:dyDescent="0.3">
      <c r="A1722" t="s">
        <v>3096</v>
      </c>
      <c r="B1722" s="2">
        <v>45966</v>
      </c>
      <c r="C1722" t="s">
        <v>365</v>
      </c>
      <c r="D1722" t="s">
        <v>24</v>
      </c>
      <c r="E1722" t="s">
        <v>92</v>
      </c>
      <c r="F1722">
        <v>3</v>
      </c>
      <c r="G1722">
        <v>0</v>
      </c>
      <c r="H1722">
        <v>2700</v>
      </c>
      <c r="I1722">
        <v>840</v>
      </c>
      <c r="J1722" t="s">
        <v>26</v>
      </c>
      <c r="K1722" t="s">
        <v>27</v>
      </c>
      <c r="L1722">
        <v>900</v>
      </c>
      <c r="M1722">
        <v>31.111111111111111</v>
      </c>
      <c r="N1722" t="s">
        <v>8</v>
      </c>
      <c r="O1722" t="s">
        <v>318</v>
      </c>
      <c r="P1722" t="s">
        <v>29</v>
      </c>
      <c r="Q1722" t="s">
        <v>30</v>
      </c>
      <c r="R1722" t="s">
        <v>31</v>
      </c>
      <c r="S1722" t="s">
        <v>32</v>
      </c>
      <c r="T1722" t="s">
        <v>366</v>
      </c>
      <c r="U1722" t="s">
        <v>105</v>
      </c>
      <c r="V1722">
        <v>280</v>
      </c>
    </row>
    <row r="1723" spans="1:22" x14ac:dyDescent="0.3">
      <c r="A1723" t="s">
        <v>3097</v>
      </c>
      <c r="B1723" s="2">
        <v>46187</v>
      </c>
      <c r="C1723" t="s">
        <v>1168</v>
      </c>
      <c r="D1723" t="s">
        <v>24</v>
      </c>
      <c r="E1723" t="s">
        <v>87</v>
      </c>
      <c r="F1723">
        <v>3</v>
      </c>
      <c r="G1723">
        <v>0.15</v>
      </c>
      <c r="H1723">
        <v>892.5</v>
      </c>
      <c r="I1723">
        <v>232.76</v>
      </c>
      <c r="J1723" t="s">
        <v>39</v>
      </c>
      <c r="K1723" t="s">
        <v>40</v>
      </c>
      <c r="L1723">
        <v>297.5</v>
      </c>
      <c r="M1723">
        <v>26.079551820728291</v>
      </c>
      <c r="N1723" t="s">
        <v>8</v>
      </c>
      <c r="O1723" t="s">
        <v>1169</v>
      </c>
      <c r="P1723" t="s">
        <v>83</v>
      </c>
      <c r="Q1723" t="s">
        <v>131</v>
      </c>
      <c r="R1723" t="s">
        <v>289</v>
      </c>
      <c r="S1723" t="s">
        <v>290</v>
      </c>
      <c r="T1723" t="s">
        <v>1170</v>
      </c>
      <c r="U1723" t="s">
        <v>34</v>
      </c>
      <c r="V1723">
        <v>77.586666666666659</v>
      </c>
    </row>
    <row r="1724" spans="1:22" x14ac:dyDescent="0.3">
      <c r="A1724" t="s">
        <v>3098</v>
      </c>
      <c r="B1724" s="2">
        <v>46072</v>
      </c>
      <c r="C1724" t="s">
        <v>1116</v>
      </c>
      <c r="D1724" t="s">
        <v>70</v>
      </c>
      <c r="E1724" t="s">
        <v>165</v>
      </c>
      <c r="F1724">
        <v>1</v>
      </c>
      <c r="G1724">
        <v>0.1</v>
      </c>
      <c r="H1724">
        <v>2250</v>
      </c>
      <c r="I1724">
        <v>607.92999999999995</v>
      </c>
      <c r="J1724" t="s">
        <v>51</v>
      </c>
      <c r="K1724" t="s">
        <v>40</v>
      </c>
      <c r="L1724">
        <v>2250</v>
      </c>
      <c r="M1724">
        <v>27.019111111111108</v>
      </c>
      <c r="N1724" t="s">
        <v>8</v>
      </c>
      <c r="O1724" t="s">
        <v>1117</v>
      </c>
      <c r="P1724" t="s">
        <v>29</v>
      </c>
      <c r="Q1724" t="s">
        <v>30</v>
      </c>
      <c r="R1724" t="s">
        <v>98</v>
      </c>
      <c r="S1724" t="s">
        <v>54</v>
      </c>
      <c r="T1724" t="s">
        <v>1118</v>
      </c>
      <c r="U1724" t="s">
        <v>34</v>
      </c>
      <c r="V1724">
        <v>607.92999999999995</v>
      </c>
    </row>
    <row r="1725" spans="1:22" x14ac:dyDescent="0.3">
      <c r="A1725" t="s">
        <v>3099</v>
      </c>
      <c r="B1725" s="2">
        <v>45901</v>
      </c>
      <c r="C1725" t="s">
        <v>1688</v>
      </c>
      <c r="D1725" t="s">
        <v>24</v>
      </c>
      <c r="E1725" t="s">
        <v>25</v>
      </c>
      <c r="F1725">
        <v>3</v>
      </c>
      <c r="G1725">
        <v>0</v>
      </c>
      <c r="H1725">
        <v>42000</v>
      </c>
      <c r="I1725">
        <v>-10935.98</v>
      </c>
      <c r="J1725" t="s">
        <v>65</v>
      </c>
      <c r="K1725" t="s">
        <v>80</v>
      </c>
      <c r="L1725">
        <v>14000</v>
      </c>
      <c r="M1725">
        <v>-26.038047619047621</v>
      </c>
      <c r="N1725" t="s">
        <v>81</v>
      </c>
      <c r="O1725" t="s">
        <v>883</v>
      </c>
      <c r="P1725" t="s">
        <v>73</v>
      </c>
      <c r="Q1725" t="s">
        <v>30</v>
      </c>
      <c r="R1725" t="s">
        <v>31</v>
      </c>
      <c r="S1725" t="s">
        <v>32</v>
      </c>
      <c r="T1725" t="s">
        <v>575</v>
      </c>
      <c r="U1725" t="s">
        <v>34</v>
      </c>
      <c r="V1725">
        <v>-3645.3266666666659</v>
      </c>
    </row>
    <row r="1726" spans="1:22" x14ac:dyDescent="0.3">
      <c r="A1726" t="s">
        <v>3100</v>
      </c>
      <c r="B1726" s="2">
        <v>46086</v>
      </c>
      <c r="C1726" t="s">
        <v>1690</v>
      </c>
      <c r="D1726" t="s">
        <v>49</v>
      </c>
      <c r="E1726" t="s">
        <v>119</v>
      </c>
      <c r="F1726">
        <v>1</v>
      </c>
      <c r="G1726">
        <v>0.05</v>
      </c>
      <c r="H1726">
        <v>8550</v>
      </c>
      <c r="I1726">
        <v>1995.33</v>
      </c>
      <c r="J1726" t="s">
        <v>65</v>
      </c>
      <c r="K1726" t="s">
        <v>40</v>
      </c>
      <c r="L1726">
        <v>8550</v>
      </c>
      <c r="M1726">
        <v>23.337192982456141</v>
      </c>
      <c r="N1726" t="s">
        <v>8</v>
      </c>
      <c r="O1726" t="s">
        <v>1566</v>
      </c>
      <c r="P1726" t="s">
        <v>73</v>
      </c>
      <c r="Q1726" t="s">
        <v>30</v>
      </c>
      <c r="R1726" t="s">
        <v>53</v>
      </c>
      <c r="S1726" t="s">
        <v>54</v>
      </c>
      <c r="T1726" t="s">
        <v>1691</v>
      </c>
      <c r="U1726" t="s">
        <v>105</v>
      </c>
      <c r="V1726">
        <v>1995.33</v>
      </c>
    </row>
    <row r="1727" spans="1:22" x14ac:dyDescent="0.3">
      <c r="A1727" t="s">
        <v>3101</v>
      </c>
      <c r="B1727" s="2">
        <v>46008</v>
      </c>
      <c r="C1727" t="s">
        <v>863</v>
      </c>
      <c r="D1727" t="s">
        <v>24</v>
      </c>
      <c r="E1727" t="s">
        <v>87</v>
      </c>
      <c r="F1727">
        <v>5</v>
      </c>
      <c r="G1727">
        <v>0</v>
      </c>
      <c r="H1727">
        <v>1750</v>
      </c>
      <c r="I1727">
        <v>600</v>
      </c>
      <c r="J1727" t="s">
        <v>51</v>
      </c>
      <c r="K1727" t="s">
        <v>40</v>
      </c>
      <c r="L1727">
        <v>350</v>
      </c>
      <c r="M1727">
        <v>34.285714285714278</v>
      </c>
      <c r="N1727" t="s">
        <v>8</v>
      </c>
      <c r="O1727" t="s">
        <v>187</v>
      </c>
      <c r="P1727" t="s">
        <v>73</v>
      </c>
      <c r="Q1727" t="s">
        <v>30</v>
      </c>
      <c r="R1727" t="s">
        <v>53</v>
      </c>
      <c r="S1727" t="s">
        <v>54</v>
      </c>
      <c r="T1727" t="s">
        <v>864</v>
      </c>
      <c r="U1727" t="s">
        <v>34</v>
      </c>
      <c r="V1727">
        <v>120</v>
      </c>
    </row>
    <row r="1728" spans="1:22" x14ac:dyDescent="0.3">
      <c r="A1728" t="s">
        <v>3102</v>
      </c>
      <c r="B1728" s="2">
        <v>46253</v>
      </c>
      <c r="C1728" t="s">
        <v>321</v>
      </c>
      <c r="D1728" t="s">
        <v>70</v>
      </c>
      <c r="E1728" t="s">
        <v>108</v>
      </c>
      <c r="F1728">
        <v>4</v>
      </c>
      <c r="G1728">
        <v>0.15</v>
      </c>
      <c r="H1728">
        <v>15300</v>
      </c>
      <c r="I1728">
        <v>-3947.18</v>
      </c>
      <c r="J1728" t="s">
        <v>26</v>
      </c>
      <c r="K1728" t="s">
        <v>434</v>
      </c>
      <c r="L1728">
        <v>3825</v>
      </c>
      <c r="M1728">
        <v>-25.798562091503271</v>
      </c>
      <c r="N1728" t="s">
        <v>81</v>
      </c>
      <c r="O1728" t="s">
        <v>322</v>
      </c>
      <c r="P1728" t="s">
        <v>29</v>
      </c>
      <c r="Q1728" t="s">
        <v>30</v>
      </c>
      <c r="R1728" t="s">
        <v>31</v>
      </c>
      <c r="S1728" t="s">
        <v>32</v>
      </c>
      <c r="T1728" t="s">
        <v>323</v>
      </c>
      <c r="U1728" t="s">
        <v>34</v>
      </c>
      <c r="V1728">
        <v>-986.79499999999996</v>
      </c>
    </row>
    <row r="1729" spans="1:22" x14ac:dyDescent="0.3">
      <c r="A1729" t="s">
        <v>3103</v>
      </c>
      <c r="B1729" s="2">
        <v>46238</v>
      </c>
      <c r="C1729" t="s">
        <v>1767</v>
      </c>
      <c r="D1729" t="s">
        <v>24</v>
      </c>
      <c r="E1729" t="s">
        <v>87</v>
      </c>
      <c r="F1729">
        <v>4</v>
      </c>
      <c r="G1729">
        <v>0</v>
      </c>
      <c r="H1729">
        <v>1400</v>
      </c>
      <c r="I1729">
        <v>480</v>
      </c>
      <c r="J1729" t="s">
        <v>51</v>
      </c>
      <c r="K1729" t="s">
        <v>27</v>
      </c>
      <c r="L1729">
        <v>350</v>
      </c>
      <c r="M1729">
        <v>34.285714285714278</v>
      </c>
      <c r="N1729" t="s">
        <v>8</v>
      </c>
      <c r="O1729" t="s">
        <v>1768</v>
      </c>
      <c r="P1729" t="s">
        <v>29</v>
      </c>
      <c r="Q1729" t="s">
        <v>131</v>
      </c>
      <c r="R1729" t="s">
        <v>289</v>
      </c>
      <c r="S1729" t="s">
        <v>290</v>
      </c>
      <c r="T1729" t="s">
        <v>1469</v>
      </c>
      <c r="U1729" t="s">
        <v>100</v>
      </c>
      <c r="V1729">
        <v>120</v>
      </c>
    </row>
    <row r="1730" spans="1:22" x14ac:dyDescent="0.3">
      <c r="A1730" t="s">
        <v>3104</v>
      </c>
      <c r="B1730" s="2">
        <v>46051</v>
      </c>
      <c r="C1730" t="s">
        <v>1480</v>
      </c>
      <c r="D1730" t="s">
        <v>70</v>
      </c>
      <c r="E1730" t="s">
        <v>108</v>
      </c>
      <c r="F1730">
        <v>3</v>
      </c>
      <c r="G1730">
        <v>0</v>
      </c>
      <c r="H1730">
        <v>13500</v>
      </c>
      <c r="I1730">
        <v>4500</v>
      </c>
      <c r="J1730" t="s">
        <v>26</v>
      </c>
      <c r="K1730" t="s">
        <v>27</v>
      </c>
      <c r="L1730">
        <v>4500</v>
      </c>
      <c r="M1730">
        <v>33.333333333333329</v>
      </c>
      <c r="N1730" t="s">
        <v>8</v>
      </c>
      <c r="O1730" t="s">
        <v>66</v>
      </c>
      <c r="P1730" t="s">
        <v>73</v>
      </c>
      <c r="Q1730" t="s">
        <v>30</v>
      </c>
      <c r="R1730" t="s">
        <v>98</v>
      </c>
      <c r="S1730" t="s">
        <v>54</v>
      </c>
      <c r="T1730" t="s">
        <v>1481</v>
      </c>
      <c r="U1730" t="s">
        <v>46</v>
      </c>
      <c r="V1730">
        <v>1500</v>
      </c>
    </row>
    <row r="1731" spans="1:22" x14ac:dyDescent="0.3">
      <c r="A1731" t="s">
        <v>3105</v>
      </c>
      <c r="B1731" s="2">
        <v>46197</v>
      </c>
      <c r="C1731" t="s">
        <v>497</v>
      </c>
      <c r="D1731" t="s">
        <v>49</v>
      </c>
      <c r="E1731" t="s">
        <v>50</v>
      </c>
      <c r="F1731">
        <v>15</v>
      </c>
      <c r="G1731">
        <v>0</v>
      </c>
      <c r="H1731">
        <v>195000</v>
      </c>
      <c r="I1731">
        <v>48000</v>
      </c>
      <c r="J1731" t="s">
        <v>65</v>
      </c>
      <c r="K1731" t="s">
        <v>40</v>
      </c>
      <c r="L1731">
        <v>13000</v>
      </c>
      <c r="M1731">
        <v>24.61538461538462</v>
      </c>
      <c r="N1731" t="s">
        <v>8</v>
      </c>
      <c r="O1731" t="s">
        <v>498</v>
      </c>
      <c r="P1731" t="s">
        <v>29</v>
      </c>
      <c r="Q1731" t="s">
        <v>42</v>
      </c>
      <c r="R1731" t="s">
        <v>43</v>
      </c>
      <c r="S1731" t="s">
        <v>44</v>
      </c>
      <c r="T1731" t="s">
        <v>499</v>
      </c>
      <c r="U1731" t="s">
        <v>46</v>
      </c>
      <c r="V1731">
        <v>3200</v>
      </c>
    </row>
    <row r="1732" spans="1:22" x14ac:dyDescent="0.3">
      <c r="A1732" t="s">
        <v>3106</v>
      </c>
      <c r="B1732" s="2">
        <v>45895</v>
      </c>
      <c r="C1732" t="s">
        <v>348</v>
      </c>
      <c r="D1732" t="s">
        <v>49</v>
      </c>
      <c r="E1732" t="s">
        <v>50</v>
      </c>
      <c r="F1732">
        <v>2</v>
      </c>
      <c r="G1732">
        <v>0.1</v>
      </c>
      <c r="H1732">
        <v>23400</v>
      </c>
      <c r="I1732">
        <v>4271.54</v>
      </c>
      <c r="J1732" t="s">
        <v>51</v>
      </c>
      <c r="K1732" t="s">
        <v>40</v>
      </c>
      <c r="L1732">
        <v>11700</v>
      </c>
      <c r="M1732">
        <v>18.254444444444449</v>
      </c>
      <c r="N1732" t="s">
        <v>8</v>
      </c>
      <c r="O1732" t="s">
        <v>349</v>
      </c>
      <c r="P1732" t="s">
        <v>83</v>
      </c>
      <c r="Q1732" t="s">
        <v>30</v>
      </c>
      <c r="R1732" t="s">
        <v>31</v>
      </c>
      <c r="S1732" t="s">
        <v>32</v>
      </c>
      <c r="T1732" t="s">
        <v>307</v>
      </c>
      <c r="U1732" t="s">
        <v>100</v>
      </c>
      <c r="V1732">
        <v>2135.77</v>
      </c>
    </row>
    <row r="1733" spans="1:22" x14ac:dyDescent="0.3">
      <c r="A1733" t="s">
        <v>3107</v>
      </c>
      <c r="B1733" s="2">
        <v>45883</v>
      </c>
      <c r="C1733" t="s">
        <v>1346</v>
      </c>
      <c r="D1733" t="s">
        <v>37</v>
      </c>
      <c r="E1733" t="s">
        <v>38</v>
      </c>
      <c r="F1733">
        <v>1</v>
      </c>
      <c r="G1733">
        <v>0</v>
      </c>
      <c r="H1733">
        <v>1800</v>
      </c>
      <c r="I1733">
        <v>650</v>
      </c>
      <c r="J1733" t="s">
        <v>26</v>
      </c>
      <c r="K1733" t="s">
        <v>40</v>
      </c>
      <c r="L1733">
        <v>1800</v>
      </c>
      <c r="M1733">
        <v>36.111111111111107</v>
      </c>
      <c r="N1733" t="s">
        <v>8</v>
      </c>
      <c r="O1733" t="s">
        <v>825</v>
      </c>
      <c r="P1733" t="s">
        <v>73</v>
      </c>
      <c r="Q1733" t="s">
        <v>30</v>
      </c>
      <c r="R1733" t="s">
        <v>98</v>
      </c>
      <c r="S1733" t="s">
        <v>54</v>
      </c>
      <c r="T1733" t="s">
        <v>1347</v>
      </c>
      <c r="U1733" t="s">
        <v>34</v>
      </c>
      <c r="V1733">
        <v>650</v>
      </c>
    </row>
    <row r="1734" spans="1:22" x14ac:dyDescent="0.3">
      <c r="A1734" t="s">
        <v>3108</v>
      </c>
      <c r="B1734" s="2">
        <v>46044</v>
      </c>
      <c r="C1734" t="s">
        <v>2459</v>
      </c>
      <c r="D1734" t="s">
        <v>24</v>
      </c>
      <c r="E1734" t="s">
        <v>242</v>
      </c>
      <c r="F1734">
        <v>1</v>
      </c>
      <c r="G1734">
        <v>0.05</v>
      </c>
      <c r="H1734">
        <v>427.5</v>
      </c>
      <c r="I1734">
        <v>91.75</v>
      </c>
      <c r="J1734" t="s">
        <v>65</v>
      </c>
      <c r="K1734" t="s">
        <v>40</v>
      </c>
      <c r="L1734">
        <v>427.5</v>
      </c>
      <c r="M1734">
        <v>21.46198830409357</v>
      </c>
      <c r="N1734" t="s">
        <v>8</v>
      </c>
      <c r="O1734" t="s">
        <v>378</v>
      </c>
      <c r="P1734" t="s">
        <v>83</v>
      </c>
      <c r="Q1734" t="s">
        <v>74</v>
      </c>
      <c r="R1734" t="s">
        <v>115</v>
      </c>
      <c r="S1734" t="s">
        <v>115</v>
      </c>
      <c r="T1734" t="s">
        <v>2460</v>
      </c>
      <c r="U1734" t="s">
        <v>105</v>
      </c>
      <c r="V1734">
        <v>91.75</v>
      </c>
    </row>
    <row r="1735" spans="1:22" x14ac:dyDescent="0.3">
      <c r="A1735" t="s">
        <v>3109</v>
      </c>
      <c r="B1735" s="2">
        <v>46049</v>
      </c>
      <c r="C1735" t="s">
        <v>2530</v>
      </c>
      <c r="D1735" t="s">
        <v>49</v>
      </c>
      <c r="E1735" t="s">
        <v>79</v>
      </c>
      <c r="F1735">
        <v>2</v>
      </c>
      <c r="G1735">
        <v>0.15</v>
      </c>
      <c r="H1735">
        <v>18700</v>
      </c>
      <c r="I1735">
        <v>3123.04</v>
      </c>
      <c r="J1735" t="s">
        <v>39</v>
      </c>
      <c r="K1735" t="s">
        <v>40</v>
      </c>
      <c r="L1735">
        <v>9350</v>
      </c>
      <c r="M1735">
        <v>16.700748663101599</v>
      </c>
      <c r="N1735" t="s">
        <v>8</v>
      </c>
      <c r="O1735" t="s">
        <v>2531</v>
      </c>
      <c r="P1735" t="s">
        <v>29</v>
      </c>
      <c r="Q1735" t="s">
        <v>131</v>
      </c>
      <c r="R1735" t="s">
        <v>132</v>
      </c>
      <c r="S1735" t="s">
        <v>133</v>
      </c>
      <c r="T1735" t="s">
        <v>1927</v>
      </c>
      <c r="U1735" t="s">
        <v>105</v>
      </c>
      <c r="V1735">
        <v>1561.52</v>
      </c>
    </row>
    <row r="1736" spans="1:22" x14ac:dyDescent="0.3">
      <c r="A1736" t="s">
        <v>3110</v>
      </c>
      <c r="B1736" s="2">
        <v>46155</v>
      </c>
      <c r="C1736" t="s">
        <v>3111</v>
      </c>
      <c r="D1736" t="s">
        <v>49</v>
      </c>
      <c r="E1736" t="s">
        <v>119</v>
      </c>
      <c r="F1736">
        <v>2</v>
      </c>
      <c r="G1736">
        <v>0</v>
      </c>
      <c r="H1736">
        <v>18000</v>
      </c>
      <c r="I1736">
        <v>-4660.17</v>
      </c>
      <c r="J1736" t="s">
        <v>26</v>
      </c>
      <c r="K1736" t="s">
        <v>80</v>
      </c>
      <c r="L1736">
        <v>9000</v>
      </c>
      <c r="M1736">
        <v>-25.889833333333339</v>
      </c>
      <c r="N1736" t="s">
        <v>81</v>
      </c>
      <c r="O1736" t="s">
        <v>470</v>
      </c>
      <c r="P1736" t="s">
        <v>29</v>
      </c>
      <c r="Q1736" t="s">
        <v>74</v>
      </c>
      <c r="R1736" t="s">
        <v>75</v>
      </c>
      <c r="S1736" t="s">
        <v>75</v>
      </c>
      <c r="T1736" t="s">
        <v>3112</v>
      </c>
      <c r="U1736" t="s">
        <v>34</v>
      </c>
      <c r="V1736">
        <v>-2330.085</v>
      </c>
    </row>
    <row r="1737" spans="1:22" x14ac:dyDescent="0.3">
      <c r="A1737" t="s">
        <v>3113</v>
      </c>
      <c r="B1737" s="2">
        <v>45845</v>
      </c>
      <c r="C1737" t="s">
        <v>144</v>
      </c>
      <c r="D1737" t="s">
        <v>24</v>
      </c>
      <c r="E1737" t="s">
        <v>92</v>
      </c>
      <c r="F1737">
        <v>1</v>
      </c>
      <c r="G1737">
        <v>0</v>
      </c>
      <c r="H1737">
        <v>900</v>
      </c>
      <c r="I1737">
        <v>280</v>
      </c>
      <c r="J1737" t="s">
        <v>26</v>
      </c>
      <c r="K1737" t="s">
        <v>27</v>
      </c>
      <c r="L1737">
        <v>900</v>
      </c>
      <c r="M1737">
        <v>31.111111111111111</v>
      </c>
      <c r="N1737" t="s">
        <v>8</v>
      </c>
      <c r="O1737" t="s">
        <v>145</v>
      </c>
      <c r="P1737" t="s">
        <v>83</v>
      </c>
      <c r="Q1737" t="s">
        <v>30</v>
      </c>
      <c r="R1737" t="s">
        <v>60</v>
      </c>
      <c r="S1737" t="s">
        <v>61</v>
      </c>
      <c r="T1737" t="s">
        <v>146</v>
      </c>
      <c r="U1737" t="s">
        <v>105</v>
      </c>
      <c r="V1737">
        <v>280</v>
      </c>
    </row>
    <row r="1738" spans="1:22" x14ac:dyDescent="0.3">
      <c r="A1738" t="s">
        <v>3114</v>
      </c>
      <c r="B1738" s="2">
        <v>46252</v>
      </c>
      <c r="C1738" t="s">
        <v>365</v>
      </c>
      <c r="D1738" t="s">
        <v>37</v>
      </c>
      <c r="E1738" t="s">
        <v>38</v>
      </c>
      <c r="F1738">
        <v>2</v>
      </c>
      <c r="G1738">
        <v>0.2</v>
      </c>
      <c r="H1738">
        <v>2880</v>
      </c>
      <c r="I1738">
        <v>-1285.31</v>
      </c>
      <c r="J1738" t="s">
        <v>26</v>
      </c>
      <c r="K1738" t="s">
        <v>434</v>
      </c>
      <c r="L1738">
        <v>1440</v>
      </c>
      <c r="M1738">
        <v>-44.628819444444453</v>
      </c>
      <c r="N1738" t="s">
        <v>81</v>
      </c>
      <c r="O1738" t="s">
        <v>318</v>
      </c>
      <c r="P1738" t="s">
        <v>29</v>
      </c>
      <c r="Q1738" t="s">
        <v>30</v>
      </c>
      <c r="R1738" t="s">
        <v>31</v>
      </c>
      <c r="S1738" t="s">
        <v>32</v>
      </c>
      <c r="T1738" t="s">
        <v>366</v>
      </c>
      <c r="U1738" t="s">
        <v>105</v>
      </c>
      <c r="V1738">
        <v>-642.65499999999997</v>
      </c>
    </row>
    <row r="1739" spans="1:22" x14ac:dyDescent="0.3">
      <c r="A1739" t="s">
        <v>3115</v>
      </c>
      <c r="B1739" s="2">
        <v>46152</v>
      </c>
      <c r="C1739" t="s">
        <v>1158</v>
      </c>
      <c r="D1739" t="s">
        <v>24</v>
      </c>
      <c r="E1739" t="s">
        <v>242</v>
      </c>
      <c r="F1739">
        <v>1</v>
      </c>
      <c r="G1739">
        <v>0.3</v>
      </c>
      <c r="H1739">
        <v>315</v>
      </c>
      <c r="I1739">
        <v>27.98</v>
      </c>
      <c r="J1739" t="s">
        <v>26</v>
      </c>
      <c r="K1739" t="s">
        <v>40</v>
      </c>
      <c r="L1739">
        <v>315</v>
      </c>
      <c r="M1739">
        <v>8.882539682539683</v>
      </c>
      <c r="N1739" t="s">
        <v>8</v>
      </c>
      <c r="O1739" t="s">
        <v>844</v>
      </c>
      <c r="P1739" t="s">
        <v>29</v>
      </c>
      <c r="Q1739" t="s">
        <v>42</v>
      </c>
      <c r="R1739" t="s">
        <v>121</v>
      </c>
      <c r="S1739" t="s">
        <v>44</v>
      </c>
      <c r="T1739" t="s">
        <v>134</v>
      </c>
      <c r="U1739" t="s">
        <v>100</v>
      </c>
      <c r="V1739">
        <v>27.98</v>
      </c>
    </row>
    <row r="1740" spans="1:22" x14ac:dyDescent="0.3">
      <c r="A1740" t="s">
        <v>3116</v>
      </c>
      <c r="B1740" s="2">
        <v>46234</v>
      </c>
      <c r="C1740" t="s">
        <v>685</v>
      </c>
      <c r="D1740" t="s">
        <v>24</v>
      </c>
      <c r="E1740" t="s">
        <v>25</v>
      </c>
      <c r="F1740">
        <v>4</v>
      </c>
      <c r="G1740">
        <v>0.1</v>
      </c>
      <c r="H1740">
        <v>50400</v>
      </c>
      <c r="I1740">
        <v>6766</v>
      </c>
      <c r="J1740" t="s">
        <v>51</v>
      </c>
      <c r="K1740" t="s">
        <v>40</v>
      </c>
      <c r="L1740">
        <v>12600</v>
      </c>
      <c r="M1740">
        <v>13.424603174603179</v>
      </c>
      <c r="N1740" t="s">
        <v>8</v>
      </c>
      <c r="O1740" t="s">
        <v>686</v>
      </c>
      <c r="P1740" t="s">
        <v>29</v>
      </c>
      <c r="Q1740" t="s">
        <v>42</v>
      </c>
      <c r="R1740" t="s">
        <v>121</v>
      </c>
      <c r="S1740" t="s">
        <v>44</v>
      </c>
      <c r="T1740" t="s">
        <v>687</v>
      </c>
      <c r="U1740" t="s">
        <v>105</v>
      </c>
      <c r="V1740">
        <v>1691.5</v>
      </c>
    </row>
    <row r="1741" spans="1:22" x14ac:dyDescent="0.3">
      <c r="A1741" t="s">
        <v>3117</v>
      </c>
      <c r="B1741" s="2">
        <v>45940</v>
      </c>
      <c r="C1741" t="s">
        <v>2223</v>
      </c>
      <c r="D1741" t="s">
        <v>70</v>
      </c>
      <c r="E1741" t="s">
        <v>71</v>
      </c>
      <c r="F1741">
        <v>2</v>
      </c>
      <c r="G1741">
        <v>0</v>
      </c>
      <c r="H1741">
        <v>36000</v>
      </c>
      <c r="I1741">
        <v>7000</v>
      </c>
      <c r="J1741" t="s">
        <v>26</v>
      </c>
      <c r="K1741" t="s">
        <v>40</v>
      </c>
      <c r="L1741">
        <v>18000</v>
      </c>
      <c r="M1741">
        <v>19.44444444444445</v>
      </c>
      <c r="N1741" t="s">
        <v>8</v>
      </c>
      <c r="O1741" t="s">
        <v>284</v>
      </c>
      <c r="P1741" t="s">
        <v>73</v>
      </c>
      <c r="Q1741" t="s">
        <v>131</v>
      </c>
      <c r="R1741" t="s">
        <v>132</v>
      </c>
      <c r="S1741" t="s">
        <v>133</v>
      </c>
      <c r="T1741" t="s">
        <v>2224</v>
      </c>
      <c r="U1741" t="s">
        <v>46</v>
      </c>
      <c r="V1741">
        <v>3500</v>
      </c>
    </row>
    <row r="1742" spans="1:22" x14ac:dyDescent="0.3">
      <c r="A1742" t="s">
        <v>3118</v>
      </c>
      <c r="B1742" s="2">
        <v>46114</v>
      </c>
      <c r="C1742" t="s">
        <v>1484</v>
      </c>
      <c r="D1742" t="s">
        <v>49</v>
      </c>
      <c r="E1742" t="s">
        <v>119</v>
      </c>
      <c r="F1742">
        <v>5</v>
      </c>
      <c r="G1742">
        <v>0</v>
      </c>
      <c r="H1742">
        <v>45000</v>
      </c>
      <c r="I1742">
        <v>-12183.01</v>
      </c>
      <c r="J1742" t="s">
        <v>65</v>
      </c>
      <c r="K1742" t="s">
        <v>80</v>
      </c>
      <c r="L1742">
        <v>9000</v>
      </c>
      <c r="M1742">
        <v>-27.073355555555551</v>
      </c>
      <c r="N1742" t="s">
        <v>81</v>
      </c>
      <c r="O1742" t="s">
        <v>1485</v>
      </c>
      <c r="P1742" t="s">
        <v>83</v>
      </c>
      <c r="Q1742" t="s">
        <v>42</v>
      </c>
      <c r="R1742" t="s">
        <v>214</v>
      </c>
      <c r="S1742" t="s">
        <v>111</v>
      </c>
      <c r="T1742" t="s">
        <v>1029</v>
      </c>
      <c r="U1742" t="s">
        <v>100</v>
      </c>
      <c r="V1742">
        <v>-2436.6019999999999</v>
      </c>
    </row>
    <row r="1743" spans="1:22" x14ac:dyDescent="0.3">
      <c r="A1743" t="s">
        <v>3119</v>
      </c>
      <c r="B1743" s="2">
        <v>46221</v>
      </c>
      <c r="C1743" t="s">
        <v>1214</v>
      </c>
      <c r="D1743" t="s">
        <v>70</v>
      </c>
      <c r="E1743" t="s">
        <v>165</v>
      </c>
      <c r="F1743">
        <v>6</v>
      </c>
      <c r="G1743">
        <v>0</v>
      </c>
      <c r="H1743">
        <v>15000</v>
      </c>
      <c r="I1743">
        <v>-2383.02</v>
      </c>
      <c r="J1743" t="s">
        <v>51</v>
      </c>
      <c r="K1743" t="s">
        <v>434</v>
      </c>
      <c r="L1743">
        <v>2500</v>
      </c>
      <c r="M1743">
        <v>-15.886799999999999</v>
      </c>
      <c r="N1743" t="s">
        <v>81</v>
      </c>
      <c r="O1743" t="s">
        <v>1215</v>
      </c>
      <c r="P1743" t="s">
        <v>29</v>
      </c>
      <c r="Q1743" t="s">
        <v>74</v>
      </c>
      <c r="R1743" t="s">
        <v>493</v>
      </c>
      <c r="S1743" t="s">
        <v>494</v>
      </c>
      <c r="T1743" t="s">
        <v>1216</v>
      </c>
      <c r="U1743" t="s">
        <v>34</v>
      </c>
      <c r="V1743">
        <v>-397.17</v>
      </c>
    </row>
    <row r="1744" spans="1:22" x14ac:dyDescent="0.3">
      <c r="A1744" t="s">
        <v>3120</v>
      </c>
      <c r="B1744" s="2">
        <v>45851</v>
      </c>
      <c r="C1744" t="s">
        <v>485</v>
      </c>
      <c r="D1744" t="s">
        <v>24</v>
      </c>
      <c r="E1744" t="s">
        <v>242</v>
      </c>
      <c r="F1744">
        <v>4</v>
      </c>
      <c r="G1744">
        <v>0</v>
      </c>
      <c r="H1744">
        <v>1800</v>
      </c>
      <c r="I1744">
        <v>440</v>
      </c>
      <c r="J1744" t="s">
        <v>51</v>
      </c>
      <c r="K1744" t="s">
        <v>40</v>
      </c>
      <c r="L1744">
        <v>450</v>
      </c>
      <c r="M1744">
        <v>24.444444444444439</v>
      </c>
      <c r="N1744" t="s">
        <v>8</v>
      </c>
      <c r="O1744" t="s">
        <v>59</v>
      </c>
      <c r="P1744" t="s">
        <v>73</v>
      </c>
      <c r="Q1744" t="s">
        <v>131</v>
      </c>
      <c r="R1744" t="s">
        <v>289</v>
      </c>
      <c r="S1744" t="s">
        <v>290</v>
      </c>
      <c r="T1744" t="s">
        <v>486</v>
      </c>
      <c r="U1744" t="s">
        <v>46</v>
      </c>
      <c r="V1744">
        <v>110</v>
      </c>
    </row>
    <row r="1745" spans="1:22" x14ac:dyDescent="0.3">
      <c r="A1745" t="s">
        <v>3121</v>
      </c>
      <c r="B1745" s="2">
        <v>46099</v>
      </c>
      <c r="C1745" t="s">
        <v>726</v>
      </c>
      <c r="D1745" t="s">
        <v>24</v>
      </c>
      <c r="E1745" t="s">
        <v>92</v>
      </c>
      <c r="F1745">
        <v>2</v>
      </c>
      <c r="G1745">
        <v>0.15</v>
      </c>
      <c r="H1745">
        <v>1530</v>
      </c>
      <c r="I1745">
        <v>-390.88</v>
      </c>
      <c r="J1745" t="s">
        <v>65</v>
      </c>
      <c r="K1745" t="s">
        <v>434</v>
      </c>
      <c r="L1745">
        <v>765</v>
      </c>
      <c r="M1745">
        <v>-25.547712418300659</v>
      </c>
      <c r="N1745" t="s">
        <v>81</v>
      </c>
      <c r="O1745" t="s">
        <v>727</v>
      </c>
      <c r="P1745" t="s">
        <v>29</v>
      </c>
      <c r="Q1745" t="s">
        <v>30</v>
      </c>
      <c r="R1745" t="s">
        <v>31</v>
      </c>
      <c r="S1745" t="s">
        <v>32</v>
      </c>
      <c r="T1745" t="s">
        <v>33</v>
      </c>
      <c r="U1745" t="s">
        <v>34</v>
      </c>
      <c r="V1745">
        <v>-195.44</v>
      </c>
    </row>
    <row r="1746" spans="1:22" x14ac:dyDescent="0.3">
      <c r="A1746" t="s">
        <v>3122</v>
      </c>
      <c r="B1746" s="2">
        <v>45854</v>
      </c>
      <c r="C1746" t="s">
        <v>1196</v>
      </c>
      <c r="D1746" t="s">
        <v>37</v>
      </c>
      <c r="E1746" t="s">
        <v>310</v>
      </c>
      <c r="F1746">
        <v>2</v>
      </c>
      <c r="G1746">
        <v>0</v>
      </c>
      <c r="H1746">
        <v>4400</v>
      </c>
      <c r="I1746">
        <v>1500</v>
      </c>
      <c r="J1746" t="s">
        <v>26</v>
      </c>
      <c r="K1746" t="s">
        <v>40</v>
      </c>
      <c r="L1746">
        <v>2200</v>
      </c>
      <c r="M1746">
        <v>34.090909090909093</v>
      </c>
      <c r="N1746" t="s">
        <v>8</v>
      </c>
      <c r="O1746" t="s">
        <v>686</v>
      </c>
      <c r="P1746" t="s">
        <v>73</v>
      </c>
      <c r="Q1746" t="s">
        <v>30</v>
      </c>
      <c r="R1746" t="s">
        <v>53</v>
      </c>
      <c r="S1746" t="s">
        <v>54</v>
      </c>
      <c r="T1746" t="s">
        <v>1197</v>
      </c>
      <c r="U1746" t="s">
        <v>100</v>
      </c>
      <c r="V1746">
        <v>750</v>
      </c>
    </row>
    <row r="1747" spans="1:22" x14ac:dyDescent="0.3">
      <c r="A1747" t="s">
        <v>3123</v>
      </c>
      <c r="B1747" s="2">
        <v>46218</v>
      </c>
      <c r="C1747" t="s">
        <v>2308</v>
      </c>
      <c r="D1747" t="s">
        <v>70</v>
      </c>
      <c r="E1747" t="s">
        <v>165</v>
      </c>
      <c r="F1747">
        <v>1</v>
      </c>
      <c r="G1747">
        <v>0.1</v>
      </c>
      <c r="H1747">
        <v>2250</v>
      </c>
      <c r="I1747">
        <v>638.03</v>
      </c>
      <c r="J1747" t="s">
        <v>51</v>
      </c>
      <c r="K1747" t="s">
        <v>40</v>
      </c>
      <c r="L1747">
        <v>2250</v>
      </c>
      <c r="M1747">
        <v>28.356888888888889</v>
      </c>
      <c r="N1747" t="s">
        <v>8</v>
      </c>
      <c r="O1747" t="s">
        <v>2211</v>
      </c>
      <c r="P1747" t="s">
        <v>29</v>
      </c>
      <c r="Q1747" t="s">
        <v>42</v>
      </c>
      <c r="R1747" t="s">
        <v>121</v>
      </c>
      <c r="S1747" t="s">
        <v>44</v>
      </c>
      <c r="T1747" t="s">
        <v>763</v>
      </c>
      <c r="U1747" t="s">
        <v>46</v>
      </c>
      <c r="V1747">
        <v>638.03</v>
      </c>
    </row>
    <row r="1748" spans="1:22" x14ac:dyDescent="0.3">
      <c r="A1748" t="s">
        <v>3124</v>
      </c>
      <c r="B1748" s="2">
        <v>46185</v>
      </c>
      <c r="C1748" t="s">
        <v>309</v>
      </c>
      <c r="D1748" t="s">
        <v>49</v>
      </c>
      <c r="E1748" t="s">
        <v>58</v>
      </c>
      <c r="F1748">
        <v>1</v>
      </c>
      <c r="G1748">
        <v>0.1</v>
      </c>
      <c r="H1748">
        <v>13500</v>
      </c>
      <c r="I1748">
        <v>2378.92</v>
      </c>
      <c r="J1748" t="s">
        <v>39</v>
      </c>
      <c r="K1748" t="s">
        <v>40</v>
      </c>
      <c r="L1748">
        <v>13500</v>
      </c>
      <c r="M1748">
        <v>17.621629629629631</v>
      </c>
      <c r="N1748" t="s">
        <v>8</v>
      </c>
      <c r="O1748" t="s">
        <v>59</v>
      </c>
      <c r="P1748" t="s">
        <v>73</v>
      </c>
      <c r="Q1748" t="s">
        <v>74</v>
      </c>
      <c r="R1748" t="s">
        <v>237</v>
      </c>
      <c r="S1748" t="s">
        <v>238</v>
      </c>
      <c r="T1748" t="s">
        <v>311</v>
      </c>
      <c r="U1748" t="s">
        <v>46</v>
      </c>
      <c r="V1748">
        <v>2378.92</v>
      </c>
    </row>
    <row r="1749" spans="1:22" x14ac:dyDescent="0.3">
      <c r="A1749" t="s">
        <v>3125</v>
      </c>
      <c r="B1749" s="2">
        <v>46085</v>
      </c>
      <c r="C1749" t="s">
        <v>438</v>
      </c>
      <c r="D1749" t="s">
        <v>70</v>
      </c>
      <c r="E1749" t="s">
        <v>108</v>
      </c>
      <c r="F1749">
        <v>2</v>
      </c>
      <c r="G1749">
        <v>0</v>
      </c>
      <c r="H1749">
        <v>9000</v>
      </c>
      <c r="I1749">
        <v>3000</v>
      </c>
      <c r="J1749" t="s">
        <v>51</v>
      </c>
      <c r="K1749" t="s">
        <v>40</v>
      </c>
      <c r="L1749">
        <v>4500</v>
      </c>
      <c r="M1749">
        <v>33.333333333333329</v>
      </c>
      <c r="N1749" t="s">
        <v>8</v>
      </c>
      <c r="O1749" t="s">
        <v>439</v>
      </c>
      <c r="P1749" t="s">
        <v>83</v>
      </c>
      <c r="Q1749" t="s">
        <v>30</v>
      </c>
      <c r="R1749" t="s">
        <v>98</v>
      </c>
      <c r="S1749" t="s">
        <v>54</v>
      </c>
      <c r="T1749" t="s">
        <v>440</v>
      </c>
      <c r="U1749" t="s">
        <v>34</v>
      </c>
      <c r="V1749">
        <v>1500</v>
      </c>
    </row>
    <row r="1750" spans="1:22" x14ac:dyDescent="0.3">
      <c r="A1750" t="s">
        <v>3126</v>
      </c>
      <c r="B1750" s="2">
        <v>46138</v>
      </c>
      <c r="C1750" t="s">
        <v>1637</v>
      </c>
      <c r="D1750" t="s">
        <v>49</v>
      </c>
      <c r="E1750" t="s">
        <v>119</v>
      </c>
      <c r="F1750">
        <v>3</v>
      </c>
      <c r="G1750">
        <v>0.1</v>
      </c>
      <c r="H1750">
        <v>24300</v>
      </c>
      <c r="I1750">
        <v>5382.03</v>
      </c>
      <c r="J1750" t="s">
        <v>51</v>
      </c>
      <c r="K1750" t="s">
        <v>40</v>
      </c>
      <c r="L1750">
        <v>8100</v>
      </c>
      <c r="M1750">
        <v>22.14827160493827</v>
      </c>
      <c r="N1750" t="s">
        <v>8</v>
      </c>
      <c r="O1750" t="s">
        <v>697</v>
      </c>
      <c r="P1750" t="s">
        <v>29</v>
      </c>
      <c r="Q1750" t="s">
        <v>30</v>
      </c>
      <c r="R1750" t="s">
        <v>31</v>
      </c>
      <c r="S1750" t="s">
        <v>32</v>
      </c>
      <c r="T1750" t="s">
        <v>1638</v>
      </c>
      <c r="U1750" t="s">
        <v>46</v>
      </c>
      <c r="V1750">
        <v>1794.01</v>
      </c>
    </row>
    <row r="1751" spans="1:22" x14ac:dyDescent="0.3">
      <c r="A1751" t="s">
        <v>3127</v>
      </c>
      <c r="B1751" s="2">
        <v>46044</v>
      </c>
      <c r="C1751" t="s">
        <v>2300</v>
      </c>
      <c r="D1751" t="s">
        <v>24</v>
      </c>
      <c r="E1751" t="s">
        <v>87</v>
      </c>
      <c r="F1751">
        <v>2</v>
      </c>
      <c r="G1751">
        <v>0.05</v>
      </c>
      <c r="H1751">
        <v>665</v>
      </c>
      <c r="I1751">
        <v>223.43</v>
      </c>
      <c r="J1751" t="s">
        <v>39</v>
      </c>
      <c r="K1751" t="s">
        <v>40</v>
      </c>
      <c r="L1751">
        <v>332.5</v>
      </c>
      <c r="M1751">
        <v>33.598496240601513</v>
      </c>
      <c r="N1751" t="s">
        <v>8</v>
      </c>
      <c r="O1751" t="s">
        <v>2301</v>
      </c>
      <c r="P1751" t="s">
        <v>29</v>
      </c>
      <c r="Q1751" t="s">
        <v>42</v>
      </c>
      <c r="R1751" t="s">
        <v>214</v>
      </c>
      <c r="S1751" t="s">
        <v>111</v>
      </c>
      <c r="T1751" t="s">
        <v>2302</v>
      </c>
      <c r="U1751" t="s">
        <v>100</v>
      </c>
      <c r="V1751">
        <v>111.715</v>
      </c>
    </row>
    <row r="1752" spans="1:22" x14ac:dyDescent="0.3">
      <c r="A1752" t="s">
        <v>3128</v>
      </c>
      <c r="B1752" s="2">
        <v>46212</v>
      </c>
      <c r="C1752" t="s">
        <v>305</v>
      </c>
      <c r="D1752" t="s">
        <v>37</v>
      </c>
      <c r="E1752" t="s">
        <v>38</v>
      </c>
      <c r="F1752">
        <v>4</v>
      </c>
      <c r="G1752">
        <v>0.1</v>
      </c>
      <c r="H1752">
        <v>6480</v>
      </c>
      <c r="I1752">
        <v>2167.4</v>
      </c>
      <c r="J1752" t="s">
        <v>51</v>
      </c>
      <c r="K1752" t="s">
        <v>40</v>
      </c>
      <c r="L1752">
        <v>1620</v>
      </c>
      <c r="M1752">
        <v>33.447530864197532</v>
      </c>
      <c r="N1752" t="s">
        <v>8</v>
      </c>
      <c r="O1752" t="s">
        <v>306</v>
      </c>
      <c r="P1752" t="s">
        <v>29</v>
      </c>
      <c r="Q1752" t="s">
        <v>30</v>
      </c>
      <c r="R1752" t="s">
        <v>60</v>
      </c>
      <c r="S1752" t="s">
        <v>61</v>
      </c>
      <c r="T1752" t="s">
        <v>307</v>
      </c>
      <c r="U1752" t="s">
        <v>34</v>
      </c>
      <c r="V1752">
        <v>541.85</v>
      </c>
    </row>
    <row r="1753" spans="1:22" x14ac:dyDescent="0.3">
      <c r="A1753" t="s">
        <v>3129</v>
      </c>
      <c r="B1753" s="2">
        <v>45906</v>
      </c>
      <c r="C1753" t="s">
        <v>254</v>
      </c>
      <c r="D1753" t="s">
        <v>37</v>
      </c>
      <c r="E1753" t="s">
        <v>190</v>
      </c>
      <c r="F1753">
        <v>1</v>
      </c>
      <c r="G1753">
        <v>0.05</v>
      </c>
      <c r="H1753">
        <v>3990</v>
      </c>
      <c r="I1753">
        <v>1034.55</v>
      </c>
      <c r="J1753" t="s">
        <v>65</v>
      </c>
      <c r="K1753" t="s">
        <v>40</v>
      </c>
      <c r="L1753">
        <v>3990</v>
      </c>
      <c r="M1753">
        <v>25.928571428571431</v>
      </c>
      <c r="N1753" t="s">
        <v>8</v>
      </c>
      <c r="O1753" t="s">
        <v>255</v>
      </c>
      <c r="P1753" t="s">
        <v>29</v>
      </c>
      <c r="Q1753" t="s">
        <v>30</v>
      </c>
      <c r="R1753" t="s">
        <v>53</v>
      </c>
      <c r="S1753" t="s">
        <v>54</v>
      </c>
      <c r="T1753" t="s">
        <v>256</v>
      </c>
      <c r="U1753" t="s">
        <v>46</v>
      </c>
      <c r="V1753">
        <v>1034.55</v>
      </c>
    </row>
    <row r="1754" spans="1:22" x14ac:dyDescent="0.3">
      <c r="A1754" t="s">
        <v>3130</v>
      </c>
      <c r="B1754" s="2">
        <v>45916</v>
      </c>
      <c r="C1754" t="s">
        <v>3131</v>
      </c>
      <c r="D1754" t="s">
        <v>70</v>
      </c>
      <c r="E1754" t="s">
        <v>165</v>
      </c>
      <c r="F1754">
        <v>4</v>
      </c>
      <c r="G1754">
        <v>0</v>
      </c>
      <c r="H1754">
        <v>10000</v>
      </c>
      <c r="I1754">
        <v>3200</v>
      </c>
      <c r="J1754" t="s">
        <v>65</v>
      </c>
      <c r="K1754" t="s">
        <v>40</v>
      </c>
      <c r="L1754">
        <v>2500</v>
      </c>
      <c r="M1754">
        <v>32</v>
      </c>
      <c r="N1754" t="s">
        <v>8</v>
      </c>
      <c r="O1754" t="s">
        <v>1466</v>
      </c>
      <c r="P1754" t="s">
        <v>29</v>
      </c>
      <c r="Q1754" t="s">
        <v>42</v>
      </c>
      <c r="R1754" t="s">
        <v>43</v>
      </c>
      <c r="S1754" t="s">
        <v>44</v>
      </c>
      <c r="T1754" t="s">
        <v>3132</v>
      </c>
      <c r="U1754" t="s">
        <v>46</v>
      </c>
      <c r="V1754">
        <v>800</v>
      </c>
    </row>
    <row r="1755" spans="1:22" x14ac:dyDescent="0.3">
      <c r="A1755" t="s">
        <v>3133</v>
      </c>
      <c r="B1755" s="2">
        <v>46210</v>
      </c>
      <c r="C1755" t="s">
        <v>1304</v>
      </c>
      <c r="D1755" t="s">
        <v>70</v>
      </c>
      <c r="E1755" t="s">
        <v>129</v>
      </c>
      <c r="F1755">
        <v>1</v>
      </c>
      <c r="G1755">
        <v>0.2</v>
      </c>
      <c r="H1755">
        <v>44000</v>
      </c>
      <c r="I1755">
        <v>2222.02</v>
      </c>
      <c r="J1755" t="s">
        <v>26</v>
      </c>
      <c r="K1755" t="s">
        <v>40</v>
      </c>
      <c r="L1755">
        <v>44000</v>
      </c>
      <c r="M1755">
        <v>5.0500454545454554</v>
      </c>
      <c r="N1755" t="s">
        <v>8</v>
      </c>
      <c r="O1755" t="s">
        <v>1305</v>
      </c>
      <c r="P1755" t="s">
        <v>29</v>
      </c>
      <c r="Q1755" t="s">
        <v>30</v>
      </c>
      <c r="R1755" t="s">
        <v>53</v>
      </c>
      <c r="S1755" t="s">
        <v>54</v>
      </c>
      <c r="T1755" t="s">
        <v>1306</v>
      </c>
      <c r="U1755" t="s">
        <v>34</v>
      </c>
      <c r="V1755">
        <v>2222.02</v>
      </c>
    </row>
    <row r="1756" spans="1:22" x14ac:dyDescent="0.3">
      <c r="A1756" t="s">
        <v>3134</v>
      </c>
      <c r="B1756" s="2">
        <v>46195</v>
      </c>
      <c r="C1756" t="s">
        <v>246</v>
      </c>
      <c r="D1756" t="s">
        <v>70</v>
      </c>
      <c r="E1756" t="s">
        <v>108</v>
      </c>
      <c r="F1756">
        <v>2</v>
      </c>
      <c r="G1756">
        <v>0</v>
      </c>
      <c r="H1756">
        <v>9000</v>
      </c>
      <c r="I1756">
        <v>3000</v>
      </c>
      <c r="J1756" t="s">
        <v>26</v>
      </c>
      <c r="K1756" t="s">
        <v>40</v>
      </c>
      <c r="L1756">
        <v>4500</v>
      </c>
      <c r="M1756">
        <v>33.333333333333329</v>
      </c>
      <c r="N1756" t="s">
        <v>8</v>
      </c>
      <c r="O1756" t="s">
        <v>247</v>
      </c>
      <c r="P1756" t="s">
        <v>73</v>
      </c>
      <c r="Q1756" t="s">
        <v>30</v>
      </c>
      <c r="R1756" t="s">
        <v>53</v>
      </c>
      <c r="S1756" t="s">
        <v>54</v>
      </c>
      <c r="T1756" t="s">
        <v>248</v>
      </c>
      <c r="U1756" t="s">
        <v>100</v>
      </c>
      <c r="V1756">
        <v>1500</v>
      </c>
    </row>
    <row r="1757" spans="1:22" x14ac:dyDescent="0.3">
      <c r="A1757" t="s">
        <v>3135</v>
      </c>
      <c r="B1757" s="2">
        <v>46140</v>
      </c>
      <c r="C1757" t="s">
        <v>3136</v>
      </c>
      <c r="D1757" t="s">
        <v>24</v>
      </c>
      <c r="E1757" t="s">
        <v>242</v>
      </c>
      <c r="F1757">
        <v>2</v>
      </c>
      <c r="G1757">
        <v>0.2</v>
      </c>
      <c r="H1757">
        <v>720</v>
      </c>
      <c r="I1757">
        <v>67.790000000000006</v>
      </c>
      <c r="J1757" t="s">
        <v>65</v>
      </c>
      <c r="K1757" t="s">
        <v>40</v>
      </c>
      <c r="L1757">
        <v>360</v>
      </c>
      <c r="M1757">
        <v>9.4152777777777779</v>
      </c>
      <c r="N1757" t="s">
        <v>8</v>
      </c>
      <c r="O1757" t="s">
        <v>3137</v>
      </c>
      <c r="P1757" t="s">
        <v>29</v>
      </c>
      <c r="Q1757" t="s">
        <v>42</v>
      </c>
      <c r="R1757" t="s">
        <v>110</v>
      </c>
      <c r="S1757" t="s">
        <v>111</v>
      </c>
      <c r="T1757" t="s">
        <v>3138</v>
      </c>
      <c r="U1757" t="s">
        <v>34</v>
      </c>
      <c r="V1757">
        <v>33.895000000000003</v>
      </c>
    </row>
    <row r="1758" spans="1:22" x14ac:dyDescent="0.3">
      <c r="A1758" t="s">
        <v>3139</v>
      </c>
      <c r="B1758" s="2">
        <v>46237</v>
      </c>
      <c r="C1758" t="s">
        <v>1382</v>
      </c>
      <c r="D1758" t="s">
        <v>49</v>
      </c>
      <c r="E1758" t="s">
        <v>79</v>
      </c>
      <c r="F1758">
        <v>1</v>
      </c>
      <c r="G1758">
        <v>0.2</v>
      </c>
      <c r="H1758">
        <v>8800</v>
      </c>
      <c r="I1758">
        <v>1436.68</v>
      </c>
      <c r="J1758" t="s">
        <v>65</v>
      </c>
      <c r="K1758" t="s">
        <v>27</v>
      </c>
      <c r="L1758">
        <v>8800</v>
      </c>
      <c r="M1758">
        <v>16.325909090909089</v>
      </c>
      <c r="N1758" t="s">
        <v>8</v>
      </c>
      <c r="O1758" t="s">
        <v>1383</v>
      </c>
      <c r="P1758" t="s">
        <v>83</v>
      </c>
      <c r="Q1758" t="s">
        <v>30</v>
      </c>
      <c r="R1758" t="s">
        <v>60</v>
      </c>
      <c r="S1758" t="s">
        <v>61</v>
      </c>
      <c r="T1758" t="s">
        <v>227</v>
      </c>
      <c r="U1758" t="s">
        <v>46</v>
      </c>
      <c r="V1758">
        <v>1436.68</v>
      </c>
    </row>
    <row r="1759" spans="1:22" x14ac:dyDescent="0.3">
      <c r="A1759" t="s">
        <v>3140</v>
      </c>
      <c r="B1759" s="2">
        <v>46261</v>
      </c>
      <c r="C1759" t="s">
        <v>1060</v>
      </c>
      <c r="D1759" t="s">
        <v>49</v>
      </c>
      <c r="E1759" t="s">
        <v>50</v>
      </c>
      <c r="F1759">
        <v>5</v>
      </c>
      <c r="G1759">
        <v>0.15</v>
      </c>
      <c r="H1759">
        <v>55250</v>
      </c>
      <c r="I1759">
        <v>-3223.81</v>
      </c>
      <c r="J1759" t="s">
        <v>65</v>
      </c>
      <c r="K1759" t="s">
        <v>434</v>
      </c>
      <c r="L1759">
        <v>11050</v>
      </c>
      <c r="M1759">
        <v>-5.8349502262443442</v>
      </c>
      <c r="N1759" t="s">
        <v>81</v>
      </c>
      <c r="O1759" t="s">
        <v>1061</v>
      </c>
      <c r="P1759" t="s">
        <v>73</v>
      </c>
      <c r="Q1759" t="s">
        <v>30</v>
      </c>
      <c r="R1759" t="s">
        <v>31</v>
      </c>
      <c r="S1759" t="s">
        <v>32</v>
      </c>
      <c r="T1759" t="s">
        <v>1062</v>
      </c>
      <c r="U1759" t="s">
        <v>46</v>
      </c>
      <c r="V1759">
        <v>-644.76199999999994</v>
      </c>
    </row>
    <row r="1760" spans="1:22" x14ac:dyDescent="0.3">
      <c r="A1760" t="s">
        <v>3141</v>
      </c>
      <c r="B1760" s="2">
        <v>46246</v>
      </c>
      <c r="C1760" t="s">
        <v>814</v>
      </c>
      <c r="D1760" t="s">
        <v>70</v>
      </c>
      <c r="E1760" t="s">
        <v>129</v>
      </c>
      <c r="F1760">
        <v>2</v>
      </c>
      <c r="G1760">
        <v>0.15</v>
      </c>
      <c r="H1760">
        <v>93500</v>
      </c>
      <c r="I1760">
        <v>7070.31</v>
      </c>
      <c r="J1760" t="s">
        <v>65</v>
      </c>
      <c r="K1760" t="s">
        <v>40</v>
      </c>
      <c r="L1760">
        <v>46750</v>
      </c>
      <c r="M1760">
        <v>7.5618288770053486</v>
      </c>
      <c r="N1760" t="s">
        <v>8</v>
      </c>
      <c r="O1760" t="s">
        <v>815</v>
      </c>
      <c r="P1760" t="s">
        <v>73</v>
      </c>
      <c r="Q1760" t="s">
        <v>42</v>
      </c>
      <c r="R1760" t="s">
        <v>121</v>
      </c>
      <c r="S1760" t="s">
        <v>44</v>
      </c>
      <c r="T1760" t="s">
        <v>816</v>
      </c>
      <c r="U1760" t="s">
        <v>46</v>
      </c>
      <c r="V1760">
        <v>3535.1550000000002</v>
      </c>
    </row>
    <row r="1761" spans="1:22" x14ac:dyDescent="0.3">
      <c r="A1761" t="s">
        <v>3142</v>
      </c>
      <c r="B1761" s="2">
        <v>46226</v>
      </c>
      <c r="C1761" t="s">
        <v>1519</v>
      </c>
      <c r="D1761" t="s">
        <v>24</v>
      </c>
      <c r="E1761" t="s">
        <v>242</v>
      </c>
      <c r="F1761">
        <v>1</v>
      </c>
      <c r="G1761">
        <v>0.05</v>
      </c>
      <c r="H1761">
        <v>427.5</v>
      </c>
      <c r="I1761">
        <v>96.69</v>
      </c>
      <c r="J1761" t="s">
        <v>39</v>
      </c>
      <c r="K1761" t="s">
        <v>40</v>
      </c>
      <c r="L1761">
        <v>427.5</v>
      </c>
      <c r="M1761">
        <v>22.617543859649121</v>
      </c>
      <c r="N1761" t="s">
        <v>8</v>
      </c>
      <c r="O1761" t="s">
        <v>1520</v>
      </c>
      <c r="P1761" t="s">
        <v>83</v>
      </c>
      <c r="Q1761" t="s">
        <v>30</v>
      </c>
      <c r="R1761" t="s">
        <v>31</v>
      </c>
      <c r="S1761" t="s">
        <v>32</v>
      </c>
      <c r="T1761" t="s">
        <v>1521</v>
      </c>
      <c r="U1761" t="s">
        <v>105</v>
      </c>
      <c r="V1761">
        <v>96.69</v>
      </c>
    </row>
    <row r="1762" spans="1:22" x14ac:dyDescent="0.3">
      <c r="A1762" t="s">
        <v>3143</v>
      </c>
      <c r="B1762" s="2">
        <v>45943</v>
      </c>
      <c r="C1762" t="s">
        <v>1505</v>
      </c>
      <c r="D1762" t="s">
        <v>49</v>
      </c>
      <c r="E1762" t="s">
        <v>58</v>
      </c>
      <c r="F1762">
        <v>2</v>
      </c>
      <c r="G1762">
        <v>0.05</v>
      </c>
      <c r="H1762">
        <v>28500</v>
      </c>
      <c r="I1762">
        <v>6237.76</v>
      </c>
      <c r="J1762" t="s">
        <v>39</v>
      </c>
      <c r="K1762" t="s">
        <v>27</v>
      </c>
      <c r="L1762">
        <v>14250</v>
      </c>
      <c r="M1762">
        <v>21.88687719298246</v>
      </c>
      <c r="N1762" t="s">
        <v>8</v>
      </c>
      <c r="O1762" t="s">
        <v>382</v>
      </c>
      <c r="P1762" t="s">
        <v>73</v>
      </c>
      <c r="Q1762" t="s">
        <v>131</v>
      </c>
      <c r="R1762" t="s">
        <v>200</v>
      </c>
      <c r="S1762" t="s">
        <v>201</v>
      </c>
      <c r="T1762" t="s">
        <v>1506</v>
      </c>
      <c r="U1762" t="s">
        <v>105</v>
      </c>
      <c r="V1762">
        <v>3118.88</v>
      </c>
    </row>
    <row r="1763" spans="1:22" x14ac:dyDescent="0.3">
      <c r="A1763" t="s">
        <v>3144</v>
      </c>
      <c r="B1763" s="2">
        <v>45857</v>
      </c>
      <c r="C1763" t="s">
        <v>254</v>
      </c>
      <c r="D1763" t="s">
        <v>24</v>
      </c>
      <c r="E1763" t="s">
        <v>87</v>
      </c>
      <c r="F1763">
        <v>2</v>
      </c>
      <c r="G1763">
        <v>0</v>
      </c>
      <c r="H1763">
        <v>700</v>
      </c>
      <c r="I1763">
        <v>240</v>
      </c>
      <c r="J1763" t="s">
        <v>39</v>
      </c>
      <c r="K1763" t="s">
        <v>40</v>
      </c>
      <c r="L1763">
        <v>350</v>
      </c>
      <c r="M1763">
        <v>34.285714285714278</v>
      </c>
      <c r="N1763" t="s">
        <v>8</v>
      </c>
      <c r="O1763" t="s">
        <v>255</v>
      </c>
      <c r="P1763" t="s">
        <v>29</v>
      </c>
      <c r="Q1763" t="s">
        <v>30</v>
      </c>
      <c r="R1763" t="s">
        <v>53</v>
      </c>
      <c r="S1763" t="s">
        <v>54</v>
      </c>
      <c r="T1763" t="s">
        <v>256</v>
      </c>
      <c r="U1763" t="s">
        <v>46</v>
      </c>
      <c r="V1763">
        <v>120</v>
      </c>
    </row>
    <row r="1764" spans="1:22" x14ac:dyDescent="0.3">
      <c r="A1764" t="s">
        <v>3145</v>
      </c>
      <c r="B1764" s="2">
        <v>46044</v>
      </c>
      <c r="C1764" t="s">
        <v>3146</v>
      </c>
      <c r="D1764" t="s">
        <v>49</v>
      </c>
      <c r="E1764" t="s">
        <v>119</v>
      </c>
      <c r="F1764">
        <v>5</v>
      </c>
      <c r="G1764">
        <v>0.15</v>
      </c>
      <c r="H1764">
        <v>38250</v>
      </c>
      <c r="I1764">
        <v>7387.41</v>
      </c>
      <c r="J1764" t="s">
        <v>26</v>
      </c>
      <c r="K1764" t="s">
        <v>27</v>
      </c>
      <c r="L1764">
        <v>7650</v>
      </c>
      <c r="M1764">
        <v>19.31349019607843</v>
      </c>
      <c r="N1764" t="s">
        <v>8</v>
      </c>
      <c r="O1764" t="s">
        <v>3147</v>
      </c>
      <c r="P1764" t="s">
        <v>73</v>
      </c>
      <c r="Q1764" t="s">
        <v>42</v>
      </c>
      <c r="R1764" t="s">
        <v>121</v>
      </c>
      <c r="S1764" t="s">
        <v>44</v>
      </c>
      <c r="T1764" t="s">
        <v>2122</v>
      </c>
      <c r="U1764" t="s">
        <v>34</v>
      </c>
      <c r="V1764">
        <v>1477.482</v>
      </c>
    </row>
    <row r="1765" spans="1:22" x14ac:dyDescent="0.3">
      <c r="A1765" t="s">
        <v>3148</v>
      </c>
      <c r="B1765" s="2">
        <v>45937</v>
      </c>
      <c r="C1765" t="s">
        <v>1542</v>
      </c>
      <c r="D1765" t="s">
        <v>49</v>
      </c>
      <c r="E1765" t="s">
        <v>50</v>
      </c>
      <c r="F1765">
        <v>3</v>
      </c>
      <c r="G1765">
        <v>0.15</v>
      </c>
      <c r="H1765">
        <v>33150</v>
      </c>
      <c r="I1765">
        <v>5563.18</v>
      </c>
      <c r="J1765" t="s">
        <v>39</v>
      </c>
      <c r="K1765" t="s">
        <v>40</v>
      </c>
      <c r="L1765">
        <v>11050</v>
      </c>
      <c r="M1765">
        <v>16.781840120663649</v>
      </c>
      <c r="N1765" t="s">
        <v>8</v>
      </c>
      <c r="O1765" t="s">
        <v>141</v>
      </c>
      <c r="P1765" t="s">
        <v>29</v>
      </c>
      <c r="Q1765" t="s">
        <v>74</v>
      </c>
      <c r="R1765" t="s">
        <v>75</v>
      </c>
      <c r="S1765" t="s">
        <v>75</v>
      </c>
      <c r="T1765" t="s">
        <v>1543</v>
      </c>
      <c r="U1765" t="s">
        <v>100</v>
      </c>
      <c r="V1765">
        <v>1854.393333333333</v>
      </c>
    </row>
    <row r="1766" spans="1:22" x14ac:dyDescent="0.3">
      <c r="A1766" t="s">
        <v>3149</v>
      </c>
      <c r="B1766" s="2">
        <v>46067</v>
      </c>
      <c r="C1766" t="s">
        <v>1860</v>
      </c>
      <c r="D1766" t="s">
        <v>24</v>
      </c>
      <c r="E1766" t="s">
        <v>87</v>
      </c>
      <c r="F1766">
        <v>4</v>
      </c>
      <c r="G1766">
        <v>0.1</v>
      </c>
      <c r="H1766">
        <v>1260</v>
      </c>
      <c r="I1766">
        <v>386.67</v>
      </c>
      <c r="J1766" t="s">
        <v>65</v>
      </c>
      <c r="K1766" t="s">
        <v>40</v>
      </c>
      <c r="L1766">
        <v>315</v>
      </c>
      <c r="M1766">
        <v>30.68809523809524</v>
      </c>
      <c r="N1766" t="s">
        <v>8</v>
      </c>
      <c r="O1766" t="s">
        <v>1861</v>
      </c>
      <c r="P1766" t="s">
        <v>83</v>
      </c>
      <c r="Q1766" t="s">
        <v>30</v>
      </c>
      <c r="R1766" t="s">
        <v>98</v>
      </c>
      <c r="S1766" t="s">
        <v>54</v>
      </c>
      <c r="T1766" t="s">
        <v>1862</v>
      </c>
      <c r="U1766" t="s">
        <v>34</v>
      </c>
      <c r="V1766">
        <v>96.667500000000004</v>
      </c>
    </row>
    <row r="1767" spans="1:22" x14ac:dyDescent="0.3">
      <c r="A1767" t="s">
        <v>3150</v>
      </c>
      <c r="B1767" s="2">
        <v>46016</v>
      </c>
      <c r="C1767" t="s">
        <v>1824</v>
      </c>
      <c r="D1767" t="s">
        <v>49</v>
      </c>
      <c r="E1767" t="s">
        <v>58</v>
      </c>
      <c r="F1767">
        <v>4</v>
      </c>
      <c r="G1767">
        <v>0</v>
      </c>
      <c r="H1767">
        <v>60000</v>
      </c>
      <c r="I1767">
        <v>14000</v>
      </c>
      <c r="J1767" t="s">
        <v>26</v>
      </c>
      <c r="K1767" t="s">
        <v>40</v>
      </c>
      <c r="L1767">
        <v>15000</v>
      </c>
      <c r="M1767">
        <v>23.333333333333329</v>
      </c>
      <c r="N1767" t="s">
        <v>8</v>
      </c>
      <c r="O1767" t="s">
        <v>205</v>
      </c>
      <c r="P1767" t="s">
        <v>83</v>
      </c>
      <c r="Q1767" t="s">
        <v>30</v>
      </c>
      <c r="R1767" t="s">
        <v>31</v>
      </c>
      <c r="S1767" t="s">
        <v>32</v>
      </c>
      <c r="T1767" t="s">
        <v>303</v>
      </c>
      <c r="U1767" t="s">
        <v>46</v>
      </c>
      <c r="V1767">
        <v>3500</v>
      </c>
    </row>
    <row r="1768" spans="1:22" x14ac:dyDescent="0.3">
      <c r="A1768" t="s">
        <v>3151</v>
      </c>
      <c r="B1768" s="2">
        <v>46025</v>
      </c>
      <c r="C1768" t="s">
        <v>144</v>
      </c>
      <c r="D1768" t="s">
        <v>70</v>
      </c>
      <c r="E1768" t="s">
        <v>108</v>
      </c>
      <c r="F1768">
        <v>4</v>
      </c>
      <c r="G1768">
        <v>0</v>
      </c>
      <c r="H1768">
        <v>18000</v>
      </c>
      <c r="I1768">
        <v>6000</v>
      </c>
      <c r="J1768" t="s">
        <v>26</v>
      </c>
      <c r="K1768" t="s">
        <v>40</v>
      </c>
      <c r="L1768">
        <v>4500</v>
      </c>
      <c r="M1768">
        <v>33.333333333333329</v>
      </c>
      <c r="N1768" t="s">
        <v>8</v>
      </c>
      <c r="O1768" t="s">
        <v>145</v>
      </c>
      <c r="P1768" t="s">
        <v>83</v>
      </c>
      <c r="Q1768" t="s">
        <v>30</v>
      </c>
      <c r="R1768" t="s">
        <v>60</v>
      </c>
      <c r="S1768" t="s">
        <v>61</v>
      </c>
      <c r="T1768" t="s">
        <v>146</v>
      </c>
      <c r="U1768" t="s">
        <v>105</v>
      </c>
      <c r="V1768">
        <v>1500</v>
      </c>
    </row>
    <row r="1769" spans="1:22" x14ac:dyDescent="0.3">
      <c r="A1769" t="s">
        <v>3152</v>
      </c>
      <c r="B1769" s="2">
        <v>46190</v>
      </c>
      <c r="C1769" t="s">
        <v>2145</v>
      </c>
      <c r="D1769" t="s">
        <v>70</v>
      </c>
      <c r="E1769" t="s">
        <v>129</v>
      </c>
      <c r="F1769">
        <v>4</v>
      </c>
      <c r="G1769">
        <v>0.3</v>
      </c>
      <c r="H1769">
        <v>154000</v>
      </c>
      <c r="I1769">
        <v>-12879.74</v>
      </c>
      <c r="J1769" t="s">
        <v>26</v>
      </c>
      <c r="K1769" t="s">
        <v>40</v>
      </c>
      <c r="L1769">
        <v>38500</v>
      </c>
      <c r="M1769">
        <v>-8.3634675324675314</v>
      </c>
      <c r="N1769" t="s">
        <v>81</v>
      </c>
      <c r="O1769" t="s">
        <v>302</v>
      </c>
      <c r="P1769" t="s">
        <v>29</v>
      </c>
      <c r="Q1769" t="s">
        <v>30</v>
      </c>
      <c r="R1769" t="s">
        <v>98</v>
      </c>
      <c r="S1769" t="s">
        <v>54</v>
      </c>
      <c r="T1769" t="s">
        <v>601</v>
      </c>
      <c r="U1769" t="s">
        <v>46</v>
      </c>
      <c r="V1769">
        <v>-3219.9349999999999</v>
      </c>
    </row>
    <row r="1770" spans="1:22" x14ac:dyDescent="0.3">
      <c r="A1770" t="s">
        <v>3153</v>
      </c>
      <c r="B1770" s="2">
        <v>45937</v>
      </c>
      <c r="C1770" t="s">
        <v>1338</v>
      </c>
      <c r="D1770" t="s">
        <v>70</v>
      </c>
      <c r="E1770" t="s">
        <v>71</v>
      </c>
      <c r="F1770">
        <v>4</v>
      </c>
      <c r="G1770">
        <v>0.2</v>
      </c>
      <c r="H1770">
        <v>57600</v>
      </c>
      <c r="I1770">
        <v>3824.91</v>
      </c>
      <c r="J1770" t="s">
        <v>39</v>
      </c>
      <c r="K1770" t="s">
        <v>40</v>
      </c>
      <c r="L1770">
        <v>14400</v>
      </c>
      <c r="M1770">
        <v>6.6404687500000001</v>
      </c>
      <c r="N1770" t="s">
        <v>8</v>
      </c>
      <c r="O1770" t="s">
        <v>82</v>
      </c>
      <c r="P1770" t="s">
        <v>29</v>
      </c>
      <c r="Q1770" t="s">
        <v>74</v>
      </c>
      <c r="R1770" t="s">
        <v>75</v>
      </c>
      <c r="S1770" t="s">
        <v>75</v>
      </c>
      <c r="T1770" t="s">
        <v>1339</v>
      </c>
      <c r="U1770" t="s">
        <v>100</v>
      </c>
      <c r="V1770">
        <v>956.22749999999996</v>
      </c>
    </row>
    <row r="1771" spans="1:22" x14ac:dyDescent="0.3">
      <c r="A1771" t="s">
        <v>3154</v>
      </c>
      <c r="B1771" s="2">
        <v>45854</v>
      </c>
      <c r="C1771" t="s">
        <v>2337</v>
      </c>
      <c r="D1771" t="s">
        <v>70</v>
      </c>
      <c r="E1771" t="s">
        <v>108</v>
      </c>
      <c r="F1771">
        <v>2</v>
      </c>
      <c r="G1771">
        <v>0</v>
      </c>
      <c r="H1771">
        <v>9000</v>
      </c>
      <c r="I1771">
        <v>380</v>
      </c>
      <c r="J1771" t="s">
        <v>39</v>
      </c>
      <c r="K1771" t="s">
        <v>434</v>
      </c>
      <c r="L1771">
        <v>4500</v>
      </c>
      <c r="M1771">
        <v>4.2222222222222223</v>
      </c>
      <c r="N1771" t="s">
        <v>8</v>
      </c>
      <c r="O1771" t="s">
        <v>2338</v>
      </c>
      <c r="P1771" t="s">
        <v>29</v>
      </c>
      <c r="Q1771" t="s">
        <v>42</v>
      </c>
      <c r="R1771" t="s">
        <v>214</v>
      </c>
      <c r="S1771" t="s">
        <v>111</v>
      </c>
      <c r="T1771" t="s">
        <v>1389</v>
      </c>
      <c r="U1771" t="s">
        <v>34</v>
      </c>
      <c r="V1771">
        <v>190</v>
      </c>
    </row>
    <row r="1772" spans="1:22" x14ac:dyDescent="0.3">
      <c r="A1772" t="s">
        <v>3155</v>
      </c>
      <c r="B1772" s="2">
        <v>45914</v>
      </c>
      <c r="C1772" t="s">
        <v>438</v>
      </c>
      <c r="D1772" t="s">
        <v>70</v>
      </c>
      <c r="E1772" t="s">
        <v>165</v>
      </c>
      <c r="F1772">
        <v>3</v>
      </c>
      <c r="G1772">
        <v>0.1</v>
      </c>
      <c r="H1772">
        <v>6750</v>
      </c>
      <c r="I1772">
        <v>1999.76</v>
      </c>
      <c r="J1772" t="s">
        <v>26</v>
      </c>
      <c r="K1772" t="s">
        <v>40</v>
      </c>
      <c r="L1772">
        <v>2250</v>
      </c>
      <c r="M1772">
        <v>29.626074074074069</v>
      </c>
      <c r="N1772" t="s">
        <v>8</v>
      </c>
      <c r="O1772" t="s">
        <v>439</v>
      </c>
      <c r="P1772" t="s">
        <v>83</v>
      </c>
      <c r="Q1772" t="s">
        <v>30</v>
      </c>
      <c r="R1772" t="s">
        <v>98</v>
      </c>
      <c r="S1772" t="s">
        <v>54</v>
      </c>
      <c r="T1772" t="s">
        <v>440</v>
      </c>
      <c r="U1772" t="s">
        <v>34</v>
      </c>
      <c r="V1772">
        <v>666.5866666666667</v>
      </c>
    </row>
    <row r="1773" spans="1:22" x14ac:dyDescent="0.3">
      <c r="A1773" t="s">
        <v>3156</v>
      </c>
      <c r="B1773" s="2">
        <v>46168</v>
      </c>
      <c r="C1773" t="s">
        <v>772</v>
      </c>
      <c r="D1773" t="s">
        <v>24</v>
      </c>
      <c r="E1773" t="s">
        <v>242</v>
      </c>
      <c r="F1773">
        <v>1</v>
      </c>
      <c r="G1773">
        <v>0</v>
      </c>
      <c r="H1773">
        <v>450</v>
      </c>
      <c r="I1773">
        <v>110</v>
      </c>
      <c r="J1773" t="s">
        <v>65</v>
      </c>
      <c r="K1773" t="s">
        <v>40</v>
      </c>
      <c r="L1773">
        <v>450</v>
      </c>
      <c r="M1773">
        <v>24.444444444444439</v>
      </c>
      <c r="N1773" t="s">
        <v>8</v>
      </c>
      <c r="O1773" t="s">
        <v>773</v>
      </c>
      <c r="P1773" t="s">
        <v>29</v>
      </c>
      <c r="Q1773" t="s">
        <v>42</v>
      </c>
      <c r="R1773" t="s">
        <v>121</v>
      </c>
      <c r="S1773" t="s">
        <v>44</v>
      </c>
      <c r="T1773" t="s">
        <v>774</v>
      </c>
      <c r="U1773" t="s">
        <v>34</v>
      </c>
      <c r="V1773">
        <v>110</v>
      </c>
    </row>
    <row r="1774" spans="1:22" x14ac:dyDescent="0.3">
      <c r="A1774" t="s">
        <v>3157</v>
      </c>
      <c r="B1774" s="2">
        <v>46252</v>
      </c>
      <c r="C1774" t="s">
        <v>2249</v>
      </c>
      <c r="D1774" t="s">
        <v>49</v>
      </c>
      <c r="E1774" t="s">
        <v>79</v>
      </c>
      <c r="F1774">
        <v>2</v>
      </c>
      <c r="G1774">
        <v>0.2</v>
      </c>
      <c r="H1774">
        <v>17600</v>
      </c>
      <c r="I1774">
        <v>-6251.09</v>
      </c>
      <c r="J1774" t="s">
        <v>26</v>
      </c>
      <c r="K1774" t="s">
        <v>434</v>
      </c>
      <c r="L1774">
        <v>8800</v>
      </c>
      <c r="M1774">
        <v>-35.517556818181824</v>
      </c>
      <c r="N1774" t="s">
        <v>81</v>
      </c>
      <c r="O1774" t="s">
        <v>1424</v>
      </c>
      <c r="P1774" t="s">
        <v>29</v>
      </c>
      <c r="Q1774" t="s">
        <v>74</v>
      </c>
      <c r="R1774" t="s">
        <v>237</v>
      </c>
      <c r="S1774" t="s">
        <v>238</v>
      </c>
      <c r="T1774" t="s">
        <v>2250</v>
      </c>
      <c r="U1774" t="s">
        <v>105</v>
      </c>
      <c r="V1774">
        <v>-3125.5450000000001</v>
      </c>
    </row>
    <row r="1775" spans="1:22" x14ac:dyDescent="0.3">
      <c r="A1775" t="s">
        <v>3158</v>
      </c>
      <c r="B1775" s="2">
        <v>46121</v>
      </c>
      <c r="C1775" t="s">
        <v>3159</v>
      </c>
      <c r="D1775" t="s">
        <v>37</v>
      </c>
      <c r="E1775" t="s">
        <v>190</v>
      </c>
      <c r="F1775">
        <v>1</v>
      </c>
      <c r="G1775">
        <v>0.05</v>
      </c>
      <c r="H1775">
        <v>3990</v>
      </c>
      <c r="I1775">
        <v>1078.51</v>
      </c>
      <c r="J1775" t="s">
        <v>51</v>
      </c>
      <c r="K1775" t="s">
        <v>40</v>
      </c>
      <c r="L1775">
        <v>3990</v>
      </c>
      <c r="M1775">
        <v>27.03032581453634</v>
      </c>
      <c r="N1775" t="s">
        <v>8</v>
      </c>
      <c r="O1775" t="s">
        <v>1182</v>
      </c>
      <c r="P1775" t="s">
        <v>73</v>
      </c>
      <c r="Q1775" t="s">
        <v>42</v>
      </c>
      <c r="R1775" t="s">
        <v>110</v>
      </c>
      <c r="S1775" t="s">
        <v>111</v>
      </c>
      <c r="T1775" t="s">
        <v>653</v>
      </c>
      <c r="U1775" t="s">
        <v>105</v>
      </c>
      <c r="V1775">
        <v>1078.51</v>
      </c>
    </row>
    <row r="1776" spans="1:22" x14ac:dyDescent="0.3">
      <c r="A1776" t="s">
        <v>3160</v>
      </c>
      <c r="B1776" s="2">
        <v>46109</v>
      </c>
      <c r="C1776" t="s">
        <v>1637</v>
      </c>
      <c r="D1776" t="s">
        <v>70</v>
      </c>
      <c r="E1776" t="s">
        <v>71</v>
      </c>
      <c r="F1776">
        <v>5</v>
      </c>
      <c r="G1776">
        <v>0</v>
      </c>
      <c r="H1776">
        <v>90000</v>
      </c>
      <c r="I1776">
        <v>17500</v>
      </c>
      <c r="J1776" t="s">
        <v>51</v>
      </c>
      <c r="K1776" t="s">
        <v>40</v>
      </c>
      <c r="L1776">
        <v>18000</v>
      </c>
      <c r="M1776">
        <v>19.44444444444445</v>
      </c>
      <c r="N1776" t="s">
        <v>8</v>
      </c>
      <c r="O1776" t="s">
        <v>697</v>
      </c>
      <c r="P1776" t="s">
        <v>29</v>
      </c>
      <c r="Q1776" t="s">
        <v>30</v>
      </c>
      <c r="R1776" t="s">
        <v>31</v>
      </c>
      <c r="S1776" t="s">
        <v>32</v>
      </c>
      <c r="T1776" t="s">
        <v>1638</v>
      </c>
      <c r="U1776" t="s">
        <v>46</v>
      </c>
      <c r="V1776">
        <v>3500</v>
      </c>
    </row>
    <row r="1777" spans="1:22" x14ac:dyDescent="0.3">
      <c r="A1777" t="s">
        <v>3161</v>
      </c>
      <c r="B1777" s="2">
        <v>46263</v>
      </c>
      <c r="C1777" t="s">
        <v>413</v>
      </c>
      <c r="D1777" t="s">
        <v>37</v>
      </c>
      <c r="E1777" t="s">
        <v>170</v>
      </c>
      <c r="F1777">
        <v>1</v>
      </c>
      <c r="G1777">
        <v>0</v>
      </c>
      <c r="H1777">
        <v>1400</v>
      </c>
      <c r="I1777">
        <v>500</v>
      </c>
      <c r="J1777" t="s">
        <v>51</v>
      </c>
      <c r="K1777" t="s">
        <v>40</v>
      </c>
      <c r="L1777">
        <v>1400</v>
      </c>
      <c r="M1777">
        <v>35.714285714285722</v>
      </c>
      <c r="N1777" t="s">
        <v>8</v>
      </c>
      <c r="O1777" t="s">
        <v>414</v>
      </c>
      <c r="P1777" t="s">
        <v>73</v>
      </c>
      <c r="Q1777" t="s">
        <v>74</v>
      </c>
      <c r="R1777" t="s">
        <v>115</v>
      </c>
      <c r="S1777" t="s">
        <v>115</v>
      </c>
      <c r="T1777" t="s">
        <v>415</v>
      </c>
      <c r="U1777" t="s">
        <v>34</v>
      </c>
      <c r="V1777">
        <v>500</v>
      </c>
    </row>
    <row r="1778" spans="1:22" x14ac:dyDescent="0.3">
      <c r="A1778" t="s">
        <v>3162</v>
      </c>
      <c r="B1778" s="2">
        <v>46121</v>
      </c>
      <c r="C1778" t="s">
        <v>377</v>
      </c>
      <c r="D1778" t="s">
        <v>37</v>
      </c>
      <c r="E1778" t="s">
        <v>170</v>
      </c>
      <c r="F1778">
        <v>2</v>
      </c>
      <c r="G1778">
        <v>0</v>
      </c>
      <c r="H1778">
        <v>2800</v>
      </c>
      <c r="I1778">
        <v>1000</v>
      </c>
      <c r="J1778" t="s">
        <v>65</v>
      </c>
      <c r="K1778" t="s">
        <v>27</v>
      </c>
      <c r="L1778">
        <v>1400</v>
      </c>
      <c r="M1778">
        <v>35.714285714285722</v>
      </c>
      <c r="N1778" t="s">
        <v>8</v>
      </c>
      <c r="O1778" t="s">
        <v>378</v>
      </c>
      <c r="P1778" t="s">
        <v>29</v>
      </c>
      <c r="Q1778" t="s">
        <v>30</v>
      </c>
      <c r="R1778" t="s">
        <v>31</v>
      </c>
      <c r="S1778" t="s">
        <v>32</v>
      </c>
      <c r="T1778" t="s">
        <v>379</v>
      </c>
      <c r="U1778" t="s">
        <v>34</v>
      </c>
      <c r="V1778">
        <v>500</v>
      </c>
    </row>
    <row r="1779" spans="1:22" x14ac:dyDescent="0.3">
      <c r="A1779" t="s">
        <v>3163</v>
      </c>
      <c r="B1779" s="2">
        <v>46207</v>
      </c>
      <c r="C1779" t="s">
        <v>1410</v>
      </c>
      <c r="D1779" t="s">
        <v>49</v>
      </c>
      <c r="E1779" t="s">
        <v>58</v>
      </c>
      <c r="F1779">
        <v>2</v>
      </c>
      <c r="G1779">
        <v>0.05</v>
      </c>
      <c r="H1779">
        <v>28500</v>
      </c>
      <c r="I1779">
        <v>5949.55</v>
      </c>
      <c r="J1779" t="s">
        <v>65</v>
      </c>
      <c r="K1779" t="s">
        <v>40</v>
      </c>
      <c r="L1779">
        <v>14250</v>
      </c>
      <c r="M1779">
        <v>20.875614035087722</v>
      </c>
      <c r="N1779" t="s">
        <v>8</v>
      </c>
      <c r="O1779" t="s">
        <v>995</v>
      </c>
      <c r="P1779" t="s">
        <v>73</v>
      </c>
      <c r="Q1779" t="s">
        <v>30</v>
      </c>
      <c r="R1779" t="s">
        <v>60</v>
      </c>
      <c r="S1779" t="s">
        <v>61</v>
      </c>
      <c r="T1779" t="s">
        <v>1411</v>
      </c>
      <c r="U1779" t="s">
        <v>34</v>
      </c>
      <c r="V1779">
        <v>2974.7750000000001</v>
      </c>
    </row>
    <row r="1780" spans="1:22" x14ac:dyDescent="0.3">
      <c r="A1780" t="s">
        <v>3164</v>
      </c>
      <c r="B1780" s="2">
        <v>45859</v>
      </c>
      <c r="C1780" t="s">
        <v>1008</v>
      </c>
      <c r="D1780" t="s">
        <v>37</v>
      </c>
      <c r="E1780" t="s">
        <v>190</v>
      </c>
      <c r="F1780">
        <v>2</v>
      </c>
      <c r="G1780">
        <v>0</v>
      </c>
      <c r="H1780">
        <v>8400</v>
      </c>
      <c r="I1780">
        <v>2400</v>
      </c>
      <c r="J1780" t="s">
        <v>65</v>
      </c>
      <c r="K1780" t="s">
        <v>40</v>
      </c>
      <c r="L1780">
        <v>4200</v>
      </c>
      <c r="M1780">
        <v>28.571428571428569</v>
      </c>
      <c r="N1780" t="s">
        <v>8</v>
      </c>
      <c r="O1780" t="s">
        <v>1009</v>
      </c>
      <c r="P1780" t="s">
        <v>83</v>
      </c>
      <c r="Q1780" t="s">
        <v>42</v>
      </c>
      <c r="R1780" t="s">
        <v>214</v>
      </c>
      <c r="S1780" t="s">
        <v>111</v>
      </c>
      <c r="T1780" t="s">
        <v>848</v>
      </c>
      <c r="U1780" t="s">
        <v>100</v>
      </c>
      <c r="V1780">
        <v>1200</v>
      </c>
    </row>
    <row r="1781" spans="1:22" x14ac:dyDescent="0.3">
      <c r="A1781" t="s">
        <v>3165</v>
      </c>
      <c r="B1781" s="2">
        <v>46075</v>
      </c>
      <c r="C1781" t="s">
        <v>217</v>
      </c>
      <c r="D1781" t="s">
        <v>24</v>
      </c>
      <c r="E1781" t="s">
        <v>87</v>
      </c>
      <c r="F1781">
        <v>3</v>
      </c>
      <c r="G1781">
        <v>0</v>
      </c>
      <c r="H1781">
        <v>1050</v>
      </c>
      <c r="I1781">
        <v>360</v>
      </c>
      <c r="J1781" t="s">
        <v>51</v>
      </c>
      <c r="K1781" t="s">
        <v>40</v>
      </c>
      <c r="L1781">
        <v>350</v>
      </c>
      <c r="M1781">
        <v>34.285714285714278</v>
      </c>
      <c r="N1781" t="s">
        <v>8</v>
      </c>
      <c r="O1781" t="s">
        <v>218</v>
      </c>
      <c r="P1781" t="s">
        <v>29</v>
      </c>
      <c r="Q1781" t="s">
        <v>30</v>
      </c>
      <c r="R1781" t="s">
        <v>31</v>
      </c>
      <c r="S1781" t="s">
        <v>32</v>
      </c>
      <c r="T1781" t="s">
        <v>219</v>
      </c>
      <c r="U1781" t="s">
        <v>100</v>
      </c>
      <c r="V1781">
        <v>120</v>
      </c>
    </row>
    <row r="1782" spans="1:22" x14ac:dyDescent="0.3">
      <c r="A1782" t="s">
        <v>3166</v>
      </c>
      <c r="B1782" s="2">
        <v>46040</v>
      </c>
      <c r="C1782" t="s">
        <v>246</v>
      </c>
      <c r="D1782" t="s">
        <v>70</v>
      </c>
      <c r="E1782" t="s">
        <v>71</v>
      </c>
      <c r="F1782">
        <v>2</v>
      </c>
      <c r="G1782">
        <v>0.2</v>
      </c>
      <c r="H1782">
        <v>28800</v>
      </c>
      <c r="I1782">
        <v>2967.22</v>
      </c>
      <c r="J1782" t="s">
        <v>65</v>
      </c>
      <c r="K1782" t="s">
        <v>40</v>
      </c>
      <c r="L1782">
        <v>14400</v>
      </c>
      <c r="M1782">
        <v>10.302847222222219</v>
      </c>
      <c r="N1782" t="s">
        <v>8</v>
      </c>
      <c r="O1782" t="s">
        <v>247</v>
      </c>
      <c r="P1782" t="s">
        <v>73</v>
      </c>
      <c r="Q1782" t="s">
        <v>30</v>
      </c>
      <c r="R1782" t="s">
        <v>53</v>
      </c>
      <c r="S1782" t="s">
        <v>54</v>
      </c>
      <c r="T1782" t="s">
        <v>248</v>
      </c>
      <c r="U1782" t="s">
        <v>100</v>
      </c>
      <c r="V1782">
        <v>1483.61</v>
      </c>
    </row>
    <row r="1783" spans="1:22" x14ac:dyDescent="0.3">
      <c r="A1783" t="s">
        <v>3167</v>
      </c>
      <c r="B1783" s="2">
        <v>45955</v>
      </c>
      <c r="C1783" t="s">
        <v>3168</v>
      </c>
      <c r="D1783" t="s">
        <v>70</v>
      </c>
      <c r="E1783" t="s">
        <v>71</v>
      </c>
      <c r="F1783">
        <v>1</v>
      </c>
      <c r="G1783">
        <v>0.05</v>
      </c>
      <c r="H1783">
        <v>17100</v>
      </c>
      <c r="I1783">
        <v>2883.2</v>
      </c>
      <c r="J1783" t="s">
        <v>26</v>
      </c>
      <c r="K1783" t="s">
        <v>40</v>
      </c>
      <c r="L1783">
        <v>17100</v>
      </c>
      <c r="M1783">
        <v>16.860818713450289</v>
      </c>
      <c r="N1783" t="s">
        <v>8</v>
      </c>
      <c r="O1783" t="s">
        <v>3169</v>
      </c>
      <c r="P1783" t="s">
        <v>29</v>
      </c>
      <c r="Q1783" t="s">
        <v>74</v>
      </c>
      <c r="R1783" t="s">
        <v>115</v>
      </c>
      <c r="S1783" t="s">
        <v>115</v>
      </c>
      <c r="T1783" t="s">
        <v>2474</v>
      </c>
      <c r="U1783" t="s">
        <v>34</v>
      </c>
      <c r="V1783">
        <v>2883.2</v>
      </c>
    </row>
    <row r="1784" spans="1:22" x14ac:dyDescent="0.3">
      <c r="A1784" t="s">
        <v>3170</v>
      </c>
      <c r="B1784" s="2">
        <v>45910</v>
      </c>
      <c r="C1784" t="s">
        <v>1360</v>
      </c>
      <c r="D1784" t="s">
        <v>24</v>
      </c>
      <c r="E1784" t="s">
        <v>92</v>
      </c>
      <c r="F1784">
        <v>2</v>
      </c>
      <c r="G1784">
        <v>0</v>
      </c>
      <c r="H1784">
        <v>1800</v>
      </c>
      <c r="I1784">
        <v>560</v>
      </c>
      <c r="J1784" t="s">
        <v>51</v>
      </c>
      <c r="K1784" t="s">
        <v>40</v>
      </c>
      <c r="L1784">
        <v>900</v>
      </c>
      <c r="M1784">
        <v>31.111111111111111</v>
      </c>
      <c r="N1784" t="s">
        <v>8</v>
      </c>
      <c r="O1784" t="s">
        <v>553</v>
      </c>
      <c r="P1784" t="s">
        <v>83</v>
      </c>
      <c r="Q1784" t="s">
        <v>30</v>
      </c>
      <c r="R1784" t="s">
        <v>31</v>
      </c>
      <c r="S1784" t="s">
        <v>32</v>
      </c>
      <c r="T1784" t="s">
        <v>1361</v>
      </c>
      <c r="U1784" t="s">
        <v>34</v>
      </c>
      <c r="V1784">
        <v>280</v>
      </c>
    </row>
    <row r="1785" spans="1:22" x14ac:dyDescent="0.3">
      <c r="A1785" t="s">
        <v>3171</v>
      </c>
      <c r="B1785" s="2">
        <v>45962</v>
      </c>
      <c r="C1785" t="s">
        <v>887</v>
      </c>
      <c r="D1785" t="s">
        <v>70</v>
      </c>
      <c r="E1785" t="s">
        <v>108</v>
      </c>
      <c r="F1785">
        <v>4</v>
      </c>
      <c r="G1785">
        <v>0.2</v>
      </c>
      <c r="H1785">
        <v>14400</v>
      </c>
      <c r="I1785">
        <v>-5556.57</v>
      </c>
      <c r="J1785" t="s">
        <v>65</v>
      </c>
      <c r="K1785" t="s">
        <v>434</v>
      </c>
      <c r="L1785">
        <v>3600</v>
      </c>
      <c r="M1785">
        <v>-38.587291666666673</v>
      </c>
      <c r="N1785" t="s">
        <v>81</v>
      </c>
      <c r="O1785" t="s">
        <v>888</v>
      </c>
      <c r="P1785" t="s">
        <v>29</v>
      </c>
      <c r="Q1785" t="s">
        <v>74</v>
      </c>
      <c r="R1785" t="s">
        <v>115</v>
      </c>
      <c r="S1785" t="s">
        <v>115</v>
      </c>
      <c r="T1785" t="s">
        <v>889</v>
      </c>
      <c r="U1785" t="s">
        <v>46</v>
      </c>
      <c r="V1785">
        <v>-1389.1424999999999</v>
      </c>
    </row>
    <row r="1786" spans="1:22" x14ac:dyDescent="0.3">
      <c r="A1786" t="s">
        <v>3172</v>
      </c>
      <c r="B1786" s="2">
        <v>46198</v>
      </c>
      <c r="C1786" t="s">
        <v>824</v>
      </c>
      <c r="D1786" t="s">
        <v>49</v>
      </c>
      <c r="E1786" t="s">
        <v>58</v>
      </c>
      <c r="F1786">
        <v>5</v>
      </c>
      <c r="G1786">
        <v>0</v>
      </c>
      <c r="H1786">
        <v>75000</v>
      </c>
      <c r="I1786">
        <v>17500</v>
      </c>
      <c r="J1786" t="s">
        <v>65</v>
      </c>
      <c r="K1786" t="s">
        <v>40</v>
      </c>
      <c r="L1786">
        <v>15000</v>
      </c>
      <c r="M1786">
        <v>23.333333333333329</v>
      </c>
      <c r="N1786" t="s">
        <v>8</v>
      </c>
      <c r="O1786" t="s">
        <v>825</v>
      </c>
      <c r="P1786" t="s">
        <v>29</v>
      </c>
      <c r="Q1786" t="s">
        <v>30</v>
      </c>
      <c r="R1786" t="s">
        <v>53</v>
      </c>
      <c r="S1786" t="s">
        <v>54</v>
      </c>
      <c r="T1786" t="s">
        <v>826</v>
      </c>
      <c r="U1786" t="s">
        <v>105</v>
      </c>
      <c r="V1786">
        <v>3500</v>
      </c>
    </row>
    <row r="1787" spans="1:22" x14ac:dyDescent="0.3">
      <c r="A1787" t="s">
        <v>3173</v>
      </c>
      <c r="B1787" s="2">
        <v>46256</v>
      </c>
      <c r="C1787" t="s">
        <v>2261</v>
      </c>
      <c r="D1787" t="s">
        <v>49</v>
      </c>
      <c r="E1787" t="s">
        <v>79</v>
      </c>
      <c r="F1787">
        <v>3</v>
      </c>
      <c r="G1787">
        <v>0.05</v>
      </c>
      <c r="H1787">
        <v>31350</v>
      </c>
      <c r="I1787">
        <v>6978.28</v>
      </c>
      <c r="J1787" t="s">
        <v>39</v>
      </c>
      <c r="K1787" t="s">
        <v>40</v>
      </c>
      <c r="L1787">
        <v>10450</v>
      </c>
      <c r="M1787">
        <v>22.259266347687401</v>
      </c>
      <c r="N1787" t="s">
        <v>8</v>
      </c>
      <c r="O1787" t="s">
        <v>1237</v>
      </c>
      <c r="P1787" t="s">
        <v>73</v>
      </c>
      <c r="Q1787" t="s">
        <v>74</v>
      </c>
      <c r="R1787" t="s">
        <v>237</v>
      </c>
      <c r="S1787" t="s">
        <v>238</v>
      </c>
      <c r="T1787" t="s">
        <v>2262</v>
      </c>
      <c r="U1787" t="s">
        <v>100</v>
      </c>
      <c r="V1787">
        <v>2326.0933333333328</v>
      </c>
    </row>
    <row r="1788" spans="1:22" x14ac:dyDescent="0.3">
      <c r="A1788" t="s">
        <v>3174</v>
      </c>
      <c r="B1788" s="2">
        <v>46032</v>
      </c>
      <c r="C1788" t="s">
        <v>1951</v>
      </c>
      <c r="D1788" t="s">
        <v>24</v>
      </c>
      <c r="E1788" t="s">
        <v>242</v>
      </c>
      <c r="F1788">
        <v>6</v>
      </c>
      <c r="G1788">
        <v>0.05</v>
      </c>
      <c r="H1788">
        <v>2565</v>
      </c>
      <c r="I1788">
        <v>599.23</v>
      </c>
      <c r="J1788" t="s">
        <v>26</v>
      </c>
      <c r="K1788" t="s">
        <v>27</v>
      </c>
      <c r="L1788">
        <v>427.5</v>
      </c>
      <c r="M1788">
        <v>23.361793372319688</v>
      </c>
      <c r="N1788" t="s">
        <v>8</v>
      </c>
      <c r="O1788" t="s">
        <v>1952</v>
      </c>
      <c r="P1788" t="s">
        <v>29</v>
      </c>
      <c r="Q1788" t="s">
        <v>30</v>
      </c>
      <c r="R1788" t="s">
        <v>31</v>
      </c>
      <c r="S1788" t="s">
        <v>32</v>
      </c>
      <c r="T1788" t="s">
        <v>1953</v>
      </c>
      <c r="U1788" t="s">
        <v>34</v>
      </c>
      <c r="V1788">
        <v>99.87166666666667</v>
      </c>
    </row>
    <row r="1789" spans="1:22" x14ac:dyDescent="0.3">
      <c r="A1789" t="s">
        <v>3175</v>
      </c>
      <c r="B1789" s="2">
        <v>46098</v>
      </c>
      <c r="C1789" t="s">
        <v>1939</v>
      </c>
      <c r="D1789" t="s">
        <v>70</v>
      </c>
      <c r="E1789" t="s">
        <v>165</v>
      </c>
      <c r="F1789">
        <v>4</v>
      </c>
      <c r="G1789">
        <v>0.1</v>
      </c>
      <c r="H1789">
        <v>9000</v>
      </c>
      <c r="I1789">
        <v>2730.04</v>
      </c>
      <c r="J1789" t="s">
        <v>39</v>
      </c>
      <c r="K1789" t="s">
        <v>40</v>
      </c>
      <c r="L1789">
        <v>2250</v>
      </c>
      <c r="M1789">
        <v>30.33377777777778</v>
      </c>
      <c r="N1789" t="s">
        <v>8</v>
      </c>
      <c r="O1789" t="s">
        <v>1940</v>
      </c>
      <c r="P1789" t="s">
        <v>29</v>
      </c>
      <c r="Q1789" t="s">
        <v>74</v>
      </c>
      <c r="R1789" t="s">
        <v>237</v>
      </c>
      <c r="S1789" t="s">
        <v>238</v>
      </c>
      <c r="T1789" t="s">
        <v>1839</v>
      </c>
      <c r="U1789" t="s">
        <v>46</v>
      </c>
      <c r="V1789">
        <v>682.51</v>
      </c>
    </row>
    <row r="1790" spans="1:22" x14ac:dyDescent="0.3">
      <c r="A1790" t="s">
        <v>3176</v>
      </c>
      <c r="B1790" s="2">
        <v>46205</v>
      </c>
      <c r="C1790" t="s">
        <v>2194</v>
      </c>
      <c r="D1790" t="s">
        <v>49</v>
      </c>
      <c r="E1790" t="s">
        <v>119</v>
      </c>
      <c r="F1790">
        <v>2</v>
      </c>
      <c r="G1790">
        <v>0</v>
      </c>
      <c r="H1790">
        <v>18000</v>
      </c>
      <c r="I1790">
        <v>4600</v>
      </c>
      <c r="J1790" t="s">
        <v>26</v>
      </c>
      <c r="K1790" t="s">
        <v>40</v>
      </c>
      <c r="L1790">
        <v>9000</v>
      </c>
      <c r="M1790">
        <v>25.55555555555555</v>
      </c>
      <c r="N1790" t="s">
        <v>8</v>
      </c>
      <c r="O1790" t="s">
        <v>333</v>
      </c>
      <c r="P1790" t="s">
        <v>29</v>
      </c>
      <c r="Q1790" t="s">
        <v>42</v>
      </c>
      <c r="R1790" t="s">
        <v>43</v>
      </c>
      <c r="S1790" t="s">
        <v>44</v>
      </c>
      <c r="T1790" t="s">
        <v>2004</v>
      </c>
      <c r="U1790" t="s">
        <v>34</v>
      </c>
      <c r="V1790">
        <v>2300</v>
      </c>
    </row>
    <row r="1791" spans="1:22" x14ac:dyDescent="0.3">
      <c r="A1791" t="s">
        <v>3177</v>
      </c>
      <c r="B1791" s="2">
        <v>46047</v>
      </c>
      <c r="C1791" t="s">
        <v>1723</v>
      </c>
      <c r="D1791" t="s">
        <v>70</v>
      </c>
      <c r="E1791" t="s">
        <v>71</v>
      </c>
      <c r="F1791">
        <v>3</v>
      </c>
      <c r="G1791">
        <v>0.1</v>
      </c>
      <c r="H1791">
        <v>48600</v>
      </c>
      <c r="I1791">
        <v>7048.33</v>
      </c>
      <c r="J1791" t="s">
        <v>26</v>
      </c>
      <c r="K1791" t="s">
        <v>40</v>
      </c>
      <c r="L1791">
        <v>16200</v>
      </c>
      <c r="M1791">
        <v>14.5027366255144</v>
      </c>
      <c r="N1791" t="s">
        <v>8</v>
      </c>
      <c r="O1791" t="s">
        <v>398</v>
      </c>
      <c r="P1791" t="s">
        <v>83</v>
      </c>
      <c r="Q1791" t="s">
        <v>30</v>
      </c>
      <c r="R1791" t="s">
        <v>98</v>
      </c>
      <c r="S1791" t="s">
        <v>54</v>
      </c>
      <c r="T1791" t="s">
        <v>1724</v>
      </c>
      <c r="U1791" t="s">
        <v>46</v>
      </c>
      <c r="V1791">
        <v>2349.4433333333332</v>
      </c>
    </row>
    <row r="1792" spans="1:22" x14ac:dyDescent="0.3">
      <c r="A1792" t="s">
        <v>3178</v>
      </c>
      <c r="B1792" s="2">
        <v>45935</v>
      </c>
      <c r="C1792" t="s">
        <v>783</v>
      </c>
      <c r="D1792" t="s">
        <v>70</v>
      </c>
      <c r="E1792" t="s">
        <v>165</v>
      </c>
      <c r="F1792">
        <v>1</v>
      </c>
      <c r="G1792">
        <v>0</v>
      </c>
      <c r="H1792">
        <v>2500</v>
      </c>
      <c r="I1792">
        <v>800</v>
      </c>
      <c r="J1792" t="s">
        <v>51</v>
      </c>
      <c r="K1792" t="s">
        <v>40</v>
      </c>
      <c r="L1792">
        <v>2500</v>
      </c>
      <c r="M1792">
        <v>32</v>
      </c>
      <c r="N1792" t="s">
        <v>8</v>
      </c>
      <c r="O1792" t="s">
        <v>784</v>
      </c>
      <c r="P1792" t="s">
        <v>73</v>
      </c>
      <c r="Q1792" t="s">
        <v>74</v>
      </c>
      <c r="R1792" t="s">
        <v>493</v>
      </c>
      <c r="S1792" t="s">
        <v>494</v>
      </c>
      <c r="T1792" t="s">
        <v>785</v>
      </c>
      <c r="U1792" t="s">
        <v>46</v>
      </c>
      <c r="V1792">
        <v>800</v>
      </c>
    </row>
    <row r="1793" spans="1:22" x14ac:dyDescent="0.3">
      <c r="A1793" t="s">
        <v>3179</v>
      </c>
      <c r="B1793" s="2">
        <v>45949</v>
      </c>
      <c r="C1793" t="s">
        <v>1830</v>
      </c>
      <c r="D1793" t="s">
        <v>24</v>
      </c>
      <c r="E1793" t="s">
        <v>92</v>
      </c>
      <c r="F1793">
        <v>1</v>
      </c>
      <c r="G1793">
        <v>0</v>
      </c>
      <c r="H1793">
        <v>900</v>
      </c>
      <c r="I1793">
        <v>280</v>
      </c>
      <c r="J1793" t="s">
        <v>51</v>
      </c>
      <c r="K1793" t="s">
        <v>40</v>
      </c>
      <c r="L1793">
        <v>900</v>
      </c>
      <c r="M1793">
        <v>31.111111111111111</v>
      </c>
      <c r="N1793" t="s">
        <v>8</v>
      </c>
      <c r="O1793" t="s">
        <v>1831</v>
      </c>
      <c r="P1793" t="s">
        <v>29</v>
      </c>
      <c r="Q1793" t="s">
        <v>30</v>
      </c>
      <c r="R1793" t="s">
        <v>60</v>
      </c>
      <c r="S1793" t="s">
        <v>61</v>
      </c>
      <c r="T1793" t="s">
        <v>1832</v>
      </c>
      <c r="U1793" t="s">
        <v>34</v>
      </c>
      <c r="V1793">
        <v>280</v>
      </c>
    </row>
    <row r="1794" spans="1:22" x14ac:dyDescent="0.3">
      <c r="A1794" t="s">
        <v>3180</v>
      </c>
      <c r="B1794" s="2">
        <v>45936</v>
      </c>
      <c r="C1794" t="s">
        <v>2673</v>
      </c>
      <c r="D1794" t="s">
        <v>70</v>
      </c>
      <c r="E1794" t="s">
        <v>71</v>
      </c>
      <c r="F1794">
        <v>2</v>
      </c>
      <c r="G1794">
        <v>0.05</v>
      </c>
      <c r="H1794">
        <v>34200</v>
      </c>
      <c r="I1794">
        <v>5910.25</v>
      </c>
      <c r="J1794" t="s">
        <v>51</v>
      </c>
      <c r="K1794" t="s">
        <v>40</v>
      </c>
      <c r="L1794">
        <v>17100</v>
      </c>
      <c r="M1794">
        <v>17.281432748538009</v>
      </c>
      <c r="N1794" t="s">
        <v>8</v>
      </c>
      <c r="O1794" t="s">
        <v>2674</v>
      </c>
      <c r="P1794" t="s">
        <v>73</v>
      </c>
      <c r="Q1794" t="s">
        <v>30</v>
      </c>
      <c r="R1794" t="s">
        <v>98</v>
      </c>
      <c r="S1794" t="s">
        <v>54</v>
      </c>
      <c r="T1794" t="s">
        <v>2675</v>
      </c>
      <c r="U1794" t="s">
        <v>34</v>
      </c>
      <c r="V1794">
        <v>2955.125</v>
      </c>
    </row>
    <row r="1795" spans="1:22" x14ac:dyDescent="0.3">
      <c r="A1795" t="s">
        <v>3181</v>
      </c>
      <c r="B1795" s="2">
        <v>46076</v>
      </c>
      <c r="C1795" t="s">
        <v>2957</v>
      </c>
      <c r="D1795" t="s">
        <v>24</v>
      </c>
      <c r="E1795" t="s">
        <v>87</v>
      </c>
      <c r="F1795">
        <v>3</v>
      </c>
      <c r="G1795">
        <v>0.1</v>
      </c>
      <c r="H1795">
        <v>945</v>
      </c>
      <c r="I1795">
        <v>304.39</v>
      </c>
      <c r="J1795" t="s">
        <v>51</v>
      </c>
      <c r="K1795" t="s">
        <v>40</v>
      </c>
      <c r="L1795">
        <v>315</v>
      </c>
      <c r="M1795">
        <v>32.210582010582009</v>
      </c>
      <c r="N1795" t="s">
        <v>8</v>
      </c>
      <c r="O1795" t="s">
        <v>439</v>
      </c>
      <c r="P1795" t="s">
        <v>83</v>
      </c>
      <c r="Q1795" t="s">
        <v>131</v>
      </c>
      <c r="R1795" t="s">
        <v>200</v>
      </c>
      <c r="S1795" t="s">
        <v>201</v>
      </c>
      <c r="T1795" t="s">
        <v>2958</v>
      </c>
      <c r="U1795" t="s">
        <v>46</v>
      </c>
      <c r="V1795">
        <v>101.4633333333333</v>
      </c>
    </row>
    <row r="1796" spans="1:22" x14ac:dyDescent="0.3">
      <c r="A1796" t="s">
        <v>3182</v>
      </c>
      <c r="B1796" s="2">
        <v>45951</v>
      </c>
      <c r="C1796" t="s">
        <v>1000</v>
      </c>
      <c r="D1796" t="s">
        <v>70</v>
      </c>
      <c r="E1796" t="s">
        <v>129</v>
      </c>
      <c r="F1796">
        <v>2</v>
      </c>
      <c r="G1796">
        <v>0</v>
      </c>
      <c r="H1796">
        <v>110000</v>
      </c>
      <c r="I1796">
        <v>18000</v>
      </c>
      <c r="J1796" t="s">
        <v>39</v>
      </c>
      <c r="K1796" t="s">
        <v>40</v>
      </c>
      <c r="L1796">
        <v>55000</v>
      </c>
      <c r="M1796">
        <v>16.36363636363636</v>
      </c>
      <c r="N1796" t="s">
        <v>8</v>
      </c>
      <c r="O1796" t="s">
        <v>1001</v>
      </c>
      <c r="P1796" t="s">
        <v>29</v>
      </c>
      <c r="Q1796" t="s">
        <v>30</v>
      </c>
      <c r="R1796" t="s">
        <v>60</v>
      </c>
      <c r="S1796" t="s">
        <v>61</v>
      </c>
      <c r="T1796" t="s">
        <v>1002</v>
      </c>
      <c r="U1796" t="s">
        <v>105</v>
      </c>
      <c r="V1796">
        <v>9000</v>
      </c>
    </row>
    <row r="1797" spans="1:22" x14ac:dyDescent="0.3">
      <c r="A1797" t="s">
        <v>3183</v>
      </c>
      <c r="B1797" s="2">
        <v>46262</v>
      </c>
      <c r="C1797" t="s">
        <v>328</v>
      </c>
      <c r="D1797" t="s">
        <v>49</v>
      </c>
      <c r="E1797" t="s">
        <v>79</v>
      </c>
      <c r="F1797">
        <v>1</v>
      </c>
      <c r="G1797">
        <v>0.1</v>
      </c>
      <c r="H1797">
        <v>9900</v>
      </c>
      <c r="I1797">
        <v>-3883.28</v>
      </c>
      <c r="J1797" t="s">
        <v>51</v>
      </c>
      <c r="K1797" t="s">
        <v>434</v>
      </c>
      <c r="L1797">
        <v>9900</v>
      </c>
      <c r="M1797">
        <v>-39.225050505050497</v>
      </c>
      <c r="N1797" t="s">
        <v>81</v>
      </c>
      <c r="O1797" t="s">
        <v>329</v>
      </c>
      <c r="P1797" t="s">
        <v>83</v>
      </c>
      <c r="Q1797" t="s">
        <v>74</v>
      </c>
      <c r="R1797" t="s">
        <v>75</v>
      </c>
      <c r="S1797" t="s">
        <v>75</v>
      </c>
      <c r="T1797" t="s">
        <v>330</v>
      </c>
      <c r="U1797" t="s">
        <v>34</v>
      </c>
      <c r="V1797">
        <v>-3883.28</v>
      </c>
    </row>
    <row r="1798" spans="1:22" x14ac:dyDescent="0.3">
      <c r="A1798" t="s">
        <v>3184</v>
      </c>
      <c r="B1798" s="2">
        <v>46106</v>
      </c>
      <c r="C1798" t="s">
        <v>1704</v>
      </c>
      <c r="D1798" t="s">
        <v>37</v>
      </c>
      <c r="E1798" t="s">
        <v>310</v>
      </c>
      <c r="F1798">
        <v>6</v>
      </c>
      <c r="G1798">
        <v>0</v>
      </c>
      <c r="H1798">
        <v>13200</v>
      </c>
      <c r="I1798">
        <v>4500</v>
      </c>
      <c r="J1798" t="s">
        <v>39</v>
      </c>
      <c r="K1798" t="s">
        <v>40</v>
      </c>
      <c r="L1798">
        <v>2200</v>
      </c>
      <c r="M1798">
        <v>34.090909090909093</v>
      </c>
      <c r="N1798" t="s">
        <v>8</v>
      </c>
      <c r="O1798" t="s">
        <v>636</v>
      </c>
      <c r="P1798" t="s">
        <v>29</v>
      </c>
      <c r="Q1798" t="s">
        <v>30</v>
      </c>
      <c r="R1798" t="s">
        <v>53</v>
      </c>
      <c r="S1798" t="s">
        <v>54</v>
      </c>
      <c r="T1798" t="s">
        <v>1705</v>
      </c>
      <c r="U1798" t="s">
        <v>34</v>
      </c>
      <c r="V1798">
        <v>750</v>
      </c>
    </row>
    <row r="1799" spans="1:22" x14ac:dyDescent="0.3">
      <c r="A1799" t="s">
        <v>3185</v>
      </c>
      <c r="B1799" s="2">
        <v>46209</v>
      </c>
      <c r="C1799" t="s">
        <v>525</v>
      </c>
      <c r="D1799" t="s">
        <v>70</v>
      </c>
      <c r="E1799" t="s">
        <v>165</v>
      </c>
      <c r="F1799">
        <v>4</v>
      </c>
      <c r="G1799">
        <v>0.1</v>
      </c>
      <c r="H1799">
        <v>9000</v>
      </c>
      <c r="I1799">
        <v>-2194.59</v>
      </c>
      <c r="J1799" t="s">
        <v>65</v>
      </c>
      <c r="K1799" t="s">
        <v>80</v>
      </c>
      <c r="L1799">
        <v>2250</v>
      </c>
      <c r="M1799">
        <v>-24.384333333333331</v>
      </c>
      <c r="N1799" t="s">
        <v>81</v>
      </c>
      <c r="O1799" t="s">
        <v>526</v>
      </c>
      <c r="P1799" t="s">
        <v>29</v>
      </c>
      <c r="Q1799" t="s">
        <v>30</v>
      </c>
      <c r="R1799" t="s">
        <v>98</v>
      </c>
      <c r="S1799" t="s">
        <v>54</v>
      </c>
      <c r="T1799" t="s">
        <v>527</v>
      </c>
      <c r="U1799" t="s">
        <v>34</v>
      </c>
      <c r="V1799">
        <v>-548.64750000000004</v>
      </c>
    </row>
    <row r="1800" spans="1:22" x14ac:dyDescent="0.3">
      <c r="A1800" t="s">
        <v>3186</v>
      </c>
      <c r="B1800" s="2">
        <v>46131</v>
      </c>
      <c r="C1800" t="s">
        <v>1791</v>
      </c>
      <c r="D1800" t="s">
        <v>49</v>
      </c>
      <c r="E1800" t="s">
        <v>79</v>
      </c>
      <c r="F1800">
        <v>5</v>
      </c>
      <c r="G1800">
        <v>0</v>
      </c>
      <c r="H1800">
        <v>55000</v>
      </c>
      <c r="I1800">
        <v>13000</v>
      </c>
      <c r="J1800" t="s">
        <v>26</v>
      </c>
      <c r="K1800" t="s">
        <v>27</v>
      </c>
      <c r="L1800">
        <v>11000</v>
      </c>
      <c r="M1800">
        <v>23.63636363636364</v>
      </c>
      <c r="N1800" t="s">
        <v>8</v>
      </c>
      <c r="O1800" t="s">
        <v>851</v>
      </c>
      <c r="P1800" t="s">
        <v>83</v>
      </c>
      <c r="Q1800" t="s">
        <v>30</v>
      </c>
      <c r="R1800" t="s">
        <v>60</v>
      </c>
      <c r="S1800" t="s">
        <v>61</v>
      </c>
      <c r="T1800" t="s">
        <v>1792</v>
      </c>
      <c r="U1800" t="s">
        <v>105</v>
      </c>
      <c r="V1800">
        <v>2600</v>
      </c>
    </row>
    <row r="1801" spans="1:22" x14ac:dyDescent="0.3">
      <c r="A1801" t="s">
        <v>3187</v>
      </c>
      <c r="B1801" s="2">
        <v>46253</v>
      </c>
      <c r="C1801" t="s">
        <v>2972</v>
      </c>
      <c r="D1801" t="s">
        <v>24</v>
      </c>
      <c r="E1801" t="s">
        <v>87</v>
      </c>
      <c r="F1801">
        <v>10</v>
      </c>
      <c r="G1801">
        <v>0</v>
      </c>
      <c r="H1801">
        <v>3500</v>
      </c>
      <c r="I1801">
        <v>1200</v>
      </c>
      <c r="J1801" t="s">
        <v>39</v>
      </c>
      <c r="K1801" t="s">
        <v>40</v>
      </c>
      <c r="L1801">
        <v>350</v>
      </c>
      <c r="M1801">
        <v>34.285714285714278</v>
      </c>
      <c r="N1801" t="s">
        <v>8</v>
      </c>
      <c r="O1801" t="s">
        <v>870</v>
      </c>
      <c r="P1801" t="s">
        <v>83</v>
      </c>
      <c r="Q1801" t="s">
        <v>30</v>
      </c>
      <c r="R1801" t="s">
        <v>60</v>
      </c>
      <c r="S1801" t="s">
        <v>61</v>
      </c>
      <c r="T1801" t="s">
        <v>898</v>
      </c>
      <c r="U1801" t="s">
        <v>34</v>
      </c>
      <c r="V1801">
        <v>120</v>
      </c>
    </row>
    <row r="1802" spans="1:22" x14ac:dyDescent="0.3">
      <c r="A1802" t="s">
        <v>3188</v>
      </c>
      <c r="B1802" s="2">
        <v>45881</v>
      </c>
      <c r="C1802" t="s">
        <v>57</v>
      </c>
      <c r="D1802" t="s">
        <v>70</v>
      </c>
      <c r="E1802" t="s">
        <v>165</v>
      </c>
      <c r="F1802">
        <v>15</v>
      </c>
      <c r="G1802">
        <v>0.1</v>
      </c>
      <c r="H1802">
        <v>33750</v>
      </c>
      <c r="I1802">
        <v>10150.93</v>
      </c>
      <c r="J1802" t="s">
        <v>51</v>
      </c>
      <c r="K1802" t="s">
        <v>40</v>
      </c>
      <c r="L1802">
        <v>2250</v>
      </c>
      <c r="M1802">
        <v>30.076829629629628</v>
      </c>
      <c r="N1802" t="s">
        <v>8</v>
      </c>
      <c r="O1802" t="s">
        <v>59</v>
      </c>
      <c r="P1802" t="s">
        <v>29</v>
      </c>
      <c r="Q1802" t="s">
        <v>30</v>
      </c>
      <c r="R1802" t="s">
        <v>60</v>
      </c>
      <c r="S1802" t="s">
        <v>61</v>
      </c>
      <c r="T1802" t="s">
        <v>62</v>
      </c>
      <c r="U1802" t="s">
        <v>34</v>
      </c>
      <c r="V1802">
        <v>676.72866666666664</v>
      </c>
    </row>
    <row r="1803" spans="1:22" x14ac:dyDescent="0.3">
      <c r="A1803" t="s">
        <v>3189</v>
      </c>
      <c r="B1803" s="2">
        <v>46257</v>
      </c>
      <c r="C1803" t="s">
        <v>2197</v>
      </c>
      <c r="D1803" t="s">
        <v>70</v>
      </c>
      <c r="E1803" t="s">
        <v>129</v>
      </c>
      <c r="F1803">
        <v>1</v>
      </c>
      <c r="G1803">
        <v>0.1</v>
      </c>
      <c r="H1803">
        <v>49500</v>
      </c>
      <c r="I1803">
        <v>4922.5</v>
      </c>
      <c r="J1803" t="s">
        <v>51</v>
      </c>
      <c r="K1803" t="s">
        <v>40</v>
      </c>
      <c r="L1803">
        <v>49500</v>
      </c>
      <c r="M1803">
        <v>9.9444444444444446</v>
      </c>
      <c r="N1803" t="s">
        <v>8</v>
      </c>
      <c r="O1803" t="s">
        <v>2027</v>
      </c>
      <c r="P1803" t="s">
        <v>29</v>
      </c>
      <c r="Q1803" t="s">
        <v>74</v>
      </c>
      <c r="R1803" t="s">
        <v>493</v>
      </c>
      <c r="S1803" t="s">
        <v>494</v>
      </c>
      <c r="T1803" t="s">
        <v>2198</v>
      </c>
      <c r="U1803" t="s">
        <v>34</v>
      </c>
      <c r="V1803">
        <v>4922.5</v>
      </c>
    </row>
    <row r="1804" spans="1:22" x14ac:dyDescent="0.3">
      <c r="A1804" t="s">
        <v>3190</v>
      </c>
      <c r="B1804" s="2">
        <v>45873</v>
      </c>
      <c r="C1804" t="s">
        <v>585</v>
      </c>
      <c r="D1804" t="s">
        <v>70</v>
      </c>
      <c r="E1804" t="s">
        <v>129</v>
      </c>
      <c r="F1804">
        <v>1</v>
      </c>
      <c r="G1804">
        <v>0.1</v>
      </c>
      <c r="H1804">
        <v>49500</v>
      </c>
      <c r="I1804">
        <v>5202.2</v>
      </c>
      <c r="J1804" t="s">
        <v>39</v>
      </c>
      <c r="K1804" t="s">
        <v>40</v>
      </c>
      <c r="L1804">
        <v>49500</v>
      </c>
      <c r="M1804">
        <v>10.50949494949495</v>
      </c>
      <c r="N1804" t="s">
        <v>8</v>
      </c>
      <c r="O1804" t="s">
        <v>586</v>
      </c>
      <c r="P1804" t="s">
        <v>73</v>
      </c>
      <c r="Q1804" t="s">
        <v>30</v>
      </c>
      <c r="R1804" t="s">
        <v>98</v>
      </c>
      <c r="S1804" t="s">
        <v>54</v>
      </c>
      <c r="T1804" t="s">
        <v>587</v>
      </c>
      <c r="U1804" t="s">
        <v>46</v>
      </c>
      <c r="V1804">
        <v>5202.2</v>
      </c>
    </row>
    <row r="1805" spans="1:22" x14ac:dyDescent="0.3">
      <c r="A1805" t="s">
        <v>3191</v>
      </c>
      <c r="B1805" s="2">
        <v>46171</v>
      </c>
      <c r="C1805" t="s">
        <v>556</v>
      </c>
      <c r="D1805" t="s">
        <v>37</v>
      </c>
      <c r="E1805" t="s">
        <v>170</v>
      </c>
      <c r="F1805">
        <v>1</v>
      </c>
      <c r="G1805">
        <v>0.05</v>
      </c>
      <c r="H1805">
        <v>1330</v>
      </c>
      <c r="I1805">
        <v>457.75</v>
      </c>
      <c r="J1805" t="s">
        <v>65</v>
      </c>
      <c r="K1805" t="s">
        <v>40</v>
      </c>
      <c r="L1805">
        <v>1330</v>
      </c>
      <c r="M1805">
        <v>34.417293233082709</v>
      </c>
      <c r="N1805" t="s">
        <v>8</v>
      </c>
      <c r="O1805" t="s">
        <v>161</v>
      </c>
      <c r="P1805" t="s">
        <v>29</v>
      </c>
      <c r="Q1805" t="s">
        <v>30</v>
      </c>
      <c r="R1805" t="s">
        <v>53</v>
      </c>
      <c r="S1805" t="s">
        <v>54</v>
      </c>
      <c r="T1805" t="s">
        <v>557</v>
      </c>
      <c r="U1805" t="s">
        <v>34</v>
      </c>
      <c r="V1805">
        <v>457.75</v>
      </c>
    </row>
    <row r="1806" spans="1:22" x14ac:dyDescent="0.3">
      <c r="A1806" t="s">
        <v>3192</v>
      </c>
      <c r="B1806" s="2">
        <v>45961</v>
      </c>
      <c r="C1806" t="s">
        <v>438</v>
      </c>
      <c r="D1806" t="s">
        <v>70</v>
      </c>
      <c r="E1806" t="s">
        <v>165</v>
      </c>
      <c r="F1806">
        <v>4</v>
      </c>
      <c r="G1806">
        <v>0</v>
      </c>
      <c r="H1806">
        <v>10000</v>
      </c>
      <c r="I1806">
        <v>3200</v>
      </c>
      <c r="J1806" t="s">
        <v>65</v>
      </c>
      <c r="K1806" t="s">
        <v>40</v>
      </c>
      <c r="L1806">
        <v>2500</v>
      </c>
      <c r="M1806">
        <v>32</v>
      </c>
      <c r="N1806" t="s">
        <v>8</v>
      </c>
      <c r="O1806" t="s">
        <v>439</v>
      </c>
      <c r="P1806" t="s">
        <v>83</v>
      </c>
      <c r="Q1806" t="s">
        <v>30</v>
      </c>
      <c r="R1806" t="s">
        <v>98</v>
      </c>
      <c r="S1806" t="s">
        <v>54</v>
      </c>
      <c r="T1806" t="s">
        <v>440</v>
      </c>
      <c r="U1806" t="s">
        <v>34</v>
      </c>
      <c r="V1806">
        <v>800</v>
      </c>
    </row>
    <row r="1807" spans="1:22" x14ac:dyDescent="0.3">
      <c r="A1807" t="s">
        <v>3193</v>
      </c>
      <c r="B1807" s="2">
        <v>45936</v>
      </c>
      <c r="C1807" t="s">
        <v>1979</v>
      </c>
      <c r="D1807" t="s">
        <v>49</v>
      </c>
      <c r="E1807" t="s">
        <v>79</v>
      </c>
      <c r="F1807">
        <v>3</v>
      </c>
      <c r="G1807">
        <v>0.05</v>
      </c>
      <c r="H1807">
        <v>31350</v>
      </c>
      <c r="I1807">
        <v>6919.87</v>
      </c>
      <c r="J1807" t="s">
        <v>39</v>
      </c>
      <c r="K1807" t="s">
        <v>40</v>
      </c>
      <c r="L1807">
        <v>10450</v>
      </c>
      <c r="M1807">
        <v>22.072950558213719</v>
      </c>
      <c r="N1807" t="s">
        <v>8</v>
      </c>
      <c r="O1807" t="s">
        <v>1980</v>
      </c>
      <c r="P1807" t="s">
        <v>29</v>
      </c>
      <c r="Q1807" t="s">
        <v>42</v>
      </c>
      <c r="R1807" t="s">
        <v>110</v>
      </c>
      <c r="S1807" t="s">
        <v>111</v>
      </c>
      <c r="T1807" t="s">
        <v>1981</v>
      </c>
      <c r="U1807" t="s">
        <v>46</v>
      </c>
      <c r="V1807">
        <v>2306.623333333333</v>
      </c>
    </row>
    <row r="1808" spans="1:22" x14ac:dyDescent="0.3">
      <c r="A1808" t="s">
        <v>3194</v>
      </c>
      <c r="B1808" s="2">
        <v>46227</v>
      </c>
      <c r="C1808" t="s">
        <v>1363</v>
      </c>
      <c r="D1808" t="s">
        <v>49</v>
      </c>
      <c r="E1808" t="s">
        <v>50</v>
      </c>
      <c r="F1808">
        <v>2</v>
      </c>
      <c r="G1808">
        <v>0.2</v>
      </c>
      <c r="H1808">
        <v>20800</v>
      </c>
      <c r="I1808">
        <v>-4017.66</v>
      </c>
      <c r="J1808" t="s">
        <v>26</v>
      </c>
      <c r="K1808" t="s">
        <v>434</v>
      </c>
      <c r="L1808">
        <v>10400</v>
      </c>
      <c r="M1808">
        <v>-19.31567307692308</v>
      </c>
      <c r="N1808" t="s">
        <v>81</v>
      </c>
      <c r="O1808" t="s">
        <v>1364</v>
      </c>
      <c r="P1808" t="s">
        <v>73</v>
      </c>
      <c r="Q1808" t="s">
        <v>30</v>
      </c>
      <c r="R1808" t="s">
        <v>98</v>
      </c>
      <c r="S1808" t="s">
        <v>54</v>
      </c>
      <c r="T1808" t="s">
        <v>1365</v>
      </c>
      <c r="U1808" t="s">
        <v>105</v>
      </c>
      <c r="V1808">
        <v>-2008.83</v>
      </c>
    </row>
    <row r="1809" spans="1:22" x14ac:dyDescent="0.3">
      <c r="A1809" t="s">
        <v>3195</v>
      </c>
      <c r="B1809" s="2">
        <v>45849</v>
      </c>
      <c r="C1809" t="s">
        <v>3196</v>
      </c>
      <c r="D1809" t="s">
        <v>37</v>
      </c>
      <c r="E1809" t="s">
        <v>38</v>
      </c>
      <c r="F1809">
        <v>1</v>
      </c>
      <c r="G1809">
        <v>0.2</v>
      </c>
      <c r="H1809">
        <v>1440</v>
      </c>
      <c r="I1809">
        <v>469.13</v>
      </c>
      <c r="J1809" t="s">
        <v>51</v>
      </c>
      <c r="K1809" t="s">
        <v>27</v>
      </c>
      <c r="L1809">
        <v>1440</v>
      </c>
      <c r="M1809">
        <v>32.578472222222217</v>
      </c>
      <c r="N1809" t="s">
        <v>8</v>
      </c>
      <c r="O1809" t="s">
        <v>563</v>
      </c>
      <c r="P1809" t="s">
        <v>83</v>
      </c>
      <c r="Q1809" t="s">
        <v>131</v>
      </c>
      <c r="R1809" t="s">
        <v>200</v>
      </c>
      <c r="S1809" t="s">
        <v>201</v>
      </c>
      <c r="T1809" t="s">
        <v>3197</v>
      </c>
      <c r="U1809" t="s">
        <v>46</v>
      </c>
      <c r="V1809">
        <v>469.13</v>
      </c>
    </row>
    <row r="1810" spans="1:22" x14ac:dyDescent="0.3">
      <c r="A1810" t="s">
        <v>3198</v>
      </c>
      <c r="B1810" s="2">
        <v>45979</v>
      </c>
      <c r="C1810" t="s">
        <v>2308</v>
      </c>
      <c r="D1810" t="s">
        <v>70</v>
      </c>
      <c r="E1810" t="s">
        <v>71</v>
      </c>
      <c r="F1810">
        <v>3</v>
      </c>
      <c r="G1810">
        <v>0.2</v>
      </c>
      <c r="H1810">
        <v>43200</v>
      </c>
      <c r="I1810">
        <v>5158.59</v>
      </c>
      <c r="J1810" t="s">
        <v>51</v>
      </c>
      <c r="K1810" t="s">
        <v>40</v>
      </c>
      <c r="L1810">
        <v>14400</v>
      </c>
      <c r="M1810">
        <v>11.94118055555556</v>
      </c>
      <c r="N1810" t="s">
        <v>8</v>
      </c>
      <c r="O1810" t="s">
        <v>2211</v>
      </c>
      <c r="P1810" t="s">
        <v>29</v>
      </c>
      <c r="Q1810" t="s">
        <v>42</v>
      </c>
      <c r="R1810" t="s">
        <v>121</v>
      </c>
      <c r="S1810" t="s">
        <v>44</v>
      </c>
      <c r="T1810" t="s">
        <v>763</v>
      </c>
      <c r="U1810" t="s">
        <v>46</v>
      </c>
      <c r="V1810">
        <v>1719.53</v>
      </c>
    </row>
    <row r="1811" spans="1:22" x14ac:dyDescent="0.3">
      <c r="A1811" t="s">
        <v>3199</v>
      </c>
      <c r="B1811" s="2">
        <v>45924</v>
      </c>
      <c r="C1811" t="s">
        <v>1436</v>
      </c>
      <c r="D1811" t="s">
        <v>37</v>
      </c>
      <c r="E1811" t="s">
        <v>310</v>
      </c>
      <c r="F1811">
        <v>2</v>
      </c>
      <c r="G1811">
        <v>0.05</v>
      </c>
      <c r="H1811">
        <v>4180</v>
      </c>
      <c r="I1811">
        <v>1355.13</v>
      </c>
      <c r="J1811" t="s">
        <v>39</v>
      </c>
      <c r="K1811" t="s">
        <v>27</v>
      </c>
      <c r="L1811">
        <v>2090</v>
      </c>
      <c r="M1811">
        <v>32.419377990430633</v>
      </c>
      <c r="N1811" t="s">
        <v>8</v>
      </c>
      <c r="O1811" t="s">
        <v>697</v>
      </c>
      <c r="P1811" t="s">
        <v>83</v>
      </c>
      <c r="Q1811" t="s">
        <v>30</v>
      </c>
      <c r="R1811" t="s">
        <v>60</v>
      </c>
      <c r="S1811" t="s">
        <v>61</v>
      </c>
      <c r="T1811" t="s">
        <v>1437</v>
      </c>
      <c r="U1811" t="s">
        <v>46</v>
      </c>
      <c r="V1811">
        <v>677.56500000000005</v>
      </c>
    </row>
    <row r="1812" spans="1:22" x14ac:dyDescent="0.3">
      <c r="A1812" t="s">
        <v>3200</v>
      </c>
      <c r="B1812" s="2">
        <v>46255</v>
      </c>
      <c r="C1812" t="s">
        <v>2101</v>
      </c>
      <c r="D1812" t="s">
        <v>37</v>
      </c>
      <c r="E1812" t="s">
        <v>190</v>
      </c>
      <c r="F1812">
        <v>3</v>
      </c>
      <c r="G1812">
        <v>0.1</v>
      </c>
      <c r="H1812">
        <v>11340</v>
      </c>
      <c r="I1812">
        <v>2681.87</v>
      </c>
      <c r="J1812" t="s">
        <v>65</v>
      </c>
      <c r="K1812" t="s">
        <v>40</v>
      </c>
      <c r="L1812">
        <v>3780</v>
      </c>
      <c r="M1812">
        <v>23.649647266313931</v>
      </c>
      <c r="N1812" t="s">
        <v>8</v>
      </c>
      <c r="O1812" t="s">
        <v>2102</v>
      </c>
      <c r="P1812" t="s">
        <v>29</v>
      </c>
      <c r="Q1812" t="s">
        <v>131</v>
      </c>
      <c r="R1812" t="s">
        <v>289</v>
      </c>
      <c r="S1812" t="s">
        <v>290</v>
      </c>
      <c r="T1812" t="s">
        <v>2103</v>
      </c>
      <c r="U1812" t="s">
        <v>34</v>
      </c>
      <c r="V1812">
        <v>893.95666666666659</v>
      </c>
    </row>
    <row r="1813" spans="1:22" x14ac:dyDescent="0.3">
      <c r="A1813" t="s">
        <v>3201</v>
      </c>
      <c r="B1813" s="2">
        <v>46245</v>
      </c>
      <c r="C1813" t="s">
        <v>2957</v>
      </c>
      <c r="D1813" t="s">
        <v>37</v>
      </c>
      <c r="E1813" t="s">
        <v>190</v>
      </c>
      <c r="F1813">
        <v>2</v>
      </c>
      <c r="G1813">
        <v>0.15</v>
      </c>
      <c r="H1813">
        <v>7140</v>
      </c>
      <c r="I1813">
        <v>1611.45</v>
      </c>
      <c r="J1813" t="s">
        <v>39</v>
      </c>
      <c r="K1813" t="s">
        <v>40</v>
      </c>
      <c r="L1813">
        <v>3570</v>
      </c>
      <c r="M1813">
        <v>22.569327731092439</v>
      </c>
      <c r="N1813" t="s">
        <v>8</v>
      </c>
      <c r="O1813" t="s">
        <v>439</v>
      </c>
      <c r="P1813" t="s">
        <v>83</v>
      </c>
      <c r="Q1813" t="s">
        <v>131</v>
      </c>
      <c r="R1813" t="s">
        <v>200</v>
      </c>
      <c r="S1813" t="s">
        <v>201</v>
      </c>
      <c r="T1813" t="s">
        <v>2958</v>
      </c>
      <c r="U1813" t="s">
        <v>46</v>
      </c>
      <c r="V1813">
        <v>805.72500000000002</v>
      </c>
    </row>
    <row r="1814" spans="1:22" x14ac:dyDescent="0.3">
      <c r="A1814" t="s">
        <v>3202</v>
      </c>
      <c r="B1814" s="2">
        <v>46188</v>
      </c>
      <c r="C1814" t="s">
        <v>3203</v>
      </c>
      <c r="D1814" t="s">
        <v>70</v>
      </c>
      <c r="E1814" t="s">
        <v>71</v>
      </c>
      <c r="F1814">
        <v>2</v>
      </c>
      <c r="G1814">
        <v>0.15</v>
      </c>
      <c r="H1814">
        <v>30600</v>
      </c>
      <c r="I1814">
        <v>-4881.9399999999996</v>
      </c>
      <c r="J1814" t="s">
        <v>65</v>
      </c>
      <c r="K1814" t="s">
        <v>434</v>
      </c>
      <c r="L1814">
        <v>15300</v>
      </c>
      <c r="M1814">
        <v>-15.9540522875817</v>
      </c>
      <c r="N1814" t="s">
        <v>81</v>
      </c>
      <c r="O1814" t="s">
        <v>1353</v>
      </c>
      <c r="P1814" t="s">
        <v>83</v>
      </c>
      <c r="Q1814" t="s">
        <v>74</v>
      </c>
      <c r="R1814" t="s">
        <v>75</v>
      </c>
      <c r="S1814" t="s">
        <v>75</v>
      </c>
      <c r="T1814" t="s">
        <v>3204</v>
      </c>
      <c r="U1814" t="s">
        <v>46</v>
      </c>
      <c r="V1814">
        <v>-2440.9699999999998</v>
      </c>
    </row>
    <row r="1815" spans="1:22" x14ac:dyDescent="0.3">
      <c r="A1815" t="s">
        <v>3205</v>
      </c>
      <c r="B1815" s="2">
        <v>45882</v>
      </c>
      <c r="C1815" t="s">
        <v>621</v>
      </c>
      <c r="D1815" t="s">
        <v>24</v>
      </c>
      <c r="E1815" t="s">
        <v>242</v>
      </c>
      <c r="F1815">
        <v>4</v>
      </c>
      <c r="G1815">
        <v>0</v>
      </c>
      <c r="H1815">
        <v>1800</v>
      </c>
      <c r="I1815">
        <v>440</v>
      </c>
      <c r="J1815" t="s">
        <v>39</v>
      </c>
      <c r="K1815" t="s">
        <v>40</v>
      </c>
      <c r="L1815">
        <v>450</v>
      </c>
      <c r="M1815">
        <v>24.444444444444439</v>
      </c>
      <c r="N1815" t="s">
        <v>8</v>
      </c>
      <c r="O1815" t="s">
        <v>622</v>
      </c>
      <c r="P1815" t="s">
        <v>29</v>
      </c>
      <c r="Q1815" t="s">
        <v>74</v>
      </c>
      <c r="R1815" t="s">
        <v>115</v>
      </c>
      <c r="S1815" t="s">
        <v>115</v>
      </c>
      <c r="T1815" t="s">
        <v>623</v>
      </c>
      <c r="U1815" t="s">
        <v>100</v>
      </c>
      <c r="V1815">
        <v>110</v>
      </c>
    </row>
    <row r="1816" spans="1:22" x14ac:dyDescent="0.3">
      <c r="A1816" t="s">
        <v>3206</v>
      </c>
      <c r="B1816" s="2">
        <v>46177</v>
      </c>
      <c r="C1816" t="s">
        <v>1410</v>
      </c>
      <c r="D1816" t="s">
        <v>70</v>
      </c>
      <c r="E1816" t="s">
        <v>129</v>
      </c>
      <c r="F1816">
        <v>4</v>
      </c>
      <c r="G1816">
        <v>0.1</v>
      </c>
      <c r="H1816">
        <v>198000</v>
      </c>
      <c r="I1816">
        <v>24370.799999999999</v>
      </c>
      <c r="J1816" t="s">
        <v>65</v>
      </c>
      <c r="K1816" t="s">
        <v>40</v>
      </c>
      <c r="L1816">
        <v>49500</v>
      </c>
      <c r="M1816">
        <v>12.30848484848485</v>
      </c>
      <c r="N1816" t="s">
        <v>8</v>
      </c>
      <c r="O1816" t="s">
        <v>995</v>
      </c>
      <c r="P1816" t="s">
        <v>73</v>
      </c>
      <c r="Q1816" t="s">
        <v>30</v>
      </c>
      <c r="R1816" t="s">
        <v>60</v>
      </c>
      <c r="S1816" t="s">
        <v>61</v>
      </c>
      <c r="T1816" t="s">
        <v>1411</v>
      </c>
      <c r="U1816" t="s">
        <v>34</v>
      </c>
      <c r="V1816">
        <v>6092.7</v>
      </c>
    </row>
    <row r="1817" spans="1:22" x14ac:dyDescent="0.3">
      <c r="A1817" t="s">
        <v>3207</v>
      </c>
      <c r="B1817" s="2">
        <v>45990</v>
      </c>
      <c r="C1817" t="s">
        <v>491</v>
      </c>
      <c r="D1817" t="s">
        <v>49</v>
      </c>
      <c r="E1817" t="s">
        <v>79</v>
      </c>
      <c r="F1817">
        <v>3</v>
      </c>
      <c r="G1817">
        <v>0.1</v>
      </c>
      <c r="H1817">
        <v>29700</v>
      </c>
      <c r="I1817">
        <v>5123.01</v>
      </c>
      <c r="J1817" t="s">
        <v>26</v>
      </c>
      <c r="K1817" t="s">
        <v>27</v>
      </c>
      <c r="L1817">
        <v>9900</v>
      </c>
      <c r="M1817">
        <v>17.249191919191919</v>
      </c>
      <c r="N1817" t="s">
        <v>8</v>
      </c>
      <c r="O1817" t="s">
        <v>492</v>
      </c>
      <c r="P1817" t="s">
        <v>29</v>
      </c>
      <c r="Q1817" t="s">
        <v>74</v>
      </c>
      <c r="R1817" t="s">
        <v>493</v>
      </c>
      <c r="S1817" t="s">
        <v>494</v>
      </c>
      <c r="T1817" t="s">
        <v>495</v>
      </c>
      <c r="U1817" t="s">
        <v>100</v>
      </c>
      <c r="V1817">
        <v>1707.67</v>
      </c>
    </row>
    <row r="1818" spans="1:22" x14ac:dyDescent="0.3">
      <c r="A1818" t="s">
        <v>3208</v>
      </c>
      <c r="B1818" s="2">
        <v>45961</v>
      </c>
      <c r="C1818" t="s">
        <v>2673</v>
      </c>
      <c r="D1818" t="s">
        <v>37</v>
      </c>
      <c r="E1818" t="s">
        <v>190</v>
      </c>
      <c r="F1818">
        <v>4</v>
      </c>
      <c r="G1818">
        <v>0</v>
      </c>
      <c r="H1818">
        <v>16800</v>
      </c>
      <c r="I1818">
        <v>4800</v>
      </c>
      <c r="J1818" t="s">
        <v>51</v>
      </c>
      <c r="K1818" t="s">
        <v>40</v>
      </c>
      <c r="L1818">
        <v>4200</v>
      </c>
      <c r="M1818">
        <v>28.571428571428569</v>
      </c>
      <c r="N1818" t="s">
        <v>8</v>
      </c>
      <c r="O1818" t="s">
        <v>2674</v>
      </c>
      <c r="P1818" t="s">
        <v>73</v>
      </c>
      <c r="Q1818" t="s">
        <v>30</v>
      </c>
      <c r="R1818" t="s">
        <v>98</v>
      </c>
      <c r="S1818" t="s">
        <v>54</v>
      </c>
      <c r="T1818" t="s">
        <v>2675</v>
      </c>
      <c r="U1818" t="s">
        <v>34</v>
      </c>
      <c r="V1818">
        <v>1200</v>
      </c>
    </row>
    <row r="1819" spans="1:22" x14ac:dyDescent="0.3">
      <c r="A1819" t="s">
        <v>3209</v>
      </c>
      <c r="B1819" s="2">
        <v>46180</v>
      </c>
      <c r="C1819" t="s">
        <v>875</v>
      </c>
      <c r="D1819" t="s">
        <v>70</v>
      </c>
      <c r="E1819" t="s">
        <v>165</v>
      </c>
      <c r="F1819">
        <v>5</v>
      </c>
      <c r="G1819">
        <v>0.1</v>
      </c>
      <c r="H1819">
        <v>11250</v>
      </c>
      <c r="I1819">
        <v>3406.24</v>
      </c>
      <c r="J1819" t="s">
        <v>39</v>
      </c>
      <c r="K1819" t="s">
        <v>40</v>
      </c>
      <c r="L1819">
        <v>2250</v>
      </c>
      <c r="M1819">
        <v>30.277688888888889</v>
      </c>
      <c r="N1819" t="s">
        <v>8</v>
      </c>
      <c r="O1819" t="s">
        <v>149</v>
      </c>
      <c r="P1819" t="s">
        <v>73</v>
      </c>
      <c r="Q1819" t="s">
        <v>42</v>
      </c>
      <c r="R1819" t="s">
        <v>214</v>
      </c>
      <c r="S1819" t="s">
        <v>111</v>
      </c>
      <c r="T1819" t="s">
        <v>876</v>
      </c>
      <c r="U1819" t="s">
        <v>100</v>
      </c>
      <c r="V1819">
        <v>681.24799999999993</v>
      </c>
    </row>
    <row r="1820" spans="1:22" x14ac:dyDescent="0.3">
      <c r="A1820" t="s">
        <v>3210</v>
      </c>
      <c r="B1820" s="2">
        <v>45843</v>
      </c>
      <c r="C1820" t="s">
        <v>1403</v>
      </c>
      <c r="D1820" t="s">
        <v>70</v>
      </c>
      <c r="E1820" t="s">
        <v>129</v>
      </c>
      <c r="F1820">
        <v>3</v>
      </c>
      <c r="G1820">
        <v>0.15</v>
      </c>
      <c r="H1820">
        <v>140250</v>
      </c>
      <c r="I1820">
        <v>9961.35</v>
      </c>
      <c r="J1820" t="s">
        <v>65</v>
      </c>
      <c r="K1820" t="s">
        <v>40</v>
      </c>
      <c r="L1820">
        <v>46750</v>
      </c>
      <c r="M1820">
        <v>7.1025668449197861</v>
      </c>
      <c r="N1820" t="s">
        <v>8</v>
      </c>
      <c r="O1820" t="s">
        <v>723</v>
      </c>
      <c r="P1820" t="s">
        <v>73</v>
      </c>
      <c r="Q1820" t="s">
        <v>42</v>
      </c>
      <c r="R1820" t="s">
        <v>43</v>
      </c>
      <c r="S1820" t="s">
        <v>44</v>
      </c>
      <c r="T1820" t="s">
        <v>1404</v>
      </c>
      <c r="U1820" t="s">
        <v>46</v>
      </c>
      <c r="V1820">
        <v>3320.45</v>
      </c>
    </row>
    <row r="1821" spans="1:22" x14ac:dyDescent="0.3">
      <c r="A1821" t="s">
        <v>3211</v>
      </c>
      <c r="B1821" s="2">
        <v>45904</v>
      </c>
      <c r="C1821" t="s">
        <v>1319</v>
      </c>
      <c r="D1821" t="s">
        <v>70</v>
      </c>
      <c r="E1821" t="s">
        <v>71</v>
      </c>
      <c r="F1821">
        <v>1</v>
      </c>
      <c r="G1821">
        <v>0</v>
      </c>
      <c r="H1821">
        <v>18000</v>
      </c>
      <c r="I1821">
        <v>3500</v>
      </c>
      <c r="J1821" t="s">
        <v>51</v>
      </c>
      <c r="K1821" t="s">
        <v>40</v>
      </c>
      <c r="L1821">
        <v>18000</v>
      </c>
      <c r="M1821">
        <v>19.44444444444445</v>
      </c>
      <c r="N1821" t="s">
        <v>8</v>
      </c>
      <c r="O1821" t="s">
        <v>166</v>
      </c>
      <c r="P1821" t="s">
        <v>83</v>
      </c>
      <c r="Q1821" t="s">
        <v>42</v>
      </c>
      <c r="R1821" t="s">
        <v>110</v>
      </c>
      <c r="S1821" t="s">
        <v>111</v>
      </c>
      <c r="T1821" t="s">
        <v>1320</v>
      </c>
      <c r="U1821" t="s">
        <v>34</v>
      </c>
      <c r="V1821">
        <v>3500</v>
      </c>
    </row>
    <row r="1822" spans="1:22" x14ac:dyDescent="0.3">
      <c r="A1822" t="s">
        <v>3212</v>
      </c>
      <c r="B1822" s="2">
        <v>45967</v>
      </c>
      <c r="C1822" t="s">
        <v>640</v>
      </c>
      <c r="D1822" t="s">
        <v>24</v>
      </c>
      <c r="E1822" t="s">
        <v>242</v>
      </c>
      <c r="F1822">
        <v>6</v>
      </c>
      <c r="G1822">
        <v>0.1</v>
      </c>
      <c r="H1822">
        <v>2430</v>
      </c>
      <c r="I1822">
        <v>520.41</v>
      </c>
      <c r="J1822" t="s">
        <v>65</v>
      </c>
      <c r="K1822" t="s">
        <v>40</v>
      </c>
      <c r="L1822">
        <v>405</v>
      </c>
      <c r="M1822">
        <v>21.41604938271605</v>
      </c>
      <c r="N1822" t="s">
        <v>8</v>
      </c>
      <c r="O1822" t="s">
        <v>641</v>
      </c>
      <c r="P1822" t="s">
        <v>29</v>
      </c>
      <c r="Q1822" t="s">
        <v>30</v>
      </c>
      <c r="R1822" t="s">
        <v>31</v>
      </c>
      <c r="S1822" t="s">
        <v>32</v>
      </c>
      <c r="T1822" t="s">
        <v>642</v>
      </c>
      <c r="U1822" t="s">
        <v>34</v>
      </c>
      <c r="V1822">
        <v>86.734999999999999</v>
      </c>
    </row>
    <row r="1823" spans="1:22" x14ac:dyDescent="0.3">
      <c r="A1823" t="s">
        <v>3213</v>
      </c>
      <c r="B1823" s="2">
        <v>46062</v>
      </c>
      <c r="C1823" t="s">
        <v>1371</v>
      </c>
      <c r="D1823" t="s">
        <v>49</v>
      </c>
      <c r="E1823" t="s">
        <v>58</v>
      </c>
      <c r="F1823">
        <v>1</v>
      </c>
      <c r="G1823">
        <v>0.1</v>
      </c>
      <c r="H1823">
        <v>13500</v>
      </c>
      <c r="I1823">
        <v>2493.0700000000002</v>
      </c>
      <c r="J1823" t="s">
        <v>51</v>
      </c>
      <c r="K1823" t="s">
        <v>27</v>
      </c>
      <c r="L1823">
        <v>13500</v>
      </c>
      <c r="M1823">
        <v>18.46718518518519</v>
      </c>
      <c r="N1823" t="s">
        <v>8</v>
      </c>
      <c r="O1823" t="s">
        <v>641</v>
      </c>
      <c r="P1823" t="s">
        <v>29</v>
      </c>
      <c r="Q1823" t="s">
        <v>131</v>
      </c>
      <c r="R1823" t="s">
        <v>200</v>
      </c>
      <c r="S1823" t="s">
        <v>201</v>
      </c>
      <c r="T1823" t="s">
        <v>1372</v>
      </c>
      <c r="U1823" t="s">
        <v>100</v>
      </c>
      <c r="V1823">
        <v>2493.0700000000002</v>
      </c>
    </row>
    <row r="1824" spans="1:22" x14ac:dyDescent="0.3">
      <c r="A1824" t="s">
        <v>3214</v>
      </c>
      <c r="B1824" s="2">
        <v>45874</v>
      </c>
      <c r="C1824" t="s">
        <v>3002</v>
      </c>
      <c r="D1824" t="s">
        <v>70</v>
      </c>
      <c r="E1824" t="s">
        <v>129</v>
      </c>
      <c r="F1824">
        <v>6</v>
      </c>
      <c r="G1824">
        <v>0.2</v>
      </c>
      <c r="H1824">
        <v>264000</v>
      </c>
      <c r="I1824">
        <v>17128.93</v>
      </c>
      <c r="J1824" t="s">
        <v>26</v>
      </c>
      <c r="K1824" t="s">
        <v>40</v>
      </c>
      <c r="L1824">
        <v>44000</v>
      </c>
      <c r="M1824">
        <v>6.4882310606060596</v>
      </c>
      <c r="N1824" t="s">
        <v>8</v>
      </c>
      <c r="O1824" t="s">
        <v>3003</v>
      </c>
      <c r="P1824" t="s">
        <v>83</v>
      </c>
      <c r="Q1824" t="s">
        <v>42</v>
      </c>
      <c r="R1824" t="s">
        <v>121</v>
      </c>
      <c r="S1824" t="s">
        <v>44</v>
      </c>
      <c r="T1824" t="s">
        <v>3004</v>
      </c>
      <c r="U1824" t="s">
        <v>34</v>
      </c>
      <c r="V1824">
        <v>2854.8216666666672</v>
      </c>
    </row>
    <row r="1825" spans="1:22" x14ac:dyDescent="0.3">
      <c r="A1825" t="s">
        <v>3215</v>
      </c>
      <c r="B1825" s="2">
        <v>46238</v>
      </c>
      <c r="C1825" t="s">
        <v>2467</v>
      </c>
      <c r="D1825" t="s">
        <v>24</v>
      </c>
      <c r="E1825" t="s">
        <v>242</v>
      </c>
      <c r="F1825">
        <v>1</v>
      </c>
      <c r="G1825">
        <v>0.1</v>
      </c>
      <c r="H1825">
        <v>405</v>
      </c>
      <c r="I1825">
        <v>76.53</v>
      </c>
      <c r="J1825" t="s">
        <v>51</v>
      </c>
      <c r="K1825" t="s">
        <v>40</v>
      </c>
      <c r="L1825">
        <v>405</v>
      </c>
      <c r="M1825">
        <v>18.896296296296299</v>
      </c>
      <c r="N1825" t="s">
        <v>8</v>
      </c>
      <c r="O1825" t="s">
        <v>213</v>
      </c>
      <c r="P1825" t="s">
        <v>29</v>
      </c>
      <c r="Q1825" t="s">
        <v>42</v>
      </c>
      <c r="R1825" t="s">
        <v>214</v>
      </c>
      <c r="S1825" t="s">
        <v>111</v>
      </c>
      <c r="T1825" t="s">
        <v>1103</v>
      </c>
      <c r="U1825" t="s">
        <v>46</v>
      </c>
      <c r="V1825">
        <v>76.53</v>
      </c>
    </row>
    <row r="1826" spans="1:22" x14ac:dyDescent="0.3">
      <c r="A1826" t="s">
        <v>3216</v>
      </c>
      <c r="B1826" s="2">
        <v>46032</v>
      </c>
      <c r="C1826" t="s">
        <v>978</v>
      </c>
      <c r="D1826" t="s">
        <v>37</v>
      </c>
      <c r="E1826" t="s">
        <v>310</v>
      </c>
      <c r="F1826">
        <v>2</v>
      </c>
      <c r="G1826">
        <v>0.1</v>
      </c>
      <c r="H1826">
        <v>3960</v>
      </c>
      <c r="I1826">
        <v>1301.99</v>
      </c>
      <c r="J1826" t="s">
        <v>51</v>
      </c>
      <c r="K1826" t="s">
        <v>40</v>
      </c>
      <c r="L1826">
        <v>1980</v>
      </c>
      <c r="M1826">
        <v>32.878535353535362</v>
      </c>
      <c r="N1826" t="s">
        <v>8</v>
      </c>
      <c r="O1826" t="s">
        <v>979</v>
      </c>
      <c r="P1826" t="s">
        <v>29</v>
      </c>
      <c r="Q1826" t="s">
        <v>42</v>
      </c>
      <c r="R1826" t="s">
        <v>121</v>
      </c>
      <c r="S1826" t="s">
        <v>44</v>
      </c>
      <c r="T1826" t="s">
        <v>415</v>
      </c>
      <c r="U1826" t="s">
        <v>34</v>
      </c>
      <c r="V1826">
        <v>650.995</v>
      </c>
    </row>
    <row r="1827" spans="1:22" x14ac:dyDescent="0.3">
      <c r="A1827" t="s">
        <v>3217</v>
      </c>
      <c r="B1827" s="2">
        <v>46018</v>
      </c>
      <c r="C1827" t="s">
        <v>325</v>
      </c>
      <c r="D1827" t="s">
        <v>37</v>
      </c>
      <c r="E1827" t="s">
        <v>38</v>
      </c>
      <c r="F1827">
        <v>3</v>
      </c>
      <c r="G1827">
        <v>0.1</v>
      </c>
      <c r="H1827">
        <v>4860</v>
      </c>
      <c r="I1827">
        <v>1550.87</v>
      </c>
      <c r="J1827" t="s">
        <v>39</v>
      </c>
      <c r="K1827" t="s">
        <v>40</v>
      </c>
      <c r="L1827">
        <v>1620</v>
      </c>
      <c r="M1827">
        <v>31.910905349794241</v>
      </c>
      <c r="N1827" t="s">
        <v>8</v>
      </c>
      <c r="O1827" t="s">
        <v>247</v>
      </c>
      <c r="P1827" t="s">
        <v>83</v>
      </c>
      <c r="Q1827" t="s">
        <v>42</v>
      </c>
      <c r="R1827" t="s">
        <v>43</v>
      </c>
      <c r="S1827" t="s">
        <v>44</v>
      </c>
      <c r="T1827" t="s">
        <v>326</v>
      </c>
      <c r="U1827" t="s">
        <v>46</v>
      </c>
      <c r="V1827">
        <v>516.95666666666659</v>
      </c>
    </row>
    <row r="1828" spans="1:22" x14ac:dyDescent="0.3">
      <c r="A1828" t="s">
        <v>3218</v>
      </c>
      <c r="B1828" s="2">
        <v>45850</v>
      </c>
      <c r="C1828" t="s">
        <v>1410</v>
      </c>
      <c r="D1828" t="s">
        <v>70</v>
      </c>
      <c r="E1828" t="s">
        <v>165</v>
      </c>
      <c r="F1828">
        <v>4</v>
      </c>
      <c r="G1828">
        <v>0</v>
      </c>
      <c r="H1828">
        <v>10000</v>
      </c>
      <c r="I1828">
        <v>3200</v>
      </c>
      <c r="J1828" t="s">
        <v>39</v>
      </c>
      <c r="K1828" t="s">
        <v>40</v>
      </c>
      <c r="L1828">
        <v>2500</v>
      </c>
      <c r="M1828">
        <v>32</v>
      </c>
      <c r="N1828" t="s">
        <v>8</v>
      </c>
      <c r="O1828" t="s">
        <v>995</v>
      </c>
      <c r="P1828" t="s">
        <v>73</v>
      </c>
      <c r="Q1828" t="s">
        <v>30</v>
      </c>
      <c r="R1828" t="s">
        <v>60</v>
      </c>
      <c r="S1828" t="s">
        <v>61</v>
      </c>
      <c r="T1828" t="s">
        <v>1411</v>
      </c>
      <c r="U1828" t="s">
        <v>34</v>
      </c>
      <c r="V1828">
        <v>800</v>
      </c>
    </row>
    <row r="1829" spans="1:22" x14ac:dyDescent="0.3">
      <c r="A1829" t="s">
        <v>3219</v>
      </c>
      <c r="B1829" s="2">
        <v>46044</v>
      </c>
      <c r="C1829" t="s">
        <v>393</v>
      </c>
      <c r="D1829" t="s">
        <v>70</v>
      </c>
      <c r="E1829" t="s">
        <v>129</v>
      </c>
      <c r="F1829">
        <v>3</v>
      </c>
      <c r="G1829">
        <v>0.15</v>
      </c>
      <c r="H1829">
        <v>140250</v>
      </c>
      <c r="I1829">
        <v>13083.3</v>
      </c>
      <c r="J1829" t="s">
        <v>26</v>
      </c>
      <c r="K1829" t="s">
        <v>40</v>
      </c>
      <c r="L1829">
        <v>46750</v>
      </c>
      <c r="M1829">
        <v>9.3285561497326199</v>
      </c>
      <c r="N1829" t="s">
        <v>8</v>
      </c>
      <c r="O1829" t="s">
        <v>394</v>
      </c>
      <c r="P1829" t="s">
        <v>73</v>
      </c>
      <c r="Q1829" t="s">
        <v>131</v>
      </c>
      <c r="R1829" t="s">
        <v>200</v>
      </c>
      <c r="S1829" t="s">
        <v>201</v>
      </c>
      <c r="T1829" t="s">
        <v>395</v>
      </c>
      <c r="U1829" t="s">
        <v>46</v>
      </c>
      <c r="V1829">
        <v>4361.0999999999995</v>
      </c>
    </row>
    <row r="1830" spans="1:22" x14ac:dyDescent="0.3">
      <c r="A1830" t="s">
        <v>3220</v>
      </c>
      <c r="B1830" s="2">
        <v>46040</v>
      </c>
      <c r="C1830" t="s">
        <v>753</v>
      </c>
      <c r="D1830" t="s">
        <v>24</v>
      </c>
      <c r="E1830" t="s">
        <v>242</v>
      </c>
      <c r="F1830">
        <v>1</v>
      </c>
      <c r="G1830">
        <v>0.1</v>
      </c>
      <c r="H1830">
        <v>405</v>
      </c>
      <c r="I1830">
        <v>83.58</v>
      </c>
      <c r="J1830" t="s">
        <v>26</v>
      </c>
      <c r="K1830" t="s">
        <v>40</v>
      </c>
      <c r="L1830">
        <v>405</v>
      </c>
      <c r="M1830">
        <v>20.63703703703704</v>
      </c>
      <c r="N1830" t="s">
        <v>8</v>
      </c>
      <c r="O1830" t="s">
        <v>754</v>
      </c>
      <c r="P1830" t="s">
        <v>83</v>
      </c>
      <c r="Q1830" t="s">
        <v>74</v>
      </c>
      <c r="R1830" t="s">
        <v>237</v>
      </c>
      <c r="S1830" t="s">
        <v>238</v>
      </c>
      <c r="T1830" t="s">
        <v>755</v>
      </c>
      <c r="U1830" t="s">
        <v>46</v>
      </c>
      <c r="V1830">
        <v>83.58</v>
      </c>
    </row>
    <row r="1831" spans="1:22" x14ac:dyDescent="0.3">
      <c r="A1831" t="s">
        <v>3221</v>
      </c>
      <c r="B1831" s="2">
        <v>46175</v>
      </c>
      <c r="C1831" t="s">
        <v>3222</v>
      </c>
      <c r="D1831" t="s">
        <v>24</v>
      </c>
      <c r="E1831" t="s">
        <v>87</v>
      </c>
      <c r="F1831">
        <v>5</v>
      </c>
      <c r="G1831">
        <v>0.1</v>
      </c>
      <c r="H1831">
        <v>1575</v>
      </c>
      <c r="I1831">
        <v>461.71</v>
      </c>
      <c r="J1831" t="s">
        <v>39</v>
      </c>
      <c r="K1831" t="s">
        <v>40</v>
      </c>
      <c r="L1831">
        <v>315</v>
      </c>
      <c r="M1831">
        <v>29.314920634920629</v>
      </c>
      <c r="N1831" t="s">
        <v>8</v>
      </c>
      <c r="O1831" t="s">
        <v>3223</v>
      </c>
      <c r="P1831" t="s">
        <v>73</v>
      </c>
      <c r="Q1831" t="s">
        <v>42</v>
      </c>
      <c r="R1831" t="s">
        <v>214</v>
      </c>
      <c r="S1831" t="s">
        <v>111</v>
      </c>
      <c r="T1831" t="s">
        <v>2165</v>
      </c>
      <c r="U1831" t="s">
        <v>46</v>
      </c>
      <c r="V1831">
        <v>92.341999999999999</v>
      </c>
    </row>
    <row r="1832" spans="1:22" x14ac:dyDescent="0.3">
      <c r="A1832" t="s">
        <v>3224</v>
      </c>
      <c r="B1832" s="2">
        <v>46092</v>
      </c>
      <c r="C1832" t="s">
        <v>1791</v>
      </c>
      <c r="D1832" t="s">
        <v>24</v>
      </c>
      <c r="E1832" t="s">
        <v>92</v>
      </c>
      <c r="F1832">
        <v>2</v>
      </c>
      <c r="G1832">
        <v>0.1</v>
      </c>
      <c r="H1832">
        <v>1620</v>
      </c>
      <c r="I1832">
        <v>428.37</v>
      </c>
      <c r="J1832" t="s">
        <v>65</v>
      </c>
      <c r="K1832" t="s">
        <v>40</v>
      </c>
      <c r="L1832">
        <v>810</v>
      </c>
      <c r="M1832">
        <v>26.4425925925926</v>
      </c>
      <c r="N1832" t="s">
        <v>8</v>
      </c>
      <c r="O1832" t="s">
        <v>851</v>
      </c>
      <c r="P1832" t="s">
        <v>83</v>
      </c>
      <c r="Q1832" t="s">
        <v>30</v>
      </c>
      <c r="R1832" t="s">
        <v>60</v>
      </c>
      <c r="S1832" t="s">
        <v>61</v>
      </c>
      <c r="T1832" t="s">
        <v>1792</v>
      </c>
      <c r="U1832" t="s">
        <v>105</v>
      </c>
      <c r="V1832">
        <v>214.185</v>
      </c>
    </row>
    <row r="1833" spans="1:22" x14ac:dyDescent="0.3">
      <c r="A1833" t="s">
        <v>3225</v>
      </c>
      <c r="B1833" s="2">
        <v>46262</v>
      </c>
      <c r="C1833" t="s">
        <v>401</v>
      </c>
      <c r="D1833" t="s">
        <v>37</v>
      </c>
      <c r="E1833" t="s">
        <v>310</v>
      </c>
      <c r="F1833">
        <v>4</v>
      </c>
      <c r="G1833">
        <v>0</v>
      </c>
      <c r="H1833">
        <v>8800</v>
      </c>
      <c r="I1833">
        <v>3000</v>
      </c>
      <c r="J1833" t="s">
        <v>39</v>
      </c>
      <c r="K1833" t="s">
        <v>40</v>
      </c>
      <c r="L1833">
        <v>2200</v>
      </c>
      <c r="M1833">
        <v>34.090909090909093</v>
      </c>
      <c r="N1833" t="s">
        <v>8</v>
      </c>
      <c r="O1833" t="s">
        <v>402</v>
      </c>
      <c r="P1833" t="s">
        <v>29</v>
      </c>
      <c r="Q1833" t="s">
        <v>30</v>
      </c>
      <c r="R1833" t="s">
        <v>60</v>
      </c>
      <c r="S1833" t="s">
        <v>61</v>
      </c>
      <c r="T1833" t="s">
        <v>403</v>
      </c>
      <c r="U1833" t="s">
        <v>46</v>
      </c>
      <c r="V1833">
        <v>750</v>
      </c>
    </row>
    <row r="1834" spans="1:22" x14ac:dyDescent="0.3">
      <c r="A1834" t="s">
        <v>3226</v>
      </c>
      <c r="B1834" s="2">
        <v>45995</v>
      </c>
      <c r="C1834" t="s">
        <v>936</v>
      </c>
      <c r="D1834" t="s">
        <v>37</v>
      </c>
      <c r="E1834" t="s">
        <v>310</v>
      </c>
      <c r="F1834">
        <v>1</v>
      </c>
      <c r="G1834">
        <v>0.1</v>
      </c>
      <c r="H1834">
        <v>1980</v>
      </c>
      <c r="I1834">
        <v>638.04999999999995</v>
      </c>
      <c r="J1834" t="s">
        <v>26</v>
      </c>
      <c r="K1834" t="s">
        <v>40</v>
      </c>
      <c r="L1834">
        <v>1980</v>
      </c>
      <c r="M1834">
        <v>32.224747474747467</v>
      </c>
      <c r="N1834" t="s">
        <v>8</v>
      </c>
      <c r="O1834" t="s">
        <v>937</v>
      </c>
      <c r="P1834" t="s">
        <v>73</v>
      </c>
      <c r="Q1834" t="s">
        <v>30</v>
      </c>
      <c r="R1834" t="s">
        <v>53</v>
      </c>
      <c r="S1834" t="s">
        <v>54</v>
      </c>
      <c r="T1834" t="s">
        <v>938</v>
      </c>
      <c r="U1834" t="s">
        <v>34</v>
      </c>
      <c r="V1834">
        <v>638.04999999999995</v>
      </c>
    </row>
    <row r="1835" spans="1:22" x14ac:dyDescent="0.3">
      <c r="A1835" t="s">
        <v>3227</v>
      </c>
      <c r="B1835" s="2">
        <v>46230</v>
      </c>
      <c r="C1835" t="s">
        <v>2353</v>
      </c>
      <c r="D1835" t="s">
        <v>70</v>
      </c>
      <c r="E1835" t="s">
        <v>108</v>
      </c>
      <c r="F1835">
        <v>2</v>
      </c>
      <c r="G1835">
        <v>0.1</v>
      </c>
      <c r="H1835">
        <v>8100</v>
      </c>
      <c r="I1835">
        <v>2304.25</v>
      </c>
      <c r="J1835" t="s">
        <v>51</v>
      </c>
      <c r="K1835" t="s">
        <v>40</v>
      </c>
      <c r="L1835">
        <v>4050</v>
      </c>
      <c r="M1835">
        <v>28.447530864197532</v>
      </c>
      <c r="N1835" t="s">
        <v>8</v>
      </c>
      <c r="O1835" t="s">
        <v>2127</v>
      </c>
      <c r="P1835" t="s">
        <v>29</v>
      </c>
      <c r="Q1835" t="s">
        <v>30</v>
      </c>
      <c r="R1835" t="s">
        <v>31</v>
      </c>
      <c r="S1835" t="s">
        <v>32</v>
      </c>
      <c r="T1835" t="s">
        <v>1283</v>
      </c>
      <c r="U1835" t="s">
        <v>46</v>
      </c>
      <c r="V1835">
        <v>1152.125</v>
      </c>
    </row>
    <row r="1836" spans="1:22" x14ac:dyDescent="0.3">
      <c r="A1836" t="s">
        <v>3228</v>
      </c>
      <c r="B1836" s="2">
        <v>46081</v>
      </c>
      <c r="C1836" t="s">
        <v>921</v>
      </c>
      <c r="D1836" t="s">
        <v>70</v>
      </c>
      <c r="E1836" t="s">
        <v>108</v>
      </c>
      <c r="F1836">
        <v>3</v>
      </c>
      <c r="G1836">
        <v>0</v>
      </c>
      <c r="H1836">
        <v>13500</v>
      </c>
      <c r="I1836">
        <v>4500</v>
      </c>
      <c r="J1836" t="s">
        <v>51</v>
      </c>
      <c r="K1836" t="s">
        <v>40</v>
      </c>
      <c r="L1836">
        <v>4500</v>
      </c>
      <c r="M1836">
        <v>33.333333333333329</v>
      </c>
      <c r="N1836" t="s">
        <v>8</v>
      </c>
      <c r="O1836" t="s">
        <v>922</v>
      </c>
      <c r="P1836" t="s">
        <v>29</v>
      </c>
      <c r="Q1836" t="s">
        <v>30</v>
      </c>
      <c r="R1836" t="s">
        <v>53</v>
      </c>
      <c r="S1836" t="s">
        <v>54</v>
      </c>
      <c r="T1836" t="s">
        <v>923</v>
      </c>
      <c r="U1836" t="s">
        <v>105</v>
      </c>
      <c r="V1836">
        <v>1500</v>
      </c>
    </row>
    <row r="1837" spans="1:22" x14ac:dyDescent="0.3">
      <c r="A1837" t="s">
        <v>3229</v>
      </c>
      <c r="B1837" s="2">
        <v>46227</v>
      </c>
      <c r="C1837" t="s">
        <v>3230</v>
      </c>
      <c r="D1837" t="s">
        <v>24</v>
      </c>
      <c r="E1837" t="s">
        <v>92</v>
      </c>
      <c r="F1837">
        <v>2</v>
      </c>
      <c r="G1837">
        <v>0</v>
      </c>
      <c r="H1837">
        <v>1800</v>
      </c>
      <c r="I1837">
        <v>560</v>
      </c>
      <c r="J1837" t="s">
        <v>65</v>
      </c>
      <c r="K1837" t="s">
        <v>27</v>
      </c>
      <c r="L1837">
        <v>900</v>
      </c>
      <c r="M1837">
        <v>31.111111111111111</v>
      </c>
      <c r="N1837" t="s">
        <v>8</v>
      </c>
      <c r="O1837" t="s">
        <v>733</v>
      </c>
      <c r="P1837" t="s">
        <v>29</v>
      </c>
      <c r="Q1837" t="s">
        <v>42</v>
      </c>
      <c r="R1837" t="s">
        <v>121</v>
      </c>
      <c r="S1837" t="s">
        <v>44</v>
      </c>
      <c r="T1837" t="s">
        <v>3231</v>
      </c>
      <c r="U1837" t="s">
        <v>34</v>
      </c>
      <c r="V1837">
        <v>280</v>
      </c>
    </row>
    <row r="1838" spans="1:22" x14ac:dyDescent="0.3">
      <c r="A1838" t="s">
        <v>3232</v>
      </c>
      <c r="B1838" s="2">
        <v>46160</v>
      </c>
      <c r="C1838" t="s">
        <v>2737</v>
      </c>
      <c r="D1838" t="s">
        <v>70</v>
      </c>
      <c r="E1838" t="s">
        <v>71</v>
      </c>
      <c r="F1838">
        <v>3</v>
      </c>
      <c r="G1838">
        <v>0.05</v>
      </c>
      <c r="H1838">
        <v>51300</v>
      </c>
      <c r="I1838">
        <v>-10616.95</v>
      </c>
      <c r="J1838" t="s">
        <v>51</v>
      </c>
      <c r="K1838" t="s">
        <v>80</v>
      </c>
      <c r="L1838">
        <v>17100</v>
      </c>
      <c r="M1838">
        <v>-20.695808966861598</v>
      </c>
      <c r="N1838" t="s">
        <v>81</v>
      </c>
      <c r="O1838" t="s">
        <v>567</v>
      </c>
      <c r="P1838" t="s">
        <v>29</v>
      </c>
      <c r="Q1838" t="s">
        <v>42</v>
      </c>
      <c r="R1838" t="s">
        <v>121</v>
      </c>
      <c r="S1838" t="s">
        <v>44</v>
      </c>
      <c r="T1838" t="s">
        <v>2738</v>
      </c>
      <c r="U1838" t="s">
        <v>46</v>
      </c>
      <c r="V1838">
        <v>-3538.983333333334</v>
      </c>
    </row>
    <row r="1839" spans="1:22" x14ac:dyDescent="0.3">
      <c r="A1839" t="s">
        <v>3233</v>
      </c>
      <c r="B1839" s="2">
        <v>46020</v>
      </c>
      <c r="C1839" t="s">
        <v>401</v>
      </c>
      <c r="D1839" t="s">
        <v>24</v>
      </c>
      <c r="E1839" t="s">
        <v>87</v>
      </c>
      <c r="F1839">
        <v>4</v>
      </c>
      <c r="G1839">
        <v>0.1</v>
      </c>
      <c r="H1839">
        <v>1260</v>
      </c>
      <c r="I1839">
        <v>371.04</v>
      </c>
      <c r="J1839" t="s">
        <v>51</v>
      </c>
      <c r="K1839" t="s">
        <v>40</v>
      </c>
      <c r="L1839">
        <v>315</v>
      </c>
      <c r="M1839">
        <v>29.44761904761905</v>
      </c>
      <c r="N1839" t="s">
        <v>8</v>
      </c>
      <c r="O1839" t="s">
        <v>402</v>
      </c>
      <c r="P1839" t="s">
        <v>29</v>
      </c>
      <c r="Q1839" t="s">
        <v>30</v>
      </c>
      <c r="R1839" t="s">
        <v>60</v>
      </c>
      <c r="S1839" t="s">
        <v>61</v>
      </c>
      <c r="T1839" t="s">
        <v>403</v>
      </c>
      <c r="U1839" t="s">
        <v>46</v>
      </c>
      <c r="V1839">
        <v>92.76</v>
      </c>
    </row>
    <row r="1840" spans="1:22" x14ac:dyDescent="0.3">
      <c r="A1840" t="s">
        <v>3234</v>
      </c>
      <c r="B1840" s="2">
        <v>46047</v>
      </c>
      <c r="C1840" t="s">
        <v>891</v>
      </c>
      <c r="D1840" t="s">
        <v>24</v>
      </c>
      <c r="E1840" t="s">
        <v>87</v>
      </c>
      <c r="F1840">
        <v>3</v>
      </c>
      <c r="G1840">
        <v>0.2</v>
      </c>
      <c r="H1840">
        <v>840</v>
      </c>
      <c r="I1840">
        <v>-18.7</v>
      </c>
      <c r="J1840" t="s">
        <v>51</v>
      </c>
      <c r="K1840" t="s">
        <v>80</v>
      </c>
      <c r="L1840">
        <v>280</v>
      </c>
      <c r="M1840">
        <v>-2.2261904761904758</v>
      </c>
      <c r="N1840" t="s">
        <v>81</v>
      </c>
      <c r="O1840" t="s">
        <v>892</v>
      </c>
      <c r="P1840" t="s">
        <v>29</v>
      </c>
      <c r="Q1840" t="s">
        <v>30</v>
      </c>
      <c r="R1840" t="s">
        <v>31</v>
      </c>
      <c r="S1840" t="s">
        <v>32</v>
      </c>
      <c r="T1840" t="s">
        <v>893</v>
      </c>
      <c r="U1840" t="s">
        <v>34</v>
      </c>
      <c r="V1840">
        <v>-6.2333333333333334</v>
      </c>
    </row>
    <row r="1841" spans="1:22" x14ac:dyDescent="0.3">
      <c r="A1841" t="s">
        <v>3235</v>
      </c>
      <c r="B1841" s="2">
        <v>46215</v>
      </c>
      <c r="C1841" t="s">
        <v>1060</v>
      </c>
      <c r="D1841" t="s">
        <v>70</v>
      </c>
      <c r="E1841" t="s">
        <v>108</v>
      </c>
      <c r="F1841">
        <v>3</v>
      </c>
      <c r="G1841">
        <v>0.15</v>
      </c>
      <c r="H1841">
        <v>11475</v>
      </c>
      <c r="I1841">
        <v>2836.16</v>
      </c>
      <c r="J1841" t="s">
        <v>26</v>
      </c>
      <c r="K1841" t="s">
        <v>40</v>
      </c>
      <c r="L1841">
        <v>3825</v>
      </c>
      <c r="M1841">
        <v>24.715991285403049</v>
      </c>
      <c r="N1841" t="s">
        <v>8</v>
      </c>
      <c r="O1841" t="s">
        <v>1061</v>
      </c>
      <c r="P1841" t="s">
        <v>73</v>
      </c>
      <c r="Q1841" t="s">
        <v>30</v>
      </c>
      <c r="R1841" t="s">
        <v>31</v>
      </c>
      <c r="S1841" t="s">
        <v>32</v>
      </c>
      <c r="T1841" t="s">
        <v>1062</v>
      </c>
      <c r="U1841" t="s">
        <v>46</v>
      </c>
      <c r="V1841">
        <v>945.38666666666666</v>
      </c>
    </row>
    <row r="1842" spans="1:22" x14ac:dyDescent="0.3">
      <c r="A1842" t="s">
        <v>3236</v>
      </c>
      <c r="B1842" s="2">
        <v>45926</v>
      </c>
      <c r="C1842" t="s">
        <v>1185</v>
      </c>
      <c r="D1842" t="s">
        <v>37</v>
      </c>
      <c r="E1842" t="s">
        <v>38</v>
      </c>
      <c r="F1842">
        <v>3</v>
      </c>
      <c r="G1842">
        <v>0.1</v>
      </c>
      <c r="H1842">
        <v>4860</v>
      </c>
      <c r="I1842">
        <v>1692.68</v>
      </c>
      <c r="J1842" t="s">
        <v>26</v>
      </c>
      <c r="K1842" t="s">
        <v>40</v>
      </c>
      <c r="L1842">
        <v>1620</v>
      </c>
      <c r="M1842">
        <v>34.828806584362141</v>
      </c>
      <c r="N1842" t="s">
        <v>8</v>
      </c>
      <c r="O1842" t="s">
        <v>280</v>
      </c>
      <c r="P1842" t="s">
        <v>83</v>
      </c>
      <c r="Q1842" t="s">
        <v>131</v>
      </c>
      <c r="R1842" t="s">
        <v>200</v>
      </c>
      <c r="S1842" t="s">
        <v>201</v>
      </c>
      <c r="T1842" t="s">
        <v>319</v>
      </c>
      <c r="U1842" t="s">
        <v>46</v>
      </c>
      <c r="V1842">
        <v>564.22666666666669</v>
      </c>
    </row>
    <row r="1843" spans="1:22" x14ac:dyDescent="0.3">
      <c r="A1843" t="s">
        <v>3237</v>
      </c>
      <c r="B1843" s="2">
        <v>45954</v>
      </c>
      <c r="C1843" t="s">
        <v>3238</v>
      </c>
      <c r="D1843" t="s">
        <v>37</v>
      </c>
      <c r="E1843" t="s">
        <v>170</v>
      </c>
      <c r="F1843">
        <v>1</v>
      </c>
      <c r="G1843">
        <v>0</v>
      </c>
      <c r="H1843">
        <v>1400</v>
      </c>
      <c r="I1843">
        <v>500</v>
      </c>
      <c r="J1843" t="s">
        <v>26</v>
      </c>
      <c r="K1843" t="s">
        <v>40</v>
      </c>
      <c r="L1843">
        <v>1400</v>
      </c>
      <c r="M1843">
        <v>35.714285714285722</v>
      </c>
      <c r="N1843" t="s">
        <v>8</v>
      </c>
      <c r="O1843" t="s">
        <v>3239</v>
      </c>
      <c r="P1843" t="s">
        <v>83</v>
      </c>
      <c r="Q1843" t="s">
        <v>74</v>
      </c>
      <c r="R1843" t="s">
        <v>237</v>
      </c>
      <c r="S1843" t="s">
        <v>238</v>
      </c>
      <c r="T1843" t="s">
        <v>3240</v>
      </c>
      <c r="U1843" t="s">
        <v>46</v>
      </c>
      <c r="V1843">
        <v>500</v>
      </c>
    </row>
    <row r="1844" spans="1:22" x14ac:dyDescent="0.3">
      <c r="A1844" t="s">
        <v>3241</v>
      </c>
      <c r="B1844" s="2">
        <v>45982</v>
      </c>
      <c r="C1844" t="s">
        <v>509</v>
      </c>
      <c r="D1844" t="s">
        <v>24</v>
      </c>
      <c r="E1844" t="s">
        <v>87</v>
      </c>
      <c r="F1844">
        <v>2</v>
      </c>
      <c r="G1844">
        <v>0</v>
      </c>
      <c r="H1844">
        <v>700</v>
      </c>
      <c r="I1844">
        <v>240</v>
      </c>
      <c r="J1844" t="s">
        <v>39</v>
      </c>
      <c r="K1844" t="s">
        <v>40</v>
      </c>
      <c r="L1844">
        <v>350</v>
      </c>
      <c r="M1844">
        <v>34.285714285714278</v>
      </c>
      <c r="N1844" t="s">
        <v>8</v>
      </c>
      <c r="O1844" t="s">
        <v>510</v>
      </c>
      <c r="P1844" t="s">
        <v>73</v>
      </c>
      <c r="Q1844" t="s">
        <v>42</v>
      </c>
      <c r="R1844" t="s">
        <v>110</v>
      </c>
      <c r="S1844" t="s">
        <v>111</v>
      </c>
      <c r="T1844" t="s">
        <v>511</v>
      </c>
      <c r="U1844" t="s">
        <v>34</v>
      </c>
      <c r="V1844">
        <v>120</v>
      </c>
    </row>
    <row r="1845" spans="1:22" x14ac:dyDescent="0.3">
      <c r="A1845" t="s">
        <v>3242</v>
      </c>
      <c r="B1845" s="2">
        <v>46131</v>
      </c>
      <c r="C1845" t="s">
        <v>726</v>
      </c>
      <c r="D1845" t="s">
        <v>37</v>
      </c>
      <c r="E1845" t="s">
        <v>310</v>
      </c>
      <c r="F1845">
        <v>4</v>
      </c>
      <c r="G1845">
        <v>0.15</v>
      </c>
      <c r="H1845">
        <v>7480</v>
      </c>
      <c r="I1845">
        <v>2080.79</v>
      </c>
      <c r="J1845" t="s">
        <v>39</v>
      </c>
      <c r="K1845" t="s">
        <v>40</v>
      </c>
      <c r="L1845">
        <v>1870</v>
      </c>
      <c r="M1845">
        <v>27.818048128342241</v>
      </c>
      <c r="N1845" t="s">
        <v>8</v>
      </c>
      <c r="O1845" t="s">
        <v>727</v>
      </c>
      <c r="P1845" t="s">
        <v>29</v>
      </c>
      <c r="Q1845" t="s">
        <v>30</v>
      </c>
      <c r="R1845" t="s">
        <v>31</v>
      </c>
      <c r="S1845" t="s">
        <v>32</v>
      </c>
      <c r="T1845" t="s">
        <v>33</v>
      </c>
      <c r="U1845" t="s">
        <v>34</v>
      </c>
      <c r="V1845">
        <v>520.19749999999999</v>
      </c>
    </row>
    <row r="1846" spans="1:22" x14ac:dyDescent="0.3">
      <c r="A1846" t="s">
        <v>3243</v>
      </c>
      <c r="B1846" s="2">
        <v>46203</v>
      </c>
      <c r="C1846" t="s">
        <v>372</v>
      </c>
      <c r="D1846" t="s">
        <v>24</v>
      </c>
      <c r="E1846" t="s">
        <v>25</v>
      </c>
      <c r="F1846">
        <v>5</v>
      </c>
      <c r="G1846">
        <v>0.05</v>
      </c>
      <c r="H1846">
        <v>66500</v>
      </c>
      <c r="I1846">
        <v>11599.88</v>
      </c>
      <c r="J1846" t="s">
        <v>26</v>
      </c>
      <c r="K1846" t="s">
        <v>40</v>
      </c>
      <c r="L1846">
        <v>13300</v>
      </c>
      <c r="M1846">
        <v>17.443428571428569</v>
      </c>
      <c r="N1846" t="s">
        <v>8</v>
      </c>
      <c r="O1846" t="s">
        <v>374</v>
      </c>
      <c r="P1846" t="s">
        <v>73</v>
      </c>
      <c r="Q1846" t="s">
        <v>30</v>
      </c>
      <c r="R1846" t="s">
        <v>53</v>
      </c>
      <c r="S1846" t="s">
        <v>54</v>
      </c>
      <c r="T1846" t="s">
        <v>375</v>
      </c>
      <c r="U1846" t="s">
        <v>105</v>
      </c>
      <c r="V1846">
        <v>2319.9760000000001</v>
      </c>
    </row>
    <row r="1847" spans="1:22" x14ac:dyDescent="0.3">
      <c r="A1847" t="s">
        <v>3244</v>
      </c>
      <c r="B1847" s="2">
        <v>45949</v>
      </c>
      <c r="C1847" t="s">
        <v>513</v>
      </c>
      <c r="D1847" t="s">
        <v>70</v>
      </c>
      <c r="E1847" t="s">
        <v>129</v>
      </c>
      <c r="F1847">
        <v>1</v>
      </c>
      <c r="G1847">
        <v>0.15</v>
      </c>
      <c r="H1847">
        <v>46750</v>
      </c>
      <c r="I1847">
        <v>3837.71</v>
      </c>
      <c r="J1847" t="s">
        <v>26</v>
      </c>
      <c r="K1847" t="s">
        <v>27</v>
      </c>
      <c r="L1847">
        <v>46750</v>
      </c>
      <c r="M1847">
        <v>8.2090053475935836</v>
      </c>
      <c r="N1847" t="s">
        <v>8</v>
      </c>
      <c r="O1847" t="s">
        <v>514</v>
      </c>
      <c r="P1847" t="s">
        <v>73</v>
      </c>
      <c r="Q1847" t="s">
        <v>131</v>
      </c>
      <c r="R1847" t="s">
        <v>449</v>
      </c>
      <c r="S1847" t="s">
        <v>450</v>
      </c>
      <c r="T1847" t="s">
        <v>515</v>
      </c>
      <c r="U1847" t="s">
        <v>100</v>
      </c>
      <c r="V1847">
        <v>3837.71</v>
      </c>
    </row>
    <row r="1848" spans="1:22" x14ac:dyDescent="0.3">
      <c r="A1848" t="s">
        <v>3245</v>
      </c>
      <c r="B1848" s="2">
        <v>46085</v>
      </c>
      <c r="C1848" t="s">
        <v>1276</v>
      </c>
      <c r="D1848" t="s">
        <v>49</v>
      </c>
      <c r="E1848" t="s">
        <v>58</v>
      </c>
      <c r="F1848">
        <v>1</v>
      </c>
      <c r="G1848">
        <v>0.15</v>
      </c>
      <c r="H1848">
        <v>12750</v>
      </c>
      <c r="I1848">
        <v>1969.14</v>
      </c>
      <c r="J1848" t="s">
        <v>39</v>
      </c>
      <c r="K1848" t="s">
        <v>40</v>
      </c>
      <c r="L1848">
        <v>12750</v>
      </c>
      <c r="M1848">
        <v>15.44423529411765</v>
      </c>
      <c r="N1848" t="s">
        <v>8</v>
      </c>
      <c r="O1848" t="s">
        <v>1277</v>
      </c>
      <c r="P1848" t="s">
        <v>73</v>
      </c>
      <c r="Q1848" t="s">
        <v>74</v>
      </c>
      <c r="R1848" t="s">
        <v>75</v>
      </c>
      <c r="S1848" t="s">
        <v>75</v>
      </c>
      <c r="T1848" t="s">
        <v>1278</v>
      </c>
      <c r="U1848" t="s">
        <v>34</v>
      </c>
      <c r="V1848">
        <v>1969.14</v>
      </c>
    </row>
    <row r="1849" spans="1:22" x14ac:dyDescent="0.3">
      <c r="A1849" t="s">
        <v>3246</v>
      </c>
      <c r="B1849" s="2">
        <v>46060</v>
      </c>
      <c r="C1849" t="s">
        <v>313</v>
      </c>
      <c r="D1849" t="s">
        <v>37</v>
      </c>
      <c r="E1849" t="s">
        <v>170</v>
      </c>
      <c r="F1849">
        <v>2</v>
      </c>
      <c r="G1849">
        <v>0.1</v>
      </c>
      <c r="H1849">
        <v>2520</v>
      </c>
      <c r="I1849">
        <v>813.11</v>
      </c>
      <c r="J1849" t="s">
        <v>51</v>
      </c>
      <c r="K1849" t="s">
        <v>27</v>
      </c>
      <c r="L1849">
        <v>1260</v>
      </c>
      <c r="M1849">
        <v>32.266269841269839</v>
      </c>
      <c r="N1849" t="s">
        <v>8</v>
      </c>
      <c r="O1849" t="s">
        <v>314</v>
      </c>
      <c r="P1849" t="s">
        <v>29</v>
      </c>
      <c r="Q1849" t="s">
        <v>30</v>
      </c>
      <c r="R1849" t="s">
        <v>98</v>
      </c>
      <c r="S1849" t="s">
        <v>54</v>
      </c>
      <c r="T1849" t="s">
        <v>315</v>
      </c>
      <c r="U1849" t="s">
        <v>100</v>
      </c>
      <c r="V1849">
        <v>406.55500000000001</v>
      </c>
    </row>
    <row r="1850" spans="1:22" x14ac:dyDescent="0.3">
      <c r="A1850" t="s">
        <v>3247</v>
      </c>
      <c r="B1850" s="2">
        <v>45887</v>
      </c>
      <c r="C1850" t="s">
        <v>2278</v>
      </c>
      <c r="D1850" t="s">
        <v>49</v>
      </c>
      <c r="E1850" t="s">
        <v>119</v>
      </c>
      <c r="F1850">
        <v>4</v>
      </c>
      <c r="G1850">
        <v>0.1</v>
      </c>
      <c r="H1850">
        <v>32400</v>
      </c>
      <c r="I1850">
        <v>6227.68</v>
      </c>
      <c r="J1850" t="s">
        <v>39</v>
      </c>
      <c r="K1850" t="s">
        <v>40</v>
      </c>
      <c r="L1850">
        <v>8100</v>
      </c>
      <c r="M1850">
        <v>19.221234567901231</v>
      </c>
      <c r="N1850" t="s">
        <v>8</v>
      </c>
      <c r="O1850" t="s">
        <v>470</v>
      </c>
      <c r="P1850" t="s">
        <v>29</v>
      </c>
      <c r="Q1850" t="s">
        <v>30</v>
      </c>
      <c r="R1850" t="s">
        <v>98</v>
      </c>
      <c r="S1850" t="s">
        <v>54</v>
      </c>
      <c r="T1850" t="s">
        <v>2279</v>
      </c>
      <c r="U1850" t="s">
        <v>105</v>
      </c>
      <c r="V1850">
        <v>1556.92</v>
      </c>
    </row>
    <row r="1851" spans="1:22" x14ac:dyDescent="0.3">
      <c r="A1851" t="s">
        <v>3248</v>
      </c>
      <c r="B1851" s="2">
        <v>46128</v>
      </c>
      <c r="C1851" t="s">
        <v>1723</v>
      </c>
      <c r="D1851" t="s">
        <v>70</v>
      </c>
      <c r="E1851" t="s">
        <v>129</v>
      </c>
      <c r="F1851">
        <v>2</v>
      </c>
      <c r="G1851">
        <v>0.2</v>
      </c>
      <c r="H1851">
        <v>88000</v>
      </c>
      <c r="I1851">
        <v>730.7</v>
      </c>
      <c r="J1851" t="s">
        <v>39</v>
      </c>
      <c r="K1851" t="s">
        <v>27</v>
      </c>
      <c r="L1851">
        <v>44000</v>
      </c>
      <c r="M1851">
        <v>0.83034090909090918</v>
      </c>
      <c r="N1851" t="s">
        <v>8</v>
      </c>
      <c r="O1851" t="s">
        <v>398</v>
      </c>
      <c r="P1851" t="s">
        <v>83</v>
      </c>
      <c r="Q1851" t="s">
        <v>30</v>
      </c>
      <c r="R1851" t="s">
        <v>98</v>
      </c>
      <c r="S1851" t="s">
        <v>54</v>
      </c>
      <c r="T1851" t="s">
        <v>1724</v>
      </c>
      <c r="U1851" t="s">
        <v>46</v>
      </c>
      <c r="V1851">
        <v>365.35</v>
      </c>
    </row>
    <row r="1852" spans="1:22" x14ac:dyDescent="0.3">
      <c r="A1852" t="s">
        <v>3249</v>
      </c>
      <c r="B1852" s="2">
        <v>46062</v>
      </c>
      <c r="C1852" t="s">
        <v>1854</v>
      </c>
      <c r="D1852" t="s">
        <v>49</v>
      </c>
      <c r="E1852" t="s">
        <v>58</v>
      </c>
      <c r="F1852">
        <v>1</v>
      </c>
      <c r="G1852">
        <v>0.15</v>
      </c>
      <c r="H1852">
        <v>12750</v>
      </c>
      <c r="I1852">
        <v>2371.92</v>
      </c>
      <c r="J1852" t="s">
        <v>65</v>
      </c>
      <c r="K1852" t="s">
        <v>40</v>
      </c>
      <c r="L1852">
        <v>12750</v>
      </c>
      <c r="M1852">
        <v>18.60329411764706</v>
      </c>
      <c r="N1852" t="s">
        <v>8</v>
      </c>
      <c r="O1852" t="s">
        <v>773</v>
      </c>
      <c r="P1852" t="s">
        <v>83</v>
      </c>
      <c r="Q1852" t="s">
        <v>74</v>
      </c>
      <c r="R1852" t="s">
        <v>115</v>
      </c>
      <c r="S1852" t="s">
        <v>115</v>
      </c>
      <c r="T1852" t="s">
        <v>1855</v>
      </c>
      <c r="U1852" t="s">
        <v>34</v>
      </c>
      <c r="V1852">
        <v>2371.92</v>
      </c>
    </row>
    <row r="1853" spans="1:22" x14ac:dyDescent="0.3">
      <c r="A1853" t="s">
        <v>3250</v>
      </c>
      <c r="B1853" s="2">
        <v>46069</v>
      </c>
      <c r="C1853" t="s">
        <v>640</v>
      </c>
      <c r="D1853" t="s">
        <v>49</v>
      </c>
      <c r="E1853" t="s">
        <v>58</v>
      </c>
      <c r="F1853">
        <v>3</v>
      </c>
      <c r="G1853">
        <v>0</v>
      </c>
      <c r="H1853">
        <v>45000</v>
      </c>
      <c r="I1853">
        <v>10500</v>
      </c>
      <c r="J1853" t="s">
        <v>39</v>
      </c>
      <c r="K1853" t="s">
        <v>40</v>
      </c>
      <c r="L1853">
        <v>15000</v>
      </c>
      <c r="M1853">
        <v>23.333333333333329</v>
      </c>
      <c r="N1853" t="s">
        <v>8</v>
      </c>
      <c r="O1853" t="s">
        <v>641</v>
      </c>
      <c r="P1853" t="s">
        <v>29</v>
      </c>
      <c r="Q1853" t="s">
        <v>30</v>
      </c>
      <c r="R1853" t="s">
        <v>31</v>
      </c>
      <c r="S1853" t="s">
        <v>32</v>
      </c>
      <c r="T1853" t="s">
        <v>642</v>
      </c>
      <c r="U1853" t="s">
        <v>34</v>
      </c>
      <c r="V1853">
        <v>3500</v>
      </c>
    </row>
    <row r="1854" spans="1:22" x14ac:dyDescent="0.3">
      <c r="A1854" t="s">
        <v>3251</v>
      </c>
      <c r="B1854" s="2">
        <v>46092</v>
      </c>
      <c r="C1854" t="s">
        <v>1094</v>
      </c>
      <c r="D1854" t="s">
        <v>49</v>
      </c>
      <c r="E1854" t="s">
        <v>58</v>
      </c>
      <c r="F1854">
        <v>2</v>
      </c>
      <c r="G1854">
        <v>0</v>
      </c>
      <c r="H1854">
        <v>30000</v>
      </c>
      <c r="I1854">
        <v>7000</v>
      </c>
      <c r="J1854" t="s">
        <v>65</v>
      </c>
      <c r="K1854" t="s">
        <v>40</v>
      </c>
      <c r="L1854">
        <v>15000</v>
      </c>
      <c r="M1854">
        <v>23.333333333333329</v>
      </c>
      <c r="N1854" t="s">
        <v>8</v>
      </c>
      <c r="O1854" t="s">
        <v>183</v>
      </c>
      <c r="P1854" t="s">
        <v>73</v>
      </c>
      <c r="Q1854" t="s">
        <v>30</v>
      </c>
      <c r="R1854" t="s">
        <v>31</v>
      </c>
      <c r="S1854" t="s">
        <v>32</v>
      </c>
      <c r="T1854" t="s">
        <v>1095</v>
      </c>
      <c r="U1854" t="s">
        <v>105</v>
      </c>
      <c r="V1854">
        <v>3500</v>
      </c>
    </row>
    <row r="1855" spans="1:22" x14ac:dyDescent="0.3">
      <c r="A1855" t="s">
        <v>3252</v>
      </c>
      <c r="B1855" s="2">
        <v>46032</v>
      </c>
      <c r="C1855" t="s">
        <v>656</v>
      </c>
      <c r="D1855" t="s">
        <v>70</v>
      </c>
      <c r="E1855" t="s">
        <v>129</v>
      </c>
      <c r="F1855">
        <v>2</v>
      </c>
      <c r="G1855">
        <v>0.1</v>
      </c>
      <c r="H1855">
        <v>99000</v>
      </c>
      <c r="I1855">
        <v>8966.5</v>
      </c>
      <c r="J1855" t="s">
        <v>51</v>
      </c>
      <c r="K1855" t="s">
        <v>27</v>
      </c>
      <c r="L1855">
        <v>49500</v>
      </c>
      <c r="M1855">
        <v>9.0570707070707073</v>
      </c>
      <c r="N1855" t="s">
        <v>8</v>
      </c>
      <c r="O1855" t="s">
        <v>657</v>
      </c>
      <c r="P1855" t="s">
        <v>83</v>
      </c>
      <c r="Q1855" t="s">
        <v>74</v>
      </c>
      <c r="R1855" t="s">
        <v>115</v>
      </c>
      <c r="S1855" t="s">
        <v>115</v>
      </c>
      <c r="T1855" t="s">
        <v>76</v>
      </c>
      <c r="U1855" t="s">
        <v>100</v>
      </c>
      <c r="V1855">
        <v>4483.25</v>
      </c>
    </row>
    <row r="1856" spans="1:22" x14ac:dyDescent="0.3">
      <c r="A1856" t="s">
        <v>3253</v>
      </c>
      <c r="B1856" s="2">
        <v>46215</v>
      </c>
      <c r="C1856" t="s">
        <v>246</v>
      </c>
      <c r="D1856" t="s">
        <v>70</v>
      </c>
      <c r="E1856" t="s">
        <v>108</v>
      </c>
      <c r="F1856">
        <v>3</v>
      </c>
      <c r="G1856">
        <v>0</v>
      </c>
      <c r="H1856">
        <v>13500</v>
      </c>
      <c r="I1856">
        <v>4500</v>
      </c>
      <c r="J1856" t="s">
        <v>26</v>
      </c>
      <c r="K1856" t="s">
        <v>27</v>
      </c>
      <c r="L1856">
        <v>4500</v>
      </c>
      <c r="M1856">
        <v>33.333333333333329</v>
      </c>
      <c r="N1856" t="s">
        <v>8</v>
      </c>
      <c r="O1856" t="s">
        <v>247</v>
      </c>
      <c r="P1856" t="s">
        <v>73</v>
      </c>
      <c r="Q1856" t="s">
        <v>30</v>
      </c>
      <c r="R1856" t="s">
        <v>53</v>
      </c>
      <c r="S1856" t="s">
        <v>54</v>
      </c>
      <c r="T1856" t="s">
        <v>248</v>
      </c>
      <c r="U1856" t="s">
        <v>100</v>
      </c>
      <c r="V1856">
        <v>1500</v>
      </c>
    </row>
    <row r="1857" spans="1:22" x14ac:dyDescent="0.3">
      <c r="A1857" t="s">
        <v>3254</v>
      </c>
      <c r="B1857" s="2">
        <v>45939</v>
      </c>
      <c r="C1857" t="s">
        <v>2511</v>
      </c>
      <c r="D1857" t="s">
        <v>70</v>
      </c>
      <c r="E1857" t="s">
        <v>165</v>
      </c>
      <c r="F1857">
        <v>10</v>
      </c>
      <c r="G1857">
        <v>0</v>
      </c>
      <c r="H1857">
        <v>25000</v>
      </c>
      <c r="I1857">
        <v>8000</v>
      </c>
      <c r="J1857" t="s">
        <v>39</v>
      </c>
      <c r="K1857" t="s">
        <v>40</v>
      </c>
      <c r="L1857">
        <v>2500</v>
      </c>
      <c r="M1857">
        <v>32</v>
      </c>
      <c r="N1857" t="s">
        <v>8</v>
      </c>
      <c r="O1857" t="s">
        <v>1695</v>
      </c>
      <c r="P1857" t="s">
        <v>83</v>
      </c>
      <c r="Q1857" t="s">
        <v>30</v>
      </c>
      <c r="R1857" t="s">
        <v>98</v>
      </c>
      <c r="S1857" t="s">
        <v>54</v>
      </c>
      <c r="T1857" t="s">
        <v>2512</v>
      </c>
      <c r="U1857" t="s">
        <v>46</v>
      </c>
      <c r="V1857">
        <v>800</v>
      </c>
    </row>
    <row r="1858" spans="1:22" x14ac:dyDescent="0.3">
      <c r="A1858" t="s">
        <v>3255</v>
      </c>
      <c r="B1858" s="2">
        <v>45884</v>
      </c>
      <c r="C1858" t="s">
        <v>726</v>
      </c>
      <c r="D1858" t="s">
        <v>49</v>
      </c>
      <c r="E1858" t="s">
        <v>119</v>
      </c>
      <c r="F1858">
        <v>3</v>
      </c>
      <c r="G1858">
        <v>0.15</v>
      </c>
      <c r="H1858">
        <v>22950</v>
      </c>
      <c r="I1858">
        <v>-6713.04</v>
      </c>
      <c r="J1858" t="s">
        <v>51</v>
      </c>
      <c r="K1858" t="s">
        <v>80</v>
      </c>
      <c r="L1858">
        <v>7650</v>
      </c>
      <c r="M1858">
        <v>-29.25071895424837</v>
      </c>
      <c r="N1858" t="s">
        <v>81</v>
      </c>
      <c r="O1858" t="s">
        <v>727</v>
      </c>
      <c r="P1858" t="s">
        <v>29</v>
      </c>
      <c r="Q1858" t="s">
        <v>30</v>
      </c>
      <c r="R1858" t="s">
        <v>31</v>
      </c>
      <c r="S1858" t="s">
        <v>32</v>
      </c>
      <c r="T1858" t="s">
        <v>33</v>
      </c>
      <c r="U1858" t="s">
        <v>34</v>
      </c>
      <c r="V1858">
        <v>-2237.6799999999998</v>
      </c>
    </row>
    <row r="1859" spans="1:22" x14ac:dyDescent="0.3">
      <c r="A1859" t="s">
        <v>3256</v>
      </c>
      <c r="B1859" s="2">
        <v>46007</v>
      </c>
      <c r="C1859" t="s">
        <v>1377</v>
      </c>
      <c r="D1859" t="s">
        <v>49</v>
      </c>
      <c r="E1859" t="s">
        <v>79</v>
      </c>
      <c r="F1859">
        <v>5</v>
      </c>
      <c r="G1859">
        <v>0.1</v>
      </c>
      <c r="H1859">
        <v>49500</v>
      </c>
      <c r="I1859">
        <v>10408.620000000001</v>
      </c>
      <c r="J1859" t="s">
        <v>51</v>
      </c>
      <c r="K1859" t="s">
        <v>27</v>
      </c>
      <c r="L1859">
        <v>9900</v>
      </c>
      <c r="M1859">
        <v>21.02751515151515</v>
      </c>
      <c r="N1859" t="s">
        <v>8</v>
      </c>
      <c r="O1859" t="s">
        <v>1378</v>
      </c>
      <c r="P1859" t="s">
        <v>29</v>
      </c>
      <c r="Q1859" t="s">
        <v>30</v>
      </c>
      <c r="R1859" t="s">
        <v>53</v>
      </c>
      <c r="S1859" t="s">
        <v>54</v>
      </c>
      <c r="T1859" t="s">
        <v>1379</v>
      </c>
      <c r="U1859" t="s">
        <v>100</v>
      </c>
      <c r="V1859">
        <v>2081.7240000000002</v>
      </c>
    </row>
    <row r="1860" spans="1:22" x14ac:dyDescent="0.3">
      <c r="A1860" t="s">
        <v>3257</v>
      </c>
      <c r="B1860" s="2">
        <v>46203</v>
      </c>
      <c r="C1860" t="s">
        <v>736</v>
      </c>
      <c r="D1860" t="s">
        <v>70</v>
      </c>
      <c r="E1860" t="s">
        <v>71</v>
      </c>
      <c r="F1860">
        <v>1</v>
      </c>
      <c r="G1860">
        <v>0.1</v>
      </c>
      <c r="H1860">
        <v>16200</v>
      </c>
      <c r="I1860">
        <v>2162.5</v>
      </c>
      <c r="J1860" t="s">
        <v>65</v>
      </c>
      <c r="K1860" t="s">
        <v>40</v>
      </c>
      <c r="L1860">
        <v>16200</v>
      </c>
      <c r="M1860">
        <v>13.348765432098769</v>
      </c>
      <c r="N1860" t="s">
        <v>8</v>
      </c>
      <c r="O1860" t="s">
        <v>648</v>
      </c>
      <c r="P1860" t="s">
        <v>29</v>
      </c>
      <c r="Q1860" t="s">
        <v>30</v>
      </c>
      <c r="R1860" t="s">
        <v>60</v>
      </c>
      <c r="S1860" t="s">
        <v>61</v>
      </c>
      <c r="T1860" t="s">
        <v>311</v>
      </c>
      <c r="U1860" t="s">
        <v>34</v>
      </c>
      <c r="V1860">
        <v>2162.5</v>
      </c>
    </row>
    <row r="1861" spans="1:22" x14ac:dyDescent="0.3">
      <c r="A1861" t="s">
        <v>3258</v>
      </c>
      <c r="B1861" s="2">
        <v>46145</v>
      </c>
      <c r="C1861" t="s">
        <v>769</v>
      </c>
      <c r="D1861" t="s">
        <v>37</v>
      </c>
      <c r="E1861" t="s">
        <v>190</v>
      </c>
      <c r="F1861">
        <v>3</v>
      </c>
      <c r="G1861">
        <v>0</v>
      </c>
      <c r="H1861">
        <v>12600</v>
      </c>
      <c r="I1861">
        <v>3600</v>
      </c>
      <c r="J1861" t="s">
        <v>65</v>
      </c>
      <c r="K1861" t="s">
        <v>40</v>
      </c>
      <c r="L1861">
        <v>4200</v>
      </c>
      <c r="M1861">
        <v>28.571428571428569</v>
      </c>
      <c r="N1861" t="s">
        <v>8</v>
      </c>
      <c r="O1861" t="s">
        <v>374</v>
      </c>
      <c r="P1861" t="s">
        <v>29</v>
      </c>
      <c r="Q1861" t="s">
        <v>42</v>
      </c>
      <c r="R1861" t="s">
        <v>121</v>
      </c>
      <c r="S1861" t="s">
        <v>44</v>
      </c>
      <c r="T1861" t="s">
        <v>172</v>
      </c>
      <c r="U1861" t="s">
        <v>46</v>
      </c>
      <c r="V1861">
        <v>1200</v>
      </c>
    </row>
    <row r="1862" spans="1:22" x14ac:dyDescent="0.3">
      <c r="A1862" t="s">
        <v>3259</v>
      </c>
      <c r="B1862" s="2">
        <v>46192</v>
      </c>
      <c r="C1862" t="s">
        <v>164</v>
      </c>
      <c r="D1862" t="s">
        <v>70</v>
      </c>
      <c r="E1862" t="s">
        <v>71</v>
      </c>
      <c r="F1862">
        <v>6</v>
      </c>
      <c r="G1862">
        <v>0.1</v>
      </c>
      <c r="H1862">
        <v>97200</v>
      </c>
      <c r="I1862">
        <v>14643.84</v>
      </c>
      <c r="J1862" t="s">
        <v>39</v>
      </c>
      <c r="K1862" t="s">
        <v>40</v>
      </c>
      <c r="L1862">
        <v>16200</v>
      </c>
      <c r="M1862">
        <v>15.065679012345679</v>
      </c>
      <c r="N1862" t="s">
        <v>8</v>
      </c>
      <c r="O1862" t="s">
        <v>166</v>
      </c>
      <c r="P1862" t="s">
        <v>73</v>
      </c>
      <c r="Q1862" t="s">
        <v>30</v>
      </c>
      <c r="R1862" t="s">
        <v>53</v>
      </c>
      <c r="S1862" t="s">
        <v>54</v>
      </c>
      <c r="T1862" t="s">
        <v>167</v>
      </c>
      <c r="U1862" t="s">
        <v>46</v>
      </c>
      <c r="V1862">
        <v>2440.64</v>
      </c>
    </row>
    <row r="1863" spans="1:22" x14ac:dyDescent="0.3">
      <c r="A1863" t="s">
        <v>3260</v>
      </c>
      <c r="B1863" s="2">
        <v>45953</v>
      </c>
      <c r="C1863" t="s">
        <v>3261</v>
      </c>
      <c r="D1863" t="s">
        <v>49</v>
      </c>
      <c r="E1863" t="s">
        <v>58</v>
      </c>
      <c r="F1863">
        <v>2</v>
      </c>
      <c r="G1863">
        <v>0.1</v>
      </c>
      <c r="H1863">
        <v>27000</v>
      </c>
      <c r="I1863">
        <v>5096.24</v>
      </c>
      <c r="J1863" t="s">
        <v>65</v>
      </c>
      <c r="K1863" t="s">
        <v>27</v>
      </c>
      <c r="L1863">
        <v>13500</v>
      </c>
      <c r="M1863">
        <v>18.874962962962961</v>
      </c>
      <c r="N1863" t="s">
        <v>8</v>
      </c>
      <c r="O1863" t="s">
        <v>3262</v>
      </c>
      <c r="P1863" t="s">
        <v>29</v>
      </c>
      <c r="Q1863" t="s">
        <v>131</v>
      </c>
      <c r="R1863" t="s">
        <v>449</v>
      </c>
      <c r="S1863" t="s">
        <v>450</v>
      </c>
      <c r="T1863" t="s">
        <v>3263</v>
      </c>
      <c r="U1863" t="s">
        <v>105</v>
      </c>
      <c r="V1863">
        <v>2548.12</v>
      </c>
    </row>
    <row r="1864" spans="1:22" x14ac:dyDescent="0.3">
      <c r="A1864" t="s">
        <v>3264</v>
      </c>
      <c r="B1864" s="2">
        <v>46083</v>
      </c>
      <c r="C1864" t="s">
        <v>907</v>
      </c>
      <c r="D1864" t="s">
        <v>70</v>
      </c>
      <c r="E1864" t="s">
        <v>129</v>
      </c>
      <c r="F1864">
        <v>2</v>
      </c>
      <c r="G1864">
        <v>0.2</v>
      </c>
      <c r="H1864">
        <v>88000</v>
      </c>
      <c r="I1864">
        <v>-411.49</v>
      </c>
      <c r="J1864" t="s">
        <v>26</v>
      </c>
      <c r="K1864" t="s">
        <v>40</v>
      </c>
      <c r="L1864">
        <v>44000</v>
      </c>
      <c r="M1864">
        <v>-0.46760227272727273</v>
      </c>
      <c r="N1864" t="s">
        <v>81</v>
      </c>
      <c r="O1864" t="s">
        <v>908</v>
      </c>
      <c r="P1864" t="s">
        <v>29</v>
      </c>
      <c r="Q1864" t="s">
        <v>30</v>
      </c>
      <c r="R1864" t="s">
        <v>60</v>
      </c>
      <c r="S1864" t="s">
        <v>61</v>
      </c>
      <c r="T1864" t="s">
        <v>486</v>
      </c>
      <c r="U1864" t="s">
        <v>34</v>
      </c>
      <c r="V1864">
        <v>-205.745</v>
      </c>
    </row>
    <row r="1865" spans="1:22" x14ac:dyDescent="0.3">
      <c r="A1865" t="s">
        <v>3265</v>
      </c>
      <c r="B1865" s="2">
        <v>46149</v>
      </c>
      <c r="C1865" t="s">
        <v>2017</v>
      </c>
      <c r="D1865" t="s">
        <v>49</v>
      </c>
      <c r="E1865" t="s">
        <v>50</v>
      </c>
      <c r="F1865">
        <v>10</v>
      </c>
      <c r="G1865">
        <v>0.2</v>
      </c>
      <c r="H1865">
        <v>104000</v>
      </c>
      <c r="I1865">
        <v>17571.79</v>
      </c>
      <c r="J1865" t="s">
        <v>26</v>
      </c>
      <c r="K1865" t="s">
        <v>40</v>
      </c>
      <c r="L1865">
        <v>10400</v>
      </c>
      <c r="M1865">
        <v>16.895951923076929</v>
      </c>
      <c r="N1865" t="s">
        <v>8</v>
      </c>
      <c r="O1865" t="s">
        <v>844</v>
      </c>
      <c r="P1865" t="s">
        <v>29</v>
      </c>
      <c r="Q1865" t="s">
        <v>30</v>
      </c>
      <c r="R1865" t="s">
        <v>31</v>
      </c>
      <c r="S1865" t="s">
        <v>32</v>
      </c>
      <c r="T1865" t="s">
        <v>2018</v>
      </c>
      <c r="U1865" t="s">
        <v>34</v>
      </c>
      <c r="V1865">
        <v>1757.1790000000001</v>
      </c>
    </row>
    <row r="1866" spans="1:22" x14ac:dyDescent="0.3">
      <c r="A1866" t="s">
        <v>3266</v>
      </c>
      <c r="B1866" s="2">
        <v>45897</v>
      </c>
      <c r="C1866" t="s">
        <v>585</v>
      </c>
      <c r="D1866" t="s">
        <v>24</v>
      </c>
      <c r="E1866" t="s">
        <v>25</v>
      </c>
      <c r="F1866">
        <v>2</v>
      </c>
      <c r="G1866">
        <v>0.15</v>
      </c>
      <c r="H1866">
        <v>23800</v>
      </c>
      <c r="I1866">
        <v>2380.34</v>
      </c>
      <c r="J1866" t="s">
        <v>51</v>
      </c>
      <c r="K1866" t="s">
        <v>40</v>
      </c>
      <c r="L1866">
        <v>11900</v>
      </c>
      <c r="M1866">
        <v>10.001428571428569</v>
      </c>
      <c r="N1866" t="s">
        <v>8</v>
      </c>
      <c r="O1866" t="s">
        <v>586</v>
      </c>
      <c r="P1866" t="s">
        <v>73</v>
      </c>
      <c r="Q1866" t="s">
        <v>30</v>
      </c>
      <c r="R1866" t="s">
        <v>98</v>
      </c>
      <c r="S1866" t="s">
        <v>54</v>
      </c>
      <c r="T1866" t="s">
        <v>587</v>
      </c>
      <c r="U1866" t="s">
        <v>46</v>
      </c>
      <c r="V1866">
        <v>1190.17</v>
      </c>
    </row>
    <row r="1867" spans="1:22" x14ac:dyDescent="0.3">
      <c r="A1867" t="s">
        <v>3267</v>
      </c>
      <c r="B1867" s="2">
        <v>46058</v>
      </c>
      <c r="C1867" t="s">
        <v>2327</v>
      </c>
      <c r="D1867" t="s">
        <v>24</v>
      </c>
      <c r="E1867" t="s">
        <v>25</v>
      </c>
      <c r="F1867">
        <v>4</v>
      </c>
      <c r="G1867">
        <v>0.05</v>
      </c>
      <c r="H1867">
        <v>53200</v>
      </c>
      <c r="I1867">
        <v>9678.94</v>
      </c>
      <c r="J1867" t="s">
        <v>39</v>
      </c>
      <c r="K1867" t="s">
        <v>40</v>
      </c>
      <c r="L1867">
        <v>13300</v>
      </c>
      <c r="M1867">
        <v>18.193496240601501</v>
      </c>
      <c r="N1867" t="s">
        <v>8</v>
      </c>
      <c r="O1867" t="s">
        <v>825</v>
      </c>
      <c r="P1867" t="s">
        <v>73</v>
      </c>
      <c r="Q1867" t="s">
        <v>30</v>
      </c>
      <c r="R1867" t="s">
        <v>31</v>
      </c>
      <c r="S1867" t="s">
        <v>32</v>
      </c>
      <c r="T1867" t="s">
        <v>55</v>
      </c>
      <c r="U1867" t="s">
        <v>46</v>
      </c>
      <c r="V1867">
        <v>2419.7350000000001</v>
      </c>
    </row>
    <row r="1868" spans="1:22" x14ac:dyDescent="0.3">
      <c r="A1868" t="s">
        <v>3268</v>
      </c>
      <c r="B1868" s="2">
        <v>46138</v>
      </c>
      <c r="C1868" t="s">
        <v>700</v>
      </c>
      <c r="D1868" t="s">
        <v>24</v>
      </c>
      <c r="E1868" t="s">
        <v>242</v>
      </c>
      <c r="F1868">
        <v>2</v>
      </c>
      <c r="G1868">
        <v>0.15</v>
      </c>
      <c r="H1868">
        <v>765</v>
      </c>
      <c r="I1868">
        <v>147.97999999999999</v>
      </c>
      <c r="J1868" t="s">
        <v>65</v>
      </c>
      <c r="K1868" t="s">
        <v>27</v>
      </c>
      <c r="L1868">
        <v>382.5</v>
      </c>
      <c r="M1868">
        <v>19.343790849673201</v>
      </c>
      <c r="N1868" t="s">
        <v>8</v>
      </c>
      <c r="O1868" t="s">
        <v>701</v>
      </c>
      <c r="P1868" t="s">
        <v>29</v>
      </c>
      <c r="Q1868" t="s">
        <v>30</v>
      </c>
      <c r="R1868" t="s">
        <v>60</v>
      </c>
      <c r="S1868" t="s">
        <v>61</v>
      </c>
      <c r="T1868" t="s">
        <v>702</v>
      </c>
      <c r="U1868" t="s">
        <v>34</v>
      </c>
      <c r="V1868">
        <v>73.989999999999995</v>
      </c>
    </row>
    <row r="1869" spans="1:22" x14ac:dyDescent="0.3">
      <c r="A1869" t="s">
        <v>3269</v>
      </c>
      <c r="B1869" s="2">
        <v>46132</v>
      </c>
      <c r="C1869" t="s">
        <v>1955</v>
      </c>
      <c r="D1869" t="s">
        <v>24</v>
      </c>
      <c r="E1869" t="s">
        <v>25</v>
      </c>
      <c r="F1869">
        <v>4</v>
      </c>
      <c r="G1869">
        <v>0.2</v>
      </c>
      <c r="H1869">
        <v>44800</v>
      </c>
      <c r="I1869">
        <v>4115.8100000000004</v>
      </c>
      <c r="J1869" t="s">
        <v>51</v>
      </c>
      <c r="K1869" t="s">
        <v>40</v>
      </c>
      <c r="L1869">
        <v>11200</v>
      </c>
      <c r="M1869">
        <v>9.1870758928571448</v>
      </c>
      <c r="N1869" t="s">
        <v>8</v>
      </c>
      <c r="O1869" t="s">
        <v>754</v>
      </c>
      <c r="P1869" t="s">
        <v>29</v>
      </c>
      <c r="Q1869" t="s">
        <v>74</v>
      </c>
      <c r="R1869" t="s">
        <v>493</v>
      </c>
      <c r="S1869" t="s">
        <v>494</v>
      </c>
      <c r="T1869" t="s">
        <v>244</v>
      </c>
      <c r="U1869" t="s">
        <v>105</v>
      </c>
      <c r="V1869">
        <v>1028.9525000000001</v>
      </c>
    </row>
    <row r="1870" spans="1:22" x14ac:dyDescent="0.3">
      <c r="A1870" t="s">
        <v>3270</v>
      </c>
      <c r="B1870" s="2">
        <v>45856</v>
      </c>
      <c r="C1870" t="s">
        <v>2177</v>
      </c>
      <c r="D1870" t="s">
        <v>37</v>
      </c>
      <c r="E1870" t="s">
        <v>170</v>
      </c>
      <c r="F1870">
        <v>1</v>
      </c>
      <c r="G1870">
        <v>0.3</v>
      </c>
      <c r="H1870">
        <v>980</v>
      </c>
      <c r="I1870">
        <v>238.07</v>
      </c>
      <c r="J1870" t="s">
        <v>39</v>
      </c>
      <c r="K1870" t="s">
        <v>40</v>
      </c>
      <c r="L1870">
        <v>980</v>
      </c>
      <c r="M1870">
        <v>24.292857142857141</v>
      </c>
      <c r="N1870" t="s">
        <v>8</v>
      </c>
      <c r="O1870" t="s">
        <v>175</v>
      </c>
      <c r="P1870" t="s">
        <v>29</v>
      </c>
      <c r="Q1870" t="s">
        <v>30</v>
      </c>
      <c r="R1870" t="s">
        <v>98</v>
      </c>
      <c r="S1870" t="s">
        <v>54</v>
      </c>
      <c r="T1870" t="s">
        <v>2178</v>
      </c>
      <c r="U1870" t="s">
        <v>46</v>
      </c>
      <c r="V1870">
        <v>238.07</v>
      </c>
    </row>
    <row r="1871" spans="1:22" x14ac:dyDescent="0.3">
      <c r="A1871" t="s">
        <v>3271</v>
      </c>
      <c r="B1871" s="2">
        <v>46140</v>
      </c>
      <c r="C1871" t="s">
        <v>2241</v>
      </c>
      <c r="D1871" t="s">
        <v>24</v>
      </c>
      <c r="E1871" t="s">
        <v>242</v>
      </c>
      <c r="F1871">
        <v>1</v>
      </c>
      <c r="G1871">
        <v>0.15</v>
      </c>
      <c r="H1871">
        <v>382.5</v>
      </c>
      <c r="I1871">
        <v>54.88</v>
      </c>
      <c r="J1871" t="s">
        <v>39</v>
      </c>
      <c r="K1871" t="s">
        <v>40</v>
      </c>
      <c r="L1871">
        <v>382.5</v>
      </c>
      <c r="M1871">
        <v>14.347712418300651</v>
      </c>
      <c r="N1871" t="s">
        <v>8</v>
      </c>
      <c r="O1871" t="s">
        <v>2242</v>
      </c>
      <c r="P1871" t="s">
        <v>73</v>
      </c>
      <c r="Q1871" t="s">
        <v>74</v>
      </c>
      <c r="R1871" t="s">
        <v>493</v>
      </c>
      <c r="S1871" t="s">
        <v>494</v>
      </c>
      <c r="T1871" t="s">
        <v>2243</v>
      </c>
      <c r="U1871" t="s">
        <v>100</v>
      </c>
      <c r="V1871">
        <v>54.88</v>
      </c>
    </row>
    <row r="1872" spans="1:22" x14ac:dyDescent="0.3">
      <c r="A1872" t="s">
        <v>3272</v>
      </c>
      <c r="B1872" s="2">
        <v>46028</v>
      </c>
      <c r="C1872" t="s">
        <v>96</v>
      </c>
      <c r="D1872" t="s">
        <v>70</v>
      </c>
      <c r="E1872" t="s">
        <v>108</v>
      </c>
      <c r="F1872">
        <v>1</v>
      </c>
      <c r="G1872">
        <v>0.05</v>
      </c>
      <c r="H1872">
        <v>4275</v>
      </c>
      <c r="I1872">
        <v>1398.12</v>
      </c>
      <c r="J1872" t="s">
        <v>26</v>
      </c>
      <c r="K1872" t="s">
        <v>40</v>
      </c>
      <c r="L1872">
        <v>4275</v>
      </c>
      <c r="M1872">
        <v>32.70456140350877</v>
      </c>
      <c r="N1872" t="s">
        <v>8</v>
      </c>
      <c r="O1872" t="s">
        <v>97</v>
      </c>
      <c r="P1872" t="s">
        <v>73</v>
      </c>
      <c r="Q1872" t="s">
        <v>30</v>
      </c>
      <c r="R1872" t="s">
        <v>98</v>
      </c>
      <c r="S1872" t="s">
        <v>54</v>
      </c>
      <c r="T1872" t="s">
        <v>99</v>
      </c>
      <c r="U1872" t="s">
        <v>100</v>
      </c>
      <c r="V1872">
        <v>1398.12</v>
      </c>
    </row>
    <row r="1873" spans="1:22" x14ac:dyDescent="0.3">
      <c r="A1873" t="s">
        <v>3273</v>
      </c>
      <c r="B1873" s="2">
        <v>46189</v>
      </c>
      <c r="C1873" t="s">
        <v>433</v>
      </c>
      <c r="D1873" t="s">
        <v>24</v>
      </c>
      <c r="E1873" t="s">
        <v>242</v>
      </c>
      <c r="F1873">
        <v>3</v>
      </c>
      <c r="G1873">
        <v>0.05</v>
      </c>
      <c r="H1873">
        <v>1282.5</v>
      </c>
      <c r="I1873">
        <v>275.85000000000002</v>
      </c>
      <c r="J1873" t="s">
        <v>26</v>
      </c>
      <c r="K1873" t="s">
        <v>27</v>
      </c>
      <c r="L1873">
        <v>427.5</v>
      </c>
      <c r="M1873">
        <v>21.508771929824562</v>
      </c>
      <c r="N1873" t="s">
        <v>8</v>
      </c>
      <c r="O1873" t="s">
        <v>435</v>
      </c>
      <c r="P1873" t="s">
        <v>73</v>
      </c>
      <c r="Q1873" t="s">
        <v>42</v>
      </c>
      <c r="R1873" t="s">
        <v>214</v>
      </c>
      <c r="S1873" t="s">
        <v>111</v>
      </c>
      <c r="T1873" t="s">
        <v>436</v>
      </c>
      <c r="U1873" t="s">
        <v>46</v>
      </c>
      <c r="V1873">
        <v>91.95</v>
      </c>
    </row>
    <row r="1874" spans="1:22" x14ac:dyDescent="0.3">
      <c r="A1874" t="s">
        <v>3274</v>
      </c>
      <c r="B1874" s="2">
        <v>46003</v>
      </c>
      <c r="C1874" t="s">
        <v>897</v>
      </c>
      <c r="D1874" t="s">
        <v>24</v>
      </c>
      <c r="E1874" t="s">
        <v>25</v>
      </c>
      <c r="F1874">
        <v>6</v>
      </c>
      <c r="G1874">
        <v>0</v>
      </c>
      <c r="H1874">
        <v>84000</v>
      </c>
      <c r="I1874">
        <v>16800</v>
      </c>
      <c r="J1874" t="s">
        <v>26</v>
      </c>
      <c r="K1874" t="s">
        <v>27</v>
      </c>
      <c r="L1874">
        <v>14000</v>
      </c>
      <c r="M1874">
        <v>20</v>
      </c>
      <c r="N1874" t="s">
        <v>8</v>
      </c>
      <c r="O1874" t="s">
        <v>607</v>
      </c>
      <c r="P1874" t="s">
        <v>73</v>
      </c>
      <c r="Q1874" t="s">
        <v>30</v>
      </c>
      <c r="R1874" t="s">
        <v>31</v>
      </c>
      <c r="S1874" t="s">
        <v>32</v>
      </c>
      <c r="T1874" t="s">
        <v>898</v>
      </c>
      <c r="U1874" t="s">
        <v>34</v>
      </c>
      <c r="V1874">
        <v>2800</v>
      </c>
    </row>
    <row r="1875" spans="1:22" x14ac:dyDescent="0.3">
      <c r="A1875" t="s">
        <v>3275</v>
      </c>
      <c r="B1875" s="2">
        <v>46070</v>
      </c>
      <c r="C1875" t="s">
        <v>1773</v>
      </c>
      <c r="D1875" t="s">
        <v>37</v>
      </c>
      <c r="E1875" t="s">
        <v>38</v>
      </c>
      <c r="F1875">
        <v>3</v>
      </c>
      <c r="G1875">
        <v>0.1</v>
      </c>
      <c r="H1875">
        <v>4860</v>
      </c>
      <c r="I1875">
        <v>1556.65</v>
      </c>
      <c r="J1875" t="s">
        <v>51</v>
      </c>
      <c r="K1875" t="s">
        <v>40</v>
      </c>
      <c r="L1875">
        <v>1620</v>
      </c>
      <c r="M1875">
        <v>32.029835390946502</v>
      </c>
      <c r="N1875" t="s">
        <v>8</v>
      </c>
      <c r="O1875" t="s">
        <v>1538</v>
      </c>
      <c r="P1875" t="s">
        <v>29</v>
      </c>
      <c r="Q1875" t="s">
        <v>74</v>
      </c>
      <c r="R1875" t="s">
        <v>237</v>
      </c>
      <c r="S1875" t="s">
        <v>238</v>
      </c>
      <c r="T1875" t="s">
        <v>1774</v>
      </c>
      <c r="U1875" t="s">
        <v>105</v>
      </c>
      <c r="V1875">
        <v>518.88333333333333</v>
      </c>
    </row>
    <row r="1876" spans="1:22" x14ac:dyDescent="0.3">
      <c r="A1876" t="s">
        <v>3276</v>
      </c>
      <c r="B1876" s="2">
        <v>46084</v>
      </c>
      <c r="C1876" t="s">
        <v>2681</v>
      </c>
      <c r="D1876" t="s">
        <v>24</v>
      </c>
      <c r="E1876" t="s">
        <v>92</v>
      </c>
      <c r="F1876">
        <v>2</v>
      </c>
      <c r="G1876">
        <v>0.05</v>
      </c>
      <c r="H1876">
        <v>1710</v>
      </c>
      <c r="I1876">
        <v>489.04</v>
      </c>
      <c r="J1876" t="s">
        <v>26</v>
      </c>
      <c r="K1876" t="s">
        <v>40</v>
      </c>
      <c r="L1876">
        <v>855</v>
      </c>
      <c r="M1876">
        <v>28.598830409356719</v>
      </c>
      <c r="N1876" t="s">
        <v>8</v>
      </c>
      <c r="O1876" t="s">
        <v>2636</v>
      </c>
      <c r="P1876" t="s">
        <v>73</v>
      </c>
      <c r="Q1876" t="s">
        <v>74</v>
      </c>
      <c r="R1876" t="s">
        <v>75</v>
      </c>
      <c r="S1876" t="s">
        <v>75</v>
      </c>
      <c r="T1876" t="s">
        <v>2682</v>
      </c>
      <c r="U1876" t="s">
        <v>34</v>
      </c>
      <c r="V1876">
        <v>244.52</v>
      </c>
    </row>
    <row r="1877" spans="1:22" x14ac:dyDescent="0.3">
      <c r="A1877" t="s">
        <v>3277</v>
      </c>
      <c r="B1877" s="2">
        <v>46128</v>
      </c>
      <c r="C1877" t="s">
        <v>225</v>
      </c>
      <c r="D1877" t="s">
        <v>49</v>
      </c>
      <c r="E1877" t="s">
        <v>119</v>
      </c>
      <c r="F1877">
        <v>2</v>
      </c>
      <c r="G1877">
        <v>0.15</v>
      </c>
      <c r="H1877">
        <v>15300</v>
      </c>
      <c r="I1877">
        <v>3123.05</v>
      </c>
      <c r="J1877" t="s">
        <v>65</v>
      </c>
      <c r="K1877" t="s">
        <v>40</v>
      </c>
      <c r="L1877">
        <v>7650</v>
      </c>
      <c r="M1877">
        <v>20.41209150326798</v>
      </c>
      <c r="N1877" t="s">
        <v>8</v>
      </c>
      <c r="O1877" t="s">
        <v>226</v>
      </c>
      <c r="P1877" t="s">
        <v>29</v>
      </c>
      <c r="Q1877" t="s">
        <v>30</v>
      </c>
      <c r="R1877" t="s">
        <v>31</v>
      </c>
      <c r="S1877" t="s">
        <v>32</v>
      </c>
      <c r="T1877" t="s">
        <v>227</v>
      </c>
      <c r="U1877" t="s">
        <v>100</v>
      </c>
      <c r="V1877">
        <v>1561.5250000000001</v>
      </c>
    </row>
    <row r="1878" spans="1:22" x14ac:dyDescent="0.3">
      <c r="A1878" t="s">
        <v>3278</v>
      </c>
      <c r="B1878" s="2">
        <v>46093</v>
      </c>
      <c r="C1878" t="s">
        <v>2003</v>
      </c>
      <c r="D1878" t="s">
        <v>24</v>
      </c>
      <c r="E1878" t="s">
        <v>92</v>
      </c>
      <c r="F1878">
        <v>5</v>
      </c>
      <c r="G1878">
        <v>0.15</v>
      </c>
      <c r="H1878">
        <v>3825</v>
      </c>
      <c r="I1878">
        <v>-639.22</v>
      </c>
      <c r="J1878" t="s">
        <v>26</v>
      </c>
      <c r="K1878" t="s">
        <v>80</v>
      </c>
      <c r="L1878">
        <v>765</v>
      </c>
      <c r="M1878">
        <v>-16.71163398692811</v>
      </c>
      <c r="N1878" t="s">
        <v>81</v>
      </c>
      <c r="O1878" t="s">
        <v>1494</v>
      </c>
      <c r="P1878" t="s">
        <v>73</v>
      </c>
      <c r="Q1878" t="s">
        <v>74</v>
      </c>
      <c r="R1878" t="s">
        <v>115</v>
      </c>
      <c r="S1878" t="s">
        <v>115</v>
      </c>
      <c r="T1878" t="s">
        <v>2004</v>
      </c>
      <c r="U1878" t="s">
        <v>46</v>
      </c>
      <c r="V1878">
        <v>-127.84399999999999</v>
      </c>
    </row>
    <row r="1879" spans="1:22" x14ac:dyDescent="0.3">
      <c r="A1879" t="s">
        <v>3279</v>
      </c>
      <c r="B1879" s="2">
        <v>46167</v>
      </c>
      <c r="C1879" t="s">
        <v>1690</v>
      </c>
      <c r="D1879" t="s">
        <v>49</v>
      </c>
      <c r="E1879" t="s">
        <v>79</v>
      </c>
      <c r="F1879">
        <v>2</v>
      </c>
      <c r="G1879">
        <v>0.15</v>
      </c>
      <c r="H1879">
        <v>18700</v>
      </c>
      <c r="I1879">
        <v>2495.5500000000002</v>
      </c>
      <c r="J1879" t="s">
        <v>51</v>
      </c>
      <c r="K1879" t="s">
        <v>40</v>
      </c>
      <c r="L1879">
        <v>9350</v>
      </c>
      <c r="M1879">
        <v>13.3451871657754</v>
      </c>
      <c r="N1879" t="s">
        <v>8</v>
      </c>
      <c r="O1879" t="s">
        <v>1566</v>
      </c>
      <c r="P1879" t="s">
        <v>73</v>
      </c>
      <c r="Q1879" t="s">
        <v>30</v>
      </c>
      <c r="R1879" t="s">
        <v>53</v>
      </c>
      <c r="S1879" t="s">
        <v>54</v>
      </c>
      <c r="T1879" t="s">
        <v>1691</v>
      </c>
      <c r="U1879" t="s">
        <v>105</v>
      </c>
      <c r="V1879">
        <v>1247.7750000000001</v>
      </c>
    </row>
    <row r="1880" spans="1:22" x14ac:dyDescent="0.3">
      <c r="A1880" t="s">
        <v>3280</v>
      </c>
      <c r="B1880" s="2">
        <v>46253</v>
      </c>
      <c r="C1880" t="s">
        <v>726</v>
      </c>
      <c r="D1880" t="s">
        <v>37</v>
      </c>
      <c r="E1880" t="s">
        <v>170</v>
      </c>
      <c r="F1880">
        <v>1</v>
      </c>
      <c r="G1880">
        <v>0</v>
      </c>
      <c r="H1880">
        <v>1400</v>
      </c>
      <c r="I1880">
        <v>500</v>
      </c>
      <c r="J1880" t="s">
        <v>26</v>
      </c>
      <c r="K1880" t="s">
        <v>27</v>
      </c>
      <c r="L1880">
        <v>1400</v>
      </c>
      <c r="M1880">
        <v>35.714285714285722</v>
      </c>
      <c r="N1880" t="s">
        <v>8</v>
      </c>
      <c r="O1880" t="s">
        <v>727</v>
      </c>
      <c r="P1880" t="s">
        <v>29</v>
      </c>
      <c r="Q1880" t="s">
        <v>30</v>
      </c>
      <c r="R1880" t="s">
        <v>31</v>
      </c>
      <c r="S1880" t="s">
        <v>32</v>
      </c>
      <c r="T1880" t="s">
        <v>33</v>
      </c>
      <c r="U1880" t="s">
        <v>34</v>
      </c>
      <c r="V1880">
        <v>500</v>
      </c>
    </row>
    <row r="1881" spans="1:22" x14ac:dyDescent="0.3">
      <c r="A1881" t="s">
        <v>3281</v>
      </c>
      <c r="B1881" s="2">
        <v>46086</v>
      </c>
      <c r="C1881" t="s">
        <v>3203</v>
      </c>
      <c r="D1881" t="s">
        <v>70</v>
      </c>
      <c r="E1881" t="s">
        <v>71</v>
      </c>
      <c r="F1881">
        <v>2</v>
      </c>
      <c r="G1881">
        <v>0.15</v>
      </c>
      <c r="H1881">
        <v>30600</v>
      </c>
      <c r="I1881">
        <v>3252.09</v>
      </c>
      <c r="J1881" t="s">
        <v>51</v>
      </c>
      <c r="K1881" t="s">
        <v>40</v>
      </c>
      <c r="L1881">
        <v>15300</v>
      </c>
      <c r="M1881">
        <v>10.62774509803922</v>
      </c>
      <c r="N1881" t="s">
        <v>8</v>
      </c>
      <c r="O1881" t="s">
        <v>1353</v>
      </c>
      <c r="P1881" t="s">
        <v>83</v>
      </c>
      <c r="Q1881" t="s">
        <v>74</v>
      </c>
      <c r="R1881" t="s">
        <v>75</v>
      </c>
      <c r="S1881" t="s">
        <v>75</v>
      </c>
      <c r="T1881" t="s">
        <v>3204</v>
      </c>
      <c r="U1881" t="s">
        <v>46</v>
      </c>
      <c r="V1881">
        <v>1626.0450000000001</v>
      </c>
    </row>
    <row r="1882" spans="1:22" x14ac:dyDescent="0.3">
      <c r="A1882" t="s">
        <v>3282</v>
      </c>
      <c r="B1882" s="2">
        <v>46018</v>
      </c>
      <c r="C1882" t="s">
        <v>1474</v>
      </c>
      <c r="D1882" t="s">
        <v>70</v>
      </c>
      <c r="E1882" t="s">
        <v>108</v>
      </c>
      <c r="F1882">
        <v>1</v>
      </c>
      <c r="G1882">
        <v>0.1</v>
      </c>
      <c r="H1882">
        <v>4050</v>
      </c>
      <c r="I1882">
        <v>1204.44</v>
      </c>
      <c r="J1882" t="s">
        <v>26</v>
      </c>
      <c r="K1882" t="s">
        <v>27</v>
      </c>
      <c r="L1882">
        <v>4050</v>
      </c>
      <c r="M1882">
        <v>29.73925925925926</v>
      </c>
      <c r="N1882" t="s">
        <v>8</v>
      </c>
      <c r="O1882" t="s">
        <v>1475</v>
      </c>
      <c r="P1882" t="s">
        <v>73</v>
      </c>
      <c r="Q1882" t="s">
        <v>30</v>
      </c>
      <c r="R1882" t="s">
        <v>98</v>
      </c>
      <c r="S1882" t="s">
        <v>54</v>
      </c>
      <c r="T1882" t="s">
        <v>1476</v>
      </c>
      <c r="U1882" t="s">
        <v>100</v>
      </c>
      <c r="V1882">
        <v>1204.44</v>
      </c>
    </row>
    <row r="1883" spans="1:22" x14ac:dyDescent="0.3">
      <c r="A1883" t="s">
        <v>3283</v>
      </c>
      <c r="B1883" s="2">
        <v>46200</v>
      </c>
      <c r="C1883" t="s">
        <v>1293</v>
      </c>
      <c r="D1883" t="s">
        <v>37</v>
      </c>
      <c r="E1883" t="s">
        <v>310</v>
      </c>
      <c r="F1883">
        <v>2</v>
      </c>
      <c r="G1883">
        <v>0.2</v>
      </c>
      <c r="H1883">
        <v>3520</v>
      </c>
      <c r="I1883">
        <v>826.41</v>
      </c>
      <c r="J1883" t="s">
        <v>39</v>
      </c>
      <c r="K1883" t="s">
        <v>40</v>
      </c>
      <c r="L1883">
        <v>1760</v>
      </c>
      <c r="M1883">
        <v>23.477556818181821</v>
      </c>
      <c r="N1883" t="s">
        <v>8</v>
      </c>
      <c r="O1883" t="s">
        <v>1294</v>
      </c>
      <c r="P1883" t="s">
        <v>83</v>
      </c>
      <c r="Q1883" t="s">
        <v>74</v>
      </c>
      <c r="R1883" t="s">
        <v>115</v>
      </c>
      <c r="S1883" t="s">
        <v>115</v>
      </c>
      <c r="T1883" t="s">
        <v>1295</v>
      </c>
      <c r="U1883" t="s">
        <v>46</v>
      </c>
      <c r="V1883">
        <v>413.20499999999998</v>
      </c>
    </row>
    <row r="1884" spans="1:22" x14ac:dyDescent="0.3">
      <c r="A1884" t="s">
        <v>3284</v>
      </c>
      <c r="B1884" s="2">
        <v>46108</v>
      </c>
      <c r="C1884" t="s">
        <v>1723</v>
      </c>
      <c r="D1884" t="s">
        <v>70</v>
      </c>
      <c r="E1884" t="s">
        <v>71</v>
      </c>
      <c r="F1884">
        <v>2</v>
      </c>
      <c r="G1884">
        <v>0.1</v>
      </c>
      <c r="H1884">
        <v>32400</v>
      </c>
      <c r="I1884">
        <v>-4992.74</v>
      </c>
      <c r="J1884" t="s">
        <v>26</v>
      </c>
      <c r="K1884" t="s">
        <v>434</v>
      </c>
      <c r="L1884">
        <v>16200</v>
      </c>
      <c r="M1884">
        <v>-15.409691358024689</v>
      </c>
      <c r="N1884" t="s">
        <v>81</v>
      </c>
      <c r="O1884" t="s">
        <v>398</v>
      </c>
      <c r="P1884" t="s">
        <v>83</v>
      </c>
      <c r="Q1884" t="s">
        <v>30</v>
      </c>
      <c r="R1884" t="s">
        <v>98</v>
      </c>
      <c r="S1884" t="s">
        <v>54</v>
      </c>
      <c r="T1884" t="s">
        <v>1724</v>
      </c>
      <c r="U1884" t="s">
        <v>46</v>
      </c>
      <c r="V1884">
        <v>-2496.37</v>
      </c>
    </row>
    <row r="1885" spans="1:22" x14ac:dyDescent="0.3">
      <c r="A1885" t="s">
        <v>3285</v>
      </c>
      <c r="B1885" s="2">
        <v>46015</v>
      </c>
      <c r="C1885" t="s">
        <v>1605</v>
      </c>
      <c r="D1885" t="s">
        <v>49</v>
      </c>
      <c r="E1885" t="s">
        <v>50</v>
      </c>
      <c r="F1885">
        <v>2</v>
      </c>
      <c r="G1885">
        <v>0</v>
      </c>
      <c r="H1885">
        <v>26000</v>
      </c>
      <c r="I1885">
        <v>6400</v>
      </c>
      <c r="J1885" t="s">
        <v>39</v>
      </c>
      <c r="K1885" t="s">
        <v>40</v>
      </c>
      <c r="L1885">
        <v>13000</v>
      </c>
      <c r="M1885">
        <v>24.61538461538462</v>
      </c>
      <c r="N1885" t="s">
        <v>8</v>
      </c>
      <c r="O1885" t="s">
        <v>1606</v>
      </c>
      <c r="P1885" t="s">
        <v>73</v>
      </c>
      <c r="Q1885" t="s">
        <v>30</v>
      </c>
      <c r="R1885" t="s">
        <v>53</v>
      </c>
      <c r="S1885" t="s">
        <v>54</v>
      </c>
      <c r="T1885" t="s">
        <v>1607</v>
      </c>
      <c r="U1885" t="s">
        <v>34</v>
      </c>
      <c r="V1885">
        <v>3200</v>
      </c>
    </row>
    <row r="1886" spans="1:22" x14ac:dyDescent="0.3">
      <c r="A1886" t="s">
        <v>3286</v>
      </c>
      <c r="B1886" s="2">
        <v>46074</v>
      </c>
      <c r="C1886" t="s">
        <v>283</v>
      </c>
      <c r="D1886" t="s">
        <v>24</v>
      </c>
      <c r="E1886" t="s">
        <v>25</v>
      </c>
      <c r="F1886">
        <v>3</v>
      </c>
      <c r="G1886">
        <v>0.1</v>
      </c>
      <c r="H1886">
        <v>37800</v>
      </c>
      <c r="I1886">
        <v>5078.13</v>
      </c>
      <c r="J1886" t="s">
        <v>26</v>
      </c>
      <c r="K1886" t="s">
        <v>40</v>
      </c>
      <c r="L1886">
        <v>12600</v>
      </c>
      <c r="M1886">
        <v>13.434206349206351</v>
      </c>
      <c r="N1886" t="s">
        <v>8</v>
      </c>
      <c r="O1886" t="s">
        <v>284</v>
      </c>
      <c r="P1886" t="s">
        <v>29</v>
      </c>
      <c r="Q1886" t="s">
        <v>30</v>
      </c>
      <c r="R1886" t="s">
        <v>53</v>
      </c>
      <c r="S1886" t="s">
        <v>54</v>
      </c>
      <c r="T1886" t="s">
        <v>285</v>
      </c>
      <c r="U1886" t="s">
        <v>34</v>
      </c>
      <c r="V1886">
        <v>1692.71</v>
      </c>
    </row>
    <row r="1887" spans="1:22" x14ac:dyDescent="0.3">
      <c r="A1887" t="s">
        <v>3287</v>
      </c>
      <c r="B1887" s="2">
        <v>46121</v>
      </c>
      <c r="C1887" t="s">
        <v>710</v>
      </c>
      <c r="D1887" t="s">
        <v>49</v>
      </c>
      <c r="E1887" t="s">
        <v>58</v>
      </c>
      <c r="F1887">
        <v>1</v>
      </c>
      <c r="G1887">
        <v>0.05</v>
      </c>
      <c r="H1887">
        <v>14250</v>
      </c>
      <c r="I1887">
        <v>2918.25</v>
      </c>
      <c r="J1887" t="s">
        <v>26</v>
      </c>
      <c r="K1887" t="s">
        <v>40</v>
      </c>
      <c r="L1887">
        <v>14250</v>
      </c>
      <c r="M1887">
        <v>20.47894736842105</v>
      </c>
      <c r="N1887" t="s">
        <v>8</v>
      </c>
      <c r="O1887" t="s">
        <v>711</v>
      </c>
      <c r="P1887" t="s">
        <v>29</v>
      </c>
      <c r="Q1887" t="s">
        <v>30</v>
      </c>
      <c r="R1887" t="s">
        <v>53</v>
      </c>
      <c r="S1887" t="s">
        <v>54</v>
      </c>
      <c r="T1887" t="s">
        <v>712</v>
      </c>
      <c r="U1887" t="s">
        <v>34</v>
      </c>
      <c r="V1887">
        <v>2918.25</v>
      </c>
    </row>
    <row r="1888" spans="1:22" x14ac:dyDescent="0.3">
      <c r="A1888" t="s">
        <v>3288</v>
      </c>
      <c r="B1888" s="2">
        <v>46098</v>
      </c>
      <c r="C1888" t="s">
        <v>217</v>
      </c>
      <c r="D1888" t="s">
        <v>70</v>
      </c>
      <c r="E1888" t="s">
        <v>129</v>
      </c>
      <c r="F1888">
        <v>3</v>
      </c>
      <c r="G1888">
        <v>0.2</v>
      </c>
      <c r="H1888">
        <v>132000</v>
      </c>
      <c r="I1888">
        <v>6920.91</v>
      </c>
      <c r="J1888" t="s">
        <v>51</v>
      </c>
      <c r="K1888" t="s">
        <v>27</v>
      </c>
      <c r="L1888">
        <v>44000</v>
      </c>
      <c r="M1888">
        <v>5.2431136363636357</v>
      </c>
      <c r="N1888" t="s">
        <v>8</v>
      </c>
      <c r="O1888" t="s">
        <v>218</v>
      </c>
      <c r="P1888" t="s">
        <v>29</v>
      </c>
      <c r="Q1888" t="s">
        <v>30</v>
      </c>
      <c r="R1888" t="s">
        <v>31</v>
      </c>
      <c r="S1888" t="s">
        <v>32</v>
      </c>
      <c r="T1888" t="s">
        <v>219</v>
      </c>
      <c r="U1888" t="s">
        <v>100</v>
      </c>
      <c r="V1888">
        <v>2306.9699999999998</v>
      </c>
    </row>
    <row r="1889" spans="1:22" x14ac:dyDescent="0.3">
      <c r="A1889" t="s">
        <v>3289</v>
      </c>
      <c r="B1889" s="2">
        <v>46180</v>
      </c>
      <c r="C1889" t="s">
        <v>1901</v>
      </c>
      <c r="D1889" t="s">
        <v>70</v>
      </c>
      <c r="E1889" t="s">
        <v>165</v>
      </c>
      <c r="F1889">
        <v>4</v>
      </c>
      <c r="G1889">
        <v>0.1</v>
      </c>
      <c r="H1889">
        <v>9000</v>
      </c>
      <c r="I1889">
        <v>-3085.19</v>
      </c>
      <c r="J1889" t="s">
        <v>65</v>
      </c>
      <c r="K1889" t="s">
        <v>80</v>
      </c>
      <c r="L1889">
        <v>2250</v>
      </c>
      <c r="M1889">
        <v>-34.279888888888891</v>
      </c>
      <c r="N1889" t="s">
        <v>81</v>
      </c>
      <c r="O1889" t="s">
        <v>1902</v>
      </c>
      <c r="P1889" t="s">
        <v>83</v>
      </c>
      <c r="Q1889" t="s">
        <v>42</v>
      </c>
      <c r="R1889" t="s">
        <v>121</v>
      </c>
      <c r="S1889" t="s">
        <v>44</v>
      </c>
      <c r="T1889" t="s">
        <v>1051</v>
      </c>
      <c r="U1889" t="s">
        <v>100</v>
      </c>
      <c r="V1889">
        <v>-771.29750000000001</v>
      </c>
    </row>
    <row r="1890" spans="1:22" x14ac:dyDescent="0.3">
      <c r="A1890" t="s">
        <v>3290</v>
      </c>
      <c r="B1890" s="2">
        <v>45848</v>
      </c>
      <c r="C1890" t="s">
        <v>736</v>
      </c>
      <c r="D1890" t="s">
        <v>70</v>
      </c>
      <c r="E1890" t="s">
        <v>108</v>
      </c>
      <c r="F1890">
        <v>2</v>
      </c>
      <c r="G1890">
        <v>0</v>
      </c>
      <c r="H1890">
        <v>9000</v>
      </c>
      <c r="I1890">
        <v>3000</v>
      </c>
      <c r="J1890" t="s">
        <v>65</v>
      </c>
      <c r="K1890" t="s">
        <v>40</v>
      </c>
      <c r="L1890">
        <v>4500</v>
      </c>
      <c r="M1890">
        <v>33.333333333333329</v>
      </c>
      <c r="N1890" t="s">
        <v>8</v>
      </c>
      <c r="O1890" t="s">
        <v>648</v>
      </c>
      <c r="P1890" t="s">
        <v>29</v>
      </c>
      <c r="Q1890" t="s">
        <v>30</v>
      </c>
      <c r="R1890" t="s">
        <v>60</v>
      </c>
      <c r="S1890" t="s">
        <v>61</v>
      </c>
      <c r="T1890" t="s">
        <v>311</v>
      </c>
      <c r="U1890" t="s">
        <v>34</v>
      </c>
      <c r="V1890">
        <v>1500</v>
      </c>
    </row>
    <row r="1891" spans="1:22" x14ac:dyDescent="0.3">
      <c r="A1891" t="s">
        <v>3291</v>
      </c>
      <c r="B1891" s="2">
        <v>45924</v>
      </c>
      <c r="C1891" t="s">
        <v>974</v>
      </c>
      <c r="D1891" t="s">
        <v>70</v>
      </c>
      <c r="E1891" t="s">
        <v>129</v>
      </c>
      <c r="F1891">
        <v>1</v>
      </c>
      <c r="G1891">
        <v>0</v>
      </c>
      <c r="H1891">
        <v>55000</v>
      </c>
      <c r="I1891">
        <v>-11454.76</v>
      </c>
      <c r="J1891" t="s">
        <v>26</v>
      </c>
      <c r="K1891" t="s">
        <v>80</v>
      </c>
      <c r="L1891">
        <v>55000</v>
      </c>
      <c r="M1891">
        <v>-20.82683636363636</v>
      </c>
      <c r="N1891" t="s">
        <v>81</v>
      </c>
      <c r="O1891" t="s">
        <v>975</v>
      </c>
      <c r="P1891" t="s">
        <v>73</v>
      </c>
      <c r="Q1891" t="s">
        <v>42</v>
      </c>
      <c r="R1891" t="s">
        <v>43</v>
      </c>
      <c r="S1891" t="s">
        <v>44</v>
      </c>
      <c r="T1891" t="s">
        <v>976</v>
      </c>
      <c r="U1891" t="s">
        <v>100</v>
      </c>
      <c r="V1891">
        <v>-11454.76</v>
      </c>
    </row>
    <row r="1892" spans="1:22" x14ac:dyDescent="0.3">
      <c r="A1892" t="s">
        <v>3292</v>
      </c>
      <c r="B1892" s="2">
        <v>46220</v>
      </c>
      <c r="C1892" t="s">
        <v>632</v>
      </c>
      <c r="D1892" t="s">
        <v>37</v>
      </c>
      <c r="E1892" t="s">
        <v>170</v>
      </c>
      <c r="F1892">
        <v>4</v>
      </c>
      <c r="G1892">
        <v>0.2</v>
      </c>
      <c r="H1892">
        <v>4480</v>
      </c>
      <c r="I1892">
        <v>1421.69</v>
      </c>
      <c r="J1892" t="s">
        <v>65</v>
      </c>
      <c r="K1892" t="s">
        <v>40</v>
      </c>
      <c r="L1892">
        <v>1120</v>
      </c>
      <c r="M1892">
        <v>31.734151785714289</v>
      </c>
      <c r="N1892" t="s">
        <v>8</v>
      </c>
      <c r="O1892" t="s">
        <v>427</v>
      </c>
      <c r="P1892" t="s">
        <v>29</v>
      </c>
      <c r="Q1892" t="s">
        <v>42</v>
      </c>
      <c r="R1892" t="s">
        <v>110</v>
      </c>
      <c r="S1892" t="s">
        <v>111</v>
      </c>
      <c r="T1892" t="s">
        <v>633</v>
      </c>
      <c r="U1892" t="s">
        <v>100</v>
      </c>
      <c r="V1892">
        <v>355.42250000000001</v>
      </c>
    </row>
    <row r="1893" spans="1:22" x14ac:dyDescent="0.3">
      <c r="A1893" t="s">
        <v>3293</v>
      </c>
      <c r="B1893" s="2">
        <v>45980</v>
      </c>
      <c r="C1893" t="s">
        <v>3294</v>
      </c>
      <c r="D1893" t="s">
        <v>49</v>
      </c>
      <c r="E1893" t="s">
        <v>50</v>
      </c>
      <c r="F1893">
        <v>4</v>
      </c>
      <c r="G1893">
        <v>0</v>
      </c>
      <c r="H1893">
        <v>52000</v>
      </c>
      <c r="I1893">
        <v>12800</v>
      </c>
      <c r="J1893" t="s">
        <v>65</v>
      </c>
      <c r="K1893" t="s">
        <v>40</v>
      </c>
      <c r="L1893">
        <v>13000</v>
      </c>
      <c r="M1893">
        <v>24.61538461538462</v>
      </c>
      <c r="N1893" t="s">
        <v>8</v>
      </c>
      <c r="O1893" t="s">
        <v>454</v>
      </c>
      <c r="P1893" t="s">
        <v>83</v>
      </c>
      <c r="Q1893" t="s">
        <v>74</v>
      </c>
      <c r="R1893" t="s">
        <v>75</v>
      </c>
      <c r="S1893" t="s">
        <v>75</v>
      </c>
      <c r="T1893" t="s">
        <v>2189</v>
      </c>
      <c r="U1893" t="s">
        <v>105</v>
      </c>
      <c r="V1893">
        <v>3200</v>
      </c>
    </row>
    <row r="1894" spans="1:22" x14ac:dyDescent="0.3">
      <c r="A1894" t="s">
        <v>3295</v>
      </c>
      <c r="B1894" s="2">
        <v>46102</v>
      </c>
      <c r="C1894" t="s">
        <v>1761</v>
      </c>
      <c r="D1894" t="s">
        <v>49</v>
      </c>
      <c r="E1894" t="s">
        <v>79</v>
      </c>
      <c r="F1894">
        <v>2</v>
      </c>
      <c r="G1894">
        <v>0.15</v>
      </c>
      <c r="H1894">
        <v>18700</v>
      </c>
      <c r="I1894">
        <v>2535.21</v>
      </c>
      <c r="J1894" t="s">
        <v>39</v>
      </c>
      <c r="K1894" t="s">
        <v>40</v>
      </c>
      <c r="L1894">
        <v>9350</v>
      </c>
      <c r="M1894">
        <v>13.55727272727273</v>
      </c>
      <c r="N1894" t="s">
        <v>8</v>
      </c>
      <c r="O1894" t="s">
        <v>1762</v>
      </c>
      <c r="P1894" t="s">
        <v>83</v>
      </c>
      <c r="Q1894" t="s">
        <v>74</v>
      </c>
      <c r="R1894" t="s">
        <v>493</v>
      </c>
      <c r="S1894" t="s">
        <v>494</v>
      </c>
      <c r="T1894" t="s">
        <v>1763</v>
      </c>
      <c r="U1894" t="s">
        <v>34</v>
      </c>
      <c r="V1894">
        <v>1267.605</v>
      </c>
    </row>
    <row r="1895" spans="1:22" x14ac:dyDescent="0.3">
      <c r="A1895" t="s">
        <v>3296</v>
      </c>
      <c r="B1895" s="2">
        <v>45911</v>
      </c>
      <c r="C1895" t="s">
        <v>1694</v>
      </c>
      <c r="D1895" t="s">
        <v>70</v>
      </c>
      <c r="E1895" t="s">
        <v>108</v>
      </c>
      <c r="F1895">
        <v>1</v>
      </c>
      <c r="G1895">
        <v>0</v>
      </c>
      <c r="H1895">
        <v>4500</v>
      </c>
      <c r="I1895">
        <v>1500</v>
      </c>
      <c r="J1895" t="s">
        <v>39</v>
      </c>
      <c r="K1895" t="s">
        <v>40</v>
      </c>
      <c r="L1895">
        <v>4500</v>
      </c>
      <c r="M1895">
        <v>33.333333333333329</v>
      </c>
      <c r="N1895" t="s">
        <v>8</v>
      </c>
      <c r="O1895" t="s">
        <v>1695</v>
      </c>
      <c r="P1895" t="s">
        <v>73</v>
      </c>
      <c r="Q1895" t="s">
        <v>30</v>
      </c>
      <c r="R1895" t="s">
        <v>60</v>
      </c>
      <c r="S1895" t="s">
        <v>61</v>
      </c>
      <c r="T1895" t="s">
        <v>1696</v>
      </c>
      <c r="U1895" t="s">
        <v>100</v>
      </c>
      <c r="V1895">
        <v>1500</v>
      </c>
    </row>
    <row r="1896" spans="1:22" x14ac:dyDescent="0.3">
      <c r="A1896" t="s">
        <v>3297</v>
      </c>
      <c r="B1896" s="2">
        <v>46259</v>
      </c>
      <c r="C1896" t="s">
        <v>64</v>
      </c>
      <c r="D1896" t="s">
        <v>70</v>
      </c>
      <c r="E1896" t="s">
        <v>165</v>
      </c>
      <c r="F1896">
        <v>1</v>
      </c>
      <c r="G1896">
        <v>0.05</v>
      </c>
      <c r="H1896">
        <v>2375</v>
      </c>
      <c r="I1896">
        <v>709.1</v>
      </c>
      <c r="J1896" t="s">
        <v>65</v>
      </c>
      <c r="K1896" t="s">
        <v>40</v>
      </c>
      <c r="L1896">
        <v>2375</v>
      </c>
      <c r="M1896">
        <v>29.856842105263159</v>
      </c>
      <c r="N1896" t="s">
        <v>8</v>
      </c>
      <c r="O1896" t="s">
        <v>66</v>
      </c>
      <c r="P1896" t="s">
        <v>29</v>
      </c>
      <c r="Q1896" t="s">
        <v>42</v>
      </c>
      <c r="R1896" t="s">
        <v>43</v>
      </c>
      <c r="S1896" t="s">
        <v>44</v>
      </c>
      <c r="T1896" t="s">
        <v>67</v>
      </c>
      <c r="U1896" t="s">
        <v>34</v>
      </c>
      <c r="V1896">
        <v>709.1</v>
      </c>
    </row>
    <row r="1897" spans="1:22" x14ac:dyDescent="0.3">
      <c r="A1897" t="s">
        <v>3298</v>
      </c>
      <c r="B1897" s="2">
        <v>46175</v>
      </c>
      <c r="C1897" t="s">
        <v>1702</v>
      </c>
      <c r="D1897" t="s">
        <v>24</v>
      </c>
      <c r="E1897" t="s">
        <v>87</v>
      </c>
      <c r="F1897">
        <v>10</v>
      </c>
      <c r="G1897">
        <v>0.15</v>
      </c>
      <c r="H1897">
        <v>2975</v>
      </c>
      <c r="I1897">
        <v>890.92</v>
      </c>
      <c r="J1897" t="s">
        <v>26</v>
      </c>
      <c r="K1897" t="s">
        <v>40</v>
      </c>
      <c r="L1897">
        <v>297.5</v>
      </c>
      <c r="M1897">
        <v>29.946890756302519</v>
      </c>
      <c r="N1897" t="s">
        <v>8</v>
      </c>
      <c r="O1897" t="s">
        <v>314</v>
      </c>
      <c r="P1897" t="s">
        <v>29</v>
      </c>
      <c r="Q1897" t="s">
        <v>42</v>
      </c>
      <c r="R1897" t="s">
        <v>214</v>
      </c>
      <c r="S1897" t="s">
        <v>111</v>
      </c>
      <c r="T1897" t="s">
        <v>568</v>
      </c>
      <c r="U1897" t="s">
        <v>34</v>
      </c>
      <c r="V1897">
        <v>89.091999999999999</v>
      </c>
    </row>
    <row r="1898" spans="1:22" x14ac:dyDescent="0.3">
      <c r="A1898" t="s">
        <v>3299</v>
      </c>
      <c r="B1898" s="2">
        <v>46173</v>
      </c>
      <c r="C1898" t="s">
        <v>1682</v>
      </c>
      <c r="D1898" t="s">
        <v>24</v>
      </c>
      <c r="E1898" t="s">
        <v>25</v>
      </c>
      <c r="F1898">
        <v>4</v>
      </c>
      <c r="G1898">
        <v>0.1</v>
      </c>
      <c r="H1898">
        <v>50400</v>
      </c>
      <c r="I1898">
        <v>6809.69</v>
      </c>
      <c r="J1898" t="s">
        <v>39</v>
      </c>
      <c r="K1898" t="s">
        <v>40</v>
      </c>
      <c r="L1898">
        <v>12600</v>
      </c>
      <c r="M1898">
        <v>13.51128968253968</v>
      </c>
      <c r="N1898" t="s">
        <v>8</v>
      </c>
      <c r="O1898" t="s">
        <v>648</v>
      </c>
      <c r="P1898" t="s">
        <v>73</v>
      </c>
      <c r="Q1898" t="s">
        <v>131</v>
      </c>
      <c r="R1898" t="s">
        <v>449</v>
      </c>
      <c r="S1898" t="s">
        <v>450</v>
      </c>
      <c r="T1898" t="s">
        <v>912</v>
      </c>
      <c r="U1898" t="s">
        <v>46</v>
      </c>
      <c r="V1898">
        <v>1702.4224999999999</v>
      </c>
    </row>
    <row r="1899" spans="1:22" x14ac:dyDescent="0.3">
      <c r="A1899" t="s">
        <v>3300</v>
      </c>
      <c r="B1899" s="2">
        <v>46245</v>
      </c>
      <c r="C1899" t="s">
        <v>1000</v>
      </c>
      <c r="D1899" t="s">
        <v>70</v>
      </c>
      <c r="E1899" t="s">
        <v>129</v>
      </c>
      <c r="F1899">
        <v>5</v>
      </c>
      <c r="G1899">
        <v>0.1</v>
      </c>
      <c r="H1899">
        <v>247500</v>
      </c>
      <c r="I1899">
        <v>27155.66</v>
      </c>
      <c r="J1899" t="s">
        <v>39</v>
      </c>
      <c r="K1899" t="s">
        <v>40</v>
      </c>
      <c r="L1899">
        <v>49500</v>
      </c>
      <c r="M1899">
        <v>10.97198383838384</v>
      </c>
      <c r="N1899" t="s">
        <v>8</v>
      </c>
      <c r="O1899" t="s">
        <v>1001</v>
      </c>
      <c r="P1899" t="s">
        <v>29</v>
      </c>
      <c r="Q1899" t="s">
        <v>30</v>
      </c>
      <c r="R1899" t="s">
        <v>60</v>
      </c>
      <c r="S1899" t="s">
        <v>61</v>
      </c>
      <c r="T1899" t="s">
        <v>1002</v>
      </c>
      <c r="U1899" t="s">
        <v>105</v>
      </c>
      <c r="V1899">
        <v>5431.1319999999996</v>
      </c>
    </row>
    <row r="1900" spans="1:22" x14ac:dyDescent="0.3">
      <c r="A1900" t="s">
        <v>3301</v>
      </c>
      <c r="B1900" s="2">
        <v>46004</v>
      </c>
      <c r="C1900" t="s">
        <v>1094</v>
      </c>
      <c r="D1900" t="s">
        <v>24</v>
      </c>
      <c r="E1900" t="s">
        <v>25</v>
      </c>
      <c r="F1900">
        <v>3</v>
      </c>
      <c r="G1900">
        <v>0</v>
      </c>
      <c r="H1900">
        <v>42000</v>
      </c>
      <c r="I1900">
        <v>8400</v>
      </c>
      <c r="J1900" t="s">
        <v>26</v>
      </c>
      <c r="K1900" t="s">
        <v>27</v>
      </c>
      <c r="L1900">
        <v>14000</v>
      </c>
      <c r="M1900">
        <v>20</v>
      </c>
      <c r="N1900" t="s">
        <v>8</v>
      </c>
      <c r="O1900" t="s">
        <v>183</v>
      </c>
      <c r="P1900" t="s">
        <v>73</v>
      </c>
      <c r="Q1900" t="s">
        <v>30</v>
      </c>
      <c r="R1900" t="s">
        <v>31</v>
      </c>
      <c r="S1900" t="s">
        <v>32</v>
      </c>
      <c r="T1900" t="s">
        <v>1095</v>
      </c>
      <c r="U1900" t="s">
        <v>105</v>
      </c>
      <c r="V1900">
        <v>2800</v>
      </c>
    </row>
    <row r="1901" spans="1:22" x14ac:dyDescent="0.3">
      <c r="A1901" t="s">
        <v>3302</v>
      </c>
      <c r="B1901" s="2">
        <v>45904</v>
      </c>
      <c r="C1901" t="s">
        <v>916</v>
      </c>
      <c r="D1901" t="s">
        <v>49</v>
      </c>
      <c r="E1901" t="s">
        <v>119</v>
      </c>
      <c r="F1901">
        <v>4</v>
      </c>
      <c r="G1901">
        <v>0</v>
      </c>
      <c r="H1901">
        <v>36000</v>
      </c>
      <c r="I1901">
        <v>9200</v>
      </c>
      <c r="J1901" t="s">
        <v>39</v>
      </c>
      <c r="K1901" t="s">
        <v>27</v>
      </c>
      <c r="L1901">
        <v>9000</v>
      </c>
      <c r="M1901">
        <v>25.55555555555555</v>
      </c>
      <c r="N1901" t="s">
        <v>8</v>
      </c>
      <c r="O1901" t="s">
        <v>917</v>
      </c>
      <c r="P1901" t="s">
        <v>29</v>
      </c>
      <c r="Q1901" t="s">
        <v>42</v>
      </c>
      <c r="R1901" t="s">
        <v>121</v>
      </c>
      <c r="S1901" t="s">
        <v>44</v>
      </c>
      <c r="T1901" t="s">
        <v>918</v>
      </c>
      <c r="U1901" t="s">
        <v>34</v>
      </c>
      <c r="V1901">
        <v>2300</v>
      </c>
    </row>
    <row r="1902" spans="1:22" x14ac:dyDescent="0.3">
      <c r="A1902" t="s">
        <v>3303</v>
      </c>
      <c r="B1902" s="2">
        <v>45892</v>
      </c>
      <c r="C1902" t="s">
        <v>3304</v>
      </c>
      <c r="D1902" t="s">
        <v>70</v>
      </c>
      <c r="E1902" t="s">
        <v>71</v>
      </c>
      <c r="F1902">
        <v>4</v>
      </c>
      <c r="G1902">
        <v>0.2</v>
      </c>
      <c r="H1902">
        <v>57600</v>
      </c>
      <c r="I1902">
        <v>3811.73</v>
      </c>
      <c r="J1902" t="s">
        <v>26</v>
      </c>
      <c r="K1902" t="s">
        <v>27</v>
      </c>
      <c r="L1902">
        <v>14400</v>
      </c>
      <c r="M1902">
        <v>6.6175868055555558</v>
      </c>
      <c r="N1902" t="s">
        <v>8</v>
      </c>
      <c r="O1902" t="s">
        <v>3305</v>
      </c>
      <c r="P1902" t="s">
        <v>29</v>
      </c>
      <c r="Q1902" t="s">
        <v>131</v>
      </c>
      <c r="R1902" t="s">
        <v>200</v>
      </c>
      <c r="S1902" t="s">
        <v>201</v>
      </c>
      <c r="T1902" t="s">
        <v>403</v>
      </c>
      <c r="U1902" t="s">
        <v>46</v>
      </c>
      <c r="V1902">
        <v>952.9325</v>
      </c>
    </row>
    <row r="1903" spans="1:22" x14ac:dyDescent="0.3">
      <c r="A1903" t="s">
        <v>3306</v>
      </c>
      <c r="B1903" s="2">
        <v>45959</v>
      </c>
      <c r="C1903" t="s">
        <v>1493</v>
      </c>
      <c r="D1903" t="s">
        <v>70</v>
      </c>
      <c r="E1903" t="s">
        <v>71</v>
      </c>
      <c r="F1903">
        <v>5</v>
      </c>
      <c r="G1903">
        <v>0.05</v>
      </c>
      <c r="H1903">
        <v>85500</v>
      </c>
      <c r="I1903">
        <v>13903.96</v>
      </c>
      <c r="J1903" t="s">
        <v>51</v>
      </c>
      <c r="K1903" t="s">
        <v>40</v>
      </c>
      <c r="L1903">
        <v>17100</v>
      </c>
      <c r="M1903">
        <v>16.26194152046784</v>
      </c>
      <c r="N1903" t="s">
        <v>8</v>
      </c>
      <c r="O1903" t="s">
        <v>1494</v>
      </c>
      <c r="P1903" t="s">
        <v>73</v>
      </c>
      <c r="Q1903" t="s">
        <v>131</v>
      </c>
      <c r="R1903" t="s">
        <v>449</v>
      </c>
      <c r="S1903" t="s">
        <v>450</v>
      </c>
      <c r="T1903" t="s">
        <v>1495</v>
      </c>
      <c r="U1903" t="s">
        <v>34</v>
      </c>
      <c r="V1903">
        <v>2780.7919999999999</v>
      </c>
    </row>
    <row r="1904" spans="1:22" x14ac:dyDescent="0.3">
      <c r="A1904" t="s">
        <v>3307</v>
      </c>
      <c r="B1904" s="2">
        <v>46108</v>
      </c>
      <c r="C1904" t="s">
        <v>617</v>
      </c>
      <c r="D1904" t="s">
        <v>70</v>
      </c>
      <c r="E1904" t="s">
        <v>129</v>
      </c>
      <c r="F1904">
        <v>2</v>
      </c>
      <c r="G1904">
        <v>0.15</v>
      </c>
      <c r="H1904">
        <v>93500</v>
      </c>
      <c r="I1904">
        <v>8310.27</v>
      </c>
      <c r="J1904" t="s">
        <v>51</v>
      </c>
      <c r="K1904" t="s">
        <v>27</v>
      </c>
      <c r="L1904">
        <v>46750</v>
      </c>
      <c r="M1904">
        <v>8.8879893048128356</v>
      </c>
      <c r="N1904" t="s">
        <v>8</v>
      </c>
      <c r="O1904" t="s">
        <v>618</v>
      </c>
      <c r="P1904" t="s">
        <v>83</v>
      </c>
      <c r="Q1904" t="s">
        <v>30</v>
      </c>
      <c r="R1904" t="s">
        <v>98</v>
      </c>
      <c r="S1904" t="s">
        <v>54</v>
      </c>
      <c r="T1904" t="s">
        <v>619</v>
      </c>
      <c r="U1904" t="s">
        <v>100</v>
      </c>
      <c r="V1904">
        <v>4155.1350000000002</v>
      </c>
    </row>
    <row r="1905" spans="1:22" x14ac:dyDescent="0.3">
      <c r="A1905" t="s">
        <v>3308</v>
      </c>
      <c r="B1905" s="2">
        <v>46241</v>
      </c>
      <c r="C1905" t="s">
        <v>156</v>
      </c>
      <c r="D1905" t="s">
        <v>70</v>
      </c>
      <c r="E1905" t="s">
        <v>129</v>
      </c>
      <c r="F1905">
        <v>1</v>
      </c>
      <c r="G1905">
        <v>0.3</v>
      </c>
      <c r="H1905">
        <v>38500</v>
      </c>
      <c r="I1905">
        <v>-284.5</v>
      </c>
      <c r="J1905" t="s">
        <v>26</v>
      </c>
      <c r="K1905" t="s">
        <v>27</v>
      </c>
      <c r="L1905">
        <v>38500</v>
      </c>
      <c r="M1905">
        <v>-0.73896103896103893</v>
      </c>
      <c r="N1905" t="s">
        <v>81</v>
      </c>
      <c r="O1905" t="s">
        <v>157</v>
      </c>
      <c r="P1905" t="s">
        <v>83</v>
      </c>
      <c r="Q1905" t="s">
        <v>30</v>
      </c>
      <c r="R1905" t="s">
        <v>31</v>
      </c>
      <c r="S1905" t="s">
        <v>32</v>
      </c>
      <c r="T1905" t="s">
        <v>158</v>
      </c>
      <c r="U1905" t="s">
        <v>34</v>
      </c>
      <c r="V1905">
        <v>-284.5</v>
      </c>
    </row>
    <row r="1906" spans="1:22" x14ac:dyDescent="0.3">
      <c r="A1906" t="s">
        <v>3309</v>
      </c>
      <c r="B1906" s="2">
        <v>45952</v>
      </c>
      <c r="C1906" t="s">
        <v>1017</v>
      </c>
      <c r="D1906" t="s">
        <v>49</v>
      </c>
      <c r="E1906" t="s">
        <v>119</v>
      </c>
      <c r="F1906">
        <v>2</v>
      </c>
      <c r="G1906">
        <v>0.2</v>
      </c>
      <c r="H1906">
        <v>14400</v>
      </c>
      <c r="I1906">
        <v>2721.22</v>
      </c>
      <c r="J1906" t="s">
        <v>26</v>
      </c>
      <c r="K1906" t="s">
        <v>40</v>
      </c>
      <c r="L1906">
        <v>7200</v>
      </c>
      <c r="M1906">
        <v>18.89736111111111</v>
      </c>
      <c r="N1906" t="s">
        <v>8</v>
      </c>
      <c r="O1906" t="s">
        <v>1018</v>
      </c>
      <c r="P1906" t="s">
        <v>83</v>
      </c>
      <c r="Q1906" t="s">
        <v>30</v>
      </c>
      <c r="R1906" t="s">
        <v>98</v>
      </c>
      <c r="S1906" t="s">
        <v>54</v>
      </c>
      <c r="T1906" t="s">
        <v>1019</v>
      </c>
      <c r="U1906" t="s">
        <v>46</v>
      </c>
      <c r="V1906">
        <v>1360.61</v>
      </c>
    </row>
    <row r="1907" spans="1:22" x14ac:dyDescent="0.3">
      <c r="A1907" t="s">
        <v>3310</v>
      </c>
      <c r="B1907" s="2">
        <v>46178</v>
      </c>
      <c r="C1907" t="s">
        <v>473</v>
      </c>
      <c r="D1907" t="s">
        <v>24</v>
      </c>
      <c r="E1907" t="s">
        <v>87</v>
      </c>
      <c r="F1907">
        <v>1</v>
      </c>
      <c r="G1907">
        <v>0.1</v>
      </c>
      <c r="H1907">
        <v>315</v>
      </c>
      <c r="I1907">
        <v>96.03</v>
      </c>
      <c r="J1907" t="s">
        <v>65</v>
      </c>
      <c r="K1907" t="s">
        <v>40</v>
      </c>
      <c r="L1907">
        <v>315</v>
      </c>
      <c r="M1907">
        <v>30.485714285714291</v>
      </c>
      <c r="N1907" t="s">
        <v>8</v>
      </c>
      <c r="O1907" t="s">
        <v>474</v>
      </c>
      <c r="P1907" t="s">
        <v>73</v>
      </c>
      <c r="Q1907" t="s">
        <v>131</v>
      </c>
      <c r="R1907" t="s">
        <v>289</v>
      </c>
      <c r="S1907" t="s">
        <v>290</v>
      </c>
      <c r="T1907" t="s">
        <v>475</v>
      </c>
      <c r="U1907" t="s">
        <v>46</v>
      </c>
      <c r="V1907">
        <v>96.03</v>
      </c>
    </row>
    <row r="1908" spans="1:22" x14ac:dyDescent="0.3">
      <c r="A1908" t="s">
        <v>3311</v>
      </c>
      <c r="B1908" s="2">
        <v>45895</v>
      </c>
      <c r="C1908" t="s">
        <v>1809</v>
      </c>
      <c r="D1908" t="s">
        <v>49</v>
      </c>
      <c r="E1908" t="s">
        <v>50</v>
      </c>
      <c r="F1908">
        <v>5</v>
      </c>
      <c r="G1908">
        <v>0.05</v>
      </c>
      <c r="H1908">
        <v>61750</v>
      </c>
      <c r="I1908">
        <v>13470.77</v>
      </c>
      <c r="J1908" t="s">
        <v>51</v>
      </c>
      <c r="K1908" t="s">
        <v>40</v>
      </c>
      <c r="L1908">
        <v>12350</v>
      </c>
      <c r="M1908">
        <v>21.815012145748991</v>
      </c>
      <c r="N1908" t="s">
        <v>8</v>
      </c>
      <c r="O1908" t="s">
        <v>730</v>
      </c>
      <c r="P1908" t="s">
        <v>29</v>
      </c>
      <c r="Q1908" t="s">
        <v>74</v>
      </c>
      <c r="R1908" t="s">
        <v>115</v>
      </c>
      <c r="S1908" t="s">
        <v>115</v>
      </c>
      <c r="T1908" t="s">
        <v>1203</v>
      </c>
      <c r="U1908" t="s">
        <v>46</v>
      </c>
      <c r="V1908">
        <v>2694.154</v>
      </c>
    </row>
    <row r="1909" spans="1:22" x14ac:dyDescent="0.3">
      <c r="A1909" t="s">
        <v>3312</v>
      </c>
      <c r="B1909" s="2">
        <v>46187</v>
      </c>
      <c r="C1909" t="s">
        <v>3313</v>
      </c>
      <c r="D1909" t="s">
        <v>24</v>
      </c>
      <c r="E1909" t="s">
        <v>242</v>
      </c>
      <c r="F1909">
        <v>2</v>
      </c>
      <c r="G1909">
        <v>0.1</v>
      </c>
      <c r="H1909">
        <v>810</v>
      </c>
      <c r="I1909">
        <v>144.13999999999999</v>
      </c>
      <c r="J1909" t="s">
        <v>39</v>
      </c>
      <c r="K1909" t="s">
        <v>40</v>
      </c>
      <c r="L1909">
        <v>405</v>
      </c>
      <c r="M1909">
        <v>17.795061728395059</v>
      </c>
      <c r="N1909" t="s">
        <v>8</v>
      </c>
      <c r="O1909" t="s">
        <v>3314</v>
      </c>
      <c r="P1909" t="s">
        <v>29</v>
      </c>
      <c r="Q1909" t="s">
        <v>42</v>
      </c>
      <c r="R1909" t="s">
        <v>121</v>
      </c>
      <c r="S1909" t="s">
        <v>44</v>
      </c>
      <c r="T1909" t="s">
        <v>3315</v>
      </c>
      <c r="U1909" t="s">
        <v>105</v>
      </c>
      <c r="V1909">
        <v>72.069999999999993</v>
      </c>
    </row>
    <row r="1910" spans="1:22" x14ac:dyDescent="0.3">
      <c r="A1910" t="s">
        <v>3316</v>
      </c>
      <c r="B1910" s="2">
        <v>46051</v>
      </c>
      <c r="C1910" t="s">
        <v>570</v>
      </c>
      <c r="D1910" t="s">
        <v>24</v>
      </c>
      <c r="E1910" t="s">
        <v>87</v>
      </c>
      <c r="F1910">
        <v>1</v>
      </c>
      <c r="G1910">
        <v>0.1</v>
      </c>
      <c r="H1910">
        <v>315</v>
      </c>
      <c r="I1910">
        <v>104.1</v>
      </c>
      <c r="J1910" t="s">
        <v>65</v>
      </c>
      <c r="K1910" t="s">
        <v>40</v>
      </c>
      <c r="L1910">
        <v>315</v>
      </c>
      <c r="M1910">
        <v>33.047619047619051</v>
      </c>
      <c r="N1910" t="s">
        <v>8</v>
      </c>
      <c r="O1910" t="s">
        <v>571</v>
      </c>
      <c r="P1910" t="s">
        <v>29</v>
      </c>
      <c r="Q1910" t="s">
        <v>30</v>
      </c>
      <c r="R1910" t="s">
        <v>31</v>
      </c>
      <c r="S1910" t="s">
        <v>32</v>
      </c>
      <c r="T1910" t="s">
        <v>572</v>
      </c>
      <c r="U1910" t="s">
        <v>100</v>
      </c>
      <c r="V1910">
        <v>104.1</v>
      </c>
    </row>
    <row r="1911" spans="1:22" x14ac:dyDescent="0.3">
      <c r="A1911" t="s">
        <v>3317</v>
      </c>
      <c r="B1911" s="2">
        <v>45905</v>
      </c>
      <c r="C1911" t="s">
        <v>1008</v>
      </c>
      <c r="D1911" t="s">
        <v>24</v>
      </c>
      <c r="E1911" t="s">
        <v>25</v>
      </c>
      <c r="F1911">
        <v>1</v>
      </c>
      <c r="G1911">
        <v>0.05</v>
      </c>
      <c r="H1911">
        <v>13300</v>
      </c>
      <c r="I1911">
        <v>-2874.6</v>
      </c>
      <c r="J1911" t="s">
        <v>65</v>
      </c>
      <c r="K1911" t="s">
        <v>434</v>
      </c>
      <c r="L1911">
        <v>13300</v>
      </c>
      <c r="M1911">
        <v>-21.61353383458647</v>
      </c>
      <c r="N1911" t="s">
        <v>81</v>
      </c>
      <c r="O1911" t="s">
        <v>1009</v>
      </c>
      <c r="P1911" t="s">
        <v>83</v>
      </c>
      <c r="Q1911" t="s">
        <v>42</v>
      </c>
      <c r="R1911" t="s">
        <v>214</v>
      </c>
      <c r="S1911" t="s">
        <v>111</v>
      </c>
      <c r="T1911" t="s">
        <v>848</v>
      </c>
      <c r="U1911" t="s">
        <v>100</v>
      </c>
      <c r="V1911">
        <v>-2874.6</v>
      </c>
    </row>
    <row r="1912" spans="1:22" x14ac:dyDescent="0.3">
      <c r="A1912" t="s">
        <v>3318</v>
      </c>
      <c r="B1912" s="2">
        <v>46232</v>
      </c>
      <c r="C1912" t="s">
        <v>529</v>
      </c>
      <c r="D1912" t="s">
        <v>24</v>
      </c>
      <c r="E1912" t="s">
        <v>25</v>
      </c>
      <c r="F1912">
        <v>3</v>
      </c>
      <c r="G1912">
        <v>0</v>
      </c>
      <c r="H1912">
        <v>42000</v>
      </c>
      <c r="I1912">
        <v>8400</v>
      </c>
      <c r="J1912" t="s">
        <v>39</v>
      </c>
      <c r="K1912" t="s">
        <v>40</v>
      </c>
      <c r="L1912">
        <v>14000</v>
      </c>
      <c r="M1912">
        <v>20</v>
      </c>
      <c r="N1912" t="s">
        <v>8</v>
      </c>
      <c r="O1912" t="s">
        <v>530</v>
      </c>
      <c r="P1912" t="s">
        <v>29</v>
      </c>
      <c r="Q1912" t="s">
        <v>30</v>
      </c>
      <c r="R1912" t="s">
        <v>98</v>
      </c>
      <c r="S1912" t="s">
        <v>54</v>
      </c>
      <c r="T1912" t="s">
        <v>531</v>
      </c>
      <c r="U1912" t="s">
        <v>105</v>
      </c>
      <c r="V1912">
        <v>2800</v>
      </c>
    </row>
    <row r="1913" spans="1:22" x14ac:dyDescent="0.3">
      <c r="A1913" t="s">
        <v>3319</v>
      </c>
      <c r="B1913" s="2">
        <v>45843</v>
      </c>
      <c r="C1913" t="s">
        <v>481</v>
      </c>
      <c r="D1913" t="s">
        <v>49</v>
      </c>
      <c r="E1913" t="s">
        <v>119</v>
      </c>
      <c r="F1913">
        <v>2</v>
      </c>
      <c r="G1913">
        <v>0.15</v>
      </c>
      <c r="H1913">
        <v>15300</v>
      </c>
      <c r="I1913">
        <v>2526.0100000000002</v>
      </c>
      <c r="J1913" t="s">
        <v>51</v>
      </c>
      <c r="K1913" t="s">
        <v>40</v>
      </c>
      <c r="L1913">
        <v>7650</v>
      </c>
      <c r="M1913">
        <v>16.509869281045749</v>
      </c>
      <c r="N1913" t="s">
        <v>8</v>
      </c>
      <c r="O1913" t="s">
        <v>482</v>
      </c>
      <c r="P1913" t="s">
        <v>83</v>
      </c>
      <c r="Q1913" t="s">
        <v>30</v>
      </c>
      <c r="R1913" t="s">
        <v>31</v>
      </c>
      <c r="S1913" t="s">
        <v>32</v>
      </c>
      <c r="T1913" t="s">
        <v>483</v>
      </c>
      <c r="U1913" t="s">
        <v>46</v>
      </c>
      <c r="V1913">
        <v>1263.0050000000001</v>
      </c>
    </row>
    <row r="1914" spans="1:22" x14ac:dyDescent="0.3">
      <c r="A1914" t="s">
        <v>3320</v>
      </c>
      <c r="B1914" s="2">
        <v>46161</v>
      </c>
      <c r="C1914" t="s">
        <v>1398</v>
      </c>
      <c r="D1914" t="s">
        <v>70</v>
      </c>
      <c r="E1914" t="s">
        <v>165</v>
      </c>
      <c r="F1914">
        <v>3</v>
      </c>
      <c r="G1914">
        <v>0.05</v>
      </c>
      <c r="H1914">
        <v>7125</v>
      </c>
      <c r="I1914">
        <v>2095.77</v>
      </c>
      <c r="J1914" t="s">
        <v>39</v>
      </c>
      <c r="K1914" t="s">
        <v>40</v>
      </c>
      <c r="L1914">
        <v>2375</v>
      </c>
      <c r="M1914">
        <v>29.41431578947368</v>
      </c>
      <c r="N1914" t="s">
        <v>8</v>
      </c>
      <c r="O1914" t="s">
        <v>153</v>
      </c>
      <c r="P1914" t="s">
        <v>83</v>
      </c>
      <c r="Q1914" t="s">
        <v>30</v>
      </c>
      <c r="R1914" t="s">
        <v>53</v>
      </c>
      <c r="S1914" t="s">
        <v>54</v>
      </c>
      <c r="T1914" t="s">
        <v>734</v>
      </c>
      <c r="U1914" t="s">
        <v>46</v>
      </c>
      <c r="V1914">
        <v>698.59</v>
      </c>
    </row>
    <row r="1915" spans="1:22" x14ac:dyDescent="0.3">
      <c r="A1915" t="s">
        <v>3321</v>
      </c>
      <c r="B1915" s="2">
        <v>46180</v>
      </c>
      <c r="C1915" t="s">
        <v>1036</v>
      </c>
      <c r="D1915" t="s">
        <v>49</v>
      </c>
      <c r="E1915" t="s">
        <v>58</v>
      </c>
      <c r="F1915">
        <v>2</v>
      </c>
      <c r="G1915">
        <v>0.1</v>
      </c>
      <c r="H1915">
        <v>27000</v>
      </c>
      <c r="I1915">
        <v>5020.2700000000004</v>
      </c>
      <c r="J1915" t="s">
        <v>51</v>
      </c>
      <c r="K1915" t="s">
        <v>40</v>
      </c>
      <c r="L1915">
        <v>13500</v>
      </c>
      <c r="M1915">
        <v>18.5935925925926</v>
      </c>
      <c r="N1915" t="s">
        <v>8</v>
      </c>
      <c r="O1915" t="s">
        <v>149</v>
      </c>
      <c r="P1915" t="s">
        <v>83</v>
      </c>
      <c r="Q1915" t="s">
        <v>30</v>
      </c>
      <c r="R1915" t="s">
        <v>53</v>
      </c>
      <c r="S1915" t="s">
        <v>54</v>
      </c>
      <c r="T1915" t="s">
        <v>1037</v>
      </c>
      <c r="U1915" t="s">
        <v>46</v>
      </c>
      <c r="V1915">
        <v>2510.1350000000002</v>
      </c>
    </row>
    <row r="1916" spans="1:22" x14ac:dyDescent="0.3">
      <c r="A1916" t="s">
        <v>3322</v>
      </c>
      <c r="B1916" s="2">
        <v>46112</v>
      </c>
      <c r="C1916" t="s">
        <v>488</v>
      </c>
      <c r="D1916" t="s">
        <v>37</v>
      </c>
      <c r="E1916" t="s">
        <v>38</v>
      </c>
      <c r="F1916">
        <v>2</v>
      </c>
      <c r="G1916">
        <v>0.15</v>
      </c>
      <c r="H1916">
        <v>3060</v>
      </c>
      <c r="I1916">
        <v>1053.27</v>
      </c>
      <c r="J1916" t="s">
        <v>26</v>
      </c>
      <c r="K1916" t="s">
        <v>40</v>
      </c>
      <c r="L1916">
        <v>1530</v>
      </c>
      <c r="M1916">
        <v>34.420588235294119</v>
      </c>
      <c r="N1916" t="s">
        <v>8</v>
      </c>
      <c r="O1916" t="s">
        <v>398</v>
      </c>
      <c r="P1916" t="s">
        <v>29</v>
      </c>
      <c r="Q1916" t="s">
        <v>30</v>
      </c>
      <c r="R1916" t="s">
        <v>60</v>
      </c>
      <c r="S1916" t="s">
        <v>61</v>
      </c>
      <c r="T1916" t="s">
        <v>489</v>
      </c>
      <c r="U1916" t="s">
        <v>105</v>
      </c>
      <c r="V1916">
        <v>526.63499999999999</v>
      </c>
    </row>
    <row r="1917" spans="1:22" x14ac:dyDescent="0.3">
      <c r="A1917" t="s">
        <v>3323</v>
      </c>
      <c r="B1917" s="2">
        <v>46246</v>
      </c>
      <c r="C1917" t="s">
        <v>344</v>
      </c>
      <c r="D1917" t="s">
        <v>24</v>
      </c>
      <c r="E1917" t="s">
        <v>242</v>
      </c>
      <c r="F1917">
        <v>5</v>
      </c>
      <c r="G1917">
        <v>0.3</v>
      </c>
      <c r="H1917">
        <v>1575</v>
      </c>
      <c r="I1917">
        <v>-6.26</v>
      </c>
      <c r="J1917" t="s">
        <v>39</v>
      </c>
      <c r="K1917" t="s">
        <v>40</v>
      </c>
      <c r="L1917">
        <v>315</v>
      </c>
      <c r="M1917">
        <v>-0.3974603174603174</v>
      </c>
      <c r="N1917" t="s">
        <v>81</v>
      </c>
      <c r="O1917" t="s">
        <v>345</v>
      </c>
      <c r="P1917" t="s">
        <v>29</v>
      </c>
      <c r="Q1917" t="s">
        <v>74</v>
      </c>
      <c r="R1917" t="s">
        <v>115</v>
      </c>
      <c r="S1917" t="s">
        <v>115</v>
      </c>
      <c r="T1917" t="s">
        <v>346</v>
      </c>
      <c r="U1917" t="s">
        <v>46</v>
      </c>
      <c r="V1917">
        <v>-1.252</v>
      </c>
    </row>
    <row r="1918" spans="1:22" x14ac:dyDescent="0.3">
      <c r="A1918" t="s">
        <v>3324</v>
      </c>
      <c r="B1918" s="2">
        <v>46045</v>
      </c>
      <c r="C1918" t="s">
        <v>525</v>
      </c>
      <c r="D1918" t="s">
        <v>49</v>
      </c>
      <c r="E1918" t="s">
        <v>79</v>
      </c>
      <c r="F1918">
        <v>4</v>
      </c>
      <c r="G1918">
        <v>0</v>
      </c>
      <c r="H1918">
        <v>44000</v>
      </c>
      <c r="I1918">
        <v>10400</v>
      </c>
      <c r="J1918" t="s">
        <v>26</v>
      </c>
      <c r="K1918" t="s">
        <v>40</v>
      </c>
      <c r="L1918">
        <v>11000</v>
      </c>
      <c r="M1918">
        <v>23.63636363636364</v>
      </c>
      <c r="N1918" t="s">
        <v>8</v>
      </c>
      <c r="O1918" t="s">
        <v>526</v>
      </c>
      <c r="P1918" t="s">
        <v>29</v>
      </c>
      <c r="Q1918" t="s">
        <v>30</v>
      </c>
      <c r="R1918" t="s">
        <v>98</v>
      </c>
      <c r="S1918" t="s">
        <v>54</v>
      </c>
      <c r="T1918" t="s">
        <v>527</v>
      </c>
      <c r="U1918" t="s">
        <v>34</v>
      </c>
      <c r="V1918">
        <v>2600</v>
      </c>
    </row>
    <row r="1919" spans="1:22" x14ac:dyDescent="0.3">
      <c r="A1919" t="s">
        <v>3325</v>
      </c>
      <c r="B1919" s="2">
        <v>46058</v>
      </c>
      <c r="C1919" t="s">
        <v>3203</v>
      </c>
      <c r="D1919" t="s">
        <v>24</v>
      </c>
      <c r="E1919" t="s">
        <v>87</v>
      </c>
      <c r="F1919">
        <v>1</v>
      </c>
      <c r="G1919">
        <v>0.05</v>
      </c>
      <c r="H1919">
        <v>332.5</v>
      </c>
      <c r="I1919">
        <v>-90.83</v>
      </c>
      <c r="J1919" t="s">
        <v>65</v>
      </c>
      <c r="K1919" t="s">
        <v>80</v>
      </c>
      <c r="L1919">
        <v>332.5</v>
      </c>
      <c r="M1919">
        <v>-27.317293233082712</v>
      </c>
      <c r="N1919" t="s">
        <v>81</v>
      </c>
      <c r="O1919" t="s">
        <v>1353</v>
      </c>
      <c r="P1919" t="s">
        <v>83</v>
      </c>
      <c r="Q1919" t="s">
        <v>74</v>
      </c>
      <c r="R1919" t="s">
        <v>75</v>
      </c>
      <c r="S1919" t="s">
        <v>75</v>
      </c>
      <c r="T1919" t="s">
        <v>3204</v>
      </c>
      <c r="U1919" t="s">
        <v>46</v>
      </c>
      <c r="V1919">
        <v>-90.83</v>
      </c>
    </row>
    <row r="1920" spans="1:22" x14ac:dyDescent="0.3">
      <c r="A1920" t="s">
        <v>3326</v>
      </c>
      <c r="B1920" s="2">
        <v>46128</v>
      </c>
      <c r="C1920" t="s">
        <v>3327</v>
      </c>
      <c r="D1920" t="s">
        <v>24</v>
      </c>
      <c r="E1920" t="s">
        <v>87</v>
      </c>
      <c r="F1920">
        <v>6</v>
      </c>
      <c r="G1920">
        <v>0.2</v>
      </c>
      <c r="H1920">
        <v>1680</v>
      </c>
      <c r="I1920">
        <v>530.21</v>
      </c>
      <c r="J1920" t="s">
        <v>51</v>
      </c>
      <c r="K1920" t="s">
        <v>40</v>
      </c>
      <c r="L1920">
        <v>280</v>
      </c>
      <c r="M1920">
        <v>31.56011904761905</v>
      </c>
      <c r="N1920" t="s">
        <v>8</v>
      </c>
      <c r="O1920" t="s">
        <v>3328</v>
      </c>
      <c r="P1920" t="s">
        <v>29</v>
      </c>
      <c r="Q1920" t="s">
        <v>74</v>
      </c>
      <c r="R1920" t="s">
        <v>115</v>
      </c>
      <c r="S1920" t="s">
        <v>115</v>
      </c>
      <c r="T1920" t="s">
        <v>184</v>
      </c>
      <c r="U1920" t="s">
        <v>34</v>
      </c>
      <c r="V1920">
        <v>88.368333333333339</v>
      </c>
    </row>
    <row r="1921" spans="1:22" x14ac:dyDescent="0.3">
      <c r="A1921" t="s">
        <v>3329</v>
      </c>
      <c r="B1921" s="2">
        <v>46213</v>
      </c>
      <c r="C1921" t="s">
        <v>1782</v>
      </c>
      <c r="D1921" t="s">
        <v>37</v>
      </c>
      <c r="E1921" t="s">
        <v>310</v>
      </c>
      <c r="F1921">
        <v>5</v>
      </c>
      <c r="G1921">
        <v>0.1</v>
      </c>
      <c r="H1921">
        <v>9900</v>
      </c>
      <c r="I1921">
        <v>3017.6</v>
      </c>
      <c r="J1921" t="s">
        <v>39</v>
      </c>
      <c r="K1921" t="s">
        <v>40</v>
      </c>
      <c r="L1921">
        <v>1980</v>
      </c>
      <c r="M1921">
        <v>30.480808080808082</v>
      </c>
      <c r="N1921" t="s">
        <v>8</v>
      </c>
      <c r="O1921" t="s">
        <v>682</v>
      </c>
      <c r="P1921" t="s">
        <v>73</v>
      </c>
      <c r="Q1921" t="s">
        <v>131</v>
      </c>
      <c r="R1921" t="s">
        <v>200</v>
      </c>
      <c r="S1921" t="s">
        <v>201</v>
      </c>
      <c r="T1921" t="s">
        <v>295</v>
      </c>
      <c r="U1921" t="s">
        <v>34</v>
      </c>
      <c r="V1921">
        <v>603.52</v>
      </c>
    </row>
    <row r="1922" spans="1:22" x14ac:dyDescent="0.3">
      <c r="A1922" t="s">
        <v>3330</v>
      </c>
      <c r="B1922" s="2">
        <v>45845</v>
      </c>
      <c r="C1922" t="s">
        <v>328</v>
      </c>
      <c r="D1922" t="s">
        <v>70</v>
      </c>
      <c r="E1922" t="s">
        <v>71</v>
      </c>
      <c r="F1922">
        <v>6</v>
      </c>
      <c r="G1922">
        <v>0</v>
      </c>
      <c r="H1922">
        <v>108000</v>
      </c>
      <c r="I1922">
        <v>-8859</v>
      </c>
      <c r="J1922" t="s">
        <v>39</v>
      </c>
      <c r="K1922" t="s">
        <v>80</v>
      </c>
      <c r="L1922">
        <v>18000</v>
      </c>
      <c r="M1922">
        <v>-8.2027777777777775</v>
      </c>
      <c r="N1922" t="s">
        <v>81</v>
      </c>
      <c r="O1922" t="s">
        <v>329</v>
      </c>
      <c r="P1922" t="s">
        <v>83</v>
      </c>
      <c r="Q1922" t="s">
        <v>74</v>
      </c>
      <c r="R1922" t="s">
        <v>75</v>
      </c>
      <c r="S1922" t="s">
        <v>75</v>
      </c>
      <c r="T1922" t="s">
        <v>330</v>
      </c>
      <c r="U1922" t="s">
        <v>34</v>
      </c>
      <c r="V1922">
        <v>-1476.5</v>
      </c>
    </row>
    <row r="1923" spans="1:22" x14ac:dyDescent="0.3">
      <c r="A1923" t="s">
        <v>3331</v>
      </c>
      <c r="B1923" s="2">
        <v>45971</v>
      </c>
      <c r="C1923" t="s">
        <v>983</v>
      </c>
      <c r="D1923" t="s">
        <v>49</v>
      </c>
      <c r="E1923" t="s">
        <v>58</v>
      </c>
      <c r="F1923">
        <v>10</v>
      </c>
      <c r="G1923">
        <v>0.1</v>
      </c>
      <c r="H1923">
        <v>135000</v>
      </c>
      <c r="I1923">
        <v>22646.15</v>
      </c>
      <c r="J1923" t="s">
        <v>26</v>
      </c>
      <c r="K1923" t="s">
        <v>40</v>
      </c>
      <c r="L1923">
        <v>13500</v>
      </c>
      <c r="M1923">
        <v>16.774925925925931</v>
      </c>
      <c r="N1923" t="s">
        <v>8</v>
      </c>
      <c r="O1923" t="s">
        <v>984</v>
      </c>
      <c r="P1923" t="s">
        <v>29</v>
      </c>
      <c r="Q1923" t="s">
        <v>30</v>
      </c>
      <c r="R1923" t="s">
        <v>31</v>
      </c>
      <c r="S1923" t="s">
        <v>32</v>
      </c>
      <c r="T1923" t="s">
        <v>985</v>
      </c>
      <c r="U1923" t="s">
        <v>46</v>
      </c>
      <c r="V1923">
        <v>2264.6149999999998</v>
      </c>
    </row>
    <row r="1924" spans="1:22" x14ac:dyDescent="0.3">
      <c r="A1924" t="s">
        <v>3332</v>
      </c>
      <c r="B1924" s="2">
        <v>46040</v>
      </c>
      <c r="C1924" t="s">
        <v>348</v>
      </c>
      <c r="D1924" t="s">
        <v>24</v>
      </c>
      <c r="E1924" t="s">
        <v>25</v>
      </c>
      <c r="F1924">
        <v>3</v>
      </c>
      <c r="G1924">
        <v>0.15</v>
      </c>
      <c r="H1924">
        <v>35700</v>
      </c>
      <c r="I1924">
        <v>3467.11</v>
      </c>
      <c r="J1924" t="s">
        <v>51</v>
      </c>
      <c r="K1924" t="s">
        <v>40</v>
      </c>
      <c r="L1924">
        <v>11900</v>
      </c>
      <c r="M1924">
        <v>9.7117927170868352</v>
      </c>
      <c r="N1924" t="s">
        <v>8</v>
      </c>
      <c r="O1924" t="s">
        <v>349</v>
      </c>
      <c r="P1924" t="s">
        <v>83</v>
      </c>
      <c r="Q1924" t="s">
        <v>30</v>
      </c>
      <c r="R1924" t="s">
        <v>31</v>
      </c>
      <c r="S1924" t="s">
        <v>32</v>
      </c>
      <c r="T1924" t="s">
        <v>307</v>
      </c>
      <c r="U1924" t="s">
        <v>100</v>
      </c>
      <c r="V1924">
        <v>1155.7033333333329</v>
      </c>
    </row>
    <row r="1925" spans="1:22" x14ac:dyDescent="0.3">
      <c r="A1925" t="s">
        <v>3333</v>
      </c>
      <c r="B1925" s="2">
        <v>46173</v>
      </c>
      <c r="C1925" t="s">
        <v>769</v>
      </c>
      <c r="D1925" t="s">
        <v>37</v>
      </c>
      <c r="E1925" t="s">
        <v>170</v>
      </c>
      <c r="F1925">
        <v>4</v>
      </c>
      <c r="G1925">
        <v>0.1</v>
      </c>
      <c r="H1925">
        <v>5040</v>
      </c>
      <c r="I1925">
        <v>1706.54</v>
      </c>
      <c r="J1925" t="s">
        <v>65</v>
      </c>
      <c r="K1925" t="s">
        <v>40</v>
      </c>
      <c r="L1925">
        <v>1260</v>
      </c>
      <c r="M1925">
        <v>33.859920634920627</v>
      </c>
      <c r="N1925" t="s">
        <v>8</v>
      </c>
      <c r="O1925" t="s">
        <v>374</v>
      </c>
      <c r="P1925" t="s">
        <v>29</v>
      </c>
      <c r="Q1925" t="s">
        <v>42</v>
      </c>
      <c r="R1925" t="s">
        <v>121</v>
      </c>
      <c r="S1925" t="s">
        <v>44</v>
      </c>
      <c r="T1925" t="s">
        <v>172</v>
      </c>
      <c r="U1925" t="s">
        <v>46</v>
      </c>
      <c r="V1925">
        <v>426.63499999999999</v>
      </c>
    </row>
    <row r="1926" spans="1:22" x14ac:dyDescent="0.3">
      <c r="A1926" t="s">
        <v>3334</v>
      </c>
      <c r="B1926" s="2">
        <v>45933</v>
      </c>
      <c r="C1926" t="s">
        <v>562</v>
      </c>
      <c r="D1926" t="s">
        <v>70</v>
      </c>
      <c r="E1926" t="s">
        <v>71</v>
      </c>
      <c r="F1926">
        <v>2</v>
      </c>
      <c r="G1926">
        <v>0.05</v>
      </c>
      <c r="H1926">
        <v>34200</v>
      </c>
      <c r="I1926">
        <v>6096.36</v>
      </c>
      <c r="J1926" t="s">
        <v>65</v>
      </c>
      <c r="K1926" t="s">
        <v>40</v>
      </c>
      <c r="L1926">
        <v>17100</v>
      </c>
      <c r="M1926">
        <v>17.825614035087721</v>
      </c>
      <c r="N1926" t="s">
        <v>8</v>
      </c>
      <c r="O1926" t="s">
        <v>563</v>
      </c>
      <c r="P1926" t="s">
        <v>29</v>
      </c>
      <c r="Q1926" t="s">
        <v>30</v>
      </c>
      <c r="R1926" t="s">
        <v>60</v>
      </c>
      <c r="S1926" t="s">
        <v>61</v>
      </c>
      <c r="T1926" t="s">
        <v>564</v>
      </c>
      <c r="U1926" t="s">
        <v>100</v>
      </c>
      <c r="V1926">
        <v>3048.18</v>
      </c>
    </row>
    <row r="1927" spans="1:22" x14ac:dyDescent="0.3">
      <c r="A1927" t="s">
        <v>3335</v>
      </c>
      <c r="B1927" s="2">
        <v>46261</v>
      </c>
      <c r="C1927" t="s">
        <v>1958</v>
      </c>
      <c r="D1927" t="s">
        <v>70</v>
      </c>
      <c r="E1927" t="s">
        <v>108</v>
      </c>
      <c r="F1927">
        <v>6</v>
      </c>
      <c r="G1927">
        <v>0.2</v>
      </c>
      <c r="H1927">
        <v>21600</v>
      </c>
      <c r="I1927">
        <v>5280.85</v>
      </c>
      <c r="J1927" t="s">
        <v>26</v>
      </c>
      <c r="K1927" t="s">
        <v>40</v>
      </c>
      <c r="L1927">
        <v>3600</v>
      </c>
      <c r="M1927">
        <v>24.448379629629631</v>
      </c>
      <c r="N1927" t="s">
        <v>8</v>
      </c>
      <c r="O1927" t="s">
        <v>959</v>
      </c>
      <c r="P1927" t="s">
        <v>29</v>
      </c>
      <c r="Q1927" t="s">
        <v>131</v>
      </c>
      <c r="R1927" t="s">
        <v>289</v>
      </c>
      <c r="S1927" t="s">
        <v>290</v>
      </c>
      <c r="T1927" t="s">
        <v>1959</v>
      </c>
      <c r="U1927" t="s">
        <v>34</v>
      </c>
      <c r="V1927">
        <v>880.14166666666677</v>
      </c>
    </row>
    <row r="1928" spans="1:22" x14ac:dyDescent="0.3">
      <c r="A1928" t="s">
        <v>3336</v>
      </c>
      <c r="B1928" s="2">
        <v>45974</v>
      </c>
      <c r="C1928" t="s">
        <v>1072</v>
      </c>
      <c r="D1928" t="s">
        <v>70</v>
      </c>
      <c r="E1928" t="s">
        <v>71</v>
      </c>
      <c r="F1928">
        <v>1</v>
      </c>
      <c r="G1928">
        <v>0.1</v>
      </c>
      <c r="H1928">
        <v>16200</v>
      </c>
      <c r="I1928">
        <v>2467.92</v>
      </c>
      <c r="J1928" t="s">
        <v>65</v>
      </c>
      <c r="K1928" t="s">
        <v>40</v>
      </c>
      <c r="L1928">
        <v>16200</v>
      </c>
      <c r="M1928">
        <v>15.234074074074069</v>
      </c>
      <c r="N1928" t="s">
        <v>8</v>
      </c>
      <c r="O1928" t="s">
        <v>1073</v>
      </c>
      <c r="P1928" t="s">
        <v>73</v>
      </c>
      <c r="Q1928" t="s">
        <v>30</v>
      </c>
      <c r="R1928" t="s">
        <v>60</v>
      </c>
      <c r="S1928" t="s">
        <v>61</v>
      </c>
      <c r="T1928" t="s">
        <v>1074</v>
      </c>
      <c r="U1928" t="s">
        <v>34</v>
      </c>
      <c r="V1928">
        <v>2467.92</v>
      </c>
    </row>
    <row r="1929" spans="1:22" x14ac:dyDescent="0.3">
      <c r="A1929" t="s">
        <v>3337</v>
      </c>
      <c r="B1929" s="2">
        <v>45924</v>
      </c>
      <c r="C1929" t="s">
        <v>325</v>
      </c>
      <c r="D1929" t="s">
        <v>24</v>
      </c>
      <c r="E1929" t="s">
        <v>87</v>
      </c>
      <c r="F1929">
        <v>4</v>
      </c>
      <c r="G1929">
        <v>0.15</v>
      </c>
      <c r="H1929">
        <v>1190</v>
      </c>
      <c r="I1929">
        <v>318.77999999999997</v>
      </c>
      <c r="J1929" t="s">
        <v>39</v>
      </c>
      <c r="K1929" t="s">
        <v>40</v>
      </c>
      <c r="L1929">
        <v>297.5</v>
      </c>
      <c r="M1929">
        <v>26.788235294117651</v>
      </c>
      <c r="N1929" t="s">
        <v>8</v>
      </c>
      <c r="O1929" t="s">
        <v>247</v>
      </c>
      <c r="P1929" t="s">
        <v>83</v>
      </c>
      <c r="Q1929" t="s">
        <v>42</v>
      </c>
      <c r="R1929" t="s">
        <v>43</v>
      </c>
      <c r="S1929" t="s">
        <v>44</v>
      </c>
      <c r="T1929" t="s">
        <v>326</v>
      </c>
      <c r="U1929" t="s">
        <v>46</v>
      </c>
      <c r="V1929">
        <v>79.694999999999993</v>
      </c>
    </row>
    <row r="1930" spans="1:22" x14ac:dyDescent="0.3">
      <c r="A1930" t="s">
        <v>3338</v>
      </c>
      <c r="B1930" s="2">
        <v>46221</v>
      </c>
      <c r="C1930" t="s">
        <v>522</v>
      </c>
      <c r="D1930" t="s">
        <v>37</v>
      </c>
      <c r="E1930" t="s">
        <v>310</v>
      </c>
      <c r="F1930">
        <v>3</v>
      </c>
      <c r="G1930">
        <v>0.15</v>
      </c>
      <c r="H1930">
        <v>5610</v>
      </c>
      <c r="I1930">
        <v>1546.87</v>
      </c>
      <c r="J1930" t="s">
        <v>39</v>
      </c>
      <c r="K1930" t="s">
        <v>40</v>
      </c>
      <c r="L1930">
        <v>1870</v>
      </c>
      <c r="M1930">
        <v>27.573440285204988</v>
      </c>
      <c r="N1930" t="s">
        <v>8</v>
      </c>
      <c r="O1930" t="s">
        <v>523</v>
      </c>
      <c r="P1930" t="s">
        <v>73</v>
      </c>
      <c r="Q1930" t="s">
        <v>30</v>
      </c>
      <c r="R1930" t="s">
        <v>98</v>
      </c>
      <c r="S1930" t="s">
        <v>54</v>
      </c>
      <c r="T1930" t="s">
        <v>62</v>
      </c>
      <c r="U1930" t="s">
        <v>46</v>
      </c>
      <c r="V1930">
        <v>515.62333333333333</v>
      </c>
    </row>
    <row r="1931" spans="1:22" x14ac:dyDescent="0.3">
      <c r="A1931" t="s">
        <v>3339</v>
      </c>
      <c r="B1931" s="2">
        <v>46059</v>
      </c>
      <c r="C1931" t="s">
        <v>891</v>
      </c>
      <c r="D1931" t="s">
        <v>70</v>
      </c>
      <c r="E1931" t="s">
        <v>165</v>
      </c>
      <c r="F1931">
        <v>2</v>
      </c>
      <c r="G1931">
        <v>0.2</v>
      </c>
      <c r="H1931">
        <v>4000</v>
      </c>
      <c r="I1931">
        <v>967.03</v>
      </c>
      <c r="J1931" t="s">
        <v>65</v>
      </c>
      <c r="K1931" t="s">
        <v>40</v>
      </c>
      <c r="L1931">
        <v>2000</v>
      </c>
      <c r="M1931">
        <v>24.175750000000001</v>
      </c>
      <c r="N1931" t="s">
        <v>8</v>
      </c>
      <c r="O1931" t="s">
        <v>892</v>
      </c>
      <c r="P1931" t="s">
        <v>29</v>
      </c>
      <c r="Q1931" t="s">
        <v>30</v>
      </c>
      <c r="R1931" t="s">
        <v>31</v>
      </c>
      <c r="S1931" t="s">
        <v>32</v>
      </c>
      <c r="T1931" t="s">
        <v>893</v>
      </c>
      <c r="U1931" t="s">
        <v>34</v>
      </c>
      <c r="V1931">
        <v>483.51499999999999</v>
      </c>
    </row>
    <row r="1932" spans="1:22" x14ac:dyDescent="0.3">
      <c r="A1932" t="s">
        <v>3340</v>
      </c>
      <c r="B1932" s="2">
        <v>46018</v>
      </c>
      <c r="C1932" t="s">
        <v>1236</v>
      </c>
      <c r="D1932" t="s">
        <v>49</v>
      </c>
      <c r="E1932" t="s">
        <v>50</v>
      </c>
      <c r="F1932">
        <v>5</v>
      </c>
      <c r="G1932">
        <v>0.05</v>
      </c>
      <c r="H1932">
        <v>61750</v>
      </c>
      <c r="I1932">
        <v>13953.42</v>
      </c>
      <c r="J1932" t="s">
        <v>65</v>
      </c>
      <c r="K1932" t="s">
        <v>40</v>
      </c>
      <c r="L1932">
        <v>12350</v>
      </c>
      <c r="M1932">
        <v>22.59663157894737</v>
      </c>
      <c r="N1932" t="s">
        <v>8</v>
      </c>
      <c r="O1932" t="s">
        <v>1237</v>
      </c>
      <c r="P1932" t="s">
        <v>29</v>
      </c>
      <c r="Q1932" t="s">
        <v>74</v>
      </c>
      <c r="R1932" t="s">
        <v>493</v>
      </c>
      <c r="S1932" t="s">
        <v>494</v>
      </c>
      <c r="T1932" t="s">
        <v>679</v>
      </c>
      <c r="U1932" t="s">
        <v>46</v>
      </c>
      <c r="V1932">
        <v>2790.6840000000002</v>
      </c>
    </row>
    <row r="1933" spans="1:22" x14ac:dyDescent="0.3">
      <c r="A1933" t="s">
        <v>3341</v>
      </c>
      <c r="B1933" s="2">
        <v>45986</v>
      </c>
      <c r="C1933" t="s">
        <v>1578</v>
      </c>
      <c r="D1933" t="s">
        <v>70</v>
      </c>
      <c r="E1933" t="s">
        <v>165</v>
      </c>
      <c r="F1933">
        <v>2</v>
      </c>
      <c r="G1933">
        <v>0.2</v>
      </c>
      <c r="H1933">
        <v>4000</v>
      </c>
      <c r="I1933">
        <v>1144.45</v>
      </c>
      <c r="J1933" t="s">
        <v>39</v>
      </c>
      <c r="K1933" t="s">
        <v>40</v>
      </c>
      <c r="L1933">
        <v>2000</v>
      </c>
      <c r="M1933">
        <v>28.611249999999998</v>
      </c>
      <c r="N1933" t="s">
        <v>8</v>
      </c>
      <c r="O1933" t="s">
        <v>1579</v>
      </c>
      <c r="P1933" t="s">
        <v>29</v>
      </c>
      <c r="Q1933" t="s">
        <v>74</v>
      </c>
      <c r="R1933" t="s">
        <v>115</v>
      </c>
      <c r="S1933" t="s">
        <v>115</v>
      </c>
      <c r="T1933" t="s">
        <v>1580</v>
      </c>
      <c r="U1933" t="s">
        <v>100</v>
      </c>
      <c r="V1933">
        <v>572.22500000000002</v>
      </c>
    </row>
    <row r="1934" spans="1:22" x14ac:dyDescent="0.3">
      <c r="A1934" t="s">
        <v>3342</v>
      </c>
      <c r="B1934" s="2">
        <v>46088</v>
      </c>
      <c r="C1934" t="s">
        <v>1377</v>
      </c>
      <c r="D1934" t="s">
        <v>70</v>
      </c>
      <c r="E1934" t="s">
        <v>71</v>
      </c>
      <c r="F1934">
        <v>3</v>
      </c>
      <c r="G1934">
        <v>0.1</v>
      </c>
      <c r="H1934">
        <v>48600</v>
      </c>
      <c r="I1934">
        <v>7683.56</v>
      </c>
      <c r="J1934" t="s">
        <v>26</v>
      </c>
      <c r="K1934" t="s">
        <v>40</v>
      </c>
      <c r="L1934">
        <v>16200</v>
      </c>
      <c r="M1934">
        <v>15.80979423868313</v>
      </c>
      <c r="N1934" t="s">
        <v>8</v>
      </c>
      <c r="O1934" t="s">
        <v>1378</v>
      </c>
      <c r="P1934" t="s">
        <v>29</v>
      </c>
      <c r="Q1934" t="s">
        <v>30</v>
      </c>
      <c r="R1934" t="s">
        <v>53</v>
      </c>
      <c r="S1934" t="s">
        <v>54</v>
      </c>
      <c r="T1934" t="s">
        <v>1379</v>
      </c>
      <c r="U1934" t="s">
        <v>100</v>
      </c>
      <c r="V1934">
        <v>2561.186666666667</v>
      </c>
    </row>
    <row r="1935" spans="1:22" x14ac:dyDescent="0.3">
      <c r="A1935" t="s">
        <v>3343</v>
      </c>
      <c r="B1935" s="2">
        <v>46033</v>
      </c>
      <c r="C1935" t="s">
        <v>385</v>
      </c>
      <c r="D1935" t="s">
        <v>24</v>
      </c>
      <c r="E1935" t="s">
        <v>92</v>
      </c>
      <c r="F1935">
        <v>3</v>
      </c>
      <c r="G1935">
        <v>0.05</v>
      </c>
      <c r="H1935">
        <v>2565</v>
      </c>
      <c r="I1935">
        <v>739.86</v>
      </c>
      <c r="J1935" t="s">
        <v>51</v>
      </c>
      <c r="K1935" t="s">
        <v>40</v>
      </c>
      <c r="L1935">
        <v>855</v>
      </c>
      <c r="M1935">
        <v>28.844444444444441</v>
      </c>
      <c r="N1935" t="s">
        <v>8</v>
      </c>
      <c r="O1935" t="s">
        <v>386</v>
      </c>
      <c r="P1935" t="s">
        <v>29</v>
      </c>
      <c r="Q1935" t="s">
        <v>30</v>
      </c>
      <c r="R1935" t="s">
        <v>60</v>
      </c>
      <c r="S1935" t="s">
        <v>61</v>
      </c>
      <c r="T1935" t="s">
        <v>387</v>
      </c>
      <c r="U1935" t="s">
        <v>100</v>
      </c>
      <c r="V1935">
        <v>246.62</v>
      </c>
    </row>
    <row r="1936" spans="1:22" x14ac:dyDescent="0.3">
      <c r="A1936" t="s">
        <v>3344</v>
      </c>
      <c r="B1936" s="2">
        <v>45865</v>
      </c>
      <c r="C1936" t="s">
        <v>1106</v>
      </c>
      <c r="D1936" t="s">
        <v>70</v>
      </c>
      <c r="E1936" t="s">
        <v>165</v>
      </c>
      <c r="F1936">
        <v>4</v>
      </c>
      <c r="G1936">
        <v>0.1</v>
      </c>
      <c r="H1936">
        <v>9000</v>
      </c>
      <c r="I1936">
        <v>-2884.36</v>
      </c>
      <c r="J1936" t="s">
        <v>65</v>
      </c>
      <c r="K1936" t="s">
        <v>434</v>
      </c>
      <c r="L1936">
        <v>2250</v>
      </c>
      <c r="M1936">
        <v>-32.048444444444449</v>
      </c>
      <c r="N1936" t="s">
        <v>81</v>
      </c>
      <c r="O1936" t="s">
        <v>789</v>
      </c>
      <c r="P1936" t="s">
        <v>29</v>
      </c>
      <c r="Q1936" t="s">
        <v>74</v>
      </c>
      <c r="R1936" t="s">
        <v>237</v>
      </c>
      <c r="S1936" t="s">
        <v>238</v>
      </c>
      <c r="T1936" t="s">
        <v>1107</v>
      </c>
      <c r="U1936" t="s">
        <v>105</v>
      </c>
      <c r="V1936">
        <v>-721.09</v>
      </c>
    </row>
    <row r="1937" spans="1:22" x14ac:dyDescent="0.3">
      <c r="A1937" t="s">
        <v>3345</v>
      </c>
      <c r="B1937" s="2">
        <v>45878</v>
      </c>
      <c r="C1937" t="s">
        <v>430</v>
      </c>
      <c r="D1937" t="s">
        <v>24</v>
      </c>
      <c r="E1937" t="s">
        <v>87</v>
      </c>
      <c r="F1937">
        <v>3</v>
      </c>
      <c r="G1937">
        <v>0.1</v>
      </c>
      <c r="H1937">
        <v>945</v>
      </c>
      <c r="I1937">
        <v>283.67</v>
      </c>
      <c r="J1937" t="s">
        <v>51</v>
      </c>
      <c r="K1937" t="s">
        <v>40</v>
      </c>
      <c r="L1937">
        <v>315</v>
      </c>
      <c r="M1937">
        <v>30.017989417989419</v>
      </c>
      <c r="N1937" t="s">
        <v>8</v>
      </c>
      <c r="O1937" t="s">
        <v>431</v>
      </c>
      <c r="P1937" t="s">
        <v>29</v>
      </c>
      <c r="Q1937" t="s">
        <v>30</v>
      </c>
      <c r="R1937" t="s">
        <v>53</v>
      </c>
      <c r="S1937" t="s">
        <v>54</v>
      </c>
      <c r="T1937" t="s">
        <v>256</v>
      </c>
      <c r="U1937" t="s">
        <v>46</v>
      </c>
      <c r="V1937">
        <v>94.556666666666672</v>
      </c>
    </row>
    <row r="1938" spans="1:22" x14ac:dyDescent="0.3">
      <c r="A1938" t="s">
        <v>3346</v>
      </c>
      <c r="B1938" s="2">
        <v>45914</v>
      </c>
      <c r="C1938" t="s">
        <v>1474</v>
      </c>
      <c r="D1938" t="s">
        <v>37</v>
      </c>
      <c r="E1938" t="s">
        <v>190</v>
      </c>
      <c r="F1938">
        <v>5</v>
      </c>
      <c r="G1938">
        <v>0.1</v>
      </c>
      <c r="H1938">
        <v>18900</v>
      </c>
      <c r="I1938">
        <v>-6328.73</v>
      </c>
      <c r="J1938" t="s">
        <v>51</v>
      </c>
      <c r="K1938" t="s">
        <v>434</v>
      </c>
      <c r="L1938">
        <v>3780</v>
      </c>
      <c r="M1938">
        <v>-33.485343915343911</v>
      </c>
      <c r="N1938" t="s">
        <v>81</v>
      </c>
      <c r="O1938" t="s">
        <v>1475</v>
      </c>
      <c r="P1938" t="s">
        <v>73</v>
      </c>
      <c r="Q1938" t="s">
        <v>30</v>
      </c>
      <c r="R1938" t="s">
        <v>98</v>
      </c>
      <c r="S1938" t="s">
        <v>54</v>
      </c>
      <c r="T1938" t="s">
        <v>1476</v>
      </c>
      <c r="U1938" t="s">
        <v>100</v>
      </c>
      <c r="V1938">
        <v>-1265.7460000000001</v>
      </c>
    </row>
    <row r="1939" spans="1:22" x14ac:dyDescent="0.3">
      <c r="A1939" t="s">
        <v>3347</v>
      </c>
      <c r="B1939" s="2">
        <v>46117</v>
      </c>
      <c r="C1939" t="s">
        <v>1602</v>
      </c>
      <c r="D1939" t="s">
        <v>24</v>
      </c>
      <c r="E1939" t="s">
        <v>25</v>
      </c>
      <c r="F1939">
        <v>1</v>
      </c>
      <c r="G1939">
        <v>0.05</v>
      </c>
      <c r="H1939">
        <v>13300</v>
      </c>
      <c r="I1939">
        <v>2340.11</v>
      </c>
      <c r="J1939" t="s">
        <v>26</v>
      </c>
      <c r="K1939" t="s">
        <v>40</v>
      </c>
      <c r="L1939">
        <v>13300</v>
      </c>
      <c r="M1939">
        <v>17.59481203007519</v>
      </c>
      <c r="N1939" t="s">
        <v>8</v>
      </c>
      <c r="O1939" t="s">
        <v>1237</v>
      </c>
      <c r="P1939" t="s">
        <v>73</v>
      </c>
      <c r="Q1939" t="s">
        <v>131</v>
      </c>
      <c r="R1939" t="s">
        <v>449</v>
      </c>
      <c r="S1939" t="s">
        <v>450</v>
      </c>
      <c r="T1939" t="s">
        <v>880</v>
      </c>
      <c r="U1939" t="s">
        <v>105</v>
      </c>
      <c r="V1939">
        <v>2340.11</v>
      </c>
    </row>
    <row r="1940" spans="1:22" x14ac:dyDescent="0.3">
      <c r="A1940" t="s">
        <v>3348</v>
      </c>
      <c r="B1940" s="2">
        <v>46103</v>
      </c>
      <c r="C1940" t="s">
        <v>1480</v>
      </c>
      <c r="D1940" t="s">
        <v>24</v>
      </c>
      <c r="E1940" t="s">
        <v>25</v>
      </c>
      <c r="F1940">
        <v>4</v>
      </c>
      <c r="G1940">
        <v>0.15</v>
      </c>
      <c r="H1940">
        <v>47600</v>
      </c>
      <c r="I1940">
        <v>-28833.599999999999</v>
      </c>
      <c r="J1940" t="s">
        <v>39</v>
      </c>
      <c r="K1940" t="s">
        <v>80</v>
      </c>
      <c r="L1940">
        <v>11900</v>
      </c>
      <c r="M1940">
        <v>-60.574789915966377</v>
      </c>
      <c r="N1940" t="s">
        <v>81</v>
      </c>
      <c r="O1940" t="s">
        <v>66</v>
      </c>
      <c r="P1940" t="s">
        <v>73</v>
      </c>
      <c r="Q1940" t="s">
        <v>30</v>
      </c>
      <c r="R1940" t="s">
        <v>98</v>
      </c>
      <c r="S1940" t="s">
        <v>54</v>
      </c>
      <c r="T1940" t="s">
        <v>1481</v>
      </c>
      <c r="U1940" t="s">
        <v>46</v>
      </c>
      <c r="V1940">
        <v>-7208.4</v>
      </c>
    </row>
    <row r="1941" spans="1:22" x14ac:dyDescent="0.3">
      <c r="A1941" t="s">
        <v>3349</v>
      </c>
      <c r="B1941" s="2">
        <v>46205</v>
      </c>
      <c r="C1941" t="s">
        <v>1346</v>
      </c>
      <c r="D1941" t="s">
        <v>24</v>
      </c>
      <c r="E1941" t="s">
        <v>242</v>
      </c>
      <c r="F1941">
        <v>3</v>
      </c>
      <c r="G1941">
        <v>0.05</v>
      </c>
      <c r="H1941">
        <v>1282.5</v>
      </c>
      <c r="I1941">
        <v>297.17</v>
      </c>
      <c r="J1941" t="s">
        <v>65</v>
      </c>
      <c r="K1941" t="s">
        <v>40</v>
      </c>
      <c r="L1941">
        <v>427.5</v>
      </c>
      <c r="M1941">
        <v>23.17115009746589</v>
      </c>
      <c r="N1941" t="s">
        <v>8</v>
      </c>
      <c r="O1941" t="s">
        <v>825</v>
      </c>
      <c r="P1941" t="s">
        <v>73</v>
      </c>
      <c r="Q1941" t="s">
        <v>30</v>
      </c>
      <c r="R1941" t="s">
        <v>98</v>
      </c>
      <c r="S1941" t="s">
        <v>54</v>
      </c>
      <c r="T1941" t="s">
        <v>1347</v>
      </c>
      <c r="U1941" t="s">
        <v>34</v>
      </c>
      <c r="V1941">
        <v>99.056666666666672</v>
      </c>
    </row>
    <row r="1942" spans="1:22" x14ac:dyDescent="0.3">
      <c r="A1942" t="s">
        <v>3350</v>
      </c>
      <c r="B1942" s="2">
        <v>46037</v>
      </c>
      <c r="C1942" t="s">
        <v>710</v>
      </c>
      <c r="D1942" t="s">
        <v>70</v>
      </c>
      <c r="E1942" t="s">
        <v>108</v>
      </c>
      <c r="F1942">
        <v>3</v>
      </c>
      <c r="G1942">
        <v>0.2</v>
      </c>
      <c r="H1942">
        <v>10800</v>
      </c>
      <c r="I1942">
        <v>2210.9499999999998</v>
      </c>
      <c r="J1942" t="s">
        <v>39</v>
      </c>
      <c r="K1942" t="s">
        <v>40</v>
      </c>
      <c r="L1942">
        <v>3600</v>
      </c>
      <c r="M1942">
        <v>20.471759259259251</v>
      </c>
      <c r="N1942" t="s">
        <v>8</v>
      </c>
      <c r="O1942" t="s">
        <v>711</v>
      </c>
      <c r="P1942" t="s">
        <v>29</v>
      </c>
      <c r="Q1942" t="s">
        <v>30</v>
      </c>
      <c r="R1942" t="s">
        <v>53</v>
      </c>
      <c r="S1942" t="s">
        <v>54</v>
      </c>
      <c r="T1942" t="s">
        <v>712</v>
      </c>
      <c r="U1942" t="s">
        <v>34</v>
      </c>
      <c r="V1942">
        <v>736.98333333333323</v>
      </c>
    </row>
    <row r="1943" spans="1:22" x14ac:dyDescent="0.3">
      <c r="A1943" t="s">
        <v>3351</v>
      </c>
      <c r="B1943" s="2">
        <v>45924</v>
      </c>
      <c r="C1943" t="s">
        <v>189</v>
      </c>
      <c r="D1943" t="s">
        <v>37</v>
      </c>
      <c r="E1943" t="s">
        <v>310</v>
      </c>
      <c r="F1943">
        <v>2</v>
      </c>
      <c r="G1943">
        <v>0</v>
      </c>
      <c r="H1943">
        <v>4400</v>
      </c>
      <c r="I1943">
        <v>-1081.23</v>
      </c>
      <c r="J1943" t="s">
        <v>51</v>
      </c>
      <c r="K1943" t="s">
        <v>80</v>
      </c>
      <c r="L1943">
        <v>2200</v>
      </c>
      <c r="M1943">
        <v>-24.573409090909092</v>
      </c>
      <c r="N1943" t="s">
        <v>81</v>
      </c>
      <c r="O1943" t="s">
        <v>191</v>
      </c>
      <c r="P1943" t="s">
        <v>29</v>
      </c>
      <c r="Q1943" t="s">
        <v>30</v>
      </c>
      <c r="R1943" t="s">
        <v>31</v>
      </c>
      <c r="S1943" t="s">
        <v>32</v>
      </c>
      <c r="T1943" t="s">
        <v>192</v>
      </c>
      <c r="U1943" t="s">
        <v>34</v>
      </c>
      <c r="V1943">
        <v>-540.61500000000001</v>
      </c>
    </row>
    <row r="1944" spans="1:22" x14ac:dyDescent="0.3">
      <c r="A1944" t="s">
        <v>3352</v>
      </c>
      <c r="B1944" s="2">
        <v>45983</v>
      </c>
      <c r="C1944" t="s">
        <v>102</v>
      </c>
      <c r="D1944" t="s">
        <v>37</v>
      </c>
      <c r="E1944" t="s">
        <v>38</v>
      </c>
      <c r="F1944">
        <v>2</v>
      </c>
      <c r="G1944">
        <v>0.05</v>
      </c>
      <c r="H1944">
        <v>3420</v>
      </c>
      <c r="I1944">
        <v>1190.99</v>
      </c>
      <c r="J1944" t="s">
        <v>39</v>
      </c>
      <c r="K1944" t="s">
        <v>40</v>
      </c>
      <c r="L1944">
        <v>1710</v>
      </c>
      <c r="M1944">
        <v>34.824269005847952</v>
      </c>
      <c r="N1944" t="s">
        <v>8</v>
      </c>
      <c r="O1944" t="s">
        <v>103</v>
      </c>
      <c r="P1944" t="s">
        <v>29</v>
      </c>
      <c r="Q1944" t="s">
        <v>30</v>
      </c>
      <c r="R1944" t="s">
        <v>98</v>
      </c>
      <c r="S1944" t="s">
        <v>54</v>
      </c>
      <c r="T1944" t="s">
        <v>104</v>
      </c>
      <c r="U1944" t="s">
        <v>105</v>
      </c>
      <c r="V1944">
        <v>595.495</v>
      </c>
    </row>
    <row r="1945" spans="1:22" x14ac:dyDescent="0.3">
      <c r="A1945" t="s">
        <v>3353</v>
      </c>
      <c r="B1945" s="2">
        <v>46260</v>
      </c>
      <c r="C1945" t="s">
        <v>438</v>
      </c>
      <c r="D1945" t="s">
        <v>24</v>
      </c>
      <c r="E1945" t="s">
        <v>242</v>
      </c>
      <c r="F1945">
        <v>2</v>
      </c>
      <c r="G1945">
        <v>0.05</v>
      </c>
      <c r="H1945">
        <v>855</v>
      </c>
      <c r="I1945">
        <v>194.28</v>
      </c>
      <c r="J1945" t="s">
        <v>51</v>
      </c>
      <c r="K1945" t="s">
        <v>40</v>
      </c>
      <c r="L1945">
        <v>427.5</v>
      </c>
      <c r="M1945">
        <v>22.722807017543861</v>
      </c>
      <c r="N1945" t="s">
        <v>8</v>
      </c>
      <c r="O1945" t="s">
        <v>439</v>
      </c>
      <c r="P1945" t="s">
        <v>83</v>
      </c>
      <c r="Q1945" t="s">
        <v>30</v>
      </c>
      <c r="R1945" t="s">
        <v>98</v>
      </c>
      <c r="S1945" t="s">
        <v>54</v>
      </c>
      <c r="T1945" t="s">
        <v>440</v>
      </c>
      <c r="U1945" t="s">
        <v>34</v>
      </c>
      <c r="V1945">
        <v>97.14</v>
      </c>
    </row>
    <row r="1946" spans="1:22" x14ac:dyDescent="0.3">
      <c r="A1946" t="s">
        <v>3354</v>
      </c>
      <c r="B1946" s="2">
        <v>46259</v>
      </c>
      <c r="C1946" t="s">
        <v>2798</v>
      </c>
      <c r="D1946" t="s">
        <v>24</v>
      </c>
      <c r="E1946" t="s">
        <v>92</v>
      </c>
      <c r="F1946">
        <v>3</v>
      </c>
      <c r="G1946">
        <v>0.05</v>
      </c>
      <c r="H1946">
        <v>2565</v>
      </c>
      <c r="I1946">
        <v>766.48</v>
      </c>
      <c r="J1946" t="s">
        <v>65</v>
      </c>
      <c r="K1946" t="s">
        <v>40</v>
      </c>
      <c r="L1946">
        <v>855</v>
      </c>
      <c r="M1946">
        <v>29.882261208576999</v>
      </c>
      <c r="N1946" t="s">
        <v>8</v>
      </c>
      <c r="O1946" t="s">
        <v>1309</v>
      </c>
      <c r="P1946" t="s">
        <v>73</v>
      </c>
      <c r="Q1946" t="s">
        <v>42</v>
      </c>
      <c r="R1946" t="s">
        <v>214</v>
      </c>
      <c r="S1946" t="s">
        <v>111</v>
      </c>
      <c r="T1946" t="s">
        <v>2799</v>
      </c>
      <c r="U1946" t="s">
        <v>34</v>
      </c>
      <c r="V1946">
        <v>255.49333333333331</v>
      </c>
    </row>
    <row r="1947" spans="1:22" x14ac:dyDescent="0.3">
      <c r="A1947" t="s">
        <v>3355</v>
      </c>
      <c r="B1947" s="2">
        <v>46086</v>
      </c>
      <c r="C1947" t="s">
        <v>1751</v>
      </c>
      <c r="D1947" t="s">
        <v>70</v>
      </c>
      <c r="E1947" t="s">
        <v>108</v>
      </c>
      <c r="F1947">
        <v>3</v>
      </c>
      <c r="G1947">
        <v>0</v>
      </c>
      <c r="H1947">
        <v>13500</v>
      </c>
      <c r="I1947">
        <v>4500</v>
      </c>
      <c r="J1947" t="s">
        <v>26</v>
      </c>
      <c r="K1947" t="s">
        <v>40</v>
      </c>
      <c r="L1947">
        <v>4500</v>
      </c>
      <c r="M1947">
        <v>33.333333333333329</v>
      </c>
      <c r="N1947" t="s">
        <v>8</v>
      </c>
      <c r="O1947" t="s">
        <v>537</v>
      </c>
      <c r="P1947" t="s">
        <v>83</v>
      </c>
      <c r="Q1947" t="s">
        <v>74</v>
      </c>
      <c r="R1947" t="s">
        <v>115</v>
      </c>
      <c r="S1947" t="s">
        <v>115</v>
      </c>
      <c r="T1947" t="s">
        <v>1752</v>
      </c>
      <c r="U1947" t="s">
        <v>46</v>
      </c>
      <c r="V1947">
        <v>1500</v>
      </c>
    </row>
    <row r="1948" spans="1:22" x14ac:dyDescent="0.3">
      <c r="A1948" t="s">
        <v>3356</v>
      </c>
      <c r="B1948" s="2">
        <v>45979</v>
      </c>
      <c r="C1948" t="s">
        <v>2003</v>
      </c>
      <c r="D1948" t="s">
        <v>24</v>
      </c>
      <c r="E1948" t="s">
        <v>87</v>
      </c>
      <c r="F1948">
        <v>2</v>
      </c>
      <c r="G1948">
        <v>0.2</v>
      </c>
      <c r="H1948">
        <v>560</v>
      </c>
      <c r="I1948">
        <v>151.47999999999999</v>
      </c>
      <c r="J1948" t="s">
        <v>39</v>
      </c>
      <c r="K1948" t="s">
        <v>40</v>
      </c>
      <c r="L1948">
        <v>280</v>
      </c>
      <c r="M1948">
        <v>27.05</v>
      </c>
      <c r="N1948" t="s">
        <v>8</v>
      </c>
      <c r="O1948" t="s">
        <v>1494</v>
      </c>
      <c r="P1948" t="s">
        <v>73</v>
      </c>
      <c r="Q1948" t="s">
        <v>74</v>
      </c>
      <c r="R1948" t="s">
        <v>115</v>
      </c>
      <c r="S1948" t="s">
        <v>115</v>
      </c>
      <c r="T1948" t="s">
        <v>2004</v>
      </c>
      <c r="U1948" t="s">
        <v>46</v>
      </c>
      <c r="V1948">
        <v>75.739999999999995</v>
      </c>
    </row>
    <row r="1949" spans="1:22" x14ac:dyDescent="0.3">
      <c r="A1949" t="s">
        <v>3357</v>
      </c>
      <c r="B1949" s="2">
        <v>45912</v>
      </c>
      <c r="C1949" t="s">
        <v>1143</v>
      </c>
      <c r="D1949" t="s">
        <v>70</v>
      </c>
      <c r="E1949" t="s">
        <v>71</v>
      </c>
      <c r="F1949">
        <v>3</v>
      </c>
      <c r="G1949">
        <v>0.15</v>
      </c>
      <c r="H1949">
        <v>45900</v>
      </c>
      <c r="I1949">
        <v>5725.98</v>
      </c>
      <c r="J1949" t="s">
        <v>65</v>
      </c>
      <c r="K1949" t="s">
        <v>40</v>
      </c>
      <c r="L1949">
        <v>15300</v>
      </c>
      <c r="M1949">
        <v>12.47490196078431</v>
      </c>
      <c r="N1949" t="s">
        <v>8</v>
      </c>
      <c r="O1949" t="s">
        <v>1144</v>
      </c>
      <c r="P1949" t="s">
        <v>29</v>
      </c>
      <c r="Q1949" t="s">
        <v>30</v>
      </c>
      <c r="R1949" t="s">
        <v>31</v>
      </c>
      <c r="S1949" t="s">
        <v>32</v>
      </c>
      <c r="T1949" t="s">
        <v>1145</v>
      </c>
      <c r="U1949" t="s">
        <v>100</v>
      </c>
      <c r="V1949">
        <v>1908.66</v>
      </c>
    </row>
    <row r="1950" spans="1:22" x14ac:dyDescent="0.3">
      <c r="A1950" t="s">
        <v>3358</v>
      </c>
      <c r="B1950" s="2">
        <v>46061</v>
      </c>
      <c r="C1950" t="s">
        <v>991</v>
      </c>
      <c r="D1950" t="s">
        <v>24</v>
      </c>
      <c r="E1950" t="s">
        <v>242</v>
      </c>
      <c r="F1950">
        <v>3</v>
      </c>
      <c r="G1950">
        <v>0.1</v>
      </c>
      <c r="H1950">
        <v>1215</v>
      </c>
      <c r="I1950">
        <v>-217.25</v>
      </c>
      <c r="J1950" t="s">
        <v>65</v>
      </c>
      <c r="K1950" t="s">
        <v>80</v>
      </c>
      <c r="L1950">
        <v>405</v>
      </c>
      <c r="M1950">
        <v>-17.880658436213992</v>
      </c>
      <c r="N1950" t="s">
        <v>81</v>
      </c>
      <c r="O1950" t="s">
        <v>537</v>
      </c>
      <c r="P1950" t="s">
        <v>29</v>
      </c>
      <c r="Q1950" t="s">
        <v>74</v>
      </c>
      <c r="R1950" t="s">
        <v>75</v>
      </c>
      <c r="S1950" t="s">
        <v>75</v>
      </c>
      <c r="T1950" t="s">
        <v>992</v>
      </c>
      <c r="U1950" t="s">
        <v>34</v>
      </c>
      <c r="V1950">
        <v>-72.416666666666671</v>
      </c>
    </row>
    <row r="1951" spans="1:22" x14ac:dyDescent="0.3">
      <c r="A1951" t="s">
        <v>3359</v>
      </c>
      <c r="B1951" s="2">
        <v>46262</v>
      </c>
      <c r="C1951" t="s">
        <v>1224</v>
      </c>
      <c r="D1951" t="s">
        <v>24</v>
      </c>
      <c r="E1951" t="s">
        <v>92</v>
      </c>
      <c r="F1951">
        <v>3</v>
      </c>
      <c r="G1951">
        <v>0.2</v>
      </c>
      <c r="H1951">
        <v>2160</v>
      </c>
      <c r="I1951">
        <v>575.27</v>
      </c>
      <c r="J1951" t="s">
        <v>65</v>
      </c>
      <c r="K1951" t="s">
        <v>27</v>
      </c>
      <c r="L1951">
        <v>720</v>
      </c>
      <c r="M1951">
        <v>26.63287037037037</v>
      </c>
      <c r="N1951" t="s">
        <v>8</v>
      </c>
      <c r="O1951" t="s">
        <v>1225</v>
      </c>
      <c r="P1951" t="s">
        <v>29</v>
      </c>
      <c r="Q1951" t="s">
        <v>74</v>
      </c>
      <c r="R1951" t="s">
        <v>75</v>
      </c>
      <c r="S1951" t="s">
        <v>75</v>
      </c>
      <c r="T1951" t="s">
        <v>342</v>
      </c>
      <c r="U1951" t="s">
        <v>34</v>
      </c>
      <c r="V1951">
        <v>191.75666666666669</v>
      </c>
    </row>
    <row r="1952" spans="1:22" x14ac:dyDescent="0.3">
      <c r="A1952" t="s">
        <v>3360</v>
      </c>
      <c r="B1952" s="2">
        <v>46254</v>
      </c>
      <c r="C1952" t="s">
        <v>1524</v>
      </c>
      <c r="D1952" t="s">
        <v>70</v>
      </c>
      <c r="E1952" t="s">
        <v>129</v>
      </c>
      <c r="F1952">
        <v>3</v>
      </c>
      <c r="G1952">
        <v>0.3</v>
      </c>
      <c r="H1952">
        <v>115500</v>
      </c>
      <c r="I1952">
        <v>2179.29</v>
      </c>
      <c r="J1952" t="s">
        <v>39</v>
      </c>
      <c r="K1952" t="s">
        <v>27</v>
      </c>
      <c r="L1952">
        <v>38500</v>
      </c>
      <c r="M1952">
        <v>1.886831168831169</v>
      </c>
      <c r="N1952" t="s">
        <v>8</v>
      </c>
      <c r="O1952" t="s">
        <v>243</v>
      </c>
      <c r="P1952" t="s">
        <v>73</v>
      </c>
      <c r="Q1952" t="s">
        <v>74</v>
      </c>
      <c r="R1952" t="s">
        <v>493</v>
      </c>
      <c r="S1952" t="s">
        <v>494</v>
      </c>
      <c r="T1952" t="s">
        <v>1525</v>
      </c>
      <c r="U1952" t="s">
        <v>34</v>
      </c>
      <c r="V1952">
        <v>726.43</v>
      </c>
    </row>
    <row r="1953" spans="1:22" x14ac:dyDescent="0.3">
      <c r="A1953" t="s">
        <v>3361</v>
      </c>
      <c r="B1953" s="2">
        <v>46156</v>
      </c>
      <c r="C1953" t="s">
        <v>807</v>
      </c>
      <c r="D1953" t="s">
        <v>70</v>
      </c>
      <c r="E1953" t="s">
        <v>129</v>
      </c>
      <c r="F1953">
        <v>6</v>
      </c>
      <c r="G1953">
        <v>0.15</v>
      </c>
      <c r="H1953">
        <v>280500</v>
      </c>
      <c r="I1953">
        <v>27550.21</v>
      </c>
      <c r="J1953" t="s">
        <v>39</v>
      </c>
      <c r="K1953" t="s">
        <v>40</v>
      </c>
      <c r="L1953">
        <v>46750</v>
      </c>
      <c r="M1953">
        <v>9.8218217468805697</v>
      </c>
      <c r="N1953" t="s">
        <v>8</v>
      </c>
      <c r="O1953" t="s">
        <v>545</v>
      </c>
      <c r="P1953" t="s">
        <v>73</v>
      </c>
      <c r="Q1953" t="s">
        <v>30</v>
      </c>
      <c r="R1953" t="s">
        <v>31</v>
      </c>
      <c r="S1953" t="s">
        <v>32</v>
      </c>
      <c r="T1953" t="s">
        <v>808</v>
      </c>
      <c r="U1953" t="s">
        <v>105</v>
      </c>
      <c r="V1953">
        <v>4591.7016666666668</v>
      </c>
    </row>
    <row r="1954" spans="1:22" x14ac:dyDescent="0.3">
      <c r="A1954" t="s">
        <v>3362</v>
      </c>
      <c r="B1954" s="2">
        <v>46152</v>
      </c>
      <c r="C1954" t="s">
        <v>354</v>
      </c>
      <c r="D1954" t="s">
        <v>24</v>
      </c>
      <c r="E1954" t="s">
        <v>92</v>
      </c>
      <c r="F1954">
        <v>3</v>
      </c>
      <c r="G1954">
        <v>0.1</v>
      </c>
      <c r="H1954">
        <v>2430</v>
      </c>
      <c r="I1954">
        <v>715.34</v>
      </c>
      <c r="J1954" t="s">
        <v>26</v>
      </c>
      <c r="K1954" t="s">
        <v>40</v>
      </c>
      <c r="L1954">
        <v>810</v>
      </c>
      <c r="M1954">
        <v>29.437860082304532</v>
      </c>
      <c r="N1954" t="s">
        <v>8</v>
      </c>
      <c r="O1954" t="s">
        <v>355</v>
      </c>
      <c r="P1954" t="s">
        <v>83</v>
      </c>
      <c r="Q1954" t="s">
        <v>131</v>
      </c>
      <c r="R1954" t="s">
        <v>200</v>
      </c>
      <c r="S1954" t="s">
        <v>201</v>
      </c>
      <c r="T1954" t="s">
        <v>356</v>
      </c>
      <c r="U1954" t="s">
        <v>34</v>
      </c>
      <c r="V1954">
        <v>238.44666666666669</v>
      </c>
    </row>
    <row r="1955" spans="1:22" x14ac:dyDescent="0.3">
      <c r="A1955" t="s">
        <v>3363</v>
      </c>
      <c r="B1955" s="2">
        <v>45911</v>
      </c>
      <c r="C1955" t="s">
        <v>878</v>
      </c>
      <c r="D1955" t="s">
        <v>24</v>
      </c>
      <c r="E1955" t="s">
        <v>242</v>
      </c>
      <c r="F1955">
        <v>2</v>
      </c>
      <c r="G1955">
        <v>0.05</v>
      </c>
      <c r="H1955">
        <v>855</v>
      </c>
      <c r="I1955">
        <v>190.55</v>
      </c>
      <c r="J1955" t="s">
        <v>39</v>
      </c>
      <c r="K1955" t="s">
        <v>40</v>
      </c>
      <c r="L1955">
        <v>427.5</v>
      </c>
      <c r="M1955">
        <v>22.28654970760234</v>
      </c>
      <c r="N1955" t="s">
        <v>8</v>
      </c>
      <c r="O1955" t="s">
        <v>879</v>
      </c>
      <c r="P1955" t="s">
        <v>83</v>
      </c>
      <c r="Q1955" t="s">
        <v>30</v>
      </c>
      <c r="R1955" t="s">
        <v>98</v>
      </c>
      <c r="S1955" t="s">
        <v>54</v>
      </c>
      <c r="T1955" t="s">
        <v>880</v>
      </c>
      <c r="U1955" t="s">
        <v>46</v>
      </c>
      <c r="V1955">
        <v>95.275000000000006</v>
      </c>
    </row>
    <row r="1956" spans="1:22" x14ac:dyDescent="0.3">
      <c r="A1956" t="s">
        <v>3364</v>
      </c>
      <c r="B1956" s="2">
        <v>46233</v>
      </c>
      <c r="C1956" t="s">
        <v>1262</v>
      </c>
      <c r="D1956" t="s">
        <v>37</v>
      </c>
      <c r="E1956" t="s">
        <v>170</v>
      </c>
      <c r="F1956">
        <v>1</v>
      </c>
      <c r="G1956">
        <v>0.2</v>
      </c>
      <c r="H1956">
        <v>1120</v>
      </c>
      <c r="I1956">
        <v>289.45999999999998</v>
      </c>
      <c r="J1956" t="s">
        <v>65</v>
      </c>
      <c r="K1956" t="s">
        <v>40</v>
      </c>
      <c r="L1956">
        <v>1120</v>
      </c>
      <c r="M1956">
        <v>25.844642857142858</v>
      </c>
      <c r="N1956" t="s">
        <v>8</v>
      </c>
      <c r="O1956" t="s">
        <v>1263</v>
      </c>
      <c r="P1956" t="s">
        <v>83</v>
      </c>
      <c r="Q1956" t="s">
        <v>30</v>
      </c>
      <c r="R1956" t="s">
        <v>53</v>
      </c>
      <c r="S1956" t="s">
        <v>54</v>
      </c>
      <c r="T1956" t="s">
        <v>1264</v>
      </c>
      <c r="U1956" t="s">
        <v>46</v>
      </c>
      <c r="V1956">
        <v>289.45999999999998</v>
      </c>
    </row>
    <row r="1957" spans="1:22" x14ac:dyDescent="0.3">
      <c r="A1957" t="s">
        <v>3365</v>
      </c>
      <c r="B1957" s="2">
        <v>46191</v>
      </c>
      <c r="C1957" t="s">
        <v>925</v>
      </c>
      <c r="D1957" t="s">
        <v>37</v>
      </c>
      <c r="E1957" t="s">
        <v>38</v>
      </c>
      <c r="F1957">
        <v>1</v>
      </c>
      <c r="G1957">
        <v>0</v>
      </c>
      <c r="H1957">
        <v>1800</v>
      </c>
      <c r="I1957">
        <v>-182.44</v>
      </c>
      <c r="J1957" t="s">
        <v>26</v>
      </c>
      <c r="K1957" t="s">
        <v>80</v>
      </c>
      <c r="L1957">
        <v>1800</v>
      </c>
      <c r="M1957">
        <v>-10.135555555555561</v>
      </c>
      <c r="N1957" t="s">
        <v>81</v>
      </c>
      <c r="O1957" t="s">
        <v>926</v>
      </c>
      <c r="P1957" t="s">
        <v>83</v>
      </c>
      <c r="Q1957" t="s">
        <v>74</v>
      </c>
      <c r="R1957" t="s">
        <v>75</v>
      </c>
      <c r="S1957" t="s">
        <v>75</v>
      </c>
      <c r="T1957" t="s">
        <v>927</v>
      </c>
      <c r="U1957" t="s">
        <v>34</v>
      </c>
      <c r="V1957">
        <v>-182.44</v>
      </c>
    </row>
    <row r="1958" spans="1:22" x14ac:dyDescent="0.3">
      <c r="A1958" t="s">
        <v>3366</v>
      </c>
      <c r="B1958" s="2">
        <v>45998</v>
      </c>
      <c r="C1958" t="s">
        <v>1036</v>
      </c>
      <c r="D1958" t="s">
        <v>24</v>
      </c>
      <c r="E1958" t="s">
        <v>92</v>
      </c>
      <c r="F1958">
        <v>2</v>
      </c>
      <c r="G1958">
        <v>0.2</v>
      </c>
      <c r="H1958">
        <v>1440</v>
      </c>
      <c r="I1958">
        <v>367.77</v>
      </c>
      <c r="J1958" t="s">
        <v>39</v>
      </c>
      <c r="K1958" t="s">
        <v>40</v>
      </c>
      <c r="L1958">
        <v>720</v>
      </c>
      <c r="M1958">
        <v>25.539583333333329</v>
      </c>
      <c r="N1958" t="s">
        <v>8</v>
      </c>
      <c r="O1958" t="s">
        <v>149</v>
      </c>
      <c r="P1958" t="s">
        <v>83</v>
      </c>
      <c r="Q1958" t="s">
        <v>30</v>
      </c>
      <c r="R1958" t="s">
        <v>53</v>
      </c>
      <c r="S1958" t="s">
        <v>54</v>
      </c>
      <c r="T1958" t="s">
        <v>1037</v>
      </c>
      <c r="U1958" t="s">
        <v>46</v>
      </c>
      <c r="V1958">
        <v>183.88499999999999</v>
      </c>
    </row>
    <row r="1959" spans="1:22" x14ac:dyDescent="0.3">
      <c r="A1959" t="s">
        <v>3367</v>
      </c>
      <c r="B1959" s="2">
        <v>46223</v>
      </c>
      <c r="C1959" t="s">
        <v>625</v>
      </c>
      <c r="D1959" t="s">
        <v>49</v>
      </c>
      <c r="E1959" t="s">
        <v>58</v>
      </c>
      <c r="F1959">
        <v>1</v>
      </c>
      <c r="G1959">
        <v>0</v>
      </c>
      <c r="H1959">
        <v>15000</v>
      </c>
      <c r="I1959">
        <v>3500</v>
      </c>
      <c r="J1959" t="s">
        <v>26</v>
      </c>
      <c r="K1959" t="s">
        <v>40</v>
      </c>
      <c r="L1959">
        <v>15000</v>
      </c>
      <c r="M1959">
        <v>23.333333333333329</v>
      </c>
      <c r="N1959" t="s">
        <v>8</v>
      </c>
      <c r="O1959" t="s">
        <v>626</v>
      </c>
      <c r="P1959" t="s">
        <v>29</v>
      </c>
      <c r="Q1959" t="s">
        <v>30</v>
      </c>
      <c r="R1959" t="s">
        <v>53</v>
      </c>
      <c r="S1959" t="s">
        <v>54</v>
      </c>
      <c r="T1959" t="s">
        <v>627</v>
      </c>
      <c r="U1959" t="s">
        <v>105</v>
      </c>
      <c r="V1959">
        <v>3500</v>
      </c>
    </row>
    <row r="1960" spans="1:22" x14ac:dyDescent="0.3">
      <c r="A1960" t="s">
        <v>3368</v>
      </c>
      <c r="B1960" s="2">
        <v>45924</v>
      </c>
      <c r="C1960" t="s">
        <v>309</v>
      </c>
      <c r="D1960" t="s">
        <v>49</v>
      </c>
      <c r="E1960" t="s">
        <v>50</v>
      </c>
      <c r="F1960">
        <v>2</v>
      </c>
      <c r="G1960">
        <v>0</v>
      </c>
      <c r="H1960">
        <v>26000</v>
      </c>
      <c r="I1960">
        <v>6400</v>
      </c>
      <c r="J1960" t="s">
        <v>39</v>
      </c>
      <c r="K1960" t="s">
        <v>40</v>
      </c>
      <c r="L1960">
        <v>13000</v>
      </c>
      <c r="M1960">
        <v>24.61538461538462</v>
      </c>
      <c r="N1960" t="s">
        <v>8</v>
      </c>
      <c r="O1960" t="s">
        <v>59</v>
      </c>
      <c r="P1960" t="s">
        <v>73</v>
      </c>
      <c r="Q1960" t="s">
        <v>74</v>
      </c>
      <c r="R1960" t="s">
        <v>237</v>
      </c>
      <c r="S1960" t="s">
        <v>238</v>
      </c>
      <c r="T1960" t="s">
        <v>311</v>
      </c>
      <c r="U1960" t="s">
        <v>46</v>
      </c>
      <c r="V1960">
        <v>3200</v>
      </c>
    </row>
    <row r="1961" spans="1:22" x14ac:dyDescent="0.3">
      <c r="A1961" t="s">
        <v>3369</v>
      </c>
      <c r="B1961" s="2">
        <v>46200</v>
      </c>
      <c r="C1961" t="s">
        <v>1803</v>
      </c>
      <c r="D1961" t="s">
        <v>24</v>
      </c>
      <c r="E1961" t="s">
        <v>25</v>
      </c>
      <c r="F1961">
        <v>1</v>
      </c>
      <c r="G1961">
        <v>0.1</v>
      </c>
      <c r="H1961">
        <v>12600</v>
      </c>
      <c r="I1961">
        <v>1714.74</v>
      </c>
      <c r="J1961" t="s">
        <v>39</v>
      </c>
      <c r="K1961" t="s">
        <v>27</v>
      </c>
      <c r="L1961">
        <v>12600</v>
      </c>
      <c r="M1961">
        <v>13.609047619047621</v>
      </c>
      <c r="N1961" t="s">
        <v>8</v>
      </c>
      <c r="O1961" t="s">
        <v>1804</v>
      </c>
      <c r="P1961" t="s">
        <v>29</v>
      </c>
      <c r="Q1961" t="s">
        <v>74</v>
      </c>
      <c r="R1961" t="s">
        <v>115</v>
      </c>
      <c r="S1961" t="s">
        <v>115</v>
      </c>
      <c r="T1961" t="s">
        <v>604</v>
      </c>
      <c r="U1961" t="s">
        <v>46</v>
      </c>
      <c r="V1961">
        <v>1714.74</v>
      </c>
    </row>
    <row r="1962" spans="1:22" x14ac:dyDescent="0.3">
      <c r="A1962" t="s">
        <v>3370</v>
      </c>
      <c r="B1962" s="2">
        <v>45985</v>
      </c>
      <c r="C1962" t="s">
        <v>1791</v>
      </c>
      <c r="D1962" t="s">
        <v>70</v>
      </c>
      <c r="E1962" t="s">
        <v>129</v>
      </c>
      <c r="F1962">
        <v>3</v>
      </c>
      <c r="G1962">
        <v>0.1</v>
      </c>
      <c r="H1962">
        <v>148500</v>
      </c>
      <c r="I1962">
        <v>13754.34</v>
      </c>
      <c r="J1962" t="s">
        <v>26</v>
      </c>
      <c r="K1962" t="s">
        <v>40</v>
      </c>
      <c r="L1962">
        <v>49500</v>
      </c>
      <c r="M1962">
        <v>9.2621818181818174</v>
      </c>
      <c r="N1962" t="s">
        <v>8</v>
      </c>
      <c r="O1962" t="s">
        <v>851</v>
      </c>
      <c r="P1962" t="s">
        <v>83</v>
      </c>
      <c r="Q1962" t="s">
        <v>30</v>
      </c>
      <c r="R1962" t="s">
        <v>60</v>
      </c>
      <c r="S1962" t="s">
        <v>61</v>
      </c>
      <c r="T1962" t="s">
        <v>1792</v>
      </c>
      <c r="U1962" t="s">
        <v>105</v>
      </c>
      <c r="V1962">
        <v>4584.78</v>
      </c>
    </row>
    <row r="1963" spans="1:22" x14ac:dyDescent="0.3">
      <c r="A1963" t="s">
        <v>3371</v>
      </c>
      <c r="B1963" s="2">
        <v>46232</v>
      </c>
      <c r="C1963" t="s">
        <v>433</v>
      </c>
      <c r="D1963" t="s">
        <v>37</v>
      </c>
      <c r="E1963" t="s">
        <v>170</v>
      </c>
      <c r="F1963">
        <v>4</v>
      </c>
      <c r="G1963">
        <v>0</v>
      </c>
      <c r="H1963">
        <v>5600</v>
      </c>
      <c r="I1963">
        <v>2000</v>
      </c>
      <c r="J1963" t="s">
        <v>26</v>
      </c>
      <c r="K1963" t="s">
        <v>40</v>
      </c>
      <c r="L1963">
        <v>1400</v>
      </c>
      <c r="M1963">
        <v>35.714285714285722</v>
      </c>
      <c r="N1963" t="s">
        <v>8</v>
      </c>
      <c r="O1963" t="s">
        <v>435</v>
      </c>
      <c r="P1963" t="s">
        <v>73</v>
      </c>
      <c r="Q1963" t="s">
        <v>42</v>
      </c>
      <c r="R1963" t="s">
        <v>214</v>
      </c>
      <c r="S1963" t="s">
        <v>111</v>
      </c>
      <c r="T1963" t="s">
        <v>436</v>
      </c>
      <c r="U1963" t="s">
        <v>46</v>
      </c>
      <c r="V1963">
        <v>500</v>
      </c>
    </row>
    <row r="1964" spans="1:22" x14ac:dyDescent="0.3">
      <c r="A1964" t="s">
        <v>3372</v>
      </c>
      <c r="B1964" s="2">
        <v>45883</v>
      </c>
      <c r="C1964" t="s">
        <v>1812</v>
      </c>
      <c r="D1964" t="s">
        <v>24</v>
      </c>
      <c r="E1964" t="s">
        <v>242</v>
      </c>
      <c r="F1964">
        <v>1</v>
      </c>
      <c r="G1964">
        <v>0.2</v>
      </c>
      <c r="H1964">
        <v>360</v>
      </c>
      <c r="I1964">
        <v>42.79</v>
      </c>
      <c r="J1964" t="s">
        <v>26</v>
      </c>
      <c r="K1964" t="s">
        <v>40</v>
      </c>
      <c r="L1964">
        <v>360</v>
      </c>
      <c r="M1964">
        <v>11.886111111111109</v>
      </c>
      <c r="N1964" t="s">
        <v>8</v>
      </c>
      <c r="O1964" t="s">
        <v>1813</v>
      </c>
      <c r="P1964" t="s">
        <v>83</v>
      </c>
      <c r="Q1964" t="s">
        <v>30</v>
      </c>
      <c r="R1964" t="s">
        <v>98</v>
      </c>
      <c r="S1964" t="s">
        <v>54</v>
      </c>
      <c r="T1964" t="s">
        <v>1089</v>
      </c>
      <c r="U1964" t="s">
        <v>34</v>
      </c>
      <c r="V1964">
        <v>42.79</v>
      </c>
    </row>
    <row r="1965" spans="1:22" x14ac:dyDescent="0.3">
      <c r="A1965" t="s">
        <v>3373</v>
      </c>
      <c r="B1965" s="2">
        <v>45840</v>
      </c>
      <c r="C1965" t="s">
        <v>1610</v>
      </c>
      <c r="D1965" t="s">
        <v>37</v>
      </c>
      <c r="E1965" t="s">
        <v>170</v>
      </c>
      <c r="F1965">
        <v>4</v>
      </c>
      <c r="G1965">
        <v>0.1</v>
      </c>
      <c r="H1965">
        <v>5040</v>
      </c>
      <c r="I1965">
        <v>1609.29</v>
      </c>
      <c r="J1965" t="s">
        <v>39</v>
      </c>
      <c r="K1965" t="s">
        <v>27</v>
      </c>
      <c r="L1965">
        <v>1260</v>
      </c>
      <c r="M1965">
        <v>31.93035714285714</v>
      </c>
      <c r="N1965" t="s">
        <v>8</v>
      </c>
      <c r="O1965" t="s">
        <v>1611</v>
      </c>
      <c r="P1965" t="s">
        <v>29</v>
      </c>
      <c r="Q1965" t="s">
        <v>131</v>
      </c>
      <c r="R1965" t="s">
        <v>289</v>
      </c>
      <c r="S1965" t="s">
        <v>290</v>
      </c>
      <c r="T1965" t="s">
        <v>1612</v>
      </c>
      <c r="U1965" t="s">
        <v>100</v>
      </c>
      <c r="V1965">
        <v>402.32249999999999</v>
      </c>
    </row>
    <row r="1966" spans="1:22" x14ac:dyDescent="0.3">
      <c r="A1966" t="s">
        <v>3374</v>
      </c>
      <c r="B1966" s="2">
        <v>46196</v>
      </c>
      <c r="C1966" t="s">
        <v>1338</v>
      </c>
      <c r="D1966" t="s">
        <v>37</v>
      </c>
      <c r="E1966" t="s">
        <v>190</v>
      </c>
      <c r="F1966">
        <v>3</v>
      </c>
      <c r="G1966">
        <v>0.15</v>
      </c>
      <c r="H1966">
        <v>10710</v>
      </c>
      <c r="I1966">
        <v>2018.15</v>
      </c>
      <c r="J1966" t="s">
        <v>65</v>
      </c>
      <c r="K1966" t="s">
        <v>40</v>
      </c>
      <c r="L1966">
        <v>3570</v>
      </c>
      <c r="M1966">
        <v>18.843604108309989</v>
      </c>
      <c r="N1966" t="s">
        <v>8</v>
      </c>
      <c r="O1966" t="s">
        <v>82</v>
      </c>
      <c r="P1966" t="s">
        <v>29</v>
      </c>
      <c r="Q1966" t="s">
        <v>74</v>
      </c>
      <c r="R1966" t="s">
        <v>75</v>
      </c>
      <c r="S1966" t="s">
        <v>75</v>
      </c>
      <c r="T1966" t="s">
        <v>1339</v>
      </c>
      <c r="U1966" t="s">
        <v>100</v>
      </c>
      <c r="V1966">
        <v>672.7166666666667</v>
      </c>
    </row>
    <row r="1967" spans="1:22" x14ac:dyDescent="0.3">
      <c r="A1967" t="s">
        <v>3375</v>
      </c>
      <c r="B1967" s="2">
        <v>46117</v>
      </c>
      <c r="C1967" t="s">
        <v>1803</v>
      </c>
      <c r="D1967" t="s">
        <v>37</v>
      </c>
      <c r="E1967" t="s">
        <v>310</v>
      </c>
      <c r="F1967">
        <v>1</v>
      </c>
      <c r="G1967">
        <v>0.1</v>
      </c>
      <c r="H1967">
        <v>1980</v>
      </c>
      <c r="I1967">
        <v>587.65</v>
      </c>
      <c r="J1967" t="s">
        <v>65</v>
      </c>
      <c r="K1967" t="s">
        <v>40</v>
      </c>
      <c r="L1967">
        <v>1980</v>
      </c>
      <c r="M1967">
        <v>29.679292929292931</v>
      </c>
      <c r="N1967" t="s">
        <v>8</v>
      </c>
      <c r="O1967" t="s">
        <v>1804</v>
      </c>
      <c r="P1967" t="s">
        <v>29</v>
      </c>
      <c r="Q1967" t="s">
        <v>74</v>
      </c>
      <c r="R1967" t="s">
        <v>115</v>
      </c>
      <c r="S1967" t="s">
        <v>115</v>
      </c>
      <c r="T1967" t="s">
        <v>604</v>
      </c>
      <c r="U1967" t="s">
        <v>46</v>
      </c>
      <c r="V1967">
        <v>587.65</v>
      </c>
    </row>
    <row r="1968" spans="1:22" x14ac:dyDescent="0.3">
      <c r="A1968" t="s">
        <v>3376</v>
      </c>
      <c r="B1968" s="2">
        <v>45940</v>
      </c>
      <c r="C1968" t="s">
        <v>23</v>
      </c>
      <c r="D1968" t="s">
        <v>49</v>
      </c>
      <c r="E1968" t="s">
        <v>79</v>
      </c>
      <c r="F1968">
        <v>3</v>
      </c>
      <c r="G1968">
        <v>0.05</v>
      </c>
      <c r="H1968">
        <v>31350</v>
      </c>
      <c r="I1968">
        <v>7034.78</v>
      </c>
      <c r="J1968" t="s">
        <v>26</v>
      </c>
      <c r="K1968" t="s">
        <v>40</v>
      </c>
      <c r="L1968">
        <v>10450</v>
      </c>
      <c r="M1968">
        <v>22.439489633173839</v>
      </c>
      <c r="N1968" t="s">
        <v>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 t="s">
        <v>33</v>
      </c>
      <c r="U1968" t="s">
        <v>34</v>
      </c>
      <c r="V1968">
        <v>2344.9266666666672</v>
      </c>
    </row>
    <row r="1969" spans="1:22" x14ac:dyDescent="0.3">
      <c r="A1969" t="s">
        <v>3377</v>
      </c>
      <c r="B1969" s="2">
        <v>46130</v>
      </c>
      <c r="C1969" t="s">
        <v>941</v>
      </c>
      <c r="D1969" t="s">
        <v>70</v>
      </c>
      <c r="E1969" t="s">
        <v>129</v>
      </c>
      <c r="F1969">
        <v>1</v>
      </c>
      <c r="G1969">
        <v>0.1</v>
      </c>
      <c r="H1969">
        <v>49500</v>
      </c>
      <c r="I1969">
        <v>5131.6000000000004</v>
      </c>
      <c r="J1969" t="s">
        <v>26</v>
      </c>
      <c r="K1969" t="s">
        <v>27</v>
      </c>
      <c r="L1969">
        <v>49500</v>
      </c>
      <c r="M1969">
        <v>10.36686868686869</v>
      </c>
      <c r="N1969" t="s">
        <v>8</v>
      </c>
      <c r="O1969" t="s">
        <v>942</v>
      </c>
      <c r="P1969" t="s">
        <v>73</v>
      </c>
      <c r="Q1969" t="s">
        <v>42</v>
      </c>
      <c r="R1969" t="s">
        <v>110</v>
      </c>
      <c r="S1969" t="s">
        <v>111</v>
      </c>
      <c r="T1969" t="s">
        <v>943</v>
      </c>
      <c r="U1969" t="s">
        <v>46</v>
      </c>
      <c r="V1969">
        <v>5131.6000000000004</v>
      </c>
    </row>
    <row r="1970" spans="1:22" x14ac:dyDescent="0.3">
      <c r="A1970" t="s">
        <v>3378</v>
      </c>
      <c r="B1970" s="2">
        <v>45972</v>
      </c>
      <c r="C1970" t="s">
        <v>2210</v>
      </c>
      <c r="D1970" t="s">
        <v>70</v>
      </c>
      <c r="E1970" t="s">
        <v>129</v>
      </c>
      <c r="F1970">
        <v>1</v>
      </c>
      <c r="G1970">
        <v>0.15</v>
      </c>
      <c r="H1970">
        <v>46750</v>
      </c>
      <c r="I1970">
        <v>2942.31</v>
      </c>
      <c r="J1970" t="s">
        <v>39</v>
      </c>
      <c r="K1970" t="s">
        <v>40</v>
      </c>
      <c r="L1970">
        <v>46750</v>
      </c>
      <c r="M1970">
        <v>6.2937112299465232</v>
      </c>
      <c r="N1970" t="s">
        <v>8</v>
      </c>
      <c r="O1970" t="s">
        <v>2211</v>
      </c>
      <c r="P1970" t="s">
        <v>83</v>
      </c>
      <c r="Q1970" t="s">
        <v>42</v>
      </c>
      <c r="R1970" t="s">
        <v>110</v>
      </c>
      <c r="S1970" t="s">
        <v>111</v>
      </c>
      <c r="T1970" t="s">
        <v>1156</v>
      </c>
      <c r="U1970" t="s">
        <v>100</v>
      </c>
      <c r="V1970">
        <v>2942.31</v>
      </c>
    </row>
    <row r="1971" spans="1:22" x14ac:dyDescent="0.3">
      <c r="A1971" t="s">
        <v>3379</v>
      </c>
      <c r="B1971" s="2">
        <v>46202</v>
      </c>
      <c r="C1971" t="s">
        <v>769</v>
      </c>
      <c r="D1971" t="s">
        <v>24</v>
      </c>
      <c r="E1971" t="s">
        <v>87</v>
      </c>
      <c r="F1971">
        <v>5</v>
      </c>
      <c r="G1971">
        <v>0.2</v>
      </c>
      <c r="H1971">
        <v>1400</v>
      </c>
      <c r="I1971">
        <v>389.07</v>
      </c>
      <c r="J1971" t="s">
        <v>26</v>
      </c>
      <c r="K1971" t="s">
        <v>27</v>
      </c>
      <c r="L1971">
        <v>280</v>
      </c>
      <c r="M1971">
        <v>27.79071428571428</v>
      </c>
      <c r="N1971" t="s">
        <v>8</v>
      </c>
      <c r="O1971" t="s">
        <v>374</v>
      </c>
      <c r="P1971" t="s">
        <v>29</v>
      </c>
      <c r="Q1971" t="s">
        <v>42</v>
      </c>
      <c r="R1971" t="s">
        <v>121</v>
      </c>
      <c r="S1971" t="s">
        <v>44</v>
      </c>
      <c r="T1971" t="s">
        <v>172</v>
      </c>
      <c r="U1971" t="s">
        <v>46</v>
      </c>
      <c r="V1971">
        <v>77.813999999999993</v>
      </c>
    </row>
    <row r="1972" spans="1:22" x14ac:dyDescent="0.3">
      <c r="A1972" t="s">
        <v>3380</v>
      </c>
      <c r="B1972" s="2">
        <v>46069</v>
      </c>
      <c r="C1972" t="s">
        <v>577</v>
      </c>
      <c r="D1972" t="s">
        <v>24</v>
      </c>
      <c r="E1972" t="s">
        <v>242</v>
      </c>
      <c r="F1972">
        <v>1</v>
      </c>
      <c r="G1972">
        <v>0.1</v>
      </c>
      <c r="H1972">
        <v>405</v>
      </c>
      <c r="I1972">
        <v>87.07</v>
      </c>
      <c r="J1972" t="s">
        <v>51</v>
      </c>
      <c r="K1972" t="s">
        <v>40</v>
      </c>
      <c r="L1972">
        <v>405</v>
      </c>
      <c r="M1972">
        <v>21.498765432098761</v>
      </c>
      <c r="N1972" t="s">
        <v>8</v>
      </c>
      <c r="O1972" t="s">
        <v>578</v>
      </c>
      <c r="P1972" t="s">
        <v>73</v>
      </c>
      <c r="Q1972" t="s">
        <v>30</v>
      </c>
      <c r="R1972" t="s">
        <v>98</v>
      </c>
      <c r="S1972" t="s">
        <v>54</v>
      </c>
      <c r="T1972" t="s">
        <v>579</v>
      </c>
      <c r="U1972" t="s">
        <v>46</v>
      </c>
      <c r="V1972">
        <v>87.07</v>
      </c>
    </row>
    <row r="1973" spans="1:22" x14ac:dyDescent="0.3">
      <c r="A1973" t="s">
        <v>3381</v>
      </c>
      <c r="B1973" s="2">
        <v>46016</v>
      </c>
      <c r="C1973" t="s">
        <v>3382</v>
      </c>
      <c r="D1973" t="s">
        <v>70</v>
      </c>
      <c r="E1973" t="s">
        <v>165</v>
      </c>
      <c r="F1973">
        <v>5</v>
      </c>
      <c r="G1973">
        <v>0.1</v>
      </c>
      <c r="H1973">
        <v>11250</v>
      </c>
      <c r="I1973">
        <v>3147.89</v>
      </c>
      <c r="J1973" t="s">
        <v>39</v>
      </c>
      <c r="K1973" t="s">
        <v>40</v>
      </c>
      <c r="L1973">
        <v>2250</v>
      </c>
      <c r="M1973">
        <v>27.981244444444439</v>
      </c>
      <c r="N1973" t="s">
        <v>8</v>
      </c>
      <c r="O1973" t="s">
        <v>1566</v>
      </c>
      <c r="P1973" t="s">
        <v>29</v>
      </c>
      <c r="Q1973" t="s">
        <v>42</v>
      </c>
      <c r="R1973" t="s">
        <v>121</v>
      </c>
      <c r="S1973" t="s">
        <v>44</v>
      </c>
      <c r="T1973" t="s">
        <v>3383</v>
      </c>
      <c r="U1973" t="s">
        <v>46</v>
      </c>
      <c r="V1973">
        <v>629.57799999999997</v>
      </c>
    </row>
    <row r="1974" spans="1:22" x14ac:dyDescent="0.3">
      <c r="A1974" t="s">
        <v>3384</v>
      </c>
      <c r="B1974" s="2">
        <v>46126</v>
      </c>
      <c r="C1974" t="s">
        <v>1158</v>
      </c>
      <c r="D1974" t="s">
        <v>49</v>
      </c>
      <c r="E1974" t="s">
        <v>58</v>
      </c>
      <c r="F1974">
        <v>3</v>
      </c>
      <c r="G1974">
        <v>0</v>
      </c>
      <c r="H1974">
        <v>45000</v>
      </c>
      <c r="I1974">
        <v>10500</v>
      </c>
      <c r="J1974" t="s">
        <v>26</v>
      </c>
      <c r="K1974" t="s">
        <v>27</v>
      </c>
      <c r="L1974">
        <v>15000</v>
      </c>
      <c r="M1974">
        <v>23.333333333333329</v>
      </c>
      <c r="N1974" t="s">
        <v>8</v>
      </c>
      <c r="O1974" t="s">
        <v>844</v>
      </c>
      <c r="P1974" t="s">
        <v>29</v>
      </c>
      <c r="Q1974" t="s">
        <v>42</v>
      </c>
      <c r="R1974" t="s">
        <v>121</v>
      </c>
      <c r="S1974" t="s">
        <v>44</v>
      </c>
      <c r="T1974" t="s">
        <v>134</v>
      </c>
      <c r="U1974" t="s">
        <v>100</v>
      </c>
      <c r="V1974">
        <v>3500</v>
      </c>
    </row>
    <row r="1975" spans="1:22" x14ac:dyDescent="0.3">
      <c r="A1975" t="s">
        <v>3385</v>
      </c>
      <c r="B1975" s="2">
        <v>45997</v>
      </c>
      <c r="C1975" t="s">
        <v>983</v>
      </c>
      <c r="D1975" t="s">
        <v>49</v>
      </c>
      <c r="E1975" t="s">
        <v>50</v>
      </c>
      <c r="F1975">
        <v>6</v>
      </c>
      <c r="G1975">
        <v>0.15</v>
      </c>
      <c r="H1975">
        <v>66300</v>
      </c>
      <c r="I1975">
        <v>12394.97</v>
      </c>
      <c r="J1975" t="s">
        <v>26</v>
      </c>
      <c r="K1975" t="s">
        <v>40</v>
      </c>
      <c r="L1975">
        <v>11050</v>
      </c>
      <c r="M1975">
        <v>18.695279034690799</v>
      </c>
      <c r="N1975" t="s">
        <v>8</v>
      </c>
      <c r="O1975" t="s">
        <v>984</v>
      </c>
      <c r="P1975" t="s">
        <v>29</v>
      </c>
      <c r="Q1975" t="s">
        <v>30</v>
      </c>
      <c r="R1975" t="s">
        <v>31</v>
      </c>
      <c r="S1975" t="s">
        <v>32</v>
      </c>
      <c r="T1975" t="s">
        <v>985</v>
      </c>
      <c r="U1975" t="s">
        <v>46</v>
      </c>
      <c r="V1975">
        <v>2065.8283333333329</v>
      </c>
    </row>
    <row r="1976" spans="1:22" x14ac:dyDescent="0.3">
      <c r="A1976" t="s">
        <v>3386</v>
      </c>
      <c r="B1976" s="2">
        <v>46224</v>
      </c>
      <c r="C1976" t="s">
        <v>2010</v>
      </c>
      <c r="D1976" t="s">
        <v>49</v>
      </c>
      <c r="E1976" t="s">
        <v>79</v>
      </c>
      <c r="F1976">
        <v>15</v>
      </c>
      <c r="G1976">
        <v>0.3</v>
      </c>
      <c r="H1976">
        <v>115500</v>
      </c>
      <c r="I1976">
        <v>-33038.71</v>
      </c>
      <c r="J1976" t="s">
        <v>26</v>
      </c>
      <c r="K1976" t="s">
        <v>434</v>
      </c>
      <c r="L1976">
        <v>7700</v>
      </c>
      <c r="M1976">
        <v>-28.60494372294372</v>
      </c>
      <c r="N1976" t="s">
        <v>81</v>
      </c>
      <c r="O1976" t="s">
        <v>2011</v>
      </c>
      <c r="P1976" t="s">
        <v>73</v>
      </c>
      <c r="Q1976" t="s">
        <v>74</v>
      </c>
      <c r="R1976" t="s">
        <v>237</v>
      </c>
      <c r="S1976" t="s">
        <v>238</v>
      </c>
      <c r="T1976" t="s">
        <v>2012</v>
      </c>
      <c r="U1976" t="s">
        <v>105</v>
      </c>
      <c r="V1976">
        <v>-2202.5806666666672</v>
      </c>
    </row>
    <row r="1977" spans="1:22" x14ac:dyDescent="0.3">
      <c r="A1977" t="s">
        <v>3387</v>
      </c>
      <c r="B1977" s="2">
        <v>45849</v>
      </c>
      <c r="C1977" t="s">
        <v>2428</v>
      </c>
      <c r="D1977" t="s">
        <v>37</v>
      </c>
      <c r="E1977" t="s">
        <v>310</v>
      </c>
      <c r="F1977">
        <v>2</v>
      </c>
      <c r="G1977">
        <v>0</v>
      </c>
      <c r="H1977">
        <v>4400</v>
      </c>
      <c r="I1977">
        <v>1500</v>
      </c>
      <c r="J1977" t="s">
        <v>39</v>
      </c>
      <c r="K1977" t="s">
        <v>27</v>
      </c>
      <c r="L1977">
        <v>2200</v>
      </c>
      <c r="M1977">
        <v>34.090909090909093</v>
      </c>
      <c r="N1977" t="s">
        <v>8</v>
      </c>
      <c r="O1977" t="s">
        <v>349</v>
      </c>
      <c r="P1977" t="s">
        <v>73</v>
      </c>
      <c r="Q1977" t="s">
        <v>74</v>
      </c>
      <c r="R1977" t="s">
        <v>493</v>
      </c>
      <c r="S1977" t="s">
        <v>494</v>
      </c>
      <c r="T1977" t="s">
        <v>2429</v>
      </c>
      <c r="U1977" t="s">
        <v>105</v>
      </c>
      <c r="V1977">
        <v>750</v>
      </c>
    </row>
    <row r="1978" spans="1:22" x14ac:dyDescent="0.3">
      <c r="A1978" t="s">
        <v>3388</v>
      </c>
      <c r="B1978" s="2">
        <v>46015</v>
      </c>
      <c r="C1978" t="s">
        <v>1854</v>
      </c>
      <c r="D1978" t="s">
        <v>49</v>
      </c>
      <c r="E1978" t="s">
        <v>119</v>
      </c>
      <c r="F1978">
        <v>3</v>
      </c>
      <c r="G1978">
        <v>0.05</v>
      </c>
      <c r="H1978">
        <v>25650</v>
      </c>
      <c r="I1978">
        <v>6031.58</v>
      </c>
      <c r="J1978" t="s">
        <v>39</v>
      </c>
      <c r="K1978" t="s">
        <v>40</v>
      </c>
      <c r="L1978">
        <v>8550</v>
      </c>
      <c r="M1978">
        <v>23.514931773879141</v>
      </c>
      <c r="N1978" t="s">
        <v>8</v>
      </c>
      <c r="O1978" t="s">
        <v>773</v>
      </c>
      <c r="P1978" t="s">
        <v>83</v>
      </c>
      <c r="Q1978" t="s">
        <v>74</v>
      </c>
      <c r="R1978" t="s">
        <v>115</v>
      </c>
      <c r="S1978" t="s">
        <v>115</v>
      </c>
      <c r="T1978" t="s">
        <v>1855</v>
      </c>
      <c r="U1978" t="s">
        <v>34</v>
      </c>
      <c r="V1978">
        <v>2010.5266666666671</v>
      </c>
    </row>
    <row r="1979" spans="1:22" x14ac:dyDescent="0.3">
      <c r="A1979" t="s">
        <v>3389</v>
      </c>
      <c r="B1979" s="2">
        <v>45920</v>
      </c>
      <c r="C1979" t="s">
        <v>820</v>
      </c>
      <c r="D1979" t="s">
        <v>37</v>
      </c>
      <c r="E1979" t="s">
        <v>190</v>
      </c>
      <c r="F1979">
        <v>2</v>
      </c>
      <c r="G1979">
        <v>0.3</v>
      </c>
      <c r="H1979">
        <v>5880</v>
      </c>
      <c r="I1979">
        <v>1002.07</v>
      </c>
      <c r="J1979" t="s">
        <v>26</v>
      </c>
      <c r="K1979" t="s">
        <v>40</v>
      </c>
      <c r="L1979">
        <v>2940</v>
      </c>
      <c r="M1979">
        <v>17.04200680272109</v>
      </c>
      <c r="N1979" t="s">
        <v>8</v>
      </c>
      <c r="O1979" t="s">
        <v>821</v>
      </c>
      <c r="P1979" t="s">
        <v>29</v>
      </c>
      <c r="Q1979" t="s">
        <v>74</v>
      </c>
      <c r="R1979" t="s">
        <v>237</v>
      </c>
      <c r="S1979" t="s">
        <v>238</v>
      </c>
      <c r="T1979" t="s">
        <v>822</v>
      </c>
      <c r="U1979" t="s">
        <v>34</v>
      </c>
      <c r="V1979">
        <v>501.03500000000003</v>
      </c>
    </row>
    <row r="1980" spans="1:22" x14ac:dyDescent="0.3">
      <c r="A1980" t="s">
        <v>3390</v>
      </c>
      <c r="B1980" s="2">
        <v>45984</v>
      </c>
      <c r="C1980" t="s">
        <v>598</v>
      </c>
      <c r="D1980" t="s">
        <v>37</v>
      </c>
      <c r="E1980" t="s">
        <v>170</v>
      </c>
      <c r="F1980">
        <v>2</v>
      </c>
      <c r="G1980">
        <v>0.2</v>
      </c>
      <c r="H1980">
        <v>2240</v>
      </c>
      <c r="I1980">
        <v>607.04</v>
      </c>
      <c r="J1980" t="s">
        <v>26</v>
      </c>
      <c r="K1980" t="s">
        <v>40</v>
      </c>
      <c r="L1980">
        <v>1120</v>
      </c>
      <c r="M1980">
        <v>27.1</v>
      </c>
      <c r="N1980" t="s">
        <v>8</v>
      </c>
      <c r="O1980" t="s">
        <v>599</v>
      </c>
      <c r="P1980" t="s">
        <v>600</v>
      </c>
      <c r="Q1980" t="s">
        <v>131</v>
      </c>
      <c r="R1980" t="s">
        <v>200</v>
      </c>
      <c r="S1980" t="s">
        <v>201</v>
      </c>
      <c r="T1980" t="s">
        <v>601</v>
      </c>
      <c r="U1980" t="s">
        <v>34</v>
      </c>
      <c r="V1980">
        <v>303.52</v>
      </c>
    </row>
    <row r="1981" spans="1:22" x14ac:dyDescent="0.3">
      <c r="A1981" t="s">
        <v>3391</v>
      </c>
      <c r="B1981" s="2">
        <v>46119</v>
      </c>
      <c r="C1981" t="s">
        <v>2233</v>
      </c>
      <c r="D1981" t="s">
        <v>37</v>
      </c>
      <c r="E1981" t="s">
        <v>170</v>
      </c>
      <c r="F1981">
        <v>3</v>
      </c>
      <c r="G1981">
        <v>0</v>
      </c>
      <c r="H1981">
        <v>4200</v>
      </c>
      <c r="I1981">
        <v>1500</v>
      </c>
      <c r="J1981" t="s">
        <v>26</v>
      </c>
      <c r="K1981" t="s">
        <v>40</v>
      </c>
      <c r="L1981">
        <v>1400</v>
      </c>
      <c r="M1981">
        <v>35.714285714285722</v>
      </c>
      <c r="N1981" t="s">
        <v>8</v>
      </c>
      <c r="O1981" t="s">
        <v>398</v>
      </c>
      <c r="P1981" t="s">
        <v>73</v>
      </c>
      <c r="Q1981" t="s">
        <v>74</v>
      </c>
      <c r="R1981" t="s">
        <v>75</v>
      </c>
      <c r="S1981" t="s">
        <v>75</v>
      </c>
      <c r="T1981" t="s">
        <v>391</v>
      </c>
      <c r="U1981" t="s">
        <v>46</v>
      </c>
      <c r="V1981">
        <v>500</v>
      </c>
    </row>
    <row r="1982" spans="1:22" x14ac:dyDescent="0.3">
      <c r="A1982" t="s">
        <v>3392</v>
      </c>
      <c r="B1982" s="2">
        <v>45981</v>
      </c>
      <c r="C1982" t="s">
        <v>1008</v>
      </c>
      <c r="D1982" t="s">
        <v>24</v>
      </c>
      <c r="E1982" t="s">
        <v>242</v>
      </c>
      <c r="F1982">
        <v>4</v>
      </c>
      <c r="G1982">
        <v>0</v>
      </c>
      <c r="H1982">
        <v>1800</v>
      </c>
      <c r="I1982">
        <v>440</v>
      </c>
      <c r="J1982" t="s">
        <v>51</v>
      </c>
      <c r="K1982" t="s">
        <v>27</v>
      </c>
      <c r="L1982">
        <v>450</v>
      </c>
      <c r="M1982">
        <v>24.444444444444439</v>
      </c>
      <c r="N1982" t="s">
        <v>8</v>
      </c>
      <c r="O1982" t="s">
        <v>1009</v>
      </c>
      <c r="P1982" t="s">
        <v>83</v>
      </c>
      <c r="Q1982" t="s">
        <v>42</v>
      </c>
      <c r="R1982" t="s">
        <v>214</v>
      </c>
      <c r="S1982" t="s">
        <v>111</v>
      </c>
      <c r="T1982" t="s">
        <v>848</v>
      </c>
      <c r="U1982" t="s">
        <v>100</v>
      </c>
      <c r="V1982">
        <v>110</v>
      </c>
    </row>
    <row r="1983" spans="1:22" x14ac:dyDescent="0.3">
      <c r="A1983" t="s">
        <v>3393</v>
      </c>
      <c r="B1983" s="2">
        <v>46174</v>
      </c>
      <c r="C1983" t="s">
        <v>814</v>
      </c>
      <c r="D1983" t="s">
        <v>70</v>
      </c>
      <c r="E1983" t="s">
        <v>129</v>
      </c>
      <c r="F1983">
        <v>10</v>
      </c>
      <c r="G1983">
        <v>0.2</v>
      </c>
      <c r="H1983">
        <v>440000</v>
      </c>
      <c r="I1983">
        <v>-2323.52</v>
      </c>
      <c r="J1983" t="s">
        <v>65</v>
      </c>
      <c r="K1983" t="s">
        <v>40</v>
      </c>
      <c r="L1983">
        <v>44000</v>
      </c>
      <c r="M1983">
        <v>-0.52807272727272725</v>
      </c>
      <c r="N1983" t="s">
        <v>81</v>
      </c>
      <c r="O1983" t="s">
        <v>815</v>
      </c>
      <c r="P1983" t="s">
        <v>73</v>
      </c>
      <c r="Q1983" t="s">
        <v>42</v>
      </c>
      <c r="R1983" t="s">
        <v>121</v>
      </c>
      <c r="S1983" t="s">
        <v>44</v>
      </c>
      <c r="T1983" t="s">
        <v>816</v>
      </c>
      <c r="U1983" t="s">
        <v>46</v>
      </c>
      <c r="V1983">
        <v>-232.352</v>
      </c>
    </row>
    <row r="1984" spans="1:22" x14ac:dyDescent="0.3">
      <c r="A1984" t="s">
        <v>3394</v>
      </c>
      <c r="B1984" s="2">
        <v>46151</v>
      </c>
      <c r="C1984" t="s">
        <v>1524</v>
      </c>
      <c r="D1984" t="s">
        <v>49</v>
      </c>
      <c r="E1984" t="s">
        <v>119</v>
      </c>
      <c r="F1984">
        <v>1</v>
      </c>
      <c r="G1984">
        <v>0.05</v>
      </c>
      <c r="H1984">
        <v>8550</v>
      </c>
      <c r="I1984">
        <v>1978.02</v>
      </c>
      <c r="J1984" t="s">
        <v>65</v>
      </c>
      <c r="K1984" t="s">
        <v>40</v>
      </c>
      <c r="L1984">
        <v>8550</v>
      </c>
      <c r="M1984">
        <v>23.134736842105259</v>
      </c>
      <c r="N1984" t="s">
        <v>8</v>
      </c>
      <c r="O1984" t="s">
        <v>243</v>
      </c>
      <c r="P1984" t="s">
        <v>73</v>
      </c>
      <c r="Q1984" t="s">
        <v>74</v>
      </c>
      <c r="R1984" t="s">
        <v>493</v>
      </c>
      <c r="S1984" t="s">
        <v>494</v>
      </c>
      <c r="T1984" t="s">
        <v>1525</v>
      </c>
      <c r="U1984" t="s">
        <v>34</v>
      </c>
      <c r="V1984">
        <v>1978.02</v>
      </c>
    </row>
    <row r="1985" spans="1:22" x14ac:dyDescent="0.3">
      <c r="A1985" t="s">
        <v>3395</v>
      </c>
      <c r="B1985" s="2">
        <v>46061</v>
      </c>
      <c r="C1985" t="s">
        <v>933</v>
      </c>
      <c r="D1985" t="s">
        <v>49</v>
      </c>
      <c r="E1985" t="s">
        <v>119</v>
      </c>
      <c r="F1985">
        <v>4</v>
      </c>
      <c r="G1985">
        <v>0.1</v>
      </c>
      <c r="H1985">
        <v>32400</v>
      </c>
      <c r="I1985">
        <v>6627.87</v>
      </c>
      <c r="J1985" t="s">
        <v>26</v>
      </c>
      <c r="K1985" t="s">
        <v>40</v>
      </c>
      <c r="L1985">
        <v>8100</v>
      </c>
      <c r="M1985">
        <v>20.456388888888888</v>
      </c>
      <c r="N1985" t="s">
        <v>8</v>
      </c>
      <c r="O1985" t="s">
        <v>233</v>
      </c>
      <c r="P1985" t="s">
        <v>29</v>
      </c>
      <c r="Q1985" t="s">
        <v>30</v>
      </c>
      <c r="R1985" t="s">
        <v>31</v>
      </c>
      <c r="S1985" t="s">
        <v>32</v>
      </c>
      <c r="T1985" t="s">
        <v>934</v>
      </c>
      <c r="U1985" t="s">
        <v>34</v>
      </c>
      <c r="V1985">
        <v>1656.9675</v>
      </c>
    </row>
    <row r="1986" spans="1:22" x14ac:dyDescent="0.3">
      <c r="A1986" t="s">
        <v>3396</v>
      </c>
      <c r="B1986" s="2">
        <v>46073</v>
      </c>
      <c r="C1986" t="s">
        <v>469</v>
      </c>
      <c r="D1986" t="s">
        <v>49</v>
      </c>
      <c r="E1986" t="s">
        <v>79</v>
      </c>
      <c r="F1986">
        <v>1</v>
      </c>
      <c r="G1986">
        <v>0.1</v>
      </c>
      <c r="H1986">
        <v>9900</v>
      </c>
      <c r="I1986">
        <v>1728.35</v>
      </c>
      <c r="J1986" t="s">
        <v>65</v>
      </c>
      <c r="K1986" t="s">
        <v>40</v>
      </c>
      <c r="L1986">
        <v>9900</v>
      </c>
      <c r="M1986">
        <v>17.458080808080801</v>
      </c>
      <c r="N1986" t="s">
        <v>8</v>
      </c>
      <c r="O1986" t="s">
        <v>470</v>
      </c>
      <c r="P1986" t="s">
        <v>83</v>
      </c>
      <c r="Q1986" t="s">
        <v>30</v>
      </c>
      <c r="R1986" t="s">
        <v>31</v>
      </c>
      <c r="S1986" t="s">
        <v>32</v>
      </c>
      <c r="T1986" t="s">
        <v>471</v>
      </c>
      <c r="U1986" t="s">
        <v>100</v>
      </c>
      <c r="V1986">
        <v>1728.35</v>
      </c>
    </row>
    <row r="1987" spans="1:22" x14ac:dyDescent="0.3">
      <c r="A1987" t="s">
        <v>3397</v>
      </c>
      <c r="B1987" s="2">
        <v>46169</v>
      </c>
      <c r="C1987" t="s">
        <v>1723</v>
      </c>
      <c r="D1987" t="s">
        <v>37</v>
      </c>
      <c r="E1987" t="s">
        <v>38</v>
      </c>
      <c r="F1987">
        <v>1</v>
      </c>
      <c r="G1987">
        <v>0.2</v>
      </c>
      <c r="H1987">
        <v>1440</v>
      </c>
      <c r="I1987">
        <v>385.66</v>
      </c>
      <c r="J1987" t="s">
        <v>51</v>
      </c>
      <c r="K1987" t="s">
        <v>40</v>
      </c>
      <c r="L1987">
        <v>1440</v>
      </c>
      <c r="M1987">
        <v>26.781944444444441</v>
      </c>
      <c r="N1987" t="s">
        <v>8</v>
      </c>
      <c r="O1987" t="s">
        <v>398</v>
      </c>
      <c r="P1987" t="s">
        <v>83</v>
      </c>
      <c r="Q1987" t="s">
        <v>30</v>
      </c>
      <c r="R1987" t="s">
        <v>98</v>
      </c>
      <c r="S1987" t="s">
        <v>54</v>
      </c>
      <c r="T1987" t="s">
        <v>1724</v>
      </c>
      <c r="U1987" t="s">
        <v>46</v>
      </c>
      <c r="V1987">
        <v>385.66</v>
      </c>
    </row>
    <row r="1988" spans="1:22" x14ac:dyDescent="0.3">
      <c r="A1988" t="s">
        <v>3398</v>
      </c>
      <c r="B1988" s="2">
        <v>46128</v>
      </c>
      <c r="C1988" t="s">
        <v>136</v>
      </c>
      <c r="D1988" t="s">
        <v>37</v>
      </c>
      <c r="E1988" t="s">
        <v>190</v>
      </c>
      <c r="F1988">
        <v>1</v>
      </c>
      <c r="G1988">
        <v>0</v>
      </c>
      <c r="H1988">
        <v>4200</v>
      </c>
      <c r="I1988">
        <v>1200</v>
      </c>
      <c r="J1988" t="s">
        <v>26</v>
      </c>
      <c r="K1988" t="s">
        <v>40</v>
      </c>
      <c r="L1988">
        <v>4200</v>
      </c>
      <c r="M1988">
        <v>28.571428571428569</v>
      </c>
      <c r="N1988" t="s">
        <v>8</v>
      </c>
      <c r="O1988" t="s">
        <v>137</v>
      </c>
      <c r="P1988" t="s">
        <v>83</v>
      </c>
      <c r="Q1988" t="s">
        <v>42</v>
      </c>
      <c r="R1988" t="s">
        <v>110</v>
      </c>
      <c r="S1988" t="s">
        <v>111</v>
      </c>
      <c r="T1988" t="s">
        <v>138</v>
      </c>
      <c r="U1988" t="s">
        <v>34</v>
      </c>
      <c r="V1988">
        <v>1200</v>
      </c>
    </row>
    <row r="1989" spans="1:22" x14ac:dyDescent="0.3">
      <c r="A1989" t="s">
        <v>3399</v>
      </c>
      <c r="B1989" s="2">
        <v>46013</v>
      </c>
      <c r="C1989" t="s">
        <v>1761</v>
      </c>
      <c r="D1989" t="s">
        <v>37</v>
      </c>
      <c r="E1989" t="s">
        <v>38</v>
      </c>
      <c r="F1989">
        <v>1</v>
      </c>
      <c r="G1989">
        <v>0.05</v>
      </c>
      <c r="H1989">
        <v>1710</v>
      </c>
      <c r="I1989">
        <v>592.98</v>
      </c>
      <c r="J1989" t="s">
        <v>65</v>
      </c>
      <c r="K1989" t="s">
        <v>27</v>
      </c>
      <c r="L1989">
        <v>1710</v>
      </c>
      <c r="M1989">
        <v>34.677192982456141</v>
      </c>
      <c r="N1989" t="s">
        <v>8</v>
      </c>
      <c r="O1989" t="s">
        <v>1762</v>
      </c>
      <c r="P1989" t="s">
        <v>83</v>
      </c>
      <c r="Q1989" t="s">
        <v>74</v>
      </c>
      <c r="R1989" t="s">
        <v>493</v>
      </c>
      <c r="S1989" t="s">
        <v>494</v>
      </c>
      <c r="T1989" t="s">
        <v>1763</v>
      </c>
      <c r="U1989" t="s">
        <v>34</v>
      </c>
      <c r="V1989">
        <v>592.98</v>
      </c>
    </row>
    <row r="1990" spans="1:22" x14ac:dyDescent="0.3">
      <c r="A1990" t="s">
        <v>3400</v>
      </c>
      <c r="B1990" s="2">
        <v>46248</v>
      </c>
      <c r="C1990" t="s">
        <v>1056</v>
      </c>
      <c r="D1990" t="s">
        <v>24</v>
      </c>
      <c r="E1990" t="s">
        <v>92</v>
      </c>
      <c r="F1990">
        <v>5</v>
      </c>
      <c r="G1990">
        <v>0.15</v>
      </c>
      <c r="H1990">
        <v>3825</v>
      </c>
      <c r="I1990">
        <v>906.98</v>
      </c>
      <c r="J1990" t="s">
        <v>26</v>
      </c>
      <c r="K1990" t="s">
        <v>27</v>
      </c>
      <c r="L1990">
        <v>765</v>
      </c>
      <c r="M1990">
        <v>23.711895424836602</v>
      </c>
      <c r="N1990" t="s">
        <v>8</v>
      </c>
      <c r="O1990" t="s">
        <v>1057</v>
      </c>
      <c r="P1990" t="s">
        <v>29</v>
      </c>
      <c r="Q1990" t="s">
        <v>30</v>
      </c>
      <c r="R1990" t="s">
        <v>31</v>
      </c>
      <c r="S1990" t="s">
        <v>32</v>
      </c>
      <c r="T1990" t="s">
        <v>1058</v>
      </c>
      <c r="U1990" t="s">
        <v>34</v>
      </c>
      <c r="V1990">
        <v>181.39599999999999</v>
      </c>
    </row>
    <row r="1991" spans="1:22" x14ac:dyDescent="0.3">
      <c r="A1991" t="s">
        <v>3401</v>
      </c>
      <c r="B1991" s="2">
        <v>45935</v>
      </c>
      <c r="C1991" t="s">
        <v>57</v>
      </c>
      <c r="D1991" t="s">
        <v>49</v>
      </c>
      <c r="E1991" t="s">
        <v>50</v>
      </c>
      <c r="F1991">
        <v>4</v>
      </c>
      <c r="G1991">
        <v>0.05</v>
      </c>
      <c r="H1991">
        <v>49400</v>
      </c>
      <c r="I1991">
        <v>11564.15</v>
      </c>
      <c r="J1991" t="s">
        <v>65</v>
      </c>
      <c r="K1991" t="s">
        <v>40</v>
      </c>
      <c r="L1991">
        <v>12350</v>
      </c>
      <c r="M1991">
        <v>23.409210526315789</v>
      </c>
      <c r="N1991" t="s">
        <v>8</v>
      </c>
      <c r="O1991" t="s">
        <v>59</v>
      </c>
      <c r="P1991" t="s">
        <v>29</v>
      </c>
      <c r="Q1991" t="s">
        <v>30</v>
      </c>
      <c r="R1991" t="s">
        <v>60</v>
      </c>
      <c r="S1991" t="s">
        <v>61</v>
      </c>
      <c r="T1991" t="s">
        <v>62</v>
      </c>
      <c r="U1991" t="s">
        <v>34</v>
      </c>
      <c r="V1991">
        <v>2891.0374999999999</v>
      </c>
    </row>
    <row r="1992" spans="1:22" x14ac:dyDescent="0.3">
      <c r="A1992" t="s">
        <v>3402</v>
      </c>
      <c r="B1992" s="2">
        <v>46054</v>
      </c>
      <c r="C1992" t="s">
        <v>1901</v>
      </c>
      <c r="D1992" t="s">
        <v>49</v>
      </c>
      <c r="E1992" t="s">
        <v>58</v>
      </c>
      <c r="F1992">
        <v>6</v>
      </c>
      <c r="G1992">
        <v>0.05</v>
      </c>
      <c r="H1992">
        <v>85500</v>
      </c>
      <c r="I1992">
        <v>17679.060000000001</v>
      </c>
      <c r="J1992" t="s">
        <v>26</v>
      </c>
      <c r="K1992" t="s">
        <v>40</v>
      </c>
      <c r="L1992">
        <v>14250</v>
      </c>
      <c r="M1992">
        <v>20.677263157894739</v>
      </c>
      <c r="N1992" t="s">
        <v>8</v>
      </c>
      <c r="O1992" t="s">
        <v>1902</v>
      </c>
      <c r="P1992" t="s">
        <v>83</v>
      </c>
      <c r="Q1992" t="s">
        <v>42</v>
      </c>
      <c r="R1992" t="s">
        <v>121</v>
      </c>
      <c r="S1992" t="s">
        <v>44</v>
      </c>
      <c r="T1992" t="s">
        <v>1051</v>
      </c>
      <c r="U1992" t="s">
        <v>100</v>
      </c>
      <c r="V1992">
        <v>2946.51</v>
      </c>
    </row>
    <row r="1993" spans="1:22" x14ac:dyDescent="0.3">
      <c r="A1993" t="s">
        <v>3403</v>
      </c>
      <c r="B1993" s="2">
        <v>46004</v>
      </c>
      <c r="C1993" t="s">
        <v>69</v>
      </c>
      <c r="D1993" t="s">
        <v>37</v>
      </c>
      <c r="E1993" t="s">
        <v>310</v>
      </c>
      <c r="F1993">
        <v>4</v>
      </c>
      <c r="G1993">
        <v>0.1</v>
      </c>
      <c r="H1993">
        <v>7920</v>
      </c>
      <c r="I1993">
        <v>2296.41</v>
      </c>
      <c r="J1993" t="s">
        <v>51</v>
      </c>
      <c r="K1993" t="s">
        <v>40</v>
      </c>
      <c r="L1993">
        <v>1980</v>
      </c>
      <c r="M1993">
        <v>28.995075757575751</v>
      </c>
      <c r="N1993" t="s">
        <v>8</v>
      </c>
      <c r="O1993" t="s">
        <v>72</v>
      </c>
      <c r="P1993" t="s">
        <v>73</v>
      </c>
      <c r="Q1993" t="s">
        <v>74</v>
      </c>
      <c r="R1993" t="s">
        <v>75</v>
      </c>
      <c r="S1993" t="s">
        <v>75</v>
      </c>
      <c r="T1993" t="s">
        <v>76</v>
      </c>
      <c r="U1993" t="s">
        <v>34</v>
      </c>
      <c r="V1993">
        <v>574.10249999999996</v>
      </c>
    </row>
    <row r="1994" spans="1:22" x14ac:dyDescent="0.3">
      <c r="A1994" t="s">
        <v>3404</v>
      </c>
      <c r="B1994" s="2">
        <v>46142</v>
      </c>
      <c r="C1994" t="s">
        <v>1934</v>
      </c>
      <c r="D1994" t="s">
        <v>70</v>
      </c>
      <c r="E1994" t="s">
        <v>71</v>
      </c>
      <c r="F1994">
        <v>2</v>
      </c>
      <c r="G1994">
        <v>0.3</v>
      </c>
      <c r="H1994">
        <v>25200</v>
      </c>
      <c r="I1994">
        <v>-17324.419999999998</v>
      </c>
      <c r="J1994" t="s">
        <v>65</v>
      </c>
      <c r="K1994" t="s">
        <v>80</v>
      </c>
      <c r="L1994">
        <v>12600</v>
      </c>
      <c r="M1994">
        <v>-68.747698412698412</v>
      </c>
      <c r="N1994" t="s">
        <v>81</v>
      </c>
      <c r="O1994" t="s">
        <v>975</v>
      </c>
      <c r="P1994" t="s">
        <v>73</v>
      </c>
      <c r="Q1994" t="s">
        <v>74</v>
      </c>
      <c r="R1994" t="s">
        <v>75</v>
      </c>
      <c r="S1994" t="s">
        <v>75</v>
      </c>
      <c r="T1994" t="s">
        <v>1425</v>
      </c>
      <c r="U1994" t="s">
        <v>46</v>
      </c>
      <c r="V1994">
        <v>-8662.2099999999991</v>
      </c>
    </row>
    <row r="1995" spans="1:22" x14ac:dyDescent="0.3">
      <c r="A1995" t="s">
        <v>3405</v>
      </c>
      <c r="B1995" s="2">
        <v>45978</v>
      </c>
      <c r="C1995" t="s">
        <v>309</v>
      </c>
      <c r="D1995" t="s">
        <v>49</v>
      </c>
      <c r="E1995" t="s">
        <v>50</v>
      </c>
      <c r="F1995">
        <v>2</v>
      </c>
      <c r="G1995">
        <v>0.15</v>
      </c>
      <c r="H1995">
        <v>22100</v>
      </c>
      <c r="I1995">
        <v>4249.92</v>
      </c>
      <c r="J1995" t="s">
        <v>65</v>
      </c>
      <c r="K1995" t="s">
        <v>27</v>
      </c>
      <c r="L1995">
        <v>11050</v>
      </c>
      <c r="M1995">
        <v>19.230407239819009</v>
      </c>
      <c r="N1995" t="s">
        <v>8</v>
      </c>
      <c r="O1995" t="s">
        <v>59</v>
      </c>
      <c r="P1995" t="s">
        <v>73</v>
      </c>
      <c r="Q1995" t="s">
        <v>74</v>
      </c>
      <c r="R1995" t="s">
        <v>237</v>
      </c>
      <c r="S1995" t="s">
        <v>238</v>
      </c>
      <c r="T1995" t="s">
        <v>311</v>
      </c>
      <c r="U1995" t="s">
        <v>46</v>
      </c>
      <c r="V1995">
        <v>2124.96</v>
      </c>
    </row>
    <row r="1996" spans="1:22" x14ac:dyDescent="0.3">
      <c r="A1996" t="s">
        <v>3406</v>
      </c>
      <c r="B1996" s="2">
        <v>45906</v>
      </c>
      <c r="C1996" t="s">
        <v>136</v>
      </c>
      <c r="D1996" t="s">
        <v>70</v>
      </c>
      <c r="E1996" t="s">
        <v>129</v>
      </c>
      <c r="F1996">
        <v>2</v>
      </c>
      <c r="G1996">
        <v>0.05</v>
      </c>
      <c r="H1996">
        <v>104500</v>
      </c>
      <c r="I1996">
        <v>15124.97</v>
      </c>
      <c r="J1996" t="s">
        <v>39</v>
      </c>
      <c r="K1996" t="s">
        <v>27</v>
      </c>
      <c r="L1996">
        <v>52250</v>
      </c>
      <c r="M1996">
        <v>14.47365550239234</v>
      </c>
      <c r="N1996" t="s">
        <v>8</v>
      </c>
      <c r="O1996" t="s">
        <v>137</v>
      </c>
      <c r="P1996" t="s">
        <v>83</v>
      </c>
      <c r="Q1996" t="s">
        <v>42</v>
      </c>
      <c r="R1996" t="s">
        <v>110</v>
      </c>
      <c r="S1996" t="s">
        <v>111</v>
      </c>
      <c r="T1996" t="s">
        <v>138</v>
      </c>
      <c r="U1996" t="s">
        <v>34</v>
      </c>
      <c r="V1996">
        <v>7562.4849999999997</v>
      </c>
    </row>
    <row r="1997" spans="1:22" x14ac:dyDescent="0.3">
      <c r="A1997" t="s">
        <v>3407</v>
      </c>
      <c r="B1997" s="2">
        <v>46239</v>
      </c>
      <c r="C1997" t="s">
        <v>858</v>
      </c>
      <c r="D1997" t="s">
        <v>24</v>
      </c>
      <c r="E1997" t="s">
        <v>92</v>
      </c>
      <c r="F1997">
        <v>1</v>
      </c>
      <c r="G1997">
        <v>0.1</v>
      </c>
      <c r="H1997">
        <v>810</v>
      </c>
      <c r="I1997">
        <v>216.55</v>
      </c>
      <c r="J1997" t="s">
        <v>26</v>
      </c>
      <c r="K1997" t="s">
        <v>40</v>
      </c>
      <c r="L1997">
        <v>810</v>
      </c>
      <c r="M1997">
        <v>26.73456790123457</v>
      </c>
      <c r="N1997" t="s">
        <v>8</v>
      </c>
      <c r="O1997" t="s">
        <v>406</v>
      </c>
      <c r="P1997" t="s">
        <v>73</v>
      </c>
      <c r="Q1997" t="s">
        <v>30</v>
      </c>
      <c r="R1997" t="s">
        <v>53</v>
      </c>
      <c r="S1997" t="s">
        <v>54</v>
      </c>
      <c r="T1997" t="s">
        <v>859</v>
      </c>
      <c r="U1997" t="s">
        <v>105</v>
      </c>
      <c r="V1997">
        <v>216.55</v>
      </c>
    </row>
    <row r="1998" spans="1:22" x14ac:dyDescent="0.3">
      <c r="A1998" t="s">
        <v>3408</v>
      </c>
      <c r="B1998" s="2">
        <v>46071</v>
      </c>
      <c r="C1998" t="s">
        <v>1220</v>
      </c>
      <c r="D1998" t="s">
        <v>49</v>
      </c>
      <c r="E1998" t="s">
        <v>50</v>
      </c>
      <c r="F1998">
        <v>2</v>
      </c>
      <c r="G1998">
        <v>0.1</v>
      </c>
      <c r="H1998">
        <v>23400</v>
      </c>
      <c r="I1998">
        <v>4193.3100000000004</v>
      </c>
      <c r="J1998" t="s">
        <v>51</v>
      </c>
      <c r="K1998" t="s">
        <v>27</v>
      </c>
      <c r="L1998">
        <v>11700</v>
      </c>
      <c r="M1998">
        <v>17.920128205128211</v>
      </c>
      <c r="N1998" t="s">
        <v>8</v>
      </c>
      <c r="O1998" t="s">
        <v>333</v>
      </c>
      <c r="P1998" t="s">
        <v>29</v>
      </c>
      <c r="Q1998" t="s">
        <v>74</v>
      </c>
      <c r="R1998" t="s">
        <v>75</v>
      </c>
      <c r="S1998" t="s">
        <v>75</v>
      </c>
      <c r="T1998" t="s">
        <v>1221</v>
      </c>
      <c r="U1998" t="s">
        <v>105</v>
      </c>
      <c r="V1998">
        <v>2096.6550000000002</v>
      </c>
    </row>
    <row r="1999" spans="1:22" x14ac:dyDescent="0.3">
      <c r="A1999" t="s">
        <v>3409</v>
      </c>
      <c r="B1999" s="2">
        <v>46205</v>
      </c>
      <c r="C1999" t="s">
        <v>1360</v>
      </c>
      <c r="D1999" t="s">
        <v>70</v>
      </c>
      <c r="E1999" t="s">
        <v>129</v>
      </c>
      <c r="F1999">
        <v>1</v>
      </c>
      <c r="G1999">
        <v>0.1</v>
      </c>
      <c r="H1999">
        <v>49500</v>
      </c>
      <c r="I1999">
        <v>4637.33</v>
      </c>
      <c r="J1999" t="s">
        <v>65</v>
      </c>
      <c r="K1999" t="s">
        <v>40</v>
      </c>
      <c r="L1999">
        <v>49500</v>
      </c>
      <c r="M1999">
        <v>9.3683434343434353</v>
      </c>
      <c r="N1999" t="s">
        <v>8</v>
      </c>
      <c r="O1999" t="s">
        <v>553</v>
      </c>
      <c r="P1999" t="s">
        <v>83</v>
      </c>
      <c r="Q1999" t="s">
        <v>30</v>
      </c>
      <c r="R1999" t="s">
        <v>31</v>
      </c>
      <c r="S1999" t="s">
        <v>32</v>
      </c>
      <c r="T1999" t="s">
        <v>1361</v>
      </c>
      <c r="U1999" t="s">
        <v>34</v>
      </c>
      <c r="V1999">
        <v>4637.33</v>
      </c>
    </row>
    <row r="2000" spans="1:22" x14ac:dyDescent="0.3">
      <c r="A2000" t="s">
        <v>3410</v>
      </c>
      <c r="B2000" s="2">
        <v>45948</v>
      </c>
      <c r="C2000" t="s">
        <v>148</v>
      </c>
      <c r="D2000" t="s">
        <v>37</v>
      </c>
      <c r="E2000" t="s">
        <v>38</v>
      </c>
      <c r="F2000">
        <v>3</v>
      </c>
      <c r="G2000">
        <v>0.05</v>
      </c>
      <c r="H2000">
        <v>5130</v>
      </c>
      <c r="I2000">
        <v>-2268.4899999999998</v>
      </c>
      <c r="J2000" t="s">
        <v>26</v>
      </c>
      <c r="K2000" t="s">
        <v>80</v>
      </c>
      <c r="L2000">
        <v>1710</v>
      </c>
      <c r="M2000">
        <v>-44.220077972709547</v>
      </c>
      <c r="N2000" t="s">
        <v>81</v>
      </c>
      <c r="O2000" t="s">
        <v>149</v>
      </c>
      <c r="P2000" t="s">
        <v>29</v>
      </c>
      <c r="Q2000" t="s">
        <v>30</v>
      </c>
      <c r="R2000" t="s">
        <v>60</v>
      </c>
      <c r="S2000" t="s">
        <v>61</v>
      </c>
      <c r="T2000" t="s">
        <v>150</v>
      </c>
      <c r="U2000" t="s">
        <v>105</v>
      </c>
      <c r="V2000">
        <v>-756.1633333333333</v>
      </c>
    </row>
    <row r="2001" spans="1:22" x14ac:dyDescent="0.3">
      <c r="A2001" t="s">
        <v>3411</v>
      </c>
      <c r="B2001" s="2">
        <v>46074</v>
      </c>
      <c r="C2001" t="s">
        <v>983</v>
      </c>
      <c r="D2001" t="s">
        <v>49</v>
      </c>
      <c r="E2001" t="s">
        <v>50</v>
      </c>
      <c r="F2001">
        <v>1</v>
      </c>
      <c r="G2001">
        <v>0.15</v>
      </c>
      <c r="H2001">
        <v>11050</v>
      </c>
      <c r="I2001">
        <v>2275.6999999999998</v>
      </c>
      <c r="J2001" t="s">
        <v>39</v>
      </c>
      <c r="K2001" t="s">
        <v>40</v>
      </c>
      <c r="L2001">
        <v>11050</v>
      </c>
      <c r="M2001">
        <v>20.594570135746601</v>
      </c>
      <c r="N2001" t="s">
        <v>8</v>
      </c>
      <c r="O2001" t="s">
        <v>984</v>
      </c>
      <c r="P2001" t="s">
        <v>29</v>
      </c>
      <c r="Q2001" t="s">
        <v>30</v>
      </c>
      <c r="R2001" t="s">
        <v>31</v>
      </c>
      <c r="S2001" t="s">
        <v>32</v>
      </c>
      <c r="T2001" t="s">
        <v>985</v>
      </c>
      <c r="U2001" t="s">
        <v>46</v>
      </c>
      <c r="V2001">
        <v>2275.6999999999998</v>
      </c>
    </row>
    <row r="2002" spans="1:22" x14ac:dyDescent="0.3">
      <c r="A2002" t="s">
        <v>3412</v>
      </c>
      <c r="B2002" s="2">
        <v>45975</v>
      </c>
      <c r="C2002" t="s">
        <v>1091</v>
      </c>
      <c r="D2002" t="s">
        <v>24</v>
      </c>
      <c r="E2002" t="s">
        <v>25</v>
      </c>
      <c r="F2002">
        <v>1</v>
      </c>
      <c r="G2002">
        <v>0</v>
      </c>
      <c r="H2002">
        <v>14000</v>
      </c>
      <c r="I2002">
        <v>2800</v>
      </c>
      <c r="J2002" t="s">
        <v>65</v>
      </c>
      <c r="K2002" t="s">
        <v>40</v>
      </c>
      <c r="L2002">
        <v>14000</v>
      </c>
      <c r="M2002">
        <v>20</v>
      </c>
      <c r="N2002" t="s">
        <v>8</v>
      </c>
      <c r="O2002" t="s">
        <v>1018</v>
      </c>
      <c r="P2002" t="s">
        <v>83</v>
      </c>
      <c r="Q2002" t="s">
        <v>30</v>
      </c>
      <c r="R2002" t="s">
        <v>31</v>
      </c>
      <c r="S2002" t="s">
        <v>32</v>
      </c>
      <c r="T2002" t="s">
        <v>1092</v>
      </c>
      <c r="U2002" t="s">
        <v>105</v>
      </c>
      <c r="V2002">
        <v>2800</v>
      </c>
    </row>
    <row r="2003" spans="1:22" x14ac:dyDescent="0.3">
      <c r="A2003" t="s">
        <v>3413</v>
      </c>
      <c r="B2003" s="2">
        <v>46066</v>
      </c>
      <c r="C2003" t="s">
        <v>263</v>
      </c>
      <c r="D2003" t="s">
        <v>24</v>
      </c>
      <c r="E2003" t="s">
        <v>242</v>
      </c>
      <c r="F2003">
        <v>2</v>
      </c>
      <c r="G2003">
        <v>0.2</v>
      </c>
      <c r="H2003">
        <v>720</v>
      </c>
      <c r="I2003">
        <v>-133.49</v>
      </c>
      <c r="J2003" t="s">
        <v>51</v>
      </c>
      <c r="K2003" t="s">
        <v>434</v>
      </c>
      <c r="L2003">
        <v>360</v>
      </c>
      <c r="M2003">
        <v>-18.540277777777781</v>
      </c>
      <c r="N2003" t="s">
        <v>81</v>
      </c>
      <c r="O2003" t="s">
        <v>265</v>
      </c>
      <c r="P2003" t="s">
        <v>73</v>
      </c>
      <c r="Q2003" t="s">
        <v>30</v>
      </c>
      <c r="R2003" t="s">
        <v>31</v>
      </c>
      <c r="S2003" t="s">
        <v>32</v>
      </c>
      <c r="T2003" t="s">
        <v>266</v>
      </c>
      <c r="U2003" t="s">
        <v>46</v>
      </c>
      <c r="V2003">
        <v>-66.745000000000005</v>
      </c>
    </row>
    <row r="2004" spans="1:22" x14ac:dyDescent="0.3">
      <c r="A2004" t="s">
        <v>3414</v>
      </c>
      <c r="B2004" s="2">
        <v>45926</v>
      </c>
      <c r="C2004" t="s">
        <v>691</v>
      </c>
      <c r="D2004" t="s">
        <v>49</v>
      </c>
      <c r="E2004" t="s">
        <v>79</v>
      </c>
      <c r="F2004">
        <v>3</v>
      </c>
      <c r="G2004">
        <v>0.05</v>
      </c>
      <c r="H2004">
        <v>31350</v>
      </c>
      <c r="I2004">
        <v>6988.46</v>
      </c>
      <c r="J2004" t="s">
        <v>39</v>
      </c>
      <c r="K2004" t="s">
        <v>40</v>
      </c>
      <c r="L2004">
        <v>10450</v>
      </c>
      <c r="M2004">
        <v>22.291738437001591</v>
      </c>
      <c r="N2004" t="s">
        <v>8</v>
      </c>
      <c r="O2004" t="s">
        <v>692</v>
      </c>
      <c r="P2004" t="s">
        <v>73</v>
      </c>
      <c r="Q2004" t="s">
        <v>131</v>
      </c>
      <c r="R2004" t="s">
        <v>200</v>
      </c>
      <c r="S2004" t="s">
        <v>201</v>
      </c>
      <c r="T2004" t="s">
        <v>693</v>
      </c>
      <c r="U2004" t="s">
        <v>34</v>
      </c>
      <c r="V2004">
        <v>2329.4866666666671</v>
      </c>
    </row>
    <row r="2005" spans="1:22" x14ac:dyDescent="0.3">
      <c r="A2005" t="s">
        <v>3415</v>
      </c>
      <c r="B2005" s="2">
        <v>46044</v>
      </c>
      <c r="C2005" t="s">
        <v>788</v>
      </c>
      <c r="D2005" t="s">
        <v>37</v>
      </c>
      <c r="E2005" t="s">
        <v>170</v>
      </c>
      <c r="F2005">
        <v>2</v>
      </c>
      <c r="G2005">
        <v>0.15</v>
      </c>
      <c r="H2005">
        <v>2380</v>
      </c>
      <c r="I2005">
        <v>689.31</v>
      </c>
      <c r="J2005" t="s">
        <v>39</v>
      </c>
      <c r="K2005" t="s">
        <v>40</v>
      </c>
      <c r="L2005">
        <v>1190</v>
      </c>
      <c r="M2005">
        <v>28.962605042016801</v>
      </c>
      <c r="N2005" t="s">
        <v>8</v>
      </c>
      <c r="O2005" t="s">
        <v>789</v>
      </c>
      <c r="P2005" t="s">
        <v>83</v>
      </c>
      <c r="Q2005" t="s">
        <v>74</v>
      </c>
      <c r="R2005" t="s">
        <v>75</v>
      </c>
      <c r="S2005" t="s">
        <v>75</v>
      </c>
      <c r="T2005" t="s">
        <v>790</v>
      </c>
      <c r="U2005" t="s">
        <v>34</v>
      </c>
      <c r="V2005">
        <v>344.65499999999997</v>
      </c>
    </row>
    <row r="2006" spans="1:22" x14ac:dyDescent="0.3">
      <c r="A2006" t="s">
        <v>3416</v>
      </c>
      <c r="B2006" s="2">
        <v>45916</v>
      </c>
      <c r="C2006" t="s">
        <v>1069</v>
      </c>
      <c r="D2006" t="s">
        <v>49</v>
      </c>
      <c r="E2006" t="s">
        <v>58</v>
      </c>
      <c r="F2006">
        <v>3</v>
      </c>
      <c r="G2006">
        <v>0</v>
      </c>
      <c r="H2006">
        <v>45000</v>
      </c>
      <c r="I2006">
        <v>10500</v>
      </c>
      <c r="J2006" t="s">
        <v>39</v>
      </c>
      <c r="K2006" t="s">
        <v>40</v>
      </c>
      <c r="L2006">
        <v>15000</v>
      </c>
      <c r="M2006">
        <v>23.333333333333329</v>
      </c>
      <c r="N2006" t="s">
        <v>8</v>
      </c>
      <c r="O2006" t="s">
        <v>937</v>
      </c>
      <c r="P2006" t="s">
        <v>29</v>
      </c>
      <c r="Q2006" t="s">
        <v>42</v>
      </c>
      <c r="R2006" t="s">
        <v>121</v>
      </c>
      <c r="S2006" t="s">
        <v>44</v>
      </c>
      <c r="T2006" t="s">
        <v>1070</v>
      </c>
      <c r="U2006" t="s">
        <v>34</v>
      </c>
      <c r="V2006">
        <v>3500</v>
      </c>
    </row>
    <row r="2007" spans="1:22" x14ac:dyDescent="0.3">
      <c r="A2007" t="s">
        <v>3417</v>
      </c>
      <c r="B2007" s="2">
        <v>46017</v>
      </c>
      <c r="C2007" t="s">
        <v>204</v>
      </c>
      <c r="D2007" t="s">
        <v>49</v>
      </c>
      <c r="E2007" t="s">
        <v>50</v>
      </c>
      <c r="F2007">
        <v>5</v>
      </c>
      <c r="G2007">
        <v>0.1</v>
      </c>
      <c r="H2007">
        <v>58500</v>
      </c>
      <c r="I2007">
        <v>12674.28</v>
      </c>
      <c r="J2007" t="s">
        <v>39</v>
      </c>
      <c r="K2007" t="s">
        <v>40</v>
      </c>
      <c r="L2007">
        <v>11700</v>
      </c>
      <c r="M2007">
        <v>21.665435897435898</v>
      </c>
      <c r="N2007" t="s">
        <v>8</v>
      </c>
      <c r="O2007" t="s">
        <v>205</v>
      </c>
      <c r="P2007" t="s">
        <v>29</v>
      </c>
      <c r="Q2007" t="s">
        <v>30</v>
      </c>
      <c r="R2007" t="s">
        <v>98</v>
      </c>
      <c r="S2007" t="s">
        <v>54</v>
      </c>
      <c r="T2007" t="s">
        <v>206</v>
      </c>
      <c r="U2007" t="s">
        <v>34</v>
      </c>
      <c r="V2007">
        <v>2534.8560000000002</v>
      </c>
    </row>
    <row r="2008" spans="1:22" x14ac:dyDescent="0.3">
      <c r="A2008" t="s">
        <v>3418</v>
      </c>
      <c r="B2008" s="2">
        <v>45985</v>
      </c>
      <c r="C2008" t="s">
        <v>2257</v>
      </c>
      <c r="D2008" t="s">
        <v>70</v>
      </c>
      <c r="E2008" t="s">
        <v>108</v>
      </c>
      <c r="F2008">
        <v>10</v>
      </c>
      <c r="G2008">
        <v>0.2</v>
      </c>
      <c r="H2008">
        <v>36000</v>
      </c>
      <c r="I2008">
        <v>10043.81</v>
      </c>
      <c r="J2008" t="s">
        <v>51</v>
      </c>
      <c r="K2008" t="s">
        <v>40</v>
      </c>
      <c r="L2008">
        <v>3600</v>
      </c>
      <c r="M2008">
        <v>27.899472222222219</v>
      </c>
      <c r="N2008" t="s">
        <v>8</v>
      </c>
      <c r="O2008" t="s">
        <v>626</v>
      </c>
      <c r="P2008" t="s">
        <v>29</v>
      </c>
      <c r="Q2008" t="s">
        <v>42</v>
      </c>
      <c r="R2008" t="s">
        <v>110</v>
      </c>
      <c r="S2008" t="s">
        <v>111</v>
      </c>
      <c r="T2008" t="s">
        <v>2258</v>
      </c>
      <c r="U2008" t="s">
        <v>46</v>
      </c>
      <c r="V2008">
        <v>1004.381</v>
      </c>
    </row>
    <row r="2009" spans="1:22" x14ac:dyDescent="0.3">
      <c r="A2009" t="s">
        <v>3419</v>
      </c>
      <c r="B2009" s="2">
        <v>45888</v>
      </c>
      <c r="C2009" t="s">
        <v>559</v>
      </c>
      <c r="D2009" t="s">
        <v>49</v>
      </c>
      <c r="E2009" t="s">
        <v>119</v>
      </c>
      <c r="F2009">
        <v>1</v>
      </c>
      <c r="G2009">
        <v>0</v>
      </c>
      <c r="H2009">
        <v>9000</v>
      </c>
      <c r="I2009">
        <v>2300</v>
      </c>
      <c r="J2009" t="s">
        <v>65</v>
      </c>
      <c r="K2009" t="s">
        <v>27</v>
      </c>
      <c r="L2009">
        <v>9000</v>
      </c>
      <c r="M2009">
        <v>25.55555555555555</v>
      </c>
      <c r="N2009" t="s">
        <v>8</v>
      </c>
      <c r="O2009" t="s">
        <v>478</v>
      </c>
      <c r="P2009" t="s">
        <v>29</v>
      </c>
      <c r="Q2009" t="s">
        <v>30</v>
      </c>
      <c r="R2009" t="s">
        <v>53</v>
      </c>
      <c r="S2009" t="s">
        <v>54</v>
      </c>
      <c r="T2009" t="s">
        <v>560</v>
      </c>
      <c r="U2009" t="s">
        <v>34</v>
      </c>
      <c r="V2009">
        <v>2300</v>
      </c>
    </row>
    <row r="2010" spans="1:22" x14ac:dyDescent="0.3">
      <c r="A2010" t="s">
        <v>3420</v>
      </c>
      <c r="B2010" s="2">
        <v>46157</v>
      </c>
      <c r="C2010" t="s">
        <v>1704</v>
      </c>
      <c r="D2010" t="s">
        <v>24</v>
      </c>
      <c r="E2010" t="s">
        <v>87</v>
      </c>
      <c r="F2010">
        <v>1</v>
      </c>
      <c r="G2010">
        <v>0.15</v>
      </c>
      <c r="H2010">
        <v>297.5</v>
      </c>
      <c r="I2010">
        <v>88.09</v>
      </c>
      <c r="J2010" t="s">
        <v>65</v>
      </c>
      <c r="K2010" t="s">
        <v>40</v>
      </c>
      <c r="L2010">
        <v>297.5</v>
      </c>
      <c r="M2010">
        <v>29.61008403361345</v>
      </c>
      <c r="N2010" t="s">
        <v>8</v>
      </c>
      <c r="O2010" t="s">
        <v>636</v>
      </c>
      <c r="P2010" t="s">
        <v>29</v>
      </c>
      <c r="Q2010" t="s">
        <v>30</v>
      </c>
      <c r="R2010" t="s">
        <v>53</v>
      </c>
      <c r="S2010" t="s">
        <v>54</v>
      </c>
      <c r="T2010" t="s">
        <v>1705</v>
      </c>
      <c r="U2010" t="s">
        <v>34</v>
      </c>
      <c r="V2010">
        <v>88.09</v>
      </c>
    </row>
    <row r="2011" spans="1:22" x14ac:dyDescent="0.3">
      <c r="A2011" t="s">
        <v>3421</v>
      </c>
      <c r="B2011" s="2">
        <v>45936</v>
      </c>
      <c r="C2011" t="s">
        <v>1120</v>
      </c>
      <c r="D2011" t="s">
        <v>37</v>
      </c>
      <c r="E2011" t="s">
        <v>310</v>
      </c>
      <c r="F2011">
        <v>6</v>
      </c>
      <c r="G2011">
        <v>0.1</v>
      </c>
      <c r="H2011">
        <v>11880</v>
      </c>
      <c r="I2011">
        <v>3413.52</v>
      </c>
      <c r="J2011" t="s">
        <v>51</v>
      </c>
      <c r="K2011" t="s">
        <v>40</v>
      </c>
      <c r="L2011">
        <v>1980</v>
      </c>
      <c r="M2011">
        <v>28.733333333333331</v>
      </c>
      <c r="N2011" t="s">
        <v>8</v>
      </c>
      <c r="O2011" t="s">
        <v>1121</v>
      </c>
      <c r="P2011" t="s">
        <v>73</v>
      </c>
      <c r="Q2011" t="s">
        <v>74</v>
      </c>
      <c r="R2011" t="s">
        <v>493</v>
      </c>
      <c r="S2011" t="s">
        <v>494</v>
      </c>
      <c r="T2011" t="s">
        <v>1122</v>
      </c>
      <c r="U2011" t="s">
        <v>34</v>
      </c>
      <c r="V2011">
        <v>568.91999999999996</v>
      </c>
    </row>
    <row r="2012" spans="1:22" x14ac:dyDescent="0.3">
      <c r="A2012" t="s">
        <v>3422</v>
      </c>
      <c r="B2012" s="2">
        <v>46004</v>
      </c>
      <c r="C2012" t="s">
        <v>2525</v>
      </c>
      <c r="D2012" t="s">
        <v>70</v>
      </c>
      <c r="E2012" t="s">
        <v>165</v>
      </c>
      <c r="F2012">
        <v>1</v>
      </c>
      <c r="G2012">
        <v>0</v>
      </c>
      <c r="H2012">
        <v>2500</v>
      </c>
      <c r="I2012">
        <v>-746.76</v>
      </c>
      <c r="J2012" t="s">
        <v>26</v>
      </c>
      <c r="K2012" t="s">
        <v>434</v>
      </c>
      <c r="L2012">
        <v>2500</v>
      </c>
      <c r="M2012">
        <v>-29.8704</v>
      </c>
      <c r="N2012" t="s">
        <v>81</v>
      </c>
      <c r="O2012" t="s">
        <v>2526</v>
      </c>
      <c r="P2012" t="s">
        <v>29</v>
      </c>
      <c r="Q2012" t="s">
        <v>74</v>
      </c>
      <c r="R2012" t="s">
        <v>75</v>
      </c>
      <c r="S2012" t="s">
        <v>75</v>
      </c>
      <c r="T2012" t="s">
        <v>2527</v>
      </c>
      <c r="U2012" t="s">
        <v>46</v>
      </c>
      <c r="V2012">
        <v>-746.76</v>
      </c>
    </row>
    <row r="2013" spans="1:22" x14ac:dyDescent="0.3">
      <c r="A2013" t="s">
        <v>3423</v>
      </c>
      <c r="B2013" s="2">
        <v>46065</v>
      </c>
      <c r="C2013" t="s">
        <v>160</v>
      </c>
      <c r="D2013" t="s">
        <v>70</v>
      </c>
      <c r="E2013" t="s">
        <v>129</v>
      </c>
      <c r="F2013">
        <v>1</v>
      </c>
      <c r="G2013">
        <v>0</v>
      </c>
      <c r="H2013">
        <v>55000</v>
      </c>
      <c r="I2013">
        <v>9000</v>
      </c>
      <c r="J2013" t="s">
        <v>65</v>
      </c>
      <c r="K2013" t="s">
        <v>40</v>
      </c>
      <c r="L2013">
        <v>55000</v>
      </c>
      <c r="M2013">
        <v>16.36363636363636</v>
      </c>
      <c r="N2013" t="s">
        <v>8</v>
      </c>
      <c r="O2013" t="s">
        <v>161</v>
      </c>
      <c r="P2013" t="s">
        <v>29</v>
      </c>
      <c r="Q2013" t="s">
        <v>30</v>
      </c>
      <c r="R2013" t="s">
        <v>98</v>
      </c>
      <c r="S2013" t="s">
        <v>54</v>
      </c>
      <c r="T2013" t="s">
        <v>162</v>
      </c>
      <c r="U2013" t="s">
        <v>34</v>
      </c>
      <c r="V2013">
        <v>9000</v>
      </c>
    </row>
    <row r="2014" spans="1:22" x14ac:dyDescent="0.3">
      <c r="A2014" t="s">
        <v>3424</v>
      </c>
      <c r="B2014" s="2">
        <v>46146</v>
      </c>
      <c r="C2014" t="s">
        <v>614</v>
      </c>
      <c r="D2014" t="s">
        <v>24</v>
      </c>
      <c r="E2014" t="s">
        <v>92</v>
      </c>
      <c r="F2014">
        <v>1</v>
      </c>
      <c r="G2014">
        <v>0.15</v>
      </c>
      <c r="H2014">
        <v>765</v>
      </c>
      <c r="I2014">
        <v>170.43</v>
      </c>
      <c r="J2014" t="s">
        <v>65</v>
      </c>
      <c r="K2014" t="s">
        <v>40</v>
      </c>
      <c r="L2014">
        <v>765</v>
      </c>
      <c r="M2014">
        <v>22.278431372549019</v>
      </c>
      <c r="N2014" t="s">
        <v>8</v>
      </c>
      <c r="O2014" t="s">
        <v>259</v>
      </c>
      <c r="P2014" t="s">
        <v>29</v>
      </c>
      <c r="Q2014" t="s">
        <v>74</v>
      </c>
      <c r="R2014" t="s">
        <v>75</v>
      </c>
      <c r="S2014" t="s">
        <v>75</v>
      </c>
      <c r="T2014" t="s">
        <v>615</v>
      </c>
      <c r="U2014" t="s">
        <v>100</v>
      </c>
      <c r="V2014">
        <v>170.43</v>
      </c>
    </row>
    <row r="2015" spans="1:22" x14ac:dyDescent="0.3">
      <c r="A2015" t="s">
        <v>3425</v>
      </c>
      <c r="B2015" s="2">
        <v>46106</v>
      </c>
      <c r="C2015" t="s">
        <v>2308</v>
      </c>
      <c r="D2015" t="s">
        <v>70</v>
      </c>
      <c r="E2015" t="s">
        <v>71</v>
      </c>
      <c r="F2015">
        <v>6</v>
      </c>
      <c r="G2015">
        <v>0</v>
      </c>
      <c r="H2015">
        <v>108000</v>
      </c>
      <c r="I2015">
        <v>21000</v>
      </c>
      <c r="J2015" t="s">
        <v>39</v>
      </c>
      <c r="K2015" t="s">
        <v>27</v>
      </c>
      <c r="L2015">
        <v>18000</v>
      </c>
      <c r="M2015">
        <v>19.44444444444445</v>
      </c>
      <c r="N2015" t="s">
        <v>8</v>
      </c>
      <c r="O2015" t="s">
        <v>2211</v>
      </c>
      <c r="P2015" t="s">
        <v>29</v>
      </c>
      <c r="Q2015" t="s">
        <v>42</v>
      </c>
      <c r="R2015" t="s">
        <v>121</v>
      </c>
      <c r="S2015" t="s">
        <v>44</v>
      </c>
      <c r="T2015" t="s">
        <v>763</v>
      </c>
      <c r="U2015" t="s">
        <v>46</v>
      </c>
      <c r="V2015">
        <v>3500</v>
      </c>
    </row>
    <row r="2016" spans="1:22" x14ac:dyDescent="0.3">
      <c r="A2016" t="s">
        <v>3426</v>
      </c>
      <c r="B2016" s="2">
        <v>45903</v>
      </c>
      <c r="C2016" t="s">
        <v>1270</v>
      </c>
      <c r="D2016" t="s">
        <v>49</v>
      </c>
      <c r="E2016" t="s">
        <v>50</v>
      </c>
      <c r="F2016">
        <v>1</v>
      </c>
      <c r="G2016">
        <v>0</v>
      </c>
      <c r="H2016">
        <v>13000</v>
      </c>
      <c r="I2016">
        <v>3200</v>
      </c>
      <c r="J2016" t="s">
        <v>39</v>
      </c>
      <c r="K2016" t="s">
        <v>40</v>
      </c>
      <c r="L2016">
        <v>13000</v>
      </c>
      <c r="M2016">
        <v>24.61538461538462</v>
      </c>
      <c r="N2016" t="s">
        <v>8</v>
      </c>
      <c r="O2016" t="s">
        <v>306</v>
      </c>
      <c r="P2016" t="s">
        <v>29</v>
      </c>
      <c r="Q2016" t="s">
        <v>74</v>
      </c>
      <c r="R2016" t="s">
        <v>493</v>
      </c>
      <c r="S2016" t="s">
        <v>494</v>
      </c>
      <c r="T2016" t="s">
        <v>1271</v>
      </c>
      <c r="U2016" t="s">
        <v>34</v>
      </c>
      <c r="V2016">
        <v>3200</v>
      </c>
    </row>
    <row r="2017" spans="1:22" x14ac:dyDescent="0.3">
      <c r="A2017" t="s">
        <v>3427</v>
      </c>
      <c r="B2017" s="2">
        <v>46191</v>
      </c>
      <c r="C2017" t="s">
        <v>1281</v>
      </c>
      <c r="D2017" t="s">
        <v>37</v>
      </c>
      <c r="E2017" t="s">
        <v>38</v>
      </c>
      <c r="F2017">
        <v>1</v>
      </c>
      <c r="G2017">
        <v>0.1</v>
      </c>
      <c r="H2017">
        <v>1620</v>
      </c>
      <c r="I2017">
        <v>537.09</v>
      </c>
      <c r="J2017" t="s">
        <v>65</v>
      </c>
      <c r="K2017" t="s">
        <v>40</v>
      </c>
      <c r="L2017">
        <v>1620</v>
      </c>
      <c r="M2017">
        <v>33.153703703703712</v>
      </c>
      <c r="N2017" t="s">
        <v>8</v>
      </c>
      <c r="O2017" t="s">
        <v>1282</v>
      </c>
      <c r="P2017" t="s">
        <v>29</v>
      </c>
      <c r="Q2017" t="s">
        <v>74</v>
      </c>
      <c r="R2017" t="s">
        <v>237</v>
      </c>
      <c r="S2017" t="s">
        <v>238</v>
      </c>
      <c r="T2017" t="s">
        <v>1283</v>
      </c>
      <c r="U2017" t="s">
        <v>34</v>
      </c>
      <c r="V2017">
        <v>537.09</v>
      </c>
    </row>
    <row r="2018" spans="1:22" x14ac:dyDescent="0.3">
      <c r="A2018" t="s">
        <v>3428</v>
      </c>
      <c r="B2018" s="2">
        <v>45933</v>
      </c>
      <c r="C2018" t="s">
        <v>2337</v>
      </c>
      <c r="D2018" t="s">
        <v>70</v>
      </c>
      <c r="E2018" t="s">
        <v>165</v>
      </c>
      <c r="F2018">
        <v>3</v>
      </c>
      <c r="G2018">
        <v>0.15</v>
      </c>
      <c r="H2018">
        <v>6375</v>
      </c>
      <c r="I2018">
        <v>1575.31</v>
      </c>
      <c r="J2018" t="s">
        <v>51</v>
      </c>
      <c r="K2018" t="s">
        <v>40</v>
      </c>
      <c r="L2018">
        <v>2125</v>
      </c>
      <c r="M2018">
        <v>24.710745098039219</v>
      </c>
      <c r="N2018" t="s">
        <v>8</v>
      </c>
      <c r="O2018" t="s">
        <v>2338</v>
      </c>
      <c r="P2018" t="s">
        <v>29</v>
      </c>
      <c r="Q2018" t="s">
        <v>42</v>
      </c>
      <c r="R2018" t="s">
        <v>214</v>
      </c>
      <c r="S2018" t="s">
        <v>111</v>
      </c>
      <c r="T2018" t="s">
        <v>1389</v>
      </c>
      <c r="U2018" t="s">
        <v>34</v>
      </c>
      <c r="V2018">
        <v>525.10333333333335</v>
      </c>
    </row>
    <row r="2019" spans="1:22" x14ac:dyDescent="0.3">
      <c r="A2019" t="s">
        <v>3429</v>
      </c>
      <c r="B2019" s="2">
        <v>46000</v>
      </c>
      <c r="C2019" t="s">
        <v>757</v>
      </c>
      <c r="D2019" t="s">
        <v>49</v>
      </c>
      <c r="E2019" t="s">
        <v>58</v>
      </c>
      <c r="F2019">
        <v>1</v>
      </c>
      <c r="G2019">
        <v>0.1</v>
      </c>
      <c r="H2019">
        <v>13500</v>
      </c>
      <c r="I2019">
        <v>2451.6</v>
      </c>
      <c r="J2019" t="s">
        <v>39</v>
      </c>
      <c r="K2019" t="s">
        <v>40</v>
      </c>
      <c r="L2019">
        <v>13500</v>
      </c>
      <c r="M2019">
        <v>18.16</v>
      </c>
      <c r="N2019" t="s">
        <v>8</v>
      </c>
      <c r="O2019" t="s">
        <v>758</v>
      </c>
      <c r="P2019" t="s">
        <v>83</v>
      </c>
      <c r="Q2019" t="s">
        <v>74</v>
      </c>
      <c r="R2019" t="s">
        <v>237</v>
      </c>
      <c r="S2019" t="s">
        <v>238</v>
      </c>
      <c r="T2019" t="s">
        <v>759</v>
      </c>
      <c r="U2019" t="s">
        <v>34</v>
      </c>
      <c r="V2019">
        <v>2451.6</v>
      </c>
    </row>
    <row r="2020" spans="1:22" x14ac:dyDescent="0.3">
      <c r="A2020" t="s">
        <v>3430</v>
      </c>
      <c r="B2020" s="2">
        <v>45890</v>
      </c>
      <c r="C2020" t="s">
        <v>348</v>
      </c>
      <c r="D2020" t="s">
        <v>37</v>
      </c>
      <c r="E2020" t="s">
        <v>190</v>
      </c>
      <c r="F2020">
        <v>2</v>
      </c>
      <c r="G2020">
        <v>0</v>
      </c>
      <c r="H2020">
        <v>8400</v>
      </c>
      <c r="I2020">
        <v>-1405.25</v>
      </c>
      <c r="J2020" t="s">
        <v>26</v>
      </c>
      <c r="K2020" t="s">
        <v>434</v>
      </c>
      <c r="L2020">
        <v>4200</v>
      </c>
      <c r="M2020">
        <v>-16.729166666666671</v>
      </c>
      <c r="N2020" t="s">
        <v>81</v>
      </c>
      <c r="O2020" t="s">
        <v>349</v>
      </c>
      <c r="P2020" t="s">
        <v>83</v>
      </c>
      <c r="Q2020" t="s">
        <v>30</v>
      </c>
      <c r="R2020" t="s">
        <v>31</v>
      </c>
      <c r="S2020" t="s">
        <v>32</v>
      </c>
      <c r="T2020" t="s">
        <v>307</v>
      </c>
      <c r="U2020" t="s">
        <v>100</v>
      </c>
      <c r="V2020">
        <v>-702.625</v>
      </c>
    </row>
    <row r="2021" spans="1:22" x14ac:dyDescent="0.3">
      <c r="A2021" t="s">
        <v>3431</v>
      </c>
      <c r="B2021" s="2">
        <v>45973</v>
      </c>
      <c r="C2021" t="s">
        <v>2050</v>
      </c>
      <c r="D2021" t="s">
        <v>37</v>
      </c>
      <c r="E2021" t="s">
        <v>190</v>
      </c>
      <c r="F2021">
        <v>5</v>
      </c>
      <c r="G2021">
        <v>0.2</v>
      </c>
      <c r="H2021">
        <v>16800</v>
      </c>
      <c r="I2021">
        <v>3643.73</v>
      </c>
      <c r="J2021" t="s">
        <v>51</v>
      </c>
      <c r="K2021" t="s">
        <v>27</v>
      </c>
      <c r="L2021">
        <v>3360</v>
      </c>
      <c r="M2021">
        <v>21.68886904761905</v>
      </c>
      <c r="N2021" t="s">
        <v>8</v>
      </c>
      <c r="O2021" t="s">
        <v>686</v>
      </c>
      <c r="P2021" t="s">
        <v>29</v>
      </c>
      <c r="Q2021" t="s">
        <v>131</v>
      </c>
      <c r="R2021" t="s">
        <v>132</v>
      </c>
      <c r="S2021" t="s">
        <v>133</v>
      </c>
      <c r="T2021" t="s">
        <v>1490</v>
      </c>
      <c r="U2021" t="s">
        <v>46</v>
      </c>
      <c r="V2021">
        <v>728.74599999999998</v>
      </c>
    </row>
    <row r="2022" spans="1:22" x14ac:dyDescent="0.3">
      <c r="A2022" t="s">
        <v>3432</v>
      </c>
      <c r="B2022" s="2">
        <v>46155</v>
      </c>
      <c r="C2022" t="s">
        <v>3382</v>
      </c>
      <c r="D2022" t="s">
        <v>49</v>
      </c>
      <c r="E2022" t="s">
        <v>50</v>
      </c>
      <c r="F2022">
        <v>3</v>
      </c>
      <c r="G2022">
        <v>0.1</v>
      </c>
      <c r="H2022">
        <v>35100</v>
      </c>
      <c r="I2022">
        <v>6633.66</v>
      </c>
      <c r="J2022" t="s">
        <v>51</v>
      </c>
      <c r="K2022" t="s">
        <v>40</v>
      </c>
      <c r="L2022">
        <v>11700</v>
      </c>
      <c r="M2022">
        <v>18.899316239316239</v>
      </c>
      <c r="N2022" t="s">
        <v>8</v>
      </c>
      <c r="O2022" t="s">
        <v>1566</v>
      </c>
      <c r="P2022" t="s">
        <v>29</v>
      </c>
      <c r="Q2022" t="s">
        <v>42</v>
      </c>
      <c r="R2022" t="s">
        <v>121</v>
      </c>
      <c r="S2022" t="s">
        <v>44</v>
      </c>
      <c r="T2022" t="s">
        <v>3383</v>
      </c>
      <c r="U2022" t="s">
        <v>46</v>
      </c>
      <c r="V2022">
        <v>2211.2199999999998</v>
      </c>
    </row>
    <row r="2023" spans="1:22" x14ac:dyDescent="0.3">
      <c r="A2023" t="s">
        <v>3433</v>
      </c>
      <c r="B2023" s="2">
        <v>46100</v>
      </c>
      <c r="C2023" t="s">
        <v>900</v>
      </c>
      <c r="D2023" t="s">
        <v>49</v>
      </c>
      <c r="E2023" t="s">
        <v>79</v>
      </c>
      <c r="F2023">
        <v>1</v>
      </c>
      <c r="G2023">
        <v>0.05</v>
      </c>
      <c r="H2023">
        <v>10450</v>
      </c>
      <c r="I2023">
        <v>2210.73</v>
      </c>
      <c r="J2023" t="s">
        <v>51</v>
      </c>
      <c r="K2023" t="s">
        <v>40</v>
      </c>
      <c r="L2023">
        <v>10450</v>
      </c>
      <c r="M2023">
        <v>21.155311004784689</v>
      </c>
      <c r="N2023" t="s">
        <v>8</v>
      </c>
      <c r="O2023" t="s">
        <v>901</v>
      </c>
      <c r="P2023" t="s">
        <v>29</v>
      </c>
      <c r="Q2023" t="s">
        <v>30</v>
      </c>
      <c r="R2023" t="s">
        <v>31</v>
      </c>
      <c r="S2023" t="s">
        <v>32</v>
      </c>
      <c r="T2023" t="s">
        <v>902</v>
      </c>
      <c r="U2023" t="s">
        <v>34</v>
      </c>
      <c r="V2023">
        <v>2210.73</v>
      </c>
    </row>
    <row r="2024" spans="1:22" x14ac:dyDescent="0.3">
      <c r="A2024" t="s">
        <v>3434</v>
      </c>
      <c r="B2024" s="2">
        <v>46204</v>
      </c>
      <c r="C2024" t="s">
        <v>678</v>
      </c>
      <c r="D2024" t="s">
        <v>49</v>
      </c>
      <c r="E2024" t="s">
        <v>50</v>
      </c>
      <c r="F2024">
        <v>1</v>
      </c>
      <c r="G2024">
        <v>0</v>
      </c>
      <c r="H2024">
        <v>13000</v>
      </c>
      <c r="I2024">
        <v>3200</v>
      </c>
      <c r="J2024" t="s">
        <v>26</v>
      </c>
      <c r="K2024" t="s">
        <v>40</v>
      </c>
      <c r="L2024">
        <v>13000</v>
      </c>
      <c r="M2024">
        <v>24.61538461538462</v>
      </c>
      <c r="N2024" t="s">
        <v>8</v>
      </c>
      <c r="O2024" t="s">
        <v>657</v>
      </c>
      <c r="P2024" t="s">
        <v>83</v>
      </c>
      <c r="Q2024" t="s">
        <v>30</v>
      </c>
      <c r="R2024" t="s">
        <v>31</v>
      </c>
      <c r="S2024" t="s">
        <v>32</v>
      </c>
      <c r="T2024" t="s">
        <v>679</v>
      </c>
      <c r="U2024" t="s">
        <v>100</v>
      </c>
      <c r="V2024">
        <v>3200</v>
      </c>
    </row>
    <row r="2025" spans="1:22" x14ac:dyDescent="0.3">
      <c r="A2025" t="s">
        <v>3435</v>
      </c>
      <c r="B2025" s="2">
        <v>45967</v>
      </c>
      <c r="C2025" t="s">
        <v>2635</v>
      </c>
      <c r="D2025" t="s">
        <v>70</v>
      </c>
      <c r="E2025" t="s">
        <v>129</v>
      </c>
      <c r="F2025">
        <v>3</v>
      </c>
      <c r="G2025">
        <v>0</v>
      </c>
      <c r="H2025">
        <v>165000</v>
      </c>
      <c r="I2025">
        <v>27000</v>
      </c>
      <c r="J2025" t="s">
        <v>26</v>
      </c>
      <c r="K2025" t="s">
        <v>40</v>
      </c>
      <c r="L2025">
        <v>55000</v>
      </c>
      <c r="M2025">
        <v>16.36363636363636</v>
      </c>
      <c r="N2025" t="s">
        <v>8</v>
      </c>
      <c r="O2025" t="s">
        <v>2636</v>
      </c>
      <c r="P2025" t="s">
        <v>29</v>
      </c>
      <c r="Q2025" t="s">
        <v>42</v>
      </c>
      <c r="R2025" t="s">
        <v>121</v>
      </c>
      <c r="S2025" t="s">
        <v>44</v>
      </c>
      <c r="T2025" t="s">
        <v>252</v>
      </c>
      <c r="U2025" t="s">
        <v>34</v>
      </c>
      <c r="V2025">
        <v>9000</v>
      </c>
    </row>
    <row r="2026" spans="1:22" x14ac:dyDescent="0.3">
      <c r="A2026" t="s">
        <v>3436</v>
      </c>
      <c r="B2026" s="2">
        <v>46057</v>
      </c>
      <c r="C2026" t="s">
        <v>2737</v>
      </c>
      <c r="D2026" t="s">
        <v>24</v>
      </c>
      <c r="E2026" t="s">
        <v>92</v>
      </c>
      <c r="F2026">
        <v>2</v>
      </c>
      <c r="G2026">
        <v>0.1</v>
      </c>
      <c r="H2026">
        <v>1620</v>
      </c>
      <c r="I2026">
        <v>448.01</v>
      </c>
      <c r="J2026" t="s">
        <v>39</v>
      </c>
      <c r="K2026" t="s">
        <v>40</v>
      </c>
      <c r="L2026">
        <v>810</v>
      </c>
      <c r="M2026">
        <v>27.654938271604941</v>
      </c>
      <c r="N2026" t="s">
        <v>8</v>
      </c>
      <c r="O2026" t="s">
        <v>567</v>
      </c>
      <c r="P2026" t="s">
        <v>29</v>
      </c>
      <c r="Q2026" t="s">
        <v>42</v>
      </c>
      <c r="R2026" t="s">
        <v>121</v>
      </c>
      <c r="S2026" t="s">
        <v>44</v>
      </c>
      <c r="T2026" t="s">
        <v>2738</v>
      </c>
      <c r="U2026" t="s">
        <v>46</v>
      </c>
      <c r="V2026">
        <v>224.005</v>
      </c>
    </row>
    <row r="2027" spans="1:22" x14ac:dyDescent="0.3">
      <c r="A2027" t="s">
        <v>3437</v>
      </c>
      <c r="B2027" s="2">
        <v>46254</v>
      </c>
      <c r="C2027" t="s">
        <v>1000</v>
      </c>
      <c r="D2027" t="s">
        <v>70</v>
      </c>
      <c r="E2027" t="s">
        <v>129</v>
      </c>
      <c r="F2027">
        <v>3</v>
      </c>
      <c r="G2027">
        <v>0.1</v>
      </c>
      <c r="H2027">
        <v>148500</v>
      </c>
      <c r="I2027">
        <v>14865.54</v>
      </c>
      <c r="J2027" t="s">
        <v>51</v>
      </c>
      <c r="K2027" t="s">
        <v>27</v>
      </c>
      <c r="L2027">
        <v>49500</v>
      </c>
      <c r="M2027">
        <v>10.01046464646465</v>
      </c>
      <c r="N2027" t="s">
        <v>8</v>
      </c>
      <c r="O2027" t="s">
        <v>1001</v>
      </c>
      <c r="P2027" t="s">
        <v>29</v>
      </c>
      <c r="Q2027" t="s">
        <v>30</v>
      </c>
      <c r="R2027" t="s">
        <v>60</v>
      </c>
      <c r="S2027" t="s">
        <v>61</v>
      </c>
      <c r="T2027" t="s">
        <v>1002</v>
      </c>
      <c r="U2027" t="s">
        <v>105</v>
      </c>
      <c r="V2027">
        <v>4955.18</v>
      </c>
    </row>
    <row r="2028" spans="1:22" x14ac:dyDescent="0.3">
      <c r="A2028" t="s">
        <v>3438</v>
      </c>
      <c r="B2028" s="2">
        <v>45878</v>
      </c>
      <c r="C2028" t="s">
        <v>617</v>
      </c>
      <c r="D2028" t="s">
        <v>70</v>
      </c>
      <c r="E2028" t="s">
        <v>108</v>
      </c>
      <c r="F2028">
        <v>2</v>
      </c>
      <c r="G2028">
        <v>0.15</v>
      </c>
      <c r="H2028">
        <v>7650</v>
      </c>
      <c r="I2028">
        <v>2129.2800000000002</v>
      </c>
      <c r="J2028" t="s">
        <v>39</v>
      </c>
      <c r="K2028" t="s">
        <v>40</v>
      </c>
      <c r="L2028">
        <v>3825</v>
      </c>
      <c r="M2028">
        <v>27.83372549019608</v>
      </c>
      <c r="N2028" t="s">
        <v>8</v>
      </c>
      <c r="O2028" t="s">
        <v>618</v>
      </c>
      <c r="P2028" t="s">
        <v>83</v>
      </c>
      <c r="Q2028" t="s">
        <v>30</v>
      </c>
      <c r="R2028" t="s">
        <v>98</v>
      </c>
      <c r="S2028" t="s">
        <v>54</v>
      </c>
      <c r="T2028" t="s">
        <v>619</v>
      </c>
      <c r="U2028" t="s">
        <v>100</v>
      </c>
      <c r="V2028">
        <v>1064.6400000000001</v>
      </c>
    </row>
    <row r="2029" spans="1:22" x14ac:dyDescent="0.3">
      <c r="A2029" t="s">
        <v>3439</v>
      </c>
      <c r="B2029" s="2">
        <v>46220</v>
      </c>
      <c r="C2029" t="s">
        <v>3440</v>
      </c>
      <c r="D2029" t="s">
        <v>70</v>
      </c>
      <c r="E2029" t="s">
        <v>71</v>
      </c>
      <c r="F2029">
        <v>1</v>
      </c>
      <c r="G2029">
        <v>0</v>
      </c>
      <c r="H2029">
        <v>18000</v>
      </c>
      <c r="I2029">
        <v>3500</v>
      </c>
      <c r="J2029" t="s">
        <v>65</v>
      </c>
      <c r="K2029" t="s">
        <v>27</v>
      </c>
      <c r="L2029">
        <v>18000</v>
      </c>
      <c r="M2029">
        <v>19.44444444444445</v>
      </c>
      <c r="N2029" t="s">
        <v>8</v>
      </c>
      <c r="O2029" t="s">
        <v>847</v>
      </c>
      <c r="P2029" t="s">
        <v>29</v>
      </c>
      <c r="Q2029" t="s">
        <v>42</v>
      </c>
      <c r="R2029" t="s">
        <v>121</v>
      </c>
      <c r="S2029" t="s">
        <v>44</v>
      </c>
      <c r="T2029" t="s">
        <v>3441</v>
      </c>
      <c r="U2029" t="s">
        <v>34</v>
      </c>
      <c r="V2029">
        <v>3500</v>
      </c>
    </row>
    <row r="2030" spans="1:22" x14ac:dyDescent="0.3">
      <c r="A2030" t="s">
        <v>3442</v>
      </c>
      <c r="B2030" s="2">
        <v>45993</v>
      </c>
      <c r="C2030" t="s">
        <v>1493</v>
      </c>
      <c r="D2030" t="s">
        <v>24</v>
      </c>
      <c r="E2030" t="s">
        <v>87</v>
      </c>
      <c r="F2030">
        <v>1</v>
      </c>
      <c r="G2030">
        <v>0.1</v>
      </c>
      <c r="H2030">
        <v>315</v>
      </c>
      <c r="I2030">
        <v>98.37</v>
      </c>
      <c r="J2030" t="s">
        <v>26</v>
      </c>
      <c r="K2030" t="s">
        <v>40</v>
      </c>
      <c r="L2030">
        <v>315</v>
      </c>
      <c r="M2030">
        <v>31.228571428571431</v>
      </c>
      <c r="N2030" t="s">
        <v>8</v>
      </c>
      <c r="O2030" t="s">
        <v>1494</v>
      </c>
      <c r="P2030" t="s">
        <v>73</v>
      </c>
      <c r="Q2030" t="s">
        <v>131</v>
      </c>
      <c r="R2030" t="s">
        <v>449</v>
      </c>
      <c r="S2030" t="s">
        <v>450</v>
      </c>
      <c r="T2030" t="s">
        <v>1495</v>
      </c>
      <c r="U2030" t="s">
        <v>34</v>
      </c>
      <c r="V2030">
        <v>98.37</v>
      </c>
    </row>
    <row r="2031" spans="1:22" x14ac:dyDescent="0.3">
      <c r="A2031" t="s">
        <v>3443</v>
      </c>
      <c r="B2031" s="2">
        <v>45884</v>
      </c>
      <c r="C2031" t="s">
        <v>1094</v>
      </c>
      <c r="D2031" t="s">
        <v>49</v>
      </c>
      <c r="E2031" t="s">
        <v>50</v>
      </c>
      <c r="F2031">
        <v>2</v>
      </c>
      <c r="G2031">
        <v>0</v>
      </c>
      <c r="H2031">
        <v>26000</v>
      </c>
      <c r="I2031">
        <v>6400</v>
      </c>
      <c r="J2031" t="s">
        <v>39</v>
      </c>
      <c r="K2031" t="s">
        <v>40</v>
      </c>
      <c r="L2031">
        <v>13000</v>
      </c>
      <c r="M2031">
        <v>24.61538461538462</v>
      </c>
      <c r="N2031" t="s">
        <v>8</v>
      </c>
      <c r="O2031" t="s">
        <v>183</v>
      </c>
      <c r="P2031" t="s">
        <v>73</v>
      </c>
      <c r="Q2031" t="s">
        <v>30</v>
      </c>
      <c r="R2031" t="s">
        <v>31</v>
      </c>
      <c r="S2031" t="s">
        <v>32</v>
      </c>
      <c r="T2031" t="s">
        <v>1095</v>
      </c>
      <c r="U2031" t="s">
        <v>105</v>
      </c>
      <c r="V2031">
        <v>3200</v>
      </c>
    </row>
    <row r="2032" spans="1:22" x14ac:dyDescent="0.3">
      <c r="A2032" t="s">
        <v>3444</v>
      </c>
      <c r="B2032" s="2">
        <v>46077</v>
      </c>
      <c r="C2032" t="s">
        <v>3077</v>
      </c>
      <c r="D2032" t="s">
        <v>70</v>
      </c>
      <c r="E2032" t="s">
        <v>71</v>
      </c>
      <c r="F2032">
        <v>2</v>
      </c>
      <c r="G2032">
        <v>0.2</v>
      </c>
      <c r="H2032">
        <v>28800</v>
      </c>
      <c r="I2032">
        <v>3058.29</v>
      </c>
      <c r="J2032" t="s">
        <v>51</v>
      </c>
      <c r="K2032" t="s">
        <v>40</v>
      </c>
      <c r="L2032">
        <v>14400</v>
      </c>
      <c r="M2032">
        <v>10.6190625</v>
      </c>
      <c r="N2032" t="s">
        <v>8</v>
      </c>
      <c r="O2032" t="s">
        <v>3078</v>
      </c>
      <c r="P2032" t="s">
        <v>83</v>
      </c>
      <c r="Q2032" t="s">
        <v>42</v>
      </c>
      <c r="R2032" t="s">
        <v>214</v>
      </c>
      <c r="S2032" t="s">
        <v>111</v>
      </c>
      <c r="T2032" t="s">
        <v>3079</v>
      </c>
      <c r="U2032" t="s">
        <v>46</v>
      </c>
      <c r="V2032">
        <v>1529.145</v>
      </c>
    </row>
    <row r="2033" spans="1:22" x14ac:dyDescent="0.3">
      <c r="A2033" t="s">
        <v>3445</v>
      </c>
      <c r="B2033" s="2">
        <v>46070</v>
      </c>
      <c r="C2033" t="s">
        <v>1148</v>
      </c>
      <c r="D2033" t="s">
        <v>24</v>
      </c>
      <c r="E2033" t="s">
        <v>92</v>
      </c>
      <c r="F2033">
        <v>1</v>
      </c>
      <c r="G2033">
        <v>0</v>
      </c>
      <c r="H2033">
        <v>900</v>
      </c>
      <c r="I2033">
        <v>280</v>
      </c>
      <c r="J2033" t="s">
        <v>65</v>
      </c>
      <c r="K2033" t="s">
        <v>40</v>
      </c>
      <c r="L2033">
        <v>900</v>
      </c>
      <c r="M2033">
        <v>31.111111111111111</v>
      </c>
      <c r="N2033" t="s">
        <v>8</v>
      </c>
      <c r="O2033" t="s">
        <v>302</v>
      </c>
      <c r="P2033" t="s">
        <v>73</v>
      </c>
      <c r="Q2033" t="s">
        <v>42</v>
      </c>
      <c r="R2033" t="s">
        <v>214</v>
      </c>
      <c r="S2033" t="s">
        <v>111</v>
      </c>
      <c r="T2033" t="s">
        <v>1149</v>
      </c>
      <c r="U2033" t="s">
        <v>34</v>
      </c>
      <c r="V2033">
        <v>280</v>
      </c>
    </row>
    <row r="2034" spans="1:22" x14ac:dyDescent="0.3">
      <c r="A2034" t="s">
        <v>3446</v>
      </c>
      <c r="B2034" s="2">
        <v>46124</v>
      </c>
      <c r="C2034" t="s">
        <v>675</v>
      </c>
      <c r="D2034" t="s">
        <v>70</v>
      </c>
      <c r="E2034" t="s">
        <v>71</v>
      </c>
      <c r="F2034">
        <v>1</v>
      </c>
      <c r="G2034">
        <v>0</v>
      </c>
      <c r="H2034">
        <v>18000</v>
      </c>
      <c r="I2034">
        <v>3500</v>
      </c>
      <c r="J2034" t="s">
        <v>65</v>
      </c>
      <c r="K2034" t="s">
        <v>27</v>
      </c>
      <c r="L2034">
        <v>18000</v>
      </c>
      <c r="M2034">
        <v>19.44444444444445</v>
      </c>
      <c r="N2034" t="s">
        <v>8</v>
      </c>
      <c r="O2034" t="s">
        <v>255</v>
      </c>
      <c r="P2034" t="s">
        <v>29</v>
      </c>
      <c r="Q2034" t="s">
        <v>30</v>
      </c>
      <c r="R2034" t="s">
        <v>60</v>
      </c>
      <c r="S2034" t="s">
        <v>61</v>
      </c>
      <c r="T2034" t="s">
        <v>676</v>
      </c>
      <c r="U2034" t="s">
        <v>105</v>
      </c>
      <c r="V2034">
        <v>3500</v>
      </c>
    </row>
    <row r="2035" spans="1:22" x14ac:dyDescent="0.3">
      <c r="A2035" t="s">
        <v>3447</v>
      </c>
      <c r="B2035" s="2">
        <v>46084</v>
      </c>
      <c r="C2035" t="s">
        <v>3077</v>
      </c>
      <c r="D2035" t="s">
        <v>70</v>
      </c>
      <c r="E2035" t="s">
        <v>108</v>
      </c>
      <c r="F2035">
        <v>3</v>
      </c>
      <c r="G2035">
        <v>0.1</v>
      </c>
      <c r="H2035">
        <v>12150</v>
      </c>
      <c r="I2035">
        <v>3710.99</v>
      </c>
      <c r="J2035" t="s">
        <v>39</v>
      </c>
      <c r="K2035" t="s">
        <v>40</v>
      </c>
      <c r="L2035">
        <v>4050</v>
      </c>
      <c r="M2035">
        <v>30.543127572016459</v>
      </c>
      <c r="N2035" t="s">
        <v>8</v>
      </c>
      <c r="O2035" t="s">
        <v>3078</v>
      </c>
      <c r="P2035" t="s">
        <v>83</v>
      </c>
      <c r="Q2035" t="s">
        <v>42</v>
      </c>
      <c r="R2035" t="s">
        <v>214</v>
      </c>
      <c r="S2035" t="s">
        <v>111</v>
      </c>
      <c r="T2035" t="s">
        <v>3079</v>
      </c>
      <c r="U2035" t="s">
        <v>46</v>
      </c>
      <c r="V2035">
        <v>1236.9966666666669</v>
      </c>
    </row>
    <row r="2036" spans="1:22" x14ac:dyDescent="0.3">
      <c r="A2036" t="s">
        <v>3448</v>
      </c>
      <c r="B2036" s="2">
        <v>46247</v>
      </c>
      <c r="C2036" t="s">
        <v>2271</v>
      </c>
      <c r="D2036" t="s">
        <v>24</v>
      </c>
      <c r="E2036" t="s">
        <v>92</v>
      </c>
      <c r="F2036">
        <v>3</v>
      </c>
      <c r="G2036">
        <v>0</v>
      </c>
      <c r="H2036">
        <v>2700</v>
      </c>
      <c r="I2036">
        <v>840</v>
      </c>
      <c r="J2036" t="s">
        <v>51</v>
      </c>
      <c r="K2036" t="s">
        <v>40</v>
      </c>
      <c r="L2036">
        <v>900</v>
      </c>
      <c r="M2036">
        <v>31.111111111111111</v>
      </c>
      <c r="N2036" t="s">
        <v>8</v>
      </c>
      <c r="O2036" t="s">
        <v>1538</v>
      </c>
      <c r="P2036" t="s">
        <v>73</v>
      </c>
      <c r="Q2036" t="s">
        <v>131</v>
      </c>
      <c r="R2036" t="s">
        <v>200</v>
      </c>
      <c r="S2036" t="s">
        <v>201</v>
      </c>
      <c r="T2036" t="s">
        <v>2272</v>
      </c>
      <c r="U2036" t="s">
        <v>34</v>
      </c>
      <c r="V2036">
        <v>280</v>
      </c>
    </row>
    <row r="2037" spans="1:22" x14ac:dyDescent="0.3">
      <c r="A2037" t="s">
        <v>3449</v>
      </c>
      <c r="B2037" s="2">
        <v>46253</v>
      </c>
      <c r="C2037" t="s">
        <v>321</v>
      </c>
      <c r="D2037" t="s">
        <v>49</v>
      </c>
      <c r="E2037" t="s">
        <v>79</v>
      </c>
      <c r="F2037">
        <v>2</v>
      </c>
      <c r="G2037">
        <v>0.2</v>
      </c>
      <c r="H2037">
        <v>17600</v>
      </c>
      <c r="I2037">
        <v>1487.97</v>
      </c>
      <c r="J2037" t="s">
        <v>65</v>
      </c>
      <c r="K2037" t="s">
        <v>27</v>
      </c>
      <c r="L2037">
        <v>8800</v>
      </c>
      <c r="M2037">
        <v>8.4543750000000006</v>
      </c>
      <c r="N2037" t="s">
        <v>8</v>
      </c>
      <c r="O2037" t="s">
        <v>322</v>
      </c>
      <c r="P2037" t="s">
        <v>29</v>
      </c>
      <c r="Q2037" t="s">
        <v>30</v>
      </c>
      <c r="R2037" t="s">
        <v>31</v>
      </c>
      <c r="S2037" t="s">
        <v>32</v>
      </c>
      <c r="T2037" t="s">
        <v>323</v>
      </c>
      <c r="U2037" t="s">
        <v>34</v>
      </c>
      <c r="V2037">
        <v>743.98500000000001</v>
      </c>
    </row>
    <row r="2038" spans="1:22" x14ac:dyDescent="0.3">
      <c r="A2038" t="s">
        <v>3450</v>
      </c>
      <c r="B2038" s="2">
        <v>46177</v>
      </c>
      <c r="C2038" t="s">
        <v>1136</v>
      </c>
      <c r="D2038" t="s">
        <v>37</v>
      </c>
      <c r="E2038" t="s">
        <v>170</v>
      </c>
      <c r="F2038">
        <v>3</v>
      </c>
      <c r="G2038">
        <v>0.1</v>
      </c>
      <c r="H2038">
        <v>3780</v>
      </c>
      <c r="I2038">
        <v>1240.04</v>
      </c>
      <c r="J2038" t="s">
        <v>39</v>
      </c>
      <c r="K2038" t="s">
        <v>27</v>
      </c>
      <c r="L2038">
        <v>1260</v>
      </c>
      <c r="M2038">
        <v>32.805291005290997</v>
      </c>
      <c r="N2038" t="s">
        <v>8</v>
      </c>
      <c r="O2038" t="s">
        <v>1137</v>
      </c>
      <c r="P2038" t="s">
        <v>73</v>
      </c>
      <c r="Q2038" t="s">
        <v>74</v>
      </c>
      <c r="R2038" t="s">
        <v>75</v>
      </c>
      <c r="S2038" t="s">
        <v>75</v>
      </c>
      <c r="T2038" t="s">
        <v>1138</v>
      </c>
      <c r="U2038" t="s">
        <v>46</v>
      </c>
      <c r="V2038">
        <v>413.34666666666658</v>
      </c>
    </row>
    <row r="2039" spans="1:22" x14ac:dyDescent="0.3">
      <c r="A2039" t="s">
        <v>3451</v>
      </c>
      <c r="B2039" s="2">
        <v>46032</v>
      </c>
      <c r="C2039" t="s">
        <v>1533</v>
      </c>
      <c r="D2039" t="s">
        <v>70</v>
      </c>
      <c r="E2039" t="s">
        <v>165</v>
      </c>
      <c r="F2039">
        <v>1</v>
      </c>
      <c r="G2039">
        <v>0.15</v>
      </c>
      <c r="H2039">
        <v>2125</v>
      </c>
      <c r="I2039">
        <v>504.34</v>
      </c>
      <c r="J2039" t="s">
        <v>39</v>
      </c>
      <c r="K2039" t="s">
        <v>40</v>
      </c>
      <c r="L2039">
        <v>2125</v>
      </c>
      <c r="M2039">
        <v>23.733647058823529</v>
      </c>
      <c r="N2039" t="s">
        <v>8</v>
      </c>
      <c r="O2039" t="s">
        <v>1534</v>
      </c>
      <c r="P2039" t="s">
        <v>83</v>
      </c>
      <c r="Q2039" t="s">
        <v>42</v>
      </c>
      <c r="R2039" t="s">
        <v>110</v>
      </c>
      <c r="S2039" t="s">
        <v>111</v>
      </c>
      <c r="T2039" t="s">
        <v>503</v>
      </c>
      <c r="U2039" t="s">
        <v>46</v>
      </c>
      <c r="V2039">
        <v>504.34</v>
      </c>
    </row>
    <row r="2040" spans="1:22" x14ac:dyDescent="0.3">
      <c r="A2040" t="s">
        <v>3452</v>
      </c>
      <c r="B2040" s="2">
        <v>46060</v>
      </c>
      <c r="C2040" t="s">
        <v>970</v>
      </c>
      <c r="D2040" t="s">
        <v>24</v>
      </c>
      <c r="E2040" t="s">
        <v>242</v>
      </c>
      <c r="F2040">
        <v>6</v>
      </c>
      <c r="G2040">
        <v>0.1</v>
      </c>
      <c r="H2040">
        <v>2430</v>
      </c>
      <c r="I2040">
        <v>510.77</v>
      </c>
      <c r="J2040" t="s">
        <v>26</v>
      </c>
      <c r="K2040" t="s">
        <v>40</v>
      </c>
      <c r="L2040">
        <v>405</v>
      </c>
      <c r="M2040">
        <v>21.019341563786011</v>
      </c>
      <c r="N2040" t="s">
        <v>8</v>
      </c>
      <c r="O2040" t="s">
        <v>971</v>
      </c>
      <c r="P2040" t="s">
        <v>83</v>
      </c>
      <c r="Q2040" t="s">
        <v>30</v>
      </c>
      <c r="R2040" t="s">
        <v>31</v>
      </c>
      <c r="S2040" t="s">
        <v>32</v>
      </c>
      <c r="T2040" t="s">
        <v>972</v>
      </c>
      <c r="U2040" t="s">
        <v>34</v>
      </c>
      <c r="V2040">
        <v>85.12833333333333</v>
      </c>
    </row>
    <row r="2041" spans="1:22" x14ac:dyDescent="0.3">
      <c r="A2041" t="s">
        <v>3453</v>
      </c>
      <c r="B2041" s="2">
        <v>45923</v>
      </c>
      <c r="C2041" t="s">
        <v>2972</v>
      </c>
      <c r="D2041" t="s">
        <v>49</v>
      </c>
      <c r="E2041" t="s">
        <v>50</v>
      </c>
      <c r="F2041">
        <v>1</v>
      </c>
      <c r="G2041">
        <v>0.1</v>
      </c>
      <c r="H2041">
        <v>11700</v>
      </c>
      <c r="I2041">
        <v>-7001.23</v>
      </c>
      <c r="J2041" t="s">
        <v>26</v>
      </c>
      <c r="K2041" t="s">
        <v>434</v>
      </c>
      <c r="L2041">
        <v>11700</v>
      </c>
      <c r="M2041">
        <v>-59.839572649572638</v>
      </c>
      <c r="N2041" t="s">
        <v>81</v>
      </c>
      <c r="O2041" t="s">
        <v>870</v>
      </c>
      <c r="P2041" t="s">
        <v>83</v>
      </c>
      <c r="Q2041" t="s">
        <v>30</v>
      </c>
      <c r="R2041" t="s">
        <v>60</v>
      </c>
      <c r="S2041" t="s">
        <v>61</v>
      </c>
      <c r="T2041" t="s">
        <v>898</v>
      </c>
      <c r="U2041" t="s">
        <v>34</v>
      </c>
      <c r="V2041">
        <v>-7001.23</v>
      </c>
    </row>
    <row r="2042" spans="1:22" x14ac:dyDescent="0.3">
      <c r="A2042" t="s">
        <v>3454</v>
      </c>
      <c r="B2042" s="2">
        <v>46234</v>
      </c>
      <c r="C2042" t="s">
        <v>358</v>
      </c>
      <c r="D2042" t="s">
        <v>70</v>
      </c>
      <c r="E2042" t="s">
        <v>165</v>
      </c>
      <c r="F2042">
        <v>1</v>
      </c>
      <c r="G2042">
        <v>0.1</v>
      </c>
      <c r="H2042">
        <v>2250</v>
      </c>
      <c r="I2042">
        <v>619.74</v>
      </c>
      <c r="J2042" t="s">
        <v>65</v>
      </c>
      <c r="K2042" t="s">
        <v>40</v>
      </c>
      <c r="L2042">
        <v>2250</v>
      </c>
      <c r="M2042">
        <v>27.544</v>
      </c>
      <c r="N2042" t="s">
        <v>8</v>
      </c>
      <c r="O2042" t="s">
        <v>359</v>
      </c>
      <c r="P2042" t="s">
        <v>83</v>
      </c>
      <c r="Q2042" t="s">
        <v>42</v>
      </c>
      <c r="R2042" t="s">
        <v>214</v>
      </c>
      <c r="S2042" t="s">
        <v>111</v>
      </c>
      <c r="T2042" t="s">
        <v>256</v>
      </c>
      <c r="U2042" t="s">
        <v>46</v>
      </c>
      <c r="V2042">
        <v>619.74</v>
      </c>
    </row>
    <row r="2043" spans="1:22" x14ac:dyDescent="0.3">
      <c r="A2043" t="s">
        <v>3455</v>
      </c>
      <c r="B2043" s="2">
        <v>46091</v>
      </c>
      <c r="C2043" t="s">
        <v>2233</v>
      </c>
      <c r="D2043" t="s">
        <v>49</v>
      </c>
      <c r="E2043" t="s">
        <v>79</v>
      </c>
      <c r="F2043">
        <v>4</v>
      </c>
      <c r="G2043">
        <v>0.15</v>
      </c>
      <c r="H2043">
        <v>37400</v>
      </c>
      <c r="I2043">
        <v>7003.59</v>
      </c>
      <c r="J2043" t="s">
        <v>65</v>
      </c>
      <c r="K2043" t="s">
        <v>40</v>
      </c>
      <c r="L2043">
        <v>9350</v>
      </c>
      <c r="M2043">
        <v>18.726176470588239</v>
      </c>
      <c r="N2043" t="s">
        <v>8</v>
      </c>
      <c r="O2043" t="s">
        <v>398</v>
      </c>
      <c r="P2043" t="s">
        <v>73</v>
      </c>
      <c r="Q2043" t="s">
        <v>74</v>
      </c>
      <c r="R2043" t="s">
        <v>75</v>
      </c>
      <c r="S2043" t="s">
        <v>75</v>
      </c>
      <c r="T2043" t="s">
        <v>391</v>
      </c>
      <c r="U2043" t="s">
        <v>46</v>
      </c>
      <c r="V2043">
        <v>1750.8975</v>
      </c>
    </row>
    <row r="2044" spans="1:22" x14ac:dyDescent="0.3">
      <c r="A2044" t="s">
        <v>3456</v>
      </c>
      <c r="B2044" s="2">
        <v>46118</v>
      </c>
      <c r="C2044" t="s">
        <v>313</v>
      </c>
      <c r="D2044" t="s">
        <v>49</v>
      </c>
      <c r="E2044" t="s">
        <v>50</v>
      </c>
      <c r="F2044">
        <v>1</v>
      </c>
      <c r="G2044">
        <v>0.3</v>
      </c>
      <c r="H2044">
        <v>9100</v>
      </c>
      <c r="I2044">
        <v>48.65</v>
      </c>
      <c r="J2044" t="s">
        <v>26</v>
      </c>
      <c r="K2044" t="s">
        <v>40</v>
      </c>
      <c r="L2044">
        <v>9100</v>
      </c>
      <c r="M2044">
        <v>0.5346153846153846</v>
      </c>
      <c r="N2044" t="s">
        <v>8</v>
      </c>
      <c r="O2044" t="s">
        <v>314</v>
      </c>
      <c r="P2044" t="s">
        <v>29</v>
      </c>
      <c r="Q2044" t="s">
        <v>30</v>
      </c>
      <c r="R2044" t="s">
        <v>98</v>
      </c>
      <c r="S2044" t="s">
        <v>54</v>
      </c>
      <c r="T2044" t="s">
        <v>315</v>
      </c>
      <c r="U2044" t="s">
        <v>100</v>
      </c>
      <c r="V2044">
        <v>48.65</v>
      </c>
    </row>
    <row r="2045" spans="1:22" x14ac:dyDescent="0.3">
      <c r="A2045" t="s">
        <v>3457</v>
      </c>
      <c r="B2045" s="2">
        <v>46152</v>
      </c>
      <c r="C2045" t="s">
        <v>3090</v>
      </c>
      <c r="D2045" t="s">
        <v>49</v>
      </c>
      <c r="E2045" t="s">
        <v>58</v>
      </c>
      <c r="F2045">
        <v>3</v>
      </c>
      <c r="G2045">
        <v>0.1</v>
      </c>
      <c r="H2045">
        <v>40500</v>
      </c>
      <c r="I2045">
        <v>8139.11</v>
      </c>
      <c r="J2045" t="s">
        <v>26</v>
      </c>
      <c r="K2045" t="s">
        <v>40</v>
      </c>
      <c r="L2045">
        <v>13500</v>
      </c>
      <c r="M2045">
        <v>20.096567901234561</v>
      </c>
      <c r="N2045" t="s">
        <v>8</v>
      </c>
      <c r="O2045" t="s">
        <v>526</v>
      </c>
      <c r="P2045" t="s">
        <v>29</v>
      </c>
      <c r="Q2045" t="s">
        <v>42</v>
      </c>
      <c r="R2045" t="s">
        <v>121</v>
      </c>
      <c r="S2045" t="s">
        <v>44</v>
      </c>
      <c r="T2045" t="s">
        <v>1612</v>
      </c>
      <c r="U2045" t="s">
        <v>34</v>
      </c>
      <c r="V2045">
        <v>2713.036666666666</v>
      </c>
    </row>
    <row r="2046" spans="1:22" x14ac:dyDescent="0.3">
      <c r="A2046" t="s">
        <v>3458</v>
      </c>
      <c r="B2046" s="2">
        <v>45940</v>
      </c>
      <c r="C2046" t="s">
        <v>263</v>
      </c>
      <c r="D2046" t="s">
        <v>24</v>
      </c>
      <c r="E2046" t="s">
        <v>25</v>
      </c>
      <c r="F2046">
        <v>3</v>
      </c>
      <c r="G2046">
        <v>0.05</v>
      </c>
      <c r="H2046">
        <v>39900</v>
      </c>
      <c r="I2046">
        <v>7084.23</v>
      </c>
      <c r="J2046" t="s">
        <v>51</v>
      </c>
      <c r="K2046" t="s">
        <v>40</v>
      </c>
      <c r="L2046">
        <v>13300</v>
      </c>
      <c r="M2046">
        <v>17.754962406015039</v>
      </c>
      <c r="N2046" t="s">
        <v>8</v>
      </c>
      <c r="O2046" t="s">
        <v>265</v>
      </c>
      <c r="P2046" t="s">
        <v>73</v>
      </c>
      <c r="Q2046" t="s">
        <v>30</v>
      </c>
      <c r="R2046" t="s">
        <v>31</v>
      </c>
      <c r="S2046" t="s">
        <v>32</v>
      </c>
      <c r="T2046" t="s">
        <v>266</v>
      </c>
      <c r="U2046" t="s">
        <v>46</v>
      </c>
      <c r="V2046">
        <v>2361.41</v>
      </c>
    </row>
    <row r="2047" spans="1:22" x14ac:dyDescent="0.3">
      <c r="A2047" t="s">
        <v>3459</v>
      </c>
      <c r="B2047" s="2">
        <v>46124</v>
      </c>
      <c r="C2047" t="s">
        <v>1056</v>
      </c>
      <c r="D2047" t="s">
        <v>37</v>
      </c>
      <c r="E2047" t="s">
        <v>190</v>
      </c>
      <c r="F2047">
        <v>1</v>
      </c>
      <c r="G2047">
        <v>0.05</v>
      </c>
      <c r="H2047">
        <v>3990</v>
      </c>
      <c r="I2047">
        <v>-672.34</v>
      </c>
      <c r="J2047" t="s">
        <v>26</v>
      </c>
      <c r="K2047" t="s">
        <v>80</v>
      </c>
      <c r="L2047">
        <v>3990</v>
      </c>
      <c r="M2047">
        <v>-16.85062656641604</v>
      </c>
      <c r="N2047" t="s">
        <v>81</v>
      </c>
      <c r="O2047" t="s">
        <v>1057</v>
      </c>
      <c r="P2047" t="s">
        <v>29</v>
      </c>
      <c r="Q2047" t="s">
        <v>30</v>
      </c>
      <c r="R2047" t="s">
        <v>31</v>
      </c>
      <c r="S2047" t="s">
        <v>32</v>
      </c>
      <c r="T2047" t="s">
        <v>1058</v>
      </c>
      <c r="U2047" t="s">
        <v>34</v>
      </c>
      <c r="V2047">
        <v>-672.34</v>
      </c>
    </row>
    <row r="2048" spans="1:22" x14ac:dyDescent="0.3">
      <c r="A2048" t="s">
        <v>3460</v>
      </c>
      <c r="B2048" s="2">
        <v>46205</v>
      </c>
      <c r="C2048" t="s">
        <v>704</v>
      </c>
      <c r="D2048" t="s">
        <v>70</v>
      </c>
      <c r="E2048" t="s">
        <v>108</v>
      </c>
      <c r="F2048">
        <v>2</v>
      </c>
      <c r="G2048">
        <v>0.05</v>
      </c>
      <c r="H2048">
        <v>8550</v>
      </c>
      <c r="I2048">
        <v>-3031.71</v>
      </c>
      <c r="J2048" t="s">
        <v>51</v>
      </c>
      <c r="K2048" t="s">
        <v>434</v>
      </c>
      <c r="L2048">
        <v>4275</v>
      </c>
      <c r="M2048">
        <v>-35.458596491228072</v>
      </c>
      <c r="N2048" t="s">
        <v>81</v>
      </c>
      <c r="O2048" t="s">
        <v>705</v>
      </c>
      <c r="P2048" t="s">
        <v>83</v>
      </c>
      <c r="Q2048" t="s">
        <v>42</v>
      </c>
      <c r="R2048" t="s">
        <v>43</v>
      </c>
      <c r="S2048" t="s">
        <v>44</v>
      </c>
      <c r="T2048" t="s">
        <v>706</v>
      </c>
      <c r="U2048" t="s">
        <v>34</v>
      </c>
      <c r="V2048">
        <v>-1515.855</v>
      </c>
    </row>
    <row r="2049" spans="1:22" x14ac:dyDescent="0.3">
      <c r="A2049" t="s">
        <v>3461</v>
      </c>
      <c r="B2049" s="2">
        <v>46099</v>
      </c>
      <c r="C2049" t="s">
        <v>1185</v>
      </c>
      <c r="D2049" t="s">
        <v>70</v>
      </c>
      <c r="E2049" t="s">
        <v>129</v>
      </c>
      <c r="F2049">
        <v>1</v>
      </c>
      <c r="G2049">
        <v>0</v>
      </c>
      <c r="H2049">
        <v>55000</v>
      </c>
      <c r="I2049">
        <v>9000</v>
      </c>
      <c r="J2049" t="s">
        <v>39</v>
      </c>
      <c r="K2049" t="s">
        <v>40</v>
      </c>
      <c r="L2049">
        <v>55000</v>
      </c>
      <c r="M2049">
        <v>16.36363636363636</v>
      </c>
      <c r="N2049" t="s">
        <v>8</v>
      </c>
      <c r="O2049" t="s">
        <v>280</v>
      </c>
      <c r="P2049" t="s">
        <v>83</v>
      </c>
      <c r="Q2049" t="s">
        <v>131</v>
      </c>
      <c r="R2049" t="s">
        <v>200</v>
      </c>
      <c r="S2049" t="s">
        <v>201</v>
      </c>
      <c r="T2049" t="s">
        <v>319</v>
      </c>
      <c r="U2049" t="s">
        <v>46</v>
      </c>
      <c r="V2049">
        <v>9000</v>
      </c>
    </row>
    <row r="2050" spans="1:22" x14ac:dyDescent="0.3">
      <c r="A2050" t="s">
        <v>3462</v>
      </c>
      <c r="B2050" s="2">
        <v>46110</v>
      </c>
      <c r="C2050" t="s">
        <v>3463</v>
      </c>
      <c r="D2050" t="s">
        <v>37</v>
      </c>
      <c r="E2050" t="s">
        <v>38</v>
      </c>
      <c r="F2050">
        <v>3</v>
      </c>
      <c r="G2050">
        <v>0.15</v>
      </c>
      <c r="H2050">
        <v>4590</v>
      </c>
      <c r="I2050">
        <v>1339.99</v>
      </c>
      <c r="J2050" t="s">
        <v>65</v>
      </c>
      <c r="K2050" t="s">
        <v>27</v>
      </c>
      <c r="L2050">
        <v>1530</v>
      </c>
      <c r="M2050">
        <v>29.193681917211329</v>
      </c>
      <c r="N2050" t="s">
        <v>8</v>
      </c>
      <c r="O2050" t="s">
        <v>692</v>
      </c>
      <c r="P2050" t="s">
        <v>29</v>
      </c>
      <c r="Q2050" t="s">
        <v>42</v>
      </c>
      <c r="R2050" t="s">
        <v>110</v>
      </c>
      <c r="S2050" t="s">
        <v>111</v>
      </c>
      <c r="T2050" t="s">
        <v>1671</v>
      </c>
      <c r="U2050" t="s">
        <v>46</v>
      </c>
      <c r="V2050">
        <v>446.66333333333341</v>
      </c>
    </row>
    <row r="2051" spans="1:22" x14ac:dyDescent="0.3">
      <c r="A2051" t="s">
        <v>3464</v>
      </c>
      <c r="B2051" s="2">
        <v>45944</v>
      </c>
      <c r="C2051" t="s">
        <v>305</v>
      </c>
      <c r="D2051" t="s">
        <v>24</v>
      </c>
      <c r="E2051" t="s">
        <v>242</v>
      </c>
      <c r="F2051">
        <v>1</v>
      </c>
      <c r="G2051">
        <v>0.1</v>
      </c>
      <c r="H2051">
        <v>405</v>
      </c>
      <c r="I2051">
        <v>84.23</v>
      </c>
      <c r="J2051" t="s">
        <v>65</v>
      </c>
      <c r="K2051" t="s">
        <v>40</v>
      </c>
      <c r="L2051">
        <v>405</v>
      </c>
      <c r="M2051">
        <v>20.79753086419753</v>
      </c>
      <c r="N2051" t="s">
        <v>8</v>
      </c>
      <c r="O2051" t="s">
        <v>306</v>
      </c>
      <c r="P2051" t="s">
        <v>29</v>
      </c>
      <c r="Q2051" t="s">
        <v>30</v>
      </c>
      <c r="R2051" t="s">
        <v>60</v>
      </c>
      <c r="S2051" t="s">
        <v>61</v>
      </c>
      <c r="T2051" t="s">
        <v>307</v>
      </c>
      <c r="U2051" t="s">
        <v>34</v>
      </c>
      <c r="V2051">
        <v>84.23</v>
      </c>
    </row>
    <row r="2052" spans="1:22" x14ac:dyDescent="0.3">
      <c r="A2052" t="s">
        <v>3465</v>
      </c>
      <c r="B2052" s="2">
        <v>45925</v>
      </c>
      <c r="C2052" t="s">
        <v>522</v>
      </c>
      <c r="D2052" t="s">
        <v>49</v>
      </c>
      <c r="E2052" t="s">
        <v>58</v>
      </c>
      <c r="F2052">
        <v>1</v>
      </c>
      <c r="G2052">
        <v>0.15</v>
      </c>
      <c r="H2052">
        <v>12750</v>
      </c>
      <c r="I2052">
        <v>1910.54</v>
      </c>
      <c r="J2052" t="s">
        <v>65</v>
      </c>
      <c r="K2052" t="s">
        <v>40</v>
      </c>
      <c r="L2052">
        <v>12750</v>
      </c>
      <c r="M2052">
        <v>14.984627450980391</v>
      </c>
      <c r="N2052" t="s">
        <v>8</v>
      </c>
      <c r="O2052" t="s">
        <v>523</v>
      </c>
      <c r="P2052" t="s">
        <v>73</v>
      </c>
      <c r="Q2052" t="s">
        <v>30</v>
      </c>
      <c r="R2052" t="s">
        <v>98</v>
      </c>
      <c r="S2052" t="s">
        <v>54</v>
      </c>
      <c r="T2052" t="s">
        <v>62</v>
      </c>
      <c r="U2052" t="s">
        <v>46</v>
      </c>
      <c r="V2052">
        <v>1910.54</v>
      </c>
    </row>
    <row r="2053" spans="1:22" x14ac:dyDescent="0.3">
      <c r="A2053" t="s">
        <v>3466</v>
      </c>
      <c r="B2053" s="2">
        <v>46101</v>
      </c>
      <c r="C2053" t="s">
        <v>2233</v>
      </c>
      <c r="D2053" t="s">
        <v>37</v>
      </c>
      <c r="E2053" t="s">
        <v>190</v>
      </c>
      <c r="F2053">
        <v>1</v>
      </c>
      <c r="G2053">
        <v>0.15</v>
      </c>
      <c r="H2053">
        <v>3570</v>
      </c>
      <c r="I2053">
        <v>666.79</v>
      </c>
      <c r="J2053" t="s">
        <v>26</v>
      </c>
      <c r="K2053" t="s">
        <v>40</v>
      </c>
      <c r="L2053">
        <v>3570</v>
      </c>
      <c r="M2053">
        <v>18.677591036414569</v>
      </c>
      <c r="N2053" t="s">
        <v>8</v>
      </c>
      <c r="O2053" t="s">
        <v>398</v>
      </c>
      <c r="P2053" t="s">
        <v>73</v>
      </c>
      <c r="Q2053" t="s">
        <v>74</v>
      </c>
      <c r="R2053" t="s">
        <v>75</v>
      </c>
      <c r="S2053" t="s">
        <v>75</v>
      </c>
      <c r="T2053" t="s">
        <v>391</v>
      </c>
      <c r="U2053" t="s">
        <v>46</v>
      </c>
      <c r="V2053">
        <v>666.79</v>
      </c>
    </row>
    <row r="2054" spans="1:22" x14ac:dyDescent="0.3">
      <c r="A2054" t="s">
        <v>3467</v>
      </c>
      <c r="B2054" s="2">
        <v>46003</v>
      </c>
      <c r="C2054" t="s">
        <v>933</v>
      </c>
      <c r="D2054" t="s">
        <v>24</v>
      </c>
      <c r="E2054" t="s">
        <v>87</v>
      </c>
      <c r="F2054">
        <v>5</v>
      </c>
      <c r="G2054">
        <v>0.1</v>
      </c>
      <c r="H2054">
        <v>1575</v>
      </c>
      <c r="I2054">
        <v>83.02</v>
      </c>
      <c r="J2054" t="s">
        <v>39</v>
      </c>
      <c r="K2054" t="s">
        <v>80</v>
      </c>
      <c r="L2054">
        <v>315</v>
      </c>
      <c r="M2054">
        <v>5.2711111111111109</v>
      </c>
      <c r="N2054" t="s">
        <v>8</v>
      </c>
      <c r="O2054" t="s">
        <v>233</v>
      </c>
      <c r="P2054" t="s">
        <v>29</v>
      </c>
      <c r="Q2054" t="s">
        <v>30</v>
      </c>
      <c r="R2054" t="s">
        <v>31</v>
      </c>
      <c r="S2054" t="s">
        <v>32</v>
      </c>
      <c r="T2054" t="s">
        <v>934</v>
      </c>
      <c r="U2054" t="s">
        <v>34</v>
      </c>
      <c r="V2054">
        <v>16.603999999999999</v>
      </c>
    </row>
    <row r="2055" spans="1:22" x14ac:dyDescent="0.3">
      <c r="A2055" t="s">
        <v>3468</v>
      </c>
      <c r="B2055" s="2">
        <v>45973</v>
      </c>
      <c r="C2055" t="s">
        <v>738</v>
      </c>
      <c r="D2055" t="s">
        <v>49</v>
      </c>
      <c r="E2055" t="s">
        <v>50</v>
      </c>
      <c r="F2055">
        <v>2</v>
      </c>
      <c r="G2055">
        <v>0.05</v>
      </c>
      <c r="H2055">
        <v>24700</v>
      </c>
      <c r="I2055">
        <v>5526.93</v>
      </c>
      <c r="J2055" t="s">
        <v>26</v>
      </c>
      <c r="K2055" t="s">
        <v>27</v>
      </c>
      <c r="L2055">
        <v>12350</v>
      </c>
      <c r="M2055">
        <v>22.376234817813771</v>
      </c>
      <c r="N2055" t="s">
        <v>8</v>
      </c>
      <c r="O2055" t="s">
        <v>739</v>
      </c>
      <c r="P2055" t="s">
        <v>83</v>
      </c>
      <c r="Q2055" t="s">
        <v>74</v>
      </c>
      <c r="R2055" t="s">
        <v>493</v>
      </c>
      <c r="S2055" t="s">
        <v>494</v>
      </c>
      <c r="T2055" t="s">
        <v>615</v>
      </c>
      <c r="U2055" t="s">
        <v>34</v>
      </c>
      <c r="V2055">
        <v>2763.4650000000001</v>
      </c>
    </row>
    <row r="2056" spans="1:22" x14ac:dyDescent="0.3">
      <c r="A2056" t="s">
        <v>3469</v>
      </c>
      <c r="B2056" s="2">
        <v>46133</v>
      </c>
      <c r="C2056" t="s">
        <v>91</v>
      </c>
      <c r="D2056" t="s">
        <v>70</v>
      </c>
      <c r="E2056" t="s">
        <v>71</v>
      </c>
      <c r="F2056">
        <v>2</v>
      </c>
      <c r="G2056">
        <v>0.1</v>
      </c>
      <c r="H2056">
        <v>32400</v>
      </c>
      <c r="I2056">
        <v>3982.08</v>
      </c>
      <c r="J2056" t="s">
        <v>26</v>
      </c>
      <c r="K2056" t="s">
        <v>40</v>
      </c>
      <c r="L2056">
        <v>16200</v>
      </c>
      <c r="M2056">
        <v>12.29037037037037</v>
      </c>
      <c r="N2056" t="s">
        <v>8</v>
      </c>
      <c r="O2056" t="s">
        <v>93</v>
      </c>
      <c r="P2056" t="s">
        <v>73</v>
      </c>
      <c r="Q2056" t="s">
        <v>30</v>
      </c>
      <c r="R2056" t="s">
        <v>60</v>
      </c>
      <c r="S2056" t="s">
        <v>61</v>
      </c>
      <c r="T2056" t="s">
        <v>94</v>
      </c>
      <c r="U2056" t="s">
        <v>34</v>
      </c>
      <c r="V2056">
        <v>1991.04</v>
      </c>
    </row>
    <row r="2057" spans="1:22" x14ac:dyDescent="0.3">
      <c r="A2057" t="s">
        <v>3470</v>
      </c>
      <c r="B2057" s="2">
        <v>45912</v>
      </c>
      <c r="C2057" t="s">
        <v>169</v>
      </c>
      <c r="D2057" t="s">
        <v>24</v>
      </c>
      <c r="E2057" t="s">
        <v>87</v>
      </c>
      <c r="F2057">
        <v>2</v>
      </c>
      <c r="G2057">
        <v>0.05</v>
      </c>
      <c r="H2057">
        <v>665</v>
      </c>
      <c r="I2057">
        <v>-199.99</v>
      </c>
      <c r="J2057" t="s">
        <v>65</v>
      </c>
      <c r="K2057" t="s">
        <v>80</v>
      </c>
      <c r="L2057">
        <v>332.5</v>
      </c>
      <c r="M2057">
        <v>-30.07368421052632</v>
      </c>
      <c r="N2057" t="s">
        <v>81</v>
      </c>
      <c r="O2057" t="s">
        <v>171</v>
      </c>
      <c r="P2057" t="s">
        <v>29</v>
      </c>
      <c r="Q2057" t="s">
        <v>42</v>
      </c>
      <c r="R2057" t="s">
        <v>121</v>
      </c>
      <c r="S2057" t="s">
        <v>44</v>
      </c>
      <c r="T2057" t="s">
        <v>172</v>
      </c>
      <c r="U2057" t="s">
        <v>46</v>
      </c>
      <c r="V2057">
        <v>-99.995000000000005</v>
      </c>
    </row>
    <row r="2058" spans="1:22" x14ac:dyDescent="0.3">
      <c r="A2058" t="s">
        <v>3471</v>
      </c>
      <c r="B2058" s="2">
        <v>45957</v>
      </c>
      <c r="C2058" t="s">
        <v>351</v>
      </c>
      <c r="D2058" t="s">
        <v>37</v>
      </c>
      <c r="E2058" t="s">
        <v>310</v>
      </c>
      <c r="F2058">
        <v>2</v>
      </c>
      <c r="G2058">
        <v>0.15</v>
      </c>
      <c r="H2058">
        <v>3740</v>
      </c>
      <c r="I2058">
        <v>1078.27</v>
      </c>
      <c r="J2058" t="s">
        <v>39</v>
      </c>
      <c r="K2058" t="s">
        <v>40</v>
      </c>
      <c r="L2058">
        <v>1870</v>
      </c>
      <c r="M2058">
        <v>28.830748663101598</v>
      </c>
      <c r="N2058" t="s">
        <v>8</v>
      </c>
      <c r="O2058" t="s">
        <v>352</v>
      </c>
      <c r="P2058" t="s">
        <v>73</v>
      </c>
      <c r="Q2058" t="s">
        <v>30</v>
      </c>
      <c r="R2058" t="s">
        <v>31</v>
      </c>
      <c r="S2058" t="s">
        <v>32</v>
      </c>
      <c r="T2058" t="s">
        <v>338</v>
      </c>
      <c r="U2058" t="s">
        <v>100</v>
      </c>
      <c r="V2058">
        <v>539.13499999999999</v>
      </c>
    </row>
    <row r="2059" spans="1:22" x14ac:dyDescent="0.3">
      <c r="A2059" t="s">
        <v>3472</v>
      </c>
      <c r="B2059" s="2">
        <v>46029</v>
      </c>
      <c r="C2059" t="s">
        <v>866</v>
      </c>
      <c r="D2059" t="s">
        <v>37</v>
      </c>
      <c r="E2059" t="s">
        <v>190</v>
      </c>
      <c r="F2059">
        <v>1</v>
      </c>
      <c r="G2059">
        <v>0.1</v>
      </c>
      <c r="H2059">
        <v>3780</v>
      </c>
      <c r="I2059">
        <v>855.19</v>
      </c>
      <c r="J2059" t="s">
        <v>65</v>
      </c>
      <c r="K2059" t="s">
        <v>40</v>
      </c>
      <c r="L2059">
        <v>3780</v>
      </c>
      <c r="M2059">
        <v>22.62407407407407</v>
      </c>
      <c r="N2059" t="s">
        <v>8</v>
      </c>
      <c r="O2059" t="s">
        <v>247</v>
      </c>
      <c r="P2059" t="s">
        <v>73</v>
      </c>
      <c r="Q2059" t="s">
        <v>30</v>
      </c>
      <c r="R2059" t="s">
        <v>98</v>
      </c>
      <c r="S2059" t="s">
        <v>54</v>
      </c>
      <c r="T2059" t="s">
        <v>319</v>
      </c>
      <c r="U2059" t="s">
        <v>34</v>
      </c>
      <c r="V2059">
        <v>855.19</v>
      </c>
    </row>
    <row r="2060" spans="1:22" x14ac:dyDescent="0.3">
      <c r="A2060" t="s">
        <v>3473</v>
      </c>
      <c r="B2060" s="2">
        <v>46144</v>
      </c>
      <c r="C2060" t="s">
        <v>236</v>
      </c>
      <c r="D2060" t="s">
        <v>49</v>
      </c>
      <c r="E2060" t="s">
        <v>58</v>
      </c>
      <c r="F2060">
        <v>2</v>
      </c>
      <c r="G2060">
        <v>0.1</v>
      </c>
      <c r="H2060">
        <v>27000</v>
      </c>
      <c r="I2060">
        <v>4502.58</v>
      </c>
      <c r="J2060" t="s">
        <v>65</v>
      </c>
      <c r="K2060" t="s">
        <v>27</v>
      </c>
      <c r="L2060">
        <v>13500</v>
      </c>
      <c r="M2060">
        <v>16.676222222222219</v>
      </c>
      <c r="N2060" t="s">
        <v>8</v>
      </c>
      <c r="O2060" t="s">
        <v>179</v>
      </c>
      <c r="P2060" t="s">
        <v>29</v>
      </c>
      <c r="Q2060" t="s">
        <v>74</v>
      </c>
      <c r="R2060" t="s">
        <v>237</v>
      </c>
      <c r="S2060" t="s">
        <v>238</v>
      </c>
      <c r="T2060" t="s">
        <v>239</v>
      </c>
      <c r="U2060" t="s">
        <v>34</v>
      </c>
      <c r="V2060">
        <v>2251.29</v>
      </c>
    </row>
    <row r="2061" spans="1:22" x14ac:dyDescent="0.3">
      <c r="A2061" t="s">
        <v>3474</v>
      </c>
      <c r="B2061" s="2">
        <v>46220</v>
      </c>
      <c r="C2061" t="s">
        <v>1168</v>
      </c>
      <c r="D2061" t="s">
        <v>70</v>
      </c>
      <c r="E2061" t="s">
        <v>129</v>
      </c>
      <c r="F2061">
        <v>5</v>
      </c>
      <c r="G2061">
        <v>0</v>
      </c>
      <c r="H2061">
        <v>275000</v>
      </c>
      <c r="I2061">
        <v>45000</v>
      </c>
      <c r="J2061" t="s">
        <v>39</v>
      </c>
      <c r="K2061" t="s">
        <v>40</v>
      </c>
      <c r="L2061">
        <v>55000</v>
      </c>
      <c r="M2061">
        <v>16.36363636363636</v>
      </c>
      <c r="N2061" t="s">
        <v>8</v>
      </c>
      <c r="O2061" t="s">
        <v>1169</v>
      </c>
      <c r="P2061" t="s">
        <v>83</v>
      </c>
      <c r="Q2061" t="s">
        <v>131</v>
      </c>
      <c r="R2061" t="s">
        <v>289</v>
      </c>
      <c r="S2061" t="s">
        <v>290</v>
      </c>
      <c r="T2061" t="s">
        <v>1170</v>
      </c>
      <c r="U2061" t="s">
        <v>34</v>
      </c>
      <c r="V2061">
        <v>9000</v>
      </c>
    </row>
    <row r="2062" spans="1:22" x14ac:dyDescent="0.3">
      <c r="A2062" t="s">
        <v>3475</v>
      </c>
      <c r="B2062" s="2">
        <v>46050</v>
      </c>
      <c r="C2062" t="s">
        <v>1331</v>
      </c>
      <c r="D2062" t="s">
        <v>70</v>
      </c>
      <c r="E2062" t="s">
        <v>108</v>
      </c>
      <c r="F2062">
        <v>2</v>
      </c>
      <c r="G2062">
        <v>0.1</v>
      </c>
      <c r="H2062">
        <v>8100</v>
      </c>
      <c r="I2062">
        <v>2571.89</v>
      </c>
      <c r="J2062" t="s">
        <v>26</v>
      </c>
      <c r="K2062" t="s">
        <v>40</v>
      </c>
      <c r="L2062">
        <v>4050</v>
      </c>
      <c r="M2062">
        <v>31.751728395061729</v>
      </c>
      <c r="N2062" t="s">
        <v>8</v>
      </c>
      <c r="O2062" t="s">
        <v>553</v>
      </c>
      <c r="P2062" t="s">
        <v>29</v>
      </c>
      <c r="Q2062" t="s">
        <v>30</v>
      </c>
      <c r="R2062" t="s">
        <v>31</v>
      </c>
      <c r="S2062" t="s">
        <v>32</v>
      </c>
      <c r="T2062" t="s">
        <v>1332</v>
      </c>
      <c r="U2062" t="s">
        <v>46</v>
      </c>
      <c r="V2062">
        <v>1285.9449999999999</v>
      </c>
    </row>
    <row r="2063" spans="1:22" x14ac:dyDescent="0.3">
      <c r="A2063" t="s">
        <v>3476</v>
      </c>
      <c r="B2063" s="2">
        <v>45985</v>
      </c>
      <c r="C2063" t="s">
        <v>1423</v>
      </c>
      <c r="D2063" t="s">
        <v>24</v>
      </c>
      <c r="E2063" t="s">
        <v>87</v>
      </c>
      <c r="F2063">
        <v>2</v>
      </c>
      <c r="G2063">
        <v>0.15</v>
      </c>
      <c r="H2063">
        <v>595</v>
      </c>
      <c r="I2063">
        <v>183.37</v>
      </c>
      <c r="J2063" t="s">
        <v>65</v>
      </c>
      <c r="K2063" t="s">
        <v>40</v>
      </c>
      <c r="L2063">
        <v>297.5</v>
      </c>
      <c r="M2063">
        <v>30.81848739495798</v>
      </c>
      <c r="N2063" t="s">
        <v>8</v>
      </c>
      <c r="O2063" t="s">
        <v>1424</v>
      </c>
      <c r="P2063" t="s">
        <v>29</v>
      </c>
      <c r="Q2063" t="s">
        <v>74</v>
      </c>
      <c r="R2063" t="s">
        <v>75</v>
      </c>
      <c r="S2063" t="s">
        <v>75</v>
      </c>
      <c r="T2063" t="s">
        <v>1425</v>
      </c>
      <c r="U2063" t="s">
        <v>34</v>
      </c>
      <c r="V2063">
        <v>91.685000000000002</v>
      </c>
    </row>
    <row r="2064" spans="1:22" x14ac:dyDescent="0.3">
      <c r="A2064" t="s">
        <v>3477</v>
      </c>
      <c r="B2064" s="2">
        <v>46194</v>
      </c>
      <c r="C2064" t="s">
        <v>2798</v>
      </c>
      <c r="D2064" t="s">
        <v>24</v>
      </c>
      <c r="E2064" t="s">
        <v>87</v>
      </c>
      <c r="F2064">
        <v>1</v>
      </c>
      <c r="G2064">
        <v>0.1</v>
      </c>
      <c r="H2064">
        <v>315</v>
      </c>
      <c r="I2064">
        <v>91.09</v>
      </c>
      <c r="J2064" t="s">
        <v>26</v>
      </c>
      <c r="K2064" t="s">
        <v>40</v>
      </c>
      <c r="L2064">
        <v>315</v>
      </c>
      <c r="M2064">
        <v>28.917460317460321</v>
      </c>
      <c r="N2064" t="s">
        <v>8</v>
      </c>
      <c r="O2064" t="s">
        <v>1309</v>
      </c>
      <c r="P2064" t="s">
        <v>73</v>
      </c>
      <c r="Q2064" t="s">
        <v>42</v>
      </c>
      <c r="R2064" t="s">
        <v>214</v>
      </c>
      <c r="S2064" t="s">
        <v>111</v>
      </c>
      <c r="T2064" t="s">
        <v>2799</v>
      </c>
      <c r="U2064" t="s">
        <v>34</v>
      </c>
      <c r="V2064">
        <v>91.09</v>
      </c>
    </row>
    <row r="2065" spans="1:22" x14ac:dyDescent="0.3">
      <c r="A2065" t="s">
        <v>3478</v>
      </c>
      <c r="B2065" s="2">
        <v>45915</v>
      </c>
      <c r="C2065" t="s">
        <v>1270</v>
      </c>
      <c r="D2065" t="s">
        <v>49</v>
      </c>
      <c r="E2065" t="s">
        <v>50</v>
      </c>
      <c r="F2065">
        <v>10</v>
      </c>
      <c r="G2065">
        <v>0.1</v>
      </c>
      <c r="H2065">
        <v>117000</v>
      </c>
      <c r="I2065">
        <v>23212.74</v>
      </c>
      <c r="J2065" t="s">
        <v>26</v>
      </c>
      <c r="K2065" t="s">
        <v>40</v>
      </c>
      <c r="L2065">
        <v>11700</v>
      </c>
      <c r="M2065">
        <v>19.839948717948719</v>
      </c>
      <c r="N2065" t="s">
        <v>8</v>
      </c>
      <c r="O2065" t="s">
        <v>306</v>
      </c>
      <c r="P2065" t="s">
        <v>29</v>
      </c>
      <c r="Q2065" t="s">
        <v>74</v>
      </c>
      <c r="R2065" t="s">
        <v>493</v>
      </c>
      <c r="S2065" t="s">
        <v>494</v>
      </c>
      <c r="T2065" t="s">
        <v>1271</v>
      </c>
      <c r="U2065" t="s">
        <v>34</v>
      </c>
      <c r="V2065">
        <v>2321.2739999999999</v>
      </c>
    </row>
    <row r="2066" spans="1:22" x14ac:dyDescent="0.3">
      <c r="A2066" t="s">
        <v>3479</v>
      </c>
      <c r="B2066" s="2">
        <v>45899</v>
      </c>
      <c r="C2066" t="s">
        <v>3480</v>
      </c>
      <c r="D2066" t="s">
        <v>49</v>
      </c>
      <c r="E2066" t="s">
        <v>50</v>
      </c>
      <c r="F2066">
        <v>3</v>
      </c>
      <c r="G2066">
        <v>0.05</v>
      </c>
      <c r="H2066">
        <v>37050</v>
      </c>
      <c r="I2066">
        <v>8067.2</v>
      </c>
      <c r="J2066" t="s">
        <v>65</v>
      </c>
      <c r="K2066" t="s">
        <v>40</v>
      </c>
      <c r="L2066">
        <v>12350</v>
      </c>
      <c r="M2066">
        <v>21.773819163292849</v>
      </c>
      <c r="N2066" t="s">
        <v>8</v>
      </c>
      <c r="O2066" t="s">
        <v>2183</v>
      </c>
      <c r="P2066" t="s">
        <v>73</v>
      </c>
      <c r="Q2066" t="s">
        <v>131</v>
      </c>
      <c r="R2066" t="s">
        <v>200</v>
      </c>
      <c r="S2066" t="s">
        <v>201</v>
      </c>
      <c r="T2066" t="s">
        <v>3481</v>
      </c>
      <c r="U2066" t="s">
        <v>105</v>
      </c>
      <c r="V2066">
        <v>2689.0666666666671</v>
      </c>
    </row>
    <row r="2067" spans="1:22" x14ac:dyDescent="0.3">
      <c r="A2067" t="s">
        <v>3482</v>
      </c>
      <c r="B2067" s="2">
        <v>46000</v>
      </c>
      <c r="C2067" t="s">
        <v>970</v>
      </c>
      <c r="D2067" t="s">
        <v>49</v>
      </c>
      <c r="E2067" t="s">
        <v>79</v>
      </c>
      <c r="F2067">
        <v>1</v>
      </c>
      <c r="G2067">
        <v>0</v>
      </c>
      <c r="H2067">
        <v>11000</v>
      </c>
      <c r="I2067">
        <v>2600</v>
      </c>
      <c r="J2067" t="s">
        <v>39</v>
      </c>
      <c r="K2067" t="s">
        <v>40</v>
      </c>
      <c r="L2067">
        <v>11000</v>
      </c>
      <c r="M2067">
        <v>23.63636363636364</v>
      </c>
      <c r="N2067" t="s">
        <v>8</v>
      </c>
      <c r="O2067" t="s">
        <v>971</v>
      </c>
      <c r="P2067" t="s">
        <v>83</v>
      </c>
      <c r="Q2067" t="s">
        <v>30</v>
      </c>
      <c r="R2067" t="s">
        <v>31</v>
      </c>
      <c r="S2067" t="s">
        <v>32</v>
      </c>
      <c r="T2067" t="s">
        <v>972</v>
      </c>
      <c r="U2067" t="s">
        <v>34</v>
      </c>
      <c r="V2067">
        <v>2600</v>
      </c>
    </row>
    <row r="2068" spans="1:22" x14ac:dyDescent="0.3">
      <c r="A2068" t="s">
        <v>3483</v>
      </c>
      <c r="B2068" s="2">
        <v>46123</v>
      </c>
      <c r="C2068" t="s">
        <v>293</v>
      </c>
      <c r="D2068" t="s">
        <v>49</v>
      </c>
      <c r="E2068" t="s">
        <v>119</v>
      </c>
      <c r="F2068">
        <v>1</v>
      </c>
      <c r="G2068">
        <v>0.05</v>
      </c>
      <c r="H2068">
        <v>8550</v>
      </c>
      <c r="I2068">
        <v>1983.09</v>
      </c>
      <c r="J2068" t="s">
        <v>65</v>
      </c>
      <c r="K2068" t="s">
        <v>27</v>
      </c>
      <c r="L2068">
        <v>8550</v>
      </c>
      <c r="M2068">
        <v>23.1940350877193</v>
      </c>
      <c r="N2068" t="s">
        <v>8</v>
      </c>
      <c r="O2068" t="s">
        <v>294</v>
      </c>
      <c r="P2068" t="s">
        <v>73</v>
      </c>
      <c r="Q2068" t="s">
        <v>74</v>
      </c>
      <c r="R2068" t="s">
        <v>115</v>
      </c>
      <c r="S2068" t="s">
        <v>115</v>
      </c>
      <c r="T2068" t="s">
        <v>295</v>
      </c>
      <c r="U2068" t="s">
        <v>100</v>
      </c>
      <c r="V2068">
        <v>1983.09</v>
      </c>
    </row>
    <row r="2069" spans="1:22" x14ac:dyDescent="0.3">
      <c r="A2069" t="s">
        <v>3484</v>
      </c>
      <c r="B2069" s="2">
        <v>45866</v>
      </c>
      <c r="C2069" t="s">
        <v>501</v>
      </c>
      <c r="D2069" t="s">
        <v>49</v>
      </c>
      <c r="E2069" t="s">
        <v>58</v>
      </c>
      <c r="F2069">
        <v>1</v>
      </c>
      <c r="G2069">
        <v>0.05</v>
      </c>
      <c r="H2069">
        <v>14250</v>
      </c>
      <c r="I2069">
        <v>3140.98</v>
      </c>
      <c r="J2069" t="s">
        <v>51</v>
      </c>
      <c r="K2069" t="s">
        <v>40</v>
      </c>
      <c r="L2069">
        <v>14250</v>
      </c>
      <c r="M2069">
        <v>22.041964912280701</v>
      </c>
      <c r="N2069" t="s">
        <v>8</v>
      </c>
      <c r="O2069" t="s">
        <v>502</v>
      </c>
      <c r="P2069" t="s">
        <v>29</v>
      </c>
      <c r="Q2069" t="s">
        <v>30</v>
      </c>
      <c r="R2069" t="s">
        <v>31</v>
      </c>
      <c r="S2069" t="s">
        <v>32</v>
      </c>
      <c r="T2069" t="s">
        <v>503</v>
      </c>
      <c r="U2069" t="s">
        <v>100</v>
      </c>
      <c r="V2069">
        <v>3140.98</v>
      </c>
    </row>
    <row r="2070" spans="1:22" x14ac:dyDescent="0.3">
      <c r="A2070" t="s">
        <v>3485</v>
      </c>
      <c r="B2070" s="2">
        <v>45920</v>
      </c>
      <c r="C2070" t="s">
        <v>667</v>
      </c>
      <c r="D2070" t="s">
        <v>70</v>
      </c>
      <c r="E2070" t="s">
        <v>165</v>
      </c>
      <c r="F2070">
        <v>1</v>
      </c>
      <c r="G2070">
        <v>0.05</v>
      </c>
      <c r="H2070">
        <v>2375</v>
      </c>
      <c r="I2070">
        <v>704.11</v>
      </c>
      <c r="J2070" t="s">
        <v>51</v>
      </c>
      <c r="K2070" t="s">
        <v>40</v>
      </c>
      <c r="L2070">
        <v>2375</v>
      </c>
      <c r="M2070">
        <v>29.64673684210527</v>
      </c>
      <c r="N2070" t="s">
        <v>8</v>
      </c>
      <c r="O2070" t="s">
        <v>668</v>
      </c>
      <c r="P2070" t="s">
        <v>29</v>
      </c>
      <c r="Q2070" t="s">
        <v>30</v>
      </c>
      <c r="R2070" t="s">
        <v>31</v>
      </c>
      <c r="S2070" t="s">
        <v>32</v>
      </c>
      <c r="T2070" t="s">
        <v>669</v>
      </c>
      <c r="U2070" t="s">
        <v>46</v>
      </c>
      <c r="V2070">
        <v>704.11</v>
      </c>
    </row>
    <row r="2071" spans="1:22" x14ac:dyDescent="0.3">
      <c r="A2071" t="s">
        <v>3486</v>
      </c>
      <c r="B2071" s="2">
        <v>45970</v>
      </c>
      <c r="C2071" t="s">
        <v>174</v>
      </c>
      <c r="D2071" t="s">
        <v>49</v>
      </c>
      <c r="E2071" t="s">
        <v>119</v>
      </c>
      <c r="F2071">
        <v>6</v>
      </c>
      <c r="G2071">
        <v>0.15</v>
      </c>
      <c r="H2071">
        <v>45900</v>
      </c>
      <c r="I2071">
        <v>9493.14</v>
      </c>
      <c r="J2071" t="s">
        <v>39</v>
      </c>
      <c r="K2071" t="s">
        <v>40</v>
      </c>
      <c r="L2071">
        <v>7650</v>
      </c>
      <c r="M2071">
        <v>20.682222222222219</v>
      </c>
      <c r="N2071" t="s">
        <v>8</v>
      </c>
      <c r="O2071" t="s">
        <v>175</v>
      </c>
      <c r="P2071" t="s">
        <v>29</v>
      </c>
      <c r="Q2071" t="s">
        <v>30</v>
      </c>
      <c r="R2071" t="s">
        <v>53</v>
      </c>
      <c r="S2071" t="s">
        <v>54</v>
      </c>
      <c r="T2071" t="s">
        <v>176</v>
      </c>
      <c r="U2071" t="s">
        <v>34</v>
      </c>
      <c r="V2071">
        <v>1582.19</v>
      </c>
    </row>
    <row r="2072" spans="1:22" x14ac:dyDescent="0.3">
      <c r="A2072" t="s">
        <v>3487</v>
      </c>
      <c r="B2072" s="2">
        <v>46011</v>
      </c>
      <c r="C2072" t="s">
        <v>3159</v>
      </c>
      <c r="D2072" t="s">
        <v>70</v>
      </c>
      <c r="E2072" t="s">
        <v>165</v>
      </c>
      <c r="F2072">
        <v>4</v>
      </c>
      <c r="G2072">
        <v>0.15</v>
      </c>
      <c r="H2072">
        <v>8500</v>
      </c>
      <c r="I2072">
        <v>2078.13</v>
      </c>
      <c r="J2072" t="s">
        <v>65</v>
      </c>
      <c r="K2072" t="s">
        <v>40</v>
      </c>
      <c r="L2072">
        <v>2125</v>
      </c>
      <c r="M2072">
        <v>24.448588235294121</v>
      </c>
      <c r="N2072" t="s">
        <v>8</v>
      </c>
      <c r="O2072" t="s">
        <v>1182</v>
      </c>
      <c r="P2072" t="s">
        <v>73</v>
      </c>
      <c r="Q2072" t="s">
        <v>42</v>
      </c>
      <c r="R2072" t="s">
        <v>110</v>
      </c>
      <c r="S2072" t="s">
        <v>111</v>
      </c>
      <c r="T2072" t="s">
        <v>653</v>
      </c>
      <c r="U2072" t="s">
        <v>105</v>
      </c>
      <c r="V2072">
        <v>519.53250000000003</v>
      </c>
    </row>
    <row r="2073" spans="1:22" x14ac:dyDescent="0.3">
      <c r="A2073" t="s">
        <v>3488</v>
      </c>
      <c r="B2073" s="2">
        <v>45941</v>
      </c>
      <c r="C2073" t="s">
        <v>736</v>
      </c>
      <c r="D2073" t="s">
        <v>70</v>
      </c>
      <c r="E2073" t="s">
        <v>71</v>
      </c>
      <c r="F2073">
        <v>3</v>
      </c>
      <c r="G2073">
        <v>0.1</v>
      </c>
      <c r="H2073">
        <v>48600</v>
      </c>
      <c r="I2073">
        <v>-29647.39</v>
      </c>
      <c r="J2073" t="s">
        <v>39</v>
      </c>
      <c r="K2073" t="s">
        <v>434</v>
      </c>
      <c r="L2073">
        <v>16200</v>
      </c>
      <c r="M2073">
        <v>-61.002860082304522</v>
      </c>
      <c r="N2073" t="s">
        <v>81</v>
      </c>
      <c r="O2073" t="s">
        <v>648</v>
      </c>
      <c r="P2073" t="s">
        <v>29</v>
      </c>
      <c r="Q2073" t="s">
        <v>30</v>
      </c>
      <c r="R2073" t="s">
        <v>60</v>
      </c>
      <c r="S2073" t="s">
        <v>61</v>
      </c>
      <c r="T2073" t="s">
        <v>311</v>
      </c>
      <c r="U2073" t="s">
        <v>34</v>
      </c>
      <c r="V2073">
        <v>-9882.4633333333331</v>
      </c>
    </row>
    <row r="2074" spans="1:22" x14ac:dyDescent="0.3">
      <c r="A2074" t="s">
        <v>3489</v>
      </c>
      <c r="B2074" s="2">
        <v>46179</v>
      </c>
      <c r="C2074" t="s">
        <v>1645</v>
      </c>
      <c r="D2074" t="s">
        <v>37</v>
      </c>
      <c r="E2074" t="s">
        <v>190</v>
      </c>
      <c r="F2074">
        <v>2</v>
      </c>
      <c r="G2074">
        <v>0.15</v>
      </c>
      <c r="H2074">
        <v>7140</v>
      </c>
      <c r="I2074">
        <v>1628.31</v>
      </c>
      <c r="J2074" t="s">
        <v>39</v>
      </c>
      <c r="K2074" t="s">
        <v>40</v>
      </c>
      <c r="L2074">
        <v>3570</v>
      </c>
      <c r="M2074">
        <v>22.805462184873949</v>
      </c>
      <c r="N2074" t="s">
        <v>8</v>
      </c>
      <c r="O2074" t="s">
        <v>984</v>
      </c>
      <c r="P2074" t="s">
        <v>29</v>
      </c>
      <c r="Q2074" t="s">
        <v>131</v>
      </c>
      <c r="R2074" t="s">
        <v>132</v>
      </c>
      <c r="S2074" t="s">
        <v>133</v>
      </c>
      <c r="T2074" t="s">
        <v>1646</v>
      </c>
      <c r="U2074" t="s">
        <v>34</v>
      </c>
      <c r="V2074">
        <v>814.15499999999997</v>
      </c>
    </row>
    <row r="2075" spans="1:22" x14ac:dyDescent="0.3">
      <c r="A2075" t="s">
        <v>3490</v>
      </c>
      <c r="B2075" s="2">
        <v>45934</v>
      </c>
      <c r="C2075" t="s">
        <v>1398</v>
      </c>
      <c r="D2075" t="s">
        <v>49</v>
      </c>
      <c r="E2075" t="s">
        <v>79</v>
      </c>
      <c r="F2075">
        <v>3</v>
      </c>
      <c r="G2075">
        <v>0.2</v>
      </c>
      <c r="H2075">
        <v>26400</v>
      </c>
      <c r="I2075">
        <v>-6800.79</v>
      </c>
      <c r="J2075" t="s">
        <v>65</v>
      </c>
      <c r="K2075" t="s">
        <v>434</v>
      </c>
      <c r="L2075">
        <v>8800</v>
      </c>
      <c r="M2075">
        <v>-25.760568181818179</v>
      </c>
      <c r="N2075" t="s">
        <v>81</v>
      </c>
      <c r="O2075" t="s">
        <v>153</v>
      </c>
      <c r="P2075" t="s">
        <v>83</v>
      </c>
      <c r="Q2075" t="s">
        <v>30</v>
      </c>
      <c r="R2075" t="s">
        <v>53</v>
      </c>
      <c r="S2075" t="s">
        <v>54</v>
      </c>
      <c r="T2075" t="s">
        <v>734</v>
      </c>
      <c r="U2075" t="s">
        <v>46</v>
      </c>
      <c r="V2075">
        <v>-2266.9299999999998</v>
      </c>
    </row>
    <row r="2076" spans="1:22" x14ac:dyDescent="0.3">
      <c r="A2076" t="s">
        <v>3491</v>
      </c>
      <c r="B2076" s="2">
        <v>45969</v>
      </c>
      <c r="C2076" t="s">
        <v>598</v>
      </c>
      <c r="D2076" t="s">
        <v>37</v>
      </c>
      <c r="E2076" t="s">
        <v>170</v>
      </c>
      <c r="F2076">
        <v>1</v>
      </c>
      <c r="G2076">
        <v>0.1</v>
      </c>
      <c r="H2076">
        <v>1260</v>
      </c>
      <c r="I2076">
        <v>426.93</v>
      </c>
      <c r="J2076" t="s">
        <v>26</v>
      </c>
      <c r="K2076" t="s">
        <v>27</v>
      </c>
      <c r="L2076">
        <v>1260</v>
      </c>
      <c r="M2076">
        <v>33.883333333333333</v>
      </c>
      <c r="N2076" t="s">
        <v>8</v>
      </c>
      <c r="O2076" t="s">
        <v>599</v>
      </c>
      <c r="P2076" t="s">
        <v>600</v>
      </c>
      <c r="Q2076" t="s">
        <v>131</v>
      </c>
      <c r="R2076" t="s">
        <v>200</v>
      </c>
      <c r="S2076" t="s">
        <v>201</v>
      </c>
      <c r="T2076" t="s">
        <v>601</v>
      </c>
      <c r="U2076" t="s">
        <v>34</v>
      </c>
      <c r="V2076">
        <v>426.93</v>
      </c>
    </row>
    <row r="2077" spans="1:22" x14ac:dyDescent="0.3">
      <c r="A2077" t="s">
        <v>3492</v>
      </c>
      <c r="B2077" s="2">
        <v>46043</v>
      </c>
      <c r="C2077" t="s">
        <v>1193</v>
      </c>
      <c r="D2077" t="s">
        <v>37</v>
      </c>
      <c r="E2077" t="s">
        <v>190</v>
      </c>
      <c r="F2077">
        <v>6</v>
      </c>
      <c r="G2077">
        <v>0.1</v>
      </c>
      <c r="H2077">
        <v>22680</v>
      </c>
      <c r="I2077">
        <v>-8215.89</v>
      </c>
      <c r="J2077" t="s">
        <v>26</v>
      </c>
      <c r="K2077" t="s">
        <v>80</v>
      </c>
      <c r="L2077">
        <v>3780</v>
      </c>
      <c r="M2077">
        <v>-36.225264550264548</v>
      </c>
      <c r="N2077" t="s">
        <v>81</v>
      </c>
      <c r="O2077" t="s">
        <v>781</v>
      </c>
      <c r="P2077" t="s">
        <v>29</v>
      </c>
      <c r="Q2077" t="s">
        <v>30</v>
      </c>
      <c r="R2077" t="s">
        <v>31</v>
      </c>
      <c r="S2077" t="s">
        <v>32</v>
      </c>
      <c r="T2077" t="s">
        <v>1194</v>
      </c>
      <c r="U2077" t="s">
        <v>46</v>
      </c>
      <c r="V2077">
        <v>-1369.3150000000001</v>
      </c>
    </row>
    <row r="2078" spans="1:22" x14ac:dyDescent="0.3">
      <c r="A2078" t="s">
        <v>3493</v>
      </c>
      <c r="B2078" s="2">
        <v>45858</v>
      </c>
      <c r="C2078" t="s">
        <v>617</v>
      </c>
      <c r="D2078" t="s">
        <v>49</v>
      </c>
      <c r="E2078" t="s">
        <v>58</v>
      </c>
      <c r="F2078">
        <v>2</v>
      </c>
      <c r="G2078">
        <v>0.1</v>
      </c>
      <c r="H2078">
        <v>27000</v>
      </c>
      <c r="I2078">
        <v>4676.3900000000003</v>
      </c>
      <c r="J2078" t="s">
        <v>39</v>
      </c>
      <c r="K2078" t="s">
        <v>40</v>
      </c>
      <c r="L2078">
        <v>13500</v>
      </c>
      <c r="M2078">
        <v>17.319962962962961</v>
      </c>
      <c r="N2078" t="s">
        <v>8</v>
      </c>
      <c r="O2078" t="s">
        <v>618</v>
      </c>
      <c r="P2078" t="s">
        <v>83</v>
      </c>
      <c r="Q2078" t="s">
        <v>30</v>
      </c>
      <c r="R2078" t="s">
        <v>98</v>
      </c>
      <c r="S2078" t="s">
        <v>54</v>
      </c>
      <c r="T2078" t="s">
        <v>619</v>
      </c>
      <c r="U2078" t="s">
        <v>100</v>
      </c>
      <c r="V2078">
        <v>2338.1950000000002</v>
      </c>
    </row>
    <row r="2079" spans="1:22" x14ac:dyDescent="0.3">
      <c r="A2079" t="s">
        <v>3494</v>
      </c>
      <c r="B2079" s="2">
        <v>46230</v>
      </c>
      <c r="C2079" t="s">
        <v>3230</v>
      </c>
      <c r="D2079" t="s">
        <v>70</v>
      </c>
      <c r="E2079" t="s">
        <v>129</v>
      </c>
      <c r="F2079">
        <v>3</v>
      </c>
      <c r="G2079">
        <v>0.05</v>
      </c>
      <c r="H2079">
        <v>156750</v>
      </c>
      <c r="I2079">
        <v>21943.69</v>
      </c>
      <c r="J2079" t="s">
        <v>39</v>
      </c>
      <c r="K2079" t="s">
        <v>27</v>
      </c>
      <c r="L2079">
        <v>52250</v>
      </c>
      <c r="M2079">
        <v>13.999164274322171</v>
      </c>
      <c r="N2079" t="s">
        <v>8</v>
      </c>
      <c r="O2079" t="s">
        <v>733</v>
      </c>
      <c r="P2079" t="s">
        <v>29</v>
      </c>
      <c r="Q2079" t="s">
        <v>42</v>
      </c>
      <c r="R2079" t="s">
        <v>121</v>
      </c>
      <c r="S2079" t="s">
        <v>44</v>
      </c>
      <c r="T2079" t="s">
        <v>3231</v>
      </c>
      <c r="U2079" t="s">
        <v>34</v>
      </c>
      <c r="V2079">
        <v>7314.5633333333326</v>
      </c>
    </row>
    <row r="2080" spans="1:22" x14ac:dyDescent="0.3">
      <c r="A2080" t="s">
        <v>3495</v>
      </c>
      <c r="B2080" s="2">
        <v>46191</v>
      </c>
      <c r="C2080" t="s">
        <v>1926</v>
      </c>
      <c r="D2080" t="s">
        <v>70</v>
      </c>
      <c r="E2080" t="s">
        <v>108</v>
      </c>
      <c r="F2080">
        <v>2</v>
      </c>
      <c r="G2080">
        <v>0.3</v>
      </c>
      <c r="H2080">
        <v>6300</v>
      </c>
      <c r="I2080">
        <v>1715.06</v>
      </c>
      <c r="J2080" t="s">
        <v>26</v>
      </c>
      <c r="K2080" t="s">
        <v>40</v>
      </c>
      <c r="L2080">
        <v>3150</v>
      </c>
      <c r="M2080">
        <v>27.223174603174609</v>
      </c>
      <c r="N2080" t="s">
        <v>8</v>
      </c>
      <c r="O2080" t="s">
        <v>352</v>
      </c>
      <c r="P2080" t="s">
        <v>73</v>
      </c>
      <c r="Q2080" t="s">
        <v>131</v>
      </c>
      <c r="R2080" t="s">
        <v>289</v>
      </c>
      <c r="S2080" t="s">
        <v>290</v>
      </c>
      <c r="T2080" t="s">
        <v>1927</v>
      </c>
      <c r="U2080" t="s">
        <v>34</v>
      </c>
      <c r="V2080">
        <v>857.53</v>
      </c>
    </row>
    <row r="2081" spans="1:22" x14ac:dyDescent="0.3">
      <c r="A2081" t="s">
        <v>3496</v>
      </c>
      <c r="B2081" s="2">
        <v>45866</v>
      </c>
      <c r="C2081" t="s">
        <v>1266</v>
      </c>
      <c r="D2081" t="s">
        <v>70</v>
      </c>
      <c r="E2081" t="s">
        <v>129</v>
      </c>
      <c r="F2081">
        <v>1</v>
      </c>
      <c r="G2081">
        <v>0.1</v>
      </c>
      <c r="H2081">
        <v>49500</v>
      </c>
      <c r="I2081">
        <v>4802.54</v>
      </c>
      <c r="J2081" t="s">
        <v>51</v>
      </c>
      <c r="K2081" t="s">
        <v>40</v>
      </c>
      <c r="L2081">
        <v>49500</v>
      </c>
      <c r="M2081">
        <v>9.7021010101010088</v>
      </c>
      <c r="N2081" t="s">
        <v>8</v>
      </c>
      <c r="O2081" t="s">
        <v>518</v>
      </c>
      <c r="P2081" t="s">
        <v>29</v>
      </c>
      <c r="Q2081" t="s">
        <v>74</v>
      </c>
      <c r="R2081" t="s">
        <v>115</v>
      </c>
      <c r="S2081" t="s">
        <v>115</v>
      </c>
      <c r="T2081" t="s">
        <v>1267</v>
      </c>
      <c r="U2081" t="s">
        <v>100</v>
      </c>
      <c r="V2081">
        <v>4802.54</v>
      </c>
    </row>
    <row r="2082" spans="1:22" x14ac:dyDescent="0.3">
      <c r="A2082" t="s">
        <v>3497</v>
      </c>
      <c r="B2082" s="2">
        <v>46189</v>
      </c>
      <c r="C2082" t="s">
        <v>348</v>
      </c>
      <c r="D2082" t="s">
        <v>24</v>
      </c>
      <c r="E2082" t="s">
        <v>87</v>
      </c>
      <c r="F2082">
        <v>2</v>
      </c>
      <c r="G2082">
        <v>0.1</v>
      </c>
      <c r="H2082">
        <v>630</v>
      </c>
      <c r="I2082">
        <v>200.77</v>
      </c>
      <c r="J2082" t="s">
        <v>26</v>
      </c>
      <c r="K2082" t="s">
        <v>40</v>
      </c>
      <c r="L2082">
        <v>315</v>
      </c>
      <c r="M2082">
        <v>31.86825396825397</v>
      </c>
      <c r="N2082" t="s">
        <v>8</v>
      </c>
      <c r="O2082" t="s">
        <v>349</v>
      </c>
      <c r="P2082" t="s">
        <v>83</v>
      </c>
      <c r="Q2082" t="s">
        <v>30</v>
      </c>
      <c r="R2082" t="s">
        <v>31</v>
      </c>
      <c r="S2082" t="s">
        <v>32</v>
      </c>
      <c r="T2082" t="s">
        <v>307</v>
      </c>
      <c r="U2082" t="s">
        <v>100</v>
      </c>
      <c r="V2082">
        <v>100.38500000000001</v>
      </c>
    </row>
    <row r="2083" spans="1:22" x14ac:dyDescent="0.3">
      <c r="A2083" t="s">
        <v>3498</v>
      </c>
      <c r="B2083" s="2">
        <v>46114</v>
      </c>
      <c r="C2083" t="s">
        <v>1585</v>
      </c>
      <c r="D2083" t="s">
        <v>24</v>
      </c>
      <c r="E2083" t="s">
        <v>242</v>
      </c>
      <c r="F2083">
        <v>2</v>
      </c>
      <c r="G2083">
        <v>0</v>
      </c>
      <c r="H2083">
        <v>900</v>
      </c>
      <c r="I2083">
        <v>220</v>
      </c>
      <c r="J2083" t="s">
        <v>65</v>
      </c>
      <c r="K2083" t="s">
        <v>40</v>
      </c>
      <c r="L2083">
        <v>450</v>
      </c>
      <c r="M2083">
        <v>24.444444444444439</v>
      </c>
      <c r="N2083" t="s">
        <v>8</v>
      </c>
      <c r="O2083" t="s">
        <v>1586</v>
      </c>
      <c r="P2083" t="s">
        <v>29</v>
      </c>
      <c r="Q2083" t="s">
        <v>74</v>
      </c>
      <c r="R2083" t="s">
        <v>493</v>
      </c>
      <c r="S2083" t="s">
        <v>494</v>
      </c>
      <c r="T2083" t="s">
        <v>876</v>
      </c>
      <c r="U2083" t="s">
        <v>34</v>
      </c>
      <c r="V2083">
        <v>110</v>
      </c>
    </row>
    <row r="2084" spans="1:22" x14ac:dyDescent="0.3">
      <c r="A2084" t="s">
        <v>3499</v>
      </c>
      <c r="B2084" s="2">
        <v>46063</v>
      </c>
      <c r="C2084" t="s">
        <v>268</v>
      </c>
      <c r="D2084" t="s">
        <v>37</v>
      </c>
      <c r="E2084" t="s">
        <v>190</v>
      </c>
      <c r="F2084">
        <v>5</v>
      </c>
      <c r="G2084">
        <v>0</v>
      </c>
      <c r="H2084">
        <v>21000</v>
      </c>
      <c r="I2084">
        <v>6000</v>
      </c>
      <c r="J2084" t="s">
        <v>51</v>
      </c>
      <c r="K2084" t="s">
        <v>40</v>
      </c>
      <c r="L2084">
        <v>4200</v>
      </c>
      <c r="M2084">
        <v>28.571428571428569</v>
      </c>
      <c r="N2084" t="s">
        <v>8</v>
      </c>
      <c r="O2084" t="s">
        <v>269</v>
      </c>
      <c r="P2084" t="s">
        <v>29</v>
      </c>
      <c r="Q2084" t="s">
        <v>30</v>
      </c>
      <c r="R2084" t="s">
        <v>31</v>
      </c>
      <c r="S2084" t="s">
        <v>32</v>
      </c>
      <c r="T2084" t="s">
        <v>270</v>
      </c>
      <c r="U2084" t="s">
        <v>34</v>
      </c>
      <c r="V2084">
        <v>1200</v>
      </c>
    </row>
    <row r="2085" spans="1:22" x14ac:dyDescent="0.3">
      <c r="A2085" t="s">
        <v>3500</v>
      </c>
      <c r="B2085" s="2">
        <v>45925</v>
      </c>
      <c r="C2085" t="s">
        <v>488</v>
      </c>
      <c r="D2085" t="s">
        <v>24</v>
      </c>
      <c r="E2085" t="s">
        <v>87</v>
      </c>
      <c r="F2085">
        <v>2</v>
      </c>
      <c r="G2085">
        <v>0</v>
      </c>
      <c r="H2085">
        <v>700</v>
      </c>
      <c r="I2085">
        <v>-66.819999999999993</v>
      </c>
      <c r="J2085" t="s">
        <v>39</v>
      </c>
      <c r="K2085" t="s">
        <v>80</v>
      </c>
      <c r="L2085">
        <v>350</v>
      </c>
      <c r="M2085">
        <v>-9.5457142857142845</v>
      </c>
      <c r="N2085" t="s">
        <v>81</v>
      </c>
      <c r="O2085" t="s">
        <v>398</v>
      </c>
      <c r="P2085" t="s">
        <v>29</v>
      </c>
      <c r="Q2085" t="s">
        <v>30</v>
      </c>
      <c r="R2085" t="s">
        <v>60</v>
      </c>
      <c r="S2085" t="s">
        <v>61</v>
      </c>
      <c r="T2085" t="s">
        <v>489</v>
      </c>
      <c r="U2085" t="s">
        <v>105</v>
      </c>
      <c r="V2085">
        <v>-33.409999999999997</v>
      </c>
    </row>
    <row r="2086" spans="1:22" x14ac:dyDescent="0.3">
      <c r="A2086" t="s">
        <v>3501</v>
      </c>
      <c r="B2086" s="2">
        <v>46139</v>
      </c>
      <c r="C2086" t="s">
        <v>983</v>
      </c>
      <c r="D2086" t="s">
        <v>70</v>
      </c>
      <c r="E2086" t="s">
        <v>108</v>
      </c>
      <c r="F2086">
        <v>5</v>
      </c>
      <c r="G2086">
        <v>0</v>
      </c>
      <c r="H2086">
        <v>22500</v>
      </c>
      <c r="I2086">
        <v>7500</v>
      </c>
      <c r="J2086" t="s">
        <v>65</v>
      </c>
      <c r="K2086" t="s">
        <v>40</v>
      </c>
      <c r="L2086">
        <v>4500</v>
      </c>
      <c r="M2086">
        <v>33.333333333333329</v>
      </c>
      <c r="N2086" t="s">
        <v>8</v>
      </c>
      <c r="O2086" t="s">
        <v>984</v>
      </c>
      <c r="P2086" t="s">
        <v>29</v>
      </c>
      <c r="Q2086" t="s">
        <v>30</v>
      </c>
      <c r="R2086" t="s">
        <v>31</v>
      </c>
      <c r="S2086" t="s">
        <v>32</v>
      </c>
      <c r="T2086" t="s">
        <v>985</v>
      </c>
      <c r="U2086" t="s">
        <v>46</v>
      </c>
      <c r="V2086">
        <v>1500</v>
      </c>
    </row>
    <row r="2087" spans="1:22" x14ac:dyDescent="0.3">
      <c r="A2087" t="s">
        <v>3502</v>
      </c>
      <c r="B2087" s="2">
        <v>46141</v>
      </c>
      <c r="C2087" t="s">
        <v>1852</v>
      </c>
      <c r="D2087" t="s">
        <v>24</v>
      </c>
      <c r="E2087" t="s">
        <v>242</v>
      </c>
      <c r="F2087">
        <v>1</v>
      </c>
      <c r="G2087">
        <v>0.05</v>
      </c>
      <c r="H2087">
        <v>427.5</v>
      </c>
      <c r="I2087">
        <v>91.9</v>
      </c>
      <c r="J2087" t="s">
        <v>65</v>
      </c>
      <c r="K2087" t="s">
        <v>40</v>
      </c>
      <c r="L2087">
        <v>427.5</v>
      </c>
      <c r="M2087">
        <v>21.497076023391809</v>
      </c>
      <c r="N2087" t="s">
        <v>8</v>
      </c>
      <c r="O2087" t="s">
        <v>1325</v>
      </c>
      <c r="P2087" t="s">
        <v>29</v>
      </c>
      <c r="Q2087" t="s">
        <v>74</v>
      </c>
      <c r="R2087" t="s">
        <v>75</v>
      </c>
      <c r="S2087" t="s">
        <v>75</v>
      </c>
      <c r="T2087" t="s">
        <v>1745</v>
      </c>
      <c r="U2087" t="s">
        <v>100</v>
      </c>
      <c r="V2087">
        <v>91.9</v>
      </c>
    </row>
    <row r="2088" spans="1:22" x14ac:dyDescent="0.3">
      <c r="A2088" t="s">
        <v>3503</v>
      </c>
      <c r="B2088" s="2">
        <v>46080</v>
      </c>
      <c r="C2088" t="s">
        <v>936</v>
      </c>
      <c r="D2088" t="s">
        <v>70</v>
      </c>
      <c r="E2088" t="s">
        <v>71</v>
      </c>
      <c r="F2088">
        <v>2</v>
      </c>
      <c r="G2088">
        <v>0.05</v>
      </c>
      <c r="H2088">
        <v>34200</v>
      </c>
      <c r="I2088">
        <v>5707.4</v>
      </c>
      <c r="J2088" t="s">
        <v>26</v>
      </c>
      <c r="K2088" t="s">
        <v>40</v>
      </c>
      <c r="L2088">
        <v>17100</v>
      </c>
      <c r="M2088">
        <v>16.68830409356725</v>
      </c>
      <c r="N2088" t="s">
        <v>8</v>
      </c>
      <c r="O2088" t="s">
        <v>937</v>
      </c>
      <c r="P2088" t="s">
        <v>73</v>
      </c>
      <c r="Q2088" t="s">
        <v>30</v>
      </c>
      <c r="R2088" t="s">
        <v>53</v>
      </c>
      <c r="S2088" t="s">
        <v>54</v>
      </c>
      <c r="T2088" t="s">
        <v>938</v>
      </c>
      <c r="U2088" t="s">
        <v>34</v>
      </c>
      <c r="V2088">
        <v>2853.7</v>
      </c>
    </row>
    <row r="2089" spans="1:22" x14ac:dyDescent="0.3">
      <c r="A2089" t="s">
        <v>3504</v>
      </c>
      <c r="B2089" s="2">
        <v>46141</v>
      </c>
      <c r="C2089" t="s">
        <v>365</v>
      </c>
      <c r="D2089" t="s">
        <v>37</v>
      </c>
      <c r="E2089" t="s">
        <v>170</v>
      </c>
      <c r="F2089">
        <v>3</v>
      </c>
      <c r="G2089">
        <v>0.1</v>
      </c>
      <c r="H2089">
        <v>3780</v>
      </c>
      <c r="I2089">
        <v>1254.29</v>
      </c>
      <c r="J2089" t="s">
        <v>65</v>
      </c>
      <c r="K2089" t="s">
        <v>27</v>
      </c>
      <c r="L2089">
        <v>1260</v>
      </c>
      <c r="M2089">
        <v>33.18227513227513</v>
      </c>
      <c r="N2089" t="s">
        <v>8</v>
      </c>
      <c r="O2089" t="s">
        <v>318</v>
      </c>
      <c r="P2089" t="s">
        <v>29</v>
      </c>
      <c r="Q2089" t="s">
        <v>30</v>
      </c>
      <c r="R2089" t="s">
        <v>31</v>
      </c>
      <c r="S2089" t="s">
        <v>32</v>
      </c>
      <c r="T2089" t="s">
        <v>366</v>
      </c>
      <c r="U2089" t="s">
        <v>105</v>
      </c>
      <c r="V2089">
        <v>418.09666666666658</v>
      </c>
    </row>
    <row r="2090" spans="1:22" x14ac:dyDescent="0.3">
      <c r="A2090" t="s">
        <v>3505</v>
      </c>
      <c r="B2090" s="2">
        <v>46217</v>
      </c>
      <c r="C2090" t="s">
        <v>570</v>
      </c>
      <c r="D2090" t="s">
        <v>24</v>
      </c>
      <c r="E2090" t="s">
        <v>92</v>
      </c>
      <c r="F2090">
        <v>2</v>
      </c>
      <c r="G2090">
        <v>0</v>
      </c>
      <c r="H2090">
        <v>1800</v>
      </c>
      <c r="I2090">
        <v>560</v>
      </c>
      <c r="J2090" t="s">
        <v>39</v>
      </c>
      <c r="K2090" t="s">
        <v>40</v>
      </c>
      <c r="L2090">
        <v>900</v>
      </c>
      <c r="M2090">
        <v>31.111111111111111</v>
      </c>
      <c r="N2090" t="s">
        <v>8</v>
      </c>
      <c r="O2090" t="s">
        <v>571</v>
      </c>
      <c r="P2090" t="s">
        <v>29</v>
      </c>
      <c r="Q2090" t="s">
        <v>30</v>
      </c>
      <c r="R2090" t="s">
        <v>31</v>
      </c>
      <c r="S2090" t="s">
        <v>32</v>
      </c>
      <c r="T2090" t="s">
        <v>572</v>
      </c>
      <c r="U2090" t="s">
        <v>100</v>
      </c>
      <c r="V2090">
        <v>280</v>
      </c>
    </row>
    <row r="2091" spans="1:22" x14ac:dyDescent="0.3">
      <c r="A2091" t="s">
        <v>3506</v>
      </c>
      <c r="B2091" s="2">
        <v>46099</v>
      </c>
      <c r="C2091" t="s">
        <v>559</v>
      </c>
      <c r="D2091" t="s">
        <v>37</v>
      </c>
      <c r="E2091" t="s">
        <v>190</v>
      </c>
      <c r="F2091">
        <v>6</v>
      </c>
      <c r="G2091">
        <v>0.1</v>
      </c>
      <c r="H2091">
        <v>22680</v>
      </c>
      <c r="I2091">
        <v>5734.37</v>
      </c>
      <c r="J2091" t="s">
        <v>26</v>
      </c>
      <c r="K2091" t="s">
        <v>27</v>
      </c>
      <c r="L2091">
        <v>3780</v>
      </c>
      <c r="M2091">
        <v>25.28381834215168</v>
      </c>
      <c r="N2091" t="s">
        <v>8</v>
      </c>
      <c r="O2091" t="s">
        <v>478</v>
      </c>
      <c r="P2091" t="s">
        <v>29</v>
      </c>
      <c r="Q2091" t="s">
        <v>30</v>
      </c>
      <c r="R2091" t="s">
        <v>53</v>
      </c>
      <c r="S2091" t="s">
        <v>54</v>
      </c>
      <c r="T2091" t="s">
        <v>560</v>
      </c>
      <c r="U2091" t="s">
        <v>34</v>
      </c>
      <c r="V2091">
        <v>955.72833333333335</v>
      </c>
    </row>
    <row r="2092" spans="1:22" x14ac:dyDescent="0.3">
      <c r="A2092" t="s">
        <v>3507</v>
      </c>
      <c r="B2092" s="2">
        <v>45941</v>
      </c>
      <c r="C2092" t="s">
        <v>48</v>
      </c>
      <c r="D2092" t="s">
        <v>24</v>
      </c>
      <c r="E2092" t="s">
        <v>92</v>
      </c>
      <c r="F2092">
        <v>6</v>
      </c>
      <c r="G2092">
        <v>0.15</v>
      </c>
      <c r="H2092">
        <v>4590</v>
      </c>
      <c r="I2092">
        <v>1193.56</v>
      </c>
      <c r="J2092" t="s">
        <v>26</v>
      </c>
      <c r="K2092" t="s">
        <v>40</v>
      </c>
      <c r="L2092">
        <v>765</v>
      </c>
      <c r="M2092">
        <v>26.003485838779959</v>
      </c>
      <c r="N2092" t="s">
        <v>8</v>
      </c>
      <c r="O2092" t="s">
        <v>52</v>
      </c>
      <c r="P2092" t="s">
        <v>29</v>
      </c>
      <c r="Q2092" t="s">
        <v>30</v>
      </c>
      <c r="R2092" t="s">
        <v>53</v>
      </c>
      <c r="S2092" t="s">
        <v>54</v>
      </c>
      <c r="T2092" t="s">
        <v>55</v>
      </c>
      <c r="U2092" t="s">
        <v>34</v>
      </c>
      <c r="V2092">
        <v>198.92666666666659</v>
      </c>
    </row>
    <row r="2093" spans="1:22" x14ac:dyDescent="0.3">
      <c r="A2093" t="s">
        <v>3508</v>
      </c>
      <c r="B2093" s="2">
        <v>46233</v>
      </c>
      <c r="C2093" t="s">
        <v>625</v>
      </c>
      <c r="D2093" t="s">
        <v>37</v>
      </c>
      <c r="E2093" t="s">
        <v>170</v>
      </c>
      <c r="F2093">
        <v>1</v>
      </c>
      <c r="G2093">
        <v>0.1</v>
      </c>
      <c r="H2093">
        <v>1260</v>
      </c>
      <c r="I2093">
        <v>416.74</v>
      </c>
      <c r="J2093" t="s">
        <v>65</v>
      </c>
      <c r="K2093" t="s">
        <v>40</v>
      </c>
      <c r="L2093">
        <v>1260</v>
      </c>
      <c r="M2093">
        <v>33.074603174603183</v>
      </c>
      <c r="N2093" t="s">
        <v>8</v>
      </c>
      <c r="O2093" t="s">
        <v>626</v>
      </c>
      <c r="P2093" t="s">
        <v>29</v>
      </c>
      <c r="Q2093" t="s">
        <v>30</v>
      </c>
      <c r="R2093" t="s">
        <v>53</v>
      </c>
      <c r="S2093" t="s">
        <v>54</v>
      </c>
      <c r="T2093" t="s">
        <v>627</v>
      </c>
      <c r="U2093" t="s">
        <v>105</v>
      </c>
      <c r="V2093">
        <v>416.74</v>
      </c>
    </row>
    <row r="2094" spans="1:22" x14ac:dyDescent="0.3">
      <c r="A2094" t="s">
        <v>3509</v>
      </c>
      <c r="B2094" s="2">
        <v>45851</v>
      </c>
      <c r="C2094" t="s">
        <v>1575</v>
      </c>
      <c r="D2094" t="s">
        <v>70</v>
      </c>
      <c r="E2094" t="s">
        <v>165</v>
      </c>
      <c r="F2094">
        <v>4</v>
      </c>
      <c r="G2094">
        <v>0</v>
      </c>
      <c r="H2094">
        <v>10000</v>
      </c>
      <c r="I2094">
        <v>3200</v>
      </c>
      <c r="J2094" t="s">
        <v>39</v>
      </c>
      <c r="K2094" t="s">
        <v>40</v>
      </c>
      <c r="L2094">
        <v>2500</v>
      </c>
      <c r="M2094">
        <v>32</v>
      </c>
      <c r="N2094" t="s">
        <v>8</v>
      </c>
      <c r="O2094" t="s">
        <v>349</v>
      </c>
      <c r="P2094" t="s">
        <v>83</v>
      </c>
      <c r="Q2094" t="s">
        <v>74</v>
      </c>
      <c r="R2094" t="s">
        <v>75</v>
      </c>
      <c r="S2094" t="s">
        <v>75</v>
      </c>
      <c r="T2094" t="s">
        <v>1576</v>
      </c>
      <c r="U2094" t="s">
        <v>34</v>
      </c>
      <c r="V2094">
        <v>800</v>
      </c>
    </row>
    <row r="2095" spans="1:22" x14ac:dyDescent="0.3">
      <c r="A2095" t="s">
        <v>3510</v>
      </c>
      <c r="B2095" s="2">
        <v>46037</v>
      </c>
      <c r="C2095" t="s">
        <v>1229</v>
      </c>
      <c r="D2095" t="s">
        <v>37</v>
      </c>
      <c r="E2095" t="s">
        <v>170</v>
      </c>
      <c r="F2095">
        <v>1</v>
      </c>
      <c r="G2095">
        <v>0.1</v>
      </c>
      <c r="H2095">
        <v>1260</v>
      </c>
      <c r="I2095">
        <v>391.68</v>
      </c>
      <c r="J2095" t="s">
        <v>39</v>
      </c>
      <c r="K2095" t="s">
        <v>40</v>
      </c>
      <c r="L2095">
        <v>1260</v>
      </c>
      <c r="M2095">
        <v>31.085714285714289</v>
      </c>
      <c r="N2095" t="s">
        <v>8</v>
      </c>
      <c r="O2095" t="s">
        <v>1102</v>
      </c>
      <c r="P2095" t="s">
        <v>83</v>
      </c>
      <c r="Q2095" t="s">
        <v>42</v>
      </c>
      <c r="R2095" t="s">
        <v>110</v>
      </c>
      <c r="S2095" t="s">
        <v>111</v>
      </c>
      <c r="T2095" t="s">
        <v>912</v>
      </c>
      <c r="U2095" t="s">
        <v>46</v>
      </c>
      <c r="V2095">
        <v>391.68</v>
      </c>
    </row>
    <row r="2096" spans="1:22" x14ac:dyDescent="0.3">
      <c r="A2096" t="s">
        <v>3511</v>
      </c>
      <c r="B2096" s="2">
        <v>46064</v>
      </c>
      <c r="C2096" t="s">
        <v>3512</v>
      </c>
      <c r="D2096" t="s">
        <v>24</v>
      </c>
      <c r="E2096" t="s">
        <v>25</v>
      </c>
      <c r="F2096">
        <v>2</v>
      </c>
      <c r="G2096">
        <v>0</v>
      </c>
      <c r="H2096">
        <v>28000</v>
      </c>
      <c r="I2096">
        <v>-13673.01</v>
      </c>
      <c r="J2096" t="s">
        <v>26</v>
      </c>
      <c r="K2096" t="s">
        <v>434</v>
      </c>
      <c r="L2096">
        <v>14000</v>
      </c>
      <c r="M2096">
        <v>-48.832178571428571</v>
      </c>
      <c r="N2096" t="s">
        <v>81</v>
      </c>
      <c r="O2096" t="s">
        <v>648</v>
      </c>
      <c r="P2096" t="s">
        <v>83</v>
      </c>
      <c r="Q2096" t="s">
        <v>74</v>
      </c>
      <c r="R2096" t="s">
        <v>115</v>
      </c>
      <c r="S2096" t="s">
        <v>115</v>
      </c>
      <c r="T2096" t="s">
        <v>3513</v>
      </c>
      <c r="U2096" t="s">
        <v>34</v>
      </c>
      <c r="V2096">
        <v>-6836.5050000000001</v>
      </c>
    </row>
    <row r="2097" spans="1:22" x14ac:dyDescent="0.3">
      <c r="A2097" t="s">
        <v>3514</v>
      </c>
      <c r="B2097" s="2">
        <v>45939</v>
      </c>
      <c r="C2097" t="s">
        <v>3024</v>
      </c>
      <c r="D2097" t="s">
        <v>24</v>
      </c>
      <c r="E2097" t="s">
        <v>87</v>
      </c>
      <c r="F2097">
        <v>4</v>
      </c>
      <c r="G2097">
        <v>0.05</v>
      </c>
      <c r="H2097">
        <v>1330</v>
      </c>
      <c r="I2097">
        <v>432.66</v>
      </c>
      <c r="J2097" t="s">
        <v>65</v>
      </c>
      <c r="K2097" t="s">
        <v>40</v>
      </c>
      <c r="L2097">
        <v>332.5</v>
      </c>
      <c r="M2097">
        <v>32.530827067669179</v>
      </c>
      <c r="N2097" t="s">
        <v>8</v>
      </c>
      <c r="O2097" t="s">
        <v>1466</v>
      </c>
      <c r="P2097" t="s">
        <v>29</v>
      </c>
      <c r="Q2097" t="s">
        <v>42</v>
      </c>
      <c r="R2097" t="s">
        <v>214</v>
      </c>
      <c r="S2097" t="s">
        <v>111</v>
      </c>
      <c r="T2097" t="s">
        <v>2425</v>
      </c>
      <c r="U2097" t="s">
        <v>34</v>
      </c>
      <c r="V2097">
        <v>108.16500000000001</v>
      </c>
    </row>
    <row r="2098" spans="1:22" x14ac:dyDescent="0.3">
      <c r="A2098" t="s">
        <v>3515</v>
      </c>
      <c r="B2098" s="2">
        <v>46098</v>
      </c>
      <c r="C2098" t="s">
        <v>1629</v>
      </c>
      <c r="D2098" t="s">
        <v>49</v>
      </c>
      <c r="E2098" t="s">
        <v>119</v>
      </c>
      <c r="F2098">
        <v>3</v>
      </c>
      <c r="G2098">
        <v>0.05</v>
      </c>
      <c r="H2098">
        <v>25650</v>
      </c>
      <c r="I2098">
        <v>6143.4</v>
      </c>
      <c r="J2098" t="s">
        <v>65</v>
      </c>
      <c r="K2098" t="s">
        <v>27</v>
      </c>
      <c r="L2098">
        <v>8550</v>
      </c>
      <c r="M2098">
        <v>23.95087719298246</v>
      </c>
      <c r="N2098" t="s">
        <v>8</v>
      </c>
      <c r="O2098" t="s">
        <v>1630</v>
      </c>
      <c r="P2098" t="s">
        <v>83</v>
      </c>
      <c r="Q2098" t="s">
        <v>42</v>
      </c>
      <c r="R2098" t="s">
        <v>121</v>
      </c>
      <c r="S2098" t="s">
        <v>44</v>
      </c>
      <c r="T2098" t="s">
        <v>1631</v>
      </c>
      <c r="U2098" t="s">
        <v>46</v>
      </c>
      <c r="V2098">
        <v>2047.8</v>
      </c>
    </row>
    <row r="2099" spans="1:22" x14ac:dyDescent="0.3">
      <c r="A2099" t="s">
        <v>3516</v>
      </c>
      <c r="B2099" s="2">
        <v>46244</v>
      </c>
      <c r="C2099" t="s">
        <v>3230</v>
      </c>
      <c r="D2099" t="s">
        <v>24</v>
      </c>
      <c r="E2099" t="s">
        <v>87</v>
      </c>
      <c r="F2099">
        <v>1</v>
      </c>
      <c r="G2099">
        <v>0.15</v>
      </c>
      <c r="H2099">
        <v>297.5</v>
      </c>
      <c r="I2099">
        <v>77.72</v>
      </c>
      <c r="J2099" t="s">
        <v>26</v>
      </c>
      <c r="K2099" t="s">
        <v>40</v>
      </c>
      <c r="L2099">
        <v>297.5</v>
      </c>
      <c r="M2099">
        <v>26.124369747899159</v>
      </c>
      <c r="N2099" t="s">
        <v>8</v>
      </c>
      <c r="O2099" t="s">
        <v>733</v>
      </c>
      <c r="P2099" t="s">
        <v>29</v>
      </c>
      <c r="Q2099" t="s">
        <v>42</v>
      </c>
      <c r="R2099" t="s">
        <v>121</v>
      </c>
      <c r="S2099" t="s">
        <v>44</v>
      </c>
      <c r="T2099" t="s">
        <v>3231</v>
      </c>
      <c r="U2099" t="s">
        <v>34</v>
      </c>
      <c r="V2099">
        <v>77.72</v>
      </c>
    </row>
    <row r="2100" spans="1:22" x14ac:dyDescent="0.3">
      <c r="A2100" t="s">
        <v>3517</v>
      </c>
      <c r="B2100" s="2">
        <v>45987</v>
      </c>
      <c r="C2100" t="s">
        <v>501</v>
      </c>
      <c r="D2100" t="s">
        <v>70</v>
      </c>
      <c r="E2100" t="s">
        <v>71</v>
      </c>
      <c r="F2100">
        <v>5</v>
      </c>
      <c r="G2100">
        <v>0</v>
      </c>
      <c r="H2100">
        <v>90000</v>
      </c>
      <c r="I2100">
        <v>17500</v>
      </c>
      <c r="J2100" t="s">
        <v>39</v>
      </c>
      <c r="K2100" t="s">
        <v>40</v>
      </c>
      <c r="L2100">
        <v>18000</v>
      </c>
      <c r="M2100">
        <v>19.44444444444445</v>
      </c>
      <c r="N2100" t="s">
        <v>8</v>
      </c>
      <c r="O2100" t="s">
        <v>502</v>
      </c>
      <c r="P2100" t="s">
        <v>29</v>
      </c>
      <c r="Q2100" t="s">
        <v>30</v>
      </c>
      <c r="R2100" t="s">
        <v>31</v>
      </c>
      <c r="S2100" t="s">
        <v>32</v>
      </c>
      <c r="T2100" t="s">
        <v>503</v>
      </c>
      <c r="U2100" t="s">
        <v>100</v>
      </c>
      <c r="V2100">
        <v>3500</v>
      </c>
    </row>
    <row r="2101" spans="1:22" x14ac:dyDescent="0.3">
      <c r="A2101" t="s">
        <v>3518</v>
      </c>
      <c r="B2101" s="2">
        <v>45843</v>
      </c>
      <c r="C2101" t="s">
        <v>3480</v>
      </c>
      <c r="D2101" t="s">
        <v>24</v>
      </c>
      <c r="E2101" t="s">
        <v>87</v>
      </c>
      <c r="F2101">
        <v>3</v>
      </c>
      <c r="G2101">
        <v>0.2</v>
      </c>
      <c r="H2101">
        <v>840</v>
      </c>
      <c r="I2101">
        <v>210.38</v>
      </c>
      <c r="J2101" t="s">
        <v>39</v>
      </c>
      <c r="K2101" t="s">
        <v>40</v>
      </c>
      <c r="L2101">
        <v>280</v>
      </c>
      <c r="M2101">
        <v>25.045238095238091</v>
      </c>
      <c r="N2101" t="s">
        <v>8</v>
      </c>
      <c r="O2101" t="s">
        <v>2183</v>
      </c>
      <c r="P2101" t="s">
        <v>73</v>
      </c>
      <c r="Q2101" t="s">
        <v>131</v>
      </c>
      <c r="R2101" t="s">
        <v>200</v>
      </c>
      <c r="S2101" t="s">
        <v>201</v>
      </c>
      <c r="T2101" t="s">
        <v>3481</v>
      </c>
      <c r="U2101" t="s">
        <v>105</v>
      </c>
      <c r="V2101">
        <v>70.126666666666665</v>
      </c>
    </row>
    <row r="2102" spans="1:22" x14ac:dyDescent="0.3">
      <c r="A2102" t="s">
        <v>3519</v>
      </c>
      <c r="B2102" s="2">
        <v>46242</v>
      </c>
      <c r="C2102" t="s">
        <v>1809</v>
      </c>
      <c r="D2102" t="s">
        <v>70</v>
      </c>
      <c r="E2102" t="s">
        <v>71</v>
      </c>
      <c r="F2102">
        <v>2</v>
      </c>
      <c r="G2102">
        <v>0.1</v>
      </c>
      <c r="H2102">
        <v>32400</v>
      </c>
      <c r="I2102">
        <v>5199.8500000000004</v>
      </c>
      <c r="J2102" t="s">
        <v>65</v>
      </c>
      <c r="K2102" t="s">
        <v>40</v>
      </c>
      <c r="L2102">
        <v>16200</v>
      </c>
      <c r="M2102">
        <v>16.04891975308642</v>
      </c>
      <c r="N2102" t="s">
        <v>8</v>
      </c>
      <c r="O2102" t="s">
        <v>730</v>
      </c>
      <c r="P2102" t="s">
        <v>29</v>
      </c>
      <c r="Q2102" t="s">
        <v>74</v>
      </c>
      <c r="R2102" t="s">
        <v>115</v>
      </c>
      <c r="S2102" t="s">
        <v>115</v>
      </c>
      <c r="T2102" t="s">
        <v>1203</v>
      </c>
      <c r="U2102" t="s">
        <v>46</v>
      </c>
      <c r="V2102">
        <v>2599.9250000000002</v>
      </c>
    </row>
    <row r="2103" spans="1:22" x14ac:dyDescent="0.3">
      <c r="A2103" t="s">
        <v>3520</v>
      </c>
      <c r="B2103" s="2">
        <v>46172</v>
      </c>
      <c r="C2103" t="s">
        <v>2957</v>
      </c>
      <c r="D2103" t="s">
        <v>70</v>
      </c>
      <c r="E2103" t="s">
        <v>165</v>
      </c>
      <c r="F2103">
        <v>1</v>
      </c>
      <c r="G2103">
        <v>0.2</v>
      </c>
      <c r="H2103">
        <v>2000</v>
      </c>
      <c r="I2103">
        <v>452.99</v>
      </c>
      <c r="J2103" t="s">
        <v>26</v>
      </c>
      <c r="K2103" t="s">
        <v>40</v>
      </c>
      <c r="L2103">
        <v>2000</v>
      </c>
      <c r="M2103">
        <v>22.6495</v>
      </c>
      <c r="N2103" t="s">
        <v>8</v>
      </c>
      <c r="O2103" t="s">
        <v>439</v>
      </c>
      <c r="P2103" t="s">
        <v>83</v>
      </c>
      <c r="Q2103" t="s">
        <v>131</v>
      </c>
      <c r="R2103" t="s">
        <v>200</v>
      </c>
      <c r="S2103" t="s">
        <v>201</v>
      </c>
      <c r="T2103" t="s">
        <v>2958</v>
      </c>
      <c r="U2103" t="s">
        <v>46</v>
      </c>
      <c r="V2103">
        <v>452.99</v>
      </c>
    </row>
    <row r="2104" spans="1:22" x14ac:dyDescent="0.3">
      <c r="A2104" t="s">
        <v>3521</v>
      </c>
      <c r="B2104" s="2">
        <v>45892</v>
      </c>
      <c r="C2104" t="s">
        <v>1988</v>
      </c>
      <c r="D2104" t="s">
        <v>49</v>
      </c>
      <c r="E2104" t="s">
        <v>79</v>
      </c>
      <c r="F2104">
        <v>3</v>
      </c>
      <c r="G2104">
        <v>0.1</v>
      </c>
      <c r="H2104">
        <v>29700</v>
      </c>
      <c r="I2104">
        <v>5512.94</v>
      </c>
      <c r="J2104" t="s">
        <v>26</v>
      </c>
      <c r="K2104" t="s">
        <v>40</v>
      </c>
      <c r="L2104">
        <v>9900</v>
      </c>
      <c r="M2104">
        <v>18.562087542087539</v>
      </c>
      <c r="N2104" t="s">
        <v>8</v>
      </c>
      <c r="O2104" t="s">
        <v>1989</v>
      </c>
      <c r="P2104" t="s">
        <v>29</v>
      </c>
      <c r="Q2104" t="s">
        <v>131</v>
      </c>
      <c r="R2104" t="s">
        <v>289</v>
      </c>
      <c r="S2104" t="s">
        <v>290</v>
      </c>
      <c r="T2104" t="s">
        <v>1990</v>
      </c>
      <c r="U2104" t="s">
        <v>105</v>
      </c>
      <c r="V2104">
        <v>1837.646666666667</v>
      </c>
    </row>
    <row r="2105" spans="1:22" x14ac:dyDescent="0.3">
      <c r="A2105" t="s">
        <v>3522</v>
      </c>
      <c r="B2105" s="2">
        <v>46226</v>
      </c>
      <c r="C2105" t="s">
        <v>3159</v>
      </c>
      <c r="D2105" t="s">
        <v>70</v>
      </c>
      <c r="E2105" t="s">
        <v>165</v>
      </c>
      <c r="F2105">
        <v>4</v>
      </c>
      <c r="G2105">
        <v>0</v>
      </c>
      <c r="H2105">
        <v>10000</v>
      </c>
      <c r="I2105">
        <v>3200</v>
      </c>
      <c r="J2105" t="s">
        <v>51</v>
      </c>
      <c r="K2105" t="s">
        <v>40</v>
      </c>
      <c r="L2105">
        <v>2500</v>
      </c>
      <c r="M2105">
        <v>32</v>
      </c>
      <c r="N2105" t="s">
        <v>8</v>
      </c>
      <c r="O2105" t="s">
        <v>1182</v>
      </c>
      <c r="P2105" t="s">
        <v>73</v>
      </c>
      <c r="Q2105" t="s">
        <v>42</v>
      </c>
      <c r="R2105" t="s">
        <v>110</v>
      </c>
      <c r="S2105" t="s">
        <v>111</v>
      </c>
      <c r="T2105" t="s">
        <v>653</v>
      </c>
      <c r="U2105" t="s">
        <v>105</v>
      </c>
      <c r="V2105">
        <v>800</v>
      </c>
    </row>
    <row r="2106" spans="1:22" x14ac:dyDescent="0.3">
      <c r="A2106" t="s">
        <v>3523</v>
      </c>
      <c r="B2106" s="2">
        <v>45891</v>
      </c>
      <c r="C2106" t="s">
        <v>1474</v>
      </c>
      <c r="D2106" t="s">
        <v>49</v>
      </c>
      <c r="E2106" t="s">
        <v>79</v>
      </c>
      <c r="F2106">
        <v>3</v>
      </c>
      <c r="G2106">
        <v>0</v>
      </c>
      <c r="H2106">
        <v>33000</v>
      </c>
      <c r="I2106">
        <v>7800</v>
      </c>
      <c r="J2106" t="s">
        <v>51</v>
      </c>
      <c r="K2106" t="s">
        <v>40</v>
      </c>
      <c r="L2106">
        <v>11000</v>
      </c>
      <c r="M2106">
        <v>23.63636363636364</v>
      </c>
      <c r="N2106" t="s">
        <v>8</v>
      </c>
      <c r="O2106" t="s">
        <v>1475</v>
      </c>
      <c r="P2106" t="s">
        <v>73</v>
      </c>
      <c r="Q2106" t="s">
        <v>30</v>
      </c>
      <c r="R2106" t="s">
        <v>98</v>
      </c>
      <c r="S2106" t="s">
        <v>54</v>
      </c>
      <c r="T2106" t="s">
        <v>1476</v>
      </c>
      <c r="U2106" t="s">
        <v>100</v>
      </c>
      <c r="V2106">
        <v>2600</v>
      </c>
    </row>
    <row r="2107" spans="1:22" x14ac:dyDescent="0.3">
      <c r="A2107" t="s">
        <v>3524</v>
      </c>
      <c r="B2107" s="2">
        <v>46149</v>
      </c>
      <c r="C2107" t="s">
        <v>1785</v>
      </c>
      <c r="D2107" t="s">
        <v>49</v>
      </c>
      <c r="E2107" t="s">
        <v>50</v>
      </c>
      <c r="F2107">
        <v>3</v>
      </c>
      <c r="G2107">
        <v>0</v>
      </c>
      <c r="H2107">
        <v>39000</v>
      </c>
      <c r="I2107">
        <v>9600</v>
      </c>
      <c r="J2107" t="s">
        <v>51</v>
      </c>
      <c r="K2107" t="s">
        <v>27</v>
      </c>
      <c r="L2107">
        <v>13000</v>
      </c>
      <c r="M2107">
        <v>24.61538461538462</v>
      </c>
      <c r="N2107" t="s">
        <v>8</v>
      </c>
      <c r="O2107" t="s">
        <v>1786</v>
      </c>
      <c r="P2107" t="s">
        <v>83</v>
      </c>
      <c r="Q2107" t="s">
        <v>30</v>
      </c>
      <c r="R2107" t="s">
        <v>53</v>
      </c>
      <c r="S2107" t="s">
        <v>54</v>
      </c>
      <c r="T2107" t="s">
        <v>227</v>
      </c>
      <c r="U2107" t="s">
        <v>46</v>
      </c>
      <c r="V2107">
        <v>3200</v>
      </c>
    </row>
    <row r="2108" spans="1:22" x14ac:dyDescent="0.3">
      <c r="A2108" t="s">
        <v>3525</v>
      </c>
      <c r="B2108" s="2">
        <v>46123</v>
      </c>
      <c r="C2108" t="s">
        <v>726</v>
      </c>
      <c r="D2108" t="s">
        <v>24</v>
      </c>
      <c r="E2108" t="s">
        <v>92</v>
      </c>
      <c r="F2108">
        <v>4</v>
      </c>
      <c r="G2108">
        <v>0.05</v>
      </c>
      <c r="H2108">
        <v>3420</v>
      </c>
      <c r="I2108">
        <v>989.56</v>
      </c>
      <c r="J2108" t="s">
        <v>39</v>
      </c>
      <c r="K2108" t="s">
        <v>40</v>
      </c>
      <c r="L2108">
        <v>855</v>
      </c>
      <c r="M2108">
        <v>28.934502923976609</v>
      </c>
      <c r="N2108" t="s">
        <v>8</v>
      </c>
      <c r="O2108" t="s">
        <v>727</v>
      </c>
      <c r="P2108" t="s">
        <v>29</v>
      </c>
      <c r="Q2108" t="s">
        <v>30</v>
      </c>
      <c r="R2108" t="s">
        <v>31</v>
      </c>
      <c r="S2108" t="s">
        <v>32</v>
      </c>
      <c r="T2108" t="s">
        <v>33</v>
      </c>
      <c r="U2108" t="s">
        <v>34</v>
      </c>
      <c r="V2108">
        <v>247.39</v>
      </c>
    </row>
    <row r="2109" spans="1:22" x14ac:dyDescent="0.3">
      <c r="A2109" t="s">
        <v>3526</v>
      </c>
      <c r="B2109" s="2">
        <v>46179</v>
      </c>
      <c r="C2109" t="s">
        <v>1078</v>
      </c>
      <c r="D2109" t="s">
        <v>37</v>
      </c>
      <c r="E2109" t="s">
        <v>170</v>
      </c>
      <c r="F2109">
        <v>1</v>
      </c>
      <c r="G2109">
        <v>0.15</v>
      </c>
      <c r="H2109">
        <v>1190</v>
      </c>
      <c r="I2109">
        <v>350.89</v>
      </c>
      <c r="J2109" t="s">
        <v>65</v>
      </c>
      <c r="K2109" t="s">
        <v>40</v>
      </c>
      <c r="L2109">
        <v>1190</v>
      </c>
      <c r="M2109">
        <v>29.48655462184874</v>
      </c>
      <c r="N2109" t="s">
        <v>8</v>
      </c>
      <c r="O2109" t="s">
        <v>1079</v>
      </c>
      <c r="P2109" t="s">
        <v>83</v>
      </c>
      <c r="Q2109" t="s">
        <v>30</v>
      </c>
      <c r="R2109" t="s">
        <v>31</v>
      </c>
      <c r="S2109" t="s">
        <v>32</v>
      </c>
      <c r="T2109" t="s">
        <v>948</v>
      </c>
      <c r="U2109" t="s">
        <v>34</v>
      </c>
      <c r="V2109">
        <v>350.89</v>
      </c>
    </row>
    <row r="2110" spans="1:22" x14ac:dyDescent="0.3">
      <c r="A2110" t="s">
        <v>3527</v>
      </c>
      <c r="B2110" s="2">
        <v>46057</v>
      </c>
      <c r="C2110" t="s">
        <v>377</v>
      </c>
      <c r="D2110" t="s">
        <v>24</v>
      </c>
      <c r="E2110" t="s">
        <v>242</v>
      </c>
      <c r="F2110">
        <v>2</v>
      </c>
      <c r="G2110">
        <v>0.1</v>
      </c>
      <c r="H2110">
        <v>810</v>
      </c>
      <c r="I2110">
        <v>155.83000000000001</v>
      </c>
      <c r="J2110" t="s">
        <v>65</v>
      </c>
      <c r="K2110" t="s">
        <v>27</v>
      </c>
      <c r="L2110">
        <v>405</v>
      </c>
      <c r="M2110">
        <v>19.238271604938269</v>
      </c>
      <c r="N2110" t="s">
        <v>8</v>
      </c>
      <c r="O2110" t="s">
        <v>378</v>
      </c>
      <c r="P2110" t="s">
        <v>29</v>
      </c>
      <c r="Q2110" t="s">
        <v>30</v>
      </c>
      <c r="R2110" t="s">
        <v>31</v>
      </c>
      <c r="S2110" t="s">
        <v>32</v>
      </c>
      <c r="T2110" t="s">
        <v>379</v>
      </c>
      <c r="U2110" t="s">
        <v>34</v>
      </c>
      <c r="V2110">
        <v>77.915000000000006</v>
      </c>
    </row>
    <row r="2111" spans="1:22" x14ac:dyDescent="0.3">
      <c r="A2111" t="s">
        <v>3528</v>
      </c>
      <c r="B2111" s="2">
        <v>45925</v>
      </c>
      <c r="C2111" t="s">
        <v>640</v>
      </c>
      <c r="D2111" t="s">
        <v>37</v>
      </c>
      <c r="E2111" t="s">
        <v>38</v>
      </c>
      <c r="F2111">
        <v>1</v>
      </c>
      <c r="G2111">
        <v>0.3</v>
      </c>
      <c r="H2111">
        <v>1260</v>
      </c>
      <c r="I2111">
        <v>277.86</v>
      </c>
      <c r="J2111" t="s">
        <v>26</v>
      </c>
      <c r="K2111" t="s">
        <v>40</v>
      </c>
      <c r="L2111">
        <v>1260</v>
      </c>
      <c r="M2111">
        <v>22.05238095238095</v>
      </c>
      <c r="N2111" t="s">
        <v>8</v>
      </c>
      <c r="O2111" t="s">
        <v>641</v>
      </c>
      <c r="P2111" t="s">
        <v>29</v>
      </c>
      <c r="Q2111" t="s">
        <v>30</v>
      </c>
      <c r="R2111" t="s">
        <v>31</v>
      </c>
      <c r="S2111" t="s">
        <v>32</v>
      </c>
      <c r="T2111" t="s">
        <v>642</v>
      </c>
      <c r="U2111" t="s">
        <v>34</v>
      </c>
      <c r="V2111">
        <v>277.86</v>
      </c>
    </row>
    <row r="2112" spans="1:22" x14ac:dyDescent="0.3">
      <c r="A2112" t="s">
        <v>3529</v>
      </c>
      <c r="B2112" s="2">
        <v>45856</v>
      </c>
      <c r="C2112" t="s">
        <v>1181</v>
      </c>
      <c r="D2112" t="s">
        <v>70</v>
      </c>
      <c r="E2112" t="s">
        <v>108</v>
      </c>
      <c r="F2112">
        <v>1</v>
      </c>
      <c r="G2112">
        <v>0.1</v>
      </c>
      <c r="H2112">
        <v>4050</v>
      </c>
      <c r="I2112">
        <v>1167.3599999999999</v>
      </c>
      <c r="J2112" t="s">
        <v>26</v>
      </c>
      <c r="K2112" t="s">
        <v>40</v>
      </c>
      <c r="L2112">
        <v>4050</v>
      </c>
      <c r="M2112">
        <v>28.8237037037037</v>
      </c>
      <c r="N2112" t="s">
        <v>8</v>
      </c>
      <c r="O2112" t="s">
        <v>1182</v>
      </c>
      <c r="P2112" t="s">
        <v>29</v>
      </c>
      <c r="Q2112" t="s">
        <v>30</v>
      </c>
      <c r="R2112" t="s">
        <v>31</v>
      </c>
      <c r="S2112" t="s">
        <v>32</v>
      </c>
      <c r="T2112" t="s">
        <v>206</v>
      </c>
      <c r="U2112" t="s">
        <v>46</v>
      </c>
      <c r="V2112">
        <v>1167.3599999999999</v>
      </c>
    </row>
    <row r="2113" spans="1:22" x14ac:dyDescent="0.3">
      <c r="A2113" t="s">
        <v>3530</v>
      </c>
      <c r="B2113" s="2">
        <v>45991</v>
      </c>
      <c r="C2113" t="s">
        <v>1106</v>
      </c>
      <c r="D2113" t="s">
        <v>49</v>
      </c>
      <c r="E2113" t="s">
        <v>50</v>
      </c>
      <c r="F2113">
        <v>3</v>
      </c>
      <c r="G2113">
        <v>0.05</v>
      </c>
      <c r="H2113">
        <v>37050</v>
      </c>
      <c r="I2113">
        <v>8112.79</v>
      </c>
      <c r="J2113" t="s">
        <v>65</v>
      </c>
      <c r="K2113" t="s">
        <v>40</v>
      </c>
      <c r="L2113">
        <v>12350</v>
      </c>
      <c r="M2113">
        <v>21.89686909581647</v>
      </c>
      <c r="N2113" t="s">
        <v>8</v>
      </c>
      <c r="O2113" t="s">
        <v>789</v>
      </c>
      <c r="P2113" t="s">
        <v>29</v>
      </c>
      <c r="Q2113" t="s">
        <v>74</v>
      </c>
      <c r="R2113" t="s">
        <v>237</v>
      </c>
      <c r="S2113" t="s">
        <v>238</v>
      </c>
      <c r="T2113" t="s">
        <v>1107</v>
      </c>
      <c r="U2113" t="s">
        <v>105</v>
      </c>
      <c r="V2113">
        <v>2704.2633333333329</v>
      </c>
    </row>
    <row r="2114" spans="1:22" x14ac:dyDescent="0.3">
      <c r="A2114" t="s">
        <v>3531</v>
      </c>
      <c r="B2114" s="2">
        <v>46232</v>
      </c>
      <c r="C2114" t="s">
        <v>3532</v>
      </c>
      <c r="D2114" t="s">
        <v>49</v>
      </c>
      <c r="E2114" t="s">
        <v>79</v>
      </c>
      <c r="F2114">
        <v>3</v>
      </c>
      <c r="G2114">
        <v>0.1</v>
      </c>
      <c r="H2114">
        <v>29700</v>
      </c>
      <c r="I2114">
        <v>5568.68</v>
      </c>
      <c r="J2114" t="s">
        <v>26</v>
      </c>
      <c r="K2114" t="s">
        <v>40</v>
      </c>
      <c r="L2114">
        <v>9900</v>
      </c>
      <c r="M2114">
        <v>18.749764309764309</v>
      </c>
      <c r="N2114" t="s">
        <v>8</v>
      </c>
      <c r="O2114" t="s">
        <v>3533</v>
      </c>
      <c r="P2114" t="s">
        <v>29</v>
      </c>
      <c r="Q2114" t="s">
        <v>131</v>
      </c>
      <c r="R2114" t="s">
        <v>132</v>
      </c>
      <c r="S2114" t="s">
        <v>133</v>
      </c>
      <c r="T2114" t="s">
        <v>3534</v>
      </c>
      <c r="U2114" t="s">
        <v>34</v>
      </c>
      <c r="V2114">
        <v>1856.2266666666669</v>
      </c>
    </row>
    <row r="2115" spans="1:22" x14ac:dyDescent="0.3">
      <c r="A2115" t="s">
        <v>3535</v>
      </c>
      <c r="B2115" s="2">
        <v>46040</v>
      </c>
      <c r="C2115" t="s">
        <v>491</v>
      </c>
      <c r="D2115" t="s">
        <v>37</v>
      </c>
      <c r="E2115" t="s">
        <v>170</v>
      </c>
      <c r="F2115">
        <v>10</v>
      </c>
      <c r="G2115">
        <v>0</v>
      </c>
      <c r="H2115">
        <v>14000</v>
      </c>
      <c r="I2115">
        <v>5000</v>
      </c>
      <c r="J2115" t="s">
        <v>65</v>
      </c>
      <c r="K2115" t="s">
        <v>40</v>
      </c>
      <c r="L2115">
        <v>1400</v>
      </c>
      <c r="M2115">
        <v>35.714285714285722</v>
      </c>
      <c r="N2115" t="s">
        <v>8</v>
      </c>
      <c r="O2115" t="s">
        <v>492</v>
      </c>
      <c r="P2115" t="s">
        <v>29</v>
      </c>
      <c r="Q2115" t="s">
        <v>74</v>
      </c>
      <c r="R2115" t="s">
        <v>493</v>
      </c>
      <c r="S2115" t="s">
        <v>494</v>
      </c>
      <c r="T2115" t="s">
        <v>495</v>
      </c>
      <c r="U2115" t="s">
        <v>100</v>
      </c>
      <c r="V2115">
        <v>500</v>
      </c>
    </row>
    <row r="2116" spans="1:22" x14ac:dyDescent="0.3">
      <c r="A2116" t="s">
        <v>3536</v>
      </c>
      <c r="B2116" s="2">
        <v>45875</v>
      </c>
      <c r="C2116" t="s">
        <v>2562</v>
      </c>
      <c r="D2116" t="s">
        <v>70</v>
      </c>
      <c r="E2116" t="s">
        <v>108</v>
      </c>
      <c r="F2116">
        <v>2</v>
      </c>
      <c r="G2116">
        <v>0.1</v>
      </c>
      <c r="H2116">
        <v>8100</v>
      </c>
      <c r="I2116">
        <v>2524.39</v>
      </c>
      <c r="J2116" t="s">
        <v>51</v>
      </c>
      <c r="K2116" t="s">
        <v>40</v>
      </c>
      <c r="L2116">
        <v>4050</v>
      </c>
      <c r="M2116">
        <v>31.165308641975312</v>
      </c>
      <c r="N2116" t="s">
        <v>8</v>
      </c>
      <c r="O2116" t="s">
        <v>2563</v>
      </c>
      <c r="P2116" t="s">
        <v>29</v>
      </c>
      <c r="Q2116" t="s">
        <v>30</v>
      </c>
      <c r="R2116" t="s">
        <v>60</v>
      </c>
      <c r="S2116" t="s">
        <v>61</v>
      </c>
      <c r="T2116" t="s">
        <v>1619</v>
      </c>
      <c r="U2116" t="s">
        <v>34</v>
      </c>
      <c r="V2116">
        <v>1262.1949999999999</v>
      </c>
    </row>
    <row r="2117" spans="1:22" x14ac:dyDescent="0.3">
      <c r="A2117" t="s">
        <v>3537</v>
      </c>
      <c r="B2117" s="2">
        <v>46204</v>
      </c>
      <c r="C2117" t="s">
        <v>1220</v>
      </c>
      <c r="D2117" t="s">
        <v>37</v>
      </c>
      <c r="E2117" t="s">
        <v>190</v>
      </c>
      <c r="F2117">
        <v>1</v>
      </c>
      <c r="G2117">
        <v>0.05</v>
      </c>
      <c r="H2117">
        <v>3990</v>
      </c>
      <c r="I2117">
        <v>1026.78</v>
      </c>
      <c r="J2117" t="s">
        <v>26</v>
      </c>
      <c r="K2117" t="s">
        <v>40</v>
      </c>
      <c r="L2117">
        <v>3990</v>
      </c>
      <c r="M2117">
        <v>25.73383458646617</v>
      </c>
      <c r="N2117" t="s">
        <v>8</v>
      </c>
      <c r="O2117" t="s">
        <v>333</v>
      </c>
      <c r="P2117" t="s">
        <v>29</v>
      </c>
      <c r="Q2117" t="s">
        <v>74</v>
      </c>
      <c r="R2117" t="s">
        <v>75</v>
      </c>
      <c r="S2117" t="s">
        <v>75</v>
      </c>
      <c r="T2117" t="s">
        <v>1221</v>
      </c>
      <c r="U2117" t="s">
        <v>105</v>
      </c>
      <c r="V2117">
        <v>1026.78</v>
      </c>
    </row>
    <row r="2118" spans="1:22" x14ac:dyDescent="0.3">
      <c r="A2118" t="s">
        <v>3538</v>
      </c>
      <c r="B2118" s="2">
        <v>46223</v>
      </c>
      <c r="C2118" t="s">
        <v>128</v>
      </c>
      <c r="D2118" t="s">
        <v>70</v>
      </c>
      <c r="E2118" t="s">
        <v>129</v>
      </c>
      <c r="F2118">
        <v>4</v>
      </c>
      <c r="G2118">
        <v>0</v>
      </c>
      <c r="H2118">
        <v>220000</v>
      </c>
      <c r="I2118">
        <v>36000</v>
      </c>
      <c r="J2118" t="s">
        <v>26</v>
      </c>
      <c r="K2118" t="s">
        <v>40</v>
      </c>
      <c r="L2118">
        <v>55000</v>
      </c>
      <c r="M2118">
        <v>16.36363636363636</v>
      </c>
      <c r="N2118" t="s">
        <v>8</v>
      </c>
      <c r="O2118" t="s">
        <v>130</v>
      </c>
      <c r="P2118" t="s">
        <v>83</v>
      </c>
      <c r="Q2118" t="s">
        <v>131</v>
      </c>
      <c r="R2118" t="s">
        <v>132</v>
      </c>
      <c r="S2118" t="s">
        <v>133</v>
      </c>
      <c r="T2118" t="s">
        <v>134</v>
      </c>
      <c r="U2118" t="s">
        <v>46</v>
      </c>
      <c r="V2118">
        <v>9000</v>
      </c>
    </row>
    <row r="2119" spans="1:22" x14ac:dyDescent="0.3">
      <c r="A2119" t="s">
        <v>3539</v>
      </c>
      <c r="B2119" s="2">
        <v>46047</v>
      </c>
      <c r="C2119" t="s">
        <v>2322</v>
      </c>
      <c r="D2119" t="s">
        <v>24</v>
      </c>
      <c r="E2119" t="s">
        <v>92</v>
      </c>
      <c r="F2119">
        <v>15</v>
      </c>
      <c r="G2119">
        <v>0.1</v>
      </c>
      <c r="H2119">
        <v>12150</v>
      </c>
      <c r="I2119">
        <v>3486.99</v>
      </c>
      <c r="J2119" t="s">
        <v>39</v>
      </c>
      <c r="K2119" t="s">
        <v>40</v>
      </c>
      <c r="L2119">
        <v>810</v>
      </c>
      <c r="M2119">
        <v>28.699506172839509</v>
      </c>
      <c r="N2119" t="s">
        <v>8</v>
      </c>
      <c r="O2119" t="s">
        <v>2323</v>
      </c>
      <c r="P2119" t="s">
        <v>29</v>
      </c>
      <c r="Q2119" t="s">
        <v>74</v>
      </c>
      <c r="R2119" t="s">
        <v>75</v>
      </c>
      <c r="S2119" t="s">
        <v>75</v>
      </c>
      <c r="T2119" t="s">
        <v>463</v>
      </c>
      <c r="U2119" t="s">
        <v>100</v>
      </c>
      <c r="V2119">
        <v>232.46600000000001</v>
      </c>
    </row>
    <row r="2120" spans="1:22" x14ac:dyDescent="0.3">
      <c r="A2120" t="s">
        <v>3540</v>
      </c>
      <c r="B2120" s="2">
        <v>46076</v>
      </c>
      <c r="C2120" t="s">
        <v>136</v>
      </c>
      <c r="D2120" t="s">
        <v>70</v>
      </c>
      <c r="E2120" t="s">
        <v>165</v>
      </c>
      <c r="F2120">
        <v>1</v>
      </c>
      <c r="G2120">
        <v>0</v>
      </c>
      <c r="H2120">
        <v>2500</v>
      </c>
      <c r="I2120">
        <v>800</v>
      </c>
      <c r="J2120" t="s">
        <v>26</v>
      </c>
      <c r="K2120" t="s">
        <v>27</v>
      </c>
      <c r="L2120">
        <v>2500</v>
      </c>
      <c r="M2120">
        <v>32</v>
      </c>
      <c r="N2120" t="s">
        <v>8</v>
      </c>
      <c r="O2120" t="s">
        <v>137</v>
      </c>
      <c r="P2120" t="s">
        <v>83</v>
      </c>
      <c r="Q2120" t="s">
        <v>42</v>
      </c>
      <c r="R2120" t="s">
        <v>110</v>
      </c>
      <c r="S2120" t="s">
        <v>111</v>
      </c>
      <c r="T2120" t="s">
        <v>138</v>
      </c>
      <c r="U2120" t="s">
        <v>34</v>
      </c>
      <c r="V2120">
        <v>800</v>
      </c>
    </row>
    <row r="2121" spans="1:22" x14ac:dyDescent="0.3">
      <c r="A2121" t="s">
        <v>3541</v>
      </c>
      <c r="B2121" s="2">
        <v>46152</v>
      </c>
      <c r="C2121" t="s">
        <v>792</v>
      </c>
      <c r="D2121" t="s">
        <v>49</v>
      </c>
      <c r="E2121" t="s">
        <v>58</v>
      </c>
      <c r="F2121">
        <v>1</v>
      </c>
      <c r="G2121">
        <v>0.15</v>
      </c>
      <c r="H2121">
        <v>12750</v>
      </c>
      <c r="I2121">
        <v>2300.42</v>
      </c>
      <c r="J2121" t="s">
        <v>26</v>
      </c>
      <c r="K2121" t="s">
        <v>27</v>
      </c>
      <c r="L2121">
        <v>12750</v>
      </c>
      <c r="M2121">
        <v>18.042509803921568</v>
      </c>
      <c r="N2121" t="s">
        <v>8</v>
      </c>
      <c r="O2121" t="s">
        <v>359</v>
      </c>
      <c r="P2121" t="s">
        <v>83</v>
      </c>
      <c r="Q2121" t="s">
        <v>74</v>
      </c>
      <c r="R2121" t="s">
        <v>237</v>
      </c>
      <c r="S2121" t="s">
        <v>238</v>
      </c>
      <c r="T2121" t="s">
        <v>793</v>
      </c>
      <c r="U2121" t="s">
        <v>34</v>
      </c>
      <c r="V2121">
        <v>2300.42</v>
      </c>
    </row>
    <row r="2122" spans="1:22" x14ac:dyDescent="0.3">
      <c r="A2122" t="s">
        <v>3542</v>
      </c>
      <c r="B2122" s="2">
        <v>45914</v>
      </c>
      <c r="C2122" t="s">
        <v>2483</v>
      </c>
      <c r="D2122" t="s">
        <v>70</v>
      </c>
      <c r="E2122" t="s">
        <v>165</v>
      </c>
      <c r="F2122">
        <v>1</v>
      </c>
      <c r="G2122">
        <v>0</v>
      </c>
      <c r="H2122">
        <v>2500</v>
      </c>
      <c r="I2122">
        <v>800</v>
      </c>
      <c r="J2122" t="s">
        <v>65</v>
      </c>
      <c r="K2122" t="s">
        <v>40</v>
      </c>
      <c r="L2122">
        <v>2500</v>
      </c>
      <c r="M2122">
        <v>32</v>
      </c>
      <c r="N2122" t="s">
        <v>8</v>
      </c>
      <c r="O2122" t="s">
        <v>1786</v>
      </c>
      <c r="P2122" t="s">
        <v>73</v>
      </c>
      <c r="Q2122" t="s">
        <v>74</v>
      </c>
      <c r="R2122" t="s">
        <v>237</v>
      </c>
      <c r="S2122" t="s">
        <v>238</v>
      </c>
      <c r="T2122" t="s">
        <v>2484</v>
      </c>
      <c r="U2122" t="s">
        <v>46</v>
      </c>
      <c r="V2122">
        <v>800</v>
      </c>
    </row>
    <row r="2123" spans="1:22" x14ac:dyDescent="0.3">
      <c r="A2123" t="s">
        <v>3543</v>
      </c>
      <c r="B2123" s="2">
        <v>46134</v>
      </c>
      <c r="C2123" t="s">
        <v>232</v>
      </c>
      <c r="D2123" t="s">
        <v>49</v>
      </c>
      <c r="E2123" t="s">
        <v>58</v>
      </c>
      <c r="F2123">
        <v>1</v>
      </c>
      <c r="G2123">
        <v>0.1</v>
      </c>
      <c r="H2123">
        <v>13500</v>
      </c>
      <c r="I2123">
        <v>2412.3200000000002</v>
      </c>
      <c r="J2123" t="s">
        <v>26</v>
      </c>
      <c r="K2123" t="s">
        <v>27</v>
      </c>
      <c r="L2123">
        <v>13500</v>
      </c>
      <c r="M2123">
        <v>17.869037037037039</v>
      </c>
      <c r="N2123" t="s">
        <v>8</v>
      </c>
      <c r="O2123" t="s">
        <v>233</v>
      </c>
      <c r="P2123" t="s">
        <v>29</v>
      </c>
      <c r="Q2123" t="s">
        <v>131</v>
      </c>
      <c r="R2123" t="s">
        <v>132</v>
      </c>
      <c r="S2123" t="s">
        <v>133</v>
      </c>
      <c r="T2123" t="s">
        <v>234</v>
      </c>
      <c r="U2123" t="s">
        <v>34</v>
      </c>
      <c r="V2123">
        <v>2412.3200000000002</v>
      </c>
    </row>
    <row r="2124" spans="1:22" x14ac:dyDescent="0.3">
      <c r="A2124" t="s">
        <v>3544</v>
      </c>
      <c r="B2124" s="2">
        <v>45950</v>
      </c>
      <c r="C2124" t="s">
        <v>664</v>
      </c>
      <c r="D2124" t="s">
        <v>70</v>
      </c>
      <c r="E2124" t="s">
        <v>129</v>
      </c>
      <c r="F2124">
        <v>2</v>
      </c>
      <c r="G2124">
        <v>0.1</v>
      </c>
      <c r="H2124">
        <v>99000</v>
      </c>
      <c r="I2124">
        <v>11635.29</v>
      </c>
      <c r="J2124" t="s">
        <v>65</v>
      </c>
      <c r="K2124" t="s">
        <v>40</v>
      </c>
      <c r="L2124">
        <v>49500</v>
      </c>
      <c r="M2124">
        <v>11.75281818181818</v>
      </c>
      <c r="N2124" t="s">
        <v>8</v>
      </c>
      <c r="O2124" t="s">
        <v>665</v>
      </c>
      <c r="P2124" t="s">
        <v>29</v>
      </c>
      <c r="Q2124" t="s">
        <v>30</v>
      </c>
      <c r="R2124" t="s">
        <v>31</v>
      </c>
      <c r="S2124" t="s">
        <v>32</v>
      </c>
      <c r="T2124" t="s">
        <v>256</v>
      </c>
      <c r="U2124" t="s">
        <v>34</v>
      </c>
      <c r="V2124">
        <v>5817.6450000000004</v>
      </c>
    </row>
    <row r="2125" spans="1:22" x14ac:dyDescent="0.3">
      <c r="A2125" t="s">
        <v>3545</v>
      </c>
      <c r="B2125" s="2">
        <v>46257</v>
      </c>
      <c r="C2125" t="s">
        <v>3546</v>
      </c>
      <c r="D2125" t="s">
        <v>70</v>
      </c>
      <c r="E2125" t="s">
        <v>71</v>
      </c>
      <c r="F2125">
        <v>1</v>
      </c>
      <c r="G2125">
        <v>0.1</v>
      </c>
      <c r="H2125">
        <v>16200</v>
      </c>
      <c r="I2125">
        <v>2032.38</v>
      </c>
      <c r="J2125" t="s">
        <v>39</v>
      </c>
      <c r="K2125" t="s">
        <v>40</v>
      </c>
      <c r="L2125">
        <v>16200</v>
      </c>
      <c r="M2125">
        <v>12.545555555555559</v>
      </c>
      <c r="N2125" t="s">
        <v>8</v>
      </c>
      <c r="O2125" t="s">
        <v>2432</v>
      </c>
      <c r="P2125" t="s">
        <v>29</v>
      </c>
      <c r="Q2125" t="s">
        <v>42</v>
      </c>
      <c r="R2125" t="s">
        <v>110</v>
      </c>
      <c r="S2125" t="s">
        <v>111</v>
      </c>
      <c r="T2125" t="s">
        <v>3547</v>
      </c>
      <c r="U2125" t="s">
        <v>34</v>
      </c>
      <c r="V2125">
        <v>2032.38</v>
      </c>
    </row>
    <row r="2126" spans="1:22" x14ac:dyDescent="0.3">
      <c r="A2126" t="s">
        <v>3548</v>
      </c>
      <c r="B2126" s="2">
        <v>45883</v>
      </c>
      <c r="C2126" t="s">
        <v>148</v>
      </c>
      <c r="D2126" t="s">
        <v>70</v>
      </c>
      <c r="E2126" t="s">
        <v>108</v>
      </c>
      <c r="F2126">
        <v>3</v>
      </c>
      <c r="G2126">
        <v>0.15</v>
      </c>
      <c r="H2126">
        <v>11475</v>
      </c>
      <c r="I2126">
        <v>3053.84</v>
      </c>
      <c r="J2126" t="s">
        <v>39</v>
      </c>
      <c r="K2126" t="s">
        <v>40</v>
      </c>
      <c r="L2126">
        <v>3825</v>
      </c>
      <c r="M2126">
        <v>26.61298474945534</v>
      </c>
      <c r="N2126" t="s">
        <v>8</v>
      </c>
      <c r="O2126" t="s">
        <v>149</v>
      </c>
      <c r="P2126" t="s">
        <v>29</v>
      </c>
      <c r="Q2126" t="s">
        <v>30</v>
      </c>
      <c r="R2126" t="s">
        <v>60</v>
      </c>
      <c r="S2126" t="s">
        <v>61</v>
      </c>
      <c r="T2126" t="s">
        <v>150</v>
      </c>
      <c r="U2126" t="s">
        <v>105</v>
      </c>
      <c r="V2126">
        <v>1017.9466666666671</v>
      </c>
    </row>
    <row r="2127" spans="1:22" x14ac:dyDescent="0.3">
      <c r="A2127" t="s">
        <v>3549</v>
      </c>
      <c r="B2127" s="2">
        <v>45846</v>
      </c>
      <c r="C2127" t="s">
        <v>753</v>
      </c>
      <c r="D2127" t="s">
        <v>37</v>
      </c>
      <c r="E2127" t="s">
        <v>190</v>
      </c>
      <c r="F2127">
        <v>4</v>
      </c>
      <c r="G2127">
        <v>0.05</v>
      </c>
      <c r="H2127">
        <v>15960</v>
      </c>
      <c r="I2127">
        <v>4249.5</v>
      </c>
      <c r="J2127" t="s">
        <v>26</v>
      </c>
      <c r="K2127" t="s">
        <v>40</v>
      </c>
      <c r="L2127">
        <v>3990</v>
      </c>
      <c r="M2127">
        <v>26.625939849624061</v>
      </c>
      <c r="N2127" t="s">
        <v>8</v>
      </c>
      <c r="O2127" t="s">
        <v>754</v>
      </c>
      <c r="P2127" t="s">
        <v>83</v>
      </c>
      <c r="Q2127" t="s">
        <v>74</v>
      </c>
      <c r="R2127" t="s">
        <v>237</v>
      </c>
      <c r="S2127" t="s">
        <v>238</v>
      </c>
      <c r="T2127" t="s">
        <v>755</v>
      </c>
      <c r="U2127" t="s">
        <v>46</v>
      </c>
      <c r="V2127">
        <v>1062.375</v>
      </c>
    </row>
    <row r="2128" spans="1:22" x14ac:dyDescent="0.3">
      <c r="A2128" t="s">
        <v>3550</v>
      </c>
      <c r="B2128" s="2">
        <v>46005</v>
      </c>
      <c r="C2128" t="s">
        <v>372</v>
      </c>
      <c r="D2128" t="s">
        <v>24</v>
      </c>
      <c r="E2128" t="s">
        <v>242</v>
      </c>
      <c r="F2128">
        <v>2</v>
      </c>
      <c r="G2128">
        <v>0.1</v>
      </c>
      <c r="H2128">
        <v>810</v>
      </c>
      <c r="I2128">
        <v>144.88</v>
      </c>
      <c r="J2128" t="s">
        <v>65</v>
      </c>
      <c r="K2128" t="s">
        <v>40</v>
      </c>
      <c r="L2128">
        <v>405</v>
      </c>
      <c r="M2128">
        <v>17.886419753086422</v>
      </c>
      <c r="N2128" t="s">
        <v>8</v>
      </c>
      <c r="O2128" t="s">
        <v>374</v>
      </c>
      <c r="P2128" t="s">
        <v>73</v>
      </c>
      <c r="Q2128" t="s">
        <v>30</v>
      </c>
      <c r="R2128" t="s">
        <v>53</v>
      </c>
      <c r="S2128" t="s">
        <v>54</v>
      </c>
      <c r="T2128" t="s">
        <v>375</v>
      </c>
      <c r="U2128" t="s">
        <v>105</v>
      </c>
      <c r="V2128">
        <v>72.44</v>
      </c>
    </row>
    <row r="2129" spans="1:22" x14ac:dyDescent="0.3">
      <c r="A2129" t="s">
        <v>3551</v>
      </c>
      <c r="B2129" s="2">
        <v>46056</v>
      </c>
      <c r="C2129" t="s">
        <v>878</v>
      </c>
      <c r="D2129" t="s">
        <v>24</v>
      </c>
      <c r="E2129" t="s">
        <v>25</v>
      </c>
      <c r="F2129">
        <v>4</v>
      </c>
      <c r="G2129">
        <v>0.05</v>
      </c>
      <c r="H2129">
        <v>53200</v>
      </c>
      <c r="I2129">
        <v>-12432.41</v>
      </c>
      <c r="J2129" t="s">
        <v>65</v>
      </c>
      <c r="K2129" t="s">
        <v>434</v>
      </c>
      <c r="L2129">
        <v>13300</v>
      </c>
      <c r="M2129">
        <v>-23.369191729323308</v>
      </c>
      <c r="N2129" t="s">
        <v>81</v>
      </c>
      <c r="O2129" t="s">
        <v>879</v>
      </c>
      <c r="P2129" t="s">
        <v>83</v>
      </c>
      <c r="Q2129" t="s">
        <v>30</v>
      </c>
      <c r="R2129" t="s">
        <v>98</v>
      </c>
      <c r="S2129" t="s">
        <v>54</v>
      </c>
      <c r="T2129" t="s">
        <v>880</v>
      </c>
      <c r="U2129" t="s">
        <v>46</v>
      </c>
      <c r="V2129">
        <v>-3108.1025</v>
      </c>
    </row>
    <row r="2130" spans="1:22" x14ac:dyDescent="0.3">
      <c r="A2130" t="s">
        <v>3552</v>
      </c>
      <c r="B2130" s="2">
        <v>46030</v>
      </c>
      <c r="C2130" t="s">
        <v>962</v>
      </c>
      <c r="D2130" t="s">
        <v>24</v>
      </c>
      <c r="E2130" t="s">
        <v>242</v>
      </c>
      <c r="F2130">
        <v>2</v>
      </c>
      <c r="G2130">
        <v>0.1</v>
      </c>
      <c r="H2130">
        <v>810</v>
      </c>
      <c r="I2130">
        <v>177.69</v>
      </c>
      <c r="J2130" t="s">
        <v>39</v>
      </c>
      <c r="K2130" t="s">
        <v>40</v>
      </c>
      <c r="L2130">
        <v>405</v>
      </c>
      <c r="M2130">
        <v>21.93703703703704</v>
      </c>
      <c r="N2130" t="s">
        <v>8</v>
      </c>
      <c r="O2130" t="s">
        <v>963</v>
      </c>
      <c r="P2130" t="s">
        <v>29</v>
      </c>
      <c r="Q2130" t="s">
        <v>42</v>
      </c>
      <c r="R2130" t="s">
        <v>214</v>
      </c>
      <c r="S2130" t="s">
        <v>111</v>
      </c>
      <c r="T2130" t="s">
        <v>964</v>
      </c>
      <c r="U2130" t="s">
        <v>100</v>
      </c>
      <c r="V2130">
        <v>88.844999999999999</v>
      </c>
    </row>
    <row r="2131" spans="1:22" x14ac:dyDescent="0.3">
      <c r="A2131" t="s">
        <v>3553</v>
      </c>
      <c r="B2131" s="2">
        <v>45873</v>
      </c>
      <c r="C2131" t="s">
        <v>1939</v>
      </c>
      <c r="D2131" t="s">
        <v>70</v>
      </c>
      <c r="E2131" t="s">
        <v>129</v>
      </c>
      <c r="F2131">
        <v>4</v>
      </c>
      <c r="G2131">
        <v>0.15</v>
      </c>
      <c r="H2131">
        <v>187000</v>
      </c>
      <c r="I2131">
        <v>20984.77</v>
      </c>
      <c r="J2131" t="s">
        <v>51</v>
      </c>
      <c r="K2131" t="s">
        <v>40</v>
      </c>
      <c r="L2131">
        <v>46750</v>
      </c>
      <c r="M2131">
        <v>11.221802139037431</v>
      </c>
      <c r="N2131" t="s">
        <v>8</v>
      </c>
      <c r="O2131" t="s">
        <v>1940</v>
      </c>
      <c r="P2131" t="s">
        <v>29</v>
      </c>
      <c r="Q2131" t="s">
        <v>74</v>
      </c>
      <c r="R2131" t="s">
        <v>237</v>
      </c>
      <c r="S2131" t="s">
        <v>238</v>
      </c>
      <c r="T2131" t="s">
        <v>1839</v>
      </c>
      <c r="U2131" t="s">
        <v>46</v>
      </c>
      <c r="V2131">
        <v>5246.1925000000001</v>
      </c>
    </row>
    <row r="2132" spans="1:22" x14ac:dyDescent="0.3">
      <c r="A2132" t="s">
        <v>3554</v>
      </c>
      <c r="B2132" s="2">
        <v>45915</v>
      </c>
      <c r="C2132" t="s">
        <v>1605</v>
      </c>
      <c r="D2132" t="s">
        <v>37</v>
      </c>
      <c r="E2132" t="s">
        <v>190</v>
      </c>
      <c r="F2132">
        <v>4</v>
      </c>
      <c r="G2132">
        <v>0.3</v>
      </c>
      <c r="H2132">
        <v>11760</v>
      </c>
      <c r="I2132">
        <v>979.68</v>
      </c>
      <c r="J2132" t="s">
        <v>51</v>
      </c>
      <c r="K2132" t="s">
        <v>40</v>
      </c>
      <c r="L2132">
        <v>2940</v>
      </c>
      <c r="M2132">
        <v>8.3306122448979583</v>
      </c>
      <c r="N2132" t="s">
        <v>8</v>
      </c>
      <c r="O2132" t="s">
        <v>1606</v>
      </c>
      <c r="P2132" t="s">
        <v>73</v>
      </c>
      <c r="Q2132" t="s">
        <v>30</v>
      </c>
      <c r="R2132" t="s">
        <v>53</v>
      </c>
      <c r="S2132" t="s">
        <v>54</v>
      </c>
      <c r="T2132" t="s">
        <v>1607</v>
      </c>
      <c r="U2132" t="s">
        <v>34</v>
      </c>
      <c r="V2132">
        <v>244.92</v>
      </c>
    </row>
    <row r="2133" spans="1:22" x14ac:dyDescent="0.3">
      <c r="A2133" t="s">
        <v>3555</v>
      </c>
      <c r="B2133" s="2">
        <v>46167</v>
      </c>
      <c r="C2133" t="s">
        <v>946</v>
      </c>
      <c r="D2133" t="s">
        <v>24</v>
      </c>
      <c r="E2133" t="s">
        <v>25</v>
      </c>
      <c r="F2133">
        <v>6</v>
      </c>
      <c r="G2133">
        <v>0.1</v>
      </c>
      <c r="H2133">
        <v>75600</v>
      </c>
      <c r="I2133">
        <v>12492.38</v>
      </c>
      <c r="J2133" t="s">
        <v>39</v>
      </c>
      <c r="K2133" t="s">
        <v>27</v>
      </c>
      <c r="L2133">
        <v>12600</v>
      </c>
      <c r="M2133">
        <v>16.524312169312172</v>
      </c>
      <c r="N2133" t="s">
        <v>8</v>
      </c>
      <c r="O2133" t="s">
        <v>947</v>
      </c>
      <c r="P2133" t="s">
        <v>73</v>
      </c>
      <c r="Q2133" t="s">
        <v>74</v>
      </c>
      <c r="R2133" t="s">
        <v>75</v>
      </c>
      <c r="S2133" t="s">
        <v>75</v>
      </c>
      <c r="T2133" t="s">
        <v>948</v>
      </c>
      <c r="U2133" t="s">
        <v>100</v>
      </c>
      <c r="V2133">
        <v>2082.063333333333</v>
      </c>
    </row>
    <row r="2134" spans="1:22" x14ac:dyDescent="0.3">
      <c r="A2134" t="s">
        <v>3556</v>
      </c>
      <c r="B2134" s="2">
        <v>45892</v>
      </c>
      <c r="C2134" t="s">
        <v>413</v>
      </c>
      <c r="D2134" t="s">
        <v>49</v>
      </c>
      <c r="E2134" t="s">
        <v>50</v>
      </c>
      <c r="F2134">
        <v>3</v>
      </c>
      <c r="G2134">
        <v>0.05</v>
      </c>
      <c r="H2134">
        <v>37050</v>
      </c>
      <c r="I2134">
        <v>8042.38</v>
      </c>
      <c r="J2134" t="s">
        <v>65</v>
      </c>
      <c r="K2134" t="s">
        <v>40</v>
      </c>
      <c r="L2134">
        <v>12350</v>
      </c>
      <c r="M2134">
        <v>21.706828609986509</v>
      </c>
      <c r="N2134" t="s">
        <v>8</v>
      </c>
      <c r="O2134" t="s">
        <v>414</v>
      </c>
      <c r="P2134" t="s">
        <v>73</v>
      </c>
      <c r="Q2134" t="s">
        <v>74</v>
      </c>
      <c r="R2134" t="s">
        <v>115</v>
      </c>
      <c r="S2134" t="s">
        <v>115</v>
      </c>
      <c r="T2134" t="s">
        <v>415</v>
      </c>
      <c r="U2134" t="s">
        <v>34</v>
      </c>
      <c r="V2134">
        <v>2680.793333333334</v>
      </c>
    </row>
    <row r="2135" spans="1:22" x14ac:dyDescent="0.3">
      <c r="A2135" t="s">
        <v>3557</v>
      </c>
      <c r="B2135" s="2">
        <v>46182</v>
      </c>
      <c r="C2135" t="s">
        <v>3532</v>
      </c>
      <c r="D2135" t="s">
        <v>24</v>
      </c>
      <c r="E2135" t="s">
        <v>92</v>
      </c>
      <c r="F2135">
        <v>1</v>
      </c>
      <c r="G2135">
        <v>0.1</v>
      </c>
      <c r="H2135">
        <v>810</v>
      </c>
      <c r="I2135">
        <v>218.46</v>
      </c>
      <c r="J2135" t="s">
        <v>39</v>
      </c>
      <c r="K2135" t="s">
        <v>40</v>
      </c>
      <c r="L2135">
        <v>810</v>
      </c>
      <c r="M2135">
        <v>26.970370370370372</v>
      </c>
      <c r="N2135" t="s">
        <v>8</v>
      </c>
      <c r="O2135" t="s">
        <v>3533</v>
      </c>
      <c r="P2135" t="s">
        <v>29</v>
      </c>
      <c r="Q2135" t="s">
        <v>131</v>
      </c>
      <c r="R2135" t="s">
        <v>132</v>
      </c>
      <c r="S2135" t="s">
        <v>133</v>
      </c>
      <c r="T2135" t="s">
        <v>3534</v>
      </c>
      <c r="U2135" t="s">
        <v>34</v>
      </c>
      <c r="V2135">
        <v>218.46</v>
      </c>
    </row>
    <row r="2136" spans="1:22" x14ac:dyDescent="0.3">
      <c r="A2136" t="s">
        <v>3558</v>
      </c>
      <c r="B2136" s="2">
        <v>46265</v>
      </c>
      <c r="C2136" t="s">
        <v>229</v>
      </c>
      <c r="D2136" t="s">
        <v>37</v>
      </c>
      <c r="E2136" t="s">
        <v>38</v>
      </c>
      <c r="F2136">
        <v>3</v>
      </c>
      <c r="G2136">
        <v>0.2</v>
      </c>
      <c r="H2136">
        <v>4320</v>
      </c>
      <c r="I2136">
        <v>1239.53</v>
      </c>
      <c r="J2136" t="s">
        <v>65</v>
      </c>
      <c r="K2136" t="s">
        <v>40</v>
      </c>
      <c r="L2136">
        <v>1440</v>
      </c>
      <c r="M2136">
        <v>28.692824074074071</v>
      </c>
      <c r="N2136" t="s">
        <v>8</v>
      </c>
      <c r="O2136" t="s">
        <v>103</v>
      </c>
      <c r="P2136" t="s">
        <v>29</v>
      </c>
      <c r="Q2136" t="s">
        <v>30</v>
      </c>
      <c r="R2136" t="s">
        <v>60</v>
      </c>
      <c r="S2136" t="s">
        <v>61</v>
      </c>
      <c r="T2136" t="s">
        <v>230</v>
      </c>
      <c r="U2136" t="s">
        <v>105</v>
      </c>
      <c r="V2136">
        <v>413.17666666666668</v>
      </c>
    </row>
    <row r="2137" spans="1:22" x14ac:dyDescent="0.3">
      <c r="A2137" t="s">
        <v>3559</v>
      </c>
      <c r="B2137" s="2">
        <v>46153</v>
      </c>
      <c r="C2137" t="s">
        <v>983</v>
      </c>
      <c r="D2137" t="s">
        <v>49</v>
      </c>
      <c r="E2137" t="s">
        <v>58</v>
      </c>
      <c r="F2137">
        <v>2</v>
      </c>
      <c r="G2137">
        <v>0.15</v>
      </c>
      <c r="H2137">
        <v>25500</v>
      </c>
      <c r="I2137">
        <v>-3081.33</v>
      </c>
      <c r="J2137" t="s">
        <v>51</v>
      </c>
      <c r="K2137" t="s">
        <v>80</v>
      </c>
      <c r="L2137">
        <v>12750</v>
      </c>
      <c r="M2137">
        <v>-12.08364705882353</v>
      </c>
      <c r="N2137" t="s">
        <v>81</v>
      </c>
      <c r="O2137" t="s">
        <v>984</v>
      </c>
      <c r="P2137" t="s">
        <v>29</v>
      </c>
      <c r="Q2137" t="s">
        <v>30</v>
      </c>
      <c r="R2137" t="s">
        <v>31</v>
      </c>
      <c r="S2137" t="s">
        <v>32</v>
      </c>
      <c r="T2137" t="s">
        <v>985</v>
      </c>
      <c r="U2137" t="s">
        <v>46</v>
      </c>
      <c r="V2137">
        <v>-1540.665</v>
      </c>
    </row>
    <row r="2138" spans="1:22" x14ac:dyDescent="0.3">
      <c r="A2138" t="s">
        <v>3560</v>
      </c>
      <c r="B2138" s="2">
        <v>45846</v>
      </c>
      <c r="C2138" t="s">
        <v>485</v>
      </c>
      <c r="D2138" t="s">
        <v>24</v>
      </c>
      <c r="E2138" t="s">
        <v>92</v>
      </c>
      <c r="F2138">
        <v>6</v>
      </c>
      <c r="G2138">
        <v>0.1</v>
      </c>
      <c r="H2138">
        <v>4860</v>
      </c>
      <c r="I2138">
        <v>1388.14</v>
      </c>
      <c r="J2138" t="s">
        <v>51</v>
      </c>
      <c r="K2138" t="s">
        <v>40</v>
      </c>
      <c r="L2138">
        <v>810</v>
      </c>
      <c r="M2138">
        <v>28.562551440329219</v>
      </c>
      <c r="N2138" t="s">
        <v>8</v>
      </c>
      <c r="O2138" t="s">
        <v>59</v>
      </c>
      <c r="P2138" t="s">
        <v>73</v>
      </c>
      <c r="Q2138" t="s">
        <v>131</v>
      </c>
      <c r="R2138" t="s">
        <v>289</v>
      </c>
      <c r="S2138" t="s">
        <v>290</v>
      </c>
      <c r="T2138" t="s">
        <v>486</v>
      </c>
      <c r="U2138" t="s">
        <v>46</v>
      </c>
      <c r="V2138">
        <v>231.35666666666671</v>
      </c>
    </row>
    <row r="2139" spans="1:22" x14ac:dyDescent="0.3">
      <c r="A2139" t="s">
        <v>3561</v>
      </c>
      <c r="B2139" s="2">
        <v>45960</v>
      </c>
      <c r="C2139" t="s">
        <v>1276</v>
      </c>
      <c r="D2139" t="s">
        <v>70</v>
      </c>
      <c r="E2139" t="s">
        <v>129</v>
      </c>
      <c r="F2139">
        <v>3</v>
      </c>
      <c r="G2139">
        <v>0.05</v>
      </c>
      <c r="H2139">
        <v>156750</v>
      </c>
      <c r="I2139">
        <v>20053.71</v>
      </c>
      <c r="J2139" t="s">
        <v>65</v>
      </c>
      <c r="K2139" t="s">
        <v>40</v>
      </c>
      <c r="L2139">
        <v>52250</v>
      </c>
      <c r="M2139">
        <v>12.79343540669856</v>
      </c>
      <c r="N2139" t="s">
        <v>8</v>
      </c>
      <c r="O2139" t="s">
        <v>1277</v>
      </c>
      <c r="P2139" t="s">
        <v>73</v>
      </c>
      <c r="Q2139" t="s">
        <v>74</v>
      </c>
      <c r="R2139" t="s">
        <v>75</v>
      </c>
      <c r="S2139" t="s">
        <v>75</v>
      </c>
      <c r="T2139" t="s">
        <v>1278</v>
      </c>
      <c r="U2139" t="s">
        <v>34</v>
      </c>
      <c r="V2139">
        <v>6684.57</v>
      </c>
    </row>
    <row r="2140" spans="1:22" x14ac:dyDescent="0.3">
      <c r="A2140" t="s">
        <v>3562</v>
      </c>
      <c r="B2140" s="2">
        <v>46056</v>
      </c>
      <c r="C2140" t="s">
        <v>722</v>
      </c>
      <c r="D2140" t="s">
        <v>24</v>
      </c>
      <c r="E2140" t="s">
        <v>87</v>
      </c>
      <c r="F2140">
        <v>1</v>
      </c>
      <c r="G2140">
        <v>0.3</v>
      </c>
      <c r="H2140">
        <v>245</v>
      </c>
      <c r="I2140">
        <v>45.03</v>
      </c>
      <c r="J2140" t="s">
        <v>65</v>
      </c>
      <c r="K2140" t="s">
        <v>40</v>
      </c>
      <c r="L2140">
        <v>245</v>
      </c>
      <c r="M2140">
        <v>18.37959183673469</v>
      </c>
      <c r="N2140" t="s">
        <v>8</v>
      </c>
      <c r="O2140" t="s">
        <v>723</v>
      </c>
      <c r="P2140" t="s">
        <v>73</v>
      </c>
      <c r="Q2140" t="s">
        <v>42</v>
      </c>
      <c r="R2140" t="s">
        <v>121</v>
      </c>
      <c r="S2140" t="s">
        <v>44</v>
      </c>
      <c r="T2140" t="s">
        <v>138</v>
      </c>
      <c r="U2140" t="s">
        <v>46</v>
      </c>
      <c r="V2140">
        <v>45.03</v>
      </c>
    </row>
    <row r="2141" spans="1:22" x14ac:dyDescent="0.3">
      <c r="A2141" t="s">
        <v>3563</v>
      </c>
      <c r="B2141" s="2">
        <v>46231</v>
      </c>
      <c r="C2141" t="s">
        <v>1289</v>
      </c>
      <c r="D2141" t="s">
        <v>49</v>
      </c>
      <c r="E2141" t="s">
        <v>50</v>
      </c>
      <c r="F2141">
        <v>3</v>
      </c>
      <c r="G2141">
        <v>0.1</v>
      </c>
      <c r="H2141">
        <v>35100</v>
      </c>
      <c r="I2141">
        <v>7554.05</v>
      </c>
      <c r="J2141" t="s">
        <v>51</v>
      </c>
      <c r="K2141" t="s">
        <v>40</v>
      </c>
      <c r="L2141">
        <v>11700</v>
      </c>
      <c r="M2141">
        <v>21.521509971509971</v>
      </c>
      <c r="N2141" t="s">
        <v>8</v>
      </c>
      <c r="O2141" t="s">
        <v>879</v>
      </c>
      <c r="P2141" t="s">
        <v>83</v>
      </c>
      <c r="Q2141" t="s">
        <v>30</v>
      </c>
      <c r="R2141" t="s">
        <v>493</v>
      </c>
      <c r="S2141" t="s">
        <v>494</v>
      </c>
      <c r="T2141" t="s">
        <v>1290</v>
      </c>
      <c r="U2141" t="s">
        <v>34</v>
      </c>
      <c r="V2141">
        <v>2518.0166666666669</v>
      </c>
    </row>
    <row r="2142" spans="1:22" x14ac:dyDescent="0.3">
      <c r="A2142" t="s">
        <v>3564</v>
      </c>
      <c r="B2142" s="2">
        <v>45846</v>
      </c>
      <c r="C2142" t="s">
        <v>48</v>
      </c>
      <c r="D2142" t="s">
        <v>49</v>
      </c>
      <c r="E2142" t="s">
        <v>50</v>
      </c>
      <c r="F2142">
        <v>3</v>
      </c>
      <c r="G2142">
        <v>0</v>
      </c>
      <c r="H2142">
        <v>39000</v>
      </c>
      <c r="I2142">
        <v>9600</v>
      </c>
      <c r="J2142" t="s">
        <v>65</v>
      </c>
      <c r="K2142" t="s">
        <v>40</v>
      </c>
      <c r="L2142">
        <v>13000</v>
      </c>
      <c r="M2142">
        <v>24.61538461538462</v>
      </c>
      <c r="N2142" t="s">
        <v>8</v>
      </c>
      <c r="O2142" t="s">
        <v>52</v>
      </c>
      <c r="P2142" t="s">
        <v>29</v>
      </c>
      <c r="Q2142" t="s">
        <v>30</v>
      </c>
      <c r="R2142" t="s">
        <v>53</v>
      </c>
      <c r="S2142" t="s">
        <v>54</v>
      </c>
      <c r="T2142" t="s">
        <v>55</v>
      </c>
      <c r="U2142" t="s">
        <v>34</v>
      </c>
      <c r="V2142">
        <v>3200</v>
      </c>
    </row>
    <row r="2143" spans="1:22" x14ac:dyDescent="0.3">
      <c r="A2143" t="s">
        <v>3565</v>
      </c>
      <c r="B2143" s="2">
        <v>45994</v>
      </c>
      <c r="C2143" t="s">
        <v>552</v>
      </c>
      <c r="D2143" t="s">
        <v>70</v>
      </c>
      <c r="E2143" t="s">
        <v>129</v>
      </c>
      <c r="F2143">
        <v>1</v>
      </c>
      <c r="G2143">
        <v>0.05</v>
      </c>
      <c r="H2143">
        <v>52250</v>
      </c>
      <c r="I2143">
        <v>7728.57</v>
      </c>
      <c r="J2143" t="s">
        <v>65</v>
      </c>
      <c r="K2143" t="s">
        <v>27</v>
      </c>
      <c r="L2143">
        <v>52250</v>
      </c>
      <c r="M2143">
        <v>14.79152153110048</v>
      </c>
      <c r="N2143" t="s">
        <v>8</v>
      </c>
      <c r="O2143" t="s">
        <v>553</v>
      </c>
      <c r="P2143" t="s">
        <v>29</v>
      </c>
      <c r="Q2143" t="s">
        <v>74</v>
      </c>
      <c r="R2143" t="s">
        <v>493</v>
      </c>
      <c r="S2143" t="s">
        <v>494</v>
      </c>
      <c r="T2143" t="s">
        <v>554</v>
      </c>
      <c r="U2143" t="s">
        <v>105</v>
      </c>
      <c r="V2143">
        <v>7728.57</v>
      </c>
    </row>
    <row r="2144" spans="1:22" x14ac:dyDescent="0.3">
      <c r="A2144" t="s">
        <v>3566</v>
      </c>
      <c r="B2144" s="2">
        <v>45941</v>
      </c>
      <c r="C2144" t="s">
        <v>3238</v>
      </c>
      <c r="D2144" t="s">
        <v>24</v>
      </c>
      <c r="E2144" t="s">
        <v>92</v>
      </c>
      <c r="F2144">
        <v>6</v>
      </c>
      <c r="G2144">
        <v>0.3</v>
      </c>
      <c r="H2144">
        <v>3780</v>
      </c>
      <c r="I2144">
        <v>852.67</v>
      </c>
      <c r="J2144" t="s">
        <v>51</v>
      </c>
      <c r="K2144" t="s">
        <v>40</v>
      </c>
      <c r="L2144">
        <v>630</v>
      </c>
      <c r="M2144">
        <v>22.55740740740741</v>
      </c>
      <c r="N2144" t="s">
        <v>8</v>
      </c>
      <c r="O2144" t="s">
        <v>3239</v>
      </c>
      <c r="P2144" t="s">
        <v>83</v>
      </c>
      <c r="Q2144" t="s">
        <v>74</v>
      </c>
      <c r="R2144" t="s">
        <v>237</v>
      </c>
      <c r="S2144" t="s">
        <v>238</v>
      </c>
      <c r="T2144" t="s">
        <v>3240</v>
      </c>
      <c r="U2144" t="s">
        <v>46</v>
      </c>
      <c r="V2144">
        <v>142.11166666666671</v>
      </c>
    </row>
    <row r="2145" spans="1:22" x14ac:dyDescent="0.3">
      <c r="A2145" t="s">
        <v>3567</v>
      </c>
      <c r="B2145" s="2">
        <v>46169</v>
      </c>
      <c r="C2145" t="s">
        <v>124</v>
      </c>
      <c r="D2145" t="s">
        <v>49</v>
      </c>
      <c r="E2145" t="s">
        <v>58</v>
      </c>
      <c r="F2145">
        <v>1</v>
      </c>
      <c r="G2145">
        <v>0</v>
      </c>
      <c r="H2145">
        <v>15000</v>
      </c>
      <c r="I2145">
        <v>3500</v>
      </c>
      <c r="J2145" t="s">
        <v>26</v>
      </c>
      <c r="K2145" t="s">
        <v>40</v>
      </c>
      <c r="L2145">
        <v>15000</v>
      </c>
      <c r="M2145">
        <v>23.333333333333329</v>
      </c>
      <c r="N2145" t="s">
        <v>8</v>
      </c>
      <c r="O2145" t="s">
        <v>125</v>
      </c>
      <c r="P2145" t="s">
        <v>83</v>
      </c>
      <c r="Q2145" t="s">
        <v>74</v>
      </c>
      <c r="R2145" t="s">
        <v>115</v>
      </c>
      <c r="S2145" t="s">
        <v>115</v>
      </c>
      <c r="T2145" t="s">
        <v>126</v>
      </c>
      <c r="U2145" t="s">
        <v>46</v>
      </c>
      <c r="V2145">
        <v>3500</v>
      </c>
    </row>
    <row r="2146" spans="1:22" x14ac:dyDescent="0.3">
      <c r="A2146" t="s">
        <v>3568</v>
      </c>
      <c r="B2146" s="2">
        <v>46027</v>
      </c>
      <c r="C2146" t="s">
        <v>671</v>
      </c>
      <c r="D2146" t="s">
        <v>37</v>
      </c>
      <c r="E2146" t="s">
        <v>310</v>
      </c>
      <c r="F2146">
        <v>4</v>
      </c>
      <c r="G2146">
        <v>0.15</v>
      </c>
      <c r="H2146">
        <v>7480</v>
      </c>
      <c r="I2146">
        <v>2256.02</v>
      </c>
      <c r="J2146" t="s">
        <v>26</v>
      </c>
      <c r="K2146" t="s">
        <v>27</v>
      </c>
      <c r="L2146">
        <v>1870</v>
      </c>
      <c r="M2146">
        <v>30.160695187165771</v>
      </c>
      <c r="N2146" t="s">
        <v>8</v>
      </c>
      <c r="O2146" t="s">
        <v>582</v>
      </c>
      <c r="P2146" t="s">
        <v>73</v>
      </c>
      <c r="Q2146" t="s">
        <v>30</v>
      </c>
      <c r="R2146" t="s">
        <v>53</v>
      </c>
      <c r="S2146" t="s">
        <v>54</v>
      </c>
      <c r="T2146" t="s">
        <v>672</v>
      </c>
      <c r="U2146" t="s">
        <v>46</v>
      </c>
      <c r="V2146">
        <v>564.005</v>
      </c>
    </row>
    <row r="2147" spans="1:22" x14ac:dyDescent="0.3">
      <c r="A2147" t="s">
        <v>3569</v>
      </c>
      <c r="B2147" s="2">
        <v>46112</v>
      </c>
      <c r="C2147" t="s">
        <v>1497</v>
      </c>
      <c r="D2147" t="s">
        <v>49</v>
      </c>
      <c r="E2147" t="s">
        <v>58</v>
      </c>
      <c r="F2147">
        <v>5</v>
      </c>
      <c r="G2147">
        <v>0.1</v>
      </c>
      <c r="H2147">
        <v>67500</v>
      </c>
      <c r="I2147">
        <v>13121.46</v>
      </c>
      <c r="J2147" t="s">
        <v>39</v>
      </c>
      <c r="K2147" t="s">
        <v>40</v>
      </c>
      <c r="L2147">
        <v>13500</v>
      </c>
      <c r="M2147">
        <v>19.4392</v>
      </c>
      <c r="N2147" t="s">
        <v>8</v>
      </c>
      <c r="O2147" t="s">
        <v>88</v>
      </c>
      <c r="P2147" t="s">
        <v>73</v>
      </c>
      <c r="Q2147" t="s">
        <v>30</v>
      </c>
      <c r="R2147" t="s">
        <v>31</v>
      </c>
      <c r="S2147" t="s">
        <v>32</v>
      </c>
      <c r="T2147" t="s">
        <v>1498</v>
      </c>
      <c r="U2147" t="s">
        <v>46</v>
      </c>
      <c r="V2147">
        <v>2624.2919999999999</v>
      </c>
    </row>
    <row r="2148" spans="1:22" x14ac:dyDescent="0.3">
      <c r="A2148" t="s">
        <v>3570</v>
      </c>
      <c r="B2148" s="2">
        <v>46164</v>
      </c>
      <c r="C2148" t="s">
        <v>301</v>
      </c>
      <c r="D2148" t="s">
        <v>49</v>
      </c>
      <c r="E2148" t="s">
        <v>58</v>
      </c>
      <c r="F2148">
        <v>1</v>
      </c>
      <c r="G2148">
        <v>0.1</v>
      </c>
      <c r="H2148">
        <v>13500</v>
      </c>
      <c r="I2148">
        <v>2518.61</v>
      </c>
      <c r="J2148" t="s">
        <v>51</v>
      </c>
      <c r="K2148" t="s">
        <v>40</v>
      </c>
      <c r="L2148">
        <v>13500</v>
      </c>
      <c r="M2148">
        <v>18.656370370370372</v>
      </c>
      <c r="N2148" t="s">
        <v>8</v>
      </c>
      <c r="O2148" t="s">
        <v>302</v>
      </c>
      <c r="P2148" t="s">
        <v>29</v>
      </c>
      <c r="Q2148" t="s">
        <v>42</v>
      </c>
      <c r="R2148" t="s">
        <v>110</v>
      </c>
      <c r="S2148" t="s">
        <v>111</v>
      </c>
      <c r="T2148" t="s">
        <v>303</v>
      </c>
      <c r="U2148" t="s">
        <v>46</v>
      </c>
      <c r="V2148">
        <v>2518.61</v>
      </c>
    </row>
    <row r="2149" spans="1:22" x14ac:dyDescent="0.3">
      <c r="A2149" t="s">
        <v>3571</v>
      </c>
      <c r="B2149" s="2">
        <v>46064</v>
      </c>
      <c r="C2149" t="s">
        <v>417</v>
      </c>
      <c r="D2149" t="s">
        <v>37</v>
      </c>
      <c r="E2149" t="s">
        <v>38</v>
      </c>
      <c r="F2149">
        <v>3</v>
      </c>
      <c r="G2149">
        <v>0.1</v>
      </c>
      <c r="H2149">
        <v>4860</v>
      </c>
      <c r="I2149">
        <v>1575.15</v>
      </c>
      <c r="J2149" t="s">
        <v>51</v>
      </c>
      <c r="K2149" t="s">
        <v>40</v>
      </c>
      <c r="L2149">
        <v>1620</v>
      </c>
      <c r="M2149">
        <v>32.410493827160487</v>
      </c>
      <c r="N2149" t="s">
        <v>8</v>
      </c>
      <c r="O2149" t="s">
        <v>418</v>
      </c>
      <c r="P2149" t="s">
        <v>29</v>
      </c>
      <c r="Q2149" t="s">
        <v>30</v>
      </c>
      <c r="R2149" t="s">
        <v>60</v>
      </c>
      <c r="S2149" t="s">
        <v>61</v>
      </c>
      <c r="T2149" t="s">
        <v>419</v>
      </c>
      <c r="U2149" t="s">
        <v>34</v>
      </c>
      <c r="V2149">
        <v>525.05000000000007</v>
      </c>
    </row>
    <row r="2150" spans="1:22" x14ac:dyDescent="0.3">
      <c r="A2150" t="s">
        <v>3572</v>
      </c>
      <c r="B2150" s="2">
        <v>45894</v>
      </c>
      <c r="C2150" t="s">
        <v>3440</v>
      </c>
      <c r="D2150" t="s">
        <v>70</v>
      </c>
      <c r="E2150" t="s">
        <v>129</v>
      </c>
      <c r="F2150">
        <v>2</v>
      </c>
      <c r="G2150">
        <v>0.1</v>
      </c>
      <c r="H2150">
        <v>99000</v>
      </c>
      <c r="I2150">
        <v>9637.36</v>
      </c>
      <c r="J2150" t="s">
        <v>65</v>
      </c>
      <c r="K2150" t="s">
        <v>40</v>
      </c>
      <c r="L2150">
        <v>49500</v>
      </c>
      <c r="M2150">
        <v>9.7347070707070706</v>
      </c>
      <c r="N2150" t="s">
        <v>8</v>
      </c>
      <c r="O2150" t="s">
        <v>847</v>
      </c>
      <c r="P2150" t="s">
        <v>29</v>
      </c>
      <c r="Q2150" t="s">
        <v>42</v>
      </c>
      <c r="R2150" t="s">
        <v>121</v>
      </c>
      <c r="S2150" t="s">
        <v>44</v>
      </c>
      <c r="T2150" t="s">
        <v>3441</v>
      </c>
      <c r="U2150" t="s">
        <v>34</v>
      </c>
      <c r="V2150">
        <v>4818.68</v>
      </c>
    </row>
    <row r="2151" spans="1:22" x14ac:dyDescent="0.3">
      <c r="A2151" t="s">
        <v>3573</v>
      </c>
      <c r="B2151" s="2">
        <v>46176</v>
      </c>
      <c r="C2151" t="s">
        <v>283</v>
      </c>
      <c r="D2151" t="s">
        <v>37</v>
      </c>
      <c r="E2151" t="s">
        <v>38</v>
      </c>
      <c r="F2151">
        <v>1</v>
      </c>
      <c r="G2151">
        <v>0</v>
      </c>
      <c r="H2151">
        <v>1800</v>
      </c>
      <c r="I2151">
        <v>650</v>
      </c>
      <c r="J2151" t="s">
        <v>65</v>
      </c>
      <c r="K2151" t="s">
        <v>40</v>
      </c>
      <c r="L2151">
        <v>1800</v>
      </c>
      <c r="M2151">
        <v>36.111111111111107</v>
      </c>
      <c r="N2151" t="s">
        <v>8</v>
      </c>
      <c r="O2151" t="s">
        <v>284</v>
      </c>
      <c r="P2151" t="s">
        <v>29</v>
      </c>
      <c r="Q2151" t="s">
        <v>30</v>
      </c>
      <c r="R2151" t="s">
        <v>53</v>
      </c>
      <c r="S2151" t="s">
        <v>54</v>
      </c>
      <c r="T2151" t="s">
        <v>285</v>
      </c>
      <c r="U2151" t="s">
        <v>34</v>
      </c>
      <c r="V2151">
        <v>650</v>
      </c>
    </row>
    <row r="2152" spans="1:22" x14ac:dyDescent="0.3">
      <c r="A2152" t="s">
        <v>3574</v>
      </c>
      <c r="B2152" s="2">
        <v>46248</v>
      </c>
      <c r="C2152" t="s">
        <v>681</v>
      </c>
      <c r="D2152" t="s">
        <v>49</v>
      </c>
      <c r="E2152" t="s">
        <v>119</v>
      </c>
      <c r="F2152">
        <v>1</v>
      </c>
      <c r="G2152">
        <v>0.15</v>
      </c>
      <c r="H2152">
        <v>7650</v>
      </c>
      <c r="I2152">
        <v>1233.8</v>
      </c>
      <c r="J2152" t="s">
        <v>39</v>
      </c>
      <c r="K2152" t="s">
        <v>40</v>
      </c>
      <c r="L2152">
        <v>7650</v>
      </c>
      <c r="M2152">
        <v>16.128104575163398</v>
      </c>
      <c r="N2152" t="s">
        <v>8</v>
      </c>
      <c r="O2152" t="s">
        <v>682</v>
      </c>
      <c r="P2152" t="s">
        <v>29</v>
      </c>
      <c r="Q2152" t="s">
        <v>131</v>
      </c>
      <c r="R2152" t="s">
        <v>200</v>
      </c>
      <c r="S2152" t="s">
        <v>201</v>
      </c>
      <c r="T2152" t="s">
        <v>683</v>
      </c>
      <c r="U2152" t="s">
        <v>46</v>
      </c>
      <c r="V2152">
        <v>1233.8</v>
      </c>
    </row>
    <row r="2153" spans="1:22" x14ac:dyDescent="0.3">
      <c r="A2153" t="s">
        <v>3575</v>
      </c>
      <c r="B2153" s="2">
        <v>46091</v>
      </c>
      <c r="C2153" t="s">
        <v>340</v>
      </c>
      <c r="D2153" t="s">
        <v>24</v>
      </c>
      <c r="E2153" t="s">
        <v>25</v>
      </c>
      <c r="F2153">
        <v>4</v>
      </c>
      <c r="G2153">
        <v>0.15</v>
      </c>
      <c r="H2153">
        <v>47600</v>
      </c>
      <c r="I2153">
        <v>5063.45</v>
      </c>
      <c r="J2153" t="s">
        <v>26</v>
      </c>
      <c r="K2153" t="s">
        <v>40</v>
      </c>
      <c r="L2153">
        <v>11900</v>
      </c>
      <c r="M2153">
        <v>10.637499999999999</v>
      </c>
      <c r="N2153" t="s">
        <v>8</v>
      </c>
      <c r="O2153" t="s">
        <v>341</v>
      </c>
      <c r="P2153" t="s">
        <v>29</v>
      </c>
      <c r="Q2153" t="s">
        <v>30</v>
      </c>
      <c r="R2153" t="s">
        <v>98</v>
      </c>
      <c r="S2153" t="s">
        <v>54</v>
      </c>
      <c r="T2153" t="s">
        <v>342</v>
      </c>
      <c r="U2153" t="s">
        <v>100</v>
      </c>
      <c r="V2153">
        <v>1265.8625</v>
      </c>
    </row>
    <row r="2154" spans="1:22" x14ac:dyDescent="0.3">
      <c r="A2154" t="s">
        <v>3576</v>
      </c>
      <c r="B2154" s="2">
        <v>45926</v>
      </c>
      <c r="C2154" t="s">
        <v>1655</v>
      </c>
      <c r="D2154" t="s">
        <v>24</v>
      </c>
      <c r="E2154" t="s">
        <v>87</v>
      </c>
      <c r="F2154">
        <v>1</v>
      </c>
      <c r="G2154">
        <v>0.15</v>
      </c>
      <c r="H2154">
        <v>297.5</v>
      </c>
      <c r="I2154">
        <v>79.680000000000007</v>
      </c>
      <c r="J2154" t="s">
        <v>65</v>
      </c>
      <c r="K2154" t="s">
        <v>40</v>
      </c>
      <c r="L2154">
        <v>297.5</v>
      </c>
      <c r="M2154">
        <v>26.783193277310929</v>
      </c>
      <c r="N2154" t="s">
        <v>8</v>
      </c>
      <c r="O2154" t="s">
        <v>1656</v>
      </c>
      <c r="P2154" t="s">
        <v>29</v>
      </c>
      <c r="Q2154" t="s">
        <v>30</v>
      </c>
      <c r="R2154" t="s">
        <v>53</v>
      </c>
      <c r="S2154" t="s">
        <v>54</v>
      </c>
      <c r="T2154" t="s">
        <v>1657</v>
      </c>
      <c r="U2154" t="s">
        <v>34</v>
      </c>
      <c r="V2154">
        <v>79.680000000000007</v>
      </c>
    </row>
    <row r="2155" spans="1:22" x14ac:dyDescent="0.3">
      <c r="A2155" t="s">
        <v>3577</v>
      </c>
      <c r="B2155" s="2">
        <v>46103</v>
      </c>
      <c r="C2155" t="s">
        <v>769</v>
      </c>
      <c r="D2155" t="s">
        <v>70</v>
      </c>
      <c r="E2155" t="s">
        <v>71</v>
      </c>
      <c r="F2155">
        <v>4</v>
      </c>
      <c r="G2155">
        <v>0.05</v>
      </c>
      <c r="H2155">
        <v>68400</v>
      </c>
      <c r="I2155">
        <v>12055.66</v>
      </c>
      <c r="J2155" t="s">
        <v>26</v>
      </c>
      <c r="K2155" t="s">
        <v>40</v>
      </c>
      <c r="L2155">
        <v>17100</v>
      </c>
      <c r="M2155">
        <v>17.62523391812865</v>
      </c>
      <c r="N2155" t="s">
        <v>8</v>
      </c>
      <c r="O2155" t="s">
        <v>374</v>
      </c>
      <c r="P2155" t="s">
        <v>29</v>
      </c>
      <c r="Q2155" t="s">
        <v>42</v>
      </c>
      <c r="R2155" t="s">
        <v>121</v>
      </c>
      <c r="S2155" t="s">
        <v>44</v>
      </c>
      <c r="T2155" t="s">
        <v>172</v>
      </c>
      <c r="U2155" t="s">
        <v>46</v>
      </c>
      <c r="V2155">
        <v>3013.915</v>
      </c>
    </row>
    <row r="2156" spans="1:22" x14ac:dyDescent="0.3">
      <c r="A2156" t="s">
        <v>3578</v>
      </c>
      <c r="B2156" s="2">
        <v>46232</v>
      </c>
      <c r="C2156" t="s">
        <v>2112</v>
      </c>
      <c r="D2156" t="s">
        <v>49</v>
      </c>
      <c r="E2156" t="s">
        <v>50</v>
      </c>
      <c r="F2156">
        <v>15</v>
      </c>
      <c r="G2156">
        <v>0.2</v>
      </c>
      <c r="H2156">
        <v>156000</v>
      </c>
      <c r="I2156">
        <v>16578.11</v>
      </c>
      <c r="J2156" t="s">
        <v>65</v>
      </c>
      <c r="K2156" t="s">
        <v>40</v>
      </c>
      <c r="L2156">
        <v>10400</v>
      </c>
      <c r="M2156">
        <v>10.62699358974359</v>
      </c>
      <c r="N2156" t="s">
        <v>8</v>
      </c>
      <c r="O2156" t="s">
        <v>2113</v>
      </c>
      <c r="P2156" t="s">
        <v>29</v>
      </c>
      <c r="Q2156" t="s">
        <v>42</v>
      </c>
      <c r="R2156" t="s">
        <v>214</v>
      </c>
      <c r="S2156" t="s">
        <v>111</v>
      </c>
      <c r="T2156" t="s">
        <v>2114</v>
      </c>
      <c r="U2156" t="s">
        <v>34</v>
      </c>
      <c r="V2156">
        <v>1105.2073333333331</v>
      </c>
    </row>
    <row r="2157" spans="1:22" x14ac:dyDescent="0.3">
      <c r="A2157" t="s">
        <v>3579</v>
      </c>
      <c r="B2157" s="2">
        <v>46126</v>
      </c>
      <c r="C2157" t="s">
        <v>3512</v>
      </c>
      <c r="D2157" t="s">
        <v>49</v>
      </c>
      <c r="E2157" t="s">
        <v>79</v>
      </c>
      <c r="F2157">
        <v>4</v>
      </c>
      <c r="G2157">
        <v>0.1</v>
      </c>
      <c r="H2157">
        <v>39600</v>
      </c>
      <c r="I2157">
        <v>7011.88</v>
      </c>
      <c r="J2157" t="s">
        <v>65</v>
      </c>
      <c r="K2157" t="s">
        <v>40</v>
      </c>
      <c r="L2157">
        <v>9900</v>
      </c>
      <c r="M2157">
        <v>17.706767676767679</v>
      </c>
      <c r="N2157" t="s">
        <v>8</v>
      </c>
      <c r="O2157" t="s">
        <v>648</v>
      </c>
      <c r="P2157" t="s">
        <v>83</v>
      </c>
      <c r="Q2157" t="s">
        <v>74</v>
      </c>
      <c r="R2157" t="s">
        <v>115</v>
      </c>
      <c r="S2157" t="s">
        <v>115</v>
      </c>
      <c r="T2157" t="s">
        <v>3513</v>
      </c>
      <c r="U2157" t="s">
        <v>34</v>
      </c>
      <c r="V2157">
        <v>1752.97</v>
      </c>
    </row>
    <row r="2158" spans="1:22" x14ac:dyDescent="0.3">
      <c r="A2158" t="s">
        <v>3580</v>
      </c>
      <c r="B2158" s="2">
        <v>45912</v>
      </c>
      <c r="C2158" t="s">
        <v>783</v>
      </c>
      <c r="D2158" t="s">
        <v>24</v>
      </c>
      <c r="E2158" t="s">
        <v>92</v>
      </c>
      <c r="F2158">
        <v>3</v>
      </c>
      <c r="G2158">
        <v>0.1</v>
      </c>
      <c r="H2158">
        <v>2430</v>
      </c>
      <c r="I2158">
        <v>707.1</v>
      </c>
      <c r="J2158" t="s">
        <v>51</v>
      </c>
      <c r="K2158" t="s">
        <v>27</v>
      </c>
      <c r="L2158">
        <v>810</v>
      </c>
      <c r="M2158">
        <v>29.098765432098769</v>
      </c>
      <c r="N2158" t="s">
        <v>8</v>
      </c>
      <c r="O2158" t="s">
        <v>784</v>
      </c>
      <c r="P2158" t="s">
        <v>73</v>
      </c>
      <c r="Q2158" t="s">
        <v>74</v>
      </c>
      <c r="R2158" t="s">
        <v>493</v>
      </c>
      <c r="S2158" t="s">
        <v>494</v>
      </c>
      <c r="T2158" t="s">
        <v>785</v>
      </c>
      <c r="U2158" t="s">
        <v>46</v>
      </c>
      <c r="V2158">
        <v>235.7</v>
      </c>
    </row>
    <row r="2159" spans="1:22" x14ac:dyDescent="0.3">
      <c r="A2159" t="s">
        <v>3581</v>
      </c>
      <c r="B2159" s="2">
        <v>46092</v>
      </c>
      <c r="C2159" t="s">
        <v>2915</v>
      </c>
      <c r="D2159" t="s">
        <v>70</v>
      </c>
      <c r="E2159" t="s">
        <v>129</v>
      </c>
      <c r="F2159">
        <v>3</v>
      </c>
      <c r="G2159">
        <v>0</v>
      </c>
      <c r="H2159">
        <v>165000</v>
      </c>
      <c r="I2159">
        <v>27000</v>
      </c>
      <c r="J2159" t="s">
        <v>65</v>
      </c>
      <c r="K2159" t="s">
        <v>40</v>
      </c>
      <c r="L2159">
        <v>55000</v>
      </c>
      <c r="M2159">
        <v>16.36363636363636</v>
      </c>
      <c r="N2159" t="s">
        <v>8</v>
      </c>
      <c r="O2159" t="s">
        <v>2323</v>
      </c>
      <c r="P2159" t="s">
        <v>73</v>
      </c>
      <c r="Q2159" t="s">
        <v>131</v>
      </c>
      <c r="R2159" t="s">
        <v>132</v>
      </c>
      <c r="S2159" t="s">
        <v>133</v>
      </c>
      <c r="T2159" t="s">
        <v>2916</v>
      </c>
      <c r="U2159" t="s">
        <v>34</v>
      </c>
      <c r="V2159">
        <v>9000</v>
      </c>
    </row>
    <row r="2160" spans="1:22" x14ac:dyDescent="0.3">
      <c r="A2160" t="s">
        <v>3582</v>
      </c>
      <c r="B2160" s="2">
        <v>46241</v>
      </c>
      <c r="C2160" t="s">
        <v>3146</v>
      </c>
      <c r="D2160" t="s">
        <v>49</v>
      </c>
      <c r="E2160" t="s">
        <v>50</v>
      </c>
      <c r="F2160">
        <v>2</v>
      </c>
      <c r="G2160">
        <v>0.1</v>
      </c>
      <c r="H2160">
        <v>23400</v>
      </c>
      <c r="I2160">
        <v>4628.6099999999997</v>
      </c>
      <c r="J2160" t="s">
        <v>26</v>
      </c>
      <c r="K2160" t="s">
        <v>40</v>
      </c>
      <c r="L2160">
        <v>11700</v>
      </c>
      <c r="M2160">
        <v>19.780384615384609</v>
      </c>
      <c r="N2160" t="s">
        <v>8</v>
      </c>
      <c r="O2160" t="s">
        <v>3147</v>
      </c>
      <c r="P2160" t="s">
        <v>73</v>
      </c>
      <c r="Q2160" t="s">
        <v>42</v>
      </c>
      <c r="R2160" t="s">
        <v>121</v>
      </c>
      <c r="S2160" t="s">
        <v>44</v>
      </c>
      <c r="T2160" t="s">
        <v>2122</v>
      </c>
      <c r="U2160" t="s">
        <v>34</v>
      </c>
      <c r="V2160">
        <v>2314.3049999999998</v>
      </c>
    </row>
    <row r="2161" spans="1:22" x14ac:dyDescent="0.3">
      <c r="A2161" t="s">
        <v>3583</v>
      </c>
      <c r="B2161" s="2">
        <v>46244</v>
      </c>
      <c r="C2161" t="s">
        <v>2500</v>
      </c>
      <c r="D2161" t="s">
        <v>49</v>
      </c>
      <c r="E2161" t="s">
        <v>50</v>
      </c>
      <c r="F2161">
        <v>2</v>
      </c>
      <c r="G2161">
        <v>0</v>
      </c>
      <c r="H2161">
        <v>26000</v>
      </c>
      <c r="I2161">
        <v>6400</v>
      </c>
      <c r="J2161" t="s">
        <v>65</v>
      </c>
      <c r="K2161" t="s">
        <v>27</v>
      </c>
      <c r="L2161">
        <v>13000</v>
      </c>
      <c r="M2161">
        <v>24.61538461538462</v>
      </c>
      <c r="N2161" t="s">
        <v>8</v>
      </c>
      <c r="O2161" t="s">
        <v>1169</v>
      </c>
      <c r="P2161" t="s">
        <v>29</v>
      </c>
      <c r="Q2161" t="s">
        <v>131</v>
      </c>
      <c r="R2161" t="s">
        <v>289</v>
      </c>
      <c r="S2161" t="s">
        <v>290</v>
      </c>
      <c r="T2161" t="s">
        <v>2501</v>
      </c>
      <c r="U2161" t="s">
        <v>105</v>
      </c>
      <c r="V2161">
        <v>3200</v>
      </c>
    </row>
    <row r="2162" spans="1:22" x14ac:dyDescent="0.3">
      <c r="A2162" t="s">
        <v>3584</v>
      </c>
      <c r="B2162" s="2">
        <v>46083</v>
      </c>
      <c r="C2162" t="s">
        <v>1334</v>
      </c>
      <c r="D2162" t="s">
        <v>24</v>
      </c>
      <c r="E2162" t="s">
        <v>87</v>
      </c>
      <c r="F2162">
        <v>1</v>
      </c>
      <c r="G2162">
        <v>0.15</v>
      </c>
      <c r="H2162">
        <v>297.5</v>
      </c>
      <c r="I2162">
        <v>-2.04</v>
      </c>
      <c r="J2162" t="s">
        <v>51</v>
      </c>
      <c r="K2162" t="s">
        <v>80</v>
      </c>
      <c r="L2162">
        <v>297.5</v>
      </c>
      <c r="M2162">
        <v>-0.68571428571428572</v>
      </c>
      <c r="N2162" t="s">
        <v>81</v>
      </c>
      <c r="O2162" t="s">
        <v>1335</v>
      </c>
      <c r="P2162" t="s">
        <v>29</v>
      </c>
      <c r="Q2162" t="s">
        <v>131</v>
      </c>
      <c r="R2162" t="s">
        <v>289</v>
      </c>
      <c r="S2162" t="s">
        <v>290</v>
      </c>
      <c r="T2162" t="s">
        <v>1336</v>
      </c>
      <c r="U2162" t="s">
        <v>46</v>
      </c>
      <c r="V2162">
        <v>-2.04</v>
      </c>
    </row>
    <row r="2163" spans="1:22" x14ac:dyDescent="0.3">
      <c r="A2163" t="s">
        <v>3585</v>
      </c>
      <c r="B2163" s="2">
        <v>46199</v>
      </c>
      <c r="C2163" t="s">
        <v>389</v>
      </c>
      <c r="D2163" t="s">
        <v>70</v>
      </c>
      <c r="E2163" t="s">
        <v>71</v>
      </c>
      <c r="F2163">
        <v>2</v>
      </c>
      <c r="G2163">
        <v>0.2</v>
      </c>
      <c r="H2163">
        <v>28800</v>
      </c>
      <c r="I2163">
        <v>2004.21</v>
      </c>
      <c r="J2163" t="s">
        <v>51</v>
      </c>
      <c r="K2163" t="s">
        <v>40</v>
      </c>
      <c r="L2163">
        <v>14400</v>
      </c>
      <c r="M2163">
        <v>6.9590624999999999</v>
      </c>
      <c r="N2163" t="s">
        <v>8</v>
      </c>
      <c r="O2163" t="s">
        <v>390</v>
      </c>
      <c r="P2163" t="s">
        <v>29</v>
      </c>
      <c r="Q2163" t="s">
        <v>30</v>
      </c>
      <c r="R2163" t="s">
        <v>53</v>
      </c>
      <c r="S2163" t="s">
        <v>54</v>
      </c>
      <c r="T2163" t="s">
        <v>391</v>
      </c>
      <c r="U2163" t="s">
        <v>100</v>
      </c>
      <c r="V2163">
        <v>1002.105</v>
      </c>
    </row>
    <row r="2164" spans="1:22" x14ac:dyDescent="0.3">
      <c r="A2164" t="s">
        <v>3586</v>
      </c>
      <c r="B2164" s="2">
        <v>46256</v>
      </c>
      <c r="C2164" t="s">
        <v>1751</v>
      </c>
      <c r="D2164" t="s">
        <v>49</v>
      </c>
      <c r="E2164" t="s">
        <v>50</v>
      </c>
      <c r="F2164">
        <v>2</v>
      </c>
      <c r="G2164">
        <v>0.15</v>
      </c>
      <c r="H2164">
        <v>22100</v>
      </c>
      <c r="I2164">
        <v>-2882.84</v>
      </c>
      <c r="J2164" t="s">
        <v>65</v>
      </c>
      <c r="K2164" t="s">
        <v>80</v>
      </c>
      <c r="L2164">
        <v>11050</v>
      </c>
      <c r="M2164">
        <v>-13.044524886877831</v>
      </c>
      <c r="N2164" t="s">
        <v>81</v>
      </c>
      <c r="O2164" t="s">
        <v>537</v>
      </c>
      <c r="P2164" t="s">
        <v>83</v>
      </c>
      <c r="Q2164" t="s">
        <v>74</v>
      </c>
      <c r="R2164" t="s">
        <v>115</v>
      </c>
      <c r="S2164" t="s">
        <v>115</v>
      </c>
      <c r="T2164" t="s">
        <v>1752</v>
      </c>
      <c r="U2164" t="s">
        <v>46</v>
      </c>
      <c r="V2164">
        <v>-1441.42</v>
      </c>
    </row>
    <row r="2165" spans="1:22" x14ac:dyDescent="0.3">
      <c r="A2165" t="s">
        <v>3587</v>
      </c>
      <c r="B2165" s="2">
        <v>46237</v>
      </c>
      <c r="C2165" t="s">
        <v>1465</v>
      </c>
      <c r="D2165" t="s">
        <v>24</v>
      </c>
      <c r="E2165" t="s">
        <v>87</v>
      </c>
      <c r="F2165">
        <v>1</v>
      </c>
      <c r="G2165">
        <v>0</v>
      </c>
      <c r="H2165">
        <v>350</v>
      </c>
      <c r="I2165">
        <v>120</v>
      </c>
      <c r="J2165" t="s">
        <v>65</v>
      </c>
      <c r="K2165" t="s">
        <v>40</v>
      </c>
      <c r="L2165">
        <v>350</v>
      </c>
      <c r="M2165">
        <v>34.285714285714278</v>
      </c>
      <c r="N2165" t="s">
        <v>8</v>
      </c>
      <c r="O2165" t="s">
        <v>1466</v>
      </c>
      <c r="P2165" t="s">
        <v>73</v>
      </c>
      <c r="Q2165" t="s">
        <v>74</v>
      </c>
      <c r="R2165" t="s">
        <v>237</v>
      </c>
      <c r="S2165" t="s">
        <v>238</v>
      </c>
      <c r="T2165" t="s">
        <v>831</v>
      </c>
      <c r="U2165" t="s">
        <v>34</v>
      </c>
      <c r="V2165">
        <v>120</v>
      </c>
    </row>
    <row r="2166" spans="1:22" x14ac:dyDescent="0.3">
      <c r="A2166" t="s">
        <v>3588</v>
      </c>
      <c r="B2166" s="2">
        <v>46000</v>
      </c>
      <c r="C2166" t="s">
        <v>1210</v>
      </c>
      <c r="D2166" t="s">
        <v>24</v>
      </c>
      <c r="E2166" t="s">
        <v>87</v>
      </c>
      <c r="F2166">
        <v>1</v>
      </c>
      <c r="G2166">
        <v>0.15</v>
      </c>
      <c r="H2166">
        <v>297.5</v>
      </c>
      <c r="I2166">
        <v>93.04</v>
      </c>
      <c r="J2166" t="s">
        <v>65</v>
      </c>
      <c r="K2166" t="s">
        <v>40</v>
      </c>
      <c r="L2166">
        <v>297.5</v>
      </c>
      <c r="M2166">
        <v>31.273949579831928</v>
      </c>
      <c r="N2166" t="s">
        <v>8</v>
      </c>
      <c r="O2166" t="s">
        <v>1190</v>
      </c>
      <c r="P2166" t="s">
        <v>73</v>
      </c>
      <c r="Q2166" t="s">
        <v>30</v>
      </c>
      <c r="R2166" t="s">
        <v>31</v>
      </c>
      <c r="S2166" t="s">
        <v>32</v>
      </c>
      <c r="T2166" t="s">
        <v>1211</v>
      </c>
      <c r="U2166" t="s">
        <v>46</v>
      </c>
      <c r="V2166">
        <v>93.04</v>
      </c>
    </row>
    <row r="2167" spans="1:22" x14ac:dyDescent="0.3">
      <c r="A2167" t="s">
        <v>3589</v>
      </c>
      <c r="B2167" s="2">
        <v>46081</v>
      </c>
      <c r="C2167" t="s">
        <v>1824</v>
      </c>
      <c r="D2167" t="s">
        <v>70</v>
      </c>
      <c r="E2167" t="s">
        <v>71</v>
      </c>
      <c r="F2167">
        <v>2</v>
      </c>
      <c r="G2167">
        <v>0.05</v>
      </c>
      <c r="H2167">
        <v>34200</v>
      </c>
      <c r="I2167">
        <v>5691.42</v>
      </c>
      <c r="J2167" t="s">
        <v>51</v>
      </c>
      <c r="K2167" t="s">
        <v>40</v>
      </c>
      <c r="L2167">
        <v>17100</v>
      </c>
      <c r="M2167">
        <v>16.641578947368419</v>
      </c>
      <c r="N2167" t="s">
        <v>8</v>
      </c>
      <c r="O2167" t="s">
        <v>205</v>
      </c>
      <c r="P2167" t="s">
        <v>83</v>
      </c>
      <c r="Q2167" t="s">
        <v>30</v>
      </c>
      <c r="R2167" t="s">
        <v>31</v>
      </c>
      <c r="S2167" t="s">
        <v>32</v>
      </c>
      <c r="T2167" t="s">
        <v>303</v>
      </c>
      <c r="U2167" t="s">
        <v>46</v>
      </c>
      <c r="V2167">
        <v>2845.71</v>
      </c>
    </row>
    <row r="2168" spans="1:22" x14ac:dyDescent="0.3">
      <c r="A2168" t="s">
        <v>3590</v>
      </c>
      <c r="B2168" s="2">
        <v>46209</v>
      </c>
      <c r="C2168" t="s">
        <v>664</v>
      </c>
      <c r="D2168" t="s">
        <v>49</v>
      </c>
      <c r="E2168" t="s">
        <v>119</v>
      </c>
      <c r="F2168">
        <v>1</v>
      </c>
      <c r="G2168">
        <v>0.05</v>
      </c>
      <c r="H2168">
        <v>8550</v>
      </c>
      <c r="I2168">
        <v>2013.08</v>
      </c>
      <c r="J2168" t="s">
        <v>51</v>
      </c>
      <c r="K2168" t="s">
        <v>40</v>
      </c>
      <c r="L2168">
        <v>8550</v>
      </c>
      <c r="M2168">
        <v>23.54479532163743</v>
      </c>
      <c r="N2168" t="s">
        <v>8</v>
      </c>
      <c r="O2168" t="s">
        <v>665</v>
      </c>
      <c r="P2168" t="s">
        <v>29</v>
      </c>
      <c r="Q2168" t="s">
        <v>30</v>
      </c>
      <c r="R2168" t="s">
        <v>31</v>
      </c>
      <c r="S2168" t="s">
        <v>32</v>
      </c>
      <c r="T2168" t="s">
        <v>256</v>
      </c>
      <c r="U2168" t="s">
        <v>34</v>
      </c>
      <c r="V2168">
        <v>2013.08</v>
      </c>
    </row>
    <row r="2169" spans="1:22" x14ac:dyDescent="0.3">
      <c r="A2169" t="s">
        <v>3591</v>
      </c>
      <c r="B2169" s="2">
        <v>46002</v>
      </c>
      <c r="C2169" t="s">
        <v>1799</v>
      </c>
      <c r="D2169" t="s">
        <v>37</v>
      </c>
      <c r="E2169" t="s">
        <v>38</v>
      </c>
      <c r="F2169">
        <v>1</v>
      </c>
      <c r="G2169">
        <v>0.05</v>
      </c>
      <c r="H2169">
        <v>1710</v>
      </c>
      <c r="I2169">
        <v>162.96</v>
      </c>
      <c r="J2169" t="s">
        <v>51</v>
      </c>
      <c r="K2169" t="s">
        <v>80</v>
      </c>
      <c r="L2169">
        <v>1710</v>
      </c>
      <c r="M2169">
        <v>9.5298245614035082</v>
      </c>
      <c r="N2169" t="s">
        <v>8</v>
      </c>
      <c r="O2169" t="s">
        <v>1800</v>
      </c>
      <c r="P2169" t="s">
        <v>73</v>
      </c>
      <c r="Q2169" t="s">
        <v>30</v>
      </c>
      <c r="R2169" t="s">
        <v>98</v>
      </c>
      <c r="S2169" t="s">
        <v>54</v>
      </c>
      <c r="T2169" t="s">
        <v>1801</v>
      </c>
      <c r="U2169" t="s">
        <v>100</v>
      </c>
      <c r="V2169">
        <v>162.96</v>
      </c>
    </row>
    <row r="2170" spans="1:22" x14ac:dyDescent="0.3">
      <c r="A2170" t="s">
        <v>3592</v>
      </c>
      <c r="B2170" s="2">
        <v>46188</v>
      </c>
      <c r="C2170" t="s">
        <v>3593</v>
      </c>
      <c r="D2170" t="s">
        <v>24</v>
      </c>
      <c r="E2170" t="s">
        <v>87</v>
      </c>
      <c r="F2170">
        <v>10</v>
      </c>
      <c r="G2170">
        <v>0.2</v>
      </c>
      <c r="H2170">
        <v>2800</v>
      </c>
      <c r="I2170">
        <v>801.25</v>
      </c>
      <c r="J2170" t="s">
        <v>65</v>
      </c>
      <c r="K2170" t="s">
        <v>40</v>
      </c>
      <c r="L2170">
        <v>280</v>
      </c>
      <c r="M2170">
        <v>28.616071428571431</v>
      </c>
      <c r="N2170" t="s">
        <v>8</v>
      </c>
      <c r="O2170" t="s">
        <v>439</v>
      </c>
      <c r="P2170" t="s">
        <v>29</v>
      </c>
      <c r="Q2170" t="s">
        <v>42</v>
      </c>
      <c r="R2170" t="s">
        <v>121</v>
      </c>
      <c r="S2170" t="s">
        <v>44</v>
      </c>
      <c r="T2170" t="s">
        <v>1801</v>
      </c>
      <c r="U2170" t="s">
        <v>46</v>
      </c>
      <c r="V2170">
        <v>80.125</v>
      </c>
    </row>
    <row r="2171" spans="1:22" x14ac:dyDescent="0.3">
      <c r="A2171" t="s">
        <v>3594</v>
      </c>
      <c r="B2171" s="2">
        <v>45897</v>
      </c>
      <c r="C2171" t="s">
        <v>1537</v>
      </c>
      <c r="D2171" t="s">
        <v>24</v>
      </c>
      <c r="E2171" t="s">
        <v>25</v>
      </c>
      <c r="F2171">
        <v>15</v>
      </c>
      <c r="G2171">
        <v>0</v>
      </c>
      <c r="H2171">
        <v>210000</v>
      </c>
      <c r="I2171">
        <v>42000</v>
      </c>
      <c r="J2171" t="s">
        <v>26</v>
      </c>
      <c r="K2171" t="s">
        <v>40</v>
      </c>
      <c r="L2171">
        <v>14000</v>
      </c>
      <c r="M2171">
        <v>20</v>
      </c>
      <c r="N2171" t="s">
        <v>8</v>
      </c>
      <c r="O2171" t="s">
        <v>1538</v>
      </c>
      <c r="P2171" t="s">
        <v>73</v>
      </c>
      <c r="Q2171" t="s">
        <v>131</v>
      </c>
      <c r="R2171" t="s">
        <v>289</v>
      </c>
      <c r="S2171" t="s">
        <v>290</v>
      </c>
      <c r="T2171" t="s">
        <v>1539</v>
      </c>
      <c r="U2171" t="s">
        <v>34</v>
      </c>
      <c r="V2171">
        <v>2800</v>
      </c>
    </row>
    <row r="2172" spans="1:22" x14ac:dyDescent="0.3">
      <c r="A2172" t="s">
        <v>3595</v>
      </c>
      <c r="B2172" s="2">
        <v>45919</v>
      </c>
      <c r="C2172" t="s">
        <v>2947</v>
      </c>
      <c r="D2172" t="s">
        <v>49</v>
      </c>
      <c r="E2172" t="s">
        <v>119</v>
      </c>
      <c r="F2172">
        <v>4</v>
      </c>
      <c r="G2172">
        <v>0.2</v>
      </c>
      <c r="H2172">
        <v>28800</v>
      </c>
      <c r="I2172">
        <v>3282.46</v>
      </c>
      <c r="J2172" t="s">
        <v>39</v>
      </c>
      <c r="K2172" t="s">
        <v>40</v>
      </c>
      <c r="L2172">
        <v>7200</v>
      </c>
      <c r="M2172">
        <v>11.397430555555561</v>
      </c>
      <c r="N2172" t="s">
        <v>8</v>
      </c>
      <c r="O2172" t="s">
        <v>2674</v>
      </c>
      <c r="P2172" t="s">
        <v>29</v>
      </c>
      <c r="Q2172" t="s">
        <v>74</v>
      </c>
      <c r="R2172" t="s">
        <v>115</v>
      </c>
      <c r="S2172" t="s">
        <v>115</v>
      </c>
      <c r="T2172" t="s">
        <v>2948</v>
      </c>
      <c r="U2172" t="s">
        <v>105</v>
      </c>
      <c r="V2172">
        <v>820.61500000000001</v>
      </c>
    </row>
    <row r="2173" spans="1:22" x14ac:dyDescent="0.3">
      <c r="A2173" t="s">
        <v>3596</v>
      </c>
      <c r="B2173" s="2">
        <v>45938</v>
      </c>
      <c r="C2173" t="s">
        <v>2635</v>
      </c>
      <c r="D2173" t="s">
        <v>49</v>
      </c>
      <c r="E2173" t="s">
        <v>119</v>
      </c>
      <c r="F2173">
        <v>1</v>
      </c>
      <c r="G2173">
        <v>0.1</v>
      </c>
      <c r="H2173">
        <v>8100</v>
      </c>
      <c r="I2173">
        <v>1817.34</v>
      </c>
      <c r="J2173" t="s">
        <v>51</v>
      </c>
      <c r="K2173" t="s">
        <v>40</v>
      </c>
      <c r="L2173">
        <v>8100</v>
      </c>
      <c r="M2173">
        <v>22.436296296296291</v>
      </c>
      <c r="N2173" t="s">
        <v>8</v>
      </c>
      <c r="O2173" t="s">
        <v>2636</v>
      </c>
      <c r="P2173" t="s">
        <v>29</v>
      </c>
      <c r="Q2173" t="s">
        <v>42</v>
      </c>
      <c r="R2173" t="s">
        <v>121</v>
      </c>
      <c r="S2173" t="s">
        <v>44</v>
      </c>
      <c r="T2173" t="s">
        <v>252</v>
      </c>
      <c r="U2173" t="s">
        <v>34</v>
      </c>
      <c r="V2173">
        <v>1817.34</v>
      </c>
    </row>
    <row r="2174" spans="1:22" x14ac:dyDescent="0.3">
      <c r="A2174" t="s">
        <v>3597</v>
      </c>
      <c r="B2174" s="2">
        <v>45971</v>
      </c>
      <c r="C2174" t="s">
        <v>225</v>
      </c>
      <c r="D2174" t="s">
        <v>70</v>
      </c>
      <c r="E2174" t="s">
        <v>71</v>
      </c>
      <c r="F2174">
        <v>1</v>
      </c>
      <c r="G2174">
        <v>0.2</v>
      </c>
      <c r="H2174">
        <v>14400</v>
      </c>
      <c r="I2174">
        <v>453.74</v>
      </c>
      <c r="J2174" t="s">
        <v>39</v>
      </c>
      <c r="K2174" t="s">
        <v>40</v>
      </c>
      <c r="L2174">
        <v>14400</v>
      </c>
      <c r="M2174">
        <v>3.1509722222222218</v>
      </c>
      <c r="N2174" t="s">
        <v>8</v>
      </c>
      <c r="O2174" t="s">
        <v>226</v>
      </c>
      <c r="P2174" t="s">
        <v>29</v>
      </c>
      <c r="Q2174" t="s">
        <v>30</v>
      </c>
      <c r="R2174" t="s">
        <v>31</v>
      </c>
      <c r="S2174" t="s">
        <v>32</v>
      </c>
      <c r="T2174" t="s">
        <v>227</v>
      </c>
      <c r="U2174" t="s">
        <v>100</v>
      </c>
      <c r="V2174">
        <v>453.74</v>
      </c>
    </row>
    <row r="2175" spans="1:22" x14ac:dyDescent="0.3">
      <c r="A2175" t="s">
        <v>3598</v>
      </c>
      <c r="B2175" s="2">
        <v>45981</v>
      </c>
      <c r="C2175" t="s">
        <v>164</v>
      </c>
      <c r="D2175" t="s">
        <v>37</v>
      </c>
      <c r="E2175" t="s">
        <v>310</v>
      </c>
      <c r="F2175">
        <v>3</v>
      </c>
      <c r="G2175">
        <v>0.15</v>
      </c>
      <c r="H2175">
        <v>5610</v>
      </c>
      <c r="I2175">
        <v>1774.25</v>
      </c>
      <c r="J2175" t="s">
        <v>39</v>
      </c>
      <c r="K2175" t="s">
        <v>40</v>
      </c>
      <c r="L2175">
        <v>1870</v>
      </c>
      <c r="M2175">
        <v>31.626559714795011</v>
      </c>
      <c r="N2175" t="s">
        <v>8</v>
      </c>
      <c r="O2175" t="s">
        <v>166</v>
      </c>
      <c r="P2175" t="s">
        <v>73</v>
      </c>
      <c r="Q2175" t="s">
        <v>30</v>
      </c>
      <c r="R2175" t="s">
        <v>53</v>
      </c>
      <c r="S2175" t="s">
        <v>54</v>
      </c>
      <c r="T2175" t="s">
        <v>167</v>
      </c>
      <c r="U2175" t="s">
        <v>46</v>
      </c>
      <c r="V2175">
        <v>591.41666666666663</v>
      </c>
    </row>
    <row r="2176" spans="1:22" x14ac:dyDescent="0.3">
      <c r="A2176" t="s">
        <v>3599</v>
      </c>
      <c r="B2176" s="2">
        <v>45991</v>
      </c>
      <c r="C2176" t="s">
        <v>401</v>
      </c>
      <c r="D2176" t="s">
        <v>24</v>
      </c>
      <c r="E2176" t="s">
        <v>242</v>
      </c>
      <c r="F2176">
        <v>4</v>
      </c>
      <c r="G2176">
        <v>0.1</v>
      </c>
      <c r="H2176">
        <v>1620</v>
      </c>
      <c r="I2176">
        <v>321.60000000000002</v>
      </c>
      <c r="J2176" t="s">
        <v>51</v>
      </c>
      <c r="K2176" t="s">
        <v>40</v>
      </c>
      <c r="L2176">
        <v>405</v>
      </c>
      <c r="M2176">
        <v>19.851851851851851</v>
      </c>
      <c r="N2176" t="s">
        <v>8</v>
      </c>
      <c r="O2176" t="s">
        <v>402</v>
      </c>
      <c r="P2176" t="s">
        <v>29</v>
      </c>
      <c r="Q2176" t="s">
        <v>30</v>
      </c>
      <c r="R2176" t="s">
        <v>60</v>
      </c>
      <c r="S2176" t="s">
        <v>61</v>
      </c>
      <c r="T2176" t="s">
        <v>403</v>
      </c>
      <c r="U2176" t="s">
        <v>46</v>
      </c>
      <c r="V2176">
        <v>80.400000000000006</v>
      </c>
    </row>
    <row r="2177" spans="1:22" x14ac:dyDescent="0.3">
      <c r="A2177" t="s">
        <v>3600</v>
      </c>
      <c r="B2177" s="2">
        <v>46212</v>
      </c>
      <c r="C2177" t="s">
        <v>2311</v>
      </c>
      <c r="D2177" t="s">
        <v>24</v>
      </c>
      <c r="E2177" t="s">
        <v>242</v>
      </c>
      <c r="F2177">
        <v>1</v>
      </c>
      <c r="G2177">
        <v>0.1</v>
      </c>
      <c r="H2177">
        <v>405</v>
      </c>
      <c r="I2177">
        <v>76.3</v>
      </c>
      <c r="J2177" t="s">
        <v>26</v>
      </c>
      <c r="K2177" t="s">
        <v>40</v>
      </c>
      <c r="L2177">
        <v>405</v>
      </c>
      <c r="M2177">
        <v>18.839506172839499</v>
      </c>
      <c r="N2177" t="s">
        <v>8</v>
      </c>
      <c r="O2177" t="s">
        <v>2312</v>
      </c>
      <c r="P2177" t="s">
        <v>73</v>
      </c>
      <c r="Q2177" t="s">
        <v>131</v>
      </c>
      <c r="R2177" t="s">
        <v>132</v>
      </c>
      <c r="S2177" t="s">
        <v>133</v>
      </c>
      <c r="T2177" t="s">
        <v>2313</v>
      </c>
      <c r="U2177" t="s">
        <v>46</v>
      </c>
      <c r="V2177">
        <v>76.3</v>
      </c>
    </row>
    <row r="2178" spans="1:22" x14ac:dyDescent="0.3">
      <c r="A2178" t="s">
        <v>3601</v>
      </c>
      <c r="B2178" s="2">
        <v>46068</v>
      </c>
      <c r="C2178" t="s">
        <v>2459</v>
      </c>
      <c r="D2178" t="s">
        <v>37</v>
      </c>
      <c r="E2178" t="s">
        <v>310</v>
      </c>
      <c r="F2178">
        <v>5</v>
      </c>
      <c r="G2178">
        <v>0.05</v>
      </c>
      <c r="H2178">
        <v>10450</v>
      </c>
      <c r="I2178">
        <v>3315.49</v>
      </c>
      <c r="J2178" t="s">
        <v>26</v>
      </c>
      <c r="K2178" t="s">
        <v>40</v>
      </c>
      <c r="L2178">
        <v>2090</v>
      </c>
      <c r="M2178">
        <v>31.727177033492818</v>
      </c>
      <c r="N2178" t="s">
        <v>8</v>
      </c>
      <c r="O2178" t="s">
        <v>378</v>
      </c>
      <c r="P2178" t="s">
        <v>83</v>
      </c>
      <c r="Q2178" t="s">
        <v>74</v>
      </c>
      <c r="R2178" t="s">
        <v>115</v>
      </c>
      <c r="S2178" t="s">
        <v>115</v>
      </c>
      <c r="T2178" t="s">
        <v>2460</v>
      </c>
      <c r="U2178" t="s">
        <v>105</v>
      </c>
      <c r="V2178">
        <v>663.09799999999996</v>
      </c>
    </row>
    <row r="2179" spans="1:22" x14ac:dyDescent="0.3">
      <c r="A2179" t="s">
        <v>3602</v>
      </c>
      <c r="B2179" s="2">
        <v>46131</v>
      </c>
      <c r="C2179" t="s">
        <v>1685</v>
      </c>
      <c r="D2179" t="s">
        <v>37</v>
      </c>
      <c r="E2179" t="s">
        <v>38</v>
      </c>
      <c r="F2179">
        <v>3</v>
      </c>
      <c r="G2179">
        <v>0.1</v>
      </c>
      <c r="H2179">
        <v>4860</v>
      </c>
      <c r="I2179">
        <v>1502.49</v>
      </c>
      <c r="J2179" t="s">
        <v>51</v>
      </c>
      <c r="K2179" t="s">
        <v>40</v>
      </c>
      <c r="L2179">
        <v>1620</v>
      </c>
      <c r="M2179">
        <v>30.915432098765429</v>
      </c>
      <c r="N2179" t="s">
        <v>8</v>
      </c>
      <c r="O2179" t="s">
        <v>1215</v>
      </c>
      <c r="P2179" t="s">
        <v>29</v>
      </c>
      <c r="Q2179" t="s">
        <v>131</v>
      </c>
      <c r="R2179" t="s">
        <v>132</v>
      </c>
      <c r="S2179" t="s">
        <v>133</v>
      </c>
      <c r="T2179" t="s">
        <v>1686</v>
      </c>
      <c r="U2179" t="s">
        <v>105</v>
      </c>
      <c r="V2179">
        <v>500.83</v>
      </c>
    </row>
    <row r="2180" spans="1:22" x14ac:dyDescent="0.3">
      <c r="A2180" t="s">
        <v>3603</v>
      </c>
      <c r="B2180" s="2">
        <v>45965</v>
      </c>
      <c r="C2180" t="s">
        <v>843</v>
      </c>
      <c r="D2180" t="s">
        <v>70</v>
      </c>
      <c r="E2180" t="s">
        <v>108</v>
      </c>
      <c r="F2180">
        <v>1</v>
      </c>
      <c r="G2180">
        <v>0</v>
      </c>
      <c r="H2180">
        <v>4500</v>
      </c>
      <c r="I2180">
        <v>1500</v>
      </c>
      <c r="J2180" t="s">
        <v>26</v>
      </c>
      <c r="K2180" t="s">
        <v>40</v>
      </c>
      <c r="L2180">
        <v>4500</v>
      </c>
      <c r="M2180">
        <v>33.333333333333329</v>
      </c>
      <c r="N2180" t="s">
        <v>8</v>
      </c>
      <c r="O2180" t="s">
        <v>844</v>
      </c>
      <c r="P2180" t="s">
        <v>29</v>
      </c>
      <c r="Q2180" t="s">
        <v>42</v>
      </c>
      <c r="R2180" t="s">
        <v>214</v>
      </c>
      <c r="S2180" t="s">
        <v>111</v>
      </c>
      <c r="T2180" t="s">
        <v>750</v>
      </c>
      <c r="U2180" t="s">
        <v>100</v>
      </c>
      <c r="V2180">
        <v>1500</v>
      </c>
    </row>
    <row r="2181" spans="1:22" x14ac:dyDescent="0.3">
      <c r="A2181" t="s">
        <v>3604</v>
      </c>
      <c r="B2181" s="2">
        <v>46083</v>
      </c>
      <c r="C2181" t="s">
        <v>635</v>
      </c>
      <c r="D2181" t="s">
        <v>49</v>
      </c>
      <c r="E2181" t="s">
        <v>50</v>
      </c>
      <c r="F2181">
        <v>5</v>
      </c>
      <c r="G2181">
        <v>0.05</v>
      </c>
      <c r="H2181">
        <v>61750</v>
      </c>
      <c r="I2181">
        <v>14507.38</v>
      </c>
      <c r="J2181" t="s">
        <v>26</v>
      </c>
      <c r="K2181" t="s">
        <v>40</v>
      </c>
      <c r="L2181">
        <v>12350</v>
      </c>
      <c r="M2181">
        <v>23.49373279352227</v>
      </c>
      <c r="N2181" t="s">
        <v>8</v>
      </c>
      <c r="O2181" t="s">
        <v>636</v>
      </c>
      <c r="P2181" t="s">
        <v>29</v>
      </c>
      <c r="Q2181" t="s">
        <v>42</v>
      </c>
      <c r="R2181" t="s">
        <v>214</v>
      </c>
      <c r="S2181" t="s">
        <v>111</v>
      </c>
      <c r="T2181" t="s">
        <v>637</v>
      </c>
      <c r="U2181" t="s">
        <v>100</v>
      </c>
      <c r="V2181">
        <v>2901.4760000000001</v>
      </c>
    </row>
    <row r="2182" spans="1:22" x14ac:dyDescent="0.3">
      <c r="A2182" t="s">
        <v>3605</v>
      </c>
      <c r="B2182" s="2">
        <v>46065</v>
      </c>
      <c r="C2182" t="s">
        <v>389</v>
      </c>
      <c r="D2182" t="s">
        <v>49</v>
      </c>
      <c r="E2182" t="s">
        <v>79</v>
      </c>
      <c r="F2182">
        <v>2</v>
      </c>
      <c r="G2182">
        <v>0.05</v>
      </c>
      <c r="H2182">
        <v>20900</v>
      </c>
      <c r="I2182">
        <v>4539.95</v>
      </c>
      <c r="J2182" t="s">
        <v>26</v>
      </c>
      <c r="K2182" t="s">
        <v>40</v>
      </c>
      <c r="L2182">
        <v>10450</v>
      </c>
      <c r="M2182">
        <v>21.72224880382775</v>
      </c>
      <c r="N2182" t="s">
        <v>8</v>
      </c>
      <c r="O2182" t="s">
        <v>390</v>
      </c>
      <c r="P2182" t="s">
        <v>29</v>
      </c>
      <c r="Q2182" t="s">
        <v>30</v>
      </c>
      <c r="R2182" t="s">
        <v>53</v>
      </c>
      <c r="S2182" t="s">
        <v>54</v>
      </c>
      <c r="T2182" t="s">
        <v>391</v>
      </c>
      <c r="U2182" t="s">
        <v>100</v>
      </c>
      <c r="V2182">
        <v>2269.9749999999999</v>
      </c>
    </row>
    <row r="2183" spans="1:22" x14ac:dyDescent="0.3">
      <c r="A2183" t="s">
        <v>3606</v>
      </c>
      <c r="B2183" s="2">
        <v>46112</v>
      </c>
      <c r="C2183" t="s">
        <v>761</v>
      </c>
      <c r="D2183" t="s">
        <v>70</v>
      </c>
      <c r="E2183" t="s">
        <v>108</v>
      </c>
      <c r="F2183">
        <v>1</v>
      </c>
      <c r="G2183">
        <v>0</v>
      </c>
      <c r="H2183">
        <v>4500</v>
      </c>
      <c r="I2183">
        <v>1500</v>
      </c>
      <c r="J2183" t="s">
        <v>26</v>
      </c>
      <c r="K2183" t="s">
        <v>40</v>
      </c>
      <c r="L2183">
        <v>4500</v>
      </c>
      <c r="M2183">
        <v>33.333333333333329</v>
      </c>
      <c r="N2183" t="s">
        <v>8</v>
      </c>
      <c r="O2183" t="s">
        <v>762</v>
      </c>
      <c r="P2183" t="s">
        <v>29</v>
      </c>
      <c r="Q2183" t="s">
        <v>131</v>
      </c>
      <c r="R2183" t="s">
        <v>132</v>
      </c>
      <c r="S2183" t="s">
        <v>133</v>
      </c>
      <c r="T2183" t="s">
        <v>763</v>
      </c>
      <c r="U2183" t="s">
        <v>105</v>
      </c>
      <c r="V2183">
        <v>1500</v>
      </c>
    </row>
    <row r="2184" spans="1:22" x14ac:dyDescent="0.3">
      <c r="A2184" t="s">
        <v>3607</v>
      </c>
      <c r="B2184" s="2">
        <v>45978</v>
      </c>
      <c r="C2184" t="s">
        <v>952</v>
      </c>
      <c r="D2184" t="s">
        <v>24</v>
      </c>
      <c r="E2184" t="s">
        <v>87</v>
      </c>
      <c r="F2184">
        <v>3</v>
      </c>
      <c r="G2184">
        <v>0.05</v>
      </c>
      <c r="H2184">
        <v>997.5</v>
      </c>
      <c r="I2184">
        <v>332.24</v>
      </c>
      <c r="J2184" t="s">
        <v>51</v>
      </c>
      <c r="K2184" t="s">
        <v>40</v>
      </c>
      <c r="L2184">
        <v>332.5</v>
      </c>
      <c r="M2184">
        <v>33.30726817042607</v>
      </c>
      <c r="N2184" t="s">
        <v>8</v>
      </c>
      <c r="O2184" t="s">
        <v>953</v>
      </c>
      <c r="P2184" t="s">
        <v>83</v>
      </c>
      <c r="Q2184" t="s">
        <v>42</v>
      </c>
      <c r="R2184" t="s">
        <v>110</v>
      </c>
      <c r="S2184" t="s">
        <v>111</v>
      </c>
      <c r="T2184" t="s">
        <v>954</v>
      </c>
      <c r="U2184" t="s">
        <v>105</v>
      </c>
      <c r="V2184">
        <v>110.7466666666667</v>
      </c>
    </row>
    <row r="2185" spans="1:22" x14ac:dyDescent="0.3">
      <c r="A2185" t="s">
        <v>3608</v>
      </c>
      <c r="B2185" s="2">
        <v>46057</v>
      </c>
      <c r="C2185" t="s">
        <v>2610</v>
      </c>
      <c r="D2185" t="s">
        <v>37</v>
      </c>
      <c r="E2185" t="s">
        <v>190</v>
      </c>
      <c r="F2185">
        <v>1</v>
      </c>
      <c r="G2185">
        <v>0</v>
      </c>
      <c r="H2185">
        <v>4200</v>
      </c>
      <c r="I2185">
        <v>1200</v>
      </c>
      <c r="J2185" t="s">
        <v>39</v>
      </c>
      <c r="K2185" t="s">
        <v>40</v>
      </c>
      <c r="L2185">
        <v>4200</v>
      </c>
      <c r="M2185">
        <v>28.571428571428569</v>
      </c>
      <c r="N2185" t="s">
        <v>8</v>
      </c>
      <c r="O2185" t="s">
        <v>209</v>
      </c>
      <c r="P2185" t="s">
        <v>29</v>
      </c>
      <c r="Q2185" t="s">
        <v>42</v>
      </c>
      <c r="R2185" t="s">
        <v>110</v>
      </c>
      <c r="S2185" t="s">
        <v>111</v>
      </c>
      <c r="T2185" t="s">
        <v>2611</v>
      </c>
      <c r="U2185" t="s">
        <v>100</v>
      </c>
      <c r="V2185">
        <v>1200</v>
      </c>
    </row>
    <row r="2186" spans="1:22" x14ac:dyDescent="0.3">
      <c r="A2186" t="s">
        <v>3609</v>
      </c>
      <c r="B2186" s="2">
        <v>46076</v>
      </c>
      <c r="C2186" t="s">
        <v>1398</v>
      </c>
      <c r="D2186" t="s">
        <v>37</v>
      </c>
      <c r="E2186" t="s">
        <v>190</v>
      </c>
      <c r="F2186">
        <v>1</v>
      </c>
      <c r="G2186">
        <v>0.15</v>
      </c>
      <c r="H2186">
        <v>3570</v>
      </c>
      <c r="I2186">
        <v>822.9</v>
      </c>
      <c r="J2186" t="s">
        <v>39</v>
      </c>
      <c r="K2186" t="s">
        <v>40</v>
      </c>
      <c r="L2186">
        <v>3570</v>
      </c>
      <c r="M2186">
        <v>23.05042016806723</v>
      </c>
      <c r="N2186" t="s">
        <v>8</v>
      </c>
      <c r="O2186" t="s">
        <v>153</v>
      </c>
      <c r="P2186" t="s">
        <v>83</v>
      </c>
      <c r="Q2186" t="s">
        <v>30</v>
      </c>
      <c r="R2186" t="s">
        <v>53</v>
      </c>
      <c r="S2186" t="s">
        <v>54</v>
      </c>
      <c r="T2186" t="s">
        <v>734</v>
      </c>
      <c r="U2186" t="s">
        <v>46</v>
      </c>
      <c r="V2186">
        <v>822.9</v>
      </c>
    </row>
    <row r="2187" spans="1:22" x14ac:dyDescent="0.3">
      <c r="A2187" t="s">
        <v>3610</v>
      </c>
      <c r="B2187" s="2">
        <v>46217</v>
      </c>
      <c r="C2187" t="s">
        <v>1849</v>
      </c>
      <c r="D2187" t="s">
        <v>49</v>
      </c>
      <c r="E2187" t="s">
        <v>50</v>
      </c>
      <c r="F2187">
        <v>3</v>
      </c>
      <c r="G2187">
        <v>0.1</v>
      </c>
      <c r="H2187">
        <v>35100</v>
      </c>
      <c r="I2187">
        <v>7037.25</v>
      </c>
      <c r="J2187" t="s">
        <v>65</v>
      </c>
      <c r="K2187" t="s">
        <v>40</v>
      </c>
      <c r="L2187">
        <v>11700</v>
      </c>
      <c r="M2187">
        <v>20.049145299145302</v>
      </c>
      <c r="N2187" t="s">
        <v>8</v>
      </c>
      <c r="O2187" t="s">
        <v>171</v>
      </c>
      <c r="P2187" t="s">
        <v>83</v>
      </c>
      <c r="Q2187" t="s">
        <v>131</v>
      </c>
      <c r="R2187" t="s">
        <v>289</v>
      </c>
      <c r="S2187" t="s">
        <v>290</v>
      </c>
      <c r="T2187" t="s">
        <v>1850</v>
      </c>
      <c r="U2187" t="s">
        <v>34</v>
      </c>
      <c r="V2187">
        <v>2345.75</v>
      </c>
    </row>
    <row r="2188" spans="1:22" x14ac:dyDescent="0.3">
      <c r="A2188" t="s">
        <v>3611</v>
      </c>
      <c r="B2188" s="2">
        <v>46096</v>
      </c>
      <c r="C2188" t="s">
        <v>1338</v>
      </c>
      <c r="D2188" t="s">
        <v>49</v>
      </c>
      <c r="E2188" t="s">
        <v>79</v>
      </c>
      <c r="F2188">
        <v>3</v>
      </c>
      <c r="G2188">
        <v>0.1</v>
      </c>
      <c r="H2188">
        <v>29700</v>
      </c>
      <c r="I2188">
        <v>5957.55</v>
      </c>
      <c r="J2188" t="s">
        <v>39</v>
      </c>
      <c r="K2188" t="s">
        <v>40</v>
      </c>
      <c r="L2188">
        <v>9900</v>
      </c>
      <c r="M2188">
        <v>20.059090909090909</v>
      </c>
      <c r="N2188" t="s">
        <v>8</v>
      </c>
      <c r="O2188" t="s">
        <v>82</v>
      </c>
      <c r="P2188" t="s">
        <v>29</v>
      </c>
      <c r="Q2188" t="s">
        <v>74</v>
      </c>
      <c r="R2188" t="s">
        <v>75</v>
      </c>
      <c r="S2188" t="s">
        <v>75</v>
      </c>
      <c r="T2188" t="s">
        <v>1339</v>
      </c>
      <c r="U2188" t="s">
        <v>100</v>
      </c>
      <c r="V2188">
        <v>1985.85</v>
      </c>
    </row>
    <row r="2189" spans="1:22" x14ac:dyDescent="0.3">
      <c r="A2189" t="s">
        <v>3612</v>
      </c>
      <c r="B2189" s="2">
        <v>45921</v>
      </c>
      <c r="C2189" t="s">
        <v>846</v>
      </c>
      <c r="D2189" t="s">
        <v>24</v>
      </c>
      <c r="E2189" t="s">
        <v>87</v>
      </c>
      <c r="F2189">
        <v>5</v>
      </c>
      <c r="G2189">
        <v>0.05</v>
      </c>
      <c r="H2189">
        <v>1662.5</v>
      </c>
      <c r="I2189">
        <v>542.66999999999996</v>
      </c>
      <c r="J2189" t="s">
        <v>65</v>
      </c>
      <c r="K2189" t="s">
        <v>40</v>
      </c>
      <c r="L2189">
        <v>332.5</v>
      </c>
      <c r="M2189">
        <v>32.641804511278202</v>
      </c>
      <c r="N2189" t="s">
        <v>8</v>
      </c>
      <c r="O2189" t="s">
        <v>847</v>
      </c>
      <c r="P2189" t="s">
        <v>29</v>
      </c>
      <c r="Q2189" t="s">
        <v>30</v>
      </c>
      <c r="R2189" t="s">
        <v>53</v>
      </c>
      <c r="S2189" t="s">
        <v>54</v>
      </c>
      <c r="T2189" t="s">
        <v>848</v>
      </c>
      <c r="U2189" t="s">
        <v>34</v>
      </c>
      <c r="V2189">
        <v>108.53400000000001</v>
      </c>
    </row>
    <row r="2190" spans="1:22" x14ac:dyDescent="0.3">
      <c r="A2190" t="s">
        <v>3613</v>
      </c>
      <c r="B2190" s="2">
        <v>46007</v>
      </c>
      <c r="C2190" t="s">
        <v>1410</v>
      </c>
      <c r="D2190" t="s">
        <v>24</v>
      </c>
      <c r="E2190" t="s">
        <v>92</v>
      </c>
      <c r="F2190">
        <v>2</v>
      </c>
      <c r="G2190">
        <v>0.1</v>
      </c>
      <c r="H2190">
        <v>1620</v>
      </c>
      <c r="I2190">
        <v>432.03</v>
      </c>
      <c r="J2190" t="s">
        <v>39</v>
      </c>
      <c r="K2190" t="s">
        <v>40</v>
      </c>
      <c r="L2190">
        <v>810</v>
      </c>
      <c r="M2190">
        <v>26.668518518518521</v>
      </c>
      <c r="N2190" t="s">
        <v>8</v>
      </c>
      <c r="O2190" t="s">
        <v>995</v>
      </c>
      <c r="P2190" t="s">
        <v>73</v>
      </c>
      <c r="Q2190" t="s">
        <v>30</v>
      </c>
      <c r="R2190" t="s">
        <v>60</v>
      </c>
      <c r="S2190" t="s">
        <v>61</v>
      </c>
      <c r="T2190" t="s">
        <v>1411</v>
      </c>
      <c r="U2190" t="s">
        <v>34</v>
      </c>
      <c r="V2190">
        <v>216.01499999999999</v>
      </c>
    </row>
    <row r="2191" spans="1:22" x14ac:dyDescent="0.3">
      <c r="A2191" t="s">
        <v>3614</v>
      </c>
      <c r="B2191" s="2">
        <v>45983</v>
      </c>
      <c r="C2191" t="s">
        <v>875</v>
      </c>
      <c r="D2191" t="s">
        <v>37</v>
      </c>
      <c r="E2191" t="s">
        <v>310</v>
      </c>
      <c r="F2191">
        <v>1</v>
      </c>
      <c r="G2191">
        <v>0.1</v>
      </c>
      <c r="H2191">
        <v>1980</v>
      </c>
      <c r="I2191">
        <v>600.70000000000005</v>
      </c>
      <c r="J2191" t="s">
        <v>26</v>
      </c>
      <c r="K2191" t="s">
        <v>40</v>
      </c>
      <c r="L2191">
        <v>1980</v>
      </c>
      <c r="M2191">
        <v>30.338383838383841</v>
      </c>
      <c r="N2191" t="s">
        <v>8</v>
      </c>
      <c r="O2191" t="s">
        <v>149</v>
      </c>
      <c r="P2191" t="s">
        <v>73</v>
      </c>
      <c r="Q2191" t="s">
        <v>42</v>
      </c>
      <c r="R2191" t="s">
        <v>214</v>
      </c>
      <c r="S2191" t="s">
        <v>111</v>
      </c>
      <c r="T2191" t="s">
        <v>876</v>
      </c>
      <c r="U2191" t="s">
        <v>100</v>
      </c>
      <c r="V2191">
        <v>600.70000000000005</v>
      </c>
    </row>
    <row r="2192" spans="1:22" x14ac:dyDescent="0.3">
      <c r="A2192" t="s">
        <v>3615</v>
      </c>
      <c r="B2192" s="2">
        <v>46024</v>
      </c>
      <c r="C2192" t="s">
        <v>1436</v>
      </c>
      <c r="D2192" t="s">
        <v>49</v>
      </c>
      <c r="E2192" t="s">
        <v>119</v>
      </c>
      <c r="F2192">
        <v>5</v>
      </c>
      <c r="G2192">
        <v>0.1</v>
      </c>
      <c r="H2192">
        <v>40500</v>
      </c>
      <c r="I2192">
        <v>9166.43</v>
      </c>
      <c r="J2192" t="s">
        <v>39</v>
      </c>
      <c r="K2192" t="s">
        <v>27</v>
      </c>
      <c r="L2192">
        <v>8100</v>
      </c>
      <c r="M2192">
        <v>22.633160493827159</v>
      </c>
      <c r="N2192" t="s">
        <v>8</v>
      </c>
      <c r="O2192" t="s">
        <v>697</v>
      </c>
      <c r="P2192" t="s">
        <v>83</v>
      </c>
      <c r="Q2192" t="s">
        <v>30</v>
      </c>
      <c r="R2192" t="s">
        <v>60</v>
      </c>
      <c r="S2192" t="s">
        <v>61</v>
      </c>
      <c r="T2192" t="s">
        <v>1437</v>
      </c>
      <c r="U2192" t="s">
        <v>46</v>
      </c>
      <c r="V2192">
        <v>1833.2860000000001</v>
      </c>
    </row>
    <row r="2193" spans="1:22" x14ac:dyDescent="0.3">
      <c r="A2193" t="s">
        <v>3616</v>
      </c>
      <c r="B2193" s="2">
        <v>46192</v>
      </c>
      <c r="C2193" t="s">
        <v>1493</v>
      </c>
      <c r="D2193" t="s">
        <v>70</v>
      </c>
      <c r="E2193" t="s">
        <v>165</v>
      </c>
      <c r="F2193">
        <v>2</v>
      </c>
      <c r="G2193">
        <v>0</v>
      </c>
      <c r="H2193">
        <v>5000</v>
      </c>
      <c r="I2193">
        <v>1600</v>
      </c>
      <c r="J2193" t="s">
        <v>51</v>
      </c>
      <c r="K2193" t="s">
        <v>40</v>
      </c>
      <c r="L2193">
        <v>2500</v>
      </c>
      <c r="M2193">
        <v>32</v>
      </c>
      <c r="N2193" t="s">
        <v>8</v>
      </c>
      <c r="O2193" t="s">
        <v>1494</v>
      </c>
      <c r="P2193" t="s">
        <v>73</v>
      </c>
      <c r="Q2193" t="s">
        <v>131</v>
      </c>
      <c r="R2193" t="s">
        <v>449</v>
      </c>
      <c r="S2193" t="s">
        <v>450</v>
      </c>
      <c r="T2193" t="s">
        <v>1495</v>
      </c>
      <c r="U2193" t="s">
        <v>34</v>
      </c>
      <c r="V2193">
        <v>800</v>
      </c>
    </row>
    <row r="2194" spans="1:22" x14ac:dyDescent="0.3">
      <c r="A2194" t="s">
        <v>3617</v>
      </c>
      <c r="B2194" s="2">
        <v>46030</v>
      </c>
      <c r="C2194" t="s">
        <v>1744</v>
      </c>
      <c r="D2194" t="s">
        <v>24</v>
      </c>
      <c r="E2194" t="s">
        <v>242</v>
      </c>
      <c r="F2194">
        <v>1</v>
      </c>
      <c r="G2194">
        <v>0</v>
      </c>
      <c r="H2194">
        <v>450</v>
      </c>
      <c r="I2194">
        <v>110</v>
      </c>
      <c r="J2194" t="s">
        <v>26</v>
      </c>
      <c r="K2194" t="s">
        <v>40</v>
      </c>
      <c r="L2194">
        <v>450</v>
      </c>
      <c r="M2194">
        <v>24.444444444444439</v>
      </c>
      <c r="N2194" t="s">
        <v>8</v>
      </c>
      <c r="O2194" t="s">
        <v>922</v>
      </c>
      <c r="P2194" t="s">
        <v>29</v>
      </c>
      <c r="Q2194" t="s">
        <v>74</v>
      </c>
      <c r="R2194" t="s">
        <v>237</v>
      </c>
      <c r="S2194" t="s">
        <v>238</v>
      </c>
      <c r="T2194" t="s">
        <v>1745</v>
      </c>
      <c r="U2194" t="s">
        <v>105</v>
      </c>
      <c r="V2194">
        <v>110</v>
      </c>
    </row>
    <row r="2195" spans="1:22" x14ac:dyDescent="0.3">
      <c r="A2195" t="s">
        <v>3618</v>
      </c>
      <c r="B2195" s="2">
        <v>45922</v>
      </c>
      <c r="C2195" t="s">
        <v>1273</v>
      </c>
      <c r="D2195" t="s">
        <v>37</v>
      </c>
      <c r="E2195" t="s">
        <v>190</v>
      </c>
      <c r="F2195">
        <v>2</v>
      </c>
      <c r="G2195">
        <v>0</v>
      </c>
      <c r="H2195">
        <v>8400</v>
      </c>
      <c r="I2195">
        <v>95.45</v>
      </c>
      <c r="J2195" t="s">
        <v>39</v>
      </c>
      <c r="K2195" t="s">
        <v>80</v>
      </c>
      <c r="L2195">
        <v>4200</v>
      </c>
      <c r="M2195">
        <v>1.136309523809524</v>
      </c>
      <c r="N2195" t="s">
        <v>8</v>
      </c>
      <c r="O2195" t="s">
        <v>618</v>
      </c>
      <c r="P2195" t="s">
        <v>83</v>
      </c>
      <c r="Q2195" t="s">
        <v>74</v>
      </c>
      <c r="R2195" t="s">
        <v>237</v>
      </c>
      <c r="S2195" t="s">
        <v>238</v>
      </c>
      <c r="T2195" t="s">
        <v>1274</v>
      </c>
      <c r="U2195" t="s">
        <v>100</v>
      </c>
      <c r="V2195">
        <v>47.725000000000001</v>
      </c>
    </row>
    <row r="2196" spans="1:22" x14ac:dyDescent="0.3">
      <c r="A2196" t="s">
        <v>3619</v>
      </c>
      <c r="B2196" s="2">
        <v>46016</v>
      </c>
      <c r="C2196" t="s">
        <v>3593</v>
      </c>
      <c r="D2196" t="s">
        <v>37</v>
      </c>
      <c r="E2196" t="s">
        <v>170</v>
      </c>
      <c r="F2196">
        <v>3</v>
      </c>
      <c r="G2196">
        <v>0.15</v>
      </c>
      <c r="H2196">
        <v>3570</v>
      </c>
      <c r="I2196">
        <v>976.75</v>
      </c>
      <c r="J2196" t="s">
        <v>65</v>
      </c>
      <c r="K2196" t="s">
        <v>40</v>
      </c>
      <c r="L2196">
        <v>1190</v>
      </c>
      <c r="M2196">
        <v>27.35994397759104</v>
      </c>
      <c r="N2196" t="s">
        <v>8</v>
      </c>
      <c r="O2196" t="s">
        <v>439</v>
      </c>
      <c r="P2196" t="s">
        <v>29</v>
      </c>
      <c r="Q2196" t="s">
        <v>42</v>
      </c>
      <c r="R2196" t="s">
        <v>121</v>
      </c>
      <c r="S2196" t="s">
        <v>44</v>
      </c>
      <c r="T2196" t="s">
        <v>1801</v>
      </c>
      <c r="U2196" t="s">
        <v>46</v>
      </c>
      <c r="V2196">
        <v>325.58333333333331</v>
      </c>
    </row>
    <row r="2197" spans="1:22" x14ac:dyDescent="0.3">
      <c r="A2197" t="s">
        <v>3620</v>
      </c>
      <c r="B2197" s="2">
        <v>45980</v>
      </c>
      <c r="C2197" t="s">
        <v>621</v>
      </c>
      <c r="D2197" t="s">
        <v>70</v>
      </c>
      <c r="E2197" t="s">
        <v>129</v>
      </c>
      <c r="F2197">
        <v>2</v>
      </c>
      <c r="G2197">
        <v>0.2</v>
      </c>
      <c r="H2197">
        <v>88000</v>
      </c>
      <c r="I2197">
        <v>-32528.080000000002</v>
      </c>
      <c r="J2197" t="s">
        <v>51</v>
      </c>
      <c r="K2197" t="s">
        <v>80</v>
      </c>
      <c r="L2197">
        <v>44000</v>
      </c>
      <c r="M2197">
        <v>-36.963727272727283</v>
      </c>
      <c r="N2197" t="s">
        <v>81</v>
      </c>
      <c r="O2197" t="s">
        <v>622</v>
      </c>
      <c r="P2197" t="s">
        <v>29</v>
      </c>
      <c r="Q2197" t="s">
        <v>74</v>
      </c>
      <c r="R2197" t="s">
        <v>115</v>
      </c>
      <c r="S2197" t="s">
        <v>115</v>
      </c>
      <c r="T2197" t="s">
        <v>623</v>
      </c>
      <c r="U2197" t="s">
        <v>100</v>
      </c>
      <c r="V2197">
        <v>-16264.04</v>
      </c>
    </row>
    <row r="2198" spans="1:22" x14ac:dyDescent="0.3">
      <c r="A2198" t="s">
        <v>3621</v>
      </c>
      <c r="B2198" s="2">
        <v>45884</v>
      </c>
      <c r="C2198" t="s">
        <v>1017</v>
      </c>
      <c r="D2198" t="s">
        <v>70</v>
      </c>
      <c r="E2198" t="s">
        <v>129</v>
      </c>
      <c r="F2198">
        <v>4</v>
      </c>
      <c r="G2198">
        <v>0.05</v>
      </c>
      <c r="H2198">
        <v>209000</v>
      </c>
      <c r="I2198">
        <v>30622.01</v>
      </c>
      <c r="J2198" t="s">
        <v>51</v>
      </c>
      <c r="K2198" t="s">
        <v>40</v>
      </c>
      <c r="L2198">
        <v>52250</v>
      </c>
      <c r="M2198">
        <v>14.651679425837321</v>
      </c>
      <c r="N2198" t="s">
        <v>8</v>
      </c>
      <c r="O2198" t="s">
        <v>1018</v>
      </c>
      <c r="P2198" t="s">
        <v>83</v>
      </c>
      <c r="Q2198" t="s">
        <v>30</v>
      </c>
      <c r="R2198" t="s">
        <v>98</v>
      </c>
      <c r="S2198" t="s">
        <v>54</v>
      </c>
      <c r="T2198" t="s">
        <v>1019</v>
      </c>
      <c r="U2198" t="s">
        <v>46</v>
      </c>
      <c r="V2198">
        <v>7655.5024999999996</v>
      </c>
    </row>
    <row r="2199" spans="1:22" x14ac:dyDescent="0.3">
      <c r="A2199" t="s">
        <v>3622</v>
      </c>
      <c r="B2199" s="2">
        <v>45853</v>
      </c>
      <c r="C2199" t="s">
        <v>1582</v>
      </c>
      <c r="D2199" t="s">
        <v>49</v>
      </c>
      <c r="E2199" t="s">
        <v>50</v>
      </c>
      <c r="F2199">
        <v>6</v>
      </c>
      <c r="G2199">
        <v>0.2</v>
      </c>
      <c r="H2199">
        <v>62400</v>
      </c>
      <c r="I2199">
        <v>7172.89</v>
      </c>
      <c r="J2199" t="s">
        <v>39</v>
      </c>
      <c r="K2199" t="s">
        <v>40</v>
      </c>
      <c r="L2199">
        <v>10400</v>
      </c>
      <c r="M2199">
        <v>11.49501602564103</v>
      </c>
      <c r="N2199" t="s">
        <v>8</v>
      </c>
      <c r="O2199" t="s">
        <v>1583</v>
      </c>
      <c r="P2199" t="s">
        <v>73</v>
      </c>
      <c r="Q2199" t="s">
        <v>30</v>
      </c>
      <c r="R2199" t="s">
        <v>53</v>
      </c>
      <c r="S2199" t="s">
        <v>54</v>
      </c>
      <c r="T2199" t="s">
        <v>370</v>
      </c>
      <c r="U2199" t="s">
        <v>105</v>
      </c>
      <c r="V2199">
        <v>1195.481666666667</v>
      </c>
    </row>
    <row r="2200" spans="1:22" x14ac:dyDescent="0.3">
      <c r="A2200" t="s">
        <v>3623</v>
      </c>
      <c r="B2200" s="2">
        <v>45903</v>
      </c>
      <c r="C2200" t="s">
        <v>678</v>
      </c>
      <c r="D2200" t="s">
        <v>70</v>
      </c>
      <c r="E2200" t="s">
        <v>71</v>
      </c>
      <c r="F2200">
        <v>1</v>
      </c>
      <c r="G2200">
        <v>0</v>
      </c>
      <c r="H2200">
        <v>18000</v>
      </c>
      <c r="I2200">
        <v>3500</v>
      </c>
      <c r="J2200" t="s">
        <v>51</v>
      </c>
      <c r="K2200" t="s">
        <v>40</v>
      </c>
      <c r="L2200">
        <v>18000</v>
      </c>
      <c r="M2200">
        <v>19.44444444444445</v>
      </c>
      <c r="N2200" t="s">
        <v>8</v>
      </c>
      <c r="O2200" t="s">
        <v>657</v>
      </c>
      <c r="P2200" t="s">
        <v>83</v>
      </c>
      <c r="Q2200" t="s">
        <v>30</v>
      </c>
      <c r="R2200" t="s">
        <v>31</v>
      </c>
      <c r="S2200" t="s">
        <v>32</v>
      </c>
      <c r="T2200" t="s">
        <v>679</v>
      </c>
      <c r="U2200" t="s">
        <v>100</v>
      </c>
      <c r="V2200">
        <v>3500</v>
      </c>
    </row>
    <row r="2201" spans="1:22" x14ac:dyDescent="0.3">
      <c r="A2201" t="s">
        <v>3624</v>
      </c>
      <c r="B2201" s="2">
        <v>45953</v>
      </c>
      <c r="C2201" t="s">
        <v>1246</v>
      </c>
      <c r="D2201" t="s">
        <v>37</v>
      </c>
      <c r="E2201" t="s">
        <v>190</v>
      </c>
      <c r="F2201">
        <v>1</v>
      </c>
      <c r="G2201">
        <v>0</v>
      </c>
      <c r="H2201">
        <v>4200</v>
      </c>
      <c r="I2201">
        <v>1200</v>
      </c>
      <c r="J2201" t="s">
        <v>39</v>
      </c>
      <c r="K2201" t="s">
        <v>40</v>
      </c>
      <c r="L2201">
        <v>4200</v>
      </c>
      <c r="M2201">
        <v>28.571428571428569</v>
      </c>
      <c r="N2201" t="s">
        <v>8</v>
      </c>
      <c r="O2201" t="s">
        <v>917</v>
      </c>
      <c r="P2201" t="s">
        <v>29</v>
      </c>
      <c r="Q2201" t="s">
        <v>131</v>
      </c>
      <c r="R2201" t="s">
        <v>289</v>
      </c>
      <c r="S2201" t="s">
        <v>290</v>
      </c>
      <c r="T2201" t="s">
        <v>1247</v>
      </c>
      <c r="U2201" t="s">
        <v>46</v>
      </c>
      <c r="V2201">
        <v>1200</v>
      </c>
    </row>
    <row r="2202" spans="1:22" x14ac:dyDescent="0.3">
      <c r="A2202" t="s">
        <v>3625</v>
      </c>
      <c r="B2202" s="2">
        <v>46264</v>
      </c>
      <c r="C2202" t="s">
        <v>102</v>
      </c>
      <c r="D2202" t="s">
        <v>37</v>
      </c>
      <c r="E2202" t="s">
        <v>190</v>
      </c>
      <c r="F2202">
        <v>1</v>
      </c>
      <c r="G2202">
        <v>0</v>
      </c>
      <c r="H2202">
        <v>4200</v>
      </c>
      <c r="I2202">
        <v>-246.64</v>
      </c>
      <c r="J2202" t="s">
        <v>39</v>
      </c>
      <c r="K2202" t="s">
        <v>80</v>
      </c>
      <c r="L2202">
        <v>4200</v>
      </c>
      <c r="M2202">
        <v>-5.8723809523809516</v>
      </c>
      <c r="N2202" t="s">
        <v>81</v>
      </c>
      <c r="O2202" t="s">
        <v>103</v>
      </c>
      <c r="P2202" t="s">
        <v>29</v>
      </c>
      <c r="Q2202" t="s">
        <v>30</v>
      </c>
      <c r="R2202" t="s">
        <v>98</v>
      </c>
      <c r="S2202" t="s">
        <v>54</v>
      </c>
      <c r="T2202" t="s">
        <v>104</v>
      </c>
      <c r="U2202" t="s">
        <v>105</v>
      </c>
      <c r="V2202">
        <v>-246.64</v>
      </c>
    </row>
    <row r="2203" spans="1:22" x14ac:dyDescent="0.3">
      <c r="A2203" t="s">
        <v>3626</v>
      </c>
      <c r="B2203" s="2">
        <v>45982</v>
      </c>
      <c r="C2203" t="s">
        <v>301</v>
      </c>
      <c r="D2203" t="s">
        <v>70</v>
      </c>
      <c r="E2203" t="s">
        <v>71</v>
      </c>
      <c r="F2203">
        <v>5</v>
      </c>
      <c r="G2203">
        <v>0.1</v>
      </c>
      <c r="H2203">
        <v>81000</v>
      </c>
      <c r="I2203">
        <v>10099.629999999999</v>
      </c>
      <c r="J2203" t="s">
        <v>51</v>
      </c>
      <c r="K2203" t="s">
        <v>40</v>
      </c>
      <c r="L2203">
        <v>16200</v>
      </c>
      <c r="M2203">
        <v>12.46867901234568</v>
      </c>
      <c r="N2203" t="s">
        <v>8</v>
      </c>
      <c r="O2203" t="s">
        <v>302</v>
      </c>
      <c r="P2203" t="s">
        <v>29</v>
      </c>
      <c r="Q2203" t="s">
        <v>42</v>
      </c>
      <c r="R2203" t="s">
        <v>110</v>
      </c>
      <c r="S2203" t="s">
        <v>111</v>
      </c>
      <c r="T2203" t="s">
        <v>303</v>
      </c>
      <c r="U2203" t="s">
        <v>46</v>
      </c>
      <c r="V2203">
        <v>2019.9259999999999</v>
      </c>
    </row>
    <row r="2204" spans="1:22" x14ac:dyDescent="0.3">
      <c r="A2204" t="s">
        <v>3627</v>
      </c>
      <c r="B2204" s="2">
        <v>46153</v>
      </c>
      <c r="C2204" t="s">
        <v>863</v>
      </c>
      <c r="D2204" t="s">
        <v>24</v>
      </c>
      <c r="E2204" t="s">
        <v>87</v>
      </c>
      <c r="F2204">
        <v>4</v>
      </c>
      <c r="G2204">
        <v>0.05</v>
      </c>
      <c r="H2204">
        <v>1330</v>
      </c>
      <c r="I2204">
        <v>444.12</v>
      </c>
      <c r="J2204" t="s">
        <v>26</v>
      </c>
      <c r="K2204" t="s">
        <v>40</v>
      </c>
      <c r="L2204">
        <v>332.5</v>
      </c>
      <c r="M2204">
        <v>33.39248120300752</v>
      </c>
      <c r="N2204" t="s">
        <v>8</v>
      </c>
      <c r="O2204" t="s">
        <v>187</v>
      </c>
      <c r="P2204" t="s">
        <v>73</v>
      </c>
      <c r="Q2204" t="s">
        <v>30</v>
      </c>
      <c r="R2204" t="s">
        <v>53</v>
      </c>
      <c r="S2204" t="s">
        <v>54</v>
      </c>
      <c r="T2204" t="s">
        <v>864</v>
      </c>
      <c r="U2204" t="s">
        <v>34</v>
      </c>
      <c r="V2204">
        <v>111.03</v>
      </c>
    </row>
    <row r="2205" spans="1:22" x14ac:dyDescent="0.3">
      <c r="A2205" t="s">
        <v>3628</v>
      </c>
      <c r="B2205" s="2">
        <v>45897</v>
      </c>
      <c r="C2205" t="s">
        <v>962</v>
      </c>
      <c r="D2205" t="s">
        <v>49</v>
      </c>
      <c r="E2205" t="s">
        <v>79</v>
      </c>
      <c r="F2205">
        <v>3</v>
      </c>
      <c r="G2205">
        <v>0.1</v>
      </c>
      <c r="H2205">
        <v>29700</v>
      </c>
      <c r="I2205">
        <v>5342.38</v>
      </c>
      <c r="J2205" t="s">
        <v>51</v>
      </c>
      <c r="K2205" t="s">
        <v>40</v>
      </c>
      <c r="L2205">
        <v>9900</v>
      </c>
      <c r="M2205">
        <v>17.987811447811449</v>
      </c>
      <c r="N2205" t="s">
        <v>8</v>
      </c>
      <c r="O2205" t="s">
        <v>963</v>
      </c>
      <c r="P2205" t="s">
        <v>29</v>
      </c>
      <c r="Q2205" t="s">
        <v>42</v>
      </c>
      <c r="R2205" t="s">
        <v>214</v>
      </c>
      <c r="S2205" t="s">
        <v>111</v>
      </c>
      <c r="T2205" t="s">
        <v>964</v>
      </c>
      <c r="U2205" t="s">
        <v>100</v>
      </c>
      <c r="V2205">
        <v>1780.7933333333331</v>
      </c>
    </row>
    <row r="2206" spans="1:22" x14ac:dyDescent="0.3">
      <c r="A2206" t="s">
        <v>3629</v>
      </c>
      <c r="B2206" s="2">
        <v>46040</v>
      </c>
      <c r="C2206" t="s">
        <v>442</v>
      </c>
      <c r="D2206" t="s">
        <v>24</v>
      </c>
      <c r="E2206" t="s">
        <v>242</v>
      </c>
      <c r="F2206">
        <v>2</v>
      </c>
      <c r="G2206">
        <v>0.1</v>
      </c>
      <c r="H2206">
        <v>810</v>
      </c>
      <c r="I2206">
        <v>-425.29</v>
      </c>
      <c r="J2206" t="s">
        <v>39</v>
      </c>
      <c r="K2206" t="s">
        <v>434</v>
      </c>
      <c r="L2206">
        <v>405</v>
      </c>
      <c r="M2206">
        <v>-52.504938271604942</v>
      </c>
      <c r="N2206" t="s">
        <v>81</v>
      </c>
      <c r="O2206" t="s">
        <v>443</v>
      </c>
      <c r="P2206" t="s">
        <v>83</v>
      </c>
      <c r="Q2206" t="s">
        <v>42</v>
      </c>
      <c r="R2206" t="s">
        <v>444</v>
      </c>
      <c r="S2206" t="s">
        <v>44</v>
      </c>
      <c r="T2206" t="s">
        <v>445</v>
      </c>
      <c r="U2206" t="s">
        <v>46</v>
      </c>
      <c r="V2206">
        <v>-212.64500000000001</v>
      </c>
    </row>
    <row r="2207" spans="1:22" x14ac:dyDescent="0.3">
      <c r="A2207" t="s">
        <v>3630</v>
      </c>
      <c r="B2207" s="2">
        <v>46239</v>
      </c>
      <c r="C2207" t="s">
        <v>2014</v>
      </c>
      <c r="D2207" t="s">
        <v>24</v>
      </c>
      <c r="E2207" t="s">
        <v>92</v>
      </c>
      <c r="F2207">
        <v>3</v>
      </c>
      <c r="G2207">
        <v>0</v>
      </c>
      <c r="H2207">
        <v>2700</v>
      </c>
      <c r="I2207">
        <v>840</v>
      </c>
      <c r="J2207" t="s">
        <v>65</v>
      </c>
      <c r="K2207" t="s">
        <v>40</v>
      </c>
      <c r="L2207">
        <v>900</v>
      </c>
      <c r="M2207">
        <v>31.111111111111111</v>
      </c>
      <c r="N2207" t="s">
        <v>8</v>
      </c>
      <c r="O2207" t="s">
        <v>911</v>
      </c>
      <c r="P2207" t="s">
        <v>29</v>
      </c>
      <c r="Q2207" t="s">
        <v>42</v>
      </c>
      <c r="R2207" t="s">
        <v>214</v>
      </c>
      <c r="S2207" t="s">
        <v>111</v>
      </c>
      <c r="T2207" t="s">
        <v>2015</v>
      </c>
      <c r="U2207" t="s">
        <v>105</v>
      </c>
      <c r="V2207">
        <v>280</v>
      </c>
    </row>
    <row r="2208" spans="1:22" x14ac:dyDescent="0.3">
      <c r="A2208" t="s">
        <v>3631</v>
      </c>
      <c r="B2208" s="2">
        <v>45947</v>
      </c>
      <c r="C2208" t="s">
        <v>3532</v>
      </c>
      <c r="D2208" t="s">
        <v>24</v>
      </c>
      <c r="E2208" t="s">
        <v>87</v>
      </c>
      <c r="F2208">
        <v>1</v>
      </c>
      <c r="G2208">
        <v>0.15</v>
      </c>
      <c r="H2208">
        <v>297.5</v>
      </c>
      <c r="I2208">
        <v>86.29</v>
      </c>
      <c r="J2208" t="s">
        <v>65</v>
      </c>
      <c r="K2208" t="s">
        <v>40</v>
      </c>
      <c r="L2208">
        <v>297.5</v>
      </c>
      <c r="M2208">
        <v>29.00504201680673</v>
      </c>
      <c r="N2208" t="s">
        <v>8</v>
      </c>
      <c r="O2208" t="s">
        <v>3533</v>
      </c>
      <c r="P2208" t="s">
        <v>29</v>
      </c>
      <c r="Q2208" t="s">
        <v>131</v>
      </c>
      <c r="R2208" t="s">
        <v>132</v>
      </c>
      <c r="S2208" t="s">
        <v>133</v>
      </c>
      <c r="T2208" t="s">
        <v>3534</v>
      </c>
      <c r="U2208" t="s">
        <v>34</v>
      </c>
      <c r="V2208">
        <v>86.29</v>
      </c>
    </row>
    <row r="2209" spans="1:22" x14ac:dyDescent="0.3">
      <c r="A2209" t="s">
        <v>3632</v>
      </c>
      <c r="B2209" s="2">
        <v>46197</v>
      </c>
      <c r="C2209" t="s">
        <v>221</v>
      </c>
      <c r="D2209" t="s">
        <v>49</v>
      </c>
      <c r="E2209" t="s">
        <v>58</v>
      </c>
      <c r="F2209">
        <v>5</v>
      </c>
      <c r="G2209">
        <v>0.1</v>
      </c>
      <c r="H2209">
        <v>67500</v>
      </c>
      <c r="I2209">
        <v>12818.44</v>
      </c>
      <c r="J2209" t="s">
        <v>26</v>
      </c>
      <c r="K2209" t="s">
        <v>40</v>
      </c>
      <c r="L2209">
        <v>13500</v>
      </c>
      <c r="M2209">
        <v>18.990281481481482</v>
      </c>
      <c r="N2209" t="s">
        <v>8</v>
      </c>
      <c r="O2209" t="s">
        <v>222</v>
      </c>
      <c r="P2209" t="s">
        <v>29</v>
      </c>
      <c r="Q2209" t="s">
        <v>30</v>
      </c>
      <c r="R2209" t="s">
        <v>53</v>
      </c>
      <c r="S2209" t="s">
        <v>54</v>
      </c>
      <c r="T2209" t="s">
        <v>223</v>
      </c>
      <c r="U2209" t="s">
        <v>100</v>
      </c>
      <c r="V2209">
        <v>2563.6880000000001</v>
      </c>
    </row>
    <row r="2210" spans="1:22" x14ac:dyDescent="0.3">
      <c r="A2210" t="s">
        <v>3633</v>
      </c>
      <c r="B2210" s="2">
        <v>45903</v>
      </c>
      <c r="C2210" t="s">
        <v>1319</v>
      </c>
      <c r="D2210" t="s">
        <v>70</v>
      </c>
      <c r="E2210" t="s">
        <v>71</v>
      </c>
      <c r="F2210">
        <v>2</v>
      </c>
      <c r="G2210">
        <v>0.15</v>
      </c>
      <c r="H2210">
        <v>30600</v>
      </c>
      <c r="I2210">
        <v>2657.37</v>
      </c>
      <c r="J2210" t="s">
        <v>26</v>
      </c>
      <c r="K2210" t="s">
        <v>40</v>
      </c>
      <c r="L2210">
        <v>15300</v>
      </c>
      <c r="M2210">
        <v>8.6842156862745092</v>
      </c>
      <c r="N2210" t="s">
        <v>8</v>
      </c>
      <c r="O2210" t="s">
        <v>166</v>
      </c>
      <c r="P2210" t="s">
        <v>83</v>
      </c>
      <c r="Q2210" t="s">
        <v>42</v>
      </c>
      <c r="R2210" t="s">
        <v>110</v>
      </c>
      <c r="S2210" t="s">
        <v>111</v>
      </c>
      <c r="T2210" t="s">
        <v>1320</v>
      </c>
      <c r="U2210" t="s">
        <v>34</v>
      </c>
      <c r="V2210">
        <v>1328.6849999999999</v>
      </c>
    </row>
    <row r="2211" spans="1:22" x14ac:dyDescent="0.3">
      <c r="A2211" t="s">
        <v>3634</v>
      </c>
      <c r="B2211" s="2">
        <v>46185</v>
      </c>
      <c r="C2211" t="s">
        <v>2126</v>
      </c>
      <c r="D2211" t="s">
        <v>24</v>
      </c>
      <c r="E2211" t="s">
        <v>87</v>
      </c>
      <c r="F2211">
        <v>1</v>
      </c>
      <c r="G2211">
        <v>0.15</v>
      </c>
      <c r="H2211">
        <v>297.5</v>
      </c>
      <c r="I2211">
        <v>95.97</v>
      </c>
      <c r="J2211" t="s">
        <v>26</v>
      </c>
      <c r="K2211" t="s">
        <v>40</v>
      </c>
      <c r="L2211">
        <v>297.5</v>
      </c>
      <c r="M2211">
        <v>32.258823529411757</v>
      </c>
      <c r="N2211" t="s">
        <v>8</v>
      </c>
      <c r="O2211" t="s">
        <v>2127</v>
      </c>
      <c r="P2211" t="s">
        <v>83</v>
      </c>
      <c r="Q2211" t="s">
        <v>131</v>
      </c>
      <c r="R2211" t="s">
        <v>200</v>
      </c>
      <c r="S2211" t="s">
        <v>201</v>
      </c>
      <c r="T2211" t="s">
        <v>2128</v>
      </c>
      <c r="U2211" t="s">
        <v>46</v>
      </c>
      <c r="V2211">
        <v>95.97</v>
      </c>
    </row>
    <row r="2212" spans="1:22" x14ac:dyDescent="0.3">
      <c r="A2212" t="s">
        <v>3635</v>
      </c>
      <c r="B2212" s="2">
        <v>46043</v>
      </c>
      <c r="C2212" t="s">
        <v>1110</v>
      </c>
      <c r="D2212" t="s">
        <v>24</v>
      </c>
      <c r="E2212" t="s">
        <v>87</v>
      </c>
      <c r="F2212">
        <v>1</v>
      </c>
      <c r="G2212">
        <v>0.15</v>
      </c>
      <c r="H2212">
        <v>297.5</v>
      </c>
      <c r="I2212">
        <v>87.66</v>
      </c>
      <c r="J2212" t="s">
        <v>51</v>
      </c>
      <c r="K2212" t="s">
        <v>40</v>
      </c>
      <c r="L2212">
        <v>297.5</v>
      </c>
      <c r="M2212">
        <v>29.46554621848739</v>
      </c>
      <c r="N2212" t="s">
        <v>8</v>
      </c>
      <c r="O2212" t="s">
        <v>1111</v>
      </c>
      <c r="P2212" t="s">
        <v>29</v>
      </c>
      <c r="Q2212" t="s">
        <v>42</v>
      </c>
      <c r="R2212" t="s">
        <v>110</v>
      </c>
      <c r="S2212" t="s">
        <v>111</v>
      </c>
      <c r="T2212" t="s">
        <v>1112</v>
      </c>
      <c r="U2212" t="s">
        <v>34</v>
      </c>
      <c r="V2212">
        <v>87.66</v>
      </c>
    </row>
    <row r="2213" spans="1:22" x14ac:dyDescent="0.3">
      <c r="A2213" t="s">
        <v>3636</v>
      </c>
      <c r="B2213" s="2">
        <v>46124</v>
      </c>
      <c r="C2213" t="s">
        <v>1046</v>
      </c>
      <c r="D2213" t="s">
        <v>70</v>
      </c>
      <c r="E2213" t="s">
        <v>108</v>
      </c>
      <c r="F2213">
        <v>3</v>
      </c>
      <c r="G2213">
        <v>0.1</v>
      </c>
      <c r="H2213">
        <v>12150</v>
      </c>
      <c r="I2213">
        <v>3802.01</v>
      </c>
      <c r="J2213" t="s">
        <v>39</v>
      </c>
      <c r="K2213" t="s">
        <v>27</v>
      </c>
      <c r="L2213">
        <v>4050</v>
      </c>
      <c r="M2213">
        <v>31.2922633744856</v>
      </c>
      <c r="N2213" t="s">
        <v>8</v>
      </c>
      <c r="O2213" t="s">
        <v>1047</v>
      </c>
      <c r="P2213" t="s">
        <v>29</v>
      </c>
      <c r="Q2213" t="s">
        <v>42</v>
      </c>
      <c r="R2213" t="s">
        <v>121</v>
      </c>
      <c r="S2213" t="s">
        <v>44</v>
      </c>
      <c r="T2213" t="s">
        <v>1048</v>
      </c>
      <c r="U2213" t="s">
        <v>100</v>
      </c>
      <c r="V2213">
        <v>1267.336666666667</v>
      </c>
    </row>
    <row r="2214" spans="1:22" x14ac:dyDescent="0.3">
      <c r="A2214" t="s">
        <v>3637</v>
      </c>
      <c r="B2214" s="2">
        <v>46015</v>
      </c>
      <c r="C2214" t="s">
        <v>3638</v>
      </c>
      <c r="D2214" t="s">
        <v>24</v>
      </c>
      <c r="E2214" t="s">
        <v>242</v>
      </c>
      <c r="F2214">
        <v>2</v>
      </c>
      <c r="G2214">
        <v>0.05</v>
      </c>
      <c r="H2214">
        <v>855</v>
      </c>
      <c r="I2214">
        <v>188.54</v>
      </c>
      <c r="J2214" t="s">
        <v>26</v>
      </c>
      <c r="K2214" t="s">
        <v>40</v>
      </c>
      <c r="L2214">
        <v>427.5</v>
      </c>
      <c r="M2214">
        <v>22.051461988304091</v>
      </c>
      <c r="N2214" t="s">
        <v>8</v>
      </c>
      <c r="O2214" t="s">
        <v>1768</v>
      </c>
      <c r="P2214" t="s">
        <v>73</v>
      </c>
      <c r="Q2214" t="s">
        <v>74</v>
      </c>
      <c r="R2214" t="s">
        <v>237</v>
      </c>
      <c r="S2214" t="s">
        <v>238</v>
      </c>
      <c r="T2214" t="s">
        <v>1619</v>
      </c>
      <c r="U2214" t="s">
        <v>100</v>
      </c>
      <c r="V2214">
        <v>94.27</v>
      </c>
    </row>
    <row r="2215" spans="1:22" x14ac:dyDescent="0.3">
      <c r="A2215" t="s">
        <v>3639</v>
      </c>
      <c r="B2215" s="2">
        <v>46134</v>
      </c>
      <c r="C2215" t="s">
        <v>3640</v>
      </c>
      <c r="D2215" t="s">
        <v>70</v>
      </c>
      <c r="E2215" t="s">
        <v>129</v>
      </c>
      <c r="F2215">
        <v>1</v>
      </c>
      <c r="G2215">
        <v>0.1</v>
      </c>
      <c r="H2215">
        <v>49500</v>
      </c>
      <c r="I2215">
        <v>5806.48</v>
      </c>
      <c r="J2215" t="s">
        <v>65</v>
      </c>
      <c r="K2215" t="s">
        <v>40</v>
      </c>
      <c r="L2215">
        <v>49500</v>
      </c>
      <c r="M2215">
        <v>11.730262626262631</v>
      </c>
      <c r="N2215" t="s">
        <v>8</v>
      </c>
      <c r="O2215" t="s">
        <v>692</v>
      </c>
      <c r="P2215" t="s">
        <v>73</v>
      </c>
      <c r="Q2215" t="s">
        <v>42</v>
      </c>
      <c r="R2215" t="s">
        <v>214</v>
      </c>
      <c r="S2215" t="s">
        <v>111</v>
      </c>
      <c r="T2215" t="s">
        <v>62</v>
      </c>
      <c r="U2215" t="s">
        <v>46</v>
      </c>
      <c r="V2215">
        <v>5806.48</v>
      </c>
    </row>
    <row r="2216" spans="1:22" x14ac:dyDescent="0.3">
      <c r="A2216" t="s">
        <v>3641</v>
      </c>
      <c r="B2216" s="2">
        <v>45956</v>
      </c>
      <c r="C2216" t="s">
        <v>3261</v>
      </c>
      <c r="D2216" t="s">
        <v>70</v>
      </c>
      <c r="E2216" t="s">
        <v>129</v>
      </c>
      <c r="F2216">
        <v>4</v>
      </c>
      <c r="G2216">
        <v>0</v>
      </c>
      <c r="H2216">
        <v>220000</v>
      </c>
      <c r="I2216">
        <v>36000</v>
      </c>
      <c r="J2216" t="s">
        <v>26</v>
      </c>
      <c r="K2216" t="s">
        <v>40</v>
      </c>
      <c r="L2216">
        <v>55000</v>
      </c>
      <c r="M2216">
        <v>16.36363636363636</v>
      </c>
      <c r="N2216" t="s">
        <v>8</v>
      </c>
      <c r="O2216" t="s">
        <v>3262</v>
      </c>
      <c r="P2216" t="s">
        <v>29</v>
      </c>
      <c r="Q2216" t="s">
        <v>131</v>
      </c>
      <c r="R2216" t="s">
        <v>449</v>
      </c>
      <c r="S2216" t="s">
        <v>450</v>
      </c>
      <c r="T2216" t="s">
        <v>3263</v>
      </c>
      <c r="U2216" t="s">
        <v>105</v>
      </c>
      <c r="V2216">
        <v>9000</v>
      </c>
    </row>
    <row r="2217" spans="1:22" x14ac:dyDescent="0.3">
      <c r="A2217" t="s">
        <v>3642</v>
      </c>
      <c r="B2217" s="2">
        <v>46007</v>
      </c>
      <c r="C2217" t="s">
        <v>128</v>
      </c>
      <c r="D2217" t="s">
        <v>70</v>
      </c>
      <c r="E2217" t="s">
        <v>165</v>
      </c>
      <c r="F2217">
        <v>6</v>
      </c>
      <c r="G2217">
        <v>0</v>
      </c>
      <c r="H2217">
        <v>15000</v>
      </c>
      <c r="I2217">
        <v>4800</v>
      </c>
      <c r="J2217" t="s">
        <v>51</v>
      </c>
      <c r="K2217" t="s">
        <v>40</v>
      </c>
      <c r="L2217">
        <v>2500</v>
      </c>
      <c r="M2217">
        <v>32</v>
      </c>
      <c r="N2217" t="s">
        <v>8</v>
      </c>
      <c r="O2217" t="s">
        <v>130</v>
      </c>
      <c r="P2217" t="s">
        <v>83</v>
      </c>
      <c r="Q2217" t="s">
        <v>131</v>
      </c>
      <c r="R2217" t="s">
        <v>132</v>
      </c>
      <c r="S2217" t="s">
        <v>133</v>
      </c>
      <c r="T2217" t="s">
        <v>134</v>
      </c>
      <c r="U2217" t="s">
        <v>46</v>
      </c>
      <c r="V2217">
        <v>800</v>
      </c>
    </row>
    <row r="2218" spans="1:22" x14ac:dyDescent="0.3">
      <c r="A2218" t="s">
        <v>3643</v>
      </c>
      <c r="B2218" s="2">
        <v>45854</v>
      </c>
      <c r="C2218" t="s">
        <v>1694</v>
      </c>
      <c r="D2218" t="s">
        <v>49</v>
      </c>
      <c r="E2218" t="s">
        <v>50</v>
      </c>
      <c r="F2218">
        <v>4</v>
      </c>
      <c r="G2218">
        <v>0</v>
      </c>
      <c r="H2218">
        <v>52000</v>
      </c>
      <c r="I2218">
        <v>12800</v>
      </c>
      <c r="J2218" t="s">
        <v>39</v>
      </c>
      <c r="K2218" t="s">
        <v>27</v>
      </c>
      <c r="L2218">
        <v>13000</v>
      </c>
      <c r="M2218">
        <v>24.61538461538462</v>
      </c>
      <c r="N2218" t="s">
        <v>8</v>
      </c>
      <c r="O2218" t="s">
        <v>1695</v>
      </c>
      <c r="P2218" t="s">
        <v>73</v>
      </c>
      <c r="Q2218" t="s">
        <v>30</v>
      </c>
      <c r="R2218" t="s">
        <v>60</v>
      </c>
      <c r="S2218" t="s">
        <v>61</v>
      </c>
      <c r="T2218" t="s">
        <v>1696</v>
      </c>
      <c r="U2218" t="s">
        <v>100</v>
      </c>
      <c r="V2218">
        <v>3200</v>
      </c>
    </row>
    <row r="2219" spans="1:22" x14ac:dyDescent="0.3">
      <c r="A2219" t="s">
        <v>3644</v>
      </c>
      <c r="B2219" s="2">
        <v>45859</v>
      </c>
      <c r="C2219" t="s">
        <v>2525</v>
      </c>
      <c r="D2219" t="s">
        <v>24</v>
      </c>
      <c r="E2219" t="s">
        <v>92</v>
      </c>
      <c r="F2219">
        <v>1</v>
      </c>
      <c r="G2219">
        <v>0.05</v>
      </c>
      <c r="H2219">
        <v>855</v>
      </c>
      <c r="I2219">
        <v>244.04</v>
      </c>
      <c r="J2219" t="s">
        <v>39</v>
      </c>
      <c r="K2219" t="s">
        <v>40</v>
      </c>
      <c r="L2219">
        <v>855</v>
      </c>
      <c r="M2219">
        <v>28.542690058479529</v>
      </c>
      <c r="N2219" t="s">
        <v>8</v>
      </c>
      <c r="O2219" t="s">
        <v>2526</v>
      </c>
      <c r="P2219" t="s">
        <v>29</v>
      </c>
      <c r="Q2219" t="s">
        <v>74</v>
      </c>
      <c r="R2219" t="s">
        <v>75</v>
      </c>
      <c r="S2219" t="s">
        <v>75</v>
      </c>
      <c r="T2219" t="s">
        <v>2527</v>
      </c>
      <c r="U2219" t="s">
        <v>46</v>
      </c>
      <c r="V2219">
        <v>244.04</v>
      </c>
    </row>
    <row r="2220" spans="1:22" x14ac:dyDescent="0.3">
      <c r="A2220" t="s">
        <v>3645</v>
      </c>
      <c r="B2220" s="2">
        <v>46132</v>
      </c>
      <c r="C2220" t="s">
        <v>2217</v>
      </c>
      <c r="D2220" t="s">
        <v>24</v>
      </c>
      <c r="E2220" t="s">
        <v>242</v>
      </c>
      <c r="F2220">
        <v>3</v>
      </c>
      <c r="G2220">
        <v>0.2</v>
      </c>
      <c r="H2220">
        <v>1080</v>
      </c>
      <c r="I2220">
        <v>147.81</v>
      </c>
      <c r="J2220" t="s">
        <v>39</v>
      </c>
      <c r="K2220" t="s">
        <v>40</v>
      </c>
      <c r="L2220">
        <v>360</v>
      </c>
      <c r="M2220">
        <v>13.68611111111111</v>
      </c>
      <c r="N2220" t="s">
        <v>8</v>
      </c>
      <c r="O2220" t="s">
        <v>636</v>
      </c>
      <c r="P2220" t="s">
        <v>29</v>
      </c>
      <c r="Q2220" t="s">
        <v>42</v>
      </c>
      <c r="R2220" t="s">
        <v>110</v>
      </c>
      <c r="S2220" t="s">
        <v>111</v>
      </c>
      <c r="T2220" t="s">
        <v>2218</v>
      </c>
      <c r="U2220" t="s">
        <v>46</v>
      </c>
      <c r="V2220">
        <v>49.27</v>
      </c>
    </row>
    <row r="2221" spans="1:22" x14ac:dyDescent="0.3">
      <c r="A2221" t="s">
        <v>3646</v>
      </c>
      <c r="B2221" s="2">
        <v>46136</v>
      </c>
      <c r="C2221" t="s">
        <v>2197</v>
      </c>
      <c r="D2221" t="s">
        <v>70</v>
      </c>
      <c r="E2221" t="s">
        <v>129</v>
      </c>
      <c r="F2221">
        <v>1</v>
      </c>
      <c r="G2221">
        <v>0.2</v>
      </c>
      <c r="H2221">
        <v>44000</v>
      </c>
      <c r="I2221">
        <v>1668.58</v>
      </c>
      <c r="J2221" t="s">
        <v>51</v>
      </c>
      <c r="K2221" t="s">
        <v>40</v>
      </c>
      <c r="L2221">
        <v>44000</v>
      </c>
      <c r="M2221">
        <v>3.7922272727272728</v>
      </c>
      <c r="N2221" t="s">
        <v>8</v>
      </c>
      <c r="O2221" t="s">
        <v>2027</v>
      </c>
      <c r="P2221" t="s">
        <v>29</v>
      </c>
      <c r="Q2221" t="s">
        <v>74</v>
      </c>
      <c r="R2221" t="s">
        <v>493</v>
      </c>
      <c r="S2221" t="s">
        <v>494</v>
      </c>
      <c r="T2221" t="s">
        <v>2198</v>
      </c>
      <c r="U2221" t="s">
        <v>34</v>
      </c>
      <c r="V2221">
        <v>1668.58</v>
      </c>
    </row>
    <row r="2222" spans="1:22" x14ac:dyDescent="0.3">
      <c r="A2222" t="s">
        <v>3647</v>
      </c>
      <c r="B2222" s="2">
        <v>45846</v>
      </c>
      <c r="C2222" t="s">
        <v>1106</v>
      </c>
      <c r="D2222" t="s">
        <v>49</v>
      </c>
      <c r="E2222" t="s">
        <v>119</v>
      </c>
      <c r="F2222">
        <v>1</v>
      </c>
      <c r="G2222">
        <v>0.3</v>
      </c>
      <c r="H2222">
        <v>6300</v>
      </c>
      <c r="I2222">
        <v>617.22</v>
      </c>
      <c r="J2222" t="s">
        <v>65</v>
      </c>
      <c r="K2222" t="s">
        <v>40</v>
      </c>
      <c r="L2222">
        <v>6300</v>
      </c>
      <c r="M2222">
        <v>9.7971428571428572</v>
      </c>
      <c r="N2222" t="s">
        <v>8</v>
      </c>
      <c r="O2222" t="s">
        <v>789</v>
      </c>
      <c r="P2222" t="s">
        <v>29</v>
      </c>
      <c r="Q2222" t="s">
        <v>74</v>
      </c>
      <c r="R2222" t="s">
        <v>237</v>
      </c>
      <c r="S2222" t="s">
        <v>238</v>
      </c>
      <c r="T2222" t="s">
        <v>1107</v>
      </c>
      <c r="U2222" t="s">
        <v>105</v>
      </c>
      <c r="V2222">
        <v>617.22</v>
      </c>
    </row>
    <row r="2223" spans="1:22" x14ac:dyDescent="0.3">
      <c r="A2223" t="s">
        <v>3648</v>
      </c>
      <c r="B2223" s="2">
        <v>45972</v>
      </c>
      <c r="C2223" t="s">
        <v>3649</v>
      </c>
      <c r="D2223" t="s">
        <v>37</v>
      </c>
      <c r="E2223" t="s">
        <v>38</v>
      </c>
      <c r="F2223">
        <v>3</v>
      </c>
      <c r="G2223">
        <v>0</v>
      </c>
      <c r="H2223">
        <v>5400</v>
      </c>
      <c r="I2223">
        <v>1950</v>
      </c>
      <c r="J2223" t="s">
        <v>65</v>
      </c>
      <c r="K2223" t="s">
        <v>40</v>
      </c>
      <c r="L2223">
        <v>1800</v>
      </c>
      <c r="M2223">
        <v>36.111111111111107</v>
      </c>
      <c r="N2223" t="s">
        <v>8</v>
      </c>
      <c r="O2223" t="s">
        <v>255</v>
      </c>
      <c r="P2223" t="s">
        <v>29</v>
      </c>
      <c r="Q2223" t="s">
        <v>42</v>
      </c>
      <c r="R2223" t="s">
        <v>110</v>
      </c>
      <c r="S2223" t="s">
        <v>111</v>
      </c>
      <c r="T2223" t="s">
        <v>436</v>
      </c>
      <c r="U2223" t="s">
        <v>46</v>
      </c>
      <c r="V2223">
        <v>650</v>
      </c>
    </row>
    <row r="2224" spans="1:22" x14ac:dyDescent="0.3">
      <c r="A2224" t="s">
        <v>3650</v>
      </c>
      <c r="B2224" s="2">
        <v>45873</v>
      </c>
      <c r="C2224" t="s">
        <v>447</v>
      </c>
      <c r="D2224" t="s">
        <v>70</v>
      </c>
      <c r="E2224" t="s">
        <v>108</v>
      </c>
      <c r="F2224">
        <v>1</v>
      </c>
      <c r="G2224">
        <v>0.1</v>
      </c>
      <c r="H2224">
        <v>4050</v>
      </c>
      <c r="I2224">
        <v>-725.82</v>
      </c>
      <c r="J2224" t="s">
        <v>39</v>
      </c>
      <c r="K2224" t="s">
        <v>434</v>
      </c>
      <c r="L2224">
        <v>4050</v>
      </c>
      <c r="M2224">
        <v>-17.921481481481479</v>
      </c>
      <c r="N2224" t="s">
        <v>81</v>
      </c>
      <c r="O2224" t="s">
        <v>448</v>
      </c>
      <c r="P2224" t="s">
        <v>29</v>
      </c>
      <c r="Q2224" t="s">
        <v>131</v>
      </c>
      <c r="R2224" t="s">
        <v>449</v>
      </c>
      <c r="S2224" t="s">
        <v>450</v>
      </c>
      <c r="T2224" t="s">
        <v>451</v>
      </c>
      <c r="U2224" t="s">
        <v>34</v>
      </c>
      <c r="V2224">
        <v>-725.82</v>
      </c>
    </row>
    <row r="2225" spans="1:22" x14ac:dyDescent="0.3">
      <c r="A2225" t="s">
        <v>3651</v>
      </c>
      <c r="B2225" s="2">
        <v>46217</v>
      </c>
      <c r="C2225" t="s">
        <v>3593</v>
      </c>
      <c r="D2225" t="s">
        <v>37</v>
      </c>
      <c r="E2225" t="s">
        <v>170</v>
      </c>
      <c r="F2225">
        <v>2</v>
      </c>
      <c r="G2225">
        <v>0.1</v>
      </c>
      <c r="H2225">
        <v>2520</v>
      </c>
      <c r="I2225">
        <v>771.8</v>
      </c>
      <c r="J2225" t="s">
        <v>65</v>
      </c>
      <c r="K2225" t="s">
        <v>40</v>
      </c>
      <c r="L2225">
        <v>1260</v>
      </c>
      <c r="M2225">
        <v>30.62698412698413</v>
      </c>
      <c r="N2225" t="s">
        <v>8</v>
      </c>
      <c r="O2225" t="s">
        <v>439</v>
      </c>
      <c r="P2225" t="s">
        <v>29</v>
      </c>
      <c r="Q2225" t="s">
        <v>42</v>
      </c>
      <c r="R2225" t="s">
        <v>121</v>
      </c>
      <c r="S2225" t="s">
        <v>44</v>
      </c>
      <c r="T2225" t="s">
        <v>1801</v>
      </c>
      <c r="U2225" t="s">
        <v>46</v>
      </c>
      <c r="V2225">
        <v>385.9</v>
      </c>
    </row>
    <row r="2226" spans="1:22" x14ac:dyDescent="0.3">
      <c r="A2226" t="s">
        <v>3652</v>
      </c>
      <c r="B2226" s="2">
        <v>46146</v>
      </c>
      <c r="C2226" t="s">
        <v>559</v>
      </c>
      <c r="D2226" t="s">
        <v>49</v>
      </c>
      <c r="E2226" t="s">
        <v>79</v>
      </c>
      <c r="F2226">
        <v>10</v>
      </c>
      <c r="G2226">
        <v>0.05</v>
      </c>
      <c r="H2226">
        <v>104500</v>
      </c>
      <c r="I2226">
        <v>21974.19</v>
      </c>
      <c r="J2226" t="s">
        <v>39</v>
      </c>
      <c r="K2226" t="s">
        <v>40</v>
      </c>
      <c r="L2226">
        <v>10450</v>
      </c>
      <c r="M2226">
        <v>21.027933014354069</v>
      </c>
      <c r="N2226" t="s">
        <v>8</v>
      </c>
      <c r="O2226" t="s">
        <v>478</v>
      </c>
      <c r="P2226" t="s">
        <v>29</v>
      </c>
      <c r="Q2226" t="s">
        <v>30</v>
      </c>
      <c r="R2226" t="s">
        <v>53</v>
      </c>
      <c r="S2226" t="s">
        <v>54</v>
      </c>
      <c r="T2226" t="s">
        <v>560</v>
      </c>
      <c r="U2226" t="s">
        <v>34</v>
      </c>
      <c r="V2226">
        <v>2197.4189999999999</v>
      </c>
    </row>
    <row r="2227" spans="1:22" x14ac:dyDescent="0.3">
      <c r="A2227" t="s">
        <v>3653</v>
      </c>
      <c r="B2227" s="2">
        <v>46080</v>
      </c>
      <c r="C2227" t="s">
        <v>797</v>
      </c>
      <c r="D2227" t="s">
        <v>37</v>
      </c>
      <c r="E2227" t="s">
        <v>190</v>
      </c>
      <c r="F2227">
        <v>1</v>
      </c>
      <c r="G2227">
        <v>0</v>
      </c>
      <c r="H2227">
        <v>4200</v>
      </c>
      <c r="I2227">
        <v>1200</v>
      </c>
      <c r="J2227" t="s">
        <v>26</v>
      </c>
      <c r="K2227" t="s">
        <v>40</v>
      </c>
      <c r="L2227">
        <v>4200</v>
      </c>
      <c r="M2227">
        <v>28.571428571428569</v>
      </c>
      <c r="N2227" t="s">
        <v>8</v>
      </c>
      <c r="O2227" t="s">
        <v>798</v>
      </c>
      <c r="P2227" t="s">
        <v>73</v>
      </c>
      <c r="Q2227" t="s">
        <v>42</v>
      </c>
      <c r="R2227" t="s">
        <v>110</v>
      </c>
      <c r="S2227" t="s">
        <v>111</v>
      </c>
      <c r="T2227" t="s">
        <v>799</v>
      </c>
      <c r="U2227" t="s">
        <v>34</v>
      </c>
      <c r="V2227">
        <v>1200</v>
      </c>
    </row>
    <row r="2228" spans="1:22" x14ac:dyDescent="0.3">
      <c r="A2228" t="s">
        <v>3654</v>
      </c>
      <c r="B2228" s="2">
        <v>46252</v>
      </c>
      <c r="C2228" t="s">
        <v>525</v>
      </c>
      <c r="D2228" t="s">
        <v>24</v>
      </c>
      <c r="E2228" t="s">
        <v>242</v>
      </c>
      <c r="F2228">
        <v>4</v>
      </c>
      <c r="G2228">
        <v>0.15</v>
      </c>
      <c r="H2228">
        <v>1530</v>
      </c>
      <c r="I2228">
        <v>277.76</v>
      </c>
      <c r="J2228" t="s">
        <v>51</v>
      </c>
      <c r="K2228" t="s">
        <v>40</v>
      </c>
      <c r="L2228">
        <v>382.5</v>
      </c>
      <c r="M2228">
        <v>18.154248366013071</v>
      </c>
      <c r="N2228" t="s">
        <v>8</v>
      </c>
      <c r="O2228" t="s">
        <v>526</v>
      </c>
      <c r="P2228" t="s">
        <v>29</v>
      </c>
      <c r="Q2228" t="s">
        <v>30</v>
      </c>
      <c r="R2228" t="s">
        <v>98</v>
      </c>
      <c r="S2228" t="s">
        <v>54</v>
      </c>
      <c r="T2228" t="s">
        <v>527</v>
      </c>
      <c r="U2228" t="s">
        <v>34</v>
      </c>
      <c r="V2228">
        <v>69.44</v>
      </c>
    </row>
    <row r="2229" spans="1:22" x14ac:dyDescent="0.3">
      <c r="A2229" t="s">
        <v>3655</v>
      </c>
      <c r="B2229" s="2">
        <v>46166</v>
      </c>
      <c r="C2229" t="s">
        <v>664</v>
      </c>
      <c r="D2229" t="s">
        <v>49</v>
      </c>
      <c r="E2229" t="s">
        <v>58</v>
      </c>
      <c r="F2229">
        <v>2</v>
      </c>
      <c r="G2229">
        <v>0.1</v>
      </c>
      <c r="H2229">
        <v>27000</v>
      </c>
      <c r="I2229">
        <v>4743.1499999999996</v>
      </c>
      <c r="J2229" t="s">
        <v>65</v>
      </c>
      <c r="K2229" t="s">
        <v>40</v>
      </c>
      <c r="L2229">
        <v>13500</v>
      </c>
      <c r="M2229">
        <v>17.56722222222222</v>
      </c>
      <c r="N2229" t="s">
        <v>8</v>
      </c>
      <c r="O2229" t="s">
        <v>665</v>
      </c>
      <c r="P2229" t="s">
        <v>29</v>
      </c>
      <c r="Q2229" t="s">
        <v>30</v>
      </c>
      <c r="R2229" t="s">
        <v>31</v>
      </c>
      <c r="S2229" t="s">
        <v>32</v>
      </c>
      <c r="T2229" t="s">
        <v>256</v>
      </c>
      <c r="U2229" t="s">
        <v>34</v>
      </c>
      <c r="V2229">
        <v>2371.5749999999998</v>
      </c>
    </row>
    <row r="2230" spans="1:22" x14ac:dyDescent="0.3">
      <c r="A2230" t="s">
        <v>3656</v>
      </c>
      <c r="B2230" s="2">
        <v>45929</v>
      </c>
      <c r="C2230" t="s">
        <v>430</v>
      </c>
      <c r="D2230" t="s">
        <v>70</v>
      </c>
      <c r="E2230" t="s">
        <v>71</v>
      </c>
      <c r="F2230">
        <v>2</v>
      </c>
      <c r="G2230">
        <v>0.1</v>
      </c>
      <c r="H2230">
        <v>32400</v>
      </c>
      <c r="I2230">
        <v>4473.12</v>
      </c>
      <c r="J2230" t="s">
        <v>26</v>
      </c>
      <c r="K2230" t="s">
        <v>40</v>
      </c>
      <c r="L2230">
        <v>16200</v>
      </c>
      <c r="M2230">
        <v>13.805925925925919</v>
      </c>
      <c r="N2230" t="s">
        <v>8</v>
      </c>
      <c r="O2230" t="s">
        <v>431</v>
      </c>
      <c r="P2230" t="s">
        <v>29</v>
      </c>
      <c r="Q2230" t="s">
        <v>30</v>
      </c>
      <c r="R2230" t="s">
        <v>53</v>
      </c>
      <c r="S2230" t="s">
        <v>54</v>
      </c>
      <c r="T2230" t="s">
        <v>256</v>
      </c>
      <c r="U2230" t="s">
        <v>46</v>
      </c>
      <c r="V2230">
        <v>2236.56</v>
      </c>
    </row>
    <row r="2231" spans="1:22" x14ac:dyDescent="0.3">
      <c r="A2231" t="s">
        <v>3657</v>
      </c>
      <c r="B2231" s="2">
        <v>45992</v>
      </c>
      <c r="C2231" t="s">
        <v>102</v>
      </c>
      <c r="D2231" t="s">
        <v>49</v>
      </c>
      <c r="E2231" t="s">
        <v>79</v>
      </c>
      <c r="F2231">
        <v>4</v>
      </c>
      <c r="G2231">
        <v>0.2</v>
      </c>
      <c r="H2231">
        <v>35200</v>
      </c>
      <c r="I2231">
        <v>5326.38</v>
      </c>
      <c r="J2231" t="s">
        <v>39</v>
      </c>
      <c r="K2231" t="s">
        <v>40</v>
      </c>
      <c r="L2231">
        <v>8800</v>
      </c>
      <c r="M2231">
        <v>15.131761363636359</v>
      </c>
      <c r="N2231" t="s">
        <v>8</v>
      </c>
      <c r="O2231" t="s">
        <v>103</v>
      </c>
      <c r="P2231" t="s">
        <v>29</v>
      </c>
      <c r="Q2231" t="s">
        <v>30</v>
      </c>
      <c r="R2231" t="s">
        <v>98</v>
      </c>
      <c r="S2231" t="s">
        <v>54</v>
      </c>
      <c r="T2231" t="s">
        <v>104</v>
      </c>
      <c r="U2231" t="s">
        <v>105</v>
      </c>
      <c r="V2231">
        <v>1331.595</v>
      </c>
    </row>
    <row r="2232" spans="1:22" x14ac:dyDescent="0.3">
      <c r="A2232" t="s">
        <v>3658</v>
      </c>
      <c r="B2232" s="2">
        <v>46029</v>
      </c>
      <c r="C2232" t="s">
        <v>887</v>
      </c>
      <c r="D2232" t="s">
        <v>49</v>
      </c>
      <c r="E2232" t="s">
        <v>58</v>
      </c>
      <c r="F2232">
        <v>6</v>
      </c>
      <c r="G2232">
        <v>0</v>
      </c>
      <c r="H2232">
        <v>90000</v>
      </c>
      <c r="I2232">
        <v>21000</v>
      </c>
      <c r="J2232" t="s">
        <v>65</v>
      </c>
      <c r="K2232" t="s">
        <v>40</v>
      </c>
      <c r="L2232">
        <v>15000</v>
      </c>
      <c r="M2232">
        <v>23.333333333333329</v>
      </c>
      <c r="N2232" t="s">
        <v>8</v>
      </c>
      <c r="O2232" t="s">
        <v>888</v>
      </c>
      <c r="P2232" t="s">
        <v>29</v>
      </c>
      <c r="Q2232" t="s">
        <v>74</v>
      </c>
      <c r="R2232" t="s">
        <v>115</v>
      </c>
      <c r="S2232" t="s">
        <v>115</v>
      </c>
      <c r="T2232" t="s">
        <v>889</v>
      </c>
      <c r="U2232" t="s">
        <v>46</v>
      </c>
      <c r="V2232">
        <v>3500</v>
      </c>
    </row>
    <row r="2233" spans="1:22" x14ac:dyDescent="0.3">
      <c r="A2233" t="s">
        <v>3659</v>
      </c>
      <c r="B2233" s="2">
        <v>46077</v>
      </c>
      <c r="C2233" t="s">
        <v>1648</v>
      </c>
      <c r="D2233" t="s">
        <v>24</v>
      </c>
      <c r="E2233" t="s">
        <v>242</v>
      </c>
      <c r="F2233">
        <v>3</v>
      </c>
      <c r="G2233">
        <v>0.15</v>
      </c>
      <c r="H2233">
        <v>1147.5</v>
      </c>
      <c r="I2233">
        <v>-370.71</v>
      </c>
      <c r="J2233" t="s">
        <v>51</v>
      </c>
      <c r="K2233" t="s">
        <v>80</v>
      </c>
      <c r="L2233">
        <v>382.5</v>
      </c>
      <c r="M2233">
        <v>-32.305882352941182</v>
      </c>
      <c r="N2233" t="s">
        <v>81</v>
      </c>
      <c r="O2233" t="s">
        <v>1649</v>
      </c>
      <c r="P2233" t="s">
        <v>73</v>
      </c>
      <c r="Q2233" t="s">
        <v>30</v>
      </c>
      <c r="R2233" t="s">
        <v>98</v>
      </c>
      <c r="S2233" t="s">
        <v>54</v>
      </c>
      <c r="T2233" t="s">
        <v>1650</v>
      </c>
      <c r="U2233" t="s">
        <v>34</v>
      </c>
      <c r="V2233">
        <v>-123.57</v>
      </c>
    </row>
    <row r="2234" spans="1:22" x14ac:dyDescent="0.3">
      <c r="A2234" t="s">
        <v>3660</v>
      </c>
      <c r="B2234" s="2">
        <v>46151</v>
      </c>
      <c r="C2234" t="s">
        <v>2869</v>
      </c>
      <c r="D2234" t="s">
        <v>70</v>
      </c>
      <c r="E2234" t="s">
        <v>165</v>
      </c>
      <c r="F2234">
        <v>3</v>
      </c>
      <c r="G2234">
        <v>0.15</v>
      </c>
      <c r="H2234">
        <v>6375</v>
      </c>
      <c r="I2234">
        <v>1777.87</v>
      </c>
      <c r="J2234" t="s">
        <v>65</v>
      </c>
      <c r="K2234" t="s">
        <v>40</v>
      </c>
      <c r="L2234">
        <v>2125</v>
      </c>
      <c r="M2234">
        <v>27.888156862745099</v>
      </c>
      <c r="N2234" t="s">
        <v>8</v>
      </c>
      <c r="O2234" t="s">
        <v>2870</v>
      </c>
      <c r="P2234" t="s">
        <v>29</v>
      </c>
      <c r="Q2234" t="s">
        <v>42</v>
      </c>
      <c r="R2234" t="s">
        <v>121</v>
      </c>
      <c r="S2234" t="s">
        <v>44</v>
      </c>
      <c r="T2234" t="s">
        <v>2080</v>
      </c>
      <c r="U2234" t="s">
        <v>100</v>
      </c>
      <c r="V2234">
        <v>592.62333333333333</v>
      </c>
    </row>
    <row r="2235" spans="1:22" x14ac:dyDescent="0.3">
      <c r="A2235" t="s">
        <v>3661</v>
      </c>
      <c r="B2235" s="2">
        <v>46111</v>
      </c>
      <c r="C2235" t="s">
        <v>900</v>
      </c>
      <c r="D2235" t="s">
        <v>70</v>
      </c>
      <c r="E2235" t="s">
        <v>165</v>
      </c>
      <c r="F2235">
        <v>4</v>
      </c>
      <c r="G2235">
        <v>0</v>
      </c>
      <c r="H2235">
        <v>10000</v>
      </c>
      <c r="I2235">
        <v>-122.31</v>
      </c>
      <c r="J2235" t="s">
        <v>39</v>
      </c>
      <c r="K2235" t="s">
        <v>80</v>
      </c>
      <c r="L2235">
        <v>2500</v>
      </c>
      <c r="M2235">
        <v>-1.2231000000000001</v>
      </c>
      <c r="N2235" t="s">
        <v>81</v>
      </c>
      <c r="O2235" t="s">
        <v>901</v>
      </c>
      <c r="P2235" t="s">
        <v>29</v>
      </c>
      <c r="Q2235" t="s">
        <v>30</v>
      </c>
      <c r="R2235" t="s">
        <v>31</v>
      </c>
      <c r="S2235" t="s">
        <v>32</v>
      </c>
      <c r="T2235" t="s">
        <v>902</v>
      </c>
      <c r="U2235" t="s">
        <v>34</v>
      </c>
      <c r="V2235">
        <v>-30.577500000000001</v>
      </c>
    </row>
    <row r="2236" spans="1:22" x14ac:dyDescent="0.3">
      <c r="A2236" t="s">
        <v>3662</v>
      </c>
      <c r="B2236" s="2">
        <v>46076</v>
      </c>
      <c r="C2236" t="s">
        <v>1565</v>
      </c>
      <c r="D2236" t="s">
        <v>49</v>
      </c>
      <c r="E2236" t="s">
        <v>58</v>
      </c>
      <c r="F2236">
        <v>3</v>
      </c>
      <c r="G2236">
        <v>0.1</v>
      </c>
      <c r="H2236">
        <v>40500</v>
      </c>
      <c r="I2236">
        <v>7227.54</v>
      </c>
      <c r="J2236" t="s">
        <v>39</v>
      </c>
      <c r="K2236" t="s">
        <v>40</v>
      </c>
      <c r="L2236">
        <v>13500</v>
      </c>
      <c r="M2236">
        <v>17.84577777777778</v>
      </c>
      <c r="N2236" t="s">
        <v>8</v>
      </c>
      <c r="O2236" t="s">
        <v>1566</v>
      </c>
      <c r="P2236" t="s">
        <v>83</v>
      </c>
      <c r="Q2236" t="s">
        <v>42</v>
      </c>
      <c r="R2236" t="s">
        <v>43</v>
      </c>
      <c r="S2236" t="s">
        <v>44</v>
      </c>
      <c r="T2236" t="s">
        <v>146</v>
      </c>
      <c r="U2236" t="s">
        <v>34</v>
      </c>
      <c r="V2236">
        <v>2409.1799999999998</v>
      </c>
    </row>
    <row r="2237" spans="1:22" x14ac:dyDescent="0.3">
      <c r="A2237" t="s">
        <v>3663</v>
      </c>
      <c r="B2237" s="2">
        <v>45852</v>
      </c>
      <c r="C2237" t="s">
        <v>91</v>
      </c>
      <c r="D2237" t="s">
        <v>24</v>
      </c>
      <c r="E2237" t="s">
        <v>242</v>
      </c>
      <c r="F2237">
        <v>15</v>
      </c>
      <c r="G2237">
        <v>0.15</v>
      </c>
      <c r="H2237">
        <v>5737.5</v>
      </c>
      <c r="I2237">
        <v>849.68</v>
      </c>
      <c r="J2237" t="s">
        <v>26</v>
      </c>
      <c r="K2237" t="s">
        <v>40</v>
      </c>
      <c r="L2237">
        <v>382.5</v>
      </c>
      <c r="M2237">
        <v>14.809237472766879</v>
      </c>
      <c r="N2237" t="s">
        <v>8</v>
      </c>
      <c r="O2237" t="s">
        <v>93</v>
      </c>
      <c r="P2237" t="s">
        <v>73</v>
      </c>
      <c r="Q2237" t="s">
        <v>30</v>
      </c>
      <c r="R2237" t="s">
        <v>60</v>
      </c>
      <c r="S2237" t="s">
        <v>61</v>
      </c>
      <c r="T2237" t="s">
        <v>94</v>
      </c>
      <c r="U2237" t="s">
        <v>34</v>
      </c>
      <c r="V2237">
        <v>56.645333333333333</v>
      </c>
    </row>
    <row r="2238" spans="1:22" x14ac:dyDescent="0.3">
      <c r="A2238" t="s">
        <v>3664</v>
      </c>
      <c r="B2238" s="2">
        <v>46182</v>
      </c>
      <c r="C2238" t="s">
        <v>1670</v>
      </c>
      <c r="D2238" t="s">
        <v>24</v>
      </c>
      <c r="E2238" t="s">
        <v>25</v>
      </c>
      <c r="F2238">
        <v>4</v>
      </c>
      <c r="G2238">
        <v>0</v>
      </c>
      <c r="H2238">
        <v>56000</v>
      </c>
      <c r="I2238">
        <v>11200</v>
      </c>
      <c r="J2238" t="s">
        <v>26</v>
      </c>
      <c r="K2238" t="s">
        <v>40</v>
      </c>
      <c r="L2238">
        <v>14000</v>
      </c>
      <c r="M2238">
        <v>20</v>
      </c>
      <c r="N2238" t="s">
        <v>8</v>
      </c>
      <c r="O2238" t="s">
        <v>1383</v>
      </c>
      <c r="P2238" t="s">
        <v>29</v>
      </c>
      <c r="Q2238" t="s">
        <v>42</v>
      </c>
      <c r="R2238" t="s">
        <v>121</v>
      </c>
      <c r="S2238" t="s">
        <v>44</v>
      </c>
      <c r="T2238" t="s">
        <v>1671</v>
      </c>
      <c r="U2238" t="s">
        <v>34</v>
      </c>
      <c r="V2238">
        <v>2800</v>
      </c>
    </row>
    <row r="2239" spans="1:22" x14ac:dyDescent="0.3">
      <c r="A2239" t="s">
        <v>3665</v>
      </c>
      <c r="B2239" s="2">
        <v>45932</v>
      </c>
      <c r="C2239" t="s">
        <v>640</v>
      </c>
      <c r="D2239" t="s">
        <v>24</v>
      </c>
      <c r="E2239" t="s">
        <v>87</v>
      </c>
      <c r="F2239">
        <v>2</v>
      </c>
      <c r="G2239">
        <v>0.15</v>
      </c>
      <c r="H2239">
        <v>595</v>
      </c>
      <c r="I2239">
        <v>155.44999999999999</v>
      </c>
      <c r="J2239" t="s">
        <v>65</v>
      </c>
      <c r="K2239" t="s">
        <v>40</v>
      </c>
      <c r="L2239">
        <v>297.5</v>
      </c>
      <c r="M2239">
        <v>26.12605042016807</v>
      </c>
      <c r="N2239" t="s">
        <v>8</v>
      </c>
      <c r="O2239" t="s">
        <v>641</v>
      </c>
      <c r="P2239" t="s">
        <v>29</v>
      </c>
      <c r="Q2239" t="s">
        <v>30</v>
      </c>
      <c r="R2239" t="s">
        <v>31</v>
      </c>
      <c r="S2239" t="s">
        <v>32</v>
      </c>
      <c r="T2239" t="s">
        <v>642</v>
      </c>
      <c r="U2239" t="s">
        <v>34</v>
      </c>
      <c r="V2239">
        <v>77.724999999999994</v>
      </c>
    </row>
    <row r="2240" spans="1:22" x14ac:dyDescent="0.3">
      <c r="A2240" t="s">
        <v>3666</v>
      </c>
      <c r="B2240" s="2">
        <v>45919</v>
      </c>
      <c r="C2240" t="s">
        <v>1605</v>
      </c>
      <c r="D2240" t="s">
        <v>37</v>
      </c>
      <c r="E2240" t="s">
        <v>170</v>
      </c>
      <c r="F2240">
        <v>2</v>
      </c>
      <c r="G2240">
        <v>0</v>
      </c>
      <c r="H2240">
        <v>2800</v>
      </c>
      <c r="I2240">
        <v>1000</v>
      </c>
      <c r="J2240" t="s">
        <v>65</v>
      </c>
      <c r="K2240" t="s">
        <v>40</v>
      </c>
      <c r="L2240">
        <v>1400</v>
      </c>
      <c r="M2240">
        <v>35.714285714285722</v>
      </c>
      <c r="N2240" t="s">
        <v>8</v>
      </c>
      <c r="O2240" t="s">
        <v>1606</v>
      </c>
      <c r="P2240" t="s">
        <v>73</v>
      </c>
      <c r="Q2240" t="s">
        <v>30</v>
      </c>
      <c r="R2240" t="s">
        <v>53</v>
      </c>
      <c r="S2240" t="s">
        <v>54</v>
      </c>
      <c r="T2240" t="s">
        <v>1607</v>
      </c>
      <c r="U2240" t="s">
        <v>34</v>
      </c>
      <c r="V2240">
        <v>500</v>
      </c>
    </row>
    <row r="2241" spans="1:22" x14ac:dyDescent="0.3">
      <c r="A2241" t="s">
        <v>3667</v>
      </c>
      <c r="B2241" s="2">
        <v>45952</v>
      </c>
      <c r="C2241" t="s">
        <v>1281</v>
      </c>
      <c r="D2241" t="s">
        <v>37</v>
      </c>
      <c r="E2241" t="s">
        <v>170</v>
      </c>
      <c r="F2241">
        <v>2</v>
      </c>
      <c r="G2241">
        <v>0.05</v>
      </c>
      <c r="H2241">
        <v>2660</v>
      </c>
      <c r="I2241">
        <v>936.63</v>
      </c>
      <c r="J2241" t="s">
        <v>51</v>
      </c>
      <c r="K2241" t="s">
        <v>40</v>
      </c>
      <c r="L2241">
        <v>1330</v>
      </c>
      <c r="M2241">
        <v>35.211654135338343</v>
      </c>
      <c r="N2241" t="s">
        <v>8</v>
      </c>
      <c r="O2241" t="s">
        <v>1282</v>
      </c>
      <c r="P2241" t="s">
        <v>29</v>
      </c>
      <c r="Q2241" t="s">
        <v>74</v>
      </c>
      <c r="R2241" t="s">
        <v>237</v>
      </c>
      <c r="S2241" t="s">
        <v>238</v>
      </c>
      <c r="T2241" t="s">
        <v>1283</v>
      </c>
      <c r="U2241" t="s">
        <v>34</v>
      </c>
      <c r="V2241">
        <v>468.315</v>
      </c>
    </row>
    <row r="2242" spans="1:22" x14ac:dyDescent="0.3">
      <c r="A2242" t="s">
        <v>3668</v>
      </c>
      <c r="B2242" s="2">
        <v>45852</v>
      </c>
      <c r="C2242" t="s">
        <v>748</v>
      </c>
      <c r="D2242" t="s">
        <v>37</v>
      </c>
      <c r="E2242" t="s">
        <v>190</v>
      </c>
      <c r="F2242">
        <v>1</v>
      </c>
      <c r="G2242">
        <v>0.1</v>
      </c>
      <c r="H2242">
        <v>3780</v>
      </c>
      <c r="I2242">
        <v>945.14</v>
      </c>
      <c r="J2242" t="s">
        <v>51</v>
      </c>
      <c r="K2242" t="s">
        <v>40</v>
      </c>
      <c r="L2242">
        <v>3780</v>
      </c>
      <c r="M2242">
        <v>25.00370370370371</v>
      </c>
      <c r="N2242" t="s">
        <v>8</v>
      </c>
      <c r="O2242" t="s">
        <v>749</v>
      </c>
      <c r="P2242" t="s">
        <v>29</v>
      </c>
      <c r="Q2242" t="s">
        <v>30</v>
      </c>
      <c r="R2242" t="s">
        <v>60</v>
      </c>
      <c r="S2242" t="s">
        <v>61</v>
      </c>
      <c r="T2242" t="s">
        <v>750</v>
      </c>
      <c r="U2242" t="s">
        <v>34</v>
      </c>
      <c r="V2242">
        <v>945.14</v>
      </c>
    </row>
    <row r="2243" spans="1:22" x14ac:dyDescent="0.3">
      <c r="A2243" t="s">
        <v>3669</v>
      </c>
      <c r="B2243" s="2">
        <v>46137</v>
      </c>
      <c r="C2243" t="s">
        <v>1557</v>
      </c>
      <c r="D2243" t="s">
        <v>49</v>
      </c>
      <c r="E2243" t="s">
        <v>50</v>
      </c>
      <c r="F2243">
        <v>6</v>
      </c>
      <c r="G2243">
        <v>0</v>
      </c>
      <c r="H2243">
        <v>78000</v>
      </c>
      <c r="I2243">
        <v>19200</v>
      </c>
      <c r="J2243" t="s">
        <v>26</v>
      </c>
      <c r="K2243" t="s">
        <v>40</v>
      </c>
      <c r="L2243">
        <v>13000</v>
      </c>
      <c r="M2243">
        <v>24.61538461538462</v>
      </c>
      <c r="N2243" t="s">
        <v>8</v>
      </c>
      <c r="O2243" t="s">
        <v>821</v>
      </c>
      <c r="P2243" t="s">
        <v>73</v>
      </c>
      <c r="Q2243" t="s">
        <v>42</v>
      </c>
      <c r="R2243" t="s">
        <v>121</v>
      </c>
      <c r="S2243" t="s">
        <v>44</v>
      </c>
      <c r="T2243" t="s">
        <v>1558</v>
      </c>
      <c r="U2243" t="s">
        <v>105</v>
      </c>
      <c r="V2243">
        <v>3200</v>
      </c>
    </row>
    <row r="2244" spans="1:22" x14ac:dyDescent="0.3">
      <c r="A2244" t="s">
        <v>3670</v>
      </c>
      <c r="B2244" s="2">
        <v>45969</v>
      </c>
      <c r="C2244" t="s">
        <v>430</v>
      </c>
      <c r="D2244" t="s">
        <v>70</v>
      </c>
      <c r="E2244" t="s">
        <v>165</v>
      </c>
      <c r="F2244">
        <v>5</v>
      </c>
      <c r="G2244">
        <v>0.05</v>
      </c>
      <c r="H2244">
        <v>11875</v>
      </c>
      <c r="I2244">
        <v>-3385.96</v>
      </c>
      <c r="J2244" t="s">
        <v>26</v>
      </c>
      <c r="K2244" t="s">
        <v>434</v>
      </c>
      <c r="L2244">
        <v>2375</v>
      </c>
      <c r="M2244">
        <v>-28.513347368421051</v>
      </c>
      <c r="N2244" t="s">
        <v>81</v>
      </c>
      <c r="O2244" t="s">
        <v>431</v>
      </c>
      <c r="P2244" t="s">
        <v>29</v>
      </c>
      <c r="Q2244" t="s">
        <v>30</v>
      </c>
      <c r="R2244" t="s">
        <v>53</v>
      </c>
      <c r="S2244" t="s">
        <v>54</v>
      </c>
      <c r="T2244" t="s">
        <v>256</v>
      </c>
      <c r="U2244" t="s">
        <v>46</v>
      </c>
      <c r="V2244">
        <v>-677.19200000000001</v>
      </c>
    </row>
    <row r="2245" spans="1:22" x14ac:dyDescent="0.3">
      <c r="A2245" t="s">
        <v>3671</v>
      </c>
      <c r="B2245" s="2">
        <v>45947</v>
      </c>
      <c r="C2245" t="s">
        <v>2217</v>
      </c>
      <c r="D2245" t="s">
        <v>70</v>
      </c>
      <c r="E2245" t="s">
        <v>71</v>
      </c>
      <c r="F2245">
        <v>1</v>
      </c>
      <c r="G2245">
        <v>0.05</v>
      </c>
      <c r="H2245">
        <v>17100</v>
      </c>
      <c r="I2245">
        <v>3057.9</v>
      </c>
      <c r="J2245" t="s">
        <v>26</v>
      </c>
      <c r="K2245" t="s">
        <v>40</v>
      </c>
      <c r="L2245">
        <v>17100</v>
      </c>
      <c r="M2245">
        <v>17.882456140350879</v>
      </c>
      <c r="N2245" t="s">
        <v>8</v>
      </c>
      <c r="O2245" t="s">
        <v>636</v>
      </c>
      <c r="P2245" t="s">
        <v>29</v>
      </c>
      <c r="Q2245" t="s">
        <v>42</v>
      </c>
      <c r="R2245" t="s">
        <v>110</v>
      </c>
      <c r="S2245" t="s">
        <v>111</v>
      </c>
      <c r="T2245" t="s">
        <v>2218</v>
      </c>
      <c r="U2245" t="s">
        <v>46</v>
      </c>
      <c r="V2245">
        <v>3057.9</v>
      </c>
    </row>
    <row r="2246" spans="1:22" x14ac:dyDescent="0.3">
      <c r="A2246" t="s">
        <v>3672</v>
      </c>
      <c r="B2246" s="2">
        <v>46097</v>
      </c>
      <c r="C2246" t="s">
        <v>814</v>
      </c>
      <c r="D2246" t="s">
        <v>37</v>
      </c>
      <c r="E2246" t="s">
        <v>38</v>
      </c>
      <c r="F2246">
        <v>3</v>
      </c>
      <c r="G2246">
        <v>0.05</v>
      </c>
      <c r="H2246">
        <v>5130</v>
      </c>
      <c r="I2246">
        <v>-780.11</v>
      </c>
      <c r="J2246" t="s">
        <v>39</v>
      </c>
      <c r="K2246" t="s">
        <v>80</v>
      </c>
      <c r="L2246">
        <v>1710</v>
      </c>
      <c r="M2246">
        <v>-15.206822612085769</v>
      </c>
      <c r="N2246" t="s">
        <v>81</v>
      </c>
      <c r="O2246" t="s">
        <v>815</v>
      </c>
      <c r="P2246" t="s">
        <v>73</v>
      </c>
      <c r="Q2246" t="s">
        <v>42</v>
      </c>
      <c r="R2246" t="s">
        <v>121</v>
      </c>
      <c r="S2246" t="s">
        <v>44</v>
      </c>
      <c r="T2246" t="s">
        <v>816</v>
      </c>
      <c r="U2246" t="s">
        <v>46</v>
      </c>
      <c r="V2246">
        <v>-260.03666666666669</v>
      </c>
    </row>
    <row r="2247" spans="1:22" x14ac:dyDescent="0.3">
      <c r="A2247" t="s">
        <v>3673</v>
      </c>
      <c r="B2247" s="2">
        <v>46252</v>
      </c>
      <c r="C2247" t="s">
        <v>593</v>
      </c>
      <c r="D2247" t="s">
        <v>24</v>
      </c>
      <c r="E2247" t="s">
        <v>25</v>
      </c>
      <c r="F2247">
        <v>1</v>
      </c>
      <c r="G2247">
        <v>0</v>
      </c>
      <c r="H2247">
        <v>14000</v>
      </c>
      <c r="I2247">
        <v>-5537.48</v>
      </c>
      <c r="J2247" t="s">
        <v>26</v>
      </c>
      <c r="K2247" t="s">
        <v>434</v>
      </c>
      <c r="L2247">
        <v>14000</v>
      </c>
      <c r="M2247">
        <v>-39.553428571428569</v>
      </c>
      <c r="N2247" t="s">
        <v>81</v>
      </c>
      <c r="O2247" t="s">
        <v>594</v>
      </c>
      <c r="P2247" t="s">
        <v>83</v>
      </c>
      <c r="Q2247" t="s">
        <v>30</v>
      </c>
      <c r="R2247" t="s">
        <v>31</v>
      </c>
      <c r="S2247" t="s">
        <v>32</v>
      </c>
      <c r="T2247" t="s">
        <v>595</v>
      </c>
      <c r="U2247" t="s">
        <v>46</v>
      </c>
      <c r="V2247">
        <v>-5537.48</v>
      </c>
    </row>
    <row r="2248" spans="1:22" x14ac:dyDescent="0.3">
      <c r="A2248" t="s">
        <v>3674</v>
      </c>
      <c r="B2248" s="2">
        <v>46241</v>
      </c>
      <c r="C2248" t="s">
        <v>559</v>
      </c>
      <c r="D2248" t="s">
        <v>70</v>
      </c>
      <c r="E2248" t="s">
        <v>129</v>
      </c>
      <c r="F2248">
        <v>3</v>
      </c>
      <c r="G2248">
        <v>0.2</v>
      </c>
      <c r="H2248">
        <v>132000</v>
      </c>
      <c r="I2248">
        <v>1359.31</v>
      </c>
      <c r="J2248" t="s">
        <v>65</v>
      </c>
      <c r="K2248" t="s">
        <v>40</v>
      </c>
      <c r="L2248">
        <v>44000</v>
      </c>
      <c r="M2248">
        <v>1.029780303030303</v>
      </c>
      <c r="N2248" t="s">
        <v>8</v>
      </c>
      <c r="O2248" t="s">
        <v>478</v>
      </c>
      <c r="P2248" t="s">
        <v>29</v>
      </c>
      <c r="Q2248" t="s">
        <v>30</v>
      </c>
      <c r="R2248" t="s">
        <v>53</v>
      </c>
      <c r="S2248" t="s">
        <v>54</v>
      </c>
      <c r="T2248" t="s">
        <v>560</v>
      </c>
      <c r="U2248" t="s">
        <v>34</v>
      </c>
      <c r="V2248">
        <v>453.1033333333333</v>
      </c>
    </row>
    <row r="2249" spans="1:22" x14ac:dyDescent="0.3">
      <c r="A2249" t="s">
        <v>3675</v>
      </c>
      <c r="B2249" s="2">
        <v>45880</v>
      </c>
      <c r="C2249" t="s">
        <v>36</v>
      </c>
      <c r="D2249" t="s">
        <v>70</v>
      </c>
      <c r="E2249" t="s">
        <v>108</v>
      </c>
      <c r="F2249">
        <v>4</v>
      </c>
      <c r="G2249">
        <v>0</v>
      </c>
      <c r="H2249">
        <v>18000</v>
      </c>
      <c r="I2249">
        <v>6000</v>
      </c>
      <c r="J2249" t="s">
        <v>51</v>
      </c>
      <c r="K2249" t="s">
        <v>40</v>
      </c>
      <c r="L2249">
        <v>4500</v>
      </c>
      <c r="M2249">
        <v>33.333333333333329</v>
      </c>
      <c r="N2249" t="s">
        <v>8</v>
      </c>
      <c r="O2249" t="s">
        <v>41</v>
      </c>
      <c r="P2249" t="s">
        <v>29</v>
      </c>
      <c r="Q2249" t="s">
        <v>42</v>
      </c>
      <c r="R2249" t="s">
        <v>43</v>
      </c>
      <c r="S2249" t="s">
        <v>44</v>
      </c>
      <c r="T2249" t="s">
        <v>45</v>
      </c>
      <c r="U2249" t="s">
        <v>46</v>
      </c>
      <c r="V2249">
        <v>1500</v>
      </c>
    </row>
    <row r="2250" spans="1:22" x14ac:dyDescent="0.3">
      <c r="A2250" t="s">
        <v>3676</v>
      </c>
      <c r="B2250" s="2">
        <v>46206</v>
      </c>
      <c r="C2250" t="s">
        <v>559</v>
      </c>
      <c r="D2250" t="s">
        <v>24</v>
      </c>
      <c r="E2250" t="s">
        <v>242</v>
      </c>
      <c r="F2250">
        <v>1</v>
      </c>
      <c r="G2250">
        <v>0.15</v>
      </c>
      <c r="H2250">
        <v>382.5</v>
      </c>
      <c r="I2250">
        <v>72.69</v>
      </c>
      <c r="J2250" t="s">
        <v>39</v>
      </c>
      <c r="K2250" t="s">
        <v>40</v>
      </c>
      <c r="L2250">
        <v>382.5</v>
      </c>
      <c r="M2250">
        <v>19.003921568627451</v>
      </c>
      <c r="N2250" t="s">
        <v>8</v>
      </c>
      <c r="O2250" t="s">
        <v>478</v>
      </c>
      <c r="P2250" t="s">
        <v>29</v>
      </c>
      <c r="Q2250" t="s">
        <v>30</v>
      </c>
      <c r="R2250" t="s">
        <v>53</v>
      </c>
      <c r="S2250" t="s">
        <v>54</v>
      </c>
      <c r="T2250" t="s">
        <v>560</v>
      </c>
      <c r="U2250" t="s">
        <v>34</v>
      </c>
      <c r="V2250">
        <v>72.69</v>
      </c>
    </row>
    <row r="2251" spans="1:22" x14ac:dyDescent="0.3">
      <c r="A2251" t="s">
        <v>3677</v>
      </c>
      <c r="B2251" s="2">
        <v>46163</v>
      </c>
      <c r="C2251" t="s">
        <v>1196</v>
      </c>
      <c r="D2251" t="s">
        <v>37</v>
      </c>
      <c r="E2251" t="s">
        <v>310</v>
      </c>
      <c r="F2251">
        <v>2</v>
      </c>
      <c r="G2251">
        <v>0.15</v>
      </c>
      <c r="H2251">
        <v>3740</v>
      </c>
      <c r="I2251">
        <v>943.6</v>
      </c>
      <c r="J2251" t="s">
        <v>26</v>
      </c>
      <c r="K2251" t="s">
        <v>40</v>
      </c>
      <c r="L2251">
        <v>1870</v>
      </c>
      <c r="M2251">
        <v>25.229946524064172</v>
      </c>
      <c r="N2251" t="s">
        <v>8</v>
      </c>
      <c r="O2251" t="s">
        <v>686</v>
      </c>
      <c r="P2251" t="s">
        <v>73</v>
      </c>
      <c r="Q2251" t="s">
        <v>30</v>
      </c>
      <c r="R2251" t="s">
        <v>53</v>
      </c>
      <c r="S2251" t="s">
        <v>54</v>
      </c>
      <c r="T2251" t="s">
        <v>1197</v>
      </c>
      <c r="U2251" t="s">
        <v>100</v>
      </c>
      <c r="V2251">
        <v>471.8</v>
      </c>
    </row>
    <row r="2252" spans="1:22" x14ac:dyDescent="0.3">
      <c r="A2252" t="s">
        <v>3678</v>
      </c>
      <c r="B2252" s="2">
        <v>46067</v>
      </c>
      <c r="C2252" t="s">
        <v>958</v>
      </c>
      <c r="D2252" t="s">
        <v>49</v>
      </c>
      <c r="E2252" t="s">
        <v>50</v>
      </c>
      <c r="F2252">
        <v>1</v>
      </c>
      <c r="G2252">
        <v>0.1</v>
      </c>
      <c r="H2252">
        <v>11700</v>
      </c>
      <c r="I2252">
        <v>2400.5100000000002</v>
      </c>
      <c r="J2252" t="s">
        <v>39</v>
      </c>
      <c r="K2252" t="s">
        <v>40</v>
      </c>
      <c r="L2252">
        <v>11700</v>
      </c>
      <c r="M2252">
        <v>20.51717948717949</v>
      </c>
      <c r="N2252" t="s">
        <v>8</v>
      </c>
      <c r="O2252" t="s">
        <v>959</v>
      </c>
      <c r="P2252" t="s">
        <v>73</v>
      </c>
      <c r="Q2252" t="s">
        <v>42</v>
      </c>
      <c r="R2252" t="s">
        <v>43</v>
      </c>
      <c r="S2252" t="s">
        <v>44</v>
      </c>
      <c r="T2252" t="s">
        <v>960</v>
      </c>
      <c r="U2252" t="s">
        <v>34</v>
      </c>
      <c r="V2252">
        <v>2400.5100000000002</v>
      </c>
    </row>
    <row r="2253" spans="1:22" x14ac:dyDescent="0.3">
      <c r="A2253" t="s">
        <v>3679</v>
      </c>
      <c r="B2253" s="2">
        <v>46059</v>
      </c>
      <c r="C2253" t="s">
        <v>2150</v>
      </c>
      <c r="D2253" t="s">
        <v>49</v>
      </c>
      <c r="E2253" t="s">
        <v>79</v>
      </c>
      <c r="F2253">
        <v>2</v>
      </c>
      <c r="G2253">
        <v>0.15</v>
      </c>
      <c r="H2253">
        <v>18700</v>
      </c>
      <c r="I2253">
        <v>3186.98</v>
      </c>
      <c r="J2253" t="s">
        <v>51</v>
      </c>
      <c r="K2253" t="s">
        <v>40</v>
      </c>
      <c r="L2253">
        <v>9350</v>
      </c>
      <c r="M2253">
        <v>17.042673796791441</v>
      </c>
      <c r="N2253" t="s">
        <v>8</v>
      </c>
      <c r="O2253" t="s">
        <v>149</v>
      </c>
      <c r="P2253" t="s">
        <v>83</v>
      </c>
      <c r="Q2253" t="s">
        <v>74</v>
      </c>
      <c r="R2253" t="s">
        <v>75</v>
      </c>
      <c r="S2253" t="s">
        <v>75</v>
      </c>
      <c r="T2253" t="s">
        <v>1862</v>
      </c>
      <c r="U2253" t="s">
        <v>105</v>
      </c>
      <c r="V2253">
        <v>1593.49</v>
      </c>
    </row>
    <row r="2254" spans="1:22" x14ac:dyDescent="0.3">
      <c r="A2254" t="s">
        <v>3680</v>
      </c>
      <c r="B2254" s="2">
        <v>46151</v>
      </c>
      <c r="C2254" t="s">
        <v>2014</v>
      </c>
      <c r="D2254" t="s">
        <v>49</v>
      </c>
      <c r="E2254" t="s">
        <v>50</v>
      </c>
      <c r="F2254">
        <v>3</v>
      </c>
      <c r="G2254">
        <v>0.15</v>
      </c>
      <c r="H2254">
        <v>33150</v>
      </c>
      <c r="I2254">
        <v>6765.56</v>
      </c>
      <c r="J2254" t="s">
        <v>65</v>
      </c>
      <c r="K2254" t="s">
        <v>40</v>
      </c>
      <c r="L2254">
        <v>11050</v>
      </c>
      <c r="M2254">
        <v>20.408929110105579</v>
      </c>
      <c r="N2254" t="s">
        <v>8</v>
      </c>
      <c r="O2254" t="s">
        <v>911</v>
      </c>
      <c r="P2254" t="s">
        <v>29</v>
      </c>
      <c r="Q2254" t="s">
        <v>42</v>
      </c>
      <c r="R2254" t="s">
        <v>214</v>
      </c>
      <c r="S2254" t="s">
        <v>111</v>
      </c>
      <c r="T2254" t="s">
        <v>2015</v>
      </c>
      <c r="U2254" t="s">
        <v>105</v>
      </c>
      <c r="V2254">
        <v>2255.186666666667</v>
      </c>
    </row>
    <row r="2255" spans="1:22" x14ac:dyDescent="0.3">
      <c r="A2255" t="s">
        <v>3681</v>
      </c>
      <c r="B2255" s="2">
        <v>46136</v>
      </c>
      <c r="C2255" t="s">
        <v>3077</v>
      </c>
      <c r="D2255" t="s">
        <v>24</v>
      </c>
      <c r="E2255" t="s">
        <v>242</v>
      </c>
      <c r="F2255">
        <v>1</v>
      </c>
      <c r="G2255">
        <v>0.2</v>
      </c>
      <c r="H2255">
        <v>360</v>
      </c>
      <c r="I2255">
        <v>66.650000000000006</v>
      </c>
      <c r="J2255" t="s">
        <v>51</v>
      </c>
      <c r="K2255" t="s">
        <v>40</v>
      </c>
      <c r="L2255">
        <v>360</v>
      </c>
      <c r="M2255">
        <v>18.513888888888889</v>
      </c>
      <c r="N2255" t="s">
        <v>8</v>
      </c>
      <c r="O2255" t="s">
        <v>3078</v>
      </c>
      <c r="P2255" t="s">
        <v>83</v>
      </c>
      <c r="Q2255" t="s">
        <v>42</v>
      </c>
      <c r="R2255" t="s">
        <v>214</v>
      </c>
      <c r="S2255" t="s">
        <v>111</v>
      </c>
      <c r="T2255" t="s">
        <v>3079</v>
      </c>
      <c r="U2255" t="s">
        <v>46</v>
      </c>
      <c r="V2255">
        <v>66.650000000000006</v>
      </c>
    </row>
    <row r="2256" spans="1:22" x14ac:dyDescent="0.3">
      <c r="A2256" t="s">
        <v>3682</v>
      </c>
      <c r="B2256" s="2">
        <v>46240</v>
      </c>
      <c r="C2256" t="s">
        <v>748</v>
      </c>
      <c r="D2256" t="s">
        <v>24</v>
      </c>
      <c r="E2256" t="s">
        <v>92</v>
      </c>
      <c r="F2256">
        <v>3</v>
      </c>
      <c r="G2256">
        <v>0</v>
      </c>
      <c r="H2256">
        <v>2700</v>
      </c>
      <c r="I2256">
        <v>-369.1</v>
      </c>
      <c r="J2256" t="s">
        <v>51</v>
      </c>
      <c r="K2256" t="s">
        <v>434</v>
      </c>
      <c r="L2256">
        <v>900</v>
      </c>
      <c r="M2256">
        <v>-13.670370370370369</v>
      </c>
      <c r="N2256" t="s">
        <v>81</v>
      </c>
      <c r="O2256" t="s">
        <v>749</v>
      </c>
      <c r="P2256" t="s">
        <v>29</v>
      </c>
      <c r="Q2256" t="s">
        <v>30</v>
      </c>
      <c r="R2256" t="s">
        <v>60</v>
      </c>
      <c r="S2256" t="s">
        <v>61</v>
      </c>
      <c r="T2256" t="s">
        <v>750</v>
      </c>
      <c r="U2256" t="s">
        <v>34</v>
      </c>
      <c r="V2256">
        <v>-123.0333333333333</v>
      </c>
    </row>
    <row r="2257" spans="1:22" x14ac:dyDescent="0.3">
      <c r="A2257" t="s">
        <v>3683</v>
      </c>
      <c r="B2257" s="2">
        <v>45908</v>
      </c>
      <c r="C2257" t="s">
        <v>3684</v>
      </c>
      <c r="D2257" t="s">
        <v>37</v>
      </c>
      <c r="E2257" t="s">
        <v>170</v>
      </c>
      <c r="F2257">
        <v>3</v>
      </c>
      <c r="G2257">
        <v>0.2</v>
      </c>
      <c r="H2257">
        <v>3360</v>
      </c>
      <c r="I2257">
        <v>-957.99</v>
      </c>
      <c r="J2257" t="s">
        <v>51</v>
      </c>
      <c r="K2257" t="s">
        <v>80</v>
      </c>
      <c r="L2257">
        <v>1120</v>
      </c>
      <c r="M2257">
        <v>-28.511607142857141</v>
      </c>
      <c r="N2257" t="s">
        <v>81</v>
      </c>
      <c r="O2257" t="s">
        <v>730</v>
      </c>
      <c r="P2257" t="s">
        <v>29</v>
      </c>
      <c r="Q2257" t="s">
        <v>131</v>
      </c>
      <c r="R2257" t="s">
        <v>200</v>
      </c>
      <c r="S2257" t="s">
        <v>201</v>
      </c>
      <c r="T2257" t="s">
        <v>3685</v>
      </c>
      <c r="U2257" t="s">
        <v>34</v>
      </c>
      <c r="V2257">
        <v>-319.33</v>
      </c>
    </row>
    <row r="2258" spans="1:22" x14ac:dyDescent="0.3">
      <c r="A2258" t="s">
        <v>3686</v>
      </c>
      <c r="B2258" s="2">
        <v>45872</v>
      </c>
      <c r="C2258" t="s">
        <v>1000</v>
      </c>
      <c r="D2258" t="s">
        <v>24</v>
      </c>
      <c r="E2258" t="s">
        <v>87</v>
      </c>
      <c r="F2258">
        <v>4</v>
      </c>
      <c r="G2258">
        <v>0.2</v>
      </c>
      <c r="H2258">
        <v>1120</v>
      </c>
      <c r="I2258">
        <v>330.31</v>
      </c>
      <c r="J2258" t="s">
        <v>39</v>
      </c>
      <c r="K2258" t="s">
        <v>40</v>
      </c>
      <c r="L2258">
        <v>280</v>
      </c>
      <c r="M2258">
        <v>29.491964285714289</v>
      </c>
      <c r="N2258" t="s">
        <v>8</v>
      </c>
      <c r="O2258" t="s">
        <v>1001</v>
      </c>
      <c r="P2258" t="s">
        <v>29</v>
      </c>
      <c r="Q2258" t="s">
        <v>30</v>
      </c>
      <c r="R2258" t="s">
        <v>60</v>
      </c>
      <c r="S2258" t="s">
        <v>61</v>
      </c>
      <c r="T2258" t="s">
        <v>1002</v>
      </c>
      <c r="U2258" t="s">
        <v>105</v>
      </c>
      <c r="V2258">
        <v>82.577500000000001</v>
      </c>
    </row>
    <row r="2259" spans="1:22" x14ac:dyDescent="0.3">
      <c r="A2259" t="s">
        <v>3687</v>
      </c>
      <c r="B2259" s="2">
        <v>46264</v>
      </c>
      <c r="C2259" t="s">
        <v>1382</v>
      </c>
      <c r="D2259" t="s">
        <v>37</v>
      </c>
      <c r="E2259" t="s">
        <v>170</v>
      </c>
      <c r="F2259">
        <v>2</v>
      </c>
      <c r="G2259">
        <v>0.1</v>
      </c>
      <c r="H2259">
        <v>2520</v>
      </c>
      <c r="I2259">
        <v>780.63</v>
      </c>
      <c r="J2259" t="s">
        <v>26</v>
      </c>
      <c r="K2259" t="s">
        <v>40</v>
      </c>
      <c r="L2259">
        <v>1260</v>
      </c>
      <c r="M2259">
        <v>30.977380952380951</v>
      </c>
      <c r="N2259" t="s">
        <v>8</v>
      </c>
      <c r="O2259" t="s">
        <v>1383</v>
      </c>
      <c r="P2259" t="s">
        <v>83</v>
      </c>
      <c r="Q2259" t="s">
        <v>30</v>
      </c>
      <c r="R2259" t="s">
        <v>60</v>
      </c>
      <c r="S2259" t="s">
        <v>61</v>
      </c>
      <c r="T2259" t="s">
        <v>227</v>
      </c>
      <c r="U2259" t="s">
        <v>46</v>
      </c>
      <c r="V2259">
        <v>390.315</v>
      </c>
    </row>
    <row r="2260" spans="1:22" x14ac:dyDescent="0.3">
      <c r="A2260" t="s">
        <v>3688</v>
      </c>
      <c r="B2260" s="2">
        <v>46215</v>
      </c>
      <c r="C2260" t="s">
        <v>48</v>
      </c>
      <c r="D2260" t="s">
        <v>37</v>
      </c>
      <c r="E2260" t="s">
        <v>190</v>
      </c>
      <c r="F2260">
        <v>1</v>
      </c>
      <c r="G2260">
        <v>0.05</v>
      </c>
      <c r="H2260">
        <v>3990</v>
      </c>
      <c r="I2260">
        <v>1074.3499999999999</v>
      </c>
      <c r="J2260" t="s">
        <v>51</v>
      </c>
      <c r="K2260" t="s">
        <v>40</v>
      </c>
      <c r="L2260">
        <v>3990</v>
      </c>
      <c r="M2260">
        <v>26.92606516290726</v>
      </c>
      <c r="N2260" t="s">
        <v>8</v>
      </c>
      <c r="O2260" t="s">
        <v>52</v>
      </c>
      <c r="P2260" t="s">
        <v>29</v>
      </c>
      <c r="Q2260" t="s">
        <v>30</v>
      </c>
      <c r="R2260" t="s">
        <v>53</v>
      </c>
      <c r="S2260" t="s">
        <v>54</v>
      </c>
      <c r="T2260" t="s">
        <v>55</v>
      </c>
      <c r="U2260" t="s">
        <v>34</v>
      </c>
      <c r="V2260">
        <v>1074.3499999999999</v>
      </c>
    </row>
    <row r="2261" spans="1:22" x14ac:dyDescent="0.3">
      <c r="A2261" t="s">
        <v>3689</v>
      </c>
      <c r="B2261" s="2">
        <v>45995</v>
      </c>
      <c r="C2261" t="s">
        <v>481</v>
      </c>
      <c r="D2261" t="s">
        <v>70</v>
      </c>
      <c r="E2261" t="s">
        <v>165</v>
      </c>
      <c r="F2261">
        <v>3</v>
      </c>
      <c r="G2261">
        <v>0.1</v>
      </c>
      <c r="H2261">
        <v>6750</v>
      </c>
      <c r="I2261">
        <v>-3174.41</v>
      </c>
      <c r="J2261" t="s">
        <v>26</v>
      </c>
      <c r="K2261" t="s">
        <v>80</v>
      </c>
      <c r="L2261">
        <v>2250</v>
      </c>
      <c r="M2261">
        <v>-47.028296296296297</v>
      </c>
      <c r="N2261" t="s">
        <v>81</v>
      </c>
      <c r="O2261" t="s">
        <v>482</v>
      </c>
      <c r="P2261" t="s">
        <v>83</v>
      </c>
      <c r="Q2261" t="s">
        <v>30</v>
      </c>
      <c r="R2261" t="s">
        <v>31</v>
      </c>
      <c r="S2261" t="s">
        <v>32</v>
      </c>
      <c r="T2261" t="s">
        <v>483</v>
      </c>
      <c r="U2261" t="s">
        <v>46</v>
      </c>
      <c r="V2261">
        <v>-1058.136666666667</v>
      </c>
    </row>
    <row r="2262" spans="1:22" x14ac:dyDescent="0.3">
      <c r="A2262" t="s">
        <v>3690</v>
      </c>
      <c r="B2262" s="2">
        <v>45896</v>
      </c>
      <c r="C2262" t="s">
        <v>381</v>
      </c>
      <c r="D2262" t="s">
        <v>24</v>
      </c>
      <c r="E2262" t="s">
        <v>87</v>
      </c>
      <c r="F2262">
        <v>1</v>
      </c>
      <c r="G2262">
        <v>0.1</v>
      </c>
      <c r="H2262">
        <v>315</v>
      </c>
      <c r="I2262">
        <v>94.35</v>
      </c>
      <c r="J2262" t="s">
        <v>51</v>
      </c>
      <c r="K2262" t="s">
        <v>27</v>
      </c>
      <c r="L2262">
        <v>315</v>
      </c>
      <c r="M2262">
        <v>29.952380952380949</v>
      </c>
      <c r="N2262" t="s">
        <v>8</v>
      </c>
      <c r="O2262" t="s">
        <v>382</v>
      </c>
      <c r="P2262" t="s">
        <v>73</v>
      </c>
      <c r="Q2262" t="s">
        <v>30</v>
      </c>
      <c r="R2262" t="s">
        <v>98</v>
      </c>
      <c r="S2262" t="s">
        <v>54</v>
      </c>
      <c r="T2262" t="s">
        <v>383</v>
      </c>
      <c r="U2262" t="s">
        <v>100</v>
      </c>
      <c r="V2262">
        <v>94.35</v>
      </c>
    </row>
    <row r="2263" spans="1:22" x14ac:dyDescent="0.3">
      <c r="A2263" t="s">
        <v>3691</v>
      </c>
      <c r="B2263" s="2">
        <v>46075</v>
      </c>
      <c r="C2263" t="s">
        <v>1262</v>
      </c>
      <c r="D2263" t="s">
        <v>37</v>
      </c>
      <c r="E2263" t="s">
        <v>190</v>
      </c>
      <c r="F2263">
        <v>1</v>
      </c>
      <c r="G2263">
        <v>0</v>
      </c>
      <c r="H2263">
        <v>4200</v>
      </c>
      <c r="I2263">
        <v>1200</v>
      </c>
      <c r="J2263" t="s">
        <v>39</v>
      </c>
      <c r="K2263" t="s">
        <v>40</v>
      </c>
      <c r="L2263">
        <v>4200</v>
      </c>
      <c r="M2263">
        <v>28.571428571428569</v>
      </c>
      <c r="N2263" t="s">
        <v>8</v>
      </c>
      <c r="O2263" t="s">
        <v>1263</v>
      </c>
      <c r="P2263" t="s">
        <v>83</v>
      </c>
      <c r="Q2263" t="s">
        <v>30</v>
      </c>
      <c r="R2263" t="s">
        <v>53</v>
      </c>
      <c r="S2263" t="s">
        <v>54</v>
      </c>
      <c r="T2263" t="s">
        <v>1264</v>
      </c>
      <c r="U2263" t="s">
        <v>46</v>
      </c>
      <c r="V2263">
        <v>1200</v>
      </c>
    </row>
    <row r="2264" spans="1:22" x14ac:dyDescent="0.3">
      <c r="A2264" t="s">
        <v>3692</v>
      </c>
      <c r="B2264" s="2">
        <v>46055</v>
      </c>
      <c r="C2264" t="s">
        <v>3068</v>
      </c>
      <c r="D2264" t="s">
        <v>49</v>
      </c>
      <c r="E2264" t="s">
        <v>119</v>
      </c>
      <c r="F2264">
        <v>6</v>
      </c>
      <c r="G2264">
        <v>0.1</v>
      </c>
      <c r="H2264">
        <v>48600</v>
      </c>
      <c r="I2264">
        <v>10407.61</v>
      </c>
      <c r="J2264" t="s">
        <v>26</v>
      </c>
      <c r="K2264" t="s">
        <v>40</v>
      </c>
      <c r="L2264">
        <v>8100</v>
      </c>
      <c r="M2264">
        <v>21.4148353909465</v>
      </c>
      <c r="N2264" t="s">
        <v>8</v>
      </c>
      <c r="O2264" t="s">
        <v>784</v>
      </c>
      <c r="P2264" t="s">
        <v>29</v>
      </c>
      <c r="Q2264" t="s">
        <v>42</v>
      </c>
      <c r="R2264" t="s">
        <v>121</v>
      </c>
      <c r="S2264" t="s">
        <v>44</v>
      </c>
      <c r="T2264" t="s">
        <v>3069</v>
      </c>
      <c r="U2264" t="s">
        <v>34</v>
      </c>
      <c r="V2264">
        <v>1734.6016666666669</v>
      </c>
    </row>
    <row r="2265" spans="1:22" x14ac:dyDescent="0.3">
      <c r="A2265" t="s">
        <v>3693</v>
      </c>
      <c r="B2265" s="2">
        <v>46176</v>
      </c>
      <c r="C2265" t="s">
        <v>1436</v>
      </c>
      <c r="D2265" t="s">
        <v>70</v>
      </c>
      <c r="E2265" t="s">
        <v>108</v>
      </c>
      <c r="F2265">
        <v>3</v>
      </c>
      <c r="G2265">
        <v>0.15</v>
      </c>
      <c r="H2265">
        <v>11475</v>
      </c>
      <c r="I2265">
        <v>3148.85</v>
      </c>
      <c r="J2265" t="s">
        <v>26</v>
      </c>
      <c r="K2265" t="s">
        <v>40</v>
      </c>
      <c r="L2265">
        <v>3825</v>
      </c>
      <c r="M2265">
        <v>27.440958605664491</v>
      </c>
      <c r="N2265" t="s">
        <v>8</v>
      </c>
      <c r="O2265" t="s">
        <v>697</v>
      </c>
      <c r="P2265" t="s">
        <v>83</v>
      </c>
      <c r="Q2265" t="s">
        <v>30</v>
      </c>
      <c r="R2265" t="s">
        <v>60</v>
      </c>
      <c r="S2265" t="s">
        <v>61</v>
      </c>
      <c r="T2265" t="s">
        <v>1437</v>
      </c>
      <c r="U2265" t="s">
        <v>46</v>
      </c>
      <c r="V2265">
        <v>1049.616666666667</v>
      </c>
    </row>
    <row r="2266" spans="1:22" x14ac:dyDescent="0.3">
      <c r="A2266" t="s">
        <v>3694</v>
      </c>
      <c r="B2266" s="2">
        <v>45862</v>
      </c>
      <c r="C2266" t="s">
        <v>843</v>
      </c>
      <c r="D2266" t="s">
        <v>37</v>
      </c>
      <c r="E2266" t="s">
        <v>190</v>
      </c>
      <c r="F2266">
        <v>3</v>
      </c>
      <c r="G2266">
        <v>0</v>
      </c>
      <c r="H2266">
        <v>12600</v>
      </c>
      <c r="I2266">
        <v>3600</v>
      </c>
      <c r="J2266" t="s">
        <v>26</v>
      </c>
      <c r="K2266" t="s">
        <v>40</v>
      </c>
      <c r="L2266">
        <v>4200</v>
      </c>
      <c r="M2266">
        <v>28.571428571428569</v>
      </c>
      <c r="N2266" t="s">
        <v>8</v>
      </c>
      <c r="O2266" t="s">
        <v>844</v>
      </c>
      <c r="P2266" t="s">
        <v>29</v>
      </c>
      <c r="Q2266" t="s">
        <v>42</v>
      </c>
      <c r="R2266" t="s">
        <v>214</v>
      </c>
      <c r="S2266" t="s">
        <v>111</v>
      </c>
      <c r="T2266" t="s">
        <v>750</v>
      </c>
      <c r="U2266" t="s">
        <v>100</v>
      </c>
      <c r="V2266">
        <v>1200</v>
      </c>
    </row>
    <row r="2267" spans="1:22" x14ac:dyDescent="0.3">
      <c r="A2267" t="s">
        <v>3695</v>
      </c>
      <c r="B2267" s="2">
        <v>46220</v>
      </c>
      <c r="C2267" t="s">
        <v>1799</v>
      </c>
      <c r="D2267" t="s">
        <v>49</v>
      </c>
      <c r="E2267" t="s">
        <v>119</v>
      </c>
      <c r="F2267">
        <v>15</v>
      </c>
      <c r="G2267">
        <v>0.1</v>
      </c>
      <c r="H2267">
        <v>121500</v>
      </c>
      <c r="I2267">
        <v>27591.66</v>
      </c>
      <c r="J2267" t="s">
        <v>51</v>
      </c>
      <c r="K2267" t="s">
        <v>40</v>
      </c>
      <c r="L2267">
        <v>8100</v>
      </c>
      <c r="M2267">
        <v>22.709185185185181</v>
      </c>
      <c r="N2267" t="s">
        <v>8</v>
      </c>
      <c r="O2267" t="s">
        <v>1800</v>
      </c>
      <c r="P2267" t="s">
        <v>73</v>
      </c>
      <c r="Q2267" t="s">
        <v>30</v>
      </c>
      <c r="R2267" t="s">
        <v>98</v>
      </c>
      <c r="S2267" t="s">
        <v>54</v>
      </c>
      <c r="T2267" t="s">
        <v>1801</v>
      </c>
      <c r="U2267" t="s">
        <v>100</v>
      </c>
      <c r="V2267">
        <v>1839.444</v>
      </c>
    </row>
    <row r="2268" spans="1:22" x14ac:dyDescent="0.3">
      <c r="A2268" t="s">
        <v>3696</v>
      </c>
      <c r="B2268" s="2">
        <v>46041</v>
      </c>
      <c r="C2268" t="s">
        <v>1297</v>
      </c>
      <c r="D2268" t="s">
        <v>70</v>
      </c>
      <c r="E2268" t="s">
        <v>165</v>
      </c>
      <c r="F2268">
        <v>1</v>
      </c>
      <c r="G2268">
        <v>0</v>
      </c>
      <c r="H2268">
        <v>2500</v>
      </c>
      <c r="I2268">
        <v>-945.94</v>
      </c>
      <c r="J2268" t="s">
        <v>51</v>
      </c>
      <c r="K2268" t="s">
        <v>434</v>
      </c>
      <c r="L2268">
        <v>2500</v>
      </c>
      <c r="M2268">
        <v>-37.837600000000002</v>
      </c>
      <c r="N2268" t="s">
        <v>81</v>
      </c>
      <c r="O2268" t="s">
        <v>781</v>
      </c>
      <c r="P2268" t="s">
        <v>29</v>
      </c>
      <c r="Q2268" t="s">
        <v>30</v>
      </c>
      <c r="R2268" t="s">
        <v>31</v>
      </c>
      <c r="S2268" t="s">
        <v>32</v>
      </c>
      <c r="T2268" t="s">
        <v>1298</v>
      </c>
      <c r="U2268" t="s">
        <v>100</v>
      </c>
      <c r="V2268">
        <v>-945.94</v>
      </c>
    </row>
    <row r="2269" spans="1:22" x14ac:dyDescent="0.3">
      <c r="A2269" t="s">
        <v>3697</v>
      </c>
      <c r="B2269" s="2">
        <v>46237</v>
      </c>
      <c r="C2269" t="s">
        <v>659</v>
      </c>
      <c r="D2269" t="s">
        <v>24</v>
      </c>
      <c r="E2269" t="s">
        <v>242</v>
      </c>
      <c r="F2269">
        <v>1</v>
      </c>
      <c r="G2269">
        <v>0</v>
      </c>
      <c r="H2269">
        <v>450</v>
      </c>
      <c r="I2269">
        <v>110</v>
      </c>
      <c r="J2269" t="s">
        <v>51</v>
      </c>
      <c r="K2269" t="s">
        <v>40</v>
      </c>
      <c r="L2269">
        <v>450</v>
      </c>
      <c r="M2269">
        <v>24.444444444444439</v>
      </c>
      <c r="N2269" t="s">
        <v>8</v>
      </c>
      <c r="O2269" t="s">
        <v>660</v>
      </c>
      <c r="P2269" t="s">
        <v>83</v>
      </c>
      <c r="Q2269" t="s">
        <v>30</v>
      </c>
      <c r="R2269" t="s">
        <v>60</v>
      </c>
      <c r="S2269" t="s">
        <v>61</v>
      </c>
      <c r="T2269" t="s">
        <v>475</v>
      </c>
      <c r="U2269" t="s">
        <v>46</v>
      </c>
      <c r="V2269">
        <v>110</v>
      </c>
    </row>
    <row r="2270" spans="1:22" x14ac:dyDescent="0.3">
      <c r="A2270" t="s">
        <v>3698</v>
      </c>
      <c r="B2270" s="2">
        <v>46203</v>
      </c>
      <c r="C2270" t="s">
        <v>801</v>
      </c>
      <c r="D2270" t="s">
        <v>37</v>
      </c>
      <c r="E2270" t="s">
        <v>310</v>
      </c>
      <c r="F2270">
        <v>6</v>
      </c>
      <c r="G2270">
        <v>0.1</v>
      </c>
      <c r="H2270">
        <v>11880</v>
      </c>
      <c r="I2270">
        <v>3438.83</v>
      </c>
      <c r="J2270" t="s">
        <v>26</v>
      </c>
      <c r="K2270" t="s">
        <v>40</v>
      </c>
      <c r="L2270">
        <v>1980</v>
      </c>
      <c r="M2270">
        <v>28.946380471380468</v>
      </c>
      <c r="N2270" t="s">
        <v>8</v>
      </c>
      <c r="O2270" t="s">
        <v>478</v>
      </c>
      <c r="P2270" t="s">
        <v>29</v>
      </c>
      <c r="Q2270" t="s">
        <v>30</v>
      </c>
      <c r="R2270" t="s">
        <v>98</v>
      </c>
      <c r="S2270" t="s">
        <v>54</v>
      </c>
      <c r="T2270" t="s">
        <v>802</v>
      </c>
      <c r="U2270" t="s">
        <v>34</v>
      </c>
      <c r="V2270">
        <v>573.13833333333332</v>
      </c>
    </row>
    <row r="2271" spans="1:22" x14ac:dyDescent="0.3">
      <c r="A2271" t="s">
        <v>3699</v>
      </c>
      <c r="B2271" s="2">
        <v>46187</v>
      </c>
      <c r="C2271" t="s">
        <v>2431</v>
      </c>
      <c r="D2271" t="s">
        <v>24</v>
      </c>
      <c r="E2271" t="s">
        <v>25</v>
      </c>
      <c r="F2271">
        <v>3</v>
      </c>
      <c r="G2271">
        <v>0.15</v>
      </c>
      <c r="H2271">
        <v>35700</v>
      </c>
      <c r="I2271">
        <v>4217.13</v>
      </c>
      <c r="J2271" t="s">
        <v>26</v>
      </c>
      <c r="K2271" t="s">
        <v>40</v>
      </c>
      <c r="L2271">
        <v>11900</v>
      </c>
      <c r="M2271">
        <v>11.812689075630249</v>
      </c>
      <c r="N2271" t="s">
        <v>8</v>
      </c>
      <c r="O2271" t="s">
        <v>2432</v>
      </c>
      <c r="P2271" t="s">
        <v>29</v>
      </c>
      <c r="Q2271" t="s">
        <v>131</v>
      </c>
      <c r="R2271" t="s">
        <v>200</v>
      </c>
      <c r="S2271" t="s">
        <v>201</v>
      </c>
      <c r="T2271" t="s">
        <v>2433</v>
      </c>
      <c r="U2271" t="s">
        <v>46</v>
      </c>
      <c r="V2271">
        <v>1405.71</v>
      </c>
    </row>
    <row r="2272" spans="1:22" x14ac:dyDescent="0.3">
      <c r="A2272" t="s">
        <v>3700</v>
      </c>
      <c r="B2272" s="2">
        <v>45896</v>
      </c>
      <c r="C2272" t="s">
        <v>1328</v>
      </c>
      <c r="D2272" t="s">
        <v>37</v>
      </c>
      <c r="E2272" t="s">
        <v>38</v>
      </c>
      <c r="F2272">
        <v>2</v>
      </c>
      <c r="G2272">
        <v>0.1</v>
      </c>
      <c r="H2272">
        <v>3240</v>
      </c>
      <c r="I2272">
        <v>1055.99</v>
      </c>
      <c r="J2272" t="s">
        <v>51</v>
      </c>
      <c r="K2272" t="s">
        <v>40</v>
      </c>
      <c r="L2272">
        <v>1620</v>
      </c>
      <c r="M2272">
        <v>32.592283950617293</v>
      </c>
      <c r="N2272" t="s">
        <v>8</v>
      </c>
      <c r="O2272" t="s">
        <v>1329</v>
      </c>
      <c r="P2272" t="s">
        <v>29</v>
      </c>
      <c r="Q2272" t="s">
        <v>74</v>
      </c>
      <c r="R2272" t="s">
        <v>237</v>
      </c>
      <c r="S2272" t="s">
        <v>238</v>
      </c>
      <c r="T2272" t="s">
        <v>934</v>
      </c>
      <c r="U2272" t="s">
        <v>34</v>
      </c>
      <c r="V2272">
        <v>527.995</v>
      </c>
    </row>
    <row r="2273" spans="1:22" x14ac:dyDescent="0.3">
      <c r="A2273" t="s">
        <v>3701</v>
      </c>
      <c r="B2273" s="2">
        <v>45884</v>
      </c>
      <c r="C2273" t="s">
        <v>878</v>
      </c>
      <c r="D2273" t="s">
        <v>24</v>
      </c>
      <c r="E2273" t="s">
        <v>87</v>
      </c>
      <c r="F2273">
        <v>2</v>
      </c>
      <c r="G2273">
        <v>0.2</v>
      </c>
      <c r="H2273">
        <v>560</v>
      </c>
      <c r="I2273">
        <v>165.02</v>
      </c>
      <c r="J2273" t="s">
        <v>26</v>
      </c>
      <c r="K2273" t="s">
        <v>40</v>
      </c>
      <c r="L2273">
        <v>280</v>
      </c>
      <c r="M2273">
        <v>29.467857142857149</v>
      </c>
      <c r="N2273" t="s">
        <v>8</v>
      </c>
      <c r="O2273" t="s">
        <v>879</v>
      </c>
      <c r="P2273" t="s">
        <v>83</v>
      </c>
      <c r="Q2273" t="s">
        <v>30</v>
      </c>
      <c r="R2273" t="s">
        <v>98</v>
      </c>
      <c r="S2273" t="s">
        <v>54</v>
      </c>
      <c r="T2273" t="s">
        <v>880</v>
      </c>
      <c r="U2273" t="s">
        <v>46</v>
      </c>
      <c r="V2273">
        <v>82.51</v>
      </c>
    </row>
    <row r="2274" spans="1:22" x14ac:dyDescent="0.3">
      <c r="A2274" t="s">
        <v>3702</v>
      </c>
      <c r="B2274" s="2">
        <v>45924</v>
      </c>
      <c r="C2274" t="s">
        <v>1433</v>
      </c>
      <c r="D2274" t="s">
        <v>24</v>
      </c>
      <c r="E2274" t="s">
        <v>25</v>
      </c>
      <c r="F2274">
        <v>5</v>
      </c>
      <c r="G2274">
        <v>0</v>
      </c>
      <c r="H2274">
        <v>70000</v>
      </c>
      <c r="I2274">
        <v>14000</v>
      </c>
      <c r="J2274" t="s">
        <v>51</v>
      </c>
      <c r="K2274" t="s">
        <v>40</v>
      </c>
      <c r="L2274">
        <v>14000</v>
      </c>
      <c r="M2274">
        <v>20</v>
      </c>
      <c r="N2274" t="s">
        <v>8</v>
      </c>
      <c r="O2274" t="s">
        <v>318</v>
      </c>
      <c r="P2274" t="s">
        <v>73</v>
      </c>
      <c r="Q2274" t="s">
        <v>30</v>
      </c>
      <c r="R2274" t="s">
        <v>53</v>
      </c>
      <c r="S2274" t="s">
        <v>54</v>
      </c>
      <c r="T2274" t="s">
        <v>1434</v>
      </c>
      <c r="U2274" t="s">
        <v>34</v>
      </c>
      <c r="V2274">
        <v>2800</v>
      </c>
    </row>
    <row r="2275" spans="1:22" x14ac:dyDescent="0.3">
      <c r="A2275" t="s">
        <v>3703</v>
      </c>
      <c r="B2275" s="2">
        <v>46002</v>
      </c>
      <c r="C2275" t="s">
        <v>2562</v>
      </c>
      <c r="D2275" t="s">
        <v>70</v>
      </c>
      <c r="E2275" t="s">
        <v>108</v>
      </c>
      <c r="F2275">
        <v>4</v>
      </c>
      <c r="G2275">
        <v>0.1</v>
      </c>
      <c r="H2275">
        <v>16200</v>
      </c>
      <c r="I2275">
        <v>4531.25</v>
      </c>
      <c r="J2275" t="s">
        <v>51</v>
      </c>
      <c r="K2275" t="s">
        <v>40</v>
      </c>
      <c r="L2275">
        <v>4050</v>
      </c>
      <c r="M2275">
        <v>27.970679012345681</v>
      </c>
      <c r="N2275" t="s">
        <v>8</v>
      </c>
      <c r="O2275" t="s">
        <v>2563</v>
      </c>
      <c r="P2275" t="s">
        <v>29</v>
      </c>
      <c r="Q2275" t="s">
        <v>30</v>
      </c>
      <c r="R2275" t="s">
        <v>60</v>
      </c>
      <c r="S2275" t="s">
        <v>61</v>
      </c>
      <c r="T2275" t="s">
        <v>1619</v>
      </c>
      <c r="U2275" t="s">
        <v>34</v>
      </c>
      <c r="V2275">
        <v>1132.8125</v>
      </c>
    </row>
    <row r="2276" spans="1:22" x14ac:dyDescent="0.3">
      <c r="A2276" t="s">
        <v>3704</v>
      </c>
      <c r="B2276" s="2">
        <v>46206</v>
      </c>
      <c r="C2276" t="s">
        <v>1610</v>
      </c>
      <c r="D2276" t="s">
        <v>49</v>
      </c>
      <c r="E2276" t="s">
        <v>50</v>
      </c>
      <c r="F2276">
        <v>1</v>
      </c>
      <c r="G2276">
        <v>0.15</v>
      </c>
      <c r="H2276">
        <v>11050</v>
      </c>
      <c r="I2276">
        <v>2243.17</v>
      </c>
      <c r="J2276" t="s">
        <v>65</v>
      </c>
      <c r="K2276" t="s">
        <v>40</v>
      </c>
      <c r="L2276">
        <v>11050</v>
      </c>
      <c r="M2276">
        <v>20.30018099547511</v>
      </c>
      <c r="N2276" t="s">
        <v>8</v>
      </c>
      <c r="O2276" t="s">
        <v>1611</v>
      </c>
      <c r="P2276" t="s">
        <v>29</v>
      </c>
      <c r="Q2276" t="s">
        <v>131</v>
      </c>
      <c r="R2276" t="s">
        <v>289</v>
      </c>
      <c r="S2276" t="s">
        <v>290</v>
      </c>
      <c r="T2276" t="s">
        <v>1612</v>
      </c>
      <c r="U2276" t="s">
        <v>100</v>
      </c>
      <c r="V2276">
        <v>2243.17</v>
      </c>
    </row>
    <row r="2277" spans="1:22" x14ac:dyDescent="0.3">
      <c r="A2277" t="s">
        <v>3705</v>
      </c>
      <c r="B2277" s="2">
        <v>46263</v>
      </c>
      <c r="C2277" t="s">
        <v>736</v>
      </c>
      <c r="D2277" t="s">
        <v>70</v>
      </c>
      <c r="E2277" t="s">
        <v>165</v>
      </c>
      <c r="F2277">
        <v>2</v>
      </c>
      <c r="G2277">
        <v>0.1</v>
      </c>
      <c r="H2277">
        <v>4500</v>
      </c>
      <c r="I2277">
        <v>-1124.29</v>
      </c>
      <c r="J2277" t="s">
        <v>65</v>
      </c>
      <c r="K2277" t="s">
        <v>80</v>
      </c>
      <c r="L2277">
        <v>2250</v>
      </c>
      <c r="M2277">
        <v>-24.984222222222218</v>
      </c>
      <c r="N2277" t="s">
        <v>81</v>
      </c>
      <c r="O2277" t="s">
        <v>648</v>
      </c>
      <c r="P2277" t="s">
        <v>29</v>
      </c>
      <c r="Q2277" t="s">
        <v>30</v>
      </c>
      <c r="R2277" t="s">
        <v>60</v>
      </c>
      <c r="S2277" t="s">
        <v>61</v>
      </c>
      <c r="T2277" t="s">
        <v>311</v>
      </c>
      <c r="U2277" t="s">
        <v>34</v>
      </c>
      <c r="V2277">
        <v>-562.14499999999998</v>
      </c>
    </row>
    <row r="2278" spans="1:22" x14ac:dyDescent="0.3">
      <c r="A2278" t="s">
        <v>3706</v>
      </c>
      <c r="B2278" s="2">
        <v>46079</v>
      </c>
      <c r="C2278" t="s">
        <v>2145</v>
      </c>
      <c r="D2278" t="s">
        <v>70</v>
      </c>
      <c r="E2278" t="s">
        <v>108</v>
      </c>
      <c r="F2278">
        <v>6</v>
      </c>
      <c r="G2278">
        <v>0</v>
      </c>
      <c r="H2278">
        <v>27000</v>
      </c>
      <c r="I2278">
        <v>9000</v>
      </c>
      <c r="J2278" t="s">
        <v>39</v>
      </c>
      <c r="K2278" t="s">
        <v>40</v>
      </c>
      <c r="L2278">
        <v>4500</v>
      </c>
      <c r="M2278">
        <v>33.333333333333329</v>
      </c>
      <c r="N2278" t="s">
        <v>8</v>
      </c>
      <c r="O2278" t="s">
        <v>302</v>
      </c>
      <c r="P2278" t="s">
        <v>29</v>
      </c>
      <c r="Q2278" t="s">
        <v>30</v>
      </c>
      <c r="R2278" t="s">
        <v>98</v>
      </c>
      <c r="S2278" t="s">
        <v>54</v>
      </c>
      <c r="T2278" t="s">
        <v>601</v>
      </c>
      <c r="U2278" t="s">
        <v>46</v>
      </c>
      <c r="V2278">
        <v>1500</v>
      </c>
    </row>
    <row r="2279" spans="1:22" x14ac:dyDescent="0.3">
      <c r="A2279" t="s">
        <v>3707</v>
      </c>
      <c r="B2279" s="2">
        <v>46199</v>
      </c>
      <c r="C2279" t="s">
        <v>726</v>
      </c>
      <c r="D2279" t="s">
        <v>24</v>
      </c>
      <c r="E2279" t="s">
        <v>92</v>
      </c>
      <c r="F2279">
        <v>2</v>
      </c>
      <c r="G2279">
        <v>0.1</v>
      </c>
      <c r="H2279">
        <v>1620</v>
      </c>
      <c r="I2279">
        <v>413.72</v>
      </c>
      <c r="J2279" t="s">
        <v>39</v>
      </c>
      <c r="K2279" t="s">
        <v>40</v>
      </c>
      <c r="L2279">
        <v>810</v>
      </c>
      <c r="M2279">
        <v>25.53827160493827</v>
      </c>
      <c r="N2279" t="s">
        <v>8</v>
      </c>
      <c r="O2279" t="s">
        <v>727</v>
      </c>
      <c r="P2279" t="s">
        <v>29</v>
      </c>
      <c r="Q2279" t="s">
        <v>30</v>
      </c>
      <c r="R2279" t="s">
        <v>31</v>
      </c>
      <c r="S2279" t="s">
        <v>32</v>
      </c>
      <c r="T2279" t="s">
        <v>33</v>
      </c>
      <c r="U2279" t="s">
        <v>34</v>
      </c>
      <c r="V2279">
        <v>206.86</v>
      </c>
    </row>
    <row r="2280" spans="1:22" x14ac:dyDescent="0.3">
      <c r="A2280" t="s">
        <v>3708</v>
      </c>
      <c r="B2280" s="2">
        <v>46171</v>
      </c>
      <c r="C2280" t="s">
        <v>1417</v>
      </c>
      <c r="D2280" t="s">
        <v>49</v>
      </c>
      <c r="E2280" t="s">
        <v>50</v>
      </c>
      <c r="F2280">
        <v>2</v>
      </c>
      <c r="G2280">
        <v>0</v>
      </c>
      <c r="H2280">
        <v>26000</v>
      </c>
      <c r="I2280">
        <v>6400</v>
      </c>
      <c r="J2280" t="s">
        <v>51</v>
      </c>
      <c r="K2280" t="s">
        <v>40</v>
      </c>
      <c r="L2280">
        <v>13000</v>
      </c>
      <c r="M2280">
        <v>24.61538461538462</v>
      </c>
      <c r="N2280" t="s">
        <v>8</v>
      </c>
      <c r="O2280" t="s">
        <v>448</v>
      </c>
      <c r="P2280" t="s">
        <v>83</v>
      </c>
      <c r="Q2280" t="s">
        <v>131</v>
      </c>
      <c r="R2280" t="s">
        <v>449</v>
      </c>
      <c r="S2280" t="s">
        <v>450</v>
      </c>
      <c r="T2280" t="s">
        <v>1418</v>
      </c>
      <c r="U2280" t="s">
        <v>34</v>
      </c>
      <c r="V2280">
        <v>3200</v>
      </c>
    </row>
    <row r="2281" spans="1:22" x14ac:dyDescent="0.3">
      <c r="A2281" t="s">
        <v>3709</v>
      </c>
      <c r="B2281" s="2">
        <v>46044</v>
      </c>
      <c r="C2281" t="s">
        <v>1125</v>
      </c>
      <c r="D2281" t="s">
        <v>37</v>
      </c>
      <c r="E2281" t="s">
        <v>190</v>
      </c>
      <c r="F2281">
        <v>1</v>
      </c>
      <c r="G2281">
        <v>0.2</v>
      </c>
      <c r="H2281">
        <v>3360</v>
      </c>
      <c r="I2281">
        <v>780.46</v>
      </c>
      <c r="J2281" t="s">
        <v>26</v>
      </c>
      <c r="K2281" t="s">
        <v>40</v>
      </c>
      <c r="L2281">
        <v>3360</v>
      </c>
      <c r="M2281">
        <v>23.227976190476191</v>
      </c>
      <c r="N2281" t="s">
        <v>8</v>
      </c>
      <c r="O2281" t="s">
        <v>754</v>
      </c>
      <c r="P2281" t="s">
        <v>83</v>
      </c>
      <c r="Q2281" t="s">
        <v>74</v>
      </c>
      <c r="R2281" t="s">
        <v>493</v>
      </c>
      <c r="S2281" t="s">
        <v>494</v>
      </c>
      <c r="T2281" t="s">
        <v>822</v>
      </c>
      <c r="U2281" t="s">
        <v>46</v>
      </c>
      <c r="V2281">
        <v>780.46</v>
      </c>
    </row>
    <row r="2282" spans="1:22" x14ac:dyDescent="0.3">
      <c r="A2282" t="s">
        <v>3710</v>
      </c>
      <c r="B2282" s="2">
        <v>46181</v>
      </c>
      <c r="C2282" t="s">
        <v>3711</v>
      </c>
      <c r="D2282" t="s">
        <v>37</v>
      </c>
      <c r="E2282" t="s">
        <v>38</v>
      </c>
      <c r="F2282">
        <v>3</v>
      </c>
      <c r="G2282">
        <v>0.15</v>
      </c>
      <c r="H2282">
        <v>4590</v>
      </c>
      <c r="I2282">
        <v>280.64</v>
      </c>
      <c r="J2282" t="s">
        <v>65</v>
      </c>
      <c r="K2282" t="s">
        <v>80</v>
      </c>
      <c r="L2282">
        <v>1530</v>
      </c>
      <c r="M2282">
        <v>6.1141612200435729</v>
      </c>
      <c r="N2282" t="s">
        <v>8</v>
      </c>
      <c r="O2282" t="s">
        <v>3712</v>
      </c>
      <c r="P2282" t="s">
        <v>83</v>
      </c>
      <c r="Q2282" t="s">
        <v>42</v>
      </c>
      <c r="R2282" t="s">
        <v>121</v>
      </c>
      <c r="S2282" t="s">
        <v>44</v>
      </c>
      <c r="T2282" t="s">
        <v>3197</v>
      </c>
      <c r="U2282" t="s">
        <v>34</v>
      </c>
      <c r="V2282">
        <v>93.546666666666667</v>
      </c>
    </row>
    <row r="2283" spans="1:22" x14ac:dyDescent="0.3">
      <c r="A2283" t="s">
        <v>3713</v>
      </c>
      <c r="B2283" s="2">
        <v>45999</v>
      </c>
      <c r="C2283" t="s">
        <v>1602</v>
      </c>
      <c r="D2283" t="s">
        <v>70</v>
      </c>
      <c r="E2283" t="s">
        <v>165</v>
      </c>
      <c r="F2283">
        <v>3</v>
      </c>
      <c r="G2283">
        <v>0.15</v>
      </c>
      <c r="H2283">
        <v>6375</v>
      </c>
      <c r="I2283">
        <v>1859.02</v>
      </c>
      <c r="J2283" t="s">
        <v>65</v>
      </c>
      <c r="K2283" t="s">
        <v>40</v>
      </c>
      <c r="L2283">
        <v>2125</v>
      </c>
      <c r="M2283">
        <v>29.161098039215691</v>
      </c>
      <c r="N2283" t="s">
        <v>8</v>
      </c>
      <c r="O2283" t="s">
        <v>1237</v>
      </c>
      <c r="P2283" t="s">
        <v>73</v>
      </c>
      <c r="Q2283" t="s">
        <v>131</v>
      </c>
      <c r="R2283" t="s">
        <v>449</v>
      </c>
      <c r="S2283" t="s">
        <v>450</v>
      </c>
      <c r="T2283" t="s">
        <v>880</v>
      </c>
      <c r="U2283" t="s">
        <v>105</v>
      </c>
      <c r="V2283">
        <v>619.67333333333329</v>
      </c>
    </row>
    <row r="2284" spans="1:22" x14ac:dyDescent="0.3">
      <c r="A2284" t="s">
        <v>3714</v>
      </c>
      <c r="B2284" s="2">
        <v>46112</v>
      </c>
      <c r="C2284" t="s">
        <v>3715</v>
      </c>
      <c r="D2284" t="s">
        <v>24</v>
      </c>
      <c r="E2284" t="s">
        <v>242</v>
      </c>
      <c r="F2284">
        <v>2</v>
      </c>
      <c r="G2284">
        <v>0.15</v>
      </c>
      <c r="H2284">
        <v>765</v>
      </c>
      <c r="I2284">
        <v>-385.52</v>
      </c>
      <c r="J2284" t="s">
        <v>51</v>
      </c>
      <c r="K2284" t="s">
        <v>80</v>
      </c>
      <c r="L2284">
        <v>382.5</v>
      </c>
      <c r="M2284">
        <v>-50.394771241830057</v>
      </c>
      <c r="N2284" t="s">
        <v>81</v>
      </c>
      <c r="O2284" t="s">
        <v>1963</v>
      </c>
      <c r="P2284" t="s">
        <v>29</v>
      </c>
      <c r="Q2284" t="s">
        <v>74</v>
      </c>
      <c r="R2284" t="s">
        <v>75</v>
      </c>
      <c r="S2284" t="s">
        <v>75</v>
      </c>
      <c r="T2284" t="s">
        <v>3716</v>
      </c>
      <c r="U2284" t="s">
        <v>34</v>
      </c>
      <c r="V2284">
        <v>-192.76</v>
      </c>
    </row>
    <row r="2285" spans="1:22" x14ac:dyDescent="0.3">
      <c r="A2285" t="s">
        <v>3717</v>
      </c>
      <c r="B2285" s="2">
        <v>46003</v>
      </c>
      <c r="C2285" t="s">
        <v>1468</v>
      </c>
      <c r="D2285" t="s">
        <v>24</v>
      </c>
      <c r="E2285" t="s">
        <v>87</v>
      </c>
      <c r="F2285">
        <v>1</v>
      </c>
      <c r="G2285">
        <v>0.1</v>
      </c>
      <c r="H2285">
        <v>315</v>
      </c>
      <c r="I2285">
        <v>102.41</v>
      </c>
      <c r="J2285" t="s">
        <v>39</v>
      </c>
      <c r="K2285" t="s">
        <v>40</v>
      </c>
      <c r="L2285">
        <v>315</v>
      </c>
      <c r="M2285">
        <v>32.511111111111113</v>
      </c>
      <c r="N2285" t="s">
        <v>8</v>
      </c>
      <c r="O2285" t="s">
        <v>345</v>
      </c>
      <c r="P2285" t="s">
        <v>83</v>
      </c>
      <c r="Q2285" t="s">
        <v>30</v>
      </c>
      <c r="R2285" t="s">
        <v>98</v>
      </c>
      <c r="S2285" t="s">
        <v>54</v>
      </c>
      <c r="T2285" t="s">
        <v>1469</v>
      </c>
      <c r="U2285" t="s">
        <v>34</v>
      </c>
      <c r="V2285">
        <v>102.41</v>
      </c>
    </row>
    <row r="2286" spans="1:22" x14ac:dyDescent="0.3">
      <c r="A2286" t="s">
        <v>3718</v>
      </c>
      <c r="B2286" s="2">
        <v>45933</v>
      </c>
      <c r="C2286" t="s">
        <v>152</v>
      </c>
      <c r="D2286" t="s">
        <v>70</v>
      </c>
      <c r="E2286" t="s">
        <v>129</v>
      </c>
      <c r="F2286">
        <v>2</v>
      </c>
      <c r="G2286">
        <v>0.1</v>
      </c>
      <c r="H2286">
        <v>99000</v>
      </c>
      <c r="I2286">
        <v>9360.41</v>
      </c>
      <c r="J2286" t="s">
        <v>51</v>
      </c>
      <c r="K2286" t="s">
        <v>40</v>
      </c>
      <c r="L2286">
        <v>49500</v>
      </c>
      <c r="M2286">
        <v>9.4549595959595951</v>
      </c>
      <c r="N2286" t="s">
        <v>8</v>
      </c>
      <c r="O2286" t="s">
        <v>153</v>
      </c>
      <c r="P2286" t="s">
        <v>83</v>
      </c>
      <c r="Q2286" t="s">
        <v>30</v>
      </c>
      <c r="R2286" t="s">
        <v>53</v>
      </c>
      <c r="S2286" t="s">
        <v>54</v>
      </c>
      <c r="T2286" t="s">
        <v>154</v>
      </c>
      <c r="U2286" t="s">
        <v>100</v>
      </c>
      <c r="V2286">
        <v>4680.2049999999999</v>
      </c>
    </row>
    <row r="2287" spans="1:22" x14ac:dyDescent="0.3">
      <c r="A2287" t="s">
        <v>3719</v>
      </c>
      <c r="B2287" s="2">
        <v>45984</v>
      </c>
      <c r="C2287" t="s">
        <v>1363</v>
      </c>
      <c r="D2287" t="s">
        <v>37</v>
      </c>
      <c r="E2287" t="s">
        <v>38</v>
      </c>
      <c r="F2287">
        <v>10</v>
      </c>
      <c r="G2287">
        <v>0.1</v>
      </c>
      <c r="H2287">
        <v>16200</v>
      </c>
      <c r="I2287">
        <v>5566.46</v>
      </c>
      <c r="J2287" t="s">
        <v>26</v>
      </c>
      <c r="K2287" t="s">
        <v>40</v>
      </c>
      <c r="L2287">
        <v>1620</v>
      </c>
      <c r="M2287">
        <v>34.360864197530873</v>
      </c>
      <c r="N2287" t="s">
        <v>8</v>
      </c>
      <c r="O2287" t="s">
        <v>1364</v>
      </c>
      <c r="P2287" t="s">
        <v>73</v>
      </c>
      <c r="Q2287" t="s">
        <v>30</v>
      </c>
      <c r="R2287" t="s">
        <v>98</v>
      </c>
      <c r="S2287" t="s">
        <v>54</v>
      </c>
      <c r="T2287" t="s">
        <v>1365</v>
      </c>
      <c r="U2287" t="s">
        <v>105</v>
      </c>
      <c r="V2287">
        <v>556.64599999999996</v>
      </c>
    </row>
    <row r="2288" spans="1:22" x14ac:dyDescent="0.3">
      <c r="A2288" t="s">
        <v>3720</v>
      </c>
      <c r="B2288" s="2">
        <v>45863</v>
      </c>
      <c r="C2288" t="s">
        <v>1640</v>
      </c>
      <c r="D2288" t="s">
        <v>24</v>
      </c>
      <c r="E2288" t="s">
        <v>25</v>
      </c>
      <c r="F2288">
        <v>1</v>
      </c>
      <c r="G2288">
        <v>0.3</v>
      </c>
      <c r="H2288">
        <v>9800</v>
      </c>
      <c r="I2288">
        <v>-88.54</v>
      </c>
      <c r="J2288" t="s">
        <v>39</v>
      </c>
      <c r="K2288" t="s">
        <v>40</v>
      </c>
      <c r="L2288">
        <v>9800</v>
      </c>
      <c r="M2288">
        <v>-0.9034693877551021</v>
      </c>
      <c r="N2288" t="s">
        <v>81</v>
      </c>
      <c r="O2288" t="s">
        <v>1641</v>
      </c>
      <c r="P2288" t="s">
        <v>29</v>
      </c>
      <c r="Q2288" t="s">
        <v>42</v>
      </c>
      <c r="R2288" t="s">
        <v>121</v>
      </c>
      <c r="S2288" t="s">
        <v>44</v>
      </c>
      <c r="T2288" t="s">
        <v>790</v>
      </c>
      <c r="U2288" t="s">
        <v>46</v>
      </c>
      <c r="V2288">
        <v>-88.54</v>
      </c>
    </row>
    <row r="2289" spans="1:22" x14ac:dyDescent="0.3">
      <c r="A2289" t="s">
        <v>3721</v>
      </c>
      <c r="B2289" s="2">
        <v>46203</v>
      </c>
      <c r="C2289" t="s">
        <v>1036</v>
      </c>
      <c r="D2289" t="s">
        <v>70</v>
      </c>
      <c r="E2289" t="s">
        <v>71</v>
      </c>
      <c r="F2289">
        <v>1</v>
      </c>
      <c r="G2289">
        <v>0</v>
      </c>
      <c r="H2289">
        <v>18000</v>
      </c>
      <c r="I2289">
        <v>3500</v>
      </c>
      <c r="J2289" t="s">
        <v>65</v>
      </c>
      <c r="K2289" t="s">
        <v>40</v>
      </c>
      <c r="L2289">
        <v>18000</v>
      </c>
      <c r="M2289">
        <v>19.44444444444445</v>
      </c>
      <c r="N2289" t="s">
        <v>8</v>
      </c>
      <c r="O2289" t="s">
        <v>149</v>
      </c>
      <c r="P2289" t="s">
        <v>83</v>
      </c>
      <c r="Q2289" t="s">
        <v>30</v>
      </c>
      <c r="R2289" t="s">
        <v>53</v>
      </c>
      <c r="S2289" t="s">
        <v>54</v>
      </c>
      <c r="T2289" t="s">
        <v>1037</v>
      </c>
      <c r="U2289" t="s">
        <v>46</v>
      </c>
      <c r="V2289">
        <v>3500</v>
      </c>
    </row>
    <row r="2290" spans="1:22" x14ac:dyDescent="0.3">
      <c r="A2290" t="s">
        <v>3722</v>
      </c>
      <c r="B2290" s="2">
        <v>45988</v>
      </c>
      <c r="C2290" t="s">
        <v>556</v>
      </c>
      <c r="D2290" t="s">
        <v>37</v>
      </c>
      <c r="E2290" t="s">
        <v>310</v>
      </c>
      <c r="F2290">
        <v>1</v>
      </c>
      <c r="G2290">
        <v>0.05</v>
      </c>
      <c r="H2290">
        <v>2090</v>
      </c>
      <c r="I2290">
        <v>698.58</v>
      </c>
      <c r="J2290" t="s">
        <v>39</v>
      </c>
      <c r="K2290" t="s">
        <v>40</v>
      </c>
      <c r="L2290">
        <v>2090</v>
      </c>
      <c r="M2290">
        <v>33.424880382775122</v>
      </c>
      <c r="N2290" t="s">
        <v>8</v>
      </c>
      <c r="O2290" t="s">
        <v>161</v>
      </c>
      <c r="P2290" t="s">
        <v>29</v>
      </c>
      <c r="Q2290" t="s">
        <v>30</v>
      </c>
      <c r="R2290" t="s">
        <v>53</v>
      </c>
      <c r="S2290" t="s">
        <v>54</v>
      </c>
      <c r="T2290" t="s">
        <v>557</v>
      </c>
      <c r="U2290" t="s">
        <v>34</v>
      </c>
      <c r="V2290">
        <v>698.58</v>
      </c>
    </row>
    <row r="2291" spans="1:22" x14ac:dyDescent="0.3">
      <c r="A2291" t="s">
        <v>3723</v>
      </c>
      <c r="B2291" s="2">
        <v>46243</v>
      </c>
      <c r="C2291" t="s">
        <v>268</v>
      </c>
      <c r="D2291" t="s">
        <v>49</v>
      </c>
      <c r="E2291" t="s">
        <v>58</v>
      </c>
      <c r="F2291">
        <v>1</v>
      </c>
      <c r="G2291">
        <v>0.1</v>
      </c>
      <c r="H2291">
        <v>13500</v>
      </c>
      <c r="I2291">
        <v>2761.68</v>
      </c>
      <c r="J2291" t="s">
        <v>39</v>
      </c>
      <c r="K2291" t="s">
        <v>40</v>
      </c>
      <c r="L2291">
        <v>13500</v>
      </c>
      <c r="M2291">
        <v>20.456888888888891</v>
      </c>
      <c r="N2291" t="s">
        <v>8</v>
      </c>
      <c r="O2291" t="s">
        <v>269</v>
      </c>
      <c r="P2291" t="s">
        <v>29</v>
      </c>
      <c r="Q2291" t="s">
        <v>30</v>
      </c>
      <c r="R2291" t="s">
        <v>31</v>
      </c>
      <c r="S2291" t="s">
        <v>32</v>
      </c>
      <c r="T2291" t="s">
        <v>270</v>
      </c>
      <c r="U2291" t="s">
        <v>34</v>
      </c>
      <c r="V2291">
        <v>2761.68</v>
      </c>
    </row>
    <row r="2292" spans="1:22" x14ac:dyDescent="0.3">
      <c r="A2292" t="s">
        <v>3724</v>
      </c>
      <c r="B2292" s="2">
        <v>46073</v>
      </c>
      <c r="C2292" t="s">
        <v>351</v>
      </c>
      <c r="D2292" t="s">
        <v>49</v>
      </c>
      <c r="E2292" t="s">
        <v>58</v>
      </c>
      <c r="F2292">
        <v>1</v>
      </c>
      <c r="G2292">
        <v>0</v>
      </c>
      <c r="H2292">
        <v>15000</v>
      </c>
      <c r="I2292">
        <v>3500</v>
      </c>
      <c r="J2292" t="s">
        <v>65</v>
      </c>
      <c r="K2292" t="s">
        <v>40</v>
      </c>
      <c r="L2292">
        <v>15000</v>
      </c>
      <c r="M2292">
        <v>23.333333333333329</v>
      </c>
      <c r="N2292" t="s">
        <v>8</v>
      </c>
      <c r="O2292" t="s">
        <v>352</v>
      </c>
      <c r="P2292" t="s">
        <v>73</v>
      </c>
      <c r="Q2292" t="s">
        <v>30</v>
      </c>
      <c r="R2292" t="s">
        <v>31</v>
      </c>
      <c r="S2292" t="s">
        <v>32</v>
      </c>
      <c r="T2292" t="s">
        <v>338</v>
      </c>
      <c r="U2292" t="s">
        <v>100</v>
      </c>
      <c r="V2292">
        <v>3500</v>
      </c>
    </row>
    <row r="2293" spans="1:22" x14ac:dyDescent="0.3">
      <c r="A2293" t="s">
        <v>3725</v>
      </c>
      <c r="B2293" s="2">
        <v>45988</v>
      </c>
      <c r="C2293" t="s">
        <v>2021</v>
      </c>
      <c r="D2293" t="s">
        <v>49</v>
      </c>
      <c r="E2293" t="s">
        <v>119</v>
      </c>
      <c r="F2293">
        <v>1</v>
      </c>
      <c r="G2293">
        <v>0.2</v>
      </c>
      <c r="H2293">
        <v>7200</v>
      </c>
      <c r="I2293">
        <v>1278.77</v>
      </c>
      <c r="J2293" t="s">
        <v>65</v>
      </c>
      <c r="K2293" t="s">
        <v>40</v>
      </c>
      <c r="L2293">
        <v>7200</v>
      </c>
      <c r="M2293">
        <v>17.760694444444439</v>
      </c>
      <c r="N2293" t="s">
        <v>8</v>
      </c>
      <c r="O2293" t="s">
        <v>2022</v>
      </c>
      <c r="P2293" t="s">
        <v>83</v>
      </c>
      <c r="Q2293" t="s">
        <v>74</v>
      </c>
      <c r="R2293" t="s">
        <v>75</v>
      </c>
      <c r="S2293" t="s">
        <v>75</v>
      </c>
      <c r="T2293" t="s">
        <v>2023</v>
      </c>
      <c r="U2293" t="s">
        <v>100</v>
      </c>
      <c r="V2293">
        <v>1278.77</v>
      </c>
    </row>
    <row r="2294" spans="1:22" x14ac:dyDescent="0.3">
      <c r="A2294" t="s">
        <v>3726</v>
      </c>
      <c r="B2294" s="2">
        <v>46070</v>
      </c>
      <c r="C2294" t="s">
        <v>1455</v>
      </c>
      <c r="D2294" t="s">
        <v>24</v>
      </c>
      <c r="E2294" t="s">
        <v>92</v>
      </c>
      <c r="F2294">
        <v>1</v>
      </c>
      <c r="G2294">
        <v>0.1</v>
      </c>
      <c r="H2294">
        <v>810</v>
      </c>
      <c r="I2294">
        <v>230.74</v>
      </c>
      <c r="J2294" t="s">
        <v>65</v>
      </c>
      <c r="K2294" t="s">
        <v>40</v>
      </c>
      <c r="L2294">
        <v>810</v>
      </c>
      <c r="M2294">
        <v>28.48641975308642</v>
      </c>
      <c r="N2294" t="s">
        <v>8</v>
      </c>
      <c r="O2294" t="s">
        <v>1009</v>
      </c>
      <c r="P2294" t="s">
        <v>83</v>
      </c>
      <c r="Q2294" t="s">
        <v>74</v>
      </c>
      <c r="R2294" t="s">
        <v>493</v>
      </c>
      <c r="S2294" t="s">
        <v>494</v>
      </c>
      <c r="T2294" t="s">
        <v>273</v>
      </c>
      <c r="U2294" t="s">
        <v>46</v>
      </c>
      <c r="V2294">
        <v>230.74</v>
      </c>
    </row>
    <row r="2295" spans="1:22" x14ac:dyDescent="0.3">
      <c r="A2295" t="s">
        <v>3727</v>
      </c>
      <c r="B2295" s="2">
        <v>45926</v>
      </c>
      <c r="C2295" t="s">
        <v>152</v>
      </c>
      <c r="D2295" t="s">
        <v>24</v>
      </c>
      <c r="E2295" t="s">
        <v>242</v>
      </c>
      <c r="F2295">
        <v>2</v>
      </c>
      <c r="G2295">
        <v>0</v>
      </c>
      <c r="H2295">
        <v>900</v>
      </c>
      <c r="I2295">
        <v>220</v>
      </c>
      <c r="J2295" t="s">
        <v>26</v>
      </c>
      <c r="K2295" t="s">
        <v>40</v>
      </c>
      <c r="L2295">
        <v>450</v>
      </c>
      <c r="M2295">
        <v>24.444444444444439</v>
      </c>
      <c r="N2295" t="s">
        <v>8</v>
      </c>
      <c r="O2295" t="s">
        <v>153</v>
      </c>
      <c r="P2295" t="s">
        <v>83</v>
      </c>
      <c r="Q2295" t="s">
        <v>30</v>
      </c>
      <c r="R2295" t="s">
        <v>53</v>
      </c>
      <c r="S2295" t="s">
        <v>54</v>
      </c>
      <c r="T2295" t="s">
        <v>154</v>
      </c>
      <c r="U2295" t="s">
        <v>100</v>
      </c>
      <c r="V2295">
        <v>110</v>
      </c>
    </row>
    <row r="2296" spans="1:22" x14ac:dyDescent="0.3">
      <c r="A2296" t="s">
        <v>3728</v>
      </c>
      <c r="B2296" s="2">
        <v>46232</v>
      </c>
      <c r="C2296" t="s">
        <v>1094</v>
      </c>
      <c r="D2296" t="s">
        <v>70</v>
      </c>
      <c r="E2296" t="s">
        <v>165</v>
      </c>
      <c r="F2296">
        <v>1</v>
      </c>
      <c r="G2296">
        <v>0.2</v>
      </c>
      <c r="H2296">
        <v>2000</v>
      </c>
      <c r="I2296">
        <v>486.83</v>
      </c>
      <c r="J2296" t="s">
        <v>51</v>
      </c>
      <c r="K2296" t="s">
        <v>40</v>
      </c>
      <c r="L2296">
        <v>2000</v>
      </c>
      <c r="M2296">
        <v>24.3415</v>
      </c>
      <c r="N2296" t="s">
        <v>8</v>
      </c>
      <c r="O2296" t="s">
        <v>183</v>
      </c>
      <c r="P2296" t="s">
        <v>73</v>
      </c>
      <c r="Q2296" t="s">
        <v>30</v>
      </c>
      <c r="R2296" t="s">
        <v>31</v>
      </c>
      <c r="S2296" t="s">
        <v>32</v>
      </c>
      <c r="T2296" t="s">
        <v>1095</v>
      </c>
      <c r="U2296" t="s">
        <v>105</v>
      </c>
      <c r="V2296">
        <v>486.83</v>
      </c>
    </row>
    <row r="2297" spans="1:22" x14ac:dyDescent="0.3">
      <c r="A2297" t="s">
        <v>3729</v>
      </c>
      <c r="B2297" s="2">
        <v>46209</v>
      </c>
      <c r="C2297" t="s">
        <v>160</v>
      </c>
      <c r="D2297" t="s">
        <v>37</v>
      </c>
      <c r="E2297" t="s">
        <v>38</v>
      </c>
      <c r="F2297">
        <v>1</v>
      </c>
      <c r="G2297">
        <v>0.2</v>
      </c>
      <c r="H2297">
        <v>1440</v>
      </c>
      <c r="I2297">
        <v>400.88</v>
      </c>
      <c r="J2297" t="s">
        <v>65</v>
      </c>
      <c r="K2297" t="s">
        <v>40</v>
      </c>
      <c r="L2297">
        <v>1440</v>
      </c>
      <c r="M2297">
        <v>27.838888888888889</v>
      </c>
      <c r="N2297" t="s">
        <v>8</v>
      </c>
      <c r="O2297" t="s">
        <v>161</v>
      </c>
      <c r="P2297" t="s">
        <v>29</v>
      </c>
      <c r="Q2297" t="s">
        <v>30</v>
      </c>
      <c r="R2297" t="s">
        <v>98</v>
      </c>
      <c r="S2297" t="s">
        <v>54</v>
      </c>
      <c r="T2297" t="s">
        <v>162</v>
      </c>
      <c r="U2297" t="s">
        <v>34</v>
      </c>
      <c r="V2297">
        <v>400.88</v>
      </c>
    </row>
    <row r="2298" spans="1:22" x14ac:dyDescent="0.3">
      <c r="A2298" t="s">
        <v>3730</v>
      </c>
      <c r="B2298" s="2">
        <v>45961</v>
      </c>
      <c r="C2298" t="s">
        <v>3111</v>
      </c>
      <c r="D2298" t="s">
        <v>70</v>
      </c>
      <c r="E2298" t="s">
        <v>108</v>
      </c>
      <c r="F2298">
        <v>3</v>
      </c>
      <c r="G2298">
        <v>0.15</v>
      </c>
      <c r="H2298">
        <v>11475</v>
      </c>
      <c r="I2298">
        <v>3126.16</v>
      </c>
      <c r="J2298" t="s">
        <v>65</v>
      </c>
      <c r="K2298" t="s">
        <v>40</v>
      </c>
      <c r="L2298">
        <v>3825</v>
      </c>
      <c r="M2298">
        <v>27.243224400871458</v>
      </c>
      <c r="N2298" t="s">
        <v>8</v>
      </c>
      <c r="O2298" t="s">
        <v>470</v>
      </c>
      <c r="P2298" t="s">
        <v>29</v>
      </c>
      <c r="Q2298" t="s">
        <v>74</v>
      </c>
      <c r="R2298" t="s">
        <v>75</v>
      </c>
      <c r="S2298" t="s">
        <v>75</v>
      </c>
      <c r="T2298" t="s">
        <v>3112</v>
      </c>
      <c r="U2298" t="s">
        <v>34</v>
      </c>
      <c r="V2298">
        <v>1042.0533333333331</v>
      </c>
    </row>
    <row r="2299" spans="1:22" x14ac:dyDescent="0.3">
      <c r="A2299" t="s">
        <v>3731</v>
      </c>
      <c r="B2299" s="2">
        <v>46226</v>
      </c>
      <c r="C2299" t="s">
        <v>438</v>
      </c>
      <c r="D2299" t="s">
        <v>24</v>
      </c>
      <c r="E2299" t="s">
        <v>92</v>
      </c>
      <c r="F2299">
        <v>1</v>
      </c>
      <c r="G2299">
        <v>0.1</v>
      </c>
      <c r="H2299">
        <v>810</v>
      </c>
      <c r="I2299">
        <v>216.21</v>
      </c>
      <c r="J2299" t="s">
        <v>26</v>
      </c>
      <c r="K2299" t="s">
        <v>27</v>
      </c>
      <c r="L2299">
        <v>810</v>
      </c>
      <c r="M2299">
        <v>26.6925925925926</v>
      </c>
      <c r="N2299" t="s">
        <v>8</v>
      </c>
      <c r="O2299" t="s">
        <v>439</v>
      </c>
      <c r="P2299" t="s">
        <v>83</v>
      </c>
      <c r="Q2299" t="s">
        <v>30</v>
      </c>
      <c r="R2299" t="s">
        <v>98</v>
      </c>
      <c r="S2299" t="s">
        <v>54</v>
      </c>
      <c r="T2299" t="s">
        <v>440</v>
      </c>
      <c r="U2299" t="s">
        <v>34</v>
      </c>
      <c r="V2299">
        <v>216.21</v>
      </c>
    </row>
    <row r="2300" spans="1:22" x14ac:dyDescent="0.3">
      <c r="A2300" t="s">
        <v>3732</v>
      </c>
      <c r="B2300" s="2">
        <v>45975</v>
      </c>
      <c r="C2300" t="s">
        <v>417</v>
      </c>
      <c r="D2300" t="s">
        <v>70</v>
      </c>
      <c r="E2300" t="s">
        <v>71</v>
      </c>
      <c r="F2300">
        <v>4</v>
      </c>
      <c r="G2300">
        <v>0</v>
      </c>
      <c r="H2300">
        <v>72000</v>
      </c>
      <c r="I2300">
        <v>14000</v>
      </c>
      <c r="J2300" t="s">
        <v>65</v>
      </c>
      <c r="K2300" t="s">
        <v>40</v>
      </c>
      <c r="L2300">
        <v>18000</v>
      </c>
      <c r="M2300">
        <v>19.44444444444445</v>
      </c>
      <c r="N2300" t="s">
        <v>8</v>
      </c>
      <c r="O2300" t="s">
        <v>418</v>
      </c>
      <c r="P2300" t="s">
        <v>29</v>
      </c>
      <c r="Q2300" t="s">
        <v>30</v>
      </c>
      <c r="R2300" t="s">
        <v>60</v>
      </c>
      <c r="S2300" t="s">
        <v>61</v>
      </c>
      <c r="T2300" t="s">
        <v>419</v>
      </c>
      <c r="U2300" t="s">
        <v>34</v>
      </c>
      <c r="V2300">
        <v>3500</v>
      </c>
    </row>
    <row r="2301" spans="1:22" x14ac:dyDescent="0.3">
      <c r="A2301" t="s">
        <v>3733</v>
      </c>
      <c r="B2301" s="2">
        <v>46049</v>
      </c>
      <c r="C2301" t="s">
        <v>1812</v>
      </c>
      <c r="D2301" t="s">
        <v>37</v>
      </c>
      <c r="E2301" t="s">
        <v>190</v>
      </c>
      <c r="F2301">
        <v>2</v>
      </c>
      <c r="G2301">
        <v>0.1</v>
      </c>
      <c r="H2301">
        <v>7560</v>
      </c>
      <c r="I2301">
        <v>1739.7</v>
      </c>
      <c r="J2301" t="s">
        <v>51</v>
      </c>
      <c r="K2301" t="s">
        <v>40</v>
      </c>
      <c r="L2301">
        <v>3780</v>
      </c>
      <c r="M2301">
        <v>23.011904761904759</v>
      </c>
      <c r="N2301" t="s">
        <v>8</v>
      </c>
      <c r="O2301" t="s">
        <v>1813</v>
      </c>
      <c r="P2301" t="s">
        <v>83</v>
      </c>
      <c r="Q2301" t="s">
        <v>30</v>
      </c>
      <c r="R2301" t="s">
        <v>98</v>
      </c>
      <c r="S2301" t="s">
        <v>54</v>
      </c>
      <c r="T2301" t="s">
        <v>1089</v>
      </c>
      <c r="U2301" t="s">
        <v>34</v>
      </c>
      <c r="V2301">
        <v>869.85</v>
      </c>
    </row>
    <row r="2302" spans="1:22" x14ac:dyDescent="0.3">
      <c r="A2302" t="s">
        <v>3734</v>
      </c>
      <c r="B2302" s="2">
        <v>46114</v>
      </c>
      <c r="C2302" t="s">
        <v>268</v>
      </c>
      <c r="D2302" t="s">
        <v>49</v>
      </c>
      <c r="E2302" t="s">
        <v>50</v>
      </c>
      <c r="F2302">
        <v>3</v>
      </c>
      <c r="G2302">
        <v>0.1</v>
      </c>
      <c r="H2302">
        <v>35100</v>
      </c>
      <c r="I2302">
        <v>6870.22</v>
      </c>
      <c r="J2302" t="s">
        <v>26</v>
      </c>
      <c r="K2302" t="s">
        <v>40</v>
      </c>
      <c r="L2302">
        <v>11700</v>
      </c>
      <c r="M2302">
        <v>19.573276353276349</v>
      </c>
      <c r="N2302" t="s">
        <v>8</v>
      </c>
      <c r="O2302" t="s">
        <v>269</v>
      </c>
      <c r="P2302" t="s">
        <v>29</v>
      </c>
      <c r="Q2302" t="s">
        <v>30</v>
      </c>
      <c r="R2302" t="s">
        <v>31</v>
      </c>
      <c r="S2302" t="s">
        <v>32</v>
      </c>
      <c r="T2302" t="s">
        <v>270</v>
      </c>
      <c r="U2302" t="s">
        <v>34</v>
      </c>
      <c r="V2302">
        <v>2290.0733333333328</v>
      </c>
    </row>
    <row r="2303" spans="1:22" x14ac:dyDescent="0.3">
      <c r="A2303" t="s">
        <v>3735</v>
      </c>
      <c r="B2303" s="2">
        <v>46124</v>
      </c>
      <c r="C2303" t="s">
        <v>3736</v>
      </c>
      <c r="D2303" t="s">
        <v>49</v>
      </c>
      <c r="E2303" t="s">
        <v>79</v>
      </c>
      <c r="F2303">
        <v>2</v>
      </c>
      <c r="G2303">
        <v>0</v>
      </c>
      <c r="H2303">
        <v>22000</v>
      </c>
      <c r="I2303">
        <v>5200</v>
      </c>
      <c r="J2303" t="s">
        <v>65</v>
      </c>
      <c r="K2303" t="s">
        <v>40</v>
      </c>
      <c r="L2303">
        <v>11000</v>
      </c>
      <c r="M2303">
        <v>23.63636363636364</v>
      </c>
      <c r="N2303" t="s">
        <v>8</v>
      </c>
      <c r="O2303" t="s">
        <v>1137</v>
      </c>
      <c r="P2303" t="s">
        <v>73</v>
      </c>
      <c r="Q2303" t="s">
        <v>74</v>
      </c>
      <c r="R2303" t="s">
        <v>75</v>
      </c>
      <c r="S2303" t="s">
        <v>75</v>
      </c>
      <c r="T2303" t="s">
        <v>3737</v>
      </c>
      <c r="U2303" t="s">
        <v>46</v>
      </c>
      <c r="V2303">
        <v>2600</v>
      </c>
    </row>
    <row r="2304" spans="1:22" x14ac:dyDescent="0.3">
      <c r="A2304" t="s">
        <v>3738</v>
      </c>
      <c r="B2304" s="2">
        <v>45867</v>
      </c>
      <c r="C2304" t="s">
        <v>1589</v>
      </c>
      <c r="D2304" t="s">
        <v>70</v>
      </c>
      <c r="E2304" t="s">
        <v>71</v>
      </c>
      <c r="F2304">
        <v>3</v>
      </c>
      <c r="G2304">
        <v>0</v>
      </c>
      <c r="H2304">
        <v>54000</v>
      </c>
      <c r="I2304">
        <v>10500</v>
      </c>
      <c r="J2304" t="s">
        <v>39</v>
      </c>
      <c r="K2304" t="s">
        <v>40</v>
      </c>
      <c r="L2304">
        <v>18000</v>
      </c>
      <c r="M2304">
        <v>19.44444444444445</v>
      </c>
      <c r="N2304" t="s">
        <v>8</v>
      </c>
      <c r="O2304" t="s">
        <v>984</v>
      </c>
      <c r="P2304" t="s">
        <v>29</v>
      </c>
      <c r="Q2304" t="s">
        <v>131</v>
      </c>
      <c r="R2304" t="s">
        <v>132</v>
      </c>
      <c r="S2304" t="s">
        <v>133</v>
      </c>
      <c r="T2304" t="s">
        <v>1590</v>
      </c>
      <c r="U2304" t="s">
        <v>34</v>
      </c>
      <c r="V2304">
        <v>3500</v>
      </c>
    </row>
    <row r="2305" spans="1:22" x14ac:dyDescent="0.3">
      <c r="A2305" t="s">
        <v>3739</v>
      </c>
      <c r="B2305" s="2">
        <v>45867</v>
      </c>
      <c r="C2305" t="s">
        <v>1505</v>
      </c>
      <c r="D2305" t="s">
        <v>37</v>
      </c>
      <c r="E2305" t="s">
        <v>190</v>
      </c>
      <c r="F2305">
        <v>3</v>
      </c>
      <c r="G2305">
        <v>0</v>
      </c>
      <c r="H2305">
        <v>12600</v>
      </c>
      <c r="I2305">
        <v>-1266.3900000000001</v>
      </c>
      <c r="J2305" t="s">
        <v>51</v>
      </c>
      <c r="K2305" t="s">
        <v>80</v>
      </c>
      <c r="L2305">
        <v>4200</v>
      </c>
      <c r="M2305">
        <v>-10.050714285714291</v>
      </c>
      <c r="N2305" t="s">
        <v>81</v>
      </c>
      <c r="O2305" t="s">
        <v>382</v>
      </c>
      <c r="P2305" t="s">
        <v>73</v>
      </c>
      <c r="Q2305" t="s">
        <v>131</v>
      </c>
      <c r="R2305" t="s">
        <v>200</v>
      </c>
      <c r="S2305" t="s">
        <v>201</v>
      </c>
      <c r="T2305" t="s">
        <v>1506</v>
      </c>
      <c r="U2305" t="s">
        <v>105</v>
      </c>
      <c r="V2305">
        <v>-422.13000000000011</v>
      </c>
    </row>
    <row r="2306" spans="1:22" x14ac:dyDescent="0.3">
      <c r="A2306" t="s">
        <v>3740</v>
      </c>
      <c r="B2306" s="2">
        <v>46061</v>
      </c>
      <c r="C2306" t="s">
        <v>1140</v>
      </c>
      <c r="D2306" t="s">
        <v>70</v>
      </c>
      <c r="E2306" t="s">
        <v>165</v>
      </c>
      <c r="F2306">
        <v>1</v>
      </c>
      <c r="G2306">
        <v>0.1</v>
      </c>
      <c r="H2306">
        <v>2250</v>
      </c>
      <c r="I2306">
        <v>682.9</v>
      </c>
      <c r="J2306" t="s">
        <v>26</v>
      </c>
      <c r="K2306" t="s">
        <v>40</v>
      </c>
      <c r="L2306">
        <v>2250</v>
      </c>
      <c r="M2306">
        <v>30.351111111111109</v>
      </c>
      <c r="N2306" t="s">
        <v>8</v>
      </c>
      <c r="O2306" t="s">
        <v>1141</v>
      </c>
      <c r="P2306" t="s">
        <v>29</v>
      </c>
      <c r="Q2306" t="s">
        <v>42</v>
      </c>
      <c r="R2306" t="s">
        <v>214</v>
      </c>
      <c r="S2306" t="s">
        <v>111</v>
      </c>
      <c r="T2306" t="s">
        <v>471</v>
      </c>
      <c r="U2306" t="s">
        <v>105</v>
      </c>
      <c r="V2306">
        <v>682.9</v>
      </c>
    </row>
    <row r="2307" spans="1:22" x14ac:dyDescent="0.3">
      <c r="A2307" t="s">
        <v>3741</v>
      </c>
      <c r="B2307" s="2">
        <v>46069</v>
      </c>
      <c r="C2307" t="s">
        <v>2737</v>
      </c>
      <c r="D2307" t="s">
        <v>49</v>
      </c>
      <c r="E2307" t="s">
        <v>119</v>
      </c>
      <c r="F2307">
        <v>1</v>
      </c>
      <c r="G2307">
        <v>0.1</v>
      </c>
      <c r="H2307">
        <v>8100</v>
      </c>
      <c r="I2307">
        <v>1714.86</v>
      </c>
      <c r="J2307" t="s">
        <v>39</v>
      </c>
      <c r="K2307" t="s">
        <v>40</v>
      </c>
      <c r="L2307">
        <v>8100</v>
      </c>
      <c r="M2307">
        <v>21.171111111111109</v>
      </c>
      <c r="N2307" t="s">
        <v>8</v>
      </c>
      <c r="O2307" t="s">
        <v>567</v>
      </c>
      <c r="P2307" t="s">
        <v>29</v>
      </c>
      <c r="Q2307" t="s">
        <v>42</v>
      </c>
      <c r="R2307" t="s">
        <v>121</v>
      </c>
      <c r="S2307" t="s">
        <v>44</v>
      </c>
      <c r="T2307" t="s">
        <v>2738</v>
      </c>
      <c r="U2307" t="s">
        <v>46</v>
      </c>
      <c r="V2307">
        <v>1714.86</v>
      </c>
    </row>
    <row r="2308" spans="1:22" x14ac:dyDescent="0.3">
      <c r="A2308" t="s">
        <v>3742</v>
      </c>
      <c r="B2308" s="2">
        <v>46159</v>
      </c>
      <c r="C2308" t="s">
        <v>1453</v>
      </c>
      <c r="D2308" t="s">
        <v>37</v>
      </c>
      <c r="E2308" t="s">
        <v>38</v>
      </c>
      <c r="F2308">
        <v>3</v>
      </c>
      <c r="G2308">
        <v>0.05</v>
      </c>
      <c r="H2308">
        <v>5130</v>
      </c>
      <c r="I2308">
        <v>1729.96</v>
      </c>
      <c r="J2308" t="s">
        <v>65</v>
      </c>
      <c r="K2308" t="s">
        <v>40</v>
      </c>
      <c r="L2308">
        <v>1710</v>
      </c>
      <c r="M2308">
        <v>33.722417153996098</v>
      </c>
      <c r="N2308" t="s">
        <v>8</v>
      </c>
      <c r="O2308" t="s">
        <v>302</v>
      </c>
      <c r="P2308" t="s">
        <v>29</v>
      </c>
      <c r="Q2308" t="s">
        <v>74</v>
      </c>
      <c r="R2308" t="s">
        <v>115</v>
      </c>
      <c r="S2308" t="s">
        <v>115</v>
      </c>
      <c r="T2308" t="s">
        <v>277</v>
      </c>
      <c r="U2308" t="s">
        <v>46</v>
      </c>
      <c r="V2308">
        <v>576.65333333333331</v>
      </c>
    </row>
    <row r="2309" spans="1:22" x14ac:dyDescent="0.3">
      <c r="A2309" t="s">
        <v>3743</v>
      </c>
      <c r="B2309" s="2">
        <v>46243</v>
      </c>
      <c r="C2309" t="s">
        <v>2798</v>
      </c>
      <c r="D2309" t="s">
        <v>24</v>
      </c>
      <c r="E2309" t="s">
        <v>92</v>
      </c>
      <c r="F2309">
        <v>3</v>
      </c>
      <c r="G2309">
        <v>0</v>
      </c>
      <c r="H2309">
        <v>2700</v>
      </c>
      <c r="I2309">
        <v>840</v>
      </c>
      <c r="J2309" t="s">
        <v>39</v>
      </c>
      <c r="K2309" t="s">
        <v>27</v>
      </c>
      <c r="L2309">
        <v>900</v>
      </c>
      <c r="M2309">
        <v>31.111111111111111</v>
      </c>
      <c r="N2309" t="s">
        <v>8</v>
      </c>
      <c r="O2309" t="s">
        <v>1309</v>
      </c>
      <c r="P2309" t="s">
        <v>73</v>
      </c>
      <c r="Q2309" t="s">
        <v>42</v>
      </c>
      <c r="R2309" t="s">
        <v>214</v>
      </c>
      <c r="S2309" t="s">
        <v>111</v>
      </c>
      <c r="T2309" t="s">
        <v>2799</v>
      </c>
      <c r="U2309" t="s">
        <v>34</v>
      </c>
      <c r="V2309">
        <v>280</v>
      </c>
    </row>
    <row r="2310" spans="1:22" x14ac:dyDescent="0.3">
      <c r="A2310" t="s">
        <v>3744</v>
      </c>
      <c r="B2310" s="2">
        <v>46216</v>
      </c>
      <c r="C2310" t="s">
        <v>1036</v>
      </c>
      <c r="D2310" t="s">
        <v>24</v>
      </c>
      <c r="E2310" t="s">
        <v>92</v>
      </c>
      <c r="F2310">
        <v>3</v>
      </c>
      <c r="G2310">
        <v>0.1</v>
      </c>
      <c r="H2310">
        <v>2430</v>
      </c>
      <c r="I2310">
        <v>713.43</v>
      </c>
      <c r="J2310" t="s">
        <v>65</v>
      </c>
      <c r="K2310" t="s">
        <v>40</v>
      </c>
      <c r="L2310">
        <v>810</v>
      </c>
      <c r="M2310">
        <v>29.359259259259261</v>
      </c>
      <c r="N2310" t="s">
        <v>8</v>
      </c>
      <c r="O2310" t="s">
        <v>149</v>
      </c>
      <c r="P2310" t="s">
        <v>83</v>
      </c>
      <c r="Q2310" t="s">
        <v>30</v>
      </c>
      <c r="R2310" t="s">
        <v>53</v>
      </c>
      <c r="S2310" t="s">
        <v>54</v>
      </c>
      <c r="T2310" t="s">
        <v>1037</v>
      </c>
      <c r="U2310" t="s">
        <v>46</v>
      </c>
      <c r="V2310">
        <v>237.81</v>
      </c>
    </row>
    <row r="2311" spans="1:22" x14ac:dyDescent="0.3">
      <c r="A2311" t="s">
        <v>3745</v>
      </c>
      <c r="B2311" s="2">
        <v>45978</v>
      </c>
      <c r="C2311" t="s">
        <v>1423</v>
      </c>
      <c r="D2311" t="s">
        <v>49</v>
      </c>
      <c r="E2311" t="s">
        <v>50</v>
      </c>
      <c r="F2311">
        <v>1</v>
      </c>
      <c r="G2311">
        <v>0.15</v>
      </c>
      <c r="H2311">
        <v>11050</v>
      </c>
      <c r="I2311">
        <v>1675.59</v>
      </c>
      <c r="J2311" t="s">
        <v>51</v>
      </c>
      <c r="K2311" t="s">
        <v>40</v>
      </c>
      <c r="L2311">
        <v>11050</v>
      </c>
      <c r="M2311">
        <v>15.163710407239821</v>
      </c>
      <c r="N2311" t="s">
        <v>8</v>
      </c>
      <c r="O2311" t="s">
        <v>1424</v>
      </c>
      <c r="P2311" t="s">
        <v>29</v>
      </c>
      <c r="Q2311" t="s">
        <v>74</v>
      </c>
      <c r="R2311" t="s">
        <v>75</v>
      </c>
      <c r="S2311" t="s">
        <v>75</v>
      </c>
      <c r="T2311" t="s">
        <v>1425</v>
      </c>
      <c r="U2311" t="s">
        <v>34</v>
      </c>
      <c r="V2311">
        <v>1675.59</v>
      </c>
    </row>
    <row r="2312" spans="1:22" x14ac:dyDescent="0.3">
      <c r="A2312" t="s">
        <v>3746</v>
      </c>
      <c r="B2312" s="2">
        <v>45914</v>
      </c>
      <c r="C2312" t="s">
        <v>1000</v>
      </c>
      <c r="D2312" t="s">
        <v>24</v>
      </c>
      <c r="E2312" t="s">
        <v>87</v>
      </c>
      <c r="F2312">
        <v>1</v>
      </c>
      <c r="G2312">
        <v>0</v>
      </c>
      <c r="H2312">
        <v>350</v>
      </c>
      <c r="I2312">
        <v>120</v>
      </c>
      <c r="J2312" t="s">
        <v>26</v>
      </c>
      <c r="K2312" t="s">
        <v>40</v>
      </c>
      <c r="L2312">
        <v>350</v>
      </c>
      <c r="M2312">
        <v>34.285714285714278</v>
      </c>
      <c r="N2312" t="s">
        <v>8</v>
      </c>
      <c r="O2312" t="s">
        <v>1001</v>
      </c>
      <c r="P2312" t="s">
        <v>29</v>
      </c>
      <c r="Q2312" t="s">
        <v>30</v>
      </c>
      <c r="R2312" t="s">
        <v>60</v>
      </c>
      <c r="S2312" t="s">
        <v>61</v>
      </c>
      <c r="T2312" t="s">
        <v>1002</v>
      </c>
      <c r="U2312" t="s">
        <v>105</v>
      </c>
      <c r="V2312">
        <v>120</v>
      </c>
    </row>
    <row r="2313" spans="1:22" x14ac:dyDescent="0.3">
      <c r="A2313" t="s">
        <v>3747</v>
      </c>
      <c r="B2313" s="2">
        <v>46127</v>
      </c>
      <c r="C2313" t="s">
        <v>1433</v>
      </c>
      <c r="D2313" t="s">
        <v>37</v>
      </c>
      <c r="E2313" t="s">
        <v>310</v>
      </c>
      <c r="F2313">
        <v>6</v>
      </c>
      <c r="G2313">
        <v>0</v>
      </c>
      <c r="H2313">
        <v>13200</v>
      </c>
      <c r="I2313">
        <v>4500</v>
      </c>
      <c r="J2313" t="s">
        <v>39</v>
      </c>
      <c r="K2313" t="s">
        <v>40</v>
      </c>
      <c r="L2313">
        <v>2200</v>
      </c>
      <c r="M2313">
        <v>34.090909090909093</v>
      </c>
      <c r="N2313" t="s">
        <v>8</v>
      </c>
      <c r="O2313" t="s">
        <v>318</v>
      </c>
      <c r="P2313" t="s">
        <v>73</v>
      </c>
      <c r="Q2313" t="s">
        <v>30</v>
      </c>
      <c r="R2313" t="s">
        <v>53</v>
      </c>
      <c r="S2313" t="s">
        <v>54</v>
      </c>
      <c r="T2313" t="s">
        <v>1434</v>
      </c>
      <c r="U2313" t="s">
        <v>34</v>
      </c>
      <c r="V2313">
        <v>750</v>
      </c>
    </row>
    <row r="2314" spans="1:22" x14ac:dyDescent="0.3">
      <c r="A2314" t="s">
        <v>3748</v>
      </c>
      <c r="B2314" s="2">
        <v>45881</v>
      </c>
      <c r="C2314" t="s">
        <v>1352</v>
      </c>
      <c r="D2314" t="s">
        <v>24</v>
      </c>
      <c r="E2314" t="s">
        <v>242</v>
      </c>
      <c r="F2314">
        <v>3</v>
      </c>
      <c r="G2314">
        <v>0.05</v>
      </c>
      <c r="H2314">
        <v>1282.5</v>
      </c>
      <c r="I2314">
        <v>-499.73</v>
      </c>
      <c r="J2314" t="s">
        <v>26</v>
      </c>
      <c r="K2314" t="s">
        <v>434</v>
      </c>
      <c r="L2314">
        <v>427.5</v>
      </c>
      <c r="M2314">
        <v>-38.965302144249513</v>
      </c>
      <c r="N2314" t="s">
        <v>81</v>
      </c>
      <c r="O2314" t="s">
        <v>1353</v>
      </c>
      <c r="P2314" t="s">
        <v>29</v>
      </c>
      <c r="Q2314" t="s">
        <v>42</v>
      </c>
      <c r="R2314" t="s">
        <v>214</v>
      </c>
      <c r="S2314" t="s">
        <v>111</v>
      </c>
      <c r="T2314" t="s">
        <v>1354</v>
      </c>
      <c r="U2314" t="s">
        <v>34</v>
      </c>
      <c r="V2314">
        <v>-166.57666666666671</v>
      </c>
    </row>
    <row r="2315" spans="1:22" x14ac:dyDescent="0.3">
      <c r="A2315" t="s">
        <v>3749</v>
      </c>
      <c r="B2315" s="2">
        <v>45984</v>
      </c>
      <c r="C2315" t="s">
        <v>348</v>
      </c>
      <c r="D2315" t="s">
        <v>70</v>
      </c>
      <c r="E2315" t="s">
        <v>108</v>
      </c>
      <c r="F2315">
        <v>1</v>
      </c>
      <c r="G2315">
        <v>0</v>
      </c>
      <c r="H2315">
        <v>4500</v>
      </c>
      <c r="I2315">
        <v>1500</v>
      </c>
      <c r="J2315" t="s">
        <v>65</v>
      </c>
      <c r="K2315" t="s">
        <v>40</v>
      </c>
      <c r="L2315">
        <v>4500</v>
      </c>
      <c r="M2315">
        <v>33.333333333333329</v>
      </c>
      <c r="N2315" t="s">
        <v>8</v>
      </c>
      <c r="O2315" t="s">
        <v>349</v>
      </c>
      <c r="P2315" t="s">
        <v>83</v>
      </c>
      <c r="Q2315" t="s">
        <v>30</v>
      </c>
      <c r="R2315" t="s">
        <v>31</v>
      </c>
      <c r="S2315" t="s">
        <v>32</v>
      </c>
      <c r="T2315" t="s">
        <v>307</v>
      </c>
      <c r="U2315" t="s">
        <v>100</v>
      </c>
      <c r="V2315">
        <v>1500</v>
      </c>
    </row>
    <row r="2316" spans="1:22" x14ac:dyDescent="0.3">
      <c r="A2316" t="s">
        <v>3750</v>
      </c>
      <c r="B2316" s="2">
        <v>46092</v>
      </c>
      <c r="C2316" t="s">
        <v>1313</v>
      </c>
      <c r="D2316" t="s">
        <v>49</v>
      </c>
      <c r="E2316" t="s">
        <v>50</v>
      </c>
      <c r="F2316">
        <v>3</v>
      </c>
      <c r="G2316">
        <v>0.15</v>
      </c>
      <c r="H2316">
        <v>33150</v>
      </c>
      <c r="I2316">
        <v>6807.76</v>
      </c>
      <c r="J2316" t="s">
        <v>39</v>
      </c>
      <c r="K2316" t="s">
        <v>40</v>
      </c>
      <c r="L2316">
        <v>11050</v>
      </c>
      <c r="M2316">
        <v>20.536229260935141</v>
      </c>
      <c r="N2316" t="s">
        <v>8</v>
      </c>
      <c r="O2316" t="s">
        <v>1314</v>
      </c>
      <c r="P2316" t="s">
        <v>73</v>
      </c>
      <c r="Q2316" t="s">
        <v>131</v>
      </c>
      <c r="R2316" t="s">
        <v>289</v>
      </c>
      <c r="S2316" t="s">
        <v>290</v>
      </c>
      <c r="T2316" t="s">
        <v>1161</v>
      </c>
      <c r="U2316" t="s">
        <v>105</v>
      </c>
      <c r="V2316">
        <v>2269.253333333334</v>
      </c>
    </row>
    <row r="2317" spans="1:22" x14ac:dyDescent="0.3">
      <c r="A2317" t="s">
        <v>3751</v>
      </c>
      <c r="B2317" s="2">
        <v>46120</v>
      </c>
      <c r="C2317" t="s">
        <v>644</v>
      </c>
      <c r="D2317" t="s">
        <v>49</v>
      </c>
      <c r="E2317" t="s">
        <v>58</v>
      </c>
      <c r="F2317">
        <v>3</v>
      </c>
      <c r="G2317">
        <v>0.1</v>
      </c>
      <c r="H2317">
        <v>40500</v>
      </c>
      <c r="I2317">
        <v>8250.52</v>
      </c>
      <c r="J2317" t="s">
        <v>51</v>
      </c>
      <c r="K2317" t="s">
        <v>40</v>
      </c>
      <c r="L2317">
        <v>13500</v>
      </c>
      <c r="M2317">
        <v>20.371654320987659</v>
      </c>
      <c r="N2317" t="s">
        <v>8</v>
      </c>
      <c r="O2317" t="s">
        <v>213</v>
      </c>
      <c r="P2317" t="s">
        <v>29</v>
      </c>
      <c r="Q2317" t="s">
        <v>30</v>
      </c>
      <c r="R2317" t="s">
        <v>31</v>
      </c>
      <c r="S2317" t="s">
        <v>32</v>
      </c>
      <c r="T2317" t="s">
        <v>645</v>
      </c>
      <c r="U2317" t="s">
        <v>46</v>
      </c>
      <c r="V2317">
        <v>2750.1733333333341</v>
      </c>
    </row>
    <row r="2318" spans="1:22" x14ac:dyDescent="0.3">
      <c r="A2318" t="s">
        <v>3752</v>
      </c>
      <c r="B2318" s="2">
        <v>46042</v>
      </c>
      <c r="C2318" t="s">
        <v>2322</v>
      </c>
      <c r="D2318" t="s">
        <v>37</v>
      </c>
      <c r="E2318" t="s">
        <v>190</v>
      </c>
      <c r="F2318">
        <v>1</v>
      </c>
      <c r="G2318">
        <v>0</v>
      </c>
      <c r="H2318">
        <v>4200</v>
      </c>
      <c r="I2318">
        <v>1200</v>
      </c>
      <c r="J2318" t="s">
        <v>39</v>
      </c>
      <c r="K2318" t="s">
        <v>40</v>
      </c>
      <c r="L2318">
        <v>4200</v>
      </c>
      <c r="M2318">
        <v>28.571428571428569</v>
      </c>
      <c r="N2318" t="s">
        <v>8</v>
      </c>
      <c r="O2318" t="s">
        <v>2323</v>
      </c>
      <c r="P2318" t="s">
        <v>29</v>
      </c>
      <c r="Q2318" t="s">
        <v>74</v>
      </c>
      <c r="R2318" t="s">
        <v>75</v>
      </c>
      <c r="S2318" t="s">
        <v>75</v>
      </c>
      <c r="T2318" t="s">
        <v>463</v>
      </c>
      <c r="U2318" t="s">
        <v>100</v>
      </c>
      <c r="V2318">
        <v>1200</v>
      </c>
    </row>
    <row r="2319" spans="1:22" x14ac:dyDescent="0.3">
      <c r="A2319" t="s">
        <v>3753</v>
      </c>
      <c r="B2319" s="2">
        <v>45935</v>
      </c>
      <c r="C2319" t="s">
        <v>1017</v>
      </c>
      <c r="D2319" t="s">
        <v>37</v>
      </c>
      <c r="E2319" t="s">
        <v>170</v>
      </c>
      <c r="F2319">
        <v>3</v>
      </c>
      <c r="G2319">
        <v>0.15</v>
      </c>
      <c r="H2319">
        <v>3570</v>
      </c>
      <c r="I2319">
        <v>1046.46</v>
      </c>
      <c r="J2319" t="s">
        <v>65</v>
      </c>
      <c r="K2319" t="s">
        <v>40</v>
      </c>
      <c r="L2319">
        <v>1190</v>
      </c>
      <c r="M2319">
        <v>29.312605042016809</v>
      </c>
      <c r="N2319" t="s">
        <v>8</v>
      </c>
      <c r="O2319" t="s">
        <v>1018</v>
      </c>
      <c r="P2319" t="s">
        <v>83</v>
      </c>
      <c r="Q2319" t="s">
        <v>30</v>
      </c>
      <c r="R2319" t="s">
        <v>98</v>
      </c>
      <c r="S2319" t="s">
        <v>54</v>
      </c>
      <c r="T2319" t="s">
        <v>1019</v>
      </c>
      <c r="U2319" t="s">
        <v>46</v>
      </c>
      <c r="V2319">
        <v>348.82</v>
      </c>
    </row>
    <row r="2320" spans="1:22" x14ac:dyDescent="0.3">
      <c r="A2320" t="s">
        <v>3754</v>
      </c>
      <c r="B2320" s="2">
        <v>46036</v>
      </c>
      <c r="C2320" t="s">
        <v>3304</v>
      </c>
      <c r="D2320" t="s">
        <v>70</v>
      </c>
      <c r="E2320" t="s">
        <v>129</v>
      </c>
      <c r="F2320">
        <v>5</v>
      </c>
      <c r="G2320">
        <v>0</v>
      </c>
      <c r="H2320">
        <v>275000</v>
      </c>
      <c r="I2320">
        <v>45000</v>
      </c>
      <c r="J2320" t="s">
        <v>26</v>
      </c>
      <c r="K2320" t="s">
        <v>40</v>
      </c>
      <c r="L2320">
        <v>55000</v>
      </c>
      <c r="M2320">
        <v>16.36363636363636</v>
      </c>
      <c r="N2320" t="s">
        <v>8</v>
      </c>
      <c r="O2320" t="s">
        <v>3305</v>
      </c>
      <c r="P2320" t="s">
        <v>29</v>
      </c>
      <c r="Q2320" t="s">
        <v>131</v>
      </c>
      <c r="R2320" t="s">
        <v>200</v>
      </c>
      <c r="S2320" t="s">
        <v>201</v>
      </c>
      <c r="T2320" t="s">
        <v>403</v>
      </c>
      <c r="U2320" t="s">
        <v>46</v>
      </c>
      <c r="V2320">
        <v>9000</v>
      </c>
    </row>
    <row r="2321" spans="1:22" x14ac:dyDescent="0.3">
      <c r="A2321" t="s">
        <v>3755</v>
      </c>
      <c r="B2321" s="2">
        <v>46236</v>
      </c>
      <c r="C2321" t="s">
        <v>365</v>
      </c>
      <c r="D2321" t="s">
        <v>24</v>
      </c>
      <c r="E2321" t="s">
        <v>87</v>
      </c>
      <c r="F2321">
        <v>6</v>
      </c>
      <c r="G2321">
        <v>0.05</v>
      </c>
      <c r="H2321">
        <v>1995</v>
      </c>
      <c r="I2321">
        <v>645.74</v>
      </c>
      <c r="J2321" t="s">
        <v>65</v>
      </c>
      <c r="K2321" t="s">
        <v>40</v>
      </c>
      <c r="L2321">
        <v>332.5</v>
      </c>
      <c r="M2321">
        <v>32.367919799498743</v>
      </c>
      <c r="N2321" t="s">
        <v>8</v>
      </c>
      <c r="O2321" t="s">
        <v>318</v>
      </c>
      <c r="P2321" t="s">
        <v>29</v>
      </c>
      <c r="Q2321" t="s">
        <v>30</v>
      </c>
      <c r="R2321" t="s">
        <v>31</v>
      </c>
      <c r="S2321" t="s">
        <v>32</v>
      </c>
      <c r="T2321" t="s">
        <v>366</v>
      </c>
      <c r="U2321" t="s">
        <v>105</v>
      </c>
      <c r="V2321">
        <v>107.62333333333331</v>
      </c>
    </row>
    <row r="2322" spans="1:22" x14ac:dyDescent="0.3">
      <c r="A2322" t="s">
        <v>3756</v>
      </c>
      <c r="B2322" s="2">
        <v>46151</v>
      </c>
      <c r="C2322" t="s">
        <v>2985</v>
      </c>
      <c r="D2322" t="s">
        <v>37</v>
      </c>
      <c r="E2322" t="s">
        <v>190</v>
      </c>
      <c r="F2322">
        <v>1</v>
      </c>
      <c r="G2322">
        <v>0.05</v>
      </c>
      <c r="H2322">
        <v>3990</v>
      </c>
      <c r="I2322">
        <v>1028.6400000000001</v>
      </c>
      <c r="J2322" t="s">
        <v>39</v>
      </c>
      <c r="K2322" t="s">
        <v>40</v>
      </c>
      <c r="L2322">
        <v>3990</v>
      </c>
      <c r="M2322">
        <v>25.78045112781955</v>
      </c>
      <c r="N2322" t="s">
        <v>8</v>
      </c>
      <c r="O2322" t="s">
        <v>754</v>
      </c>
      <c r="P2322" t="s">
        <v>83</v>
      </c>
      <c r="Q2322" t="s">
        <v>74</v>
      </c>
      <c r="R2322" t="s">
        <v>75</v>
      </c>
      <c r="S2322" t="s">
        <v>75</v>
      </c>
      <c r="T2322" t="s">
        <v>2986</v>
      </c>
      <c r="U2322" t="s">
        <v>34</v>
      </c>
      <c r="V2322">
        <v>1028.6400000000001</v>
      </c>
    </row>
    <row r="2323" spans="1:22" x14ac:dyDescent="0.3">
      <c r="A2323" t="s">
        <v>3757</v>
      </c>
      <c r="B2323" s="2">
        <v>45882</v>
      </c>
      <c r="C2323" t="s">
        <v>397</v>
      </c>
      <c r="D2323" t="s">
        <v>37</v>
      </c>
      <c r="E2323" t="s">
        <v>38</v>
      </c>
      <c r="F2323">
        <v>2</v>
      </c>
      <c r="G2323">
        <v>0.1</v>
      </c>
      <c r="H2323">
        <v>3240</v>
      </c>
      <c r="I2323">
        <v>1038.02</v>
      </c>
      <c r="J2323" t="s">
        <v>65</v>
      </c>
      <c r="K2323" t="s">
        <v>40</v>
      </c>
      <c r="L2323">
        <v>1620</v>
      </c>
      <c r="M2323">
        <v>32.037654320987649</v>
      </c>
      <c r="N2323" t="s">
        <v>8</v>
      </c>
      <c r="O2323" t="s">
        <v>398</v>
      </c>
      <c r="P2323" t="s">
        <v>73</v>
      </c>
      <c r="Q2323" t="s">
        <v>30</v>
      </c>
      <c r="R2323" t="s">
        <v>98</v>
      </c>
      <c r="S2323" t="s">
        <v>54</v>
      </c>
      <c r="T2323" t="s">
        <v>399</v>
      </c>
      <c r="U2323" t="s">
        <v>34</v>
      </c>
      <c r="V2323">
        <v>519.01</v>
      </c>
    </row>
    <row r="2324" spans="1:22" x14ac:dyDescent="0.3">
      <c r="A2324" t="s">
        <v>3758</v>
      </c>
      <c r="B2324" s="2">
        <v>45881</v>
      </c>
      <c r="C2324" t="s">
        <v>1852</v>
      </c>
      <c r="D2324" t="s">
        <v>70</v>
      </c>
      <c r="E2324" t="s">
        <v>165</v>
      </c>
      <c r="F2324">
        <v>3</v>
      </c>
      <c r="G2324">
        <v>0.1</v>
      </c>
      <c r="H2324">
        <v>6750</v>
      </c>
      <c r="I2324">
        <v>2001.68</v>
      </c>
      <c r="J2324" t="s">
        <v>39</v>
      </c>
      <c r="K2324" t="s">
        <v>40</v>
      </c>
      <c r="L2324">
        <v>2250</v>
      </c>
      <c r="M2324">
        <v>29.654518518518518</v>
      </c>
      <c r="N2324" t="s">
        <v>8</v>
      </c>
      <c r="O2324" t="s">
        <v>1325</v>
      </c>
      <c r="P2324" t="s">
        <v>29</v>
      </c>
      <c r="Q2324" t="s">
        <v>74</v>
      </c>
      <c r="R2324" t="s">
        <v>75</v>
      </c>
      <c r="S2324" t="s">
        <v>75</v>
      </c>
      <c r="T2324" t="s">
        <v>1745</v>
      </c>
      <c r="U2324" t="s">
        <v>100</v>
      </c>
      <c r="V2324">
        <v>667.22666666666669</v>
      </c>
    </row>
    <row r="2325" spans="1:22" x14ac:dyDescent="0.3">
      <c r="A2325" t="s">
        <v>3759</v>
      </c>
      <c r="B2325" s="2">
        <v>46184</v>
      </c>
      <c r="C2325" t="s">
        <v>1152</v>
      </c>
      <c r="D2325" t="s">
        <v>37</v>
      </c>
      <c r="E2325" t="s">
        <v>170</v>
      </c>
      <c r="F2325">
        <v>2</v>
      </c>
      <c r="G2325">
        <v>0.15</v>
      </c>
      <c r="H2325">
        <v>2380</v>
      </c>
      <c r="I2325">
        <v>675.09</v>
      </c>
      <c r="J2325" t="s">
        <v>26</v>
      </c>
      <c r="K2325" t="s">
        <v>40</v>
      </c>
      <c r="L2325">
        <v>1190</v>
      </c>
      <c r="M2325">
        <v>28.365126050420169</v>
      </c>
      <c r="N2325" t="s">
        <v>8</v>
      </c>
      <c r="O2325" t="s">
        <v>995</v>
      </c>
      <c r="P2325" t="s">
        <v>29</v>
      </c>
      <c r="Q2325" t="s">
        <v>30</v>
      </c>
      <c r="R2325" t="s">
        <v>31</v>
      </c>
      <c r="S2325" t="s">
        <v>32</v>
      </c>
      <c r="T2325" t="s">
        <v>960</v>
      </c>
      <c r="U2325" t="s">
        <v>100</v>
      </c>
      <c r="V2325">
        <v>337.54500000000002</v>
      </c>
    </row>
    <row r="2326" spans="1:22" x14ac:dyDescent="0.3">
      <c r="A2326" t="s">
        <v>3760</v>
      </c>
      <c r="B2326" s="2">
        <v>46089</v>
      </c>
      <c r="C2326" t="s">
        <v>1667</v>
      </c>
      <c r="D2326" t="s">
        <v>49</v>
      </c>
      <c r="E2326" t="s">
        <v>50</v>
      </c>
      <c r="F2326">
        <v>3</v>
      </c>
      <c r="G2326">
        <v>0</v>
      </c>
      <c r="H2326">
        <v>39000</v>
      </c>
      <c r="I2326">
        <v>9600</v>
      </c>
      <c r="J2326" t="s">
        <v>51</v>
      </c>
      <c r="K2326" t="s">
        <v>40</v>
      </c>
      <c r="L2326">
        <v>13000</v>
      </c>
      <c r="M2326">
        <v>24.61538461538462</v>
      </c>
      <c r="N2326" t="s">
        <v>8</v>
      </c>
      <c r="O2326" t="s">
        <v>1668</v>
      </c>
      <c r="P2326" t="s">
        <v>73</v>
      </c>
      <c r="Q2326" t="s">
        <v>74</v>
      </c>
      <c r="R2326" t="s">
        <v>493</v>
      </c>
      <c r="S2326" t="s">
        <v>494</v>
      </c>
      <c r="T2326" t="s">
        <v>608</v>
      </c>
      <c r="U2326" t="s">
        <v>46</v>
      </c>
      <c r="V2326">
        <v>3200</v>
      </c>
    </row>
    <row r="2327" spans="1:22" x14ac:dyDescent="0.3">
      <c r="A2327" t="s">
        <v>3761</v>
      </c>
      <c r="B2327" s="2">
        <v>46230</v>
      </c>
      <c r="C2327" t="s">
        <v>1097</v>
      </c>
      <c r="D2327" t="s">
        <v>37</v>
      </c>
      <c r="E2327" t="s">
        <v>170</v>
      </c>
      <c r="F2327">
        <v>1</v>
      </c>
      <c r="G2327">
        <v>0</v>
      </c>
      <c r="H2327">
        <v>1400</v>
      </c>
      <c r="I2327">
        <v>500</v>
      </c>
      <c r="J2327" t="s">
        <v>39</v>
      </c>
      <c r="K2327" t="s">
        <v>40</v>
      </c>
      <c r="L2327">
        <v>1400</v>
      </c>
      <c r="M2327">
        <v>35.714285714285722</v>
      </c>
      <c r="N2327" t="s">
        <v>8</v>
      </c>
      <c r="O2327" t="s">
        <v>1098</v>
      </c>
      <c r="P2327" t="s">
        <v>73</v>
      </c>
      <c r="Q2327" t="s">
        <v>74</v>
      </c>
      <c r="R2327" t="s">
        <v>237</v>
      </c>
      <c r="S2327" t="s">
        <v>238</v>
      </c>
      <c r="T2327" t="s">
        <v>1099</v>
      </c>
      <c r="U2327" t="s">
        <v>34</v>
      </c>
      <c r="V2327">
        <v>500</v>
      </c>
    </row>
    <row r="2328" spans="1:22" x14ac:dyDescent="0.3">
      <c r="A2328" t="s">
        <v>3762</v>
      </c>
      <c r="B2328" s="2">
        <v>45900</v>
      </c>
      <c r="C2328" t="s">
        <v>2261</v>
      </c>
      <c r="D2328" t="s">
        <v>70</v>
      </c>
      <c r="E2328" t="s">
        <v>129</v>
      </c>
      <c r="F2328">
        <v>1</v>
      </c>
      <c r="G2328">
        <v>0.05</v>
      </c>
      <c r="H2328">
        <v>52250</v>
      </c>
      <c r="I2328">
        <v>-16435.93</v>
      </c>
      <c r="J2328" t="s">
        <v>39</v>
      </c>
      <c r="K2328" t="s">
        <v>434</v>
      </c>
      <c r="L2328">
        <v>52250</v>
      </c>
      <c r="M2328">
        <v>-31.456325358851679</v>
      </c>
      <c r="N2328" t="s">
        <v>81</v>
      </c>
      <c r="O2328" t="s">
        <v>1237</v>
      </c>
      <c r="P2328" t="s">
        <v>73</v>
      </c>
      <c r="Q2328" t="s">
        <v>74</v>
      </c>
      <c r="R2328" t="s">
        <v>237</v>
      </c>
      <c r="S2328" t="s">
        <v>238</v>
      </c>
      <c r="T2328" t="s">
        <v>2262</v>
      </c>
      <c r="U2328" t="s">
        <v>100</v>
      </c>
      <c r="V2328">
        <v>-16435.93</v>
      </c>
    </row>
    <row r="2329" spans="1:22" x14ac:dyDescent="0.3">
      <c r="A2329" t="s">
        <v>3763</v>
      </c>
      <c r="B2329" s="2">
        <v>46012</v>
      </c>
      <c r="C2329" t="s">
        <v>962</v>
      </c>
      <c r="D2329" t="s">
        <v>37</v>
      </c>
      <c r="E2329" t="s">
        <v>38</v>
      </c>
      <c r="F2329">
        <v>1</v>
      </c>
      <c r="G2329">
        <v>0.15</v>
      </c>
      <c r="H2329">
        <v>1530</v>
      </c>
      <c r="I2329">
        <v>-651.29999999999995</v>
      </c>
      <c r="J2329" t="s">
        <v>26</v>
      </c>
      <c r="K2329" t="s">
        <v>434</v>
      </c>
      <c r="L2329">
        <v>1530</v>
      </c>
      <c r="M2329">
        <v>-42.568627450980387</v>
      </c>
      <c r="N2329" t="s">
        <v>81</v>
      </c>
      <c r="O2329" t="s">
        <v>963</v>
      </c>
      <c r="P2329" t="s">
        <v>29</v>
      </c>
      <c r="Q2329" t="s">
        <v>42</v>
      </c>
      <c r="R2329" t="s">
        <v>214</v>
      </c>
      <c r="S2329" t="s">
        <v>111</v>
      </c>
      <c r="T2329" t="s">
        <v>964</v>
      </c>
      <c r="U2329" t="s">
        <v>100</v>
      </c>
      <c r="V2329">
        <v>-651.29999999999995</v>
      </c>
    </row>
    <row r="2330" spans="1:22" x14ac:dyDescent="0.3">
      <c r="A2330" t="s">
        <v>3764</v>
      </c>
      <c r="B2330" s="2">
        <v>45848</v>
      </c>
      <c r="C2330" t="s">
        <v>485</v>
      </c>
      <c r="D2330" t="s">
        <v>49</v>
      </c>
      <c r="E2330" t="s">
        <v>50</v>
      </c>
      <c r="F2330">
        <v>3</v>
      </c>
      <c r="G2330">
        <v>0.2</v>
      </c>
      <c r="H2330">
        <v>31200</v>
      </c>
      <c r="I2330">
        <v>3907.94</v>
      </c>
      <c r="J2330" t="s">
        <v>51</v>
      </c>
      <c r="K2330" t="s">
        <v>40</v>
      </c>
      <c r="L2330">
        <v>10400</v>
      </c>
      <c r="M2330">
        <v>12.52544871794872</v>
      </c>
      <c r="N2330" t="s">
        <v>8</v>
      </c>
      <c r="O2330" t="s">
        <v>59</v>
      </c>
      <c r="P2330" t="s">
        <v>73</v>
      </c>
      <c r="Q2330" t="s">
        <v>131</v>
      </c>
      <c r="R2330" t="s">
        <v>289</v>
      </c>
      <c r="S2330" t="s">
        <v>290</v>
      </c>
      <c r="T2330" t="s">
        <v>486</v>
      </c>
      <c r="U2330" t="s">
        <v>46</v>
      </c>
      <c r="V2330">
        <v>1302.646666666667</v>
      </c>
    </row>
    <row r="2331" spans="1:22" x14ac:dyDescent="0.3">
      <c r="A2331" t="s">
        <v>3765</v>
      </c>
      <c r="B2331" s="2">
        <v>46175</v>
      </c>
      <c r="C2331" t="s">
        <v>732</v>
      </c>
      <c r="D2331" t="s">
        <v>70</v>
      </c>
      <c r="E2331" t="s">
        <v>108</v>
      </c>
      <c r="F2331">
        <v>4</v>
      </c>
      <c r="G2331">
        <v>0</v>
      </c>
      <c r="H2331">
        <v>18000</v>
      </c>
      <c r="I2331">
        <v>6000</v>
      </c>
      <c r="J2331" t="s">
        <v>65</v>
      </c>
      <c r="K2331" t="s">
        <v>40</v>
      </c>
      <c r="L2331">
        <v>4500</v>
      </c>
      <c r="M2331">
        <v>33.333333333333329</v>
      </c>
      <c r="N2331" t="s">
        <v>8</v>
      </c>
      <c r="O2331" t="s">
        <v>733</v>
      </c>
      <c r="P2331" t="s">
        <v>29</v>
      </c>
      <c r="Q2331" t="s">
        <v>131</v>
      </c>
      <c r="R2331" t="s">
        <v>449</v>
      </c>
      <c r="S2331" t="s">
        <v>450</v>
      </c>
      <c r="T2331" t="s">
        <v>734</v>
      </c>
      <c r="U2331" t="s">
        <v>34</v>
      </c>
      <c r="V2331">
        <v>1500</v>
      </c>
    </row>
    <row r="2332" spans="1:22" x14ac:dyDescent="0.3">
      <c r="A2332" t="s">
        <v>3766</v>
      </c>
      <c r="B2332" s="2">
        <v>45920</v>
      </c>
      <c r="C2332" t="s">
        <v>1056</v>
      </c>
      <c r="D2332" t="s">
        <v>37</v>
      </c>
      <c r="E2332" t="s">
        <v>310</v>
      </c>
      <c r="F2332">
        <v>4</v>
      </c>
      <c r="G2332">
        <v>0.1</v>
      </c>
      <c r="H2332">
        <v>7920</v>
      </c>
      <c r="I2332">
        <v>2331.0100000000002</v>
      </c>
      <c r="J2332" t="s">
        <v>26</v>
      </c>
      <c r="K2332" t="s">
        <v>40</v>
      </c>
      <c r="L2332">
        <v>1980</v>
      </c>
      <c r="M2332">
        <v>29.431944444444451</v>
      </c>
      <c r="N2332" t="s">
        <v>8</v>
      </c>
      <c r="O2332" t="s">
        <v>1057</v>
      </c>
      <c r="P2332" t="s">
        <v>29</v>
      </c>
      <c r="Q2332" t="s">
        <v>30</v>
      </c>
      <c r="R2332" t="s">
        <v>31</v>
      </c>
      <c r="S2332" t="s">
        <v>32</v>
      </c>
      <c r="T2332" t="s">
        <v>1058</v>
      </c>
      <c r="U2332" t="s">
        <v>34</v>
      </c>
      <c r="V2332">
        <v>582.75250000000005</v>
      </c>
    </row>
    <row r="2333" spans="1:22" x14ac:dyDescent="0.3">
      <c r="A2333" t="s">
        <v>3767</v>
      </c>
      <c r="B2333" s="2">
        <v>45944</v>
      </c>
      <c r="C2333" t="s">
        <v>2126</v>
      </c>
      <c r="D2333" t="s">
        <v>24</v>
      </c>
      <c r="E2333" t="s">
        <v>92</v>
      </c>
      <c r="F2333">
        <v>2</v>
      </c>
      <c r="G2333">
        <v>0.1</v>
      </c>
      <c r="H2333">
        <v>1620</v>
      </c>
      <c r="I2333">
        <v>428.49</v>
      </c>
      <c r="J2333" t="s">
        <v>39</v>
      </c>
      <c r="K2333" t="s">
        <v>40</v>
      </c>
      <c r="L2333">
        <v>810</v>
      </c>
      <c r="M2333">
        <v>26.45</v>
      </c>
      <c r="N2333" t="s">
        <v>8</v>
      </c>
      <c r="O2333" t="s">
        <v>2127</v>
      </c>
      <c r="P2333" t="s">
        <v>83</v>
      </c>
      <c r="Q2333" t="s">
        <v>131</v>
      </c>
      <c r="R2333" t="s">
        <v>200</v>
      </c>
      <c r="S2333" t="s">
        <v>201</v>
      </c>
      <c r="T2333" t="s">
        <v>2128</v>
      </c>
      <c r="U2333" t="s">
        <v>46</v>
      </c>
      <c r="V2333">
        <v>214.245</v>
      </c>
    </row>
    <row r="2334" spans="1:22" x14ac:dyDescent="0.3">
      <c r="A2334" t="s">
        <v>3768</v>
      </c>
      <c r="B2334" s="2">
        <v>46256</v>
      </c>
      <c r="C2334" t="s">
        <v>263</v>
      </c>
      <c r="D2334" t="s">
        <v>24</v>
      </c>
      <c r="E2334" t="s">
        <v>87</v>
      </c>
      <c r="F2334">
        <v>1</v>
      </c>
      <c r="G2334">
        <v>0.15</v>
      </c>
      <c r="H2334">
        <v>297.5</v>
      </c>
      <c r="I2334">
        <v>-17.32</v>
      </c>
      <c r="J2334" t="s">
        <v>65</v>
      </c>
      <c r="K2334" t="s">
        <v>434</v>
      </c>
      <c r="L2334">
        <v>297.5</v>
      </c>
      <c r="M2334">
        <v>-5.8218487394957981</v>
      </c>
      <c r="N2334" t="s">
        <v>81</v>
      </c>
      <c r="O2334" t="s">
        <v>265</v>
      </c>
      <c r="P2334" t="s">
        <v>73</v>
      </c>
      <c r="Q2334" t="s">
        <v>30</v>
      </c>
      <c r="R2334" t="s">
        <v>31</v>
      </c>
      <c r="S2334" t="s">
        <v>32</v>
      </c>
      <c r="T2334" t="s">
        <v>266</v>
      </c>
      <c r="U2334" t="s">
        <v>46</v>
      </c>
      <c r="V2334">
        <v>-17.32</v>
      </c>
    </row>
    <row r="2335" spans="1:22" x14ac:dyDescent="0.3">
      <c r="A2335" t="s">
        <v>3769</v>
      </c>
      <c r="B2335" s="2">
        <v>46217</v>
      </c>
      <c r="C2335" t="s">
        <v>907</v>
      </c>
      <c r="D2335" t="s">
        <v>37</v>
      </c>
      <c r="E2335" t="s">
        <v>310</v>
      </c>
      <c r="F2335">
        <v>3</v>
      </c>
      <c r="G2335">
        <v>0.2</v>
      </c>
      <c r="H2335">
        <v>5280</v>
      </c>
      <c r="I2335">
        <v>1497.77</v>
      </c>
      <c r="J2335" t="s">
        <v>51</v>
      </c>
      <c r="K2335" t="s">
        <v>40</v>
      </c>
      <c r="L2335">
        <v>1760</v>
      </c>
      <c r="M2335">
        <v>28.366856060606061</v>
      </c>
      <c r="N2335" t="s">
        <v>8</v>
      </c>
      <c r="O2335" t="s">
        <v>908</v>
      </c>
      <c r="P2335" t="s">
        <v>29</v>
      </c>
      <c r="Q2335" t="s">
        <v>30</v>
      </c>
      <c r="R2335" t="s">
        <v>60</v>
      </c>
      <c r="S2335" t="s">
        <v>61</v>
      </c>
      <c r="T2335" t="s">
        <v>486</v>
      </c>
      <c r="U2335" t="s">
        <v>34</v>
      </c>
      <c r="V2335">
        <v>499.25666666666672</v>
      </c>
    </row>
    <row r="2336" spans="1:22" x14ac:dyDescent="0.3">
      <c r="A2336" t="s">
        <v>3770</v>
      </c>
      <c r="B2336" s="2">
        <v>46222</v>
      </c>
      <c r="C2336" t="s">
        <v>3771</v>
      </c>
      <c r="D2336" t="s">
        <v>70</v>
      </c>
      <c r="E2336" t="s">
        <v>129</v>
      </c>
      <c r="F2336">
        <v>1</v>
      </c>
      <c r="G2336">
        <v>0.15</v>
      </c>
      <c r="H2336">
        <v>46750</v>
      </c>
      <c r="I2336">
        <v>4001.47</v>
      </c>
      <c r="J2336" t="s">
        <v>26</v>
      </c>
      <c r="K2336" t="s">
        <v>40</v>
      </c>
      <c r="L2336">
        <v>46750</v>
      </c>
      <c r="M2336">
        <v>8.5592941176470578</v>
      </c>
      <c r="N2336" t="s">
        <v>8</v>
      </c>
      <c r="O2336" t="s">
        <v>482</v>
      </c>
      <c r="P2336" t="s">
        <v>73</v>
      </c>
      <c r="Q2336" t="s">
        <v>74</v>
      </c>
      <c r="R2336" t="s">
        <v>75</v>
      </c>
      <c r="S2336" t="s">
        <v>75</v>
      </c>
      <c r="T2336" t="s">
        <v>3772</v>
      </c>
      <c r="U2336" t="s">
        <v>34</v>
      </c>
      <c r="V2336">
        <v>4001.47</v>
      </c>
    </row>
    <row r="2337" spans="1:22" x14ac:dyDescent="0.3">
      <c r="A2337" t="s">
        <v>3773</v>
      </c>
      <c r="B2337" s="2">
        <v>45981</v>
      </c>
      <c r="C2337" t="s">
        <v>675</v>
      </c>
      <c r="D2337" t="s">
        <v>70</v>
      </c>
      <c r="E2337" t="s">
        <v>108</v>
      </c>
      <c r="F2337">
        <v>4</v>
      </c>
      <c r="G2337">
        <v>0.05</v>
      </c>
      <c r="H2337">
        <v>17100</v>
      </c>
      <c r="I2337">
        <v>5279.7</v>
      </c>
      <c r="J2337" t="s">
        <v>65</v>
      </c>
      <c r="K2337" t="s">
        <v>27</v>
      </c>
      <c r="L2337">
        <v>4275</v>
      </c>
      <c r="M2337">
        <v>30.875438596491229</v>
      </c>
      <c r="N2337" t="s">
        <v>8</v>
      </c>
      <c r="O2337" t="s">
        <v>255</v>
      </c>
      <c r="P2337" t="s">
        <v>29</v>
      </c>
      <c r="Q2337" t="s">
        <v>30</v>
      </c>
      <c r="R2337" t="s">
        <v>60</v>
      </c>
      <c r="S2337" t="s">
        <v>61</v>
      </c>
      <c r="T2337" t="s">
        <v>676</v>
      </c>
      <c r="U2337" t="s">
        <v>105</v>
      </c>
      <c r="V2337">
        <v>1319.925</v>
      </c>
    </row>
    <row r="2338" spans="1:22" x14ac:dyDescent="0.3">
      <c r="A2338" t="s">
        <v>3774</v>
      </c>
      <c r="B2338" s="2">
        <v>45886</v>
      </c>
      <c r="C2338" t="s">
        <v>3196</v>
      </c>
      <c r="D2338" t="s">
        <v>49</v>
      </c>
      <c r="E2338" t="s">
        <v>119</v>
      </c>
      <c r="F2338">
        <v>2</v>
      </c>
      <c r="G2338">
        <v>0.2</v>
      </c>
      <c r="H2338">
        <v>14400</v>
      </c>
      <c r="I2338">
        <v>1894.75</v>
      </c>
      <c r="J2338" t="s">
        <v>65</v>
      </c>
      <c r="K2338" t="s">
        <v>40</v>
      </c>
      <c r="L2338">
        <v>7200</v>
      </c>
      <c r="M2338">
        <v>13.157986111111111</v>
      </c>
      <c r="N2338" t="s">
        <v>8</v>
      </c>
      <c r="O2338" t="s">
        <v>563</v>
      </c>
      <c r="P2338" t="s">
        <v>83</v>
      </c>
      <c r="Q2338" t="s">
        <v>131</v>
      </c>
      <c r="R2338" t="s">
        <v>200</v>
      </c>
      <c r="S2338" t="s">
        <v>201</v>
      </c>
      <c r="T2338" t="s">
        <v>3197</v>
      </c>
      <c r="U2338" t="s">
        <v>46</v>
      </c>
      <c r="V2338">
        <v>947.375</v>
      </c>
    </row>
    <row r="2339" spans="1:22" x14ac:dyDescent="0.3">
      <c r="A2339" t="s">
        <v>3775</v>
      </c>
      <c r="B2339" s="2">
        <v>45978</v>
      </c>
      <c r="C2339" t="s">
        <v>86</v>
      </c>
      <c r="D2339" t="s">
        <v>24</v>
      </c>
      <c r="E2339" t="s">
        <v>25</v>
      </c>
      <c r="F2339">
        <v>5</v>
      </c>
      <c r="G2339">
        <v>0</v>
      </c>
      <c r="H2339">
        <v>70000</v>
      </c>
      <c r="I2339">
        <v>14000</v>
      </c>
      <c r="J2339" t="s">
        <v>65</v>
      </c>
      <c r="K2339" t="s">
        <v>40</v>
      </c>
      <c r="L2339">
        <v>14000</v>
      </c>
      <c r="M2339">
        <v>20</v>
      </c>
      <c r="N2339" t="s">
        <v>8</v>
      </c>
      <c r="O2339" t="s">
        <v>88</v>
      </c>
      <c r="P2339" t="s">
        <v>29</v>
      </c>
      <c r="Q2339" t="s">
        <v>42</v>
      </c>
      <c r="R2339" t="s">
        <v>43</v>
      </c>
      <c r="S2339" t="s">
        <v>44</v>
      </c>
      <c r="T2339" t="s">
        <v>89</v>
      </c>
      <c r="U2339" t="s">
        <v>34</v>
      </c>
      <c r="V2339">
        <v>2800</v>
      </c>
    </row>
    <row r="2340" spans="1:22" x14ac:dyDescent="0.3">
      <c r="A2340" t="s">
        <v>3776</v>
      </c>
      <c r="B2340" s="2">
        <v>45875</v>
      </c>
      <c r="C2340" t="s">
        <v>351</v>
      </c>
      <c r="D2340" t="s">
        <v>49</v>
      </c>
      <c r="E2340" t="s">
        <v>119</v>
      </c>
      <c r="F2340">
        <v>1</v>
      </c>
      <c r="G2340">
        <v>0.15</v>
      </c>
      <c r="H2340">
        <v>7650</v>
      </c>
      <c r="I2340">
        <v>1226.8900000000001</v>
      </c>
      <c r="J2340" t="s">
        <v>65</v>
      </c>
      <c r="K2340" t="s">
        <v>40</v>
      </c>
      <c r="L2340">
        <v>7650</v>
      </c>
      <c r="M2340">
        <v>16.03777777777778</v>
      </c>
      <c r="N2340" t="s">
        <v>8</v>
      </c>
      <c r="O2340" t="s">
        <v>352</v>
      </c>
      <c r="P2340" t="s">
        <v>73</v>
      </c>
      <c r="Q2340" t="s">
        <v>30</v>
      </c>
      <c r="R2340" t="s">
        <v>31</v>
      </c>
      <c r="S2340" t="s">
        <v>32</v>
      </c>
      <c r="T2340" t="s">
        <v>338</v>
      </c>
      <c r="U2340" t="s">
        <v>100</v>
      </c>
      <c r="V2340">
        <v>1226.8900000000001</v>
      </c>
    </row>
    <row r="2341" spans="1:22" x14ac:dyDescent="0.3">
      <c r="A2341" t="s">
        <v>3777</v>
      </c>
      <c r="B2341" s="2">
        <v>45992</v>
      </c>
      <c r="C2341" t="s">
        <v>936</v>
      </c>
      <c r="D2341" t="s">
        <v>70</v>
      </c>
      <c r="E2341" t="s">
        <v>71</v>
      </c>
      <c r="F2341">
        <v>2</v>
      </c>
      <c r="G2341">
        <v>0.15</v>
      </c>
      <c r="H2341">
        <v>30600</v>
      </c>
      <c r="I2341">
        <v>2413.98</v>
      </c>
      <c r="J2341" t="s">
        <v>65</v>
      </c>
      <c r="K2341" t="s">
        <v>40</v>
      </c>
      <c r="L2341">
        <v>15300</v>
      </c>
      <c r="M2341">
        <v>7.8888235294117646</v>
      </c>
      <c r="N2341" t="s">
        <v>8</v>
      </c>
      <c r="O2341" t="s">
        <v>937</v>
      </c>
      <c r="P2341" t="s">
        <v>73</v>
      </c>
      <c r="Q2341" t="s">
        <v>30</v>
      </c>
      <c r="R2341" t="s">
        <v>53</v>
      </c>
      <c r="S2341" t="s">
        <v>54</v>
      </c>
      <c r="T2341" t="s">
        <v>938</v>
      </c>
      <c r="U2341" t="s">
        <v>34</v>
      </c>
      <c r="V2341">
        <v>1206.99</v>
      </c>
    </row>
    <row r="2342" spans="1:22" x14ac:dyDescent="0.3">
      <c r="A2342" t="s">
        <v>3778</v>
      </c>
      <c r="B2342" s="2">
        <v>46060</v>
      </c>
      <c r="C2342" t="s">
        <v>1524</v>
      </c>
      <c r="D2342" t="s">
        <v>70</v>
      </c>
      <c r="E2342" t="s">
        <v>165</v>
      </c>
      <c r="F2342">
        <v>3</v>
      </c>
      <c r="G2342">
        <v>0.15</v>
      </c>
      <c r="H2342">
        <v>6375</v>
      </c>
      <c r="I2342">
        <v>1514.67</v>
      </c>
      <c r="J2342" t="s">
        <v>51</v>
      </c>
      <c r="K2342" t="s">
        <v>40</v>
      </c>
      <c r="L2342">
        <v>2125</v>
      </c>
      <c r="M2342">
        <v>23.75952941176471</v>
      </c>
      <c r="N2342" t="s">
        <v>8</v>
      </c>
      <c r="O2342" t="s">
        <v>243</v>
      </c>
      <c r="P2342" t="s">
        <v>73</v>
      </c>
      <c r="Q2342" t="s">
        <v>74</v>
      </c>
      <c r="R2342" t="s">
        <v>493</v>
      </c>
      <c r="S2342" t="s">
        <v>494</v>
      </c>
      <c r="T2342" t="s">
        <v>1525</v>
      </c>
      <c r="U2342" t="s">
        <v>34</v>
      </c>
      <c r="V2342">
        <v>504.89</v>
      </c>
    </row>
    <row r="2343" spans="1:22" x14ac:dyDescent="0.3">
      <c r="A2343" t="s">
        <v>3779</v>
      </c>
      <c r="B2343" s="2">
        <v>46239</v>
      </c>
      <c r="C2343" t="s">
        <v>1236</v>
      </c>
      <c r="D2343" t="s">
        <v>70</v>
      </c>
      <c r="E2343" t="s">
        <v>108</v>
      </c>
      <c r="F2343">
        <v>2</v>
      </c>
      <c r="G2343">
        <v>0.1</v>
      </c>
      <c r="H2343">
        <v>8100</v>
      </c>
      <c r="I2343">
        <v>2332.36</v>
      </c>
      <c r="J2343" t="s">
        <v>51</v>
      </c>
      <c r="K2343" t="s">
        <v>40</v>
      </c>
      <c r="L2343">
        <v>4050</v>
      </c>
      <c r="M2343">
        <v>28.794567901234569</v>
      </c>
      <c r="N2343" t="s">
        <v>8</v>
      </c>
      <c r="O2343" t="s">
        <v>1237</v>
      </c>
      <c r="P2343" t="s">
        <v>29</v>
      </c>
      <c r="Q2343" t="s">
        <v>74</v>
      </c>
      <c r="R2343" t="s">
        <v>493</v>
      </c>
      <c r="S2343" t="s">
        <v>494</v>
      </c>
      <c r="T2343" t="s">
        <v>679</v>
      </c>
      <c r="U2343" t="s">
        <v>46</v>
      </c>
      <c r="V2343">
        <v>1166.18</v>
      </c>
    </row>
    <row r="2344" spans="1:22" x14ac:dyDescent="0.3">
      <c r="A2344" t="s">
        <v>3780</v>
      </c>
      <c r="B2344" s="2">
        <v>46202</v>
      </c>
      <c r="C2344" t="s">
        <v>1382</v>
      </c>
      <c r="D2344" t="s">
        <v>24</v>
      </c>
      <c r="E2344" t="s">
        <v>87</v>
      </c>
      <c r="F2344">
        <v>3</v>
      </c>
      <c r="G2344">
        <v>0.05</v>
      </c>
      <c r="H2344">
        <v>997.5</v>
      </c>
      <c r="I2344">
        <v>335.49</v>
      </c>
      <c r="J2344" t="s">
        <v>51</v>
      </c>
      <c r="K2344" t="s">
        <v>40</v>
      </c>
      <c r="L2344">
        <v>332.5</v>
      </c>
      <c r="M2344">
        <v>33.63308270676692</v>
      </c>
      <c r="N2344" t="s">
        <v>8</v>
      </c>
      <c r="O2344" t="s">
        <v>1383</v>
      </c>
      <c r="P2344" t="s">
        <v>83</v>
      </c>
      <c r="Q2344" t="s">
        <v>30</v>
      </c>
      <c r="R2344" t="s">
        <v>60</v>
      </c>
      <c r="S2344" t="s">
        <v>61</v>
      </c>
      <c r="T2344" t="s">
        <v>227</v>
      </c>
      <c r="U2344" t="s">
        <v>46</v>
      </c>
      <c r="V2344">
        <v>111.83</v>
      </c>
    </row>
    <row r="2345" spans="1:22" x14ac:dyDescent="0.3">
      <c r="A2345" t="s">
        <v>3781</v>
      </c>
      <c r="B2345" s="2">
        <v>46048</v>
      </c>
      <c r="C2345" t="s">
        <v>221</v>
      </c>
      <c r="D2345" t="s">
        <v>49</v>
      </c>
      <c r="E2345" t="s">
        <v>50</v>
      </c>
      <c r="F2345">
        <v>2</v>
      </c>
      <c r="G2345">
        <v>0.05</v>
      </c>
      <c r="H2345">
        <v>24700</v>
      </c>
      <c r="I2345">
        <v>5712.83</v>
      </c>
      <c r="J2345" t="s">
        <v>39</v>
      </c>
      <c r="K2345" t="s">
        <v>40</v>
      </c>
      <c r="L2345">
        <v>12350</v>
      </c>
      <c r="M2345">
        <v>23.128866396761129</v>
      </c>
      <c r="N2345" t="s">
        <v>8</v>
      </c>
      <c r="O2345" t="s">
        <v>222</v>
      </c>
      <c r="P2345" t="s">
        <v>29</v>
      </c>
      <c r="Q2345" t="s">
        <v>30</v>
      </c>
      <c r="R2345" t="s">
        <v>53</v>
      </c>
      <c r="S2345" t="s">
        <v>54</v>
      </c>
      <c r="T2345" t="s">
        <v>223</v>
      </c>
      <c r="U2345" t="s">
        <v>100</v>
      </c>
      <c r="V2345">
        <v>2856.415</v>
      </c>
    </row>
    <row r="2346" spans="1:22" x14ac:dyDescent="0.3">
      <c r="A2346" t="s">
        <v>3782</v>
      </c>
      <c r="B2346" s="2">
        <v>45890</v>
      </c>
      <c r="C2346" t="s">
        <v>1060</v>
      </c>
      <c r="D2346" t="s">
        <v>24</v>
      </c>
      <c r="E2346" t="s">
        <v>25</v>
      </c>
      <c r="F2346">
        <v>2</v>
      </c>
      <c r="G2346">
        <v>0.1</v>
      </c>
      <c r="H2346">
        <v>25200</v>
      </c>
      <c r="I2346">
        <v>4061.83</v>
      </c>
      <c r="J2346" t="s">
        <v>26</v>
      </c>
      <c r="K2346" t="s">
        <v>40</v>
      </c>
      <c r="L2346">
        <v>12600</v>
      </c>
      <c r="M2346">
        <v>16.118373015873011</v>
      </c>
      <c r="N2346" t="s">
        <v>8</v>
      </c>
      <c r="O2346" t="s">
        <v>1061</v>
      </c>
      <c r="P2346" t="s">
        <v>73</v>
      </c>
      <c r="Q2346" t="s">
        <v>30</v>
      </c>
      <c r="R2346" t="s">
        <v>31</v>
      </c>
      <c r="S2346" t="s">
        <v>32</v>
      </c>
      <c r="T2346" t="s">
        <v>1062</v>
      </c>
      <c r="U2346" t="s">
        <v>46</v>
      </c>
      <c r="V2346">
        <v>2030.915</v>
      </c>
    </row>
    <row r="2347" spans="1:22" x14ac:dyDescent="0.3">
      <c r="A2347" t="s">
        <v>3783</v>
      </c>
      <c r="B2347" s="2">
        <v>45943</v>
      </c>
      <c r="C2347" t="s">
        <v>57</v>
      </c>
      <c r="D2347" t="s">
        <v>49</v>
      </c>
      <c r="E2347" t="s">
        <v>119</v>
      </c>
      <c r="F2347">
        <v>4</v>
      </c>
      <c r="G2347">
        <v>0</v>
      </c>
      <c r="H2347">
        <v>36000</v>
      </c>
      <c r="I2347">
        <v>9200</v>
      </c>
      <c r="J2347" t="s">
        <v>65</v>
      </c>
      <c r="K2347" t="s">
        <v>40</v>
      </c>
      <c r="L2347">
        <v>9000</v>
      </c>
      <c r="M2347">
        <v>25.55555555555555</v>
      </c>
      <c r="N2347" t="s">
        <v>8</v>
      </c>
      <c r="O2347" t="s">
        <v>59</v>
      </c>
      <c r="P2347" t="s">
        <v>29</v>
      </c>
      <c r="Q2347" t="s">
        <v>30</v>
      </c>
      <c r="R2347" t="s">
        <v>60</v>
      </c>
      <c r="S2347" t="s">
        <v>61</v>
      </c>
      <c r="T2347" t="s">
        <v>62</v>
      </c>
      <c r="U2347" t="s">
        <v>34</v>
      </c>
      <c r="V2347">
        <v>2300</v>
      </c>
    </row>
    <row r="2348" spans="1:22" x14ac:dyDescent="0.3">
      <c r="A2348" t="s">
        <v>3784</v>
      </c>
      <c r="B2348" s="2">
        <v>45887</v>
      </c>
      <c r="C2348" t="s">
        <v>2985</v>
      </c>
      <c r="D2348" t="s">
        <v>49</v>
      </c>
      <c r="E2348" t="s">
        <v>79</v>
      </c>
      <c r="F2348">
        <v>2</v>
      </c>
      <c r="G2348">
        <v>0.2</v>
      </c>
      <c r="H2348">
        <v>17600</v>
      </c>
      <c r="I2348">
        <v>3178.66</v>
      </c>
      <c r="J2348" t="s">
        <v>39</v>
      </c>
      <c r="K2348" t="s">
        <v>40</v>
      </c>
      <c r="L2348">
        <v>8800</v>
      </c>
      <c r="M2348">
        <v>18.06056818181818</v>
      </c>
      <c r="N2348" t="s">
        <v>8</v>
      </c>
      <c r="O2348" t="s">
        <v>754</v>
      </c>
      <c r="P2348" t="s">
        <v>83</v>
      </c>
      <c r="Q2348" t="s">
        <v>74</v>
      </c>
      <c r="R2348" t="s">
        <v>75</v>
      </c>
      <c r="S2348" t="s">
        <v>75</v>
      </c>
      <c r="T2348" t="s">
        <v>2986</v>
      </c>
      <c r="U2348" t="s">
        <v>34</v>
      </c>
      <c r="V2348">
        <v>1589.33</v>
      </c>
    </row>
    <row r="2349" spans="1:22" x14ac:dyDescent="0.3">
      <c r="A2349" t="s">
        <v>3785</v>
      </c>
      <c r="B2349" s="2">
        <v>46176</v>
      </c>
      <c r="C2349" t="s">
        <v>2145</v>
      </c>
      <c r="D2349" t="s">
        <v>24</v>
      </c>
      <c r="E2349" t="s">
        <v>25</v>
      </c>
      <c r="F2349">
        <v>2</v>
      </c>
      <c r="G2349">
        <v>0.05</v>
      </c>
      <c r="H2349">
        <v>26600</v>
      </c>
      <c r="I2349">
        <v>4590.68</v>
      </c>
      <c r="J2349" t="s">
        <v>26</v>
      </c>
      <c r="K2349" t="s">
        <v>27</v>
      </c>
      <c r="L2349">
        <v>13300</v>
      </c>
      <c r="M2349">
        <v>17.25819548872181</v>
      </c>
      <c r="N2349" t="s">
        <v>8</v>
      </c>
      <c r="O2349" t="s">
        <v>302</v>
      </c>
      <c r="P2349" t="s">
        <v>29</v>
      </c>
      <c r="Q2349" t="s">
        <v>30</v>
      </c>
      <c r="R2349" t="s">
        <v>98</v>
      </c>
      <c r="S2349" t="s">
        <v>54</v>
      </c>
      <c r="T2349" t="s">
        <v>601</v>
      </c>
      <c r="U2349" t="s">
        <v>46</v>
      </c>
      <c r="V2349">
        <v>2295.34</v>
      </c>
    </row>
    <row r="2350" spans="1:22" x14ac:dyDescent="0.3">
      <c r="A2350" t="s">
        <v>3786</v>
      </c>
      <c r="B2350" s="2">
        <v>45986</v>
      </c>
      <c r="C2350" t="s">
        <v>766</v>
      </c>
      <c r="D2350" t="s">
        <v>24</v>
      </c>
      <c r="E2350" t="s">
        <v>242</v>
      </c>
      <c r="F2350">
        <v>1</v>
      </c>
      <c r="G2350">
        <v>0.05</v>
      </c>
      <c r="H2350">
        <v>427.5</v>
      </c>
      <c r="I2350">
        <v>-210.41</v>
      </c>
      <c r="J2350" t="s">
        <v>65</v>
      </c>
      <c r="K2350" t="s">
        <v>434</v>
      </c>
      <c r="L2350">
        <v>427.5</v>
      </c>
      <c r="M2350">
        <v>-49.218713450292398</v>
      </c>
      <c r="N2350" t="s">
        <v>81</v>
      </c>
      <c r="O2350" t="s">
        <v>195</v>
      </c>
      <c r="P2350" t="s">
        <v>29</v>
      </c>
      <c r="Q2350" t="s">
        <v>42</v>
      </c>
      <c r="R2350" t="s">
        <v>43</v>
      </c>
      <c r="S2350" t="s">
        <v>44</v>
      </c>
      <c r="T2350" t="s">
        <v>767</v>
      </c>
      <c r="U2350" t="s">
        <v>105</v>
      </c>
      <c r="V2350">
        <v>-210.41</v>
      </c>
    </row>
    <row r="2351" spans="1:22" x14ac:dyDescent="0.3">
      <c r="A2351" t="s">
        <v>3787</v>
      </c>
      <c r="B2351" s="2">
        <v>46011</v>
      </c>
      <c r="C2351" t="s">
        <v>3532</v>
      </c>
      <c r="D2351" t="s">
        <v>70</v>
      </c>
      <c r="E2351" t="s">
        <v>165</v>
      </c>
      <c r="F2351">
        <v>2</v>
      </c>
      <c r="G2351">
        <v>0</v>
      </c>
      <c r="H2351">
        <v>5000</v>
      </c>
      <c r="I2351">
        <v>1600</v>
      </c>
      <c r="J2351" t="s">
        <v>26</v>
      </c>
      <c r="K2351" t="s">
        <v>40</v>
      </c>
      <c r="L2351">
        <v>2500</v>
      </c>
      <c r="M2351">
        <v>32</v>
      </c>
      <c r="N2351" t="s">
        <v>8</v>
      </c>
      <c r="O2351" t="s">
        <v>3533</v>
      </c>
      <c r="P2351" t="s">
        <v>29</v>
      </c>
      <c r="Q2351" t="s">
        <v>131</v>
      </c>
      <c r="R2351" t="s">
        <v>132</v>
      </c>
      <c r="S2351" t="s">
        <v>133</v>
      </c>
      <c r="T2351" t="s">
        <v>3534</v>
      </c>
      <c r="U2351" t="s">
        <v>34</v>
      </c>
      <c r="V2351">
        <v>800</v>
      </c>
    </row>
    <row r="2352" spans="1:22" x14ac:dyDescent="0.3">
      <c r="A2352" t="s">
        <v>3788</v>
      </c>
      <c r="B2352" s="2">
        <v>46193</v>
      </c>
      <c r="C2352" t="s">
        <v>325</v>
      </c>
      <c r="D2352" t="s">
        <v>24</v>
      </c>
      <c r="E2352" t="s">
        <v>87</v>
      </c>
      <c r="F2352">
        <v>1</v>
      </c>
      <c r="G2352">
        <v>0.2</v>
      </c>
      <c r="H2352">
        <v>280</v>
      </c>
      <c r="I2352">
        <v>66.94</v>
      </c>
      <c r="J2352" t="s">
        <v>51</v>
      </c>
      <c r="K2352" t="s">
        <v>40</v>
      </c>
      <c r="L2352">
        <v>280</v>
      </c>
      <c r="M2352">
        <v>23.907142857142858</v>
      </c>
      <c r="N2352" t="s">
        <v>8</v>
      </c>
      <c r="O2352" t="s">
        <v>247</v>
      </c>
      <c r="P2352" t="s">
        <v>83</v>
      </c>
      <c r="Q2352" t="s">
        <v>42</v>
      </c>
      <c r="R2352" t="s">
        <v>43</v>
      </c>
      <c r="S2352" t="s">
        <v>44</v>
      </c>
      <c r="T2352" t="s">
        <v>326</v>
      </c>
      <c r="U2352" t="s">
        <v>46</v>
      </c>
      <c r="V2352">
        <v>66.94</v>
      </c>
    </row>
    <row r="2353" spans="1:22" x14ac:dyDescent="0.3">
      <c r="A2353" t="s">
        <v>3789</v>
      </c>
      <c r="B2353" s="2">
        <v>46097</v>
      </c>
      <c r="C2353" t="s">
        <v>2116</v>
      </c>
      <c r="D2353" t="s">
        <v>37</v>
      </c>
      <c r="E2353" t="s">
        <v>310</v>
      </c>
      <c r="F2353">
        <v>1</v>
      </c>
      <c r="G2353">
        <v>0.2</v>
      </c>
      <c r="H2353">
        <v>1760</v>
      </c>
      <c r="I2353">
        <v>-262.87</v>
      </c>
      <c r="J2353" t="s">
        <v>26</v>
      </c>
      <c r="K2353" t="s">
        <v>80</v>
      </c>
      <c r="L2353">
        <v>1760</v>
      </c>
      <c r="M2353">
        <v>-14.93579545454546</v>
      </c>
      <c r="N2353" t="s">
        <v>81</v>
      </c>
      <c r="O2353" t="s">
        <v>1963</v>
      </c>
      <c r="P2353" t="s">
        <v>73</v>
      </c>
      <c r="Q2353" t="s">
        <v>42</v>
      </c>
      <c r="R2353" t="s">
        <v>121</v>
      </c>
      <c r="S2353" t="s">
        <v>44</v>
      </c>
      <c r="T2353" t="s">
        <v>2117</v>
      </c>
      <c r="U2353" t="s">
        <v>34</v>
      </c>
      <c r="V2353">
        <v>-262.87</v>
      </c>
    </row>
    <row r="2354" spans="1:22" x14ac:dyDescent="0.3">
      <c r="A2354" t="s">
        <v>3790</v>
      </c>
      <c r="B2354" s="2">
        <v>46100</v>
      </c>
      <c r="C2354" t="s">
        <v>991</v>
      </c>
      <c r="D2354" t="s">
        <v>49</v>
      </c>
      <c r="E2354" t="s">
        <v>119</v>
      </c>
      <c r="F2354">
        <v>2</v>
      </c>
      <c r="G2354">
        <v>0.2</v>
      </c>
      <c r="H2354">
        <v>14400</v>
      </c>
      <c r="I2354">
        <v>2782.77</v>
      </c>
      <c r="J2354" t="s">
        <v>39</v>
      </c>
      <c r="K2354" t="s">
        <v>40</v>
      </c>
      <c r="L2354">
        <v>7200</v>
      </c>
      <c r="M2354">
        <v>19.32479166666667</v>
      </c>
      <c r="N2354" t="s">
        <v>8</v>
      </c>
      <c r="O2354" t="s">
        <v>537</v>
      </c>
      <c r="P2354" t="s">
        <v>29</v>
      </c>
      <c r="Q2354" t="s">
        <v>74</v>
      </c>
      <c r="R2354" t="s">
        <v>75</v>
      </c>
      <c r="S2354" t="s">
        <v>75</v>
      </c>
      <c r="T2354" t="s">
        <v>992</v>
      </c>
      <c r="U2354" t="s">
        <v>34</v>
      </c>
      <c r="V2354">
        <v>1391.385</v>
      </c>
    </row>
    <row r="2355" spans="1:22" x14ac:dyDescent="0.3">
      <c r="A2355" t="s">
        <v>3791</v>
      </c>
      <c r="B2355" s="2">
        <v>46085</v>
      </c>
      <c r="C2355" t="s">
        <v>385</v>
      </c>
      <c r="D2355" t="s">
        <v>37</v>
      </c>
      <c r="E2355" t="s">
        <v>190</v>
      </c>
      <c r="F2355">
        <v>4</v>
      </c>
      <c r="G2355">
        <v>0.1</v>
      </c>
      <c r="H2355">
        <v>15120</v>
      </c>
      <c r="I2355">
        <v>3414.41</v>
      </c>
      <c r="J2355" t="s">
        <v>65</v>
      </c>
      <c r="K2355" t="s">
        <v>40</v>
      </c>
      <c r="L2355">
        <v>3780</v>
      </c>
      <c r="M2355">
        <v>22.582076719576719</v>
      </c>
      <c r="N2355" t="s">
        <v>8</v>
      </c>
      <c r="O2355" t="s">
        <v>386</v>
      </c>
      <c r="P2355" t="s">
        <v>29</v>
      </c>
      <c r="Q2355" t="s">
        <v>30</v>
      </c>
      <c r="R2355" t="s">
        <v>60</v>
      </c>
      <c r="S2355" t="s">
        <v>61</v>
      </c>
      <c r="T2355" t="s">
        <v>387</v>
      </c>
      <c r="U2355" t="s">
        <v>100</v>
      </c>
      <c r="V2355">
        <v>853.60249999999996</v>
      </c>
    </row>
    <row r="2356" spans="1:22" x14ac:dyDescent="0.3">
      <c r="A2356" t="s">
        <v>3792</v>
      </c>
      <c r="B2356" s="2">
        <v>46237</v>
      </c>
      <c r="C2356" t="s">
        <v>48</v>
      </c>
      <c r="D2356" t="s">
        <v>70</v>
      </c>
      <c r="E2356" t="s">
        <v>129</v>
      </c>
      <c r="F2356">
        <v>6</v>
      </c>
      <c r="G2356">
        <v>0.1</v>
      </c>
      <c r="H2356">
        <v>297000</v>
      </c>
      <c r="I2356">
        <v>37548.449999999997</v>
      </c>
      <c r="J2356" t="s">
        <v>51</v>
      </c>
      <c r="K2356" t="s">
        <v>40</v>
      </c>
      <c r="L2356">
        <v>49500</v>
      </c>
      <c r="M2356">
        <v>12.642575757575759</v>
      </c>
      <c r="N2356" t="s">
        <v>8</v>
      </c>
      <c r="O2356" t="s">
        <v>52</v>
      </c>
      <c r="P2356" t="s">
        <v>29</v>
      </c>
      <c r="Q2356" t="s">
        <v>30</v>
      </c>
      <c r="R2356" t="s">
        <v>53</v>
      </c>
      <c r="S2356" t="s">
        <v>54</v>
      </c>
      <c r="T2356" t="s">
        <v>55</v>
      </c>
      <c r="U2356" t="s">
        <v>34</v>
      </c>
      <c r="V2356">
        <v>6258.0749999999998</v>
      </c>
    </row>
    <row r="2357" spans="1:22" x14ac:dyDescent="0.3">
      <c r="A2357" t="s">
        <v>3793</v>
      </c>
      <c r="B2357" s="2">
        <v>45914</v>
      </c>
      <c r="C2357" t="s">
        <v>1529</v>
      </c>
      <c r="D2357" t="s">
        <v>70</v>
      </c>
      <c r="E2357" t="s">
        <v>165</v>
      </c>
      <c r="F2357">
        <v>3</v>
      </c>
      <c r="G2357">
        <v>0.3</v>
      </c>
      <c r="H2357">
        <v>5250</v>
      </c>
      <c r="I2357">
        <v>768.88</v>
      </c>
      <c r="J2357" t="s">
        <v>51</v>
      </c>
      <c r="K2357" t="s">
        <v>40</v>
      </c>
      <c r="L2357">
        <v>1750</v>
      </c>
      <c r="M2357">
        <v>14.64533333333333</v>
      </c>
      <c r="N2357" t="s">
        <v>8</v>
      </c>
      <c r="O2357" t="s">
        <v>717</v>
      </c>
      <c r="P2357" t="s">
        <v>73</v>
      </c>
      <c r="Q2357" t="s">
        <v>131</v>
      </c>
      <c r="R2357" t="s">
        <v>132</v>
      </c>
      <c r="S2357" t="s">
        <v>133</v>
      </c>
      <c r="T2357" t="s">
        <v>1530</v>
      </c>
      <c r="U2357" t="s">
        <v>46</v>
      </c>
      <c r="V2357">
        <v>256.29333333333341</v>
      </c>
    </row>
    <row r="2358" spans="1:22" x14ac:dyDescent="0.3">
      <c r="A2358" t="s">
        <v>3794</v>
      </c>
      <c r="B2358" s="2">
        <v>46080</v>
      </c>
      <c r="C2358" t="s">
        <v>236</v>
      </c>
      <c r="D2358" t="s">
        <v>70</v>
      </c>
      <c r="E2358" t="s">
        <v>165</v>
      </c>
      <c r="F2358">
        <v>1</v>
      </c>
      <c r="G2358">
        <v>0</v>
      </c>
      <c r="H2358">
        <v>2500</v>
      </c>
      <c r="I2358">
        <v>800</v>
      </c>
      <c r="J2358" t="s">
        <v>65</v>
      </c>
      <c r="K2358" t="s">
        <v>40</v>
      </c>
      <c r="L2358">
        <v>2500</v>
      </c>
      <c r="M2358">
        <v>32</v>
      </c>
      <c r="N2358" t="s">
        <v>8</v>
      </c>
      <c r="O2358" t="s">
        <v>179</v>
      </c>
      <c r="P2358" t="s">
        <v>29</v>
      </c>
      <c r="Q2358" t="s">
        <v>74</v>
      </c>
      <c r="R2358" t="s">
        <v>237</v>
      </c>
      <c r="S2358" t="s">
        <v>238</v>
      </c>
      <c r="T2358" t="s">
        <v>239</v>
      </c>
      <c r="U2358" t="s">
        <v>34</v>
      </c>
      <c r="V2358">
        <v>800</v>
      </c>
    </row>
    <row r="2359" spans="1:22" x14ac:dyDescent="0.3">
      <c r="A2359" t="s">
        <v>3795</v>
      </c>
      <c r="B2359" s="2">
        <v>46121</v>
      </c>
      <c r="C2359" t="s">
        <v>164</v>
      </c>
      <c r="D2359" t="s">
        <v>37</v>
      </c>
      <c r="E2359" t="s">
        <v>38</v>
      </c>
      <c r="F2359">
        <v>5</v>
      </c>
      <c r="G2359">
        <v>0</v>
      </c>
      <c r="H2359">
        <v>9000</v>
      </c>
      <c r="I2359">
        <v>3250</v>
      </c>
      <c r="J2359" t="s">
        <v>51</v>
      </c>
      <c r="K2359" t="s">
        <v>40</v>
      </c>
      <c r="L2359">
        <v>1800</v>
      </c>
      <c r="M2359">
        <v>36.111111111111107</v>
      </c>
      <c r="N2359" t="s">
        <v>8</v>
      </c>
      <c r="O2359" t="s">
        <v>166</v>
      </c>
      <c r="P2359" t="s">
        <v>73</v>
      </c>
      <c r="Q2359" t="s">
        <v>30</v>
      </c>
      <c r="R2359" t="s">
        <v>53</v>
      </c>
      <c r="S2359" t="s">
        <v>54</v>
      </c>
      <c r="T2359" t="s">
        <v>167</v>
      </c>
      <c r="U2359" t="s">
        <v>46</v>
      </c>
      <c r="V2359">
        <v>650</v>
      </c>
    </row>
    <row r="2360" spans="1:22" x14ac:dyDescent="0.3">
      <c r="A2360" t="s">
        <v>3796</v>
      </c>
      <c r="B2360" s="2">
        <v>45962</v>
      </c>
      <c r="C2360" t="s">
        <v>365</v>
      </c>
      <c r="D2360" t="s">
        <v>70</v>
      </c>
      <c r="E2360" t="s">
        <v>165</v>
      </c>
      <c r="F2360">
        <v>4</v>
      </c>
      <c r="G2360">
        <v>0.05</v>
      </c>
      <c r="H2360">
        <v>9500</v>
      </c>
      <c r="I2360">
        <v>2860.99</v>
      </c>
      <c r="J2360" t="s">
        <v>39</v>
      </c>
      <c r="K2360" t="s">
        <v>40</v>
      </c>
      <c r="L2360">
        <v>2375</v>
      </c>
      <c r="M2360">
        <v>30.115684210526311</v>
      </c>
      <c r="N2360" t="s">
        <v>8</v>
      </c>
      <c r="O2360" t="s">
        <v>318</v>
      </c>
      <c r="P2360" t="s">
        <v>29</v>
      </c>
      <c r="Q2360" t="s">
        <v>30</v>
      </c>
      <c r="R2360" t="s">
        <v>31</v>
      </c>
      <c r="S2360" t="s">
        <v>32</v>
      </c>
      <c r="T2360" t="s">
        <v>366</v>
      </c>
      <c r="U2360" t="s">
        <v>105</v>
      </c>
      <c r="V2360">
        <v>715.24749999999995</v>
      </c>
    </row>
    <row r="2361" spans="1:22" x14ac:dyDescent="0.3">
      <c r="A2361" t="s">
        <v>3797</v>
      </c>
      <c r="B2361" s="2">
        <v>45942</v>
      </c>
      <c r="C2361" t="s">
        <v>3136</v>
      </c>
      <c r="D2361" t="s">
        <v>37</v>
      </c>
      <c r="E2361" t="s">
        <v>38</v>
      </c>
      <c r="F2361">
        <v>4</v>
      </c>
      <c r="G2361">
        <v>0</v>
      </c>
      <c r="H2361">
        <v>7200</v>
      </c>
      <c r="I2361">
        <v>-1185.26</v>
      </c>
      <c r="J2361" t="s">
        <v>39</v>
      </c>
      <c r="K2361" t="s">
        <v>434</v>
      </c>
      <c r="L2361">
        <v>1800</v>
      </c>
      <c r="M2361">
        <v>-16.461944444444441</v>
      </c>
      <c r="N2361" t="s">
        <v>81</v>
      </c>
      <c r="O2361" t="s">
        <v>3137</v>
      </c>
      <c r="P2361" t="s">
        <v>29</v>
      </c>
      <c r="Q2361" t="s">
        <v>42</v>
      </c>
      <c r="R2361" t="s">
        <v>110</v>
      </c>
      <c r="S2361" t="s">
        <v>111</v>
      </c>
      <c r="T2361" t="s">
        <v>3138</v>
      </c>
      <c r="U2361" t="s">
        <v>34</v>
      </c>
      <c r="V2361">
        <v>-296.315</v>
      </c>
    </row>
    <row r="2362" spans="1:22" x14ac:dyDescent="0.3">
      <c r="A2362" t="s">
        <v>3798</v>
      </c>
      <c r="B2362" s="2">
        <v>45847</v>
      </c>
      <c r="C2362" t="s">
        <v>351</v>
      </c>
      <c r="D2362" t="s">
        <v>24</v>
      </c>
      <c r="E2362" t="s">
        <v>242</v>
      </c>
      <c r="F2362">
        <v>5</v>
      </c>
      <c r="G2362">
        <v>0.1</v>
      </c>
      <c r="H2362">
        <v>2025</v>
      </c>
      <c r="I2362">
        <v>380.22</v>
      </c>
      <c r="J2362" t="s">
        <v>39</v>
      </c>
      <c r="K2362" t="s">
        <v>27</v>
      </c>
      <c r="L2362">
        <v>405</v>
      </c>
      <c r="M2362">
        <v>18.776296296296302</v>
      </c>
      <c r="N2362" t="s">
        <v>8</v>
      </c>
      <c r="O2362" t="s">
        <v>352</v>
      </c>
      <c r="P2362" t="s">
        <v>73</v>
      </c>
      <c r="Q2362" t="s">
        <v>30</v>
      </c>
      <c r="R2362" t="s">
        <v>31</v>
      </c>
      <c r="S2362" t="s">
        <v>32</v>
      </c>
      <c r="T2362" t="s">
        <v>338</v>
      </c>
      <c r="U2362" t="s">
        <v>100</v>
      </c>
      <c r="V2362">
        <v>76.044000000000011</v>
      </c>
    </row>
    <row r="2363" spans="1:22" x14ac:dyDescent="0.3">
      <c r="A2363" t="s">
        <v>3799</v>
      </c>
      <c r="B2363" s="2">
        <v>45991</v>
      </c>
      <c r="C2363" t="s">
        <v>1160</v>
      </c>
      <c r="D2363" t="s">
        <v>24</v>
      </c>
      <c r="E2363" t="s">
        <v>242</v>
      </c>
      <c r="F2363">
        <v>1</v>
      </c>
      <c r="G2363">
        <v>0.1</v>
      </c>
      <c r="H2363">
        <v>405</v>
      </c>
      <c r="I2363">
        <v>77.239999999999995</v>
      </c>
      <c r="J2363" t="s">
        <v>65</v>
      </c>
      <c r="K2363" t="s">
        <v>27</v>
      </c>
      <c r="L2363">
        <v>405</v>
      </c>
      <c r="M2363">
        <v>19.071604938271602</v>
      </c>
      <c r="N2363" t="s">
        <v>8</v>
      </c>
      <c r="O2363" t="s">
        <v>269</v>
      </c>
      <c r="P2363" t="s">
        <v>29</v>
      </c>
      <c r="Q2363" t="s">
        <v>74</v>
      </c>
      <c r="R2363" t="s">
        <v>493</v>
      </c>
      <c r="S2363" t="s">
        <v>494</v>
      </c>
      <c r="T2363" t="s">
        <v>1161</v>
      </c>
      <c r="U2363" t="s">
        <v>34</v>
      </c>
      <c r="V2363">
        <v>77.239999999999995</v>
      </c>
    </row>
    <row r="2364" spans="1:22" x14ac:dyDescent="0.3">
      <c r="A2364" t="s">
        <v>3800</v>
      </c>
      <c r="B2364" s="2">
        <v>45932</v>
      </c>
      <c r="C2364" t="s">
        <v>2511</v>
      </c>
      <c r="D2364" t="s">
        <v>37</v>
      </c>
      <c r="E2364" t="s">
        <v>38</v>
      </c>
      <c r="F2364">
        <v>1</v>
      </c>
      <c r="G2364">
        <v>0.1</v>
      </c>
      <c r="H2364">
        <v>1620</v>
      </c>
      <c r="I2364">
        <v>540.15</v>
      </c>
      <c r="J2364" t="s">
        <v>65</v>
      </c>
      <c r="K2364" t="s">
        <v>40</v>
      </c>
      <c r="L2364">
        <v>1620</v>
      </c>
      <c r="M2364">
        <v>33.342592592592588</v>
      </c>
      <c r="N2364" t="s">
        <v>8</v>
      </c>
      <c r="O2364" t="s">
        <v>1695</v>
      </c>
      <c r="P2364" t="s">
        <v>83</v>
      </c>
      <c r="Q2364" t="s">
        <v>30</v>
      </c>
      <c r="R2364" t="s">
        <v>98</v>
      </c>
      <c r="S2364" t="s">
        <v>54</v>
      </c>
      <c r="T2364" t="s">
        <v>2512</v>
      </c>
      <c r="U2364" t="s">
        <v>46</v>
      </c>
      <c r="V2364">
        <v>540.15</v>
      </c>
    </row>
    <row r="2365" spans="1:22" x14ac:dyDescent="0.3">
      <c r="A2365" t="s">
        <v>3801</v>
      </c>
      <c r="B2365" s="2">
        <v>46172</v>
      </c>
      <c r="C2365" t="s">
        <v>2271</v>
      </c>
      <c r="D2365" t="s">
        <v>24</v>
      </c>
      <c r="E2365" t="s">
        <v>92</v>
      </c>
      <c r="F2365">
        <v>2</v>
      </c>
      <c r="G2365">
        <v>0.2</v>
      </c>
      <c r="H2365">
        <v>1440</v>
      </c>
      <c r="I2365">
        <v>397.46</v>
      </c>
      <c r="J2365" t="s">
        <v>26</v>
      </c>
      <c r="K2365" t="s">
        <v>40</v>
      </c>
      <c r="L2365">
        <v>720</v>
      </c>
      <c r="M2365">
        <v>27.601388888888891</v>
      </c>
      <c r="N2365" t="s">
        <v>8</v>
      </c>
      <c r="O2365" t="s">
        <v>1538</v>
      </c>
      <c r="P2365" t="s">
        <v>73</v>
      </c>
      <c r="Q2365" t="s">
        <v>131</v>
      </c>
      <c r="R2365" t="s">
        <v>200</v>
      </c>
      <c r="S2365" t="s">
        <v>201</v>
      </c>
      <c r="T2365" t="s">
        <v>2272</v>
      </c>
      <c r="U2365" t="s">
        <v>34</v>
      </c>
      <c r="V2365">
        <v>198.73</v>
      </c>
    </row>
    <row r="2366" spans="1:22" x14ac:dyDescent="0.3">
      <c r="A2366" t="s">
        <v>3802</v>
      </c>
      <c r="B2366" s="2">
        <v>45852</v>
      </c>
      <c r="C2366" t="s">
        <v>397</v>
      </c>
      <c r="D2366" t="s">
        <v>24</v>
      </c>
      <c r="E2366" t="s">
        <v>25</v>
      </c>
      <c r="F2366">
        <v>4</v>
      </c>
      <c r="G2366">
        <v>0.1</v>
      </c>
      <c r="H2366">
        <v>50400</v>
      </c>
      <c r="I2366">
        <v>7732.31</v>
      </c>
      <c r="J2366" t="s">
        <v>26</v>
      </c>
      <c r="K2366" t="s">
        <v>40</v>
      </c>
      <c r="L2366">
        <v>12600</v>
      </c>
      <c r="M2366">
        <v>15.34188492063492</v>
      </c>
      <c r="N2366" t="s">
        <v>8</v>
      </c>
      <c r="O2366" t="s">
        <v>398</v>
      </c>
      <c r="P2366" t="s">
        <v>73</v>
      </c>
      <c r="Q2366" t="s">
        <v>30</v>
      </c>
      <c r="R2366" t="s">
        <v>98</v>
      </c>
      <c r="S2366" t="s">
        <v>54</v>
      </c>
      <c r="T2366" t="s">
        <v>399</v>
      </c>
      <c r="U2366" t="s">
        <v>34</v>
      </c>
      <c r="V2366">
        <v>1933.0775000000001</v>
      </c>
    </row>
    <row r="2367" spans="1:22" x14ac:dyDescent="0.3">
      <c r="A2367" t="s">
        <v>3803</v>
      </c>
      <c r="B2367" s="2">
        <v>46054</v>
      </c>
      <c r="C2367" t="s">
        <v>1799</v>
      </c>
      <c r="D2367" t="s">
        <v>24</v>
      </c>
      <c r="E2367" t="s">
        <v>242</v>
      </c>
      <c r="F2367">
        <v>1</v>
      </c>
      <c r="G2367">
        <v>0.1</v>
      </c>
      <c r="H2367">
        <v>405</v>
      </c>
      <c r="I2367">
        <v>85.54</v>
      </c>
      <c r="J2367" t="s">
        <v>39</v>
      </c>
      <c r="K2367" t="s">
        <v>40</v>
      </c>
      <c r="L2367">
        <v>405</v>
      </c>
      <c r="M2367">
        <v>21.120987654320992</v>
      </c>
      <c r="N2367" t="s">
        <v>8</v>
      </c>
      <c r="O2367" t="s">
        <v>1800</v>
      </c>
      <c r="P2367" t="s">
        <v>73</v>
      </c>
      <c r="Q2367" t="s">
        <v>30</v>
      </c>
      <c r="R2367" t="s">
        <v>98</v>
      </c>
      <c r="S2367" t="s">
        <v>54</v>
      </c>
      <c r="T2367" t="s">
        <v>1801</v>
      </c>
      <c r="U2367" t="s">
        <v>100</v>
      </c>
      <c r="V2367">
        <v>85.54</v>
      </c>
    </row>
    <row r="2368" spans="1:22" x14ac:dyDescent="0.3">
      <c r="A2368" t="s">
        <v>3804</v>
      </c>
      <c r="B2368" s="2">
        <v>45927</v>
      </c>
      <c r="C2368" t="s">
        <v>1236</v>
      </c>
      <c r="D2368" t="s">
        <v>49</v>
      </c>
      <c r="E2368" t="s">
        <v>58</v>
      </c>
      <c r="F2368">
        <v>4</v>
      </c>
      <c r="G2368">
        <v>0.15</v>
      </c>
      <c r="H2368">
        <v>51000</v>
      </c>
      <c r="I2368">
        <v>8569.41</v>
      </c>
      <c r="J2368" t="s">
        <v>65</v>
      </c>
      <c r="K2368" t="s">
        <v>40</v>
      </c>
      <c r="L2368">
        <v>12750</v>
      </c>
      <c r="M2368">
        <v>16.80276470588235</v>
      </c>
      <c r="N2368" t="s">
        <v>8</v>
      </c>
      <c r="O2368" t="s">
        <v>1237</v>
      </c>
      <c r="P2368" t="s">
        <v>29</v>
      </c>
      <c r="Q2368" t="s">
        <v>74</v>
      </c>
      <c r="R2368" t="s">
        <v>493</v>
      </c>
      <c r="S2368" t="s">
        <v>494</v>
      </c>
      <c r="T2368" t="s">
        <v>679</v>
      </c>
      <c r="U2368" t="s">
        <v>46</v>
      </c>
      <c r="V2368">
        <v>2142.3525</v>
      </c>
    </row>
    <row r="2369" spans="1:22" x14ac:dyDescent="0.3">
      <c r="A2369" t="s">
        <v>3805</v>
      </c>
      <c r="B2369" s="2">
        <v>46195</v>
      </c>
      <c r="C2369" t="s">
        <v>1637</v>
      </c>
      <c r="D2369" t="s">
        <v>24</v>
      </c>
      <c r="E2369" t="s">
        <v>242</v>
      </c>
      <c r="F2369">
        <v>4</v>
      </c>
      <c r="G2369">
        <v>0.1</v>
      </c>
      <c r="H2369">
        <v>1620</v>
      </c>
      <c r="I2369">
        <v>333.57</v>
      </c>
      <c r="J2369" t="s">
        <v>26</v>
      </c>
      <c r="K2369" t="s">
        <v>40</v>
      </c>
      <c r="L2369">
        <v>405</v>
      </c>
      <c r="M2369">
        <v>20.590740740740738</v>
      </c>
      <c r="N2369" t="s">
        <v>8</v>
      </c>
      <c r="O2369" t="s">
        <v>697</v>
      </c>
      <c r="P2369" t="s">
        <v>29</v>
      </c>
      <c r="Q2369" t="s">
        <v>30</v>
      </c>
      <c r="R2369" t="s">
        <v>31</v>
      </c>
      <c r="S2369" t="s">
        <v>32</v>
      </c>
      <c r="T2369" t="s">
        <v>1638</v>
      </c>
      <c r="U2369" t="s">
        <v>46</v>
      </c>
      <c r="V2369">
        <v>83.392499999999998</v>
      </c>
    </row>
    <row r="2370" spans="1:22" x14ac:dyDescent="0.3">
      <c r="A2370" t="s">
        <v>3806</v>
      </c>
      <c r="B2370" s="2">
        <v>45909</v>
      </c>
      <c r="C2370" t="s">
        <v>1723</v>
      </c>
      <c r="D2370" t="s">
        <v>70</v>
      </c>
      <c r="E2370" t="s">
        <v>108</v>
      </c>
      <c r="F2370">
        <v>10</v>
      </c>
      <c r="G2370">
        <v>0.2</v>
      </c>
      <c r="H2370">
        <v>36000</v>
      </c>
      <c r="I2370">
        <v>7989.11</v>
      </c>
      <c r="J2370" t="s">
        <v>39</v>
      </c>
      <c r="K2370" t="s">
        <v>40</v>
      </c>
      <c r="L2370">
        <v>3600</v>
      </c>
      <c r="M2370">
        <v>22.191972222222219</v>
      </c>
      <c r="N2370" t="s">
        <v>8</v>
      </c>
      <c r="O2370" t="s">
        <v>398</v>
      </c>
      <c r="P2370" t="s">
        <v>83</v>
      </c>
      <c r="Q2370" t="s">
        <v>30</v>
      </c>
      <c r="R2370" t="s">
        <v>98</v>
      </c>
      <c r="S2370" t="s">
        <v>54</v>
      </c>
      <c r="T2370" t="s">
        <v>1724</v>
      </c>
      <c r="U2370" t="s">
        <v>46</v>
      </c>
      <c r="V2370">
        <v>798.91099999999994</v>
      </c>
    </row>
    <row r="2371" spans="1:22" x14ac:dyDescent="0.3">
      <c r="A2371" t="s">
        <v>3807</v>
      </c>
      <c r="B2371" s="2">
        <v>46164</v>
      </c>
      <c r="C2371" t="s">
        <v>1557</v>
      </c>
      <c r="D2371" t="s">
        <v>37</v>
      </c>
      <c r="E2371" t="s">
        <v>170</v>
      </c>
      <c r="F2371">
        <v>4</v>
      </c>
      <c r="G2371">
        <v>0.1</v>
      </c>
      <c r="H2371">
        <v>5040</v>
      </c>
      <c r="I2371">
        <v>1548.33</v>
      </c>
      <c r="J2371" t="s">
        <v>26</v>
      </c>
      <c r="K2371" t="s">
        <v>40</v>
      </c>
      <c r="L2371">
        <v>1260</v>
      </c>
      <c r="M2371">
        <v>30.720833333333331</v>
      </c>
      <c r="N2371" t="s">
        <v>8</v>
      </c>
      <c r="O2371" t="s">
        <v>821</v>
      </c>
      <c r="P2371" t="s">
        <v>73</v>
      </c>
      <c r="Q2371" t="s">
        <v>42</v>
      </c>
      <c r="R2371" t="s">
        <v>121</v>
      </c>
      <c r="S2371" t="s">
        <v>44</v>
      </c>
      <c r="T2371" t="s">
        <v>1558</v>
      </c>
      <c r="U2371" t="s">
        <v>105</v>
      </c>
      <c r="V2371">
        <v>387.08249999999998</v>
      </c>
    </row>
    <row r="2372" spans="1:22" x14ac:dyDescent="0.3">
      <c r="A2372" t="s">
        <v>3808</v>
      </c>
      <c r="B2372" s="2">
        <v>45896</v>
      </c>
      <c r="C2372" t="s">
        <v>1806</v>
      </c>
      <c r="D2372" t="s">
        <v>49</v>
      </c>
      <c r="E2372" t="s">
        <v>119</v>
      </c>
      <c r="F2372">
        <v>5</v>
      </c>
      <c r="G2372">
        <v>0.05</v>
      </c>
      <c r="H2372">
        <v>42750</v>
      </c>
      <c r="I2372">
        <v>10108.68</v>
      </c>
      <c r="J2372" t="s">
        <v>39</v>
      </c>
      <c r="K2372" t="s">
        <v>40</v>
      </c>
      <c r="L2372">
        <v>8550</v>
      </c>
      <c r="M2372">
        <v>23.646035087719302</v>
      </c>
      <c r="N2372" t="s">
        <v>8</v>
      </c>
      <c r="O2372" t="s">
        <v>1033</v>
      </c>
      <c r="P2372" t="s">
        <v>73</v>
      </c>
      <c r="Q2372" t="s">
        <v>42</v>
      </c>
      <c r="R2372" t="s">
        <v>110</v>
      </c>
      <c r="S2372" t="s">
        <v>111</v>
      </c>
      <c r="T2372" t="s">
        <v>759</v>
      </c>
      <c r="U2372" t="s">
        <v>34</v>
      </c>
      <c r="V2372">
        <v>2021.7360000000001</v>
      </c>
    </row>
    <row r="2373" spans="1:22" x14ac:dyDescent="0.3">
      <c r="A2373" t="s">
        <v>3809</v>
      </c>
      <c r="B2373" s="2">
        <v>45902</v>
      </c>
      <c r="C2373" t="s">
        <v>897</v>
      </c>
      <c r="D2373" t="s">
        <v>37</v>
      </c>
      <c r="E2373" t="s">
        <v>190</v>
      </c>
      <c r="F2373">
        <v>3</v>
      </c>
      <c r="G2373">
        <v>0.15</v>
      </c>
      <c r="H2373">
        <v>10710</v>
      </c>
      <c r="I2373">
        <v>2680.5</v>
      </c>
      <c r="J2373" t="s">
        <v>39</v>
      </c>
      <c r="K2373" t="s">
        <v>40</v>
      </c>
      <c r="L2373">
        <v>3570</v>
      </c>
      <c r="M2373">
        <v>25.028011204481789</v>
      </c>
      <c r="N2373" t="s">
        <v>8</v>
      </c>
      <c r="O2373" t="s">
        <v>607</v>
      </c>
      <c r="P2373" t="s">
        <v>73</v>
      </c>
      <c r="Q2373" t="s">
        <v>30</v>
      </c>
      <c r="R2373" t="s">
        <v>31</v>
      </c>
      <c r="S2373" t="s">
        <v>32</v>
      </c>
      <c r="T2373" t="s">
        <v>898</v>
      </c>
      <c r="U2373" t="s">
        <v>34</v>
      </c>
      <c r="V2373">
        <v>893.5</v>
      </c>
    </row>
    <row r="2374" spans="1:22" x14ac:dyDescent="0.3">
      <c r="A2374" t="s">
        <v>3810</v>
      </c>
      <c r="B2374" s="2">
        <v>46068</v>
      </c>
      <c r="C2374" t="s">
        <v>1334</v>
      </c>
      <c r="D2374" t="s">
        <v>70</v>
      </c>
      <c r="E2374" t="s">
        <v>165</v>
      </c>
      <c r="F2374">
        <v>4</v>
      </c>
      <c r="G2374">
        <v>0.15</v>
      </c>
      <c r="H2374">
        <v>8500</v>
      </c>
      <c r="I2374">
        <v>2479.8200000000002</v>
      </c>
      <c r="J2374" t="s">
        <v>39</v>
      </c>
      <c r="K2374" t="s">
        <v>27</v>
      </c>
      <c r="L2374">
        <v>2125</v>
      </c>
      <c r="M2374">
        <v>29.174352941176469</v>
      </c>
      <c r="N2374" t="s">
        <v>8</v>
      </c>
      <c r="O2374" t="s">
        <v>1335</v>
      </c>
      <c r="P2374" t="s">
        <v>29</v>
      </c>
      <c r="Q2374" t="s">
        <v>131</v>
      </c>
      <c r="R2374" t="s">
        <v>289</v>
      </c>
      <c r="S2374" t="s">
        <v>290</v>
      </c>
      <c r="T2374" t="s">
        <v>1336</v>
      </c>
      <c r="U2374" t="s">
        <v>46</v>
      </c>
      <c r="V2374">
        <v>619.95500000000004</v>
      </c>
    </row>
    <row r="2375" spans="1:22" x14ac:dyDescent="0.3">
      <c r="A2375" t="s">
        <v>3811</v>
      </c>
      <c r="B2375" s="2">
        <v>46019</v>
      </c>
      <c r="C2375" t="s">
        <v>921</v>
      </c>
      <c r="D2375" t="s">
        <v>70</v>
      </c>
      <c r="E2375" t="s">
        <v>129</v>
      </c>
      <c r="F2375">
        <v>2</v>
      </c>
      <c r="G2375">
        <v>0.05</v>
      </c>
      <c r="H2375">
        <v>104500</v>
      </c>
      <c r="I2375">
        <v>15279.24</v>
      </c>
      <c r="J2375" t="s">
        <v>51</v>
      </c>
      <c r="K2375" t="s">
        <v>27</v>
      </c>
      <c r="L2375">
        <v>52250</v>
      </c>
      <c r="M2375">
        <v>14.621282296650721</v>
      </c>
      <c r="N2375" t="s">
        <v>8</v>
      </c>
      <c r="O2375" t="s">
        <v>922</v>
      </c>
      <c r="P2375" t="s">
        <v>29</v>
      </c>
      <c r="Q2375" t="s">
        <v>30</v>
      </c>
      <c r="R2375" t="s">
        <v>53</v>
      </c>
      <c r="S2375" t="s">
        <v>54</v>
      </c>
      <c r="T2375" t="s">
        <v>923</v>
      </c>
      <c r="U2375" t="s">
        <v>105</v>
      </c>
      <c r="V2375">
        <v>7639.62</v>
      </c>
    </row>
    <row r="2376" spans="1:22" x14ac:dyDescent="0.3">
      <c r="A2376" t="s">
        <v>3812</v>
      </c>
      <c r="B2376" s="2">
        <v>46181</v>
      </c>
      <c r="C2376" t="s">
        <v>700</v>
      </c>
      <c r="D2376" t="s">
        <v>70</v>
      </c>
      <c r="E2376" t="s">
        <v>71</v>
      </c>
      <c r="F2376">
        <v>1</v>
      </c>
      <c r="G2376">
        <v>0.05</v>
      </c>
      <c r="H2376">
        <v>17100</v>
      </c>
      <c r="I2376">
        <v>2747.61</v>
      </c>
      <c r="J2376" t="s">
        <v>51</v>
      </c>
      <c r="K2376" t="s">
        <v>40</v>
      </c>
      <c r="L2376">
        <v>17100</v>
      </c>
      <c r="M2376">
        <v>16.06789473684211</v>
      </c>
      <c r="N2376" t="s">
        <v>8</v>
      </c>
      <c r="O2376" t="s">
        <v>701</v>
      </c>
      <c r="P2376" t="s">
        <v>29</v>
      </c>
      <c r="Q2376" t="s">
        <v>30</v>
      </c>
      <c r="R2376" t="s">
        <v>60</v>
      </c>
      <c r="S2376" t="s">
        <v>61</v>
      </c>
      <c r="T2376" t="s">
        <v>702</v>
      </c>
      <c r="U2376" t="s">
        <v>34</v>
      </c>
      <c r="V2376">
        <v>2747.61</v>
      </c>
    </row>
    <row r="2377" spans="1:22" x14ac:dyDescent="0.3">
      <c r="A2377" t="s">
        <v>3813</v>
      </c>
      <c r="B2377" s="2">
        <v>46114</v>
      </c>
      <c r="C2377" t="s">
        <v>241</v>
      </c>
      <c r="D2377" t="s">
        <v>70</v>
      </c>
      <c r="E2377" t="s">
        <v>71</v>
      </c>
      <c r="F2377">
        <v>4</v>
      </c>
      <c r="G2377">
        <v>0.1</v>
      </c>
      <c r="H2377">
        <v>64800</v>
      </c>
      <c r="I2377">
        <v>10302.61</v>
      </c>
      <c r="J2377" t="s">
        <v>39</v>
      </c>
      <c r="K2377" t="s">
        <v>40</v>
      </c>
      <c r="L2377">
        <v>16200</v>
      </c>
      <c r="M2377">
        <v>15.899089506172841</v>
      </c>
      <c r="N2377" t="s">
        <v>8</v>
      </c>
      <c r="O2377" t="s">
        <v>243</v>
      </c>
      <c r="P2377" t="s">
        <v>73</v>
      </c>
      <c r="Q2377" t="s">
        <v>74</v>
      </c>
      <c r="R2377" t="s">
        <v>75</v>
      </c>
      <c r="S2377" t="s">
        <v>75</v>
      </c>
      <c r="T2377" t="s">
        <v>244</v>
      </c>
      <c r="U2377" t="s">
        <v>34</v>
      </c>
      <c r="V2377">
        <v>2575.6525000000001</v>
      </c>
    </row>
    <row r="2378" spans="1:22" x14ac:dyDescent="0.3">
      <c r="A2378" t="s">
        <v>3814</v>
      </c>
      <c r="B2378" s="2">
        <v>46072</v>
      </c>
      <c r="C2378" t="s">
        <v>2054</v>
      </c>
      <c r="D2378" t="s">
        <v>24</v>
      </c>
      <c r="E2378" t="s">
        <v>242</v>
      </c>
      <c r="F2378">
        <v>2</v>
      </c>
      <c r="G2378">
        <v>0.05</v>
      </c>
      <c r="H2378">
        <v>855</v>
      </c>
      <c r="I2378">
        <v>188.1</v>
      </c>
      <c r="J2378" t="s">
        <v>65</v>
      </c>
      <c r="K2378" t="s">
        <v>27</v>
      </c>
      <c r="L2378">
        <v>427.5</v>
      </c>
      <c r="M2378">
        <v>22</v>
      </c>
      <c r="N2378" t="s">
        <v>8</v>
      </c>
      <c r="O2378" t="s">
        <v>1383</v>
      </c>
      <c r="P2378" t="s">
        <v>29</v>
      </c>
      <c r="Q2378" t="s">
        <v>74</v>
      </c>
      <c r="R2378" t="s">
        <v>75</v>
      </c>
      <c r="S2378" t="s">
        <v>75</v>
      </c>
      <c r="T2378" t="s">
        <v>2055</v>
      </c>
      <c r="U2378" t="s">
        <v>34</v>
      </c>
      <c r="V2378">
        <v>94.05</v>
      </c>
    </row>
    <row r="2379" spans="1:22" x14ac:dyDescent="0.3">
      <c r="A2379" t="s">
        <v>3815</v>
      </c>
      <c r="B2379" s="2">
        <v>46044</v>
      </c>
      <c r="C2379" t="s">
        <v>2266</v>
      </c>
      <c r="D2379" t="s">
        <v>24</v>
      </c>
      <c r="E2379" t="s">
        <v>87</v>
      </c>
      <c r="F2379">
        <v>5</v>
      </c>
      <c r="G2379">
        <v>0.1</v>
      </c>
      <c r="H2379">
        <v>1575</v>
      </c>
      <c r="I2379">
        <v>462.3</v>
      </c>
      <c r="J2379" t="s">
        <v>39</v>
      </c>
      <c r="K2379" t="s">
        <v>40</v>
      </c>
      <c r="L2379">
        <v>315</v>
      </c>
      <c r="M2379">
        <v>29.352380952380951</v>
      </c>
      <c r="N2379" t="s">
        <v>8</v>
      </c>
      <c r="O2379" t="s">
        <v>2267</v>
      </c>
      <c r="P2379" t="s">
        <v>29</v>
      </c>
      <c r="Q2379" t="s">
        <v>42</v>
      </c>
      <c r="R2379" t="s">
        <v>121</v>
      </c>
      <c r="S2379" t="s">
        <v>44</v>
      </c>
      <c r="T2379" t="s">
        <v>2268</v>
      </c>
      <c r="U2379" t="s">
        <v>46</v>
      </c>
      <c r="V2379">
        <v>92.460000000000008</v>
      </c>
    </row>
    <row r="2380" spans="1:22" x14ac:dyDescent="0.3">
      <c r="A2380" t="s">
        <v>3816</v>
      </c>
      <c r="B2380" s="2">
        <v>46259</v>
      </c>
      <c r="C2380" t="s">
        <v>2150</v>
      </c>
      <c r="D2380" t="s">
        <v>70</v>
      </c>
      <c r="E2380" t="s">
        <v>71</v>
      </c>
      <c r="F2380">
        <v>3</v>
      </c>
      <c r="G2380">
        <v>0.1</v>
      </c>
      <c r="H2380">
        <v>48600</v>
      </c>
      <c r="I2380">
        <v>7444.03</v>
      </c>
      <c r="J2380" t="s">
        <v>51</v>
      </c>
      <c r="K2380" t="s">
        <v>40</v>
      </c>
      <c r="L2380">
        <v>16200</v>
      </c>
      <c r="M2380">
        <v>15.316934156378601</v>
      </c>
      <c r="N2380" t="s">
        <v>8</v>
      </c>
      <c r="O2380" t="s">
        <v>149</v>
      </c>
      <c r="P2380" t="s">
        <v>83</v>
      </c>
      <c r="Q2380" t="s">
        <v>74</v>
      </c>
      <c r="R2380" t="s">
        <v>75</v>
      </c>
      <c r="S2380" t="s">
        <v>75</v>
      </c>
      <c r="T2380" t="s">
        <v>1862</v>
      </c>
      <c r="U2380" t="s">
        <v>105</v>
      </c>
      <c r="V2380">
        <v>2481.3433333333328</v>
      </c>
    </row>
    <row r="2381" spans="1:22" x14ac:dyDescent="0.3">
      <c r="A2381" t="s">
        <v>3817</v>
      </c>
      <c r="B2381" s="2">
        <v>45994</v>
      </c>
      <c r="C2381" t="s">
        <v>2921</v>
      </c>
      <c r="D2381" t="s">
        <v>49</v>
      </c>
      <c r="E2381" t="s">
        <v>50</v>
      </c>
      <c r="F2381">
        <v>5</v>
      </c>
      <c r="G2381">
        <v>0.1</v>
      </c>
      <c r="H2381">
        <v>58500</v>
      </c>
      <c r="I2381">
        <v>10598.05</v>
      </c>
      <c r="J2381" t="s">
        <v>51</v>
      </c>
      <c r="K2381" t="s">
        <v>40</v>
      </c>
      <c r="L2381">
        <v>11700</v>
      </c>
      <c r="M2381">
        <v>18.116324786324789</v>
      </c>
      <c r="N2381" t="s">
        <v>8</v>
      </c>
      <c r="O2381" t="s">
        <v>537</v>
      </c>
      <c r="P2381" t="s">
        <v>83</v>
      </c>
      <c r="Q2381" t="s">
        <v>42</v>
      </c>
      <c r="R2381" t="s">
        <v>121</v>
      </c>
      <c r="S2381" t="s">
        <v>44</v>
      </c>
      <c r="T2381" t="s">
        <v>2004</v>
      </c>
      <c r="U2381" t="s">
        <v>34</v>
      </c>
      <c r="V2381">
        <v>2119.61</v>
      </c>
    </row>
    <row r="2382" spans="1:22" x14ac:dyDescent="0.3">
      <c r="A2382" t="s">
        <v>3818</v>
      </c>
      <c r="B2382" s="2">
        <v>46200</v>
      </c>
      <c r="C2382" t="s">
        <v>1004</v>
      </c>
      <c r="D2382" t="s">
        <v>24</v>
      </c>
      <c r="E2382" t="s">
        <v>87</v>
      </c>
      <c r="F2382">
        <v>4</v>
      </c>
      <c r="G2382">
        <v>0.1</v>
      </c>
      <c r="H2382">
        <v>1260</v>
      </c>
      <c r="I2382">
        <v>396.96</v>
      </c>
      <c r="J2382" t="s">
        <v>39</v>
      </c>
      <c r="K2382" t="s">
        <v>40</v>
      </c>
      <c r="L2382">
        <v>315</v>
      </c>
      <c r="M2382">
        <v>31.504761904761899</v>
      </c>
      <c r="N2382" t="s">
        <v>8</v>
      </c>
      <c r="O2382" t="s">
        <v>1005</v>
      </c>
      <c r="P2382" t="s">
        <v>29</v>
      </c>
      <c r="Q2382" t="s">
        <v>30</v>
      </c>
      <c r="R2382" t="s">
        <v>98</v>
      </c>
      <c r="S2382" t="s">
        <v>54</v>
      </c>
      <c r="T2382" t="s">
        <v>1006</v>
      </c>
      <c r="U2382" t="s">
        <v>105</v>
      </c>
      <c r="V2382">
        <v>99.24</v>
      </c>
    </row>
    <row r="2383" spans="1:22" x14ac:dyDescent="0.3">
      <c r="A2383" t="s">
        <v>3819</v>
      </c>
      <c r="B2383" s="2">
        <v>46098</v>
      </c>
      <c r="C2383" t="s">
        <v>2530</v>
      </c>
      <c r="D2383" t="s">
        <v>49</v>
      </c>
      <c r="E2383" t="s">
        <v>50</v>
      </c>
      <c r="F2383">
        <v>3</v>
      </c>
      <c r="G2383">
        <v>0</v>
      </c>
      <c r="H2383">
        <v>39000</v>
      </c>
      <c r="I2383">
        <v>9600</v>
      </c>
      <c r="J2383" t="s">
        <v>26</v>
      </c>
      <c r="K2383" t="s">
        <v>40</v>
      </c>
      <c r="L2383">
        <v>13000</v>
      </c>
      <c r="M2383">
        <v>24.61538461538462</v>
      </c>
      <c r="N2383" t="s">
        <v>8</v>
      </c>
      <c r="O2383" t="s">
        <v>2531</v>
      </c>
      <c r="P2383" t="s">
        <v>29</v>
      </c>
      <c r="Q2383" t="s">
        <v>131</v>
      </c>
      <c r="R2383" t="s">
        <v>132</v>
      </c>
      <c r="S2383" t="s">
        <v>133</v>
      </c>
      <c r="T2383" t="s">
        <v>1927</v>
      </c>
      <c r="U2383" t="s">
        <v>105</v>
      </c>
      <c r="V2383">
        <v>3200</v>
      </c>
    </row>
    <row r="2384" spans="1:22" x14ac:dyDescent="0.3">
      <c r="A2384" t="s">
        <v>3820</v>
      </c>
      <c r="B2384" s="2">
        <v>45850</v>
      </c>
      <c r="C2384" t="s">
        <v>2092</v>
      </c>
      <c r="D2384" t="s">
        <v>70</v>
      </c>
      <c r="E2384" t="s">
        <v>108</v>
      </c>
      <c r="F2384">
        <v>1</v>
      </c>
      <c r="G2384">
        <v>0</v>
      </c>
      <c r="H2384">
        <v>4500</v>
      </c>
      <c r="I2384">
        <v>1500</v>
      </c>
      <c r="J2384" t="s">
        <v>39</v>
      </c>
      <c r="K2384" t="s">
        <v>40</v>
      </c>
      <c r="L2384">
        <v>4500</v>
      </c>
      <c r="M2384">
        <v>33.333333333333329</v>
      </c>
      <c r="N2384" t="s">
        <v>8</v>
      </c>
      <c r="O2384" t="s">
        <v>2093</v>
      </c>
      <c r="P2384" t="s">
        <v>83</v>
      </c>
      <c r="Q2384" t="s">
        <v>131</v>
      </c>
      <c r="R2384" t="s">
        <v>289</v>
      </c>
      <c r="S2384" t="s">
        <v>290</v>
      </c>
      <c r="T2384" t="s">
        <v>2094</v>
      </c>
      <c r="U2384" t="s">
        <v>34</v>
      </c>
      <c r="V2384">
        <v>1500</v>
      </c>
    </row>
    <row r="2385" spans="1:22" x14ac:dyDescent="0.3">
      <c r="A2385" t="s">
        <v>3821</v>
      </c>
      <c r="B2385" s="2">
        <v>46030</v>
      </c>
      <c r="C2385" t="s">
        <v>866</v>
      </c>
      <c r="D2385" t="s">
        <v>49</v>
      </c>
      <c r="E2385" t="s">
        <v>119</v>
      </c>
      <c r="F2385">
        <v>2</v>
      </c>
      <c r="G2385">
        <v>0.1</v>
      </c>
      <c r="H2385">
        <v>16200</v>
      </c>
      <c r="I2385">
        <v>3781.91</v>
      </c>
      <c r="J2385" t="s">
        <v>51</v>
      </c>
      <c r="K2385" t="s">
        <v>40</v>
      </c>
      <c r="L2385">
        <v>8100</v>
      </c>
      <c r="M2385">
        <v>23.34512345679012</v>
      </c>
      <c r="N2385" t="s">
        <v>8</v>
      </c>
      <c r="O2385" t="s">
        <v>247</v>
      </c>
      <c r="P2385" t="s">
        <v>73</v>
      </c>
      <c r="Q2385" t="s">
        <v>30</v>
      </c>
      <c r="R2385" t="s">
        <v>98</v>
      </c>
      <c r="S2385" t="s">
        <v>54</v>
      </c>
      <c r="T2385" t="s">
        <v>319</v>
      </c>
      <c r="U2385" t="s">
        <v>34</v>
      </c>
      <c r="V2385">
        <v>1890.9549999999999</v>
      </c>
    </row>
    <row r="2386" spans="1:22" x14ac:dyDescent="0.3">
      <c r="A2386" t="s">
        <v>3822</v>
      </c>
      <c r="B2386" s="2">
        <v>46204</v>
      </c>
      <c r="C2386" t="s">
        <v>1901</v>
      </c>
      <c r="D2386" t="s">
        <v>49</v>
      </c>
      <c r="E2386" t="s">
        <v>58</v>
      </c>
      <c r="F2386">
        <v>1</v>
      </c>
      <c r="G2386">
        <v>0.1</v>
      </c>
      <c r="H2386">
        <v>13500</v>
      </c>
      <c r="I2386">
        <v>2316.91</v>
      </c>
      <c r="J2386" t="s">
        <v>51</v>
      </c>
      <c r="K2386" t="s">
        <v>40</v>
      </c>
      <c r="L2386">
        <v>13500</v>
      </c>
      <c r="M2386">
        <v>17.16229629629629</v>
      </c>
      <c r="N2386" t="s">
        <v>8</v>
      </c>
      <c r="O2386" t="s">
        <v>1902</v>
      </c>
      <c r="P2386" t="s">
        <v>83</v>
      </c>
      <c r="Q2386" t="s">
        <v>42</v>
      </c>
      <c r="R2386" t="s">
        <v>121</v>
      </c>
      <c r="S2386" t="s">
        <v>44</v>
      </c>
      <c r="T2386" t="s">
        <v>1051</v>
      </c>
      <c r="U2386" t="s">
        <v>100</v>
      </c>
      <c r="V2386">
        <v>2316.91</v>
      </c>
    </row>
    <row r="2387" spans="1:22" x14ac:dyDescent="0.3">
      <c r="A2387" t="s">
        <v>3823</v>
      </c>
      <c r="B2387" s="2">
        <v>46170</v>
      </c>
      <c r="C2387" t="s">
        <v>1582</v>
      </c>
      <c r="D2387" t="s">
        <v>70</v>
      </c>
      <c r="E2387" t="s">
        <v>129</v>
      </c>
      <c r="F2387">
        <v>3</v>
      </c>
      <c r="G2387">
        <v>0.05</v>
      </c>
      <c r="H2387">
        <v>156750</v>
      </c>
      <c r="I2387">
        <v>-73522.259999999995</v>
      </c>
      <c r="J2387" t="s">
        <v>26</v>
      </c>
      <c r="K2387" t="s">
        <v>434</v>
      </c>
      <c r="L2387">
        <v>52250</v>
      </c>
      <c r="M2387">
        <v>-46.904153110047837</v>
      </c>
      <c r="N2387" t="s">
        <v>81</v>
      </c>
      <c r="O2387" t="s">
        <v>1583</v>
      </c>
      <c r="P2387" t="s">
        <v>73</v>
      </c>
      <c r="Q2387" t="s">
        <v>30</v>
      </c>
      <c r="R2387" t="s">
        <v>53</v>
      </c>
      <c r="S2387" t="s">
        <v>54</v>
      </c>
      <c r="T2387" t="s">
        <v>370</v>
      </c>
      <c r="U2387" t="s">
        <v>105</v>
      </c>
      <c r="V2387">
        <v>-24507.42</v>
      </c>
    </row>
    <row r="2388" spans="1:22" x14ac:dyDescent="0.3">
      <c r="A2388" t="s">
        <v>3824</v>
      </c>
      <c r="B2388" s="2">
        <v>46254</v>
      </c>
      <c r="C2388" t="s">
        <v>900</v>
      </c>
      <c r="D2388" t="s">
        <v>49</v>
      </c>
      <c r="E2388" t="s">
        <v>58</v>
      </c>
      <c r="F2388">
        <v>3</v>
      </c>
      <c r="G2388">
        <v>0</v>
      </c>
      <c r="H2388">
        <v>45000</v>
      </c>
      <c r="I2388">
        <v>10500</v>
      </c>
      <c r="J2388" t="s">
        <v>26</v>
      </c>
      <c r="K2388" t="s">
        <v>40</v>
      </c>
      <c r="L2388">
        <v>15000</v>
      </c>
      <c r="M2388">
        <v>23.333333333333329</v>
      </c>
      <c r="N2388" t="s">
        <v>8</v>
      </c>
      <c r="O2388" t="s">
        <v>901</v>
      </c>
      <c r="P2388" t="s">
        <v>29</v>
      </c>
      <c r="Q2388" t="s">
        <v>30</v>
      </c>
      <c r="R2388" t="s">
        <v>31</v>
      </c>
      <c r="S2388" t="s">
        <v>32</v>
      </c>
      <c r="T2388" t="s">
        <v>902</v>
      </c>
      <c r="U2388" t="s">
        <v>34</v>
      </c>
      <c r="V2388">
        <v>3500</v>
      </c>
    </row>
    <row r="2389" spans="1:22" x14ac:dyDescent="0.3">
      <c r="A2389" t="s">
        <v>3825</v>
      </c>
      <c r="B2389" s="2">
        <v>45842</v>
      </c>
      <c r="C2389" t="s">
        <v>1210</v>
      </c>
      <c r="D2389" t="s">
        <v>70</v>
      </c>
      <c r="E2389" t="s">
        <v>71</v>
      </c>
      <c r="F2389">
        <v>1</v>
      </c>
      <c r="G2389">
        <v>0.05</v>
      </c>
      <c r="H2389">
        <v>17100</v>
      </c>
      <c r="I2389">
        <v>3010.64</v>
      </c>
      <c r="J2389" t="s">
        <v>65</v>
      </c>
      <c r="K2389" t="s">
        <v>40</v>
      </c>
      <c r="L2389">
        <v>17100</v>
      </c>
      <c r="M2389">
        <v>17.60608187134503</v>
      </c>
      <c r="N2389" t="s">
        <v>8</v>
      </c>
      <c r="O2389" t="s">
        <v>1190</v>
      </c>
      <c r="P2389" t="s">
        <v>73</v>
      </c>
      <c r="Q2389" t="s">
        <v>30</v>
      </c>
      <c r="R2389" t="s">
        <v>31</v>
      </c>
      <c r="S2389" t="s">
        <v>32</v>
      </c>
      <c r="T2389" t="s">
        <v>1211</v>
      </c>
      <c r="U2389" t="s">
        <v>46</v>
      </c>
      <c r="V2389">
        <v>3010.64</v>
      </c>
    </row>
    <row r="2390" spans="1:22" x14ac:dyDescent="0.3">
      <c r="A2390" t="s">
        <v>3826</v>
      </c>
      <c r="B2390" s="2">
        <v>45895</v>
      </c>
      <c r="C2390" t="s">
        <v>3532</v>
      </c>
      <c r="D2390" t="s">
        <v>24</v>
      </c>
      <c r="E2390" t="s">
        <v>25</v>
      </c>
      <c r="F2390">
        <v>1</v>
      </c>
      <c r="G2390">
        <v>0</v>
      </c>
      <c r="H2390">
        <v>14000</v>
      </c>
      <c r="I2390">
        <v>2800</v>
      </c>
      <c r="J2390" t="s">
        <v>51</v>
      </c>
      <c r="K2390" t="s">
        <v>40</v>
      </c>
      <c r="L2390">
        <v>14000</v>
      </c>
      <c r="M2390">
        <v>20</v>
      </c>
      <c r="N2390" t="s">
        <v>8</v>
      </c>
      <c r="O2390" t="s">
        <v>3533</v>
      </c>
      <c r="P2390" t="s">
        <v>29</v>
      </c>
      <c r="Q2390" t="s">
        <v>131</v>
      </c>
      <c r="R2390" t="s">
        <v>132</v>
      </c>
      <c r="S2390" t="s">
        <v>133</v>
      </c>
      <c r="T2390" t="s">
        <v>3534</v>
      </c>
      <c r="U2390" t="s">
        <v>34</v>
      </c>
      <c r="V2390">
        <v>2800</v>
      </c>
    </row>
    <row r="2391" spans="1:22" x14ac:dyDescent="0.3">
      <c r="A2391" t="s">
        <v>3827</v>
      </c>
      <c r="B2391" s="2">
        <v>45982</v>
      </c>
      <c r="C2391" t="s">
        <v>3828</v>
      </c>
      <c r="D2391" t="s">
        <v>24</v>
      </c>
      <c r="E2391" t="s">
        <v>25</v>
      </c>
      <c r="F2391">
        <v>4</v>
      </c>
      <c r="G2391">
        <v>0.15</v>
      </c>
      <c r="H2391">
        <v>47600</v>
      </c>
      <c r="I2391">
        <v>5648.26</v>
      </c>
      <c r="J2391" t="s">
        <v>65</v>
      </c>
      <c r="K2391" t="s">
        <v>40</v>
      </c>
      <c r="L2391">
        <v>11900</v>
      </c>
      <c r="M2391">
        <v>11.866092436974791</v>
      </c>
      <c r="N2391" t="s">
        <v>8</v>
      </c>
      <c r="O2391" t="s">
        <v>798</v>
      </c>
      <c r="P2391" t="s">
        <v>73</v>
      </c>
      <c r="Q2391" t="s">
        <v>42</v>
      </c>
      <c r="R2391" t="s">
        <v>121</v>
      </c>
      <c r="S2391" t="s">
        <v>44</v>
      </c>
      <c r="T2391" t="s">
        <v>812</v>
      </c>
      <c r="U2391" t="s">
        <v>46</v>
      </c>
      <c r="V2391">
        <v>1412.0650000000001</v>
      </c>
    </row>
    <row r="2392" spans="1:22" x14ac:dyDescent="0.3">
      <c r="A2392" t="s">
        <v>3829</v>
      </c>
      <c r="B2392" s="2">
        <v>45871</v>
      </c>
      <c r="C2392" t="s">
        <v>1934</v>
      </c>
      <c r="D2392" t="s">
        <v>70</v>
      </c>
      <c r="E2392" t="s">
        <v>129</v>
      </c>
      <c r="F2392">
        <v>5</v>
      </c>
      <c r="G2392">
        <v>0.05</v>
      </c>
      <c r="H2392">
        <v>261250</v>
      </c>
      <c r="I2392">
        <v>36093.64</v>
      </c>
      <c r="J2392" t="s">
        <v>39</v>
      </c>
      <c r="K2392" t="s">
        <v>40</v>
      </c>
      <c r="L2392">
        <v>52250</v>
      </c>
      <c r="M2392">
        <v>13.81574736842105</v>
      </c>
      <c r="N2392" t="s">
        <v>8</v>
      </c>
      <c r="O2392" t="s">
        <v>975</v>
      </c>
      <c r="P2392" t="s">
        <v>73</v>
      </c>
      <c r="Q2392" t="s">
        <v>74</v>
      </c>
      <c r="R2392" t="s">
        <v>75</v>
      </c>
      <c r="S2392" t="s">
        <v>75</v>
      </c>
      <c r="T2392" t="s">
        <v>1425</v>
      </c>
      <c r="U2392" t="s">
        <v>46</v>
      </c>
      <c r="V2392">
        <v>7218.7280000000001</v>
      </c>
    </row>
    <row r="2393" spans="1:22" x14ac:dyDescent="0.3">
      <c r="A2393" t="s">
        <v>3830</v>
      </c>
      <c r="B2393" s="2">
        <v>46124</v>
      </c>
      <c r="C2393" t="s">
        <v>838</v>
      </c>
      <c r="D2393" t="s">
        <v>70</v>
      </c>
      <c r="E2393" t="s">
        <v>129</v>
      </c>
      <c r="F2393">
        <v>4</v>
      </c>
      <c r="G2393">
        <v>0</v>
      </c>
      <c r="H2393">
        <v>220000</v>
      </c>
      <c r="I2393">
        <v>36000</v>
      </c>
      <c r="J2393" t="s">
        <v>39</v>
      </c>
      <c r="K2393" t="s">
        <v>27</v>
      </c>
      <c r="L2393">
        <v>55000</v>
      </c>
      <c r="M2393">
        <v>16.36363636363636</v>
      </c>
      <c r="N2393" t="s">
        <v>8</v>
      </c>
      <c r="O2393" t="s">
        <v>839</v>
      </c>
      <c r="P2393" t="s">
        <v>73</v>
      </c>
      <c r="Q2393" t="s">
        <v>30</v>
      </c>
      <c r="R2393" t="s">
        <v>31</v>
      </c>
      <c r="S2393" t="s">
        <v>32</v>
      </c>
      <c r="T2393" t="s">
        <v>840</v>
      </c>
      <c r="U2393" t="s">
        <v>100</v>
      </c>
      <c r="V2393">
        <v>9000</v>
      </c>
    </row>
    <row r="2394" spans="1:22" x14ac:dyDescent="0.3">
      <c r="A2394" t="s">
        <v>3831</v>
      </c>
      <c r="B2394" s="2">
        <v>46226</v>
      </c>
      <c r="C2394" t="s">
        <v>221</v>
      </c>
      <c r="D2394" t="s">
        <v>24</v>
      </c>
      <c r="E2394" t="s">
        <v>242</v>
      </c>
      <c r="F2394">
        <v>2</v>
      </c>
      <c r="G2394">
        <v>0.1</v>
      </c>
      <c r="H2394">
        <v>810</v>
      </c>
      <c r="I2394">
        <v>150.79</v>
      </c>
      <c r="J2394" t="s">
        <v>65</v>
      </c>
      <c r="K2394" t="s">
        <v>40</v>
      </c>
      <c r="L2394">
        <v>405</v>
      </c>
      <c r="M2394">
        <v>18.616049382716049</v>
      </c>
      <c r="N2394" t="s">
        <v>8</v>
      </c>
      <c r="O2394" t="s">
        <v>222</v>
      </c>
      <c r="P2394" t="s">
        <v>29</v>
      </c>
      <c r="Q2394" t="s">
        <v>30</v>
      </c>
      <c r="R2394" t="s">
        <v>53</v>
      </c>
      <c r="S2394" t="s">
        <v>54</v>
      </c>
      <c r="T2394" t="s">
        <v>223</v>
      </c>
      <c r="U2394" t="s">
        <v>100</v>
      </c>
      <c r="V2394">
        <v>75.394999999999996</v>
      </c>
    </row>
    <row r="2395" spans="1:22" x14ac:dyDescent="0.3">
      <c r="A2395" t="s">
        <v>3832</v>
      </c>
      <c r="B2395" s="2">
        <v>46049</v>
      </c>
      <c r="C2395" t="s">
        <v>780</v>
      </c>
      <c r="D2395" t="s">
        <v>70</v>
      </c>
      <c r="E2395" t="s">
        <v>129</v>
      </c>
      <c r="F2395">
        <v>5</v>
      </c>
      <c r="G2395">
        <v>0</v>
      </c>
      <c r="H2395">
        <v>275000</v>
      </c>
      <c r="I2395">
        <v>-53981.43</v>
      </c>
      <c r="J2395" t="s">
        <v>39</v>
      </c>
      <c r="K2395" t="s">
        <v>80</v>
      </c>
      <c r="L2395">
        <v>55000</v>
      </c>
      <c r="M2395">
        <v>-19.629610909090911</v>
      </c>
      <c r="N2395" t="s">
        <v>81</v>
      </c>
      <c r="O2395" t="s">
        <v>781</v>
      </c>
      <c r="P2395" t="s">
        <v>73</v>
      </c>
      <c r="Q2395" t="s">
        <v>30</v>
      </c>
      <c r="R2395" t="s">
        <v>31</v>
      </c>
      <c r="S2395" t="s">
        <v>32</v>
      </c>
      <c r="T2395" t="s">
        <v>572</v>
      </c>
      <c r="U2395" t="s">
        <v>100</v>
      </c>
      <c r="V2395">
        <v>-10796.286</v>
      </c>
    </row>
    <row r="2396" spans="1:22" x14ac:dyDescent="0.3">
      <c r="A2396" t="s">
        <v>3833</v>
      </c>
      <c r="B2396" s="2">
        <v>46257</v>
      </c>
      <c r="C2396" t="s">
        <v>716</v>
      </c>
      <c r="D2396" t="s">
        <v>24</v>
      </c>
      <c r="E2396" t="s">
        <v>25</v>
      </c>
      <c r="F2396">
        <v>2</v>
      </c>
      <c r="G2396">
        <v>0.1</v>
      </c>
      <c r="H2396">
        <v>25200</v>
      </c>
      <c r="I2396">
        <v>-4602.8900000000003</v>
      </c>
      <c r="J2396" t="s">
        <v>51</v>
      </c>
      <c r="K2396" t="s">
        <v>434</v>
      </c>
      <c r="L2396">
        <v>12600</v>
      </c>
      <c r="M2396">
        <v>-18.26543650793651</v>
      </c>
      <c r="N2396" t="s">
        <v>81</v>
      </c>
      <c r="O2396" t="s">
        <v>717</v>
      </c>
      <c r="P2396" t="s">
        <v>73</v>
      </c>
      <c r="Q2396" t="s">
        <v>74</v>
      </c>
      <c r="R2396" t="s">
        <v>75</v>
      </c>
      <c r="S2396" t="s">
        <v>75</v>
      </c>
      <c r="T2396" t="s">
        <v>718</v>
      </c>
      <c r="U2396" t="s">
        <v>46</v>
      </c>
      <c r="V2396">
        <v>-2301.4450000000002</v>
      </c>
    </row>
    <row r="2397" spans="1:22" x14ac:dyDescent="0.3">
      <c r="A2397" t="s">
        <v>3834</v>
      </c>
      <c r="B2397" s="2">
        <v>46206</v>
      </c>
      <c r="C2397" t="s">
        <v>2034</v>
      </c>
      <c r="D2397" t="s">
        <v>70</v>
      </c>
      <c r="E2397" t="s">
        <v>71</v>
      </c>
      <c r="F2397">
        <v>6</v>
      </c>
      <c r="G2397">
        <v>0.3</v>
      </c>
      <c r="H2397">
        <v>75600</v>
      </c>
      <c r="I2397">
        <v>-2264.25</v>
      </c>
      <c r="J2397" t="s">
        <v>51</v>
      </c>
      <c r="K2397" t="s">
        <v>40</v>
      </c>
      <c r="L2397">
        <v>12600</v>
      </c>
      <c r="M2397">
        <v>-2.9950396825396819</v>
      </c>
      <c r="N2397" t="s">
        <v>81</v>
      </c>
      <c r="O2397" t="s">
        <v>502</v>
      </c>
      <c r="P2397" t="s">
        <v>29</v>
      </c>
      <c r="Q2397" t="s">
        <v>30</v>
      </c>
      <c r="R2397" t="s">
        <v>98</v>
      </c>
      <c r="S2397" t="s">
        <v>54</v>
      </c>
      <c r="T2397" t="s">
        <v>2035</v>
      </c>
      <c r="U2397" t="s">
        <v>34</v>
      </c>
      <c r="V2397">
        <v>-377.375</v>
      </c>
    </row>
    <row r="2398" spans="1:22" x14ac:dyDescent="0.3">
      <c r="A2398" t="s">
        <v>3835</v>
      </c>
      <c r="B2398" s="2">
        <v>45944</v>
      </c>
      <c r="C2398" t="s">
        <v>477</v>
      </c>
      <c r="D2398" t="s">
        <v>37</v>
      </c>
      <c r="E2398" t="s">
        <v>310</v>
      </c>
      <c r="F2398">
        <v>3</v>
      </c>
      <c r="G2398">
        <v>0.1</v>
      </c>
      <c r="H2398">
        <v>5940</v>
      </c>
      <c r="I2398">
        <v>1831.96</v>
      </c>
      <c r="J2398" t="s">
        <v>26</v>
      </c>
      <c r="K2398" t="s">
        <v>40</v>
      </c>
      <c r="L2398">
        <v>1980</v>
      </c>
      <c r="M2398">
        <v>30.841077441077442</v>
      </c>
      <c r="N2398" t="s">
        <v>8</v>
      </c>
      <c r="O2398" t="s">
        <v>478</v>
      </c>
      <c r="P2398" t="s">
        <v>73</v>
      </c>
      <c r="Q2398" t="s">
        <v>131</v>
      </c>
      <c r="R2398" t="s">
        <v>289</v>
      </c>
      <c r="S2398" t="s">
        <v>290</v>
      </c>
      <c r="T2398" t="s">
        <v>479</v>
      </c>
      <c r="U2398" t="s">
        <v>100</v>
      </c>
      <c r="V2398">
        <v>610.65333333333331</v>
      </c>
    </row>
    <row r="2399" spans="1:22" x14ac:dyDescent="0.3">
      <c r="A2399" t="s">
        <v>3836</v>
      </c>
      <c r="B2399" s="2">
        <v>45866</v>
      </c>
      <c r="C2399" t="s">
        <v>2322</v>
      </c>
      <c r="D2399" t="s">
        <v>70</v>
      </c>
      <c r="E2399" t="s">
        <v>165</v>
      </c>
      <c r="F2399">
        <v>3</v>
      </c>
      <c r="G2399">
        <v>0.1</v>
      </c>
      <c r="H2399">
        <v>6750</v>
      </c>
      <c r="I2399">
        <v>1941.97</v>
      </c>
      <c r="J2399" t="s">
        <v>39</v>
      </c>
      <c r="K2399" t="s">
        <v>40</v>
      </c>
      <c r="L2399">
        <v>2250</v>
      </c>
      <c r="M2399">
        <v>28.769925925925929</v>
      </c>
      <c r="N2399" t="s">
        <v>8</v>
      </c>
      <c r="O2399" t="s">
        <v>2323</v>
      </c>
      <c r="P2399" t="s">
        <v>29</v>
      </c>
      <c r="Q2399" t="s">
        <v>74</v>
      </c>
      <c r="R2399" t="s">
        <v>75</v>
      </c>
      <c r="S2399" t="s">
        <v>75</v>
      </c>
      <c r="T2399" t="s">
        <v>463</v>
      </c>
      <c r="U2399" t="s">
        <v>100</v>
      </c>
      <c r="V2399">
        <v>647.32333333333338</v>
      </c>
    </row>
    <row r="2400" spans="1:22" x14ac:dyDescent="0.3">
      <c r="A2400" t="s">
        <v>3837</v>
      </c>
      <c r="B2400" s="2">
        <v>46159</v>
      </c>
      <c r="C2400" t="s">
        <v>1367</v>
      </c>
      <c r="D2400" t="s">
        <v>70</v>
      </c>
      <c r="E2400" t="s">
        <v>108</v>
      </c>
      <c r="F2400">
        <v>4</v>
      </c>
      <c r="G2400">
        <v>0.15</v>
      </c>
      <c r="H2400">
        <v>15300</v>
      </c>
      <c r="I2400">
        <v>3957.43</v>
      </c>
      <c r="J2400" t="s">
        <v>26</v>
      </c>
      <c r="K2400" t="s">
        <v>40</v>
      </c>
      <c r="L2400">
        <v>3825</v>
      </c>
      <c r="M2400">
        <v>25.865555555555549</v>
      </c>
      <c r="N2400" t="s">
        <v>8</v>
      </c>
      <c r="O2400" t="s">
        <v>1329</v>
      </c>
      <c r="P2400" t="s">
        <v>29</v>
      </c>
      <c r="Q2400" t="s">
        <v>131</v>
      </c>
      <c r="R2400" t="s">
        <v>132</v>
      </c>
      <c r="S2400" t="s">
        <v>133</v>
      </c>
      <c r="T2400" t="s">
        <v>1368</v>
      </c>
      <c r="U2400" t="s">
        <v>34</v>
      </c>
      <c r="V2400">
        <v>989.35749999999996</v>
      </c>
    </row>
    <row r="2401" spans="1:22" x14ac:dyDescent="0.3">
      <c r="A2401" t="s">
        <v>3838</v>
      </c>
      <c r="B2401" s="2">
        <v>46153</v>
      </c>
      <c r="C2401" t="s">
        <v>1414</v>
      </c>
      <c r="D2401" t="s">
        <v>70</v>
      </c>
      <c r="E2401" t="s">
        <v>129</v>
      </c>
      <c r="F2401">
        <v>2</v>
      </c>
      <c r="G2401">
        <v>0.1</v>
      </c>
      <c r="H2401">
        <v>99000</v>
      </c>
      <c r="I2401">
        <v>-18206.18</v>
      </c>
      <c r="J2401" t="s">
        <v>65</v>
      </c>
      <c r="K2401" t="s">
        <v>80</v>
      </c>
      <c r="L2401">
        <v>49500</v>
      </c>
      <c r="M2401">
        <v>-18.39008080808081</v>
      </c>
      <c r="N2401" t="s">
        <v>81</v>
      </c>
      <c r="O2401" t="s">
        <v>166</v>
      </c>
      <c r="P2401" t="s">
        <v>29</v>
      </c>
      <c r="Q2401" t="s">
        <v>30</v>
      </c>
      <c r="R2401" t="s">
        <v>31</v>
      </c>
      <c r="S2401" t="s">
        <v>32</v>
      </c>
      <c r="T2401" t="s">
        <v>1415</v>
      </c>
      <c r="U2401" t="s">
        <v>46</v>
      </c>
      <c r="V2401">
        <v>-9103.09</v>
      </c>
    </row>
    <row r="2402" spans="1:22" x14ac:dyDescent="0.3">
      <c r="A2402" t="s">
        <v>3839</v>
      </c>
      <c r="B2402" s="2">
        <v>46063</v>
      </c>
      <c r="C2402" t="s">
        <v>1854</v>
      </c>
      <c r="D2402" t="s">
        <v>37</v>
      </c>
      <c r="E2402" t="s">
        <v>170</v>
      </c>
      <c r="F2402">
        <v>3</v>
      </c>
      <c r="G2402">
        <v>0.2</v>
      </c>
      <c r="H2402">
        <v>3360</v>
      </c>
      <c r="I2402">
        <v>996.84</v>
      </c>
      <c r="J2402" t="s">
        <v>65</v>
      </c>
      <c r="K2402" t="s">
        <v>40</v>
      </c>
      <c r="L2402">
        <v>1120</v>
      </c>
      <c r="M2402">
        <v>29.667857142857141</v>
      </c>
      <c r="N2402" t="s">
        <v>8</v>
      </c>
      <c r="O2402" t="s">
        <v>773</v>
      </c>
      <c r="P2402" t="s">
        <v>83</v>
      </c>
      <c r="Q2402" t="s">
        <v>74</v>
      </c>
      <c r="R2402" t="s">
        <v>115</v>
      </c>
      <c r="S2402" t="s">
        <v>115</v>
      </c>
      <c r="T2402" t="s">
        <v>1855</v>
      </c>
      <c r="U2402" t="s">
        <v>34</v>
      </c>
      <c r="V2402">
        <v>332.28</v>
      </c>
    </row>
    <row r="2403" spans="1:22" x14ac:dyDescent="0.3">
      <c r="A2403" t="s">
        <v>3840</v>
      </c>
      <c r="B2403" s="2">
        <v>46058</v>
      </c>
      <c r="C2403" t="s">
        <v>469</v>
      </c>
      <c r="D2403" t="s">
        <v>70</v>
      </c>
      <c r="E2403" t="s">
        <v>165</v>
      </c>
      <c r="F2403">
        <v>2</v>
      </c>
      <c r="G2403">
        <v>0.15</v>
      </c>
      <c r="H2403">
        <v>4250</v>
      </c>
      <c r="I2403">
        <v>1137.1199999999999</v>
      </c>
      <c r="J2403" t="s">
        <v>26</v>
      </c>
      <c r="K2403" t="s">
        <v>40</v>
      </c>
      <c r="L2403">
        <v>2125</v>
      </c>
      <c r="M2403">
        <v>26.755764705882349</v>
      </c>
      <c r="N2403" t="s">
        <v>8</v>
      </c>
      <c r="O2403" t="s">
        <v>470</v>
      </c>
      <c r="P2403" t="s">
        <v>83</v>
      </c>
      <c r="Q2403" t="s">
        <v>30</v>
      </c>
      <c r="R2403" t="s">
        <v>31</v>
      </c>
      <c r="S2403" t="s">
        <v>32</v>
      </c>
      <c r="T2403" t="s">
        <v>471</v>
      </c>
      <c r="U2403" t="s">
        <v>100</v>
      </c>
      <c r="V2403">
        <v>568.55999999999995</v>
      </c>
    </row>
    <row r="2404" spans="1:22" x14ac:dyDescent="0.3">
      <c r="A2404" t="s">
        <v>3841</v>
      </c>
      <c r="B2404" s="2">
        <v>45843</v>
      </c>
      <c r="C2404" t="s">
        <v>389</v>
      </c>
      <c r="D2404" t="s">
        <v>49</v>
      </c>
      <c r="E2404" t="s">
        <v>58</v>
      </c>
      <c r="F2404">
        <v>2</v>
      </c>
      <c r="G2404">
        <v>0.05</v>
      </c>
      <c r="H2404">
        <v>28500</v>
      </c>
      <c r="I2404">
        <v>5860.38</v>
      </c>
      <c r="J2404" t="s">
        <v>51</v>
      </c>
      <c r="K2404" t="s">
        <v>40</v>
      </c>
      <c r="L2404">
        <v>14250</v>
      </c>
      <c r="M2404">
        <v>20.562736842105259</v>
      </c>
      <c r="N2404" t="s">
        <v>8</v>
      </c>
      <c r="O2404" t="s">
        <v>390</v>
      </c>
      <c r="P2404" t="s">
        <v>29</v>
      </c>
      <c r="Q2404" t="s">
        <v>30</v>
      </c>
      <c r="R2404" t="s">
        <v>53</v>
      </c>
      <c r="S2404" t="s">
        <v>54</v>
      </c>
      <c r="T2404" t="s">
        <v>391</v>
      </c>
      <c r="U2404" t="s">
        <v>100</v>
      </c>
      <c r="V2404">
        <v>2930.19</v>
      </c>
    </row>
    <row r="2405" spans="1:22" x14ac:dyDescent="0.3">
      <c r="A2405" t="s">
        <v>3842</v>
      </c>
      <c r="B2405" s="2">
        <v>45974</v>
      </c>
      <c r="C2405" t="s">
        <v>194</v>
      </c>
      <c r="D2405" t="s">
        <v>70</v>
      </c>
      <c r="E2405" t="s">
        <v>129</v>
      </c>
      <c r="F2405">
        <v>2</v>
      </c>
      <c r="G2405">
        <v>0.15</v>
      </c>
      <c r="H2405">
        <v>93500</v>
      </c>
      <c r="I2405">
        <v>6062.54</v>
      </c>
      <c r="J2405" t="s">
        <v>26</v>
      </c>
      <c r="K2405" t="s">
        <v>27</v>
      </c>
      <c r="L2405">
        <v>46750</v>
      </c>
      <c r="M2405">
        <v>6.4839999999999991</v>
      </c>
      <c r="N2405" t="s">
        <v>8</v>
      </c>
      <c r="O2405" t="s">
        <v>195</v>
      </c>
      <c r="P2405" t="s">
        <v>73</v>
      </c>
      <c r="Q2405" t="s">
        <v>30</v>
      </c>
      <c r="R2405" t="s">
        <v>98</v>
      </c>
      <c r="S2405" t="s">
        <v>54</v>
      </c>
      <c r="T2405" t="s">
        <v>196</v>
      </c>
      <c r="U2405" t="s">
        <v>105</v>
      </c>
      <c r="V2405">
        <v>3031.27</v>
      </c>
    </row>
    <row r="2406" spans="1:22" x14ac:dyDescent="0.3">
      <c r="A2406" t="s">
        <v>3843</v>
      </c>
      <c r="B2406" s="2">
        <v>46180</v>
      </c>
      <c r="C2406" t="s">
        <v>2112</v>
      </c>
      <c r="D2406" t="s">
        <v>49</v>
      </c>
      <c r="E2406" t="s">
        <v>119</v>
      </c>
      <c r="F2406">
        <v>1</v>
      </c>
      <c r="G2406">
        <v>0.1</v>
      </c>
      <c r="H2406">
        <v>8100</v>
      </c>
      <c r="I2406">
        <v>-1049.7</v>
      </c>
      <c r="J2406" t="s">
        <v>39</v>
      </c>
      <c r="K2406" t="s">
        <v>434</v>
      </c>
      <c r="L2406">
        <v>8100</v>
      </c>
      <c r="M2406">
        <v>-12.959259259259261</v>
      </c>
      <c r="N2406" t="s">
        <v>81</v>
      </c>
      <c r="O2406" t="s">
        <v>2113</v>
      </c>
      <c r="P2406" t="s">
        <v>29</v>
      </c>
      <c r="Q2406" t="s">
        <v>42</v>
      </c>
      <c r="R2406" t="s">
        <v>214</v>
      </c>
      <c r="S2406" t="s">
        <v>111</v>
      </c>
      <c r="T2406" t="s">
        <v>2114</v>
      </c>
      <c r="U2406" t="s">
        <v>34</v>
      </c>
      <c r="V2406">
        <v>-1049.7</v>
      </c>
    </row>
    <row r="2407" spans="1:22" x14ac:dyDescent="0.3">
      <c r="A2407" t="s">
        <v>3844</v>
      </c>
      <c r="B2407" s="2">
        <v>46211</v>
      </c>
      <c r="C2407" t="s">
        <v>426</v>
      </c>
      <c r="D2407" t="s">
        <v>24</v>
      </c>
      <c r="E2407" t="s">
        <v>242</v>
      </c>
      <c r="F2407">
        <v>3</v>
      </c>
      <c r="G2407">
        <v>0.05</v>
      </c>
      <c r="H2407">
        <v>1282.5</v>
      </c>
      <c r="I2407">
        <v>280.20999999999998</v>
      </c>
      <c r="J2407" t="s">
        <v>65</v>
      </c>
      <c r="K2407" t="s">
        <v>40</v>
      </c>
      <c r="L2407">
        <v>427.5</v>
      </c>
      <c r="M2407">
        <v>21.848732943469781</v>
      </c>
      <c r="N2407" t="s">
        <v>8</v>
      </c>
      <c r="O2407" t="s">
        <v>427</v>
      </c>
      <c r="P2407" t="s">
        <v>73</v>
      </c>
      <c r="Q2407" t="s">
        <v>30</v>
      </c>
      <c r="R2407" t="s">
        <v>60</v>
      </c>
      <c r="S2407" t="s">
        <v>61</v>
      </c>
      <c r="T2407" t="s">
        <v>428</v>
      </c>
      <c r="U2407" t="s">
        <v>34</v>
      </c>
      <c r="V2407">
        <v>93.403333333333322</v>
      </c>
    </row>
    <row r="2408" spans="1:22" x14ac:dyDescent="0.3">
      <c r="A2408" t="s">
        <v>3845</v>
      </c>
      <c r="B2408" s="2">
        <v>46181</v>
      </c>
      <c r="C2408" t="s">
        <v>1087</v>
      </c>
      <c r="D2408" t="s">
        <v>24</v>
      </c>
      <c r="E2408" t="s">
        <v>242</v>
      </c>
      <c r="F2408">
        <v>3</v>
      </c>
      <c r="G2408">
        <v>0.05</v>
      </c>
      <c r="H2408">
        <v>1282.5</v>
      </c>
      <c r="I2408">
        <v>279.47000000000003</v>
      </c>
      <c r="J2408" t="s">
        <v>26</v>
      </c>
      <c r="K2408" t="s">
        <v>40</v>
      </c>
      <c r="L2408">
        <v>427.5</v>
      </c>
      <c r="M2408">
        <v>21.791033138401559</v>
      </c>
      <c r="N2408" t="s">
        <v>8</v>
      </c>
      <c r="O2408" t="s">
        <v>1088</v>
      </c>
      <c r="P2408" t="s">
        <v>73</v>
      </c>
      <c r="Q2408" t="s">
        <v>131</v>
      </c>
      <c r="R2408" t="s">
        <v>200</v>
      </c>
      <c r="S2408" t="s">
        <v>201</v>
      </c>
      <c r="T2408" t="s">
        <v>1089</v>
      </c>
      <c r="U2408" t="s">
        <v>46</v>
      </c>
      <c r="V2408">
        <v>93.15666666666668</v>
      </c>
    </row>
    <row r="2409" spans="1:22" x14ac:dyDescent="0.3">
      <c r="A2409" t="s">
        <v>3846</v>
      </c>
      <c r="B2409" s="2">
        <v>46044</v>
      </c>
      <c r="C2409" t="s">
        <v>552</v>
      </c>
      <c r="D2409" t="s">
        <v>70</v>
      </c>
      <c r="E2409" t="s">
        <v>71</v>
      </c>
      <c r="F2409">
        <v>4</v>
      </c>
      <c r="G2409">
        <v>0.05</v>
      </c>
      <c r="H2409">
        <v>68400</v>
      </c>
      <c r="I2409">
        <v>12305.57</v>
      </c>
      <c r="J2409" t="s">
        <v>65</v>
      </c>
      <c r="K2409" t="s">
        <v>40</v>
      </c>
      <c r="L2409">
        <v>17100</v>
      </c>
      <c r="M2409">
        <v>17.990599415204681</v>
      </c>
      <c r="N2409" t="s">
        <v>8</v>
      </c>
      <c r="O2409" t="s">
        <v>553</v>
      </c>
      <c r="P2409" t="s">
        <v>29</v>
      </c>
      <c r="Q2409" t="s">
        <v>74</v>
      </c>
      <c r="R2409" t="s">
        <v>493</v>
      </c>
      <c r="S2409" t="s">
        <v>494</v>
      </c>
      <c r="T2409" t="s">
        <v>554</v>
      </c>
      <c r="U2409" t="s">
        <v>105</v>
      </c>
      <c r="V2409">
        <v>3076.3924999999999</v>
      </c>
    </row>
    <row r="2410" spans="1:22" x14ac:dyDescent="0.3">
      <c r="A2410" t="s">
        <v>3847</v>
      </c>
      <c r="B2410" s="2">
        <v>45862</v>
      </c>
      <c r="C2410" t="s">
        <v>617</v>
      </c>
      <c r="D2410" t="s">
        <v>24</v>
      </c>
      <c r="E2410" t="s">
        <v>87</v>
      </c>
      <c r="F2410">
        <v>1</v>
      </c>
      <c r="G2410">
        <v>0</v>
      </c>
      <c r="H2410">
        <v>350</v>
      </c>
      <c r="I2410">
        <v>120</v>
      </c>
      <c r="J2410" t="s">
        <v>65</v>
      </c>
      <c r="K2410" t="s">
        <v>40</v>
      </c>
      <c r="L2410">
        <v>350</v>
      </c>
      <c r="M2410">
        <v>34.285714285714278</v>
      </c>
      <c r="N2410" t="s">
        <v>8</v>
      </c>
      <c r="O2410" t="s">
        <v>618</v>
      </c>
      <c r="P2410" t="s">
        <v>83</v>
      </c>
      <c r="Q2410" t="s">
        <v>30</v>
      </c>
      <c r="R2410" t="s">
        <v>98</v>
      </c>
      <c r="S2410" t="s">
        <v>54</v>
      </c>
      <c r="T2410" t="s">
        <v>619</v>
      </c>
      <c r="U2410" t="s">
        <v>100</v>
      </c>
      <c r="V2410">
        <v>120</v>
      </c>
    </row>
    <row r="2411" spans="1:22" x14ac:dyDescent="0.3">
      <c r="A2411" t="s">
        <v>3848</v>
      </c>
      <c r="B2411" s="2">
        <v>46119</v>
      </c>
      <c r="C2411" t="s">
        <v>824</v>
      </c>
      <c r="D2411" t="s">
        <v>49</v>
      </c>
      <c r="E2411" t="s">
        <v>58</v>
      </c>
      <c r="F2411">
        <v>3</v>
      </c>
      <c r="G2411">
        <v>0.1</v>
      </c>
      <c r="H2411">
        <v>40500</v>
      </c>
      <c r="I2411">
        <v>7871.8</v>
      </c>
      <c r="J2411" t="s">
        <v>26</v>
      </c>
      <c r="K2411" t="s">
        <v>40</v>
      </c>
      <c r="L2411">
        <v>13500</v>
      </c>
      <c r="M2411">
        <v>19.43654320987654</v>
      </c>
      <c r="N2411" t="s">
        <v>8</v>
      </c>
      <c r="O2411" t="s">
        <v>825</v>
      </c>
      <c r="P2411" t="s">
        <v>29</v>
      </c>
      <c r="Q2411" t="s">
        <v>30</v>
      </c>
      <c r="R2411" t="s">
        <v>53</v>
      </c>
      <c r="S2411" t="s">
        <v>54</v>
      </c>
      <c r="T2411" t="s">
        <v>826</v>
      </c>
      <c r="U2411" t="s">
        <v>105</v>
      </c>
      <c r="V2411">
        <v>2623.9333333333329</v>
      </c>
    </row>
    <row r="2412" spans="1:22" x14ac:dyDescent="0.3">
      <c r="A2412" t="s">
        <v>3849</v>
      </c>
      <c r="B2412" s="2">
        <v>46110</v>
      </c>
      <c r="C2412" t="s">
        <v>562</v>
      </c>
      <c r="D2412" t="s">
        <v>24</v>
      </c>
      <c r="E2412" t="s">
        <v>92</v>
      </c>
      <c r="F2412">
        <v>4</v>
      </c>
      <c r="G2412">
        <v>0.2</v>
      </c>
      <c r="H2412">
        <v>2880</v>
      </c>
      <c r="I2412">
        <v>-1029.2</v>
      </c>
      <c r="J2412" t="s">
        <v>26</v>
      </c>
      <c r="K2412" t="s">
        <v>434</v>
      </c>
      <c r="L2412">
        <v>720</v>
      </c>
      <c r="M2412">
        <v>-35.736111111111107</v>
      </c>
      <c r="N2412" t="s">
        <v>81</v>
      </c>
      <c r="O2412" t="s">
        <v>563</v>
      </c>
      <c r="P2412" t="s">
        <v>29</v>
      </c>
      <c r="Q2412" t="s">
        <v>30</v>
      </c>
      <c r="R2412" t="s">
        <v>60</v>
      </c>
      <c r="S2412" t="s">
        <v>61</v>
      </c>
      <c r="T2412" t="s">
        <v>564</v>
      </c>
      <c r="U2412" t="s">
        <v>100</v>
      </c>
      <c r="V2412">
        <v>-257.3</v>
      </c>
    </row>
    <row r="2413" spans="1:22" x14ac:dyDescent="0.3">
      <c r="A2413" t="s">
        <v>3850</v>
      </c>
      <c r="B2413" s="2">
        <v>45987</v>
      </c>
      <c r="C2413" t="s">
        <v>788</v>
      </c>
      <c r="D2413" t="s">
        <v>37</v>
      </c>
      <c r="E2413" t="s">
        <v>190</v>
      </c>
      <c r="F2413">
        <v>3</v>
      </c>
      <c r="G2413">
        <v>0.2</v>
      </c>
      <c r="H2413">
        <v>10080</v>
      </c>
      <c r="I2413">
        <v>-1953.32</v>
      </c>
      <c r="J2413" t="s">
        <v>26</v>
      </c>
      <c r="K2413" t="s">
        <v>80</v>
      </c>
      <c r="L2413">
        <v>3360</v>
      </c>
      <c r="M2413">
        <v>-19.3781746031746</v>
      </c>
      <c r="N2413" t="s">
        <v>81</v>
      </c>
      <c r="O2413" t="s">
        <v>789</v>
      </c>
      <c r="P2413" t="s">
        <v>83</v>
      </c>
      <c r="Q2413" t="s">
        <v>74</v>
      </c>
      <c r="R2413" t="s">
        <v>75</v>
      </c>
      <c r="S2413" t="s">
        <v>75</v>
      </c>
      <c r="T2413" t="s">
        <v>790</v>
      </c>
      <c r="U2413" t="s">
        <v>34</v>
      </c>
      <c r="V2413">
        <v>-651.10666666666668</v>
      </c>
    </row>
    <row r="2414" spans="1:22" x14ac:dyDescent="0.3">
      <c r="A2414" t="s">
        <v>3851</v>
      </c>
      <c r="B2414" s="2">
        <v>45989</v>
      </c>
      <c r="C2414" t="s">
        <v>2295</v>
      </c>
      <c r="D2414" t="s">
        <v>70</v>
      </c>
      <c r="E2414" t="s">
        <v>108</v>
      </c>
      <c r="F2414">
        <v>1</v>
      </c>
      <c r="G2414">
        <v>0.1</v>
      </c>
      <c r="H2414">
        <v>4050</v>
      </c>
      <c r="I2414">
        <v>-1645.39</v>
      </c>
      <c r="J2414" t="s">
        <v>39</v>
      </c>
      <c r="K2414" t="s">
        <v>434</v>
      </c>
      <c r="L2414">
        <v>4050</v>
      </c>
      <c r="M2414">
        <v>-40.626913580246907</v>
      </c>
      <c r="N2414" t="s">
        <v>81</v>
      </c>
      <c r="O2414" t="s">
        <v>2296</v>
      </c>
      <c r="P2414" t="s">
        <v>29</v>
      </c>
      <c r="Q2414" t="s">
        <v>74</v>
      </c>
      <c r="R2414" t="s">
        <v>493</v>
      </c>
      <c r="S2414" t="s">
        <v>494</v>
      </c>
      <c r="T2414" t="s">
        <v>2297</v>
      </c>
      <c r="U2414" t="s">
        <v>105</v>
      </c>
      <c r="V2414">
        <v>-1645.39</v>
      </c>
    </row>
    <row r="2415" spans="1:22" x14ac:dyDescent="0.3">
      <c r="A2415" t="s">
        <v>3852</v>
      </c>
      <c r="B2415" s="2">
        <v>46130</v>
      </c>
      <c r="C2415" t="s">
        <v>517</v>
      </c>
      <c r="D2415" t="s">
        <v>24</v>
      </c>
      <c r="E2415" t="s">
        <v>87</v>
      </c>
      <c r="F2415">
        <v>3</v>
      </c>
      <c r="G2415">
        <v>0.15</v>
      </c>
      <c r="H2415">
        <v>892.5</v>
      </c>
      <c r="I2415">
        <v>246.15</v>
      </c>
      <c r="J2415" t="s">
        <v>39</v>
      </c>
      <c r="K2415" t="s">
        <v>27</v>
      </c>
      <c r="L2415">
        <v>297.5</v>
      </c>
      <c r="M2415">
        <v>27.579831932773111</v>
      </c>
      <c r="N2415" t="s">
        <v>8</v>
      </c>
      <c r="O2415" t="s">
        <v>518</v>
      </c>
      <c r="P2415" t="s">
        <v>29</v>
      </c>
      <c r="Q2415" t="s">
        <v>131</v>
      </c>
      <c r="R2415" t="s">
        <v>200</v>
      </c>
      <c r="S2415" t="s">
        <v>201</v>
      </c>
      <c r="T2415" t="s">
        <v>519</v>
      </c>
      <c r="U2415" t="s">
        <v>100</v>
      </c>
      <c r="V2415">
        <v>82.05</v>
      </c>
    </row>
    <row r="2416" spans="1:22" x14ac:dyDescent="0.3">
      <c r="A2416" t="s">
        <v>3853</v>
      </c>
      <c r="B2416" s="2">
        <v>46159</v>
      </c>
      <c r="C2416" t="s">
        <v>529</v>
      </c>
      <c r="D2416" t="s">
        <v>70</v>
      </c>
      <c r="E2416" t="s">
        <v>129</v>
      </c>
      <c r="F2416">
        <v>3</v>
      </c>
      <c r="G2416">
        <v>0.15</v>
      </c>
      <c r="H2416">
        <v>140250</v>
      </c>
      <c r="I2416">
        <v>8270.01</v>
      </c>
      <c r="J2416" t="s">
        <v>65</v>
      </c>
      <c r="K2416" t="s">
        <v>40</v>
      </c>
      <c r="L2416">
        <v>46750</v>
      </c>
      <c r="M2416">
        <v>5.8966203208556154</v>
      </c>
      <c r="N2416" t="s">
        <v>8</v>
      </c>
      <c r="O2416" t="s">
        <v>530</v>
      </c>
      <c r="P2416" t="s">
        <v>29</v>
      </c>
      <c r="Q2416" t="s">
        <v>30</v>
      </c>
      <c r="R2416" t="s">
        <v>98</v>
      </c>
      <c r="S2416" t="s">
        <v>54</v>
      </c>
      <c r="T2416" t="s">
        <v>531</v>
      </c>
      <c r="U2416" t="s">
        <v>105</v>
      </c>
      <c r="V2416">
        <v>2756.67</v>
      </c>
    </row>
    <row r="2417" spans="1:22" x14ac:dyDescent="0.3">
      <c r="A2417" t="s">
        <v>3854</v>
      </c>
      <c r="B2417" s="2">
        <v>46145</v>
      </c>
      <c r="C2417" t="s">
        <v>1777</v>
      </c>
      <c r="D2417" t="s">
        <v>49</v>
      </c>
      <c r="E2417" t="s">
        <v>119</v>
      </c>
      <c r="F2417">
        <v>2</v>
      </c>
      <c r="G2417">
        <v>0.15</v>
      </c>
      <c r="H2417">
        <v>15300</v>
      </c>
      <c r="I2417">
        <v>2783.93</v>
      </c>
      <c r="J2417" t="s">
        <v>65</v>
      </c>
      <c r="K2417" t="s">
        <v>40</v>
      </c>
      <c r="L2417">
        <v>7650</v>
      </c>
      <c r="M2417">
        <v>18.195620915032681</v>
      </c>
      <c r="N2417" t="s">
        <v>8</v>
      </c>
      <c r="O2417" t="s">
        <v>322</v>
      </c>
      <c r="P2417" t="s">
        <v>83</v>
      </c>
      <c r="Q2417" t="s">
        <v>30</v>
      </c>
      <c r="R2417" t="s">
        <v>31</v>
      </c>
      <c r="S2417" t="s">
        <v>32</v>
      </c>
      <c r="T2417" t="s">
        <v>1778</v>
      </c>
      <c r="U2417" t="s">
        <v>34</v>
      </c>
      <c r="V2417">
        <v>1391.9649999999999</v>
      </c>
    </row>
    <row r="2418" spans="1:22" x14ac:dyDescent="0.3">
      <c r="A2418" t="s">
        <v>3855</v>
      </c>
      <c r="B2418" s="2">
        <v>46168</v>
      </c>
      <c r="C2418" t="s">
        <v>863</v>
      </c>
      <c r="D2418" t="s">
        <v>24</v>
      </c>
      <c r="E2418" t="s">
        <v>242</v>
      </c>
      <c r="F2418">
        <v>2</v>
      </c>
      <c r="G2418">
        <v>0.1</v>
      </c>
      <c r="H2418">
        <v>810</v>
      </c>
      <c r="I2418">
        <v>148.43</v>
      </c>
      <c r="J2418" t="s">
        <v>65</v>
      </c>
      <c r="K2418" t="s">
        <v>40</v>
      </c>
      <c r="L2418">
        <v>405</v>
      </c>
      <c r="M2418">
        <v>18.32469135802469</v>
      </c>
      <c r="N2418" t="s">
        <v>8</v>
      </c>
      <c r="O2418" t="s">
        <v>187</v>
      </c>
      <c r="P2418" t="s">
        <v>73</v>
      </c>
      <c r="Q2418" t="s">
        <v>30</v>
      </c>
      <c r="R2418" t="s">
        <v>53</v>
      </c>
      <c r="S2418" t="s">
        <v>54</v>
      </c>
      <c r="T2418" t="s">
        <v>864</v>
      </c>
      <c r="U2418" t="s">
        <v>34</v>
      </c>
      <c r="V2418">
        <v>74.215000000000003</v>
      </c>
    </row>
    <row r="2419" spans="1:22" x14ac:dyDescent="0.3">
      <c r="A2419" t="s">
        <v>3856</v>
      </c>
      <c r="B2419" s="2">
        <v>45967</v>
      </c>
      <c r="C2419" t="s">
        <v>160</v>
      </c>
      <c r="D2419" t="s">
        <v>49</v>
      </c>
      <c r="E2419" t="s">
        <v>58</v>
      </c>
      <c r="F2419">
        <v>4</v>
      </c>
      <c r="G2419">
        <v>0.05</v>
      </c>
      <c r="H2419">
        <v>57000</v>
      </c>
      <c r="I2419">
        <v>12222.41</v>
      </c>
      <c r="J2419" t="s">
        <v>51</v>
      </c>
      <c r="K2419" t="s">
        <v>40</v>
      </c>
      <c r="L2419">
        <v>14250</v>
      </c>
      <c r="M2419">
        <v>21.442824561403508</v>
      </c>
      <c r="N2419" t="s">
        <v>8</v>
      </c>
      <c r="O2419" t="s">
        <v>161</v>
      </c>
      <c r="P2419" t="s">
        <v>29</v>
      </c>
      <c r="Q2419" t="s">
        <v>30</v>
      </c>
      <c r="R2419" t="s">
        <v>98</v>
      </c>
      <c r="S2419" t="s">
        <v>54</v>
      </c>
      <c r="T2419" t="s">
        <v>162</v>
      </c>
      <c r="U2419" t="s">
        <v>34</v>
      </c>
      <c r="V2419">
        <v>3055.6025</v>
      </c>
    </row>
    <row r="2420" spans="1:22" x14ac:dyDescent="0.3">
      <c r="A2420" t="s">
        <v>3857</v>
      </c>
      <c r="B2420" s="2">
        <v>46118</v>
      </c>
      <c r="C2420" t="s">
        <v>1281</v>
      </c>
      <c r="D2420" t="s">
        <v>24</v>
      </c>
      <c r="E2420" t="s">
        <v>92</v>
      </c>
      <c r="F2420">
        <v>1</v>
      </c>
      <c r="G2420">
        <v>0.1</v>
      </c>
      <c r="H2420">
        <v>810</v>
      </c>
      <c r="I2420">
        <v>205.1</v>
      </c>
      <c r="J2420" t="s">
        <v>39</v>
      </c>
      <c r="K2420" t="s">
        <v>40</v>
      </c>
      <c r="L2420">
        <v>810</v>
      </c>
      <c r="M2420">
        <v>25.320987654320991</v>
      </c>
      <c r="N2420" t="s">
        <v>8</v>
      </c>
      <c r="O2420" t="s">
        <v>1282</v>
      </c>
      <c r="P2420" t="s">
        <v>29</v>
      </c>
      <c r="Q2420" t="s">
        <v>74</v>
      </c>
      <c r="R2420" t="s">
        <v>237</v>
      </c>
      <c r="S2420" t="s">
        <v>238</v>
      </c>
      <c r="T2420" t="s">
        <v>1283</v>
      </c>
      <c r="U2420" t="s">
        <v>34</v>
      </c>
      <c r="V2420">
        <v>205.1</v>
      </c>
    </row>
    <row r="2421" spans="1:22" x14ac:dyDescent="0.3">
      <c r="A2421" t="s">
        <v>3858</v>
      </c>
      <c r="B2421" s="2">
        <v>46193</v>
      </c>
      <c r="C2421" t="s">
        <v>3736</v>
      </c>
      <c r="D2421" t="s">
        <v>37</v>
      </c>
      <c r="E2421" t="s">
        <v>38</v>
      </c>
      <c r="F2421">
        <v>2</v>
      </c>
      <c r="G2421">
        <v>0.05</v>
      </c>
      <c r="H2421">
        <v>3420</v>
      </c>
      <c r="I2421">
        <v>1210.8399999999999</v>
      </c>
      <c r="J2421" t="s">
        <v>39</v>
      </c>
      <c r="K2421" t="s">
        <v>40</v>
      </c>
      <c r="L2421">
        <v>1710</v>
      </c>
      <c r="M2421">
        <v>35.404678362573087</v>
      </c>
      <c r="N2421" t="s">
        <v>8</v>
      </c>
      <c r="O2421" t="s">
        <v>1137</v>
      </c>
      <c r="P2421" t="s">
        <v>73</v>
      </c>
      <c r="Q2421" t="s">
        <v>74</v>
      </c>
      <c r="R2421" t="s">
        <v>75</v>
      </c>
      <c r="S2421" t="s">
        <v>75</v>
      </c>
      <c r="T2421" t="s">
        <v>3737</v>
      </c>
      <c r="U2421" t="s">
        <v>46</v>
      </c>
      <c r="V2421">
        <v>605.41999999999996</v>
      </c>
    </row>
    <row r="2422" spans="1:22" x14ac:dyDescent="0.3">
      <c r="A2422" t="s">
        <v>3859</v>
      </c>
      <c r="B2422" s="2">
        <v>45990</v>
      </c>
      <c r="C2422" t="s">
        <v>1382</v>
      </c>
      <c r="D2422" t="s">
        <v>70</v>
      </c>
      <c r="E2422" t="s">
        <v>165</v>
      </c>
      <c r="F2422">
        <v>4</v>
      </c>
      <c r="G2422">
        <v>0.1</v>
      </c>
      <c r="H2422">
        <v>9000</v>
      </c>
      <c r="I2422">
        <v>2424.15</v>
      </c>
      <c r="J2422" t="s">
        <v>65</v>
      </c>
      <c r="K2422" t="s">
        <v>40</v>
      </c>
      <c r="L2422">
        <v>2250</v>
      </c>
      <c r="M2422">
        <v>26.934999999999999</v>
      </c>
      <c r="N2422" t="s">
        <v>8</v>
      </c>
      <c r="O2422" t="s">
        <v>1383</v>
      </c>
      <c r="P2422" t="s">
        <v>83</v>
      </c>
      <c r="Q2422" t="s">
        <v>30</v>
      </c>
      <c r="R2422" t="s">
        <v>60</v>
      </c>
      <c r="S2422" t="s">
        <v>61</v>
      </c>
      <c r="T2422" t="s">
        <v>227</v>
      </c>
      <c r="U2422" t="s">
        <v>46</v>
      </c>
      <c r="V2422">
        <v>606.03750000000002</v>
      </c>
    </row>
    <row r="2423" spans="1:22" x14ac:dyDescent="0.3">
      <c r="A2423" t="s">
        <v>3860</v>
      </c>
      <c r="B2423" s="2">
        <v>45883</v>
      </c>
      <c r="C2423" t="s">
        <v>3861</v>
      </c>
      <c r="D2423" t="s">
        <v>70</v>
      </c>
      <c r="E2423" t="s">
        <v>71</v>
      </c>
      <c r="F2423">
        <v>3</v>
      </c>
      <c r="G2423">
        <v>0.15</v>
      </c>
      <c r="H2423">
        <v>45900</v>
      </c>
      <c r="I2423">
        <v>-5903.01</v>
      </c>
      <c r="J2423" t="s">
        <v>26</v>
      </c>
      <c r="K2423" t="s">
        <v>80</v>
      </c>
      <c r="L2423">
        <v>15300</v>
      </c>
      <c r="M2423">
        <v>-12.86058823529412</v>
      </c>
      <c r="N2423" t="s">
        <v>81</v>
      </c>
      <c r="O2423" t="s">
        <v>276</v>
      </c>
      <c r="P2423" t="s">
        <v>83</v>
      </c>
      <c r="Q2423" t="s">
        <v>131</v>
      </c>
      <c r="R2423" t="s">
        <v>132</v>
      </c>
      <c r="S2423" t="s">
        <v>133</v>
      </c>
      <c r="T2423" t="s">
        <v>3862</v>
      </c>
      <c r="U2423" t="s">
        <v>34</v>
      </c>
      <c r="V2423">
        <v>-1967.67</v>
      </c>
    </row>
    <row r="2424" spans="1:22" x14ac:dyDescent="0.3">
      <c r="A2424" t="s">
        <v>3863</v>
      </c>
      <c r="B2424" s="2">
        <v>46168</v>
      </c>
      <c r="C2424" t="s">
        <v>3238</v>
      </c>
      <c r="D2424" t="s">
        <v>70</v>
      </c>
      <c r="E2424" t="s">
        <v>165</v>
      </c>
      <c r="F2424">
        <v>5</v>
      </c>
      <c r="G2424">
        <v>0.2</v>
      </c>
      <c r="H2424">
        <v>10000</v>
      </c>
      <c r="I2424">
        <v>2222.7600000000002</v>
      </c>
      <c r="J2424" t="s">
        <v>65</v>
      </c>
      <c r="K2424" t="s">
        <v>27</v>
      </c>
      <c r="L2424">
        <v>2000</v>
      </c>
      <c r="M2424">
        <v>22.227599999999999</v>
      </c>
      <c r="N2424" t="s">
        <v>8</v>
      </c>
      <c r="O2424" t="s">
        <v>3239</v>
      </c>
      <c r="P2424" t="s">
        <v>83</v>
      </c>
      <c r="Q2424" t="s">
        <v>74</v>
      </c>
      <c r="R2424" t="s">
        <v>237</v>
      </c>
      <c r="S2424" t="s">
        <v>238</v>
      </c>
      <c r="T2424" t="s">
        <v>3240</v>
      </c>
      <c r="U2424" t="s">
        <v>46</v>
      </c>
      <c r="V2424">
        <v>444.55200000000002</v>
      </c>
    </row>
    <row r="2425" spans="1:22" x14ac:dyDescent="0.3">
      <c r="A2425" t="s">
        <v>3864</v>
      </c>
      <c r="B2425" s="2">
        <v>45839</v>
      </c>
      <c r="C2425" t="s">
        <v>2681</v>
      </c>
      <c r="D2425" t="s">
        <v>70</v>
      </c>
      <c r="E2425" t="s">
        <v>165</v>
      </c>
      <c r="F2425">
        <v>1</v>
      </c>
      <c r="G2425">
        <v>0.1</v>
      </c>
      <c r="H2425">
        <v>2250</v>
      </c>
      <c r="I2425">
        <v>612.51</v>
      </c>
      <c r="J2425" t="s">
        <v>51</v>
      </c>
      <c r="K2425" t="s">
        <v>40</v>
      </c>
      <c r="L2425">
        <v>2250</v>
      </c>
      <c r="M2425">
        <v>27.222666666666669</v>
      </c>
      <c r="N2425" t="s">
        <v>8</v>
      </c>
      <c r="O2425" t="s">
        <v>2636</v>
      </c>
      <c r="P2425" t="s">
        <v>73</v>
      </c>
      <c r="Q2425" t="s">
        <v>74</v>
      </c>
      <c r="R2425" t="s">
        <v>75</v>
      </c>
      <c r="S2425" t="s">
        <v>75</v>
      </c>
      <c r="T2425" t="s">
        <v>2682</v>
      </c>
      <c r="U2425" t="s">
        <v>34</v>
      </c>
      <c r="V2425">
        <v>612.51</v>
      </c>
    </row>
    <row r="2426" spans="1:22" x14ac:dyDescent="0.3">
      <c r="A2426" t="s">
        <v>3865</v>
      </c>
      <c r="B2426" s="2">
        <v>45875</v>
      </c>
      <c r="C2426" t="s">
        <v>1700</v>
      </c>
      <c r="D2426" t="s">
        <v>49</v>
      </c>
      <c r="E2426" t="s">
        <v>119</v>
      </c>
      <c r="F2426">
        <v>4</v>
      </c>
      <c r="G2426">
        <v>0.2</v>
      </c>
      <c r="H2426">
        <v>28800</v>
      </c>
      <c r="I2426">
        <v>-9856.8799999999992</v>
      </c>
      <c r="J2426" t="s">
        <v>51</v>
      </c>
      <c r="K2426" t="s">
        <v>80</v>
      </c>
      <c r="L2426">
        <v>7200</v>
      </c>
      <c r="M2426">
        <v>-34.225277777777777</v>
      </c>
      <c r="N2426" t="s">
        <v>81</v>
      </c>
      <c r="O2426" t="s">
        <v>1009</v>
      </c>
      <c r="P2426" t="s">
        <v>73</v>
      </c>
      <c r="Q2426" t="s">
        <v>30</v>
      </c>
      <c r="R2426" t="s">
        <v>53</v>
      </c>
      <c r="S2426" t="s">
        <v>54</v>
      </c>
      <c r="T2426" t="s">
        <v>172</v>
      </c>
      <c r="U2426" t="s">
        <v>34</v>
      </c>
      <c r="V2426">
        <v>-2464.2199999999998</v>
      </c>
    </row>
    <row r="2427" spans="1:22" x14ac:dyDescent="0.3">
      <c r="A2427" t="s">
        <v>3866</v>
      </c>
      <c r="B2427" s="2">
        <v>46050</v>
      </c>
      <c r="C2427" t="s">
        <v>3867</v>
      </c>
      <c r="D2427" t="s">
        <v>70</v>
      </c>
      <c r="E2427" t="s">
        <v>71</v>
      </c>
      <c r="F2427">
        <v>2</v>
      </c>
      <c r="G2427">
        <v>0.1</v>
      </c>
      <c r="H2427">
        <v>32400</v>
      </c>
      <c r="I2427">
        <v>5220.41</v>
      </c>
      <c r="J2427" t="s">
        <v>51</v>
      </c>
      <c r="K2427" t="s">
        <v>40</v>
      </c>
      <c r="L2427">
        <v>16200</v>
      </c>
      <c r="M2427">
        <v>16.11237654320988</v>
      </c>
      <c r="N2427" t="s">
        <v>8</v>
      </c>
      <c r="O2427" t="s">
        <v>1144</v>
      </c>
      <c r="P2427" t="s">
        <v>83</v>
      </c>
      <c r="Q2427" t="s">
        <v>42</v>
      </c>
      <c r="R2427" t="s">
        <v>121</v>
      </c>
      <c r="S2427" t="s">
        <v>44</v>
      </c>
      <c r="T2427" t="s">
        <v>3263</v>
      </c>
      <c r="U2427" t="s">
        <v>46</v>
      </c>
      <c r="V2427">
        <v>2610.2049999999999</v>
      </c>
    </row>
    <row r="2428" spans="1:22" x14ac:dyDescent="0.3">
      <c r="A2428" t="s">
        <v>3868</v>
      </c>
      <c r="B2428" s="2">
        <v>46240</v>
      </c>
      <c r="C2428" t="s">
        <v>858</v>
      </c>
      <c r="D2428" t="s">
        <v>37</v>
      </c>
      <c r="E2428" t="s">
        <v>170</v>
      </c>
      <c r="F2428">
        <v>3</v>
      </c>
      <c r="G2428">
        <v>0</v>
      </c>
      <c r="H2428">
        <v>4200</v>
      </c>
      <c r="I2428">
        <v>1500</v>
      </c>
      <c r="J2428" t="s">
        <v>51</v>
      </c>
      <c r="K2428" t="s">
        <v>40</v>
      </c>
      <c r="L2428">
        <v>1400</v>
      </c>
      <c r="M2428">
        <v>35.714285714285722</v>
      </c>
      <c r="N2428" t="s">
        <v>8</v>
      </c>
      <c r="O2428" t="s">
        <v>406</v>
      </c>
      <c r="P2428" t="s">
        <v>73</v>
      </c>
      <c r="Q2428" t="s">
        <v>30</v>
      </c>
      <c r="R2428" t="s">
        <v>53</v>
      </c>
      <c r="S2428" t="s">
        <v>54</v>
      </c>
      <c r="T2428" t="s">
        <v>859</v>
      </c>
      <c r="U2428" t="s">
        <v>105</v>
      </c>
      <c r="V2428">
        <v>500</v>
      </c>
    </row>
    <row r="2429" spans="1:22" x14ac:dyDescent="0.3">
      <c r="A2429" t="s">
        <v>3869</v>
      </c>
      <c r="B2429" s="2">
        <v>46153</v>
      </c>
      <c r="C2429" t="s">
        <v>983</v>
      </c>
      <c r="D2429" t="s">
        <v>70</v>
      </c>
      <c r="E2429" t="s">
        <v>108</v>
      </c>
      <c r="F2429">
        <v>2</v>
      </c>
      <c r="G2429">
        <v>0.05</v>
      </c>
      <c r="H2429">
        <v>8550</v>
      </c>
      <c r="I2429">
        <v>2784.82</v>
      </c>
      <c r="J2429" t="s">
        <v>51</v>
      </c>
      <c r="K2429" t="s">
        <v>40</v>
      </c>
      <c r="L2429">
        <v>4275</v>
      </c>
      <c r="M2429">
        <v>32.570994152046786</v>
      </c>
      <c r="N2429" t="s">
        <v>8</v>
      </c>
      <c r="O2429" t="s">
        <v>984</v>
      </c>
      <c r="P2429" t="s">
        <v>29</v>
      </c>
      <c r="Q2429" t="s">
        <v>30</v>
      </c>
      <c r="R2429" t="s">
        <v>31</v>
      </c>
      <c r="S2429" t="s">
        <v>32</v>
      </c>
      <c r="T2429" t="s">
        <v>985</v>
      </c>
      <c r="U2429" t="s">
        <v>46</v>
      </c>
      <c r="V2429">
        <v>1392.41</v>
      </c>
    </row>
    <row r="2430" spans="1:22" x14ac:dyDescent="0.3">
      <c r="A2430" t="s">
        <v>3870</v>
      </c>
      <c r="B2430" s="2">
        <v>45947</v>
      </c>
      <c r="C2430" t="s">
        <v>1637</v>
      </c>
      <c r="D2430" t="s">
        <v>24</v>
      </c>
      <c r="E2430" t="s">
        <v>242</v>
      </c>
      <c r="F2430">
        <v>4</v>
      </c>
      <c r="G2430">
        <v>0</v>
      </c>
      <c r="H2430">
        <v>1800</v>
      </c>
      <c r="I2430">
        <v>440</v>
      </c>
      <c r="J2430" t="s">
        <v>26</v>
      </c>
      <c r="K2430" t="s">
        <v>40</v>
      </c>
      <c r="L2430">
        <v>450</v>
      </c>
      <c r="M2430">
        <v>24.444444444444439</v>
      </c>
      <c r="N2430" t="s">
        <v>8</v>
      </c>
      <c r="O2430" t="s">
        <v>697</v>
      </c>
      <c r="P2430" t="s">
        <v>29</v>
      </c>
      <c r="Q2430" t="s">
        <v>30</v>
      </c>
      <c r="R2430" t="s">
        <v>31</v>
      </c>
      <c r="S2430" t="s">
        <v>32</v>
      </c>
      <c r="T2430" t="s">
        <v>1638</v>
      </c>
      <c r="U2430" t="s">
        <v>46</v>
      </c>
      <c r="V2430">
        <v>110</v>
      </c>
    </row>
    <row r="2431" spans="1:22" x14ac:dyDescent="0.3">
      <c r="A2431" t="s">
        <v>3871</v>
      </c>
      <c r="B2431" s="2">
        <v>46196</v>
      </c>
      <c r="C2431" t="s">
        <v>344</v>
      </c>
      <c r="D2431" t="s">
        <v>70</v>
      </c>
      <c r="E2431" t="s">
        <v>165</v>
      </c>
      <c r="F2431">
        <v>4</v>
      </c>
      <c r="G2431">
        <v>0.05</v>
      </c>
      <c r="H2431">
        <v>9500</v>
      </c>
      <c r="I2431">
        <v>2835.97</v>
      </c>
      <c r="J2431" t="s">
        <v>39</v>
      </c>
      <c r="K2431" t="s">
        <v>40</v>
      </c>
      <c r="L2431">
        <v>2375</v>
      </c>
      <c r="M2431">
        <v>29.852315789473678</v>
      </c>
      <c r="N2431" t="s">
        <v>8</v>
      </c>
      <c r="O2431" t="s">
        <v>345</v>
      </c>
      <c r="P2431" t="s">
        <v>29</v>
      </c>
      <c r="Q2431" t="s">
        <v>74</v>
      </c>
      <c r="R2431" t="s">
        <v>115</v>
      </c>
      <c r="S2431" t="s">
        <v>115</v>
      </c>
      <c r="T2431" t="s">
        <v>346</v>
      </c>
      <c r="U2431" t="s">
        <v>46</v>
      </c>
      <c r="V2431">
        <v>708.99249999999995</v>
      </c>
    </row>
    <row r="2432" spans="1:22" x14ac:dyDescent="0.3">
      <c r="A2432" t="s">
        <v>3872</v>
      </c>
      <c r="B2432" s="2">
        <v>46264</v>
      </c>
      <c r="C2432" t="s">
        <v>438</v>
      </c>
      <c r="D2432" t="s">
        <v>24</v>
      </c>
      <c r="E2432" t="s">
        <v>87</v>
      </c>
      <c r="F2432">
        <v>1</v>
      </c>
      <c r="G2432">
        <v>0.1</v>
      </c>
      <c r="H2432">
        <v>315</v>
      </c>
      <c r="I2432">
        <v>103.37</v>
      </c>
      <c r="J2432" t="s">
        <v>65</v>
      </c>
      <c r="K2432" t="s">
        <v>40</v>
      </c>
      <c r="L2432">
        <v>315</v>
      </c>
      <c r="M2432">
        <v>32.815873015873017</v>
      </c>
      <c r="N2432" t="s">
        <v>8</v>
      </c>
      <c r="O2432" t="s">
        <v>439</v>
      </c>
      <c r="P2432" t="s">
        <v>83</v>
      </c>
      <c r="Q2432" t="s">
        <v>30</v>
      </c>
      <c r="R2432" t="s">
        <v>98</v>
      </c>
      <c r="S2432" t="s">
        <v>54</v>
      </c>
      <c r="T2432" t="s">
        <v>440</v>
      </c>
      <c r="U2432" t="s">
        <v>34</v>
      </c>
      <c r="V2432">
        <v>103.37</v>
      </c>
    </row>
    <row r="2433" spans="1:22" x14ac:dyDescent="0.3">
      <c r="A2433" t="s">
        <v>3873</v>
      </c>
      <c r="B2433" s="2">
        <v>46071</v>
      </c>
      <c r="C2433" t="s">
        <v>878</v>
      </c>
      <c r="D2433" t="s">
        <v>49</v>
      </c>
      <c r="E2433" t="s">
        <v>58</v>
      </c>
      <c r="F2433">
        <v>1</v>
      </c>
      <c r="G2433">
        <v>0</v>
      </c>
      <c r="H2433">
        <v>15000</v>
      </c>
      <c r="I2433">
        <v>3500</v>
      </c>
      <c r="J2433" t="s">
        <v>39</v>
      </c>
      <c r="K2433" t="s">
        <v>27</v>
      </c>
      <c r="L2433">
        <v>15000</v>
      </c>
      <c r="M2433">
        <v>23.333333333333329</v>
      </c>
      <c r="N2433" t="s">
        <v>8</v>
      </c>
      <c r="O2433" t="s">
        <v>879</v>
      </c>
      <c r="P2433" t="s">
        <v>83</v>
      </c>
      <c r="Q2433" t="s">
        <v>30</v>
      </c>
      <c r="R2433" t="s">
        <v>98</v>
      </c>
      <c r="S2433" t="s">
        <v>54</v>
      </c>
      <c r="T2433" t="s">
        <v>880</v>
      </c>
      <c r="U2433" t="s">
        <v>46</v>
      </c>
      <c r="V2433">
        <v>3500</v>
      </c>
    </row>
    <row r="2434" spans="1:22" x14ac:dyDescent="0.3">
      <c r="A2434" t="s">
        <v>3874</v>
      </c>
      <c r="B2434" s="2">
        <v>45950</v>
      </c>
      <c r="C2434" t="s">
        <v>148</v>
      </c>
      <c r="D2434" t="s">
        <v>49</v>
      </c>
      <c r="E2434" t="s">
        <v>119</v>
      </c>
      <c r="F2434">
        <v>2</v>
      </c>
      <c r="G2434">
        <v>0.2</v>
      </c>
      <c r="H2434">
        <v>14400</v>
      </c>
      <c r="I2434">
        <v>1892.13</v>
      </c>
      <c r="J2434" t="s">
        <v>51</v>
      </c>
      <c r="K2434" t="s">
        <v>40</v>
      </c>
      <c r="L2434">
        <v>7200</v>
      </c>
      <c r="M2434">
        <v>13.139791666666669</v>
      </c>
      <c r="N2434" t="s">
        <v>8</v>
      </c>
      <c r="O2434" t="s">
        <v>149</v>
      </c>
      <c r="P2434" t="s">
        <v>29</v>
      </c>
      <c r="Q2434" t="s">
        <v>30</v>
      </c>
      <c r="R2434" t="s">
        <v>60</v>
      </c>
      <c r="S2434" t="s">
        <v>61</v>
      </c>
      <c r="T2434" t="s">
        <v>150</v>
      </c>
      <c r="U2434" t="s">
        <v>105</v>
      </c>
      <c r="V2434">
        <v>946.06500000000005</v>
      </c>
    </row>
    <row r="2435" spans="1:22" x14ac:dyDescent="0.3">
      <c r="A2435" t="s">
        <v>3875</v>
      </c>
      <c r="B2435" s="2">
        <v>46022</v>
      </c>
      <c r="C2435" t="s">
        <v>1281</v>
      </c>
      <c r="D2435" t="s">
        <v>24</v>
      </c>
      <c r="E2435" t="s">
        <v>242</v>
      </c>
      <c r="F2435">
        <v>2</v>
      </c>
      <c r="G2435">
        <v>0.05</v>
      </c>
      <c r="H2435">
        <v>855</v>
      </c>
      <c r="I2435">
        <v>197.2</v>
      </c>
      <c r="J2435" t="s">
        <v>26</v>
      </c>
      <c r="K2435" t="s">
        <v>40</v>
      </c>
      <c r="L2435">
        <v>427.5</v>
      </c>
      <c r="M2435">
        <v>23.064327485380119</v>
      </c>
      <c r="N2435" t="s">
        <v>8</v>
      </c>
      <c r="O2435" t="s">
        <v>1282</v>
      </c>
      <c r="P2435" t="s">
        <v>29</v>
      </c>
      <c r="Q2435" t="s">
        <v>74</v>
      </c>
      <c r="R2435" t="s">
        <v>237</v>
      </c>
      <c r="S2435" t="s">
        <v>238</v>
      </c>
      <c r="T2435" t="s">
        <v>1283</v>
      </c>
      <c r="U2435" t="s">
        <v>34</v>
      </c>
      <c r="V2435">
        <v>98.6</v>
      </c>
    </row>
    <row r="2436" spans="1:22" x14ac:dyDescent="0.3">
      <c r="A2436" t="s">
        <v>3876</v>
      </c>
      <c r="B2436" s="2">
        <v>45954</v>
      </c>
      <c r="C2436" t="s">
        <v>936</v>
      </c>
      <c r="D2436" t="s">
        <v>24</v>
      </c>
      <c r="E2436" t="s">
        <v>92</v>
      </c>
      <c r="F2436">
        <v>3</v>
      </c>
      <c r="G2436">
        <v>0.15</v>
      </c>
      <c r="H2436">
        <v>2295</v>
      </c>
      <c r="I2436">
        <v>-1147.94</v>
      </c>
      <c r="J2436" t="s">
        <v>39</v>
      </c>
      <c r="K2436" t="s">
        <v>80</v>
      </c>
      <c r="L2436">
        <v>765</v>
      </c>
      <c r="M2436">
        <v>-50.01917211328977</v>
      </c>
      <c r="N2436" t="s">
        <v>81</v>
      </c>
      <c r="O2436" t="s">
        <v>937</v>
      </c>
      <c r="P2436" t="s">
        <v>73</v>
      </c>
      <c r="Q2436" t="s">
        <v>30</v>
      </c>
      <c r="R2436" t="s">
        <v>53</v>
      </c>
      <c r="S2436" t="s">
        <v>54</v>
      </c>
      <c r="T2436" t="s">
        <v>938</v>
      </c>
      <c r="U2436" t="s">
        <v>34</v>
      </c>
      <c r="V2436">
        <v>-382.6466666666667</v>
      </c>
    </row>
    <row r="2437" spans="1:22" x14ac:dyDescent="0.3">
      <c r="A2437" t="s">
        <v>3877</v>
      </c>
      <c r="B2437" s="2">
        <v>46144</v>
      </c>
      <c r="C2437" t="s">
        <v>1285</v>
      </c>
      <c r="D2437" t="s">
        <v>70</v>
      </c>
      <c r="E2437" t="s">
        <v>165</v>
      </c>
      <c r="F2437">
        <v>3</v>
      </c>
      <c r="G2437">
        <v>0.15</v>
      </c>
      <c r="H2437">
        <v>6375</v>
      </c>
      <c r="I2437">
        <v>1758.02</v>
      </c>
      <c r="J2437" t="s">
        <v>39</v>
      </c>
      <c r="K2437" t="s">
        <v>40</v>
      </c>
      <c r="L2437">
        <v>2125</v>
      </c>
      <c r="M2437">
        <v>27.57678431372549</v>
      </c>
      <c r="N2437" t="s">
        <v>8</v>
      </c>
      <c r="O2437" t="s">
        <v>1286</v>
      </c>
      <c r="P2437" t="s">
        <v>29</v>
      </c>
      <c r="Q2437" t="s">
        <v>74</v>
      </c>
      <c r="R2437" t="s">
        <v>493</v>
      </c>
      <c r="S2437" t="s">
        <v>494</v>
      </c>
      <c r="T2437" t="s">
        <v>1287</v>
      </c>
      <c r="U2437" t="s">
        <v>46</v>
      </c>
      <c r="V2437">
        <v>586.00666666666666</v>
      </c>
    </row>
    <row r="2438" spans="1:22" x14ac:dyDescent="0.3">
      <c r="A2438" t="s">
        <v>3878</v>
      </c>
      <c r="B2438" s="2">
        <v>45850</v>
      </c>
      <c r="C2438" t="s">
        <v>1152</v>
      </c>
      <c r="D2438" t="s">
        <v>70</v>
      </c>
      <c r="E2438" t="s">
        <v>108</v>
      </c>
      <c r="F2438">
        <v>2</v>
      </c>
      <c r="G2438">
        <v>0.05</v>
      </c>
      <c r="H2438">
        <v>8550</v>
      </c>
      <c r="I2438">
        <v>2709.71</v>
      </c>
      <c r="J2438" t="s">
        <v>26</v>
      </c>
      <c r="K2438" t="s">
        <v>40</v>
      </c>
      <c r="L2438">
        <v>4275</v>
      </c>
      <c r="M2438">
        <v>31.692514619883038</v>
      </c>
      <c r="N2438" t="s">
        <v>8</v>
      </c>
      <c r="O2438" t="s">
        <v>995</v>
      </c>
      <c r="P2438" t="s">
        <v>29</v>
      </c>
      <c r="Q2438" t="s">
        <v>30</v>
      </c>
      <c r="R2438" t="s">
        <v>31</v>
      </c>
      <c r="S2438" t="s">
        <v>32</v>
      </c>
      <c r="T2438" t="s">
        <v>960</v>
      </c>
      <c r="U2438" t="s">
        <v>100</v>
      </c>
      <c r="V2438">
        <v>1354.855</v>
      </c>
    </row>
    <row r="2439" spans="1:22" x14ac:dyDescent="0.3">
      <c r="A2439" t="s">
        <v>3879</v>
      </c>
      <c r="B2439" s="2">
        <v>45924</v>
      </c>
      <c r="C2439" t="s">
        <v>2720</v>
      </c>
      <c r="D2439" t="s">
        <v>24</v>
      </c>
      <c r="E2439" t="s">
        <v>25</v>
      </c>
      <c r="F2439">
        <v>4</v>
      </c>
      <c r="G2439">
        <v>0</v>
      </c>
      <c r="H2439">
        <v>56000</v>
      </c>
      <c r="I2439">
        <v>11200</v>
      </c>
      <c r="J2439" t="s">
        <v>39</v>
      </c>
      <c r="K2439" t="s">
        <v>40</v>
      </c>
      <c r="L2439">
        <v>14000</v>
      </c>
      <c r="M2439">
        <v>20</v>
      </c>
      <c r="N2439" t="s">
        <v>8</v>
      </c>
      <c r="O2439" t="s">
        <v>52</v>
      </c>
      <c r="P2439" t="s">
        <v>73</v>
      </c>
      <c r="Q2439" t="s">
        <v>42</v>
      </c>
      <c r="R2439" t="s">
        <v>110</v>
      </c>
      <c r="S2439" t="s">
        <v>111</v>
      </c>
      <c r="T2439" t="s">
        <v>2721</v>
      </c>
      <c r="U2439" t="s">
        <v>46</v>
      </c>
      <c r="V2439">
        <v>2800</v>
      </c>
    </row>
    <row r="2440" spans="1:22" x14ac:dyDescent="0.3">
      <c r="A2440" t="s">
        <v>3880</v>
      </c>
      <c r="B2440" s="2">
        <v>46050</v>
      </c>
      <c r="C2440" t="s">
        <v>438</v>
      </c>
      <c r="D2440" t="s">
        <v>70</v>
      </c>
      <c r="E2440" t="s">
        <v>129</v>
      </c>
      <c r="F2440">
        <v>1</v>
      </c>
      <c r="G2440">
        <v>0.2</v>
      </c>
      <c r="H2440">
        <v>44000</v>
      </c>
      <c r="I2440">
        <v>2044.89</v>
      </c>
      <c r="J2440" t="s">
        <v>26</v>
      </c>
      <c r="K2440" t="s">
        <v>27</v>
      </c>
      <c r="L2440">
        <v>44000</v>
      </c>
      <c r="M2440">
        <v>4.6474772727272731</v>
      </c>
      <c r="N2440" t="s">
        <v>8</v>
      </c>
      <c r="O2440" t="s">
        <v>439</v>
      </c>
      <c r="P2440" t="s">
        <v>83</v>
      </c>
      <c r="Q2440" t="s">
        <v>30</v>
      </c>
      <c r="R2440" t="s">
        <v>98</v>
      </c>
      <c r="S2440" t="s">
        <v>54</v>
      </c>
      <c r="T2440" t="s">
        <v>440</v>
      </c>
      <c r="U2440" t="s">
        <v>34</v>
      </c>
      <c r="V2440">
        <v>2044.89</v>
      </c>
    </row>
    <row r="2441" spans="1:22" x14ac:dyDescent="0.3">
      <c r="A2441" t="s">
        <v>3881</v>
      </c>
      <c r="B2441" s="2">
        <v>46083</v>
      </c>
      <c r="C2441" t="s">
        <v>710</v>
      </c>
      <c r="D2441" t="s">
        <v>37</v>
      </c>
      <c r="E2441" t="s">
        <v>38</v>
      </c>
      <c r="F2441">
        <v>5</v>
      </c>
      <c r="G2441">
        <v>0.05</v>
      </c>
      <c r="H2441">
        <v>8550</v>
      </c>
      <c r="I2441">
        <v>2939.78</v>
      </c>
      <c r="J2441" t="s">
        <v>26</v>
      </c>
      <c r="K2441" t="s">
        <v>40</v>
      </c>
      <c r="L2441">
        <v>1710</v>
      </c>
      <c r="M2441">
        <v>34.383391812865497</v>
      </c>
      <c r="N2441" t="s">
        <v>8</v>
      </c>
      <c r="O2441" t="s">
        <v>711</v>
      </c>
      <c r="P2441" t="s">
        <v>29</v>
      </c>
      <c r="Q2441" t="s">
        <v>30</v>
      </c>
      <c r="R2441" t="s">
        <v>53</v>
      </c>
      <c r="S2441" t="s">
        <v>54</v>
      </c>
      <c r="T2441" t="s">
        <v>712</v>
      </c>
      <c r="U2441" t="s">
        <v>34</v>
      </c>
      <c r="V2441">
        <v>587.95600000000002</v>
      </c>
    </row>
    <row r="2442" spans="1:22" x14ac:dyDescent="0.3">
      <c r="A2442" t="s">
        <v>3882</v>
      </c>
      <c r="B2442" s="2">
        <v>45929</v>
      </c>
      <c r="C2442" t="s">
        <v>1304</v>
      </c>
      <c r="D2442" t="s">
        <v>24</v>
      </c>
      <c r="E2442" t="s">
        <v>25</v>
      </c>
      <c r="F2442">
        <v>2</v>
      </c>
      <c r="G2442">
        <v>0.15</v>
      </c>
      <c r="H2442">
        <v>23800</v>
      </c>
      <c r="I2442">
        <v>2467.84</v>
      </c>
      <c r="J2442" t="s">
        <v>65</v>
      </c>
      <c r="K2442" t="s">
        <v>40</v>
      </c>
      <c r="L2442">
        <v>11900</v>
      </c>
      <c r="M2442">
        <v>10.3690756302521</v>
      </c>
      <c r="N2442" t="s">
        <v>8</v>
      </c>
      <c r="O2442" t="s">
        <v>1305</v>
      </c>
      <c r="P2442" t="s">
        <v>29</v>
      </c>
      <c r="Q2442" t="s">
        <v>30</v>
      </c>
      <c r="R2442" t="s">
        <v>53</v>
      </c>
      <c r="S2442" t="s">
        <v>54</v>
      </c>
      <c r="T2442" t="s">
        <v>1306</v>
      </c>
      <c r="U2442" t="s">
        <v>34</v>
      </c>
      <c r="V2442">
        <v>1233.92</v>
      </c>
    </row>
    <row r="2443" spans="1:22" x14ac:dyDescent="0.3">
      <c r="A2443" t="s">
        <v>3883</v>
      </c>
      <c r="B2443" s="2">
        <v>46237</v>
      </c>
      <c r="C2443" t="s">
        <v>1648</v>
      </c>
      <c r="D2443" t="s">
        <v>49</v>
      </c>
      <c r="E2443" t="s">
        <v>58</v>
      </c>
      <c r="F2443">
        <v>3</v>
      </c>
      <c r="G2443">
        <v>0.2</v>
      </c>
      <c r="H2443">
        <v>36000</v>
      </c>
      <c r="I2443">
        <v>5764.85</v>
      </c>
      <c r="J2443" t="s">
        <v>26</v>
      </c>
      <c r="K2443" t="s">
        <v>27</v>
      </c>
      <c r="L2443">
        <v>12000</v>
      </c>
      <c r="M2443">
        <v>16.013472222222219</v>
      </c>
      <c r="N2443" t="s">
        <v>8</v>
      </c>
      <c r="O2443" t="s">
        <v>1649</v>
      </c>
      <c r="P2443" t="s">
        <v>73</v>
      </c>
      <c r="Q2443" t="s">
        <v>30</v>
      </c>
      <c r="R2443" t="s">
        <v>98</v>
      </c>
      <c r="S2443" t="s">
        <v>54</v>
      </c>
      <c r="T2443" t="s">
        <v>1650</v>
      </c>
      <c r="U2443" t="s">
        <v>34</v>
      </c>
      <c r="V2443">
        <v>1921.616666666667</v>
      </c>
    </row>
    <row r="2444" spans="1:22" x14ac:dyDescent="0.3">
      <c r="A2444" t="s">
        <v>3884</v>
      </c>
      <c r="B2444" s="2">
        <v>46131</v>
      </c>
      <c r="C2444" t="s">
        <v>1497</v>
      </c>
      <c r="D2444" t="s">
        <v>49</v>
      </c>
      <c r="E2444" t="s">
        <v>119</v>
      </c>
      <c r="F2444">
        <v>1</v>
      </c>
      <c r="G2444">
        <v>0</v>
      </c>
      <c r="H2444">
        <v>9000</v>
      </c>
      <c r="I2444">
        <v>2300</v>
      </c>
      <c r="J2444" t="s">
        <v>26</v>
      </c>
      <c r="K2444" t="s">
        <v>40</v>
      </c>
      <c r="L2444">
        <v>9000</v>
      </c>
      <c r="M2444">
        <v>25.55555555555555</v>
      </c>
      <c r="N2444" t="s">
        <v>8</v>
      </c>
      <c r="O2444" t="s">
        <v>88</v>
      </c>
      <c r="P2444" t="s">
        <v>73</v>
      </c>
      <c r="Q2444" t="s">
        <v>30</v>
      </c>
      <c r="R2444" t="s">
        <v>31</v>
      </c>
      <c r="S2444" t="s">
        <v>32</v>
      </c>
      <c r="T2444" t="s">
        <v>1498</v>
      </c>
      <c r="U2444" t="s">
        <v>46</v>
      </c>
      <c r="V2444">
        <v>2300</v>
      </c>
    </row>
    <row r="2445" spans="1:22" x14ac:dyDescent="0.3">
      <c r="A2445" t="s">
        <v>3885</v>
      </c>
      <c r="B2445" s="2">
        <v>45856</v>
      </c>
      <c r="C2445" t="s">
        <v>477</v>
      </c>
      <c r="D2445" t="s">
        <v>37</v>
      </c>
      <c r="E2445" t="s">
        <v>38</v>
      </c>
      <c r="F2445">
        <v>4</v>
      </c>
      <c r="G2445">
        <v>0.1</v>
      </c>
      <c r="H2445">
        <v>6480</v>
      </c>
      <c r="I2445">
        <v>2266.11</v>
      </c>
      <c r="J2445" t="s">
        <v>51</v>
      </c>
      <c r="K2445" t="s">
        <v>40</v>
      </c>
      <c r="L2445">
        <v>1620</v>
      </c>
      <c r="M2445">
        <v>34.970833333333331</v>
      </c>
      <c r="N2445" t="s">
        <v>8</v>
      </c>
      <c r="O2445" t="s">
        <v>478</v>
      </c>
      <c r="P2445" t="s">
        <v>73</v>
      </c>
      <c r="Q2445" t="s">
        <v>131</v>
      </c>
      <c r="R2445" t="s">
        <v>289</v>
      </c>
      <c r="S2445" t="s">
        <v>290</v>
      </c>
      <c r="T2445" t="s">
        <v>479</v>
      </c>
      <c r="U2445" t="s">
        <v>100</v>
      </c>
      <c r="V2445">
        <v>566.52750000000003</v>
      </c>
    </row>
    <row r="2446" spans="1:22" x14ac:dyDescent="0.3">
      <c r="A2446" t="s">
        <v>3886</v>
      </c>
      <c r="B2446" s="2">
        <v>45985</v>
      </c>
      <c r="C2446" t="s">
        <v>2295</v>
      </c>
      <c r="D2446" t="s">
        <v>24</v>
      </c>
      <c r="E2446" t="s">
        <v>25</v>
      </c>
      <c r="F2446">
        <v>1</v>
      </c>
      <c r="G2446">
        <v>0</v>
      </c>
      <c r="H2446">
        <v>14000</v>
      </c>
      <c r="I2446">
        <v>2800</v>
      </c>
      <c r="J2446" t="s">
        <v>51</v>
      </c>
      <c r="K2446" t="s">
        <v>40</v>
      </c>
      <c r="L2446">
        <v>14000</v>
      </c>
      <c r="M2446">
        <v>20</v>
      </c>
      <c r="N2446" t="s">
        <v>8</v>
      </c>
      <c r="O2446" t="s">
        <v>2296</v>
      </c>
      <c r="P2446" t="s">
        <v>29</v>
      </c>
      <c r="Q2446" t="s">
        <v>74</v>
      </c>
      <c r="R2446" t="s">
        <v>493</v>
      </c>
      <c r="S2446" t="s">
        <v>494</v>
      </c>
      <c r="T2446" t="s">
        <v>2297</v>
      </c>
      <c r="U2446" t="s">
        <v>105</v>
      </c>
      <c r="V2446">
        <v>2800</v>
      </c>
    </row>
    <row r="2447" spans="1:22" x14ac:dyDescent="0.3">
      <c r="A2447" t="s">
        <v>3887</v>
      </c>
      <c r="B2447" s="2">
        <v>45990</v>
      </c>
      <c r="C2447" t="s">
        <v>426</v>
      </c>
      <c r="D2447" t="s">
        <v>24</v>
      </c>
      <c r="E2447" t="s">
        <v>92</v>
      </c>
      <c r="F2447">
        <v>3</v>
      </c>
      <c r="G2447">
        <v>0.05</v>
      </c>
      <c r="H2447">
        <v>2565</v>
      </c>
      <c r="I2447">
        <v>778.09</v>
      </c>
      <c r="J2447" t="s">
        <v>26</v>
      </c>
      <c r="K2447" t="s">
        <v>40</v>
      </c>
      <c r="L2447">
        <v>855</v>
      </c>
      <c r="M2447">
        <v>30.334892787524371</v>
      </c>
      <c r="N2447" t="s">
        <v>8</v>
      </c>
      <c r="O2447" t="s">
        <v>427</v>
      </c>
      <c r="P2447" t="s">
        <v>73</v>
      </c>
      <c r="Q2447" t="s">
        <v>30</v>
      </c>
      <c r="R2447" t="s">
        <v>60</v>
      </c>
      <c r="S2447" t="s">
        <v>61</v>
      </c>
      <c r="T2447" t="s">
        <v>428</v>
      </c>
      <c r="U2447" t="s">
        <v>34</v>
      </c>
      <c r="V2447">
        <v>259.36333333333329</v>
      </c>
    </row>
    <row r="2448" spans="1:22" x14ac:dyDescent="0.3">
      <c r="A2448" t="s">
        <v>3888</v>
      </c>
      <c r="B2448" s="2">
        <v>46256</v>
      </c>
      <c r="C2448" t="s">
        <v>3889</v>
      </c>
      <c r="D2448" t="s">
        <v>24</v>
      </c>
      <c r="E2448" t="s">
        <v>242</v>
      </c>
      <c r="F2448">
        <v>6</v>
      </c>
      <c r="G2448">
        <v>0.1</v>
      </c>
      <c r="H2448">
        <v>2430</v>
      </c>
      <c r="I2448">
        <v>-663.64</v>
      </c>
      <c r="J2448" t="s">
        <v>65</v>
      </c>
      <c r="K2448" t="s">
        <v>434</v>
      </c>
      <c r="L2448">
        <v>405</v>
      </c>
      <c r="M2448">
        <v>-27.310288065843618</v>
      </c>
      <c r="N2448" t="s">
        <v>81</v>
      </c>
      <c r="O2448" t="s">
        <v>1989</v>
      </c>
      <c r="P2448" t="s">
        <v>29</v>
      </c>
      <c r="Q2448" t="s">
        <v>131</v>
      </c>
      <c r="R2448" t="s">
        <v>132</v>
      </c>
      <c r="S2448" t="s">
        <v>133</v>
      </c>
      <c r="T2448" t="s">
        <v>3890</v>
      </c>
      <c r="U2448" t="s">
        <v>100</v>
      </c>
      <c r="V2448">
        <v>-110.6066666666667</v>
      </c>
    </row>
    <row r="2449" spans="1:22" x14ac:dyDescent="0.3">
      <c r="A2449" t="s">
        <v>3891</v>
      </c>
      <c r="B2449" s="2">
        <v>46094</v>
      </c>
      <c r="C2449" t="s">
        <v>610</v>
      </c>
      <c r="D2449" t="s">
        <v>70</v>
      </c>
      <c r="E2449" t="s">
        <v>165</v>
      </c>
      <c r="F2449">
        <v>3</v>
      </c>
      <c r="G2449">
        <v>0.3</v>
      </c>
      <c r="H2449">
        <v>5250</v>
      </c>
      <c r="I2449">
        <v>581.27</v>
      </c>
      <c r="J2449" t="s">
        <v>39</v>
      </c>
      <c r="K2449" t="s">
        <v>40</v>
      </c>
      <c r="L2449">
        <v>1750</v>
      </c>
      <c r="M2449">
        <v>11.07180952380952</v>
      </c>
      <c r="N2449" t="s">
        <v>8</v>
      </c>
      <c r="O2449" t="s">
        <v>611</v>
      </c>
      <c r="P2449" t="s">
        <v>83</v>
      </c>
      <c r="Q2449" t="s">
        <v>42</v>
      </c>
      <c r="R2449" t="s">
        <v>110</v>
      </c>
      <c r="S2449" t="s">
        <v>111</v>
      </c>
      <c r="T2449" t="s">
        <v>612</v>
      </c>
      <c r="U2449" t="s">
        <v>34</v>
      </c>
      <c r="V2449">
        <v>193.75666666666669</v>
      </c>
    </row>
    <row r="2450" spans="1:22" x14ac:dyDescent="0.3">
      <c r="A2450" t="s">
        <v>3892</v>
      </c>
      <c r="B2450" s="2">
        <v>45971</v>
      </c>
      <c r="C2450" t="s">
        <v>3893</v>
      </c>
      <c r="D2450" t="s">
        <v>49</v>
      </c>
      <c r="E2450" t="s">
        <v>58</v>
      </c>
      <c r="F2450">
        <v>3</v>
      </c>
      <c r="G2450">
        <v>0.15</v>
      </c>
      <c r="H2450">
        <v>38250</v>
      </c>
      <c r="I2450">
        <v>6632.6</v>
      </c>
      <c r="J2450" t="s">
        <v>65</v>
      </c>
      <c r="K2450" t="s">
        <v>40</v>
      </c>
      <c r="L2450">
        <v>12750</v>
      </c>
      <c r="M2450">
        <v>17.340130718954249</v>
      </c>
      <c r="N2450" t="s">
        <v>8</v>
      </c>
      <c r="O2450" t="s">
        <v>781</v>
      </c>
      <c r="P2450" t="s">
        <v>29</v>
      </c>
      <c r="Q2450" t="s">
        <v>131</v>
      </c>
      <c r="R2450" t="s">
        <v>289</v>
      </c>
      <c r="S2450" t="s">
        <v>290</v>
      </c>
      <c r="T2450" t="s">
        <v>1476</v>
      </c>
      <c r="U2450" t="s">
        <v>34</v>
      </c>
      <c r="V2450">
        <v>2210.8666666666668</v>
      </c>
    </row>
    <row r="2451" spans="1:22" x14ac:dyDescent="0.3">
      <c r="A2451" t="s">
        <v>3894</v>
      </c>
      <c r="B2451" s="2">
        <v>46182</v>
      </c>
      <c r="C2451" t="s">
        <v>1599</v>
      </c>
      <c r="D2451" t="s">
        <v>37</v>
      </c>
      <c r="E2451" t="s">
        <v>310</v>
      </c>
      <c r="F2451">
        <v>1</v>
      </c>
      <c r="G2451">
        <v>0.1</v>
      </c>
      <c r="H2451">
        <v>1980</v>
      </c>
      <c r="I2451">
        <v>581.73</v>
      </c>
      <c r="J2451" t="s">
        <v>26</v>
      </c>
      <c r="K2451" t="s">
        <v>27</v>
      </c>
      <c r="L2451">
        <v>1980</v>
      </c>
      <c r="M2451">
        <v>29.380303030303029</v>
      </c>
      <c r="N2451" t="s">
        <v>8</v>
      </c>
      <c r="O2451" t="s">
        <v>259</v>
      </c>
      <c r="P2451" t="s">
        <v>29</v>
      </c>
      <c r="Q2451" t="s">
        <v>42</v>
      </c>
      <c r="R2451" t="s">
        <v>121</v>
      </c>
      <c r="S2451" t="s">
        <v>44</v>
      </c>
      <c r="T2451" t="s">
        <v>1062</v>
      </c>
      <c r="U2451" t="s">
        <v>100</v>
      </c>
      <c r="V2451">
        <v>581.73</v>
      </c>
    </row>
    <row r="2452" spans="1:22" x14ac:dyDescent="0.3">
      <c r="A2452" t="s">
        <v>3895</v>
      </c>
      <c r="B2452" s="2">
        <v>46000</v>
      </c>
      <c r="C2452" t="s">
        <v>2467</v>
      </c>
      <c r="D2452" t="s">
        <v>70</v>
      </c>
      <c r="E2452" t="s">
        <v>129</v>
      </c>
      <c r="F2452">
        <v>2</v>
      </c>
      <c r="G2452">
        <v>0</v>
      </c>
      <c r="H2452">
        <v>110000</v>
      </c>
      <c r="I2452">
        <v>18000</v>
      </c>
      <c r="J2452" t="s">
        <v>39</v>
      </c>
      <c r="K2452" t="s">
        <v>40</v>
      </c>
      <c r="L2452">
        <v>55000</v>
      </c>
      <c r="M2452">
        <v>16.36363636363636</v>
      </c>
      <c r="N2452" t="s">
        <v>8</v>
      </c>
      <c r="O2452" t="s">
        <v>213</v>
      </c>
      <c r="P2452" t="s">
        <v>29</v>
      </c>
      <c r="Q2452" t="s">
        <v>42</v>
      </c>
      <c r="R2452" t="s">
        <v>214</v>
      </c>
      <c r="S2452" t="s">
        <v>111</v>
      </c>
      <c r="T2452" t="s">
        <v>1103</v>
      </c>
      <c r="U2452" t="s">
        <v>46</v>
      </c>
      <c r="V2452">
        <v>9000</v>
      </c>
    </row>
    <row r="2453" spans="1:22" x14ac:dyDescent="0.3">
      <c r="A2453" t="s">
        <v>3896</v>
      </c>
      <c r="B2453" s="2">
        <v>46169</v>
      </c>
      <c r="C2453" t="s">
        <v>144</v>
      </c>
      <c r="D2453" t="s">
        <v>37</v>
      </c>
      <c r="E2453" t="s">
        <v>190</v>
      </c>
      <c r="F2453">
        <v>1</v>
      </c>
      <c r="G2453">
        <v>0.05</v>
      </c>
      <c r="H2453">
        <v>3990</v>
      </c>
      <c r="I2453">
        <v>1093.96</v>
      </c>
      <c r="J2453" t="s">
        <v>65</v>
      </c>
      <c r="K2453" t="s">
        <v>40</v>
      </c>
      <c r="L2453">
        <v>3990</v>
      </c>
      <c r="M2453">
        <v>27.417543859649129</v>
      </c>
      <c r="N2453" t="s">
        <v>8</v>
      </c>
      <c r="O2453" t="s">
        <v>145</v>
      </c>
      <c r="P2453" t="s">
        <v>83</v>
      </c>
      <c r="Q2453" t="s">
        <v>30</v>
      </c>
      <c r="R2453" t="s">
        <v>60</v>
      </c>
      <c r="S2453" t="s">
        <v>61</v>
      </c>
      <c r="T2453" t="s">
        <v>146</v>
      </c>
      <c r="U2453" t="s">
        <v>105</v>
      </c>
      <c r="V2453">
        <v>1093.96</v>
      </c>
    </row>
    <row r="2454" spans="1:22" x14ac:dyDescent="0.3">
      <c r="A2454" t="s">
        <v>3897</v>
      </c>
      <c r="B2454" s="2">
        <v>46154</v>
      </c>
      <c r="C2454" t="s">
        <v>2003</v>
      </c>
      <c r="D2454" t="s">
        <v>49</v>
      </c>
      <c r="E2454" t="s">
        <v>50</v>
      </c>
      <c r="F2454">
        <v>4</v>
      </c>
      <c r="G2454">
        <v>0.05</v>
      </c>
      <c r="H2454">
        <v>49400</v>
      </c>
      <c r="I2454">
        <v>10725.65</v>
      </c>
      <c r="J2454" t="s">
        <v>39</v>
      </c>
      <c r="K2454" t="s">
        <v>40</v>
      </c>
      <c r="L2454">
        <v>12350</v>
      </c>
      <c r="M2454">
        <v>21.711842105263159</v>
      </c>
      <c r="N2454" t="s">
        <v>8</v>
      </c>
      <c r="O2454" t="s">
        <v>1494</v>
      </c>
      <c r="P2454" t="s">
        <v>73</v>
      </c>
      <c r="Q2454" t="s">
        <v>74</v>
      </c>
      <c r="R2454" t="s">
        <v>115</v>
      </c>
      <c r="S2454" t="s">
        <v>115</v>
      </c>
      <c r="T2454" t="s">
        <v>2004</v>
      </c>
      <c r="U2454" t="s">
        <v>46</v>
      </c>
      <c r="V2454">
        <v>2681.4124999999999</v>
      </c>
    </row>
    <row r="2455" spans="1:22" x14ac:dyDescent="0.3">
      <c r="A2455" t="s">
        <v>3898</v>
      </c>
      <c r="B2455" s="2">
        <v>45862</v>
      </c>
      <c r="C2455" t="s">
        <v>2562</v>
      </c>
      <c r="D2455" t="s">
        <v>70</v>
      </c>
      <c r="E2455" t="s">
        <v>108</v>
      </c>
      <c r="F2455">
        <v>1</v>
      </c>
      <c r="G2455">
        <v>0</v>
      </c>
      <c r="H2455">
        <v>4500</v>
      </c>
      <c r="I2455">
        <v>-1052.71</v>
      </c>
      <c r="J2455" t="s">
        <v>26</v>
      </c>
      <c r="K2455" t="s">
        <v>434</v>
      </c>
      <c r="L2455">
        <v>4500</v>
      </c>
      <c r="M2455">
        <v>-23.393555555555562</v>
      </c>
      <c r="N2455" t="s">
        <v>81</v>
      </c>
      <c r="O2455" t="s">
        <v>2563</v>
      </c>
      <c r="P2455" t="s">
        <v>29</v>
      </c>
      <c r="Q2455" t="s">
        <v>30</v>
      </c>
      <c r="R2455" t="s">
        <v>60</v>
      </c>
      <c r="S2455" t="s">
        <v>61</v>
      </c>
      <c r="T2455" t="s">
        <v>1619</v>
      </c>
      <c r="U2455" t="s">
        <v>34</v>
      </c>
      <c r="V2455">
        <v>-1052.71</v>
      </c>
    </row>
    <row r="2456" spans="1:22" x14ac:dyDescent="0.3">
      <c r="A2456" t="s">
        <v>3899</v>
      </c>
      <c r="B2456" s="2">
        <v>46044</v>
      </c>
      <c r="C2456" t="s">
        <v>3640</v>
      </c>
      <c r="D2456" t="s">
        <v>49</v>
      </c>
      <c r="E2456" t="s">
        <v>58</v>
      </c>
      <c r="F2456">
        <v>2</v>
      </c>
      <c r="G2456">
        <v>0</v>
      </c>
      <c r="H2456">
        <v>30000</v>
      </c>
      <c r="I2456">
        <v>7000</v>
      </c>
      <c r="J2456" t="s">
        <v>39</v>
      </c>
      <c r="K2456" t="s">
        <v>40</v>
      </c>
      <c r="L2456">
        <v>15000</v>
      </c>
      <c r="M2456">
        <v>23.333333333333329</v>
      </c>
      <c r="N2456" t="s">
        <v>8</v>
      </c>
      <c r="O2456" t="s">
        <v>692</v>
      </c>
      <c r="P2456" t="s">
        <v>73</v>
      </c>
      <c r="Q2456" t="s">
        <v>42</v>
      </c>
      <c r="R2456" t="s">
        <v>214</v>
      </c>
      <c r="S2456" t="s">
        <v>111</v>
      </c>
      <c r="T2456" t="s">
        <v>62</v>
      </c>
      <c r="U2456" t="s">
        <v>46</v>
      </c>
      <c r="V2456">
        <v>3500</v>
      </c>
    </row>
    <row r="2457" spans="1:22" x14ac:dyDescent="0.3">
      <c r="A2457" t="s">
        <v>3900</v>
      </c>
      <c r="B2457" s="2">
        <v>45858</v>
      </c>
      <c r="C2457" t="s">
        <v>577</v>
      </c>
      <c r="D2457" t="s">
        <v>24</v>
      </c>
      <c r="E2457" t="s">
        <v>87</v>
      </c>
      <c r="F2457">
        <v>3</v>
      </c>
      <c r="G2457">
        <v>0</v>
      </c>
      <c r="H2457">
        <v>1050</v>
      </c>
      <c r="I2457">
        <v>-293.35000000000002</v>
      </c>
      <c r="J2457" t="s">
        <v>26</v>
      </c>
      <c r="K2457" t="s">
        <v>434</v>
      </c>
      <c r="L2457">
        <v>350</v>
      </c>
      <c r="M2457">
        <v>-27.93809523809524</v>
      </c>
      <c r="N2457" t="s">
        <v>81</v>
      </c>
      <c r="O2457" t="s">
        <v>578</v>
      </c>
      <c r="P2457" t="s">
        <v>73</v>
      </c>
      <c r="Q2457" t="s">
        <v>30</v>
      </c>
      <c r="R2457" t="s">
        <v>98</v>
      </c>
      <c r="S2457" t="s">
        <v>54</v>
      </c>
      <c r="T2457" t="s">
        <v>579</v>
      </c>
      <c r="U2457" t="s">
        <v>46</v>
      </c>
      <c r="V2457">
        <v>-97.783333333333346</v>
      </c>
    </row>
    <row r="2458" spans="1:22" x14ac:dyDescent="0.3">
      <c r="A2458" t="s">
        <v>3901</v>
      </c>
      <c r="B2458" s="2">
        <v>46205</v>
      </c>
      <c r="C2458" t="s">
        <v>1799</v>
      </c>
      <c r="D2458" t="s">
        <v>49</v>
      </c>
      <c r="E2458" t="s">
        <v>58</v>
      </c>
      <c r="F2458">
        <v>2</v>
      </c>
      <c r="G2458">
        <v>0.05</v>
      </c>
      <c r="H2458">
        <v>28500</v>
      </c>
      <c r="I2458">
        <v>5844.89</v>
      </c>
      <c r="J2458" t="s">
        <v>65</v>
      </c>
      <c r="K2458" t="s">
        <v>40</v>
      </c>
      <c r="L2458">
        <v>14250</v>
      </c>
      <c r="M2458">
        <v>20.508385964912279</v>
      </c>
      <c r="N2458" t="s">
        <v>8</v>
      </c>
      <c r="O2458" t="s">
        <v>1800</v>
      </c>
      <c r="P2458" t="s">
        <v>73</v>
      </c>
      <c r="Q2458" t="s">
        <v>30</v>
      </c>
      <c r="R2458" t="s">
        <v>98</v>
      </c>
      <c r="S2458" t="s">
        <v>54</v>
      </c>
      <c r="T2458" t="s">
        <v>1801</v>
      </c>
      <c r="U2458" t="s">
        <v>100</v>
      </c>
      <c r="V2458">
        <v>2922.4450000000002</v>
      </c>
    </row>
    <row r="2459" spans="1:22" x14ac:dyDescent="0.3">
      <c r="A2459" t="s">
        <v>3902</v>
      </c>
      <c r="B2459" s="2">
        <v>46140</v>
      </c>
      <c r="C2459" t="s">
        <v>254</v>
      </c>
      <c r="D2459" t="s">
        <v>37</v>
      </c>
      <c r="E2459" t="s">
        <v>170</v>
      </c>
      <c r="F2459">
        <v>2</v>
      </c>
      <c r="G2459">
        <v>0.15</v>
      </c>
      <c r="H2459">
        <v>2380</v>
      </c>
      <c r="I2459">
        <v>671.06</v>
      </c>
      <c r="J2459" t="s">
        <v>39</v>
      </c>
      <c r="K2459" t="s">
        <v>27</v>
      </c>
      <c r="L2459">
        <v>1190</v>
      </c>
      <c r="M2459">
        <v>28.195798319327729</v>
      </c>
      <c r="N2459" t="s">
        <v>8</v>
      </c>
      <c r="O2459" t="s">
        <v>255</v>
      </c>
      <c r="P2459" t="s">
        <v>29</v>
      </c>
      <c r="Q2459" t="s">
        <v>30</v>
      </c>
      <c r="R2459" t="s">
        <v>53</v>
      </c>
      <c r="S2459" t="s">
        <v>54</v>
      </c>
      <c r="T2459" t="s">
        <v>256</v>
      </c>
      <c r="U2459" t="s">
        <v>46</v>
      </c>
      <c r="V2459">
        <v>335.53</v>
      </c>
    </row>
    <row r="2460" spans="1:22" x14ac:dyDescent="0.3">
      <c r="A2460" t="s">
        <v>3903</v>
      </c>
      <c r="B2460" s="2">
        <v>46037</v>
      </c>
      <c r="C2460" t="s">
        <v>1474</v>
      </c>
      <c r="D2460" t="s">
        <v>70</v>
      </c>
      <c r="E2460" t="s">
        <v>71</v>
      </c>
      <c r="F2460">
        <v>4</v>
      </c>
      <c r="G2460">
        <v>0.15</v>
      </c>
      <c r="H2460">
        <v>61200</v>
      </c>
      <c r="I2460">
        <v>5936.15</v>
      </c>
      <c r="J2460" t="s">
        <v>51</v>
      </c>
      <c r="K2460" t="s">
        <v>40</v>
      </c>
      <c r="L2460">
        <v>15300</v>
      </c>
      <c r="M2460">
        <v>9.6995915032679729</v>
      </c>
      <c r="N2460" t="s">
        <v>8</v>
      </c>
      <c r="O2460" t="s">
        <v>1475</v>
      </c>
      <c r="P2460" t="s">
        <v>73</v>
      </c>
      <c r="Q2460" t="s">
        <v>30</v>
      </c>
      <c r="R2460" t="s">
        <v>98</v>
      </c>
      <c r="S2460" t="s">
        <v>54</v>
      </c>
      <c r="T2460" t="s">
        <v>1476</v>
      </c>
      <c r="U2460" t="s">
        <v>100</v>
      </c>
      <c r="V2460">
        <v>1484.0374999999999</v>
      </c>
    </row>
    <row r="2461" spans="1:22" x14ac:dyDescent="0.3">
      <c r="A2461" t="s">
        <v>3904</v>
      </c>
      <c r="B2461" s="2">
        <v>45926</v>
      </c>
      <c r="C2461" t="s">
        <v>1262</v>
      </c>
      <c r="D2461" t="s">
        <v>70</v>
      </c>
      <c r="E2461" t="s">
        <v>165</v>
      </c>
      <c r="F2461">
        <v>10</v>
      </c>
      <c r="G2461">
        <v>0.2</v>
      </c>
      <c r="H2461">
        <v>20000</v>
      </c>
      <c r="I2461">
        <v>3765.72</v>
      </c>
      <c r="J2461" t="s">
        <v>39</v>
      </c>
      <c r="K2461" t="s">
        <v>40</v>
      </c>
      <c r="L2461">
        <v>2000</v>
      </c>
      <c r="M2461">
        <v>18.828600000000002</v>
      </c>
      <c r="N2461" t="s">
        <v>8</v>
      </c>
      <c r="O2461" t="s">
        <v>1263</v>
      </c>
      <c r="P2461" t="s">
        <v>83</v>
      </c>
      <c r="Q2461" t="s">
        <v>30</v>
      </c>
      <c r="R2461" t="s">
        <v>53</v>
      </c>
      <c r="S2461" t="s">
        <v>54</v>
      </c>
      <c r="T2461" t="s">
        <v>1264</v>
      </c>
      <c r="U2461" t="s">
        <v>46</v>
      </c>
      <c r="V2461">
        <v>376.572</v>
      </c>
    </row>
    <row r="2462" spans="1:22" x14ac:dyDescent="0.3">
      <c r="A2462" t="s">
        <v>3905</v>
      </c>
      <c r="B2462" s="2">
        <v>45995</v>
      </c>
      <c r="C2462" t="s">
        <v>3136</v>
      </c>
      <c r="D2462" t="s">
        <v>49</v>
      </c>
      <c r="E2462" t="s">
        <v>50</v>
      </c>
      <c r="F2462">
        <v>15</v>
      </c>
      <c r="G2462">
        <v>0</v>
      </c>
      <c r="H2462">
        <v>195000</v>
      </c>
      <c r="I2462">
        <v>48000</v>
      </c>
      <c r="J2462" t="s">
        <v>26</v>
      </c>
      <c r="K2462" t="s">
        <v>40</v>
      </c>
      <c r="L2462">
        <v>13000</v>
      </c>
      <c r="M2462">
        <v>24.61538461538462</v>
      </c>
      <c r="N2462" t="s">
        <v>8</v>
      </c>
      <c r="O2462" t="s">
        <v>3137</v>
      </c>
      <c r="P2462" t="s">
        <v>29</v>
      </c>
      <c r="Q2462" t="s">
        <v>42</v>
      </c>
      <c r="R2462" t="s">
        <v>110</v>
      </c>
      <c r="S2462" t="s">
        <v>111</v>
      </c>
      <c r="T2462" t="s">
        <v>3138</v>
      </c>
      <c r="U2462" t="s">
        <v>34</v>
      </c>
      <c r="V2462">
        <v>3200</v>
      </c>
    </row>
    <row r="2463" spans="1:22" x14ac:dyDescent="0.3">
      <c r="A2463" t="s">
        <v>3906</v>
      </c>
      <c r="B2463" s="2">
        <v>45987</v>
      </c>
      <c r="C2463" t="s">
        <v>413</v>
      </c>
      <c r="D2463" t="s">
        <v>70</v>
      </c>
      <c r="E2463" t="s">
        <v>108</v>
      </c>
      <c r="F2463">
        <v>1</v>
      </c>
      <c r="G2463">
        <v>0.05</v>
      </c>
      <c r="H2463">
        <v>4275</v>
      </c>
      <c r="I2463">
        <v>1395.52</v>
      </c>
      <c r="J2463" t="s">
        <v>65</v>
      </c>
      <c r="K2463" t="s">
        <v>40</v>
      </c>
      <c r="L2463">
        <v>4275</v>
      </c>
      <c r="M2463">
        <v>32.643742690058481</v>
      </c>
      <c r="N2463" t="s">
        <v>8</v>
      </c>
      <c r="O2463" t="s">
        <v>414</v>
      </c>
      <c r="P2463" t="s">
        <v>73</v>
      </c>
      <c r="Q2463" t="s">
        <v>74</v>
      </c>
      <c r="R2463" t="s">
        <v>115</v>
      </c>
      <c r="S2463" t="s">
        <v>115</v>
      </c>
      <c r="T2463" t="s">
        <v>415</v>
      </c>
      <c r="U2463" t="s">
        <v>34</v>
      </c>
      <c r="V2463">
        <v>1395.52</v>
      </c>
    </row>
    <row r="2464" spans="1:22" x14ac:dyDescent="0.3">
      <c r="A2464" t="s">
        <v>3907</v>
      </c>
      <c r="B2464" s="2">
        <v>46082</v>
      </c>
      <c r="C2464" t="s">
        <v>152</v>
      </c>
      <c r="D2464" t="s">
        <v>37</v>
      </c>
      <c r="E2464" t="s">
        <v>38</v>
      </c>
      <c r="F2464">
        <v>2</v>
      </c>
      <c r="G2464">
        <v>0.1</v>
      </c>
      <c r="H2464">
        <v>3240</v>
      </c>
      <c r="I2464">
        <v>1097.47</v>
      </c>
      <c r="J2464" t="s">
        <v>65</v>
      </c>
      <c r="K2464" t="s">
        <v>40</v>
      </c>
      <c r="L2464">
        <v>1620</v>
      </c>
      <c r="M2464">
        <v>33.872530864197529</v>
      </c>
      <c r="N2464" t="s">
        <v>8</v>
      </c>
      <c r="O2464" t="s">
        <v>153</v>
      </c>
      <c r="P2464" t="s">
        <v>83</v>
      </c>
      <c r="Q2464" t="s">
        <v>30</v>
      </c>
      <c r="R2464" t="s">
        <v>53</v>
      </c>
      <c r="S2464" t="s">
        <v>54</v>
      </c>
      <c r="T2464" t="s">
        <v>154</v>
      </c>
      <c r="U2464" t="s">
        <v>100</v>
      </c>
      <c r="V2464">
        <v>548.73500000000001</v>
      </c>
    </row>
    <row r="2465" spans="1:22" x14ac:dyDescent="0.3">
      <c r="A2465" t="s">
        <v>3908</v>
      </c>
      <c r="B2465" s="2">
        <v>45918</v>
      </c>
      <c r="C2465" t="s">
        <v>1791</v>
      </c>
      <c r="D2465" t="s">
        <v>24</v>
      </c>
      <c r="E2465" t="s">
        <v>87</v>
      </c>
      <c r="F2465">
        <v>5</v>
      </c>
      <c r="G2465">
        <v>0.05</v>
      </c>
      <c r="H2465">
        <v>1662.5</v>
      </c>
      <c r="I2465">
        <v>540.36</v>
      </c>
      <c r="J2465" t="s">
        <v>65</v>
      </c>
      <c r="K2465" t="s">
        <v>40</v>
      </c>
      <c r="L2465">
        <v>332.5</v>
      </c>
      <c r="M2465">
        <v>32.502857142857152</v>
      </c>
      <c r="N2465" t="s">
        <v>8</v>
      </c>
      <c r="O2465" t="s">
        <v>851</v>
      </c>
      <c r="P2465" t="s">
        <v>83</v>
      </c>
      <c r="Q2465" t="s">
        <v>30</v>
      </c>
      <c r="R2465" t="s">
        <v>60</v>
      </c>
      <c r="S2465" t="s">
        <v>61</v>
      </c>
      <c r="T2465" t="s">
        <v>1792</v>
      </c>
      <c r="U2465" t="s">
        <v>105</v>
      </c>
      <c r="V2465">
        <v>108.072</v>
      </c>
    </row>
    <row r="2466" spans="1:22" x14ac:dyDescent="0.3">
      <c r="A2466" t="s">
        <v>3909</v>
      </c>
      <c r="B2466" s="2">
        <v>46241</v>
      </c>
      <c r="C2466" t="s">
        <v>1334</v>
      </c>
      <c r="D2466" t="s">
        <v>70</v>
      </c>
      <c r="E2466" t="s">
        <v>71</v>
      </c>
      <c r="F2466">
        <v>3</v>
      </c>
      <c r="G2466">
        <v>0.2</v>
      </c>
      <c r="H2466">
        <v>43200</v>
      </c>
      <c r="I2466">
        <v>4359.63</v>
      </c>
      <c r="J2466" t="s">
        <v>26</v>
      </c>
      <c r="K2466" t="s">
        <v>40</v>
      </c>
      <c r="L2466">
        <v>14400</v>
      </c>
      <c r="M2466">
        <v>10.091736111111111</v>
      </c>
      <c r="N2466" t="s">
        <v>8</v>
      </c>
      <c r="O2466" t="s">
        <v>1335</v>
      </c>
      <c r="P2466" t="s">
        <v>29</v>
      </c>
      <c r="Q2466" t="s">
        <v>131</v>
      </c>
      <c r="R2466" t="s">
        <v>289</v>
      </c>
      <c r="S2466" t="s">
        <v>290</v>
      </c>
      <c r="T2466" t="s">
        <v>1336</v>
      </c>
      <c r="U2466" t="s">
        <v>46</v>
      </c>
      <c r="V2466">
        <v>1453.21</v>
      </c>
    </row>
    <row r="2467" spans="1:22" x14ac:dyDescent="0.3">
      <c r="A2467" t="s">
        <v>3910</v>
      </c>
      <c r="B2467" s="2">
        <v>46259</v>
      </c>
      <c r="C2467" t="s">
        <v>3593</v>
      </c>
      <c r="D2467" t="s">
        <v>49</v>
      </c>
      <c r="E2467" t="s">
        <v>119</v>
      </c>
      <c r="F2467">
        <v>3</v>
      </c>
      <c r="G2467">
        <v>0</v>
      </c>
      <c r="H2467">
        <v>27000</v>
      </c>
      <c r="I2467">
        <v>6900</v>
      </c>
      <c r="J2467" t="s">
        <v>26</v>
      </c>
      <c r="K2467" t="s">
        <v>40</v>
      </c>
      <c r="L2467">
        <v>9000</v>
      </c>
      <c r="M2467">
        <v>25.55555555555555</v>
      </c>
      <c r="N2467" t="s">
        <v>8</v>
      </c>
      <c r="O2467" t="s">
        <v>439</v>
      </c>
      <c r="P2467" t="s">
        <v>29</v>
      </c>
      <c r="Q2467" t="s">
        <v>42</v>
      </c>
      <c r="R2467" t="s">
        <v>121</v>
      </c>
      <c r="S2467" t="s">
        <v>44</v>
      </c>
      <c r="T2467" t="s">
        <v>1801</v>
      </c>
      <c r="U2467" t="s">
        <v>46</v>
      </c>
      <c r="V2467">
        <v>2300</v>
      </c>
    </row>
    <row r="2468" spans="1:22" x14ac:dyDescent="0.3">
      <c r="A2468" t="s">
        <v>3911</v>
      </c>
      <c r="B2468" s="2">
        <v>46116</v>
      </c>
      <c r="C2468" t="s">
        <v>1637</v>
      </c>
      <c r="D2468" t="s">
        <v>37</v>
      </c>
      <c r="E2468" t="s">
        <v>310</v>
      </c>
      <c r="F2468">
        <v>1</v>
      </c>
      <c r="G2468">
        <v>0.05</v>
      </c>
      <c r="H2468">
        <v>2090</v>
      </c>
      <c r="I2468">
        <v>694.46</v>
      </c>
      <c r="J2468" t="s">
        <v>51</v>
      </c>
      <c r="K2468" t="s">
        <v>40</v>
      </c>
      <c r="L2468">
        <v>2090</v>
      </c>
      <c r="M2468">
        <v>33.22775119617225</v>
      </c>
      <c r="N2468" t="s">
        <v>8</v>
      </c>
      <c r="O2468" t="s">
        <v>697</v>
      </c>
      <c r="P2468" t="s">
        <v>29</v>
      </c>
      <c r="Q2468" t="s">
        <v>30</v>
      </c>
      <c r="R2468" t="s">
        <v>31</v>
      </c>
      <c r="S2468" t="s">
        <v>32</v>
      </c>
      <c r="T2468" t="s">
        <v>1638</v>
      </c>
      <c r="U2468" t="s">
        <v>46</v>
      </c>
      <c r="V2468">
        <v>694.46</v>
      </c>
    </row>
    <row r="2469" spans="1:22" x14ac:dyDescent="0.3">
      <c r="A2469" t="s">
        <v>3912</v>
      </c>
      <c r="B2469" s="2">
        <v>46143</v>
      </c>
      <c r="C2469" t="s">
        <v>818</v>
      </c>
      <c r="D2469" t="s">
        <v>37</v>
      </c>
      <c r="E2469" t="s">
        <v>38</v>
      </c>
      <c r="F2469">
        <v>5</v>
      </c>
      <c r="G2469">
        <v>0.15</v>
      </c>
      <c r="H2469">
        <v>7650</v>
      </c>
      <c r="I2469">
        <v>2388.64</v>
      </c>
      <c r="J2469" t="s">
        <v>51</v>
      </c>
      <c r="K2469" t="s">
        <v>40</v>
      </c>
      <c r="L2469">
        <v>1530</v>
      </c>
      <c r="M2469">
        <v>31.224052287581699</v>
      </c>
      <c r="N2469" t="s">
        <v>8</v>
      </c>
      <c r="O2469" t="s">
        <v>209</v>
      </c>
      <c r="P2469" t="s">
        <v>29</v>
      </c>
      <c r="Q2469" t="s">
        <v>42</v>
      </c>
      <c r="R2469" t="s">
        <v>110</v>
      </c>
      <c r="S2469" t="s">
        <v>111</v>
      </c>
      <c r="T2469" t="s">
        <v>162</v>
      </c>
      <c r="U2469" t="s">
        <v>105</v>
      </c>
      <c r="V2469">
        <v>477.72800000000001</v>
      </c>
    </row>
    <row r="2470" spans="1:22" x14ac:dyDescent="0.3">
      <c r="A2470" t="s">
        <v>3913</v>
      </c>
      <c r="B2470" s="2">
        <v>46088</v>
      </c>
      <c r="C2470" t="s">
        <v>625</v>
      </c>
      <c r="D2470" t="s">
        <v>37</v>
      </c>
      <c r="E2470" t="s">
        <v>38</v>
      </c>
      <c r="F2470">
        <v>3</v>
      </c>
      <c r="G2470">
        <v>0.05</v>
      </c>
      <c r="H2470">
        <v>5130</v>
      </c>
      <c r="I2470">
        <v>1739.4</v>
      </c>
      <c r="J2470" t="s">
        <v>51</v>
      </c>
      <c r="K2470" t="s">
        <v>40</v>
      </c>
      <c r="L2470">
        <v>1710</v>
      </c>
      <c r="M2470">
        <v>33.906432748538009</v>
      </c>
      <c r="N2470" t="s">
        <v>8</v>
      </c>
      <c r="O2470" t="s">
        <v>626</v>
      </c>
      <c r="P2470" t="s">
        <v>29</v>
      </c>
      <c r="Q2470" t="s">
        <v>30</v>
      </c>
      <c r="R2470" t="s">
        <v>53</v>
      </c>
      <c r="S2470" t="s">
        <v>54</v>
      </c>
      <c r="T2470" t="s">
        <v>627</v>
      </c>
      <c r="U2470" t="s">
        <v>105</v>
      </c>
      <c r="V2470">
        <v>579.80000000000007</v>
      </c>
    </row>
    <row r="2471" spans="1:22" x14ac:dyDescent="0.3">
      <c r="A2471" t="s">
        <v>3914</v>
      </c>
      <c r="B2471" s="2">
        <v>45995</v>
      </c>
      <c r="C2471" t="s">
        <v>2562</v>
      </c>
      <c r="D2471" t="s">
        <v>24</v>
      </c>
      <c r="E2471" t="s">
        <v>242</v>
      </c>
      <c r="F2471">
        <v>5</v>
      </c>
      <c r="G2471">
        <v>0.05</v>
      </c>
      <c r="H2471">
        <v>2137.5</v>
      </c>
      <c r="I2471">
        <v>477.15</v>
      </c>
      <c r="J2471" t="s">
        <v>65</v>
      </c>
      <c r="K2471" t="s">
        <v>40</v>
      </c>
      <c r="L2471">
        <v>427.5</v>
      </c>
      <c r="M2471">
        <v>22.322807017543859</v>
      </c>
      <c r="N2471" t="s">
        <v>8</v>
      </c>
      <c r="O2471" t="s">
        <v>2563</v>
      </c>
      <c r="P2471" t="s">
        <v>29</v>
      </c>
      <c r="Q2471" t="s">
        <v>30</v>
      </c>
      <c r="R2471" t="s">
        <v>60</v>
      </c>
      <c r="S2471" t="s">
        <v>61</v>
      </c>
      <c r="T2471" t="s">
        <v>1619</v>
      </c>
      <c r="U2471" t="s">
        <v>34</v>
      </c>
      <c r="V2471">
        <v>95.429999999999993</v>
      </c>
    </row>
    <row r="2472" spans="1:22" x14ac:dyDescent="0.3">
      <c r="A2472" t="s">
        <v>3915</v>
      </c>
      <c r="B2472" s="2">
        <v>45894</v>
      </c>
      <c r="C2472" t="s">
        <v>1246</v>
      </c>
      <c r="D2472" t="s">
        <v>70</v>
      </c>
      <c r="E2472" t="s">
        <v>108</v>
      </c>
      <c r="F2472">
        <v>4</v>
      </c>
      <c r="G2472">
        <v>0.1</v>
      </c>
      <c r="H2472">
        <v>16200</v>
      </c>
      <c r="I2472">
        <v>4917.78</v>
      </c>
      <c r="J2472" t="s">
        <v>65</v>
      </c>
      <c r="K2472" t="s">
        <v>40</v>
      </c>
      <c r="L2472">
        <v>4050</v>
      </c>
      <c r="M2472">
        <v>30.356666666666669</v>
      </c>
      <c r="N2472" t="s">
        <v>8</v>
      </c>
      <c r="O2472" t="s">
        <v>917</v>
      </c>
      <c r="P2472" t="s">
        <v>29</v>
      </c>
      <c r="Q2472" t="s">
        <v>131</v>
      </c>
      <c r="R2472" t="s">
        <v>289</v>
      </c>
      <c r="S2472" t="s">
        <v>290</v>
      </c>
      <c r="T2472" t="s">
        <v>1247</v>
      </c>
      <c r="U2472" t="s">
        <v>46</v>
      </c>
      <c r="V2472">
        <v>1229.4449999999999</v>
      </c>
    </row>
    <row r="2473" spans="1:22" x14ac:dyDescent="0.3">
      <c r="A2473" t="s">
        <v>3916</v>
      </c>
      <c r="B2473" s="2">
        <v>46085</v>
      </c>
      <c r="C2473" t="s">
        <v>1352</v>
      </c>
      <c r="D2473" t="s">
        <v>49</v>
      </c>
      <c r="E2473" t="s">
        <v>79</v>
      </c>
      <c r="F2473">
        <v>2</v>
      </c>
      <c r="G2473">
        <v>0.15</v>
      </c>
      <c r="H2473">
        <v>18700</v>
      </c>
      <c r="I2473">
        <v>3352</v>
      </c>
      <c r="J2473" t="s">
        <v>65</v>
      </c>
      <c r="K2473" t="s">
        <v>40</v>
      </c>
      <c r="L2473">
        <v>9350</v>
      </c>
      <c r="M2473">
        <v>17.925133689839569</v>
      </c>
      <c r="N2473" t="s">
        <v>8</v>
      </c>
      <c r="O2473" t="s">
        <v>1353</v>
      </c>
      <c r="P2473" t="s">
        <v>29</v>
      </c>
      <c r="Q2473" t="s">
        <v>42</v>
      </c>
      <c r="R2473" t="s">
        <v>214</v>
      </c>
      <c r="S2473" t="s">
        <v>111</v>
      </c>
      <c r="T2473" t="s">
        <v>1354</v>
      </c>
      <c r="U2473" t="s">
        <v>34</v>
      </c>
      <c r="V2473">
        <v>1676</v>
      </c>
    </row>
    <row r="2474" spans="1:22" x14ac:dyDescent="0.3">
      <c r="A2474" t="s">
        <v>3917</v>
      </c>
      <c r="B2474" s="2">
        <v>46169</v>
      </c>
      <c r="C2474" t="s">
        <v>863</v>
      </c>
      <c r="D2474" t="s">
        <v>49</v>
      </c>
      <c r="E2474" t="s">
        <v>58</v>
      </c>
      <c r="F2474">
        <v>10</v>
      </c>
      <c r="G2474">
        <v>0.15</v>
      </c>
      <c r="H2474">
        <v>127500</v>
      </c>
      <c r="I2474">
        <v>24505.69</v>
      </c>
      <c r="J2474" t="s">
        <v>26</v>
      </c>
      <c r="K2474" t="s">
        <v>40</v>
      </c>
      <c r="L2474">
        <v>12750</v>
      </c>
      <c r="M2474">
        <v>19.220149019607842</v>
      </c>
      <c r="N2474" t="s">
        <v>8</v>
      </c>
      <c r="O2474" t="s">
        <v>187</v>
      </c>
      <c r="P2474" t="s">
        <v>73</v>
      </c>
      <c r="Q2474" t="s">
        <v>30</v>
      </c>
      <c r="R2474" t="s">
        <v>53</v>
      </c>
      <c r="S2474" t="s">
        <v>54</v>
      </c>
      <c r="T2474" t="s">
        <v>864</v>
      </c>
      <c r="U2474" t="s">
        <v>34</v>
      </c>
      <c r="V2474">
        <v>2450.569</v>
      </c>
    </row>
    <row r="2475" spans="1:22" x14ac:dyDescent="0.3">
      <c r="A2475" t="s">
        <v>3918</v>
      </c>
      <c r="B2475" s="2">
        <v>46080</v>
      </c>
      <c r="C2475" t="s">
        <v>2530</v>
      </c>
      <c r="D2475" t="s">
        <v>70</v>
      </c>
      <c r="E2475" t="s">
        <v>165</v>
      </c>
      <c r="F2475">
        <v>1</v>
      </c>
      <c r="G2475">
        <v>0</v>
      </c>
      <c r="H2475">
        <v>2500</v>
      </c>
      <c r="I2475">
        <v>159.38</v>
      </c>
      <c r="J2475" t="s">
        <v>26</v>
      </c>
      <c r="K2475" t="s">
        <v>434</v>
      </c>
      <c r="L2475">
        <v>2500</v>
      </c>
      <c r="M2475">
        <v>6.3752000000000004</v>
      </c>
      <c r="N2475" t="s">
        <v>8</v>
      </c>
      <c r="O2475" t="s">
        <v>2531</v>
      </c>
      <c r="P2475" t="s">
        <v>29</v>
      </c>
      <c r="Q2475" t="s">
        <v>131</v>
      </c>
      <c r="R2475" t="s">
        <v>132</v>
      </c>
      <c r="S2475" t="s">
        <v>133</v>
      </c>
      <c r="T2475" t="s">
        <v>1927</v>
      </c>
      <c r="U2475" t="s">
        <v>105</v>
      </c>
      <c r="V2475">
        <v>159.38</v>
      </c>
    </row>
    <row r="2476" spans="1:22" x14ac:dyDescent="0.3">
      <c r="A2476" t="s">
        <v>3919</v>
      </c>
      <c r="B2476" s="2">
        <v>46231</v>
      </c>
      <c r="C2476" t="s">
        <v>160</v>
      </c>
      <c r="D2476" t="s">
        <v>37</v>
      </c>
      <c r="E2476" t="s">
        <v>310</v>
      </c>
      <c r="F2476">
        <v>4</v>
      </c>
      <c r="G2476">
        <v>0.1</v>
      </c>
      <c r="H2476">
        <v>7920</v>
      </c>
      <c r="I2476">
        <v>-3069.07</v>
      </c>
      <c r="J2476" t="s">
        <v>65</v>
      </c>
      <c r="K2476" t="s">
        <v>434</v>
      </c>
      <c r="L2476">
        <v>1980</v>
      </c>
      <c r="M2476">
        <v>-38.750883838383842</v>
      </c>
      <c r="N2476" t="s">
        <v>81</v>
      </c>
      <c r="O2476" t="s">
        <v>161</v>
      </c>
      <c r="P2476" t="s">
        <v>29</v>
      </c>
      <c r="Q2476" t="s">
        <v>30</v>
      </c>
      <c r="R2476" t="s">
        <v>98</v>
      </c>
      <c r="S2476" t="s">
        <v>54</v>
      </c>
      <c r="T2476" t="s">
        <v>162</v>
      </c>
      <c r="U2476" t="s">
        <v>34</v>
      </c>
      <c r="V2476">
        <v>-767.26750000000004</v>
      </c>
    </row>
    <row r="2477" spans="1:22" x14ac:dyDescent="0.3">
      <c r="A2477" t="s">
        <v>3920</v>
      </c>
      <c r="B2477" s="2">
        <v>46039</v>
      </c>
      <c r="C2477" t="s">
        <v>481</v>
      </c>
      <c r="D2477" t="s">
        <v>24</v>
      </c>
      <c r="E2477" t="s">
        <v>25</v>
      </c>
      <c r="F2477">
        <v>3</v>
      </c>
      <c r="G2477">
        <v>0</v>
      </c>
      <c r="H2477">
        <v>42000</v>
      </c>
      <c r="I2477">
        <v>8400</v>
      </c>
      <c r="J2477" t="s">
        <v>39</v>
      </c>
      <c r="K2477" t="s">
        <v>40</v>
      </c>
      <c r="L2477">
        <v>14000</v>
      </c>
      <c r="M2477">
        <v>20</v>
      </c>
      <c r="N2477" t="s">
        <v>8</v>
      </c>
      <c r="O2477" t="s">
        <v>482</v>
      </c>
      <c r="P2477" t="s">
        <v>83</v>
      </c>
      <c r="Q2477" t="s">
        <v>30</v>
      </c>
      <c r="R2477" t="s">
        <v>31</v>
      </c>
      <c r="S2477" t="s">
        <v>32</v>
      </c>
      <c r="T2477" t="s">
        <v>483</v>
      </c>
      <c r="U2477" t="s">
        <v>46</v>
      </c>
      <c r="V2477">
        <v>2800</v>
      </c>
    </row>
    <row r="2478" spans="1:22" x14ac:dyDescent="0.3">
      <c r="A2478" t="s">
        <v>3921</v>
      </c>
      <c r="B2478" s="2">
        <v>46205</v>
      </c>
      <c r="C2478" t="s">
        <v>753</v>
      </c>
      <c r="D2478" t="s">
        <v>70</v>
      </c>
      <c r="E2478" t="s">
        <v>71</v>
      </c>
      <c r="F2478">
        <v>6</v>
      </c>
      <c r="G2478">
        <v>0.2</v>
      </c>
      <c r="H2478">
        <v>86400</v>
      </c>
      <c r="I2478">
        <v>-51842.21</v>
      </c>
      <c r="J2478" t="s">
        <v>26</v>
      </c>
      <c r="K2478" t="s">
        <v>434</v>
      </c>
      <c r="L2478">
        <v>14400</v>
      </c>
      <c r="M2478">
        <v>-60.002557870370367</v>
      </c>
      <c r="N2478" t="s">
        <v>81</v>
      </c>
      <c r="O2478" t="s">
        <v>754</v>
      </c>
      <c r="P2478" t="s">
        <v>83</v>
      </c>
      <c r="Q2478" t="s">
        <v>74</v>
      </c>
      <c r="R2478" t="s">
        <v>237</v>
      </c>
      <c r="S2478" t="s">
        <v>238</v>
      </c>
      <c r="T2478" t="s">
        <v>755</v>
      </c>
      <c r="U2478" t="s">
        <v>46</v>
      </c>
      <c r="V2478">
        <v>-8640.3683333333338</v>
      </c>
    </row>
    <row r="2479" spans="1:22" x14ac:dyDescent="0.3">
      <c r="A2479" t="s">
        <v>3922</v>
      </c>
      <c r="B2479" s="2">
        <v>46062</v>
      </c>
      <c r="C2479" t="s">
        <v>1444</v>
      </c>
      <c r="D2479" t="s">
        <v>37</v>
      </c>
      <c r="E2479" t="s">
        <v>38</v>
      </c>
      <c r="F2479">
        <v>3</v>
      </c>
      <c r="G2479">
        <v>0.3</v>
      </c>
      <c r="H2479">
        <v>3780</v>
      </c>
      <c r="I2479">
        <v>742.03</v>
      </c>
      <c r="J2479" t="s">
        <v>65</v>
      </c>
      <c r="K2479" t="s">
        <v>40</v>
      </c>
      <c r="L2479">
        <v>1260</v>
      </c>
      <c r="M2479">
        <v>19.63042328042328</v>
      </c>
      <c r="N2479" t="s">
        <v>8</v>
      </c>
      <c r="O2479" t="s">
        <v>839</v>
      </c>
      <c r="P2479" t="s">
        <v>29</v>
      </c>
      <c r="Q2479" t="s">
        <v>42</v>
      </c>
      <c r="R2479" t="s">
        <v>121</v>
      </c>
      <c r="S2479" t="s">
        <v>44</v>
      </c>
      <c r="T2479" t="s">
        <v>1445</v>
      </c>
      <c r="U2479" t="s">
        <v>34</v>
      </c>
      <c r="V2479">
        <v>247.34333333333331</v>
      </c>
    </row>
    <row r="2480" spans="1:22" x14ac:dyDescent="0.3">
      <c r="A2480" t="s">
        <v>3923</v>
      </c>
      <c r="B2480" s="2">
        <v>46032</v>
      </c>
      <c r="C2480" t="s">
        <v>1017</v>
      </c>
      <c r="D2480" t="s">
        <v>49</v>
      </c>
      <c r="E2480" t="s">
        <v>119</v>
      </c>
      <c r="F2480">
        <v>3</v>
      </c>
      <c r="G2480">
        <v>0.05</v>
      </c>
      <c r="H2480">
        <v>25650</v>
      </c>
      <c r="I2480">
        <v>6064.47</v>
      </c>
      <c r="J2480" t="s">
        <v>65</v>
      </c>
      <c r="K2480" t="s">
        <v>40</v>
      </c>
      <c r="L2480">
        <v>8550</v>
      </c>
      <c r="M2480">
        <v>23.643157894736849</v>
      </c>
      <c r="N2480" t="s">
        <v>8</v>
      </c>
      <c r="O2480" t="s">
        <v>1018</v>
      </c>
      <c r="P2480" t="s">
        <v>83</v>
      </c>
      <c r="Q2480" t="s">
        <v>30</v>
      </c>
      <c r="R2480" t="s">
        <v>98</v>
      </c>
      <c r="S2480" t="s">
        <v>54</v>
      </c>
      <c r="T2480" t="s">
        <v>1019</v>
      </c>
      <c r="U2480" t="s">
        <v>46</v>
      </c>
      <c r="V2480">
        <v>2021.49</v>
      </c>
    </row>
    <row r="2481" spans="1:22" x14ac:dyDescent="0.3">
      <c r="A2481" t="s">
        <v>3924</v>
      </c>
      <c r="B2481" s="2">
        <v>46160</v>
      </c>
      <c r="C2481" t="s">
        <v>3861</v>
      </c>
      <c r="D2481" t="s">
        <v>70</v>
      </c>
      <c r="E2481" t="s">
        <v>108</v>
      </c>
      <c r="F2481">
        <v>2</v>
      </c>
      <c r="G2481">
        <v>0.1</v>
      </c>
      <c r="H2481">
        <v>8100</v>
      </c>
      <c r="I2481">
        <v>2474.6</v>
      </c>
      <c r="J2481" t="s">
        <v>26</v>
      </c>
      <c r="K2481" t="s">
        <v>40</v>
      </c>
      <c r="L2481">
        <v>4050</v>
      </c>
      <c r="M2481">
        <v>30.550617283950611</v>
      </c>
      <c r="N2481" t="s">
        <v>8</v>
      </c>
      <c r="O2481" t="s">
        <v>276</v>
      </c>
      <c r="P2481" t="s">
        <v>83</v>
      </c>
      <c r="Q2481" t="s">
        <v>131</v>
      </c>
      <c r="R2481" t="s">
        <v>132</v>
      </c>
      <c r="S2481" t="s">
        <v>133</v>
      </c>
      <c r="T2481" t="s">
        <v>3862</v>
      </c>
      <c r="U2481" t="s">
        <v>34</v>
      </c>
      <c r="V2481">
        <v>1237.3</v>
      </c>
    </row>
    <row r="2482" spans="1:22" x14ac:dyDescent="0.3">
      <c r="A2482" t="s">
        <v>3925</v>
      </c>
      <c r="B2482" s="2">
        <v>46144</v>
      </c>
      <c r="C2482" t="s">
        <v>1460</v>
      </c>
      <c r="D2482" t="s">
        <v>70</v>
      </c>
      <c r="E2482" t="s">
        <v>165</v>
      </c>
      <c r="F2482">
        <v>2</v>
      </c>
      <c r="G2482">
        <v>0</v>
      </c>
      <c r="H2482">
        <v>5000</v>
      </c>
      <c r="I2482">
        <v>1600</v>
      </c>
      <c r="J2482" t="s">
        <v>26</v>
      </c>
      <c r="K2482" t="s">
        <v>40</v>
      </c>
      <c r="L2482">
        <v>2500</v>
      </c>
      <c r="M2482">
        <v>32</v>
      </c>
      <c r="N2482" t="s">
        <v>8</v>
      </c>
      <c r="O2482" t="s">
        <v>1461</v>
      </c>
      <c r="P2482" t="s">
        <v>29</v>
      </c>
      <c r="Q2482" t="s">
        <v>42</v>
      </c>
      <c r="R2482" t="s">
        <v>110</v>
      </c>
      <c r="S2482" t="s">
        <v>111</v>
      </c>
      <c r="T2482" t="s">
        <v>1462</v>
      </c>
      <c r="U2482" t="s">
        <v>105</v>
      </c>
      <c r="V2482">
        <v>800</v>
      </c>
    </row>
    <row r="2483" spans="1:22" x14ac:dyDescent="0.3">
      <c r="A2483" t="s">
        <v>3926</v>
      </c>
      <c r="B2483" s="2">
        <v>45853</v>
      </c>
      <c r="C2483" t="s">
        <v>64</v>
      </c>
      <c r="D2483" t="s">
        <v>24</v>
      </c>
      <c r="E2483" t="s">
        <v>92</v>
      </c>
      <c r="F2483">
        <v>2</v>
      </c>
      <c r="G2483">
        <v>0.15</v>
      </c>
      <c r="H2483">
        <v>1530</v>
      </c>
      <c r="I2483">
        <v>-788.04</v>
      </c>
      <c r="J2483" t="s">
        <v>39</v>
      </c>
      <c r="K2483" t="s">
        <v>80</v>
      </c>
      <c r="L2483">
        <v>765</v>
      </c>
      <c r="M2483">
        <v>-51.505882352941178</v>
      </c>
      <c r="N2483" t="s">
        <v>81</v>
      </c>
      <c r="O2483" t="s">
        <v>66</v>
      </c>
      <c r="P2483" t="s">
        <v>29</v>
      </c>
      <c r="Q2483" t="s">
        <v>42</v>
      </c>
      <c r="R2483" t="s">
        <v>43</v>
      </c>
      <c r="S2483" t="s">
        <v>44</v>
      </c>
      <c r="T2483" t="s">
        <v>67</v>
      </c>
      <c r="U2483" t="s">
        <v>34</v>
      </c>
      <c r="V2483">
        <v>-394.02</v>
      </c>
    </row>
    <row r="2484" spans="1:22" x14ac:dyDescent="0.3">
      <c r="A2484" t="s">
        <v>3927</v>
      </c>
      <c r="B2484" s="2">
        <v>46196</v>
      </c>
      <c r="C2484" t="s">
        <v>268</v>
      </c>
      <c r="D2484" t="s">
        <v>49</v>
      </c>
      <c r="E2484" t="s">
        <v>58</v>
      </c>
      <c r="F2484">
        <v>1</v>
      </c>
      <c r="G2484">
        <v>0.15</v>
      </c>
      <c r="H2484">
        <v>12750</v>
      </c>
      <c r="I2484">
        <v>2132.79</v>
      </c>
      <c r="J2484" t="s">
        <v>39</v>
      </c>
      <c r="K2484" t="s">
        <v>40</v>
      </c>
      <c r="L2484">
        <v>12750</v>
      </c>
      <c r="M2484">
        <v>16.72776470588235</v>
      </c>
      <c r="N2484" t="s">
        <v>8</v>
      </c>
      <c r="O2484" t="s">
        <v>269</v>
      </c>
      <c r="P2484" t="s">
        <v>29</v>
      </c>
      <c r="Q2484" t="s">
        <v>30</v>
      </c>
      <c r="R2484" t="s">
        <v>31</v>
      </c>
      <c r="S2484" t="s">
        <v>32</v>
      </c>
      <c r="T2484" t="s">
        <v>270</v>
      </c>
      <c r="U2484" t="s">
        <v>34</v>
      </c>
      <c r="V2484">
        <v>2132.79</v>
      </c>
    </row>
    <row r="2485" spans="1:22" x14ac:dyDescent="0.3">
      <c r="A2485" t="s">
        <v>3928</v>
      </c>
      <c r="B2485" s="2">
        <v>45844</v>
      </c>
      <c r="C2485" t="s">
        <v>1041</v>
      </c>
      <c r="D2485" t="s">
        <v>37</v>
      </c>
      <c r="E2485" t="s">
        <v>310</v>
      </c>
      <c r="F2485">
        <v>1</v>
      </c>
      <c r="G2485">
        <v>0.1</v>
      </c>
      <c r="H2485">
        <v>1980</v>
      </c>
      <c r="I2485">
        <v>630.15</v>
      </c>
      <c r="J2485" t="s">
        <v>26</v>
      </c>
      <c r="K2485" t="s">
        <v>40</v>
      </c>
      <c r="L2485">
        <v>1980</v>
      </c>
      <c r="M2485">
        <v>31.825757575757571</v>
      </c>
      <c r="N2485" t="s">
        <v>8</v>
      </c>
      <c r="O2485" t="s">
        <v>153</v>
      </c>
      <c r="P2485" t="s">
        <v>83</v>
      </c>
      <c r="Q2485" t="s">
        <v>74</v>
      </c>
      <c r="R2485" t="s">
        <v>237</v>
      </c>
      <c r="S2485" t="s">
        <v>238</v>
      </c>
      <c r="T2485" t="s">
        <v>1042</v>
      </c>
      <c r="U2485" t="s">
        <v>46</v>
      </c>
      <c r="V2485">
        <v>630.15</v>
      </c>
    </row>
    <row r="2486" spans="1:22" x14ac:dyDescent="0.3">
      <c r="A2486" t="s">
        <v>3929</v>
      </c>
      <c r="B2486" s="2">
        <v>46220</v>
      </c>
      <c r="C2486" t="s">
        <v>3930</v>
      </c>
      <c r="D2486" t="s">
        <v>24</v>
      </c>
      <c r="E2486" t="s">
        <v>242</v>
      </c>
      <c r="F2486">
        <v>2</v>
      </c>
      <c r="G2486">
        <v>0</v>
      </c>
      <c r="H2486">
        <v>900</v>
      </c>
      <c r="I2486">
        <v>220</v>
      </c>
      <c r="J2486" t="s">
        <v>39</v>
      </c>
      <c r="K2486" t="s">
        <v>40</v>
      </c>
      <c r="L2486">
        <v>450</v>
      </c>
      <c r="M2486">
        <v>24.444444444444439</v>
      </c>
      <c r="N2486" t="s">
        <v>8</v>
      </c>
      <c r="O2486" t="s">
        <v>3931</v>
      </c>
      <c r="P2486" t="s">
        <v>29</v>
      </c>
      <c r="Q2486" t="s">
        <v>74</v>
      </c>
      <c r="R2486" t="s">
        <v>115</v>
      </c>
      <c r="S2486" t="s">
        <v>115</v>
      </c>
      <c r="T2486" t="s">
        <v>3932</v>
      </c>
      <c r="U2486" t="s">
        <v>100</v>
      </c>
      <c r="V2486">
        <v>110</v>
      </c>
    </row>
    <row r="2487" spans="1:22" x14ac:dyDescent="0.3">
      <c r="A2487" t="s">
        <v>3933</v>
      </c>
      <c r="B2487" s="2">
        <v>45889</v>
      </c>
      <c r="C2487" t="s">
        <v>2562</v>
      </c>
      <c r="D2487" t="s">
        <v>37</v>
      </c>
      <c r="E2487" t="s">
        <v>38</v>
      </c>
      <c r="F2487">
        <v>1</v>
      </c>
      <c r="G2487">
        <v>0</v>
      </c>
      <c r="H2487">
        <v>1800</v>
      </c>
      <c r="I2487">
        <v>650</v>
      </c>
      <c r="J2487" t="s">
        <v>65</v>
      </c>
      <c r="K2487" t="s">
        <v>40</v>
      </c>
      <c r="L2487">
        <v>1800</v>
      </c>
      <c r="M2487">
        <v>36.111111111111107</v>
      </c>
      <c r="N2487" t="s">
        <v>8</v>
      </c>
      <c r="O2487" t="s">
        <v>2563</v>
      </c>
      <c r="P2487" t="s">
        <v>29</v>
      </c>
      <c r="Q2487" t="s">
        <v>30</v>
      </c>
      <c r="R2487" t="s">
        <v>60</v>
      </c>
      <c r="S2487" t="s">
        <v>61</v>
      </c>
      <c r="T2487" t="s">
        <v>1619</v>
      </c>
      <c r="U2487" t="s">
        <v>34</v>
      </c>
      <c r="V2487">
        <v>650</v>
      </c>
    </row>
    <row r="2488" spans="1:22" x14ac:dyDescent="0.3">
      <c r="A2488" t="s">
        <v>3934</v>
      </c>
      <c r="B2488" s="2">
        <v>46185</v>
      </c>
      <c r="C2488" t="s">
        <v>442</v>
      </c>
      <c r="D2488" t="s">
        <v>37</v>
      </c>
      <c r="E2488" t="s">
        <v>38</v>
      </c>
      <c r="F2488">
        <v>6</v>
      </c>
      <c r="G2488">
        <v>0</v>
      </c>
      <c r="H2488">
        <v>10800</v>
      </c>
      <c r="I2488">
        <v>3900</v>
      </c>
      <c r="J2488" t="s">
        <v>26</v>
      </c>
      <c r="K2488" t="s">
        <v>40</v>
      </c>
      <c r="L2488">
        <v>1800</v>
      </c>
      <c r="M2488">
        <v>36.111111111111107</v>
      </c>
      <c r="N2488" t="s">
        <v>8</v>
      </c>
      <c r="O2488" t="s">
        <v>443</v>
      </c>
      <c r="P2488" t="s">
        <v>83</v>
      </c>
      <c r="Q2488" t="s">
        <v>42</v>
      </c>
      <c r="R2488" t="s">
        <v>444</v>
      </c>
      <c r="S2488" t="s">
        <v>44</v>
      </c>
      <c r="T2488" t="s">
        <v>445</v>
      </c>
      <c r="U2488" t="s">
        <v>46</v>
      </c>
      <c r="V2488">
        <v>650</v>
      </c>
    </row>
    <row r="2489" spans="1:22" x14ac:dyDescent="0.3">
      <c r="A2489" t="s">
        <v>3935</v>
      </c>
      <c r="B2489" s="2">
        <v>46062</v>
      </c>
      <c r="C2489" t="s">
        <v>501</v>
      </c>
      <c r="D2489" t="s">
        <v>24</v>
      </c>
      <c r="E2489" t="s">
        <v>92</v>
      </c>
      <c r="F2489">
        <v>6</v>
      </c>
      <c r="G2489">
        <v>0.1</v>
      </c>
      <c r="H2489">
        <v>4860</v>
      </c>
      <c r="I2489">
        <v>1223.3699999999999</v>
      </c>
      <c r="J2489" t="s">
        <v>65</v>
      </c>
      <c r="K2489" t="s">
        <v>40</v>
      </c>
      <c r="L2489">
        <v>810</v>
      </c>
      <c r="M2489">
        <v>25.172222222222221</v>
      </c>
      <c r="N2489" t="s">
        <v>8</v>
      </c>
      <c r="O2489" t="s">
        <v>502</v>
      </c>
      <c r="P2489" t="s">
        <v>29</v>
      </c>
      <c r="Q2489" t="s">
        <v>30</v>
      </c>
      <c r="R2489" t="s">
        <v>31</v>
      </c>
      <c r="S2489" t="s">
        <v>32</v>
      </c>
      <c r="T2489" t="s">
        <v>503</v>
      </c>
      <c r="U2489" t="s">
        <v>100</v>
      </c>
      <c r="V2489">
        <v>203.89500000000001</v>
      </c>
    </row>
    <row r="2490" spans="1:22" x14ac:dyDescent="0.3">
      <c r="A2490" t="s">
        <v>3936</v>
      </c>
      <c r="B2490" s="2">
        <v>46074</v>
      </c>
      <c r="C2490" t="s">
        <v>869</v>
      </c>
      <c r="D2490" t="s">
        <v>49</v>
      </c>
      <c r="E2490" t="s">
        <v>58</v>
      </c>
      <c r="F2490">
        <v>6</v>
      </c>
      <c r="G2490">
        <v>0.1</v>
      </c>
      <c r="H2490">
        <v>81000</v>
      </c>
      <c r="I2490">
        <v>13687.75</v>
      </c>
      <c r="J2490" t="s">
        <v>39</v>
      </c>
      <c r="K2490" t="s">
        <v>40</v>
      </c>
      <c r="L2490">
        <v>13500</v>
      </c>
      <c r="M2490">
        <v>16.898456790123461</v>
      </c>
      <c r="N2490" t="s">
        <v>8</v>
      </c>
      <c r="O2490" t="s">
        <v>870</v>
      </c>
      <c r="P2490" t="s">
        <v>73</v>
      </c>
      <c r="Q2490" t="s">
        <v>30</v>
      </c>
      <c r="R2490" t="s">
        <v>98</v>
      </c>
      <c r="S2490" t="s">
        <v>54</v>
      </c>
      <c r="T2490" t="s">
        <v>859</v>
      </c>
      <c r="U2490" t="s">
        <v>34</v>
      </c>
      <c r="V2490">
        <v>2281.291666666667</v>
      </c>
    </row>
    <row r="2491" spans="1:22" x14ac:dyDescent="0.3">
      <c r="A2491" t="s">
        <v>3937</v>
      </c>
      <c r="B2491" s="2">
        <v>46215</v>
      </c>
      <c r="C2491" t="s">
        <v>647</v>
      </c>
      <c r="D2491" t="s">
        <v>24</v>
      </c>
      <c r="E2491" t="s">
        <v>87</v>
      </c>
      <c r="F2491">
        <v>1</v>
      </c>
      <c r="G2491">
        <v>0</v>
      </c>
      <c r="H2491">
        <v>350</v>
      </c>
      <c r="I2491">
        <v>120</v>
      </c>
      <c r="J2491" t="s">
        <v>26</v>
      </c>
      <c r="K2491" t="s">
        <v>27</v>
      </c>
      <c r="L2491">
        <v>350</v>
      </c>
      <c r="M2491">
        <v>34.285714285714278</v>
      </c>
      <c r="N2491" t="s">
        <v>8</v>
      </c>
      <c r="O2491" t="s">
        <v>648</v>
      </c>
      <c r="P2491" t="s">
        <v>83</v>
      </c>
      <c r="Q2491" t="s">
        <v>42</v>
      </c>
      <c r="R2491" t="s">
        <v>43</v>
      </c>
      <c r="S2491" t="s">
        <v>44</v>
      </c>
      <c r="T2491" t="s">
        <v>649</v>
      </c>
      <c r="U2491" t="s">
        <v>100</v>
      </c>
      <c r="V2491">
        <v>120</v>
      </c>
    </row>
    <row r="2492" spans="1:22" x14ac:dyDescent="0.3">
      <c r="A2492" t="s">
        <v>3938</v>
      </c>
      <c r="B2492" s="2">
        <v>46041</v>
      </c>
      <c r="C2492" t="s">
        <v>297</v>
      </c>
      <c r="D2492" t="s">
        <v>37</v>
      </c>
      <c r="E2492" t="s">
        <v>170</v>
      </c>
      <c r="F2492">
        <v>2</v>
      </c>
      <c r="G2492">
        <v>0</v>
      </c>
      <c r="H2492">
        <v>2800</v>
      </c>
      <c r="I2492">
        <v>1000</v>
      </c>
      <c r="J2492" t="s">
        <v>26</v>
      </c>
      <c r="K2492" t="s">
        <v>40</v>
      </c>
      <c r="L2492">
        <v>1400</v>
      </c>
      <c r="M2492">
        <v>35.714285714285722</v>
      </c>
      <c r="N2492" t="s">
        <v>8</v>
      </c>
      <c r="O2492" t="s">
        <v>298</v>
      </c>
      <c r="P2492" t="s">
        <v>83</v>
      </c>
      <c r="Q2492" t="s">
        <v>30</v>
      </c>
      <c r="R2492" t="s">
        <v>60</v>
      </c>
      <c r="S2492" t="s">
        <v>61</v>
      </c>
      <c r="T2492" t="s">
        <v>299</v>
      </c>
      <c r="U2492" t="s">
        <v>46</v>
      </c>
      <c r="V2492">
        <v>500</v>
      </c>
    </row>
    <row r="2493" spans="1:22" x14ac:dyDescent="0.3">
      <c r="A2493" t="s">
        <v>3939</v>
      </c>
      <c r="B2493" s="2">
        <v>45955</v>
      </c>
      <c r="C2493" t="s">
        <v>900</v>
      </c>
      <c r="D2493" t="s">
        <v>70</v>
      </c>
      <c r="E2493" t="s">
        <v>71</v>
      </c>
      <c r="F2493">
        <v>1</v>
      </c>
      <c r="G2493">
        <v>0</v>
      </c>
      <c r="H2493">
        <v>18000</v>
      </c>
      <c r="I2493">
        <v>3500</v>
      </c>
      <c r="J2493" t="s">
        <v>65</v>
      </c>
      <c r="K2493" t="s">
        <v>40</v>
      </c>
      <c r="L2493">
        <v>18000</v>
      </c>
      <c r="M2493">
        <v>19.44444444444445</v>
      </c>
      <c r="N2493" t="s">
        <v>8</v>
      </c>
      <c r="O2493" t="s">
        <v>901</v>
      </c>
      <c r="P2493" t="s">
        <v>29</v>
      </c>
      <c r="Q2493" t="s">
        <v>30</v>
      </c>
      <c r="R2493" t="s">
        <v>31</v>
      </c>
      <c r="S2493" t="s">
        <v>32</v>
      </c>
      <c r="T2493" t="s">
        <v>902</v>
      </c>
      <c r="U2493" t="s">
        <v>34</v>
      </c>
      <c r="V2493">
        <v>3500</v>
      </c>
    </row>
    <row r="2494" spans="1:22" x14ac:dyDescent="0.3">
      <c r="A2494" t="s">
        <v>3940</v>
      </c>
      <c r="B2494" s="2">
        <v>45955</v>
      </c>
      <c r="C2494" t="s">
        <v>91</v>
      </c>
      <c r="D2494" t="s">
        <v>37</v>
      </c>
      <c r="E2494" t="s">
        <v>170</v>
      </c>
      <c r="F2494">
        <v>1</v>
      </c>
      <c r="G2494">
        <v>0.1</v>
      </c>
      <c r="H2494">
        <v>1260</v>
      </c>
      <c r="I2494">
        <v>-141.47</v>
      </c>
      <c r="J2494" t="s">
        <v>39</v>
      </c>
      <c r="K2494" t="s">
        <v>80</v>
      </c>
      <c r="L2494">
        <v>1260</v>
      </c>
      <c r="M2494">
        <v>-11.22777777777778</v>
      </c>
      <c r="N2494" t="s">
        <v>81</v>
      </c>
      <c r="O2494" t="s">
        <v>93</v>
      </c>
      <c r="P2494" t="s">
        <v>73</v>
      </c>
      <c r="Q2494" t="s">
        <v>30</v>
      </c>
      <c r="R2494" t="s">
        <v>60</v>
      </c>
      <c r="S2494" t="s">
        <v>61</v>
      </c>
      <c r="T2494" t="s">
        <v>94</v>
      </c>
      <c r="U2494" t="s">
        <v>34</v>
      </c>
      <c r="V2494">
        <v>-141.47</v>
      </c>
    </row>
    <row r="2495" spans="1:22" x14ac:dyDescent="0.3">
      <c r="A2495" t="s">
        <v>3941</v>
      </c>
      <c r="B2495" s="2">
        <v>46125</v>
      </c>
      <c r="C2495" t="s">
        <v>263</v>
      </c>
      <c r="D2495" t="s">
        <v>70</v>
      </c>
      <c r="E2495" t="s">
        <v>71</v>
      </c>
      <c r="F2495">
        <v>1</v>
      </c>
      <c r="G2495">
        <v>0.05</v>
      </c>
      <c r="H2495">
        <v>17100</v>
      </c>
      <c r="I2495">
        <v>3022.37</v>
      </c>
      <c r="J2495" t="s">
        <v>39</v>
      </c>
      <c r="K2495" t="s">
        <v>40</v>
      </c>
      <c r="L2495">
        <v>17100</v>
      </c>
      <c r="M2495">
        <v>17.674678362573101</v>
      </c>
      <c r="N2495" t="s">
        <v>8</v>
      </c>
      <c r="O2495" t="s">
        <v>265</v>
      </c>
      <c r="P2495" t="s">
        <v>73</v>
      </c>
      <c r="Q2495" t="s">
        <v>30</v>
      </c>
      <c r="R2495" t="s">
        <v>31</v>
      </c>
      <c r="S2495" t="s">
        <v>32</v>
      </c>
      <c r="T2495" t="s">
        <v>266</v>
      </c>
      <c r="U2495" t="s">
        <v>46</v>
      </c>
      <c r="V2495">
        <v>3022.37</v>
      </c>
    </row>
    <row r="2496" spans="1:22" x14ac:dyDescent="0.3">
      <c r="A2496" t="s">
        <v>3942</v>
      </c>
      <c r="B2496" s="2">
        <v>45989</v>
      </c>
      <c r="C2496" t="s">
        <v>1189</v>
      </c>
      <c r="D2496" t="s">
        <v>24</v>
      </c>
      <c r="E2496" t="s">
        <v>25</v>
      </c>
      <c r="F2496">
        <v>4</v>
      </c>
      <c r="G2496">
        <v>0.2</v>
      </c>
      <c r="H2496">
        <v>44800</v>
      </c>
      <c r="I2496">
        <v>4563.62</v>
      </c>
      <c r="J2496" t="s">
        <v>51</v>
      </c>
      <c r="K2496" t="s">
        <v>40</v>
      </c>
      <c r="L2496">
        <v>11200</v>
      </c>
      <c r="M2496">
        <v>10.18665178571429</v>
      </c>
      <c r="N2496" t="s">
        <v>8</v>
      </c>
      <c r="O2496" t="s">
        <v>1190</v>
      </c>
      <c r="P2496" t="s">
        <v>83</v>
      </c>
      <c r="Q2496" t="s">
        <v>30</v>
      </c>
      <c r="R2496" t="s">
        <v>53</v>
      </c>
      <c r="S2496" t="s">
        <v>54</v>
      </c>
      <c r="T2496" t="s">
        <v>1191</v>
      </c>
      <c r="U2496" t="s">
        <v>34</v>
      </c>
      <c r="V2496">
        <v>1140.905</v>
      </c>
    </row>
    <row r="2497" spans="1:22" x14ac:dyDescent="0.3">
      <c r="A2497" t="s">
        <v>3943</v>
      </c>
      <c r="B2497" s="2">
        <v>46022</v>
      </c>
      <c r="C2497" t="s">
        <v>678</v>
      </c>
      <c r="D2497" t="s">
        <v>70</v>
      </c>
      <c r="E2497" t="s">
        <v>165</v>
      </c>
      <c r="F2497">
        <v>1</v>
      </c>
      <c r="G2497">
        <v>0</v>
      </c>
      <c r="H2497">
        <v>2500</v>
      </c>
      <c r="I2497">
        <v>71.69</v>
      </c>
      <c r="J2497" t="s">
        <v>39</v>
      </c>
      <c r="K2497" t="s">
        <v>80</v>
      </c>
      <c r="L2497">
        <v>2500</v>
      </c>
      <c r="M2497">
        <v>2.8675999999999999</v>
      </c>
      <c r="N2497" t="s">
        <v>8</v>
      </c>
      <c r="O2497" t="s">
        <v>657</v>
      </c>
      <c r="P2497" t="s">
        <v>83</v>
      </c>
      <c r="Q2497" t="s">
        <v>30</v>
      </c>
      <c r="R2497" t="s">
        <v>31</v>
      </c>
      <c r="S2497" t="s">
        <v>32</v>
      </c>
      <c r="T2497" t="s">
        <v>679</v>
      </c>
      <c r="U2497" t="s">
        <v>100</v>
      </c>
      <c r="V2497">
        <v>71.69</v>
      </c>
    </row>
    <row r="2498" spans="1:22" x14ac:dyDescent="0.3">
      <c r="A2498" t="s">
        <v>3944</v>
      </c>
      <c r="B2498" s="2">
        <v>46110</v>
      </c>
      <c r="C2498" t="s">
        <v>689</v>
      </c>
      <c r="D2498" t="s">
        <v>49</v>
      </c>
      <c r="E2498" t="s">
        <v>79</v>
      </c>
      <c r="F2498">
        <v>6</v>
      </c>
      <c r="G2498">
        <v>0.15</v>
      </c>
      <c r="H2498">
        <v>56100</v>
      </c>
      <c r="I2498">
        <v>-15449.98</v>
      </c>
      <c r="J2498" t="s">
        <v>65</v>
      </c>
      <c r="K2498" t="s">
        <v>434</v>
      </c>
      <c r="L2498">
        <v>9350</v>
      </c>
      <c r="M2498">
        <v>-27.540071301247771</v>
      </c>
      <c r="N2498" t="s">
        <v>81</v>
      </c>
      <c r="O2498" t="s">
        <v>218</v>
      </c>
      <c r="P2498" t="s">
        <v>73</v>
      </c>
      <c r="Q2498" t="s">
        <v>131</v>
      </c>
      <c r="R2498" t="s">
        <v>289</v>
      </c>
      <c r="S2498" t="s">
        <v>290</v>
      </c>
      <c r="T2498" t="s">
        <v>679</v>
      </c>
      <c r="U2498" t="s">
        <v>46</v>
      </c>
      <c r="V2498">
        <v>-2574.996666666666</v>
      </c>
    </row>
    <row r="2499" spans="1:22" x14ac:dyDescent="0.3">
      <c r="A2499" t="s">
        <v>3945</v>
      </c>
      <c r="B2499" s="2">
        <v>45885</v>
      </c>
      <c r="C2499" t="s">
        <v>2217</v>
      </c>
      <c r="D2499" t="s">
        <v>70</v>
      </c>
      <c r="E2499" t="s">
        <v>108</v>
      </c>
      <c r="F2499">
        <v>4</v>
      </c>
      <c r="G2499">
        <v>0.05</v>
      </c>
      <c r="H2499">
        <v>17100</v>
      </c>
      <c r="I2499">
        <v>-3504.41</v>
      </c>
      <c r="J2499" t="s">
        <v>51</v>
      </c>
      <c r="K2499" t="s">
        <v>434</v>
      </c>
      <c r="L2499">
        <v>4275</v>
      </c>
      <c r="M2499">
        <v>-20.49362573099415</v>
      </c>
      <c r="N2499" t="s">
        <v>81</v>
      </c>
      <c r="O2499" t="s">
        <v>636</v>
      </c>
      <c r="P2499" t="s">
        <v>29</v>
      </c>
      <c r="Q2499" t="s">
        <v>42</v>
      </c>
      <c r="R2499" t="s">
        <v>110</v>
      </c>
      <c r="S2499" t="s">
        <v>111</v>
      </c>
      <c r="T2499" t="s">
        <v>2218</v>
      </c>
      <c r="U2499" t="s">
        <v>46</v>
      </c>
      <c r="V2499">
        <v>-876.10249999999996</v>
      </c>
    </row>
    <row r="2500" spans="1:22" x14ac:dyDescent="0.3">
      <c r="A2500" t="s">
        <v>3946</v>
      </c>
      <c r="B2500" s="2">
        <v>45938</v>
      </c>
      <c r="C2500" t="s">
        <v>1262</v>
      </c>
      <c r="D2500" t="s">
        <v>70</v>
      </c>
      <c r="E2500" t="s">
        <v>71</v>
      </c>
      <c r="F2500">
        <v>2</v>
      </c>
      <c r="G2500">
        <v>0</v>
      </c>
      <c r="H2500">
        <v>36000</v>
      </c>
      <c r="I2500">
        <v>7000</v>
      </c>
      <c r="J2500" t="s">
        <v>39</v>
      </c>
      <c r="K2500" t="s">
        <v>40</v>
      </c>
      <c r="L2500">
        <v>18000</v>
      </c>
      <c r="M2500">
        <v>19.44444444444445</v>
      </c>
      <c r="N2500" t="s">
        <v>8</v>
      </c>
      <c r="O2500" t="s">
        <v>1263</v>
      </c>
      <c r="P2500" t="s">
        <v>83</v>
      </c>
      <c r="Q2500" t="s">
        <v>30</v>
      </c>
      <c r="R2500" t="s">
        <v>53</v>
      </c>
      <c r="S2500" t="s">
        <v>54</v>
      </c>
      <c r="T2500" t="s">
        <v>1264</v>
      </c>
      <c r="U2500" t="s">
        <v>46</v>
      </c>
      <c r="V2500">
        <v>3500</v>
      </c>
    </row>
    <row r="2501" spans="1:22" x14ac:dyDescent="0.3">
      <c r="A2501" t="s">
        <v>3947</v>
      </c>
      <c r="B2501" s="2">
        <v>45955</v>
      </c>
      <c r="C2501" t="s">
        <v>941</v>
      </c>
      <c r="D2501" t="s">
        <v>37</v>
      </c>
      <c r="E2501" t="s">
        <v>310</v>
      </c>
      <c r="F2501">
        <v>2</v>
      </c>
      <c r="G2501">
        <v>0.3</v>
      </c>
      <c r="H2501">
        <v>3080</v>
      </c>
      <c r="I2501">
        <v>389.18</v>
      </c>
      <c r="J2501" t="s">
        <v>51</v>
      </c>
      <c r="K2501" t="s">
        <v>27</v>
      </c>
      <c r="L2501">
        <v>1540</v>
      </c>
      <c r="M2501">
        <v>12.63571428571429</v>
      </c>
      <c r="N2501" t="s">
        <v>8</v>
      </c>
      <c r="O2501" t="s">
        <v>942</v>
      </c>
      <c r="P2501" t="s">
        <v>73</v>
      </c>
      <c r="Q2501" t="s">
        <v>42</v>
      </c>
      <c r="R2501" t="s">
        <v>110</v>
      </c>
      <c r="S2501" t="s">
        <v>111</v>
      </c>
      <c r="T2501" t="s">
        <v>943</v>
      </c>
      <c r="U2501" t="s">
        <v>46</v>
      </c>
      <c r="V2501">
        <v>194.59</v>
      </c>
    </row>
    <row r="2502" spans="1:22" x14ac:dyDescent="0.3">
      <c r="A2502" t="s">
        <v>3948</v>
      </c>
      <c r="B2502" s="2">
        <v>45846</v>
      </c>
      <c r="C2502" t="s">
        <v>497</v>
      </c>
      <c r="D2502" t="s">
        <v>24</v>
      </c>
      <c r="E2502" t="s">
        <v>92</v>
      </c>
      <c r="F2502">
        <v>3</v>
      </c>
      <c r="G2502">
        <v>0</v>
      </c>
      <c r="H2502">
        <v>2700</v>
      </c>
      <c r="I2502">
        <v>840</v>
      </c>
      <c r="J2502" t="s">
        <v>39</v>
      </c>
      <c r="K2502" t="s">
        <v>40</v>
      </c>
      <c r="L2502">
        <v>900</v>
      </c>
      <c r="M2502">
        <v>31.111111111111111</v>
      </c>
      <c r="N2502" t="s">
        <v>8</v>
      </c>
      <c r="O2502" t="s">
        <v>498</v>
      </c>
      <c r="P2502" t="s">
        <v>29</v>
      </c>
      <c r="Q2502" t="s">
        <v>42</v>
      </c>
      <c r="R2502" t="s">
        <v>43</v>
      </c>
      <c r="S2502" t="s">
        <v>44</v>
      </c>
      <c r="T2502" t="s">
        <v>499</v>
      </c>
      <c r="U2502" t="s">
        <v>46</v>
      </c>
      <c r="V2502">
        <v>280</v>
      </c>
    </row>
    <row r="2503" spans="1:22" x14ac:dyDescent="0.3">
      <c r="A2503" t="s">
        <v>3949</v>
      </c>
      <c r="B2503" s="2">
        <v>45842</v>
      </c>
      <c r="C2503" t="s">
        <v>2678</v>
      </c>
      <c r="D2503" t="s">
        <v>70</v>
      </c>
      <c r="E2503" t="s">
        <v>165</v>
      </c>
      <c r="F2503">
        <v>1</v>
      </c>
      <c r="G2503">
        <v>0.05</v>
      </c>
      <c r="H2503">
        <v>2375</v>
      </c>
      <c r="I2503">
        <v>-319.04000000000002</v>
      </c>
      <c r="J2503" t="s">
        <v>26</v>
      </c>
      <c r="K2503" t="s">
        <v>80</v>
      </c>
      <c r="L2503">
        <v>2375</v>
      </c>
      <c r="M2503">
        <v>-13.433263157894739</v>
      </c>
      <c r="N2503" t="s">
        <v>81</v>
      </c>
      <c r="O2503" t="s">
        <v>510</v>
      </c>
      <c r="P2503" t="s">
        <v>29</v>
      </c>
      <c r="Q2503" t="s">
        <v>42</v>
      </c>
      <c r="R2503" t="s">
        <v>43</v>
      </c>
      <c r="S2503" t="s">
        <v>44</v>
      </c>
      <c r="T2503" t="s">
        <v>2679</v>
      </c>
      <c r="U2503" t="s">
        <v>46</v>
      </c>
      <c r="V2503">
        <v>-319.04000000000002</v>
      </c>
    </row>
    <row r="2504" spans="1:22" x14ac:dyDescent="0.3">
      <c r="A2504" t="s">
        <v>3950</v>
      </c>
      <c r="B2504" s="2">
        <v>45875</v>
      </c>
      <c r="C2504" t="s">
        <v>409</v>
      </c>
      <c r="D2504" t="s">
        <v>24</v>
      </c>
      <c r="E2504" t="s">
        <v>92</v>
      </c>
      <c r="F2504">
        <v>2</v>
      </c>
      <c r="G2504">
        <v>0</v>
      </c>
      <c r="H2504">
        <v>1800</v>
      </c>
      <c r="I2504">
        <v>560</v>
      </c>
      <c r="J2504" t="s">
        <v>39</v>
      </c>
      <c r="K2504" t="s">
        <v>27</v>
      </c>
      <c r="L2504">
        <v>900</v>
      </c>
      <c r="M2504">
        <v>31.111111111111111</v>
      </c>
      <c r="N2504" t="s">
        <v>8</v>
      </c>
      <c r="O2504" t="s">
        <v>410</v>
      </c>
      <c r="P2504" t="s">
        <v>73</v>
      </c>
      <c r="Q2504" t="s">
        <v>131</v>
      </c>
      <c r="R2504" t="s">
        <v>200</v>
      </c>
      <c r="S2504" t="s">
        <v>201</v>
      </c>
      <c r="T2504" t="s">
        <v>411</v>
      </c>
      <c r="U2504" t="s">
        <v>100</v>
      </c>
      <c r="V2504">
        <v>280</v>
      </c>
    </row>
    <row r="2505" spans="1:22" x14ac:dyDescent="0.3">
      <c r="A2505" t="s">
        <v>3951</v>
      </c>
      <c r="B2505" s="2">
        <v>46054</v>
      </c>
      <c r="C2505" t="s">
        <v>517</v>
      </c>
      <c r="D2505" t="s">
        <v>70</v>
      </c>
      <c r="E2505" t="s">
        <v>129</v>
      </c>
      <c r="F2505">
        <v>3</v>
      </c>
      <c r="G2505">
        <v>0</v>
      </c>
      <c r="H2505">
        <v>165000</v>
      </c>
      <c r="I2505">
        <v>27000</v>
      </c>
      <c r="J2505" t="s">
        <v>26</v>
      </c>
      <c r="K2505" t="s">
        <v>40</v>
      </c>
      <c r="L2505">
        <v>55000</v>
      </c>
      <c r="M2505">
        <v>16.36363636363636</v>
      </c>
      <c r="N2505" t="s">
        <v>8</v>
      </c>
      <c r="O2505" t="s">
        <v>518</v>
      </c>
      <c r="P2505" t="s">
        <v>29</v>
      </c>
      <c r="Q2505" t="s">
        <v>131</v>
      </c>
      <c r="R2505" t="s">
        <v>200</v>
      </c>
      <c r="S2505" t="s">
        <v>201</v>
      </c>
      <c r="T2505" t="s">
        <v>519</v>
      </c>
      <c r="U2505" t="s">
        <v>100</v>
      </c>
      <c r="V2505">
        <v>9000</v>
      </c>
    </row>
    <row r="2506" spans="1:22" x14ac:dyDescent="0.3">
      <c r="A2506" t="s">
        <v>3952</v>
      </c>
      <c r="B2506" s="2">
        <v>46164</v>
      </c>
      <c r="C2506" t="s">
        <v>246</v>
      </c>
      <c r="D2506" t="s">
        <v>24</v>
      </c>
      <c r="E2506" t="s">
        <v>92</v>
      </c>
      <c r="F2506">
        <v>2</v>
      </c>
      <c r="G2506">
        <v>0.15</v>
      </c>
      <c r="H2506">
        <v>1530</v>
      </c>
      <c r="I2506">
        <v>366.7</v>
      </c>
      <c r="J2506" t="s">
        <v>26</v>
      </c>
      <c r="K2506" t="s">
        <v>40</v>
      </c>
      <c r="L2506">
        <v>765</v>
      </c>
      <c r="M2506">
        <v>23.967320261437909</v>
      </c>
      <c r="N2506" t="s">
        <v>8</v>
      </c>
      <c r="O2506" t="s">
        <v>247</v>
      </c>
      <c r="P2506" t="s">
        <v>73</v>
      </c>
      <c r="Q2506" t="s">
        <v>30</v>
      </c>
      <c r="R2506" t="s">
        <v>53</v>
      </c>
      <c r="S2506" t="s">
        <v>54</v>
      </c>
      <c r="T2506" t="s">
        <v>248</v>
      </c>
      <c r="U2506" t="s">
        <v>100</v>
      </c>
      <c r="V2506">
        <v>183.35</v>
      </c>
    </row>
    <row r="2507" spans="1:22" x14ac:dyDescent="0.3">
      <c r="A2507" t="s">
        <v>3953</v>
      </c>
      <c r="B2507" s="2">
        <v>45990</v>
      </c>
      <c r="C2507" t="s">
        <v>2278</v>
      </c>
      <c r="D2507" t="s">
        <v>70</v>
      </c>
      <c r="E2507" t="s">
        <v>165</v>
      </c>
      <c r="F2507">
        <v>2</v>
      </c>
      <c r="G2507">
        <v>0.1</v>
      </c>
      <c r="H2507">
        <v>4500</v>
      </c>
      <c r="I2507">
        <v>1181.28</v>
      </c>
      <c r="J2507" t="s">
        <v>26</v>
      </c>
      <c r="K2507" t="s">
        <v>40</v>
      </c>
      <c r="L2507">
        <v>2250</v>
      </c>
      <c r="M2507">
        <v>26.250666666666671</v>
      </c>
      <c r="N2507" t="s">
        <v>8</v>
      </c>
      <c r="O2507" t="s">
        <v>470</v>
      </c>
      <c r="P2507" t="s">
        <v>29</v>
      </c>
      <c r="Q2507" t="s">
        <v>30</v>
      </c>
      <c r="R2507" t="s">
        <v>98</v>
      </c>
      <c r="S2507" t="s">
        <v>54</v>
      </c>
      <c r="T2507" t="s">
        <v>2279</v>
      </c>
      <c r="U2507" t="s">
        <v>105</v>
      </c>
      <c r="V2507">
        <v>590.64</v>
      </c>
    </row>
    <row r="2508" spans="1:22" x14ac:dyDescent="0.3">
      <c r="A2508" t="s">
        <v>3954</v>
      </c>
      <c r="B2508" s="2">
        <v>45939</v>
      </c>
      <c r="C2508" t="s">
        <v>1173</v>
      </c>
      <c r="D2508" t="s">
        <v>24</v>
      </c>
      <c r="E2508" t="s">
        <v>87</v>
      </c>
      <c r="F2508">
        <v>3</v>
      </c>
      <c r="G2508">
        <v>0.05</v>
      </c>
      <c r="H2508">
        <v>997.5</v>
      </c>
      <c r="I2508">
        <v>318.27999999999997</v>
      </c>
      <c r="J2508" t="s">
        <v>39</v>
      </c>
      <c r="K2508" t="s">
        <v>40</v>
      </c>
      <c r="L2508">
        <v>332.5</v>
      </c>
      <c r="M2508">
        <v>31.9077694235589</v>
      </c>
      <c r="N2508" t="s">
        <v>8</v>
      </c>
      <c r="O2508" t="s">
        <v>406</v>
      </c>
      <c r="P2508" t="s">
        <v>83</v>
      </c>
      <c r="Q2508" t="s">
        <v>131</v>
      </c>
      <c r="R2508" t="s">
        <v>289</v>
      </c>
      <c r="S2508" t="s">
        <v>290</v>
      </c>
      <c r="T2508" t="s">
        <v>1174</v>
      </c>
      <c r="U2508" t="s">
        <v>34</v>
      </c>
      <c r="V2508">
        <v>106.09333333333331</v>
      </c>
    </row>
    <row r="2509" spans="1:22" x14ac:dyDescent="0.3">
      <c r="A2509" t="s">
        <v>3955</v>
      </c>
      <c r="B2509" s="2">
        <v>46166</v>
      </c>
      <c r="C2509" t="s">
        <v>2197</v>
      </c>
      <c r="D2509" t="s">
        <v>70</v>
      </c>
      <c r="E2509" t="s">
        <v>71</v>
      </c>
      <c r="F2509">
        <v>1</v>
      </c>
      <c r="G2509">
        <v>0.05</v>
      </c>
      <c r="H2509">
        <v>17100</v>
      </c>
      <c r="I2509">
        <v>2754.92</v>
      </c>
      <c r="J2509" t="s">
        <v>65</v>
      </c>
      <c r="K2509" t="s">
        <v>27</v>
      </c>
      <c r="L2509">
        <v>17100</v>
      </c>
      <c r="M2509">
        <v>16.1106432748538</v>
      </c>
      <c r="N2509" t="s">
        <v>8</v>
      </c>
      <c r="O2509" t="s">
        <v>2027</v>
      </c>
      <c r="P2509" t="s">
        <v>29</v>
      </c>
      <c r="Q2509" t="s">
        <v>74</v>
      </c>
      <c r="R2509" t="s">
        <v>493</v>
      </c>
      <c r="S2509" t="s">
        <v>494</v>
      </c>
      <c r="T2509" t="s">
        <v>2198</v>
      </c>
      <c r="U2509" t="s">
        <v>34</v>
      </c>
      <c r="V2509">
        <v>2754.92</v>
      </c>
    </row>
    <row r="2510" spans="1:22" x14ac:dyDescent="0.3">
      <c r="A2510" t="s">
        <v>3956</v>
      </c>
      <c r="B2510" s="2">
        <v>46055</v>
      </c>
      <c r="C2510" t="s">
        <v>2168</v>
      </c>
      <c r="D2510" t="s">
        <v>70</v>
      </c>
      <c r="E2510" t="s">
        <v>129</v>
      </c>
      <c r="F2510">
        <v>2</v>
      </c>
      <c r="G2510">
        <v>0.2</v>
      </c>
      <c r="H2510">
        <v>88000</v>
      </c>
      <c r="I2510">
        <v>1637.01</v>
      </c>
      <c r="J2510" t="s">
        <v>39</v>
      </c>
      <c r="K2510" t="s">
        <v>40</v>
      </c>
      <c r="L2510">
        <v>44000</v>
      </c>
      <c r="M2510">
        <v>1.8602386363636361</v>
      </c>
      <c r="N2510" t="s">
        <v>8</v>
      </c>
      <c r="O2510" t="s">
        <v>2169</v>
      </c>
      <c r="P2510" t="s">
        <v>29</v>
      </c>
      <c r="Q2510" t="s">
        <v>131</v>
      </c>
      <c r="R2510" t="s">
        <v>289</v>
      </c>
      <c r="S2510" t="s">
        <v>290</v>
      </c>
      <c r="T2510" t="s">
        <v>793</v>
      </c>
      <c r="U2510" t="s">
        <v>34</v>
      </c>
      <c r="V2510">
        <v>818.505</v>
      </c>
    </row>
    <row r="2511" spans="1:22" x14ac:dyDescent="0.3">
      <c r="A2511" t="s">
        <v>3957</v>
      </c>
      <c r="B2511" s="2">
        <v>45940</v>
      </c>
      <c r="C2511" t="s">
        <v>1087</v>
      </c>
      <c r="D2511" t="s">
        <v>49</v>
      </c>
      <c r="E2511" t="s">
        <v>79</v>
      </c>
      <c r="F2511">
        <v>4</v>
      </c>
      <c r="G2511">
        <v>0.1</v>
      </c>
      <c r="H2511">
        <v>39600</v>
      </c>
      <c r="I2511">
        <v>7465.84</v>
      </c>
      <c r="J2511" t="s">
        <v>39</v>
      </c>
      <c r="K2511" t="s">
        <v>27</v>
      </c>
      <c r="L2511">
        <v>9900</v>
      </c>
      <c r="M2511">
        <v>18.853131313131311</v>
      </c>
      <c r="N2511" t="s">
        <v>8</v>
      </c>
      <c r="O2511" t="s">
        <v>1088</v>
      </c>
      <c r="P2511" t="s">
        <v>73</v>
      </c>
      <c r="Q2511" t="s">
        <v>131</v>
      </c>
      <c r="R2511" t="s">
        <v>200</v>
      </c>
      <c r="S2511" t="s">
        <v>201</v>
      </c>
      <c r="T2511" t="s">
        <v>1089</v>
      </c>
      <c r="U2511" t="s">
        <v>46</v>
      </c>
      <c r="V2511">
        <v>1866.46</v>
      </c>
    </row>
    <row r="2512" spans="1:22" x14ac:dyDescent="0.3">
      <c r="A2512" t="s">
        <v>3958</v>
      </c>
      <c r="B2512" s="2">
        <v>46081</v>
      </c>
      <c r="C2512" t="s">
        <v>1777</v>
      </c>
      <c r="D2512" t="s">
        <v>70</v>
      </c>
      <c r="E2512" t="s">
        <v>165</v>
      </c>
      <c r="F2512">
        <v>2</v>
      </c>
      <c r="G2512">
        <v>0.1</v>
      </c>
      <c r="H2512">
        <v>4500</v>
      </c>
      <c r="I2512">
        <v>1349.33</v>
      </c>
      <c r="J2512" t="s">
        <v>26</v>
      </c>
      <c r="K2512" t="s">
        <v>40</v>
      </c>
      <c r="L2512">
        <v>2250</v>
      </c>
      <c r="M2512">
        <v>29.985111111111109</v>
      </c>
      <c r="N2512" t="s">
        <v>8</v>
      </c>
      <c r="O2512" t="s">
        <v>322</v>
      </c>
      <c r="P2512" t="s">
        <v>83</v>
      </c>
      <c r="Q2512" t="s">
        <v>30</v>
      </c>
      <c r="R2512" t="s">
        <v>31</v>
      </c>
      <c r="S2512" t="s">
        <v>32</v>
      </c>
      <c r="T2512" t="s">
        <v>1778</v>
      </c>
      <c r="U2512" t="s">
        <v>34</v>
      </c>
      <c r="V2512">
        <v>674.66499999999996</v>
      </c>
    </row>
    <row r="2513" spans="1:22" x14ac:dyDescent="0.3">
      <c r="A2513" t="s">
        <v>3959</v>
      </c>
      <c r="B2513" s="2">
        <v>45864</v>
      </c>
      <c r="C2513" t="s">
        <v>1032</v>
      </c>
      <c r="D2513" t="s">
        <v>49</v>
      </c>
      <c r="E2513" t="s">
        <v>79</v>
      </c>
      <c r="F2513">
        <v>4</v>
      </c>
      <c r="G2513">
        <v>0.1</v>
      </c>
      <c r="H2513">
        <v>39600</v>
      </c>
      <c r="I2513">
        <v>7100.16</v>
      </c>
      <c r="J2513" t="s">
        <v>65</v>
      </c>
      <c r="K2513" t="s">
        <v>40</v>
      </c>
      <c r="L2513">
        <v>9900</v>
      </c>
      <c r="M2513">
        <v>17.92969696969697</v>
      </c>
      <c r="N2513" t="s">
        <v>8</v>
      </c>
      <c r="O2513" t="s">
        <v>1033</v>
      </c>
      <c r="P2513" t="s">
        <v>73</v>
      </c>
      <c r="Q2513" t="s">
        <v>131</v>
      </c>
      <c r="R2513" t="s">
        <v>449</v>
      </c>
      <c r="S2513" t="s">
        <v>450</v>
      </c>
      <c r="T2513" t="s">
        <v>1034</v>
      </c>
      <c r="U2513" t="s">
        <v>46</v>
      </c>
      <c r="V2513">
        <v>1775.04</v>
      </c>
    </row>
    <row r="2514" spans="1:22" x14ac:dyDescent="0.3">
      <c r="A2514" t="s">
        <v>3960</v>
      </c>
      <c r="B2514" s="2">
        <v>45886</v>
      </c>
      <c r="C2514" t="s">
        <v>136</v>
      </c>
      <c r="D2514" t="s">
        <v>37</v>
      </c>
      <c r="E2514" t="s">
        <v>190</v>
      </c>
      <c r="F2514">
        <v>3</v>
      </c>
      <c r="G2514">
        <v>0</v>
      </c>
      <c r="H2514">
        <v>12600</v>
      </c>
      <c r="I2514">
        <v>3600</v>
      </c>
      <c r="J2514" t="s">
        <v>39</v>
      </c>
      <c r="K2514" t="s">
        <v>40</v>
      </c>
      <c r="L2514">
        <v>4200</v>
      </c>
      <c r="M2514">
        <v>28.571428571428569</v>
      </c>
      <c r="N2514" t="s">
        <v>8</v>
      </c>
      <c r="O2514" t="s">
        <v>137</v>
      </c>
      <c r="P2514" t="s">
        <v>83</v>
      </c>
      <c r="Q2514" t="s">
        <v>42</v>
      </c>
      <c r="R2514" t="s">
        <v>110</v>
      </c>
      <c r="S2514" t="s">
        <v>111</v>
      </c>
      <c r="T2514" t="s">
        <v>138</v>
      </c>
      <c r="U2514" t="s">
        <v>34</v>
      </c>
      <c r="V2514">
        <v>1200</v>
      </c>
    </row>
    <row r="2515" spans="1:22" x14ac:dyDescent="0.3">
      <c r="A2515" t="s">
        <v>3961</v>
      </c>
      <c r="B2515" s="2">
        <v>45862</v>
      </c>
      <c r="C2515" t="s">
        <v>635</v>
      </c>
      <c r="D2515" t="s">
        <v>37</v>
      </c>
      <c r="E2515" t="s">
        <v>170</v>
      </c>
      <c r="F2515">
        <v>3</v>
      </c>
      <c r="G2515">
        <v>0.1</v>
      </c>
      <c r="H2515">
        <v>3780</v>
      </c>
      <c r="I2515">
        <v>1180.5</v>
      </c>
      <c r="J2515" t="s">
        <v>51</v>
      </c>
      <c r="K2515" t="s">
        <v>40</v>
      </c>
      <c r="L2515">
        <v>1260</v>
      </c>
      <c r="M2515">
        <v>31.230158730158731</v>
      </c>
      <c r="N2515" t="s">
        <v>8</v>
      </c>
      <c r="O2515" t="s">
        <v>636</v>
      </c>
      <c r="P2515" t="s">
        <v>29</v>
      </c>
      <c r="Q2515" t="s">
        <v>42</v>
      </c>
      <c r="R2515" t="s">
        <v>214</v>
      </c>
      <c r="S2515" t="s">
        <v>111</v>
      </c>
      <c r="T2515" t="s">
        <v>637</v>
      </c>
      <c r="U2515" t="s">
        <v>100</v>
      </c>
      <c r="V2515">
        <v>393.5</v>
      </c>
    </row>
    <row r="2516" spans="1:22" x14ac:dyDescent="0.3">
      <c r="A2516" t="s">
        <v>3962</v>
      </c>
      <c r="B2516" s="2">
        <v>46053</v>
      </c>
      <c r="C2516" t="s">
        <v>321</v>
      </c>
      <c r="D2516" t="s">
        <v>24</v>
      </c>
      <c r="E2516" t="s">
        <v>87</v>
      </c>
      <c r="F2516">
        <v>1</v>
      </c>
      <c r="G2516">
        <v>0.05</v>
      </c>
      <c r="H2516">
        <v>332.5</v>
      </c>
      <c r="I2516">
        <v>106.06</v>
      </c>
      <c r="J2516" t="s">
        <v>65</v>
      </c>
      <c r="K2516" t="s">
        <v>40</v>
      </c>
      <c r="L2516">
        <v>332.5</v>
      </c>
      <c r="M2516">
        <v>31.897744360902259</v>
      </c>
      <c r="N2516" t="s">
        <v>8</v>
      </c>
      <c r="O2516" t="s">
        <v>322</v>
      </c>
      <c r="P2516" t="s">
        <v>29</v>
      </c>
      <c r="Q2516" t="s">
        <v>30</v>
      </c>
      <c r="R2516" t="s">
        <v>31</v>
      </c>
      <c r="S2516" t="s">
        <v>32</v>
      </c>
      <c r="T2516" t="s">
        <v>323</v>
      </c>
      <c r="U2516" t="s">
        <v>34</v>
      </c>
      <c r="V2516">
        <v>106.06</v>
      </c>
    </row>
    <row r="2517" spans="1:22" x14ac:dyDescent="0.3">
      <c r="A2517" t="s">
        <v>3963</v>
      </c>
      <c r="B2517" s="2">
        <v>45846</v>
      </c>
      <c r="C2517" t="s">
        <v>2177</v>
      </c>
      <c r="D2517" t="s">
        <v>49</v>
      </c>
      <c r="E2517" t="s">
        <v>58</v>
      </c>
      <c r="F2517">
        <v>4</v>
      </c>
      <c r="G2517">
        <v>0.1</v>
      </c>
      <c r="H2517">
        <v>54000</v>
      </c>
      <c r="I2517">
        <v>-23219.34</v>
      </c>
      <c r="J2517" t="s">
        <v>65</v>
      </c>
      <c r="K2517" t="s">
        <v>80</v>
      </c>
      <c r="L2517">
        <v>13500</v>
      </c>
      <c r="M2517">
        <v>-42.998777777777782</v>
      </c>
      <c r="N2517" t="s">
        <v>81</v>
      </c>
      <c r="O2517" t="s">
        <v>175</v>
      </c>
      <c r="P2517" t="s">
        <v>29</v>
      </c>
      <c r="Q2517" t="s">
        <v>30</v>
      </c>
      <c r="R2517" t="s">
        <v>98</v>
      </c>
      <c r="S2517" t="s">
        <v>54</v>
      </c>
      <c r="T2517" t="s">
        <v>2178</v>
      </c>
      <c r="U2517" t="s">
        <v>46</v>
      </c>
      <c r="V2517">
        <v>-5804.835</v>
      </c>
    </row>
    <row r="2518" spans="1:22" x14ac:dyDescent="0.3">
      <c r="A2518" t="s">
        <v>3964</v>
      </c>
      <c r="B2518" s="2">
        <v>46230</v>
      </c>
      <c r="C2518" t="s">
        <v>1812</v>
      </c>
      <c r="D2518" t="s">
        <v>49</v>
      </c>
      <c r="E2518" t="s">
        <v>58</v>
      </c>
      <c r="F2518">
        <v>4</v>
      </c>
      <c r="G2518">
        <v>0.1</v>
      </c>
      <c r="H2518">
        <v>54000</v>
      </c>
      <c r="I2518">
        <v>10814.83</v>
      </c>
      <c r="J2518" t="s">
        <v>26</v>
      </c>
      <c r="K2518" t="s">
        <v>40</v>
      </c>
      <c r="L2518">
        <v>13500</v>
      </c>
      <c r="M2518">
        <v>20.027462962962961</v>
      </c>
      <c r="N2518" t="s">
        <v>8</v>
      </c>
      <c r="O2518" t="s">
        <v>1813</v>
      </c>
      <c r="P2518" t="s">
        <v>83</v>
      </c>
      <c r="Q2518" t="s">
        <v>30</v>
      </c>
      <c r="R2518" t="s">
        <v>98</v>
      </c>
      <c r="S2518" t="s">
        <v>54</v>
      </c>
      <c r="T2518" t="s">
        <v>1089</v>
      </c>
      <c r="U2518" t="s">
        <v>34</v>
      </c>
      <c r="V2518">
        <v>2703.7075</v>
      </c>
    </row>
    <row r="2519" spans="1:22" x14ac:dyDescent="0.3">
      <c r="A2519" t="s">
        <v>3965</v>
      </c>
      <c r="B2519" s="2">
        <v>45910</v>
      </c>
      <c r="C2519" t="s">
        <v>164</v>
      </c>
      <c r="D2519" t="s">
        <v>37</v>
      </c>
      <c r="E2519" t="s">
        <v>310</v>
      </c>
      <c r="F2519">
        <v>4</v>
      </c>
      <c r="G2519">
        <v>0.2</v>
      </c>
      <c r="H2519">
        <v>7040</v>
      </c>
      <c r="I2519">
        <v>1919.49</v>
      </c>
      <c r="J2519" t="s">
        <v>51</v>
      </c>
      <c r="K2519" t="s">
        <v>40</v>
      </c>
      <c r="L2519">
        <v>1760</v>
      </c>
      <c r="M2519">
        <v>27.265482954545451</v>
      </c>
      <c r="N2519" t="s">
        <v>8</v>
      </c>
      <c r="O2519" t="s">
        <v>166</v>
      </c>
      <c r="P2519" t="s">
        <v>73</v>
      </c>
      <c r="Q2519" t="s">
        <v>30</v>
      </c>
      <c r="R2519" t="s">
        <v>53</v>
      </c>
      <c r="S2519" t="s">
        <v>54</v>
      </c>
      <c r="T2519" t="s">
        <v>167</v>
      </c>
      <c r="U2519" t="s">
        <v>46</v>
      </c>
      <c r="V2519">
        <v>479.8725</v>
      </c>
    </row>
    <row r="2520" spans="1:22" x14ac:dyDescent="0.3">
      <c r="A2520" t="s">
        <v>3966</v>
      </c>
      <c r="B2520" s="2">
        <v>46149</v>
      </c>
      <c r="C2520" t="s">
        <v>2507</v>
      </c>
      <c r="D2520" t="s">
        <v>49</v>
      </c>
      <c r="E2520" t="s">
        <v>58</v>
      </c>
      <c r="F2520">
        <v>2</v>
      </c>
      <c r="G2520">
        <v>0.1</v>
      </c>
      <c r="H2520">
        <v>27000</v>
      </c>
      <c r="I2520">
        <v>-6197.61</v>
      </c>
      <c r="J2520" t="s">
        <v>51</v>
      </c>
      <c r="K2520" t="s">
        <v>80</v>
      </c>
      <c r="L2520">
        <v>13500</v>
      </c>
      <c r="M2520">
        <v>-22.954111111111111</v>
      </c>
      <c r="N2520" t="s">
        <v>81</v>
      </c>
      <c r="O2520" t="s">
        <v>754</v>
      </c>
      <c r="P2520" t="s">
        <v>29</v>
      </c>
      <c r="Q2520" t="s">
        <v>42</v>
      </c>
      <c r="R2520" t="s">
        <v>43</v>
      </c>
      <c r="S2520" t="s">
        <v>44</v>
      </c>
      <c r="T2520" t="s">
        <v>1145</v>
      </c>
      <c r="U2520" t="s">
        <v>34</v>
      </c>
      <c r="V2520">
        <v>-3098.8049999999998</v>
      </c>
    </row>
    <row r="2521" spans="1:22" x14ac:dyDescent="0.3">
      <c r="A2521" t="s">
        <v>3967</v>
      </c>
      <c r="B2521" s="2">
        <v>46245</v>
      </c>
      <c r="C2521" t="s">
        <v>2126</v>
      </c>
      <c r="D2521" t="s">
        <v>24</v>
      </c>
      <c r="E2521" t="s">
        <v>25</v>
      </c>
      <c r="F2521">
        <v>2</v>
      </c>
      <c r="G2521">
        <v>0</v>
      </c>
      <c r="H2521">
        <v>28000</v>
      </c>
      <c r="I2521">
        <v>5600</v>
      </c>
      <c r="J2521" t="s">
        <v>65</v>
      </c>
      <c r="K2521" t="s">
        <v>40</v>
      </c>
      <c r="L2521">
        <v>14000</v>
      </c>
      <c r="M2521">
        <v>20</v>
      </c>
      <c r="N2521" t="s">
        <v>8</v>
      </c>
      <c r="O2521" t="s">
        <v>2127</v>
      </c>
      <c r="P2521" t="s">
        <v>83</v>
      </c>
      <c r="Q2521" t="s">
        <v>131</v>
      </c>
      <c r="R2521" t="s">
        <v>200</v>
      </c>
      <c r="S2521" t="s">
        <v>201</v>
      </c>
      <c r="T2521" t="s">
        <v>2128</v>
      </c>
      <c r="U2521" t="s">
        <v>46</v>
      </c>
      <c r="V2521">
        <v>2800</v>
      </c>
    </row>
    <row r="2522" spans="1:22" x14ac:dyDescent="0.3">
      <c r="A2522" t="s">
        <v>3968</v>
      </c>
      <c r="B2522" s="2">
        <v>46137</v>
      </c>
      <c r="C2522" t="s">
        <v>700</v>
      </c>
      <c r="D2522" t="s">
        <v>24</v>
      </c>
      <c r="E2522" t="s">
        <v>87</v>
      </c>
      <c r="F2522">
        <v>4</v>
      </c>
      <c r="G2522">
        <v>0.15</v>
      </c>
      <c r="H2522">
        <v>1190</v>
      </c>
      <c r="I2522">
        <v>-134.76</v>
      </c>
      <c r="J2522" t="s">
        <v>65</v>
      </c>
      <c r="K2522" t="s">
        <v>434</v>
      </c>
      <c r="L2522">
        <v>297.5</v>
      </c>
      <c r="M2522">
        <v>-11.32436974789916</v>
      </c>
      <c r="N2522" t="s">
        <v>81</v>
      </c>
      <c r="O2522" t="s">
        <v>701</v>
      </c>
      <c r="P2522" t="s">
        <v>29</v>
      </c>
      <c r="Q2522" t="s">
        <v>30</v>
      </c>
      <c r="R2522" t="s">
        <v>60</v>
      </c>
      <c r="S2522" t="s">
        <v>61</v>
      </c>
      <c r="T2522" t="s">
        <v>702</v>
      </c>
      <c r="U2522" t="s">
        <v>34</v>
      </c>
      <c r="V2522">
        <v>-33.69</v>
      </c>
    </row>
    <row r="2523" spans="1:22" x14ac:dyDescent="0.3">
      <c r="A2523" t="s">
        <v>3969</v>
      </c>
      <c r="B2523" s="2">
        <v>45970</v>
      </c>
      <c r="C2523" t="s">
        <v>305</v>
      </c>
      <c r="D2523" t="s">
        <v>49</v>
      </c>
      <c r="E2523" t="s">
        <v>119</v>
      </c>
      <c r="F2523">
        <v>2</v>
      </c>
      <c r="G2523">
        <v>0.1</v>
      </c>
      <c r="H2523">
        <v>16200</v>
      </c>
      <c r="I2523">
        <v>3571.51</v>
      </c>
      <c r="J2523" t="s">
        <v>39</v>
      </c>
      <c r="K2523" t="s">
        <v>40</v>
      </c>
      <c r="L2523">
        <v>8100</v>
      </c>
      <c r="M2523">
        <v>22.046358024691362</v>
      </c>
      <c r="N2523" t="s">
        <v>8</v>
      </c>
      <c r="O2523" t="s">
        <v>306</v>
      </c>
      <c r="P2523" t="s">
        <v>29</v>
      </c>
      <c r="Q2523" t="s">
        <v>30</v>
      </c>
      <c r="R2523" t="s">
        <v>60</v>
      </c>
      <c r="S2523" t="s">
        <v>61</v>
      </c>
      <c r="T2523" t="s">
        <v>307</v>
      </c>
      <c r="U2523" t="s">
        <v>34</v>
      </c>
      <c r="V2523">
        <v>1785.7550000000001</v>
      </c>
    </row>
    <row r="2524" spans="1:22" x14ac:dyDescent="0.3">
      <c r="A2524" t="s">
        <v>3970</v>
      </c>
      <c r="B2524" s="2">
        <v>46230</v>
      </c>
      <c r="C2524" t="s">
        <v>1690</v>
      </c>
      <c r="D2524" t="s">
        <v>37</v>
      </c>
      <c r="E2524" t="s">
        <v>38</v>
      </c>
      <c r="F2524">
        <v>2</v>
      </c>
      <c r="G2524">
        <v>0</v>
      </c>
      <c r="H2524">
        <v>3600</v>
      </c>
      <c r="I2524">
        <v>1300</v>
      </c>
      <c r="J2524" t="s">
        <v>51</v>
      </c>
      <c r="K2524" t="s">
        <v>40</v>
      </c>
      <c r="L2524">
        <v>1800</v>
      </c>
      <c r="M2524">
        <v>36.111111111111107</v>
      </c>
      <c r="N2524" t="s">
        <v>8</v>
      </c>
      <c r="O2524" t="s">
        <v>1566</v>
      </c>
      <c r="P2524" t="s">
        <v>73</v>
      </c>
      <c r="Q2524" t="s">
        <v>30</v>
      </c>
      <c r="R2524" t="s">
        <v>53</v>
      </c>
      <c r="S2524" t="s">
        <v>54</v>
      </c>
      <c r="T2524" t="s">
        <v>1691</v>
      </c>
      <c r="U2524" t="s">
        <v>105</v>
      </c>
      <c r="V2524">
        <v>650</v>
      </c>
    </row>
    <row r="2525" spans="1:22" x14ac:dyDescent="0.3">
      <c r="A2525" t="s">
        <v>3971</v>
      </c>
      <c r="B2525" s="2">
        <v>46222</v>
      </c>
      <c r="C2525" t="s">
        <v>910</v>
      </c>
      <c r="D2525" t="s">
        <v>37</v>
      </c>
      <c r="E2525" t="s">
        <v>310</v>
      </c>
      <c r="F2525">
        <v>1</v>
      </c>
      <c r="G2525">
        <v>0.1</v>
      </c>
      <c r="H2525">
        <v>1980</v>
      </c>
      <c r="I2525">
        <v>-330.47</v>
      </c>
      <c r="J2525" t="s">
        <v>26</v>
      </c>
      <c r="K2525" t="s">
        <v>434</v>
      </c>
      <c r="L2525">
        <v>1980</v>
      </c>
      <c r="M2525">
        <v>-16.69040404040404</v>
      </c>
      <c r="N2525" t="s">
        <v>81</v>
      </c>
      <c r="O2525" t="s">
        <v>911</v>
      </c>
      <c r="P2525" t="s">
        <v>29</v>
      </c>
      <c r="Q2525" t="s">
        <v>30</v>
      </c>
      <c r="R2525" t="s">
        <v>31</v>
      </c>
      <c r="S2525" t="s">
        <v>32</v>
      </c>
      <c r="T2525" t="s">
        <v>912</v>
      </c>
      <c r="U2525" t="s">
        <v>34</v>
      </c>
      <c r="V2525">
        <v>-330.47</v>
      </c>
    </row>
    <row r="2526" spans="1:22" x14ac:dyDescent="0.3">
      <c r="A2526" t="s">
        <v>3972</v>
      </c>
      <c r="B2526" s="2">
        <v>46209</v>
      </c>
      <c r="C2526" t="s">
        <v>241</v>
      </c>
      <c r="D2526" t="s">
        <v>70</v>
      </c>
      <c r="E2526" t="s">
        <v>71</v>
      </c>
      <c r="F2526">
        <v>2</v>
      </c>
      <c r="G2526">
        <v>0.05</v>
      </c>
      <c r="H2526">
        <v>34200</v>
      </c>
      <c r="I2526">
        <v>5877.81</v>
      </c>
      <c r="J2526" t="s">
        <v>51</v>
      </c>
      <c r="K2526" t="s">
        <v>40</v>
      </c>
      <c r="L2526">
        <v>17100</v>
      </c>
      <c r="M2526">
        <v>17.186578947368421</v>
      </c>
      <c r="N2526" t="s">
        <v>8</v>
      </c>
      <c r="O2526" t="s">
        <v>243</v>
      </c>
      <c r="P2526" t="s">
        <v>73</v>
      </c>
      <c r="Q2526" t="s">
        <v>74</v>
      </c>
      <c r="R2526" t="s">
        <v>75</v>
      </c>
      <c r="S2526" t="s">
        <v>75</v>
      </c>
      <c r="T2526" t="s">
        <v>244</v>
      </c>
      <c r="U2526" t="s">
        <v>34</v>
      </c>
      <c r="V2526">
        <v>2938.9050000000002</v>
      </c>
    </row>
    <row r="2527" spans="1:22" x14ac:dyDescent="0.3">
      <c r="A2527" t="s">
        <v>3973</v>
      </c>
      <c r="B2527" s="2">
        <v>46095</v>
      </c>
      <c r="C2527" t="s">
        <v>1497</v>
      </c>
      <c r="D2527" t="s">
        <v>49</v>
      </c>
      <c r="E2527" t="s">
        <v>79</v>
      </c>
      <c r="F2527">
        <v>1</v>
      </c>
      <c r="G2527">
        <v>0.05</v>
      </c>
      <c r="H2527">
        <v>10450</v>
      </c>
      <c r="I2527">
        <v>2270.15</v>
      </c>
      <c r="J2527" t="s">
        <v>39</v>
      </c>
      <c r="K2527" t="s">
        <v>27</v>
      </c>
      <c r="L2527">
        <v>10450</v>
      </c>
      <c r="M2527">
        <v>21.72392344497608</v>
      </c>
      <c r="N2527" t="s">
        <v>8</v>
      </c>
      <c r="O2527" t="s">
        <v>88</v>
      </c>
      <c r="P2527" t="s">
        <v>73</v>
      </c>
      <c r="Q2527" t="s">
        <v>30</v>
      </c>
      <c r="R2527" t="s">
        <v>31</v>
      </c>
      <c r="S2527" t="s">
        <v>32</v>
      </c>
      <c r="T2527" t="s">
        <v>1498</v>
      </c>
      <c r="U2527" t="s">
        <v>46</v>
      </c>
      <c r="V2527">
        <v>2270.15</v>
      </c>
    </row>
    <row r="2528" spans="1:22" x14ac:dyDescent="0.3">
      <c r="A2528" t="s">
        <v>3974</v>
      </c>
      <c r="B2528" s="2">
        <v>46248</v>
      </c>
      <c r="C2528" t="s">
        <v>2257</v>
      </c>
      <c r="D2528" t="s">
        <v>24</v>
      </c>
      <c r="E2528" t="s">
        <v>92</v>
      </c>
      <c r="F2528">
        <v>1</v>
      </c>
      <c r="G2528">
        <v>0</v>
      </c>
      <c r="H2528">
        <v>900</v>
      </c>
      <c r="I2528">
        <v>280</v>
      </c>
      <c r="J2528" t="s">
        <v>26</v>
      </c>
      <c r="K2528" t="s">
        <v>40</v>
      </c>
      <c r="L2528">
        <v>900</v>
      </c>
      <c r="M2528">
        <v>31.111111111111111</v>
      </c>
      <c r="N2528" t="s">
        <v>8</v>
      </c>
      <c r="O2528" t="s">
        <v>626</v>
      </c>
      <c r="P2528" t="s">
        <v>29</v>
      </c>
      <c r="Q2528" t="s">
        <v>42</v>
      </c>
      <c r="R2528" t="s">
        <v>110</v>
      </c>
      <c r="S2528" t="s">
        <v>111</v>
      </c>
      <c r="T2528" t="s">
        <v>2258</v>
      </c>
      <c r="U2528" t="s">
        <v>46</v>
      </c>
      <c r="V2528">
        <v>280</v>
      </c>
    </row>
    <row r="2529" spans="1:22" x14ac:dyDescent="0.3">
      <c r="A2529" t="s">
        <v>3975</v>
      </c>
      <c r="B2529" s="2">
        <v>46178</v>
      </c>
      <c r="C2529" t="s">
        <v>152</v>
      </c>
      <c r="D2529" t="s">
        <v>24</v>
      </c>
      <c r="E2529" t="s">
        <v>87</v>
      </c>
      <c r="F2529">
        <v>5</v>
      </c>
      <c r="G2529">
        <v>0.05</v>
      </c>
      <c r="H2529">
        <v>1662.5</v>
      </c>
      <c r="I2529">
        <v>545.04</v>
      </c>
      <c r="J2529" t="s">
        <v>65</v>
      </c>
      <c r="K2529" t="s">
        <v>40</v>
      </c>
      <c r="L2529">
        <v>332.5</v>
      </c>
      <c r="M2529">
        <v>32.784360902255642</v>
      </c>
      <c r="N2529" t="s">
        <v>8</v>
      </c>
      <c r="O2529" t="s">
        <v>153</v>
      </c>
      <c r="P2529" t="s">
        <v>83</v>
      </c>
      <c r="Q2529" t="s">
        <v>30</v>
      </c>
      <c r="R2529" t="s">
        <v>53</v>
      </c>
      <c r="S2529" t="s">
        <v>54</v>
      </c>
      <c r="T2529" t="s">
        <v>154</v>
      </c>
      <c r="U2529" t="s">
        <v>100</v>
      </c>
      <c r="V2529">
        <v>109.008</v>
      </c>
    </row>
    <row r="2530" spans="1:22" x14ac:dyDescent="0.3">
      <c r="A2530" t="s">
        <v>3976</v>
      </c>
      <c r="B2530" s="2">
        <v>46025</v>
      </c>
      <c r="C2530" t="s">
        <v>1116</v>
      </c>
      <c r="D2530" t="s">
        <v>70</v>
      </c>
      <c r="E2530" t="s">
        <v>108</v>
      </c>
      <c r="F2530">
        <v>1</v>
      </c>
      <c r="G2530">
        <v>0.05</v>
      </c>
      <c r="H2530">
        <v>4275</v>
      </c>
      <c r="I2530">
        <v>-125.72</v>
      </c>
      <c r="J2530" t="s">
        <v>26</v>
      </c>
      <c r="K2530" t="s">
        <v>434</v>
      </c>
      <c r="L2530">
        <v>4275</v>
      </c>
      <c r="M2530">
        <v>-2.9408187134502919</v>
      </c>
      <c r="N2530" t="s">
        <v>81</v>
      </c>
      <c r="O2530" t="s">
        <v>1117</v>
      </c>
      <c r="P2530" t="s">
        <v>29</v>
      </c>
      <c r="Q2530" t="s">
        <v>30</v>
      </c>
      <c r="R2530" t="s">
        <v>98</v>
      </c>
      <c r="S2530" t="s">
        <v>54</v>
      </c>
      <c r="T2530" t="s">
        <v>1118</v>
      </c>
      <c r="U2530" t="s">
        <v>34</v>
      </c>
      <c r="V2530">
        <v>-125.72</v>
      </c>
    </row>
    <row r="2531" spans="1:22" x14ac:dyDescent="0.3">
      <c r="A2531" t="s">
        <v>3977</v>
      </c>
      <c r="B2531" s="2">
        <v>45968</v>
      </c>
      <c r="C2531" t="s">
        <v>921</v>
      </c>
      <c r="D2531" t="s">
        <v>49</v>
      </c>
      <c r="E2531" t="s">
        <v>119</v>
      </c>
      <c r="F2531">
        <v>5</v>
      </c>
      <c r="G2531">
        <v>0.1</v>
      </c>
      <c r="H2531">
        <v>40500</v>
      </c>
      <c r="I2531">
        <v>8450.69</v>
      </c>
      <c r="J2531" t="s">
        <v>65</v>
      </c>
      <c r="K2531" t="s">
        <v>27</v>
      </c>
      <c r="L2531">
        <v>8100</v>
      </c>
      <c r="M2531">
        <v>20.8659012345679</v>
      </c>
      <c r="N2531" t="s">
        <v>8</v>
      </c>
      <c r="O2531" t="s">
        <v>922</v>
      </c>
      <c r="P2531" t="s">
        <v>29</v>
      </c>
      <c r="Q2531" t="s">
        <v>30</v>
      </c>
      <c r="R2531" t="s">
        <v>53</v>
      </c>
      <c r="S2531" t="s">
        <v>54</v>
      </c>
      <c r="T2531" t="s">
        <v>923</v>
      </c>
      <c r="U2531" t="s">
        <v>105</v>
      </c>
      <c r="V2531">
        <v>1690.1379999999999</v>
      </c>
    </row>
    <row r="2532" spans="1:22" x14ac:dyDescent="0.3">
      <c r="A2532" t="s">
        <v>3978</v>
      </c>
      <c r="B2532" s="2">
        <v>46209</v>
      </c>
      <c r="C2532" t="s">
        <v>297</v>
      </c>
      <c r="D2532" t="s">
        <v>24</v>
      </c>
      <c r="E2532" t="s">
        <v>242</v>
      </c>
      <c r="F2532">
        <v>1</v>
      </c>
      <c r="G2532">
        <v>0.1</v>
      </c>
      <c r="H2532">
        <v>405</v>
      </c>
      <c r="I2532">
        <v>86.61</v>
      </c>
      <c r="J2532" t="s">
        <v>51</v>
      </c>
      <c r="K2532" t="s">
        <v>40</v>
      </c>
      <c r="L2532">
        <v>405</v>
      </c>
      <c r="M2532">
        <v>21.38518518518519</v>
      </c>
      <c r="N2532" t="s">
        <v>8</v>
      </c>
      <c r="O2532" t="s">
        <v>298</v>
      </c>
      <c r="P2532" t="s">
        <v>83</v>
      </c>
      <c r="Q2532" t="s">
        <v>30</v>
      </c>
      <c r="R2532" t="s">
        <v>60</v>
      </c>
      <c r="S2532" t="s">
        <v>61</v>
      </c>
      <c r="T2532" t="s">
        <v>299</v>
      </c>
      <c r="U2532" t="s">
        <v>46</v>
      </c>
      <c r="V2532">
        <v>86.61</v>
      </c>
    </row>
    <row r="2533" spans="1:22" x14ac:dyDescent="0.3">
      <c r="A2533" t="s">
        <v>3979</v>
      </c>
      <c r="B2533" s="2">
        <v>45844</v>
      </c>
      <c r="C2533" t="s">
        <v>675</v>
      </c>
      <c r="D2533" t="s">
        <v>24</v>
      </c>
      <c r="E2533" t="s">
        <v>92</v>
      </c>
      <c r="F2533">
        <v>1</v>
      </c>
      <c r="G2533">
        <v>0.15</v>
      </c>
      <c r="H2533">
        <v>765</v>
      </c>
      <c r="I2533">
        <v>206.56</v>
      </c>
      <c r="J2533" t="s">
        <v>39</v>
      </c>
      <c r="K2533" t="s">
        <v>40</v>
      </c>
      <c r="L2533">
        <v>765</v>
      </c>
      <c r="M2533">
        <v>27.00130718954248</v>
      </c>
      <c r="N2533" t="s">
        <v>8</v>
      </c>
      <c r="O2533" t="s">
        <v>255</v>
      </c>
      <c r="P2533" t="s">
        <v>29</v>
      </c>
      <c r="Q2533" t="s">
        <v>30</v>
      </c>
      <c r="R2533" t="s">
        <v>60</v>
      </c>
      <c r="S2533" t="s">
        <v>61</v>
      </c>
      <c r="T2533" t="s">
        <v>676</v>
      </c>
      <c r="U2533" t="s">
        <v>105</v>
      </c>
      <c r="V2533">
        <v>206.56</v>
      </c>
    </row>
    <row r="2534" spans="1:22" x14ac:dyDescent="0.3">
      <c r="A2534" t="s">
        <v>3980</v>
      </c>
      <c r="B2534" s="2">
        <v>46193</v>
      </c>
      <c r="C2534" t="s">
        <v>525</v>
      </c>
      <c r="D2534" t="s">
        <v>70</v>
      </c>
      <c r="E2534" t="s">
        <v>165</v>
      </c>
      <c r="F2534">
        <v>2</v>
      </c>
      <c r="G2534">
        <v>0</v>
      </c>
      <c r="H2534">
        <v>5000</v>
      </c>
      <c r="I2534">
        <v>1600</v>
      </c>
      <c r="J2534" t="s">
        <v>39</v>
      </c>
      <c r="K2534" t="s">
        <v>40</v>
      </c>
      <c r="L2534">
        <v>2500</v>
      </c>
      <c r="M2534">
        <v>32</v>
      </c>
      <c r="N2534" t="s">
        <v>8</v>
      </c>
      <c r="O2534" t="s">
        <v>526</v>
      </c>
      <c r="P2534" t="s">
        <v>29</v>
      </c>
      <c r="Q2534" t="s">
        <v>30</v>
      </c>
      <c r="R2534" t="s">
        <v>98</v>
      </c>
      <c r="S2534" t="s">
        <v>54</v>
      </c>
      <c r="T2534" t="s">
        <v>527</v>
      </c>
      <c r="U2534" t="s">
        <v>34</v>
      </c>
      <c r="V2534">
        <v>800</v>
      </c>
    </row>
    <row r="2535" spans="1:22" x14ac:dyDescent="0.3">
      <c r="A2535" t="s">
        <v>3981</v>
      </c>
      <c r="B2535" s="2">
        <v>46231</v>
      </c>
      <c r="C2535" t="s">
        <v>1951</v>
      </c>
      <c r="D2535" t="s">
        <v>24</v>
      </c>
      <c r="E2535" t="s">
        <v>242</v>
      </c>
      <c r="F2535">
        <v>4</v>
      </c>
      <c r="G2535">
        <v>0.1</v>
      </c>
      <c r="H2535">
        <v>1620</v>
      </c>
      <c r="I2535">
        <v>351.87</v>
      </c>
      <c r="J2535" t="s">
        <v>26</v>
      </c>
      <c r="K2535" t="s">
        <v>40</v>
      </c>
      <c r="L2535">
        <v>405</v>
      </c>
      <c r="M2535">
        <v>21.720370370370372</v>
      </c>
      <c r="N2535" t="s">
        <v>8</v>
      </c>
      <c r="O2535" t="s">
        <v>1952</v>
      </c>
      <c r="P2535" t="s">
        <v>29</v>
      </c>
      <c r="Q2535" t="s">
        <v>30</v>
      </c>
      <c r="R2535" t="s">
        <v>31</v>
      </c>
      <c r="S2535" t="s">
        <v>32</v>
      </c>
      <c r="T2535" t="s">
        <v>1953</v>
      </c>
      <c r="U2535" t="s">
        <v>34</v>
      </c>
      <c r="V2535">
        <v>87.967500000000001</v>
      </c>
    </row>
    <row r="2536" spans="1:22" x14ac:dyDescent="0.3">
      <c r="A2536" t="s">
        <v>3982</v>
      </c>
      <c r="B2536" s="2">
        <v>46042</v>
      </c>
      <c r="C2536" t="s">
        <v>1056</v>
      </c>
      <c r="D2536" t="s">
        <v>37</v>
      </c>
      <c r="E2536" t="s">
        <v>170</v>
      </c>
      <c r="F2536">
        <v>4</v>
      </c>
      <c r="G2536">
        <v>0.15</v>
      </c>
      <c r="H2536">
        <v>4760</v>
      </c>
      <c r="I2536">
        <v>1417.59</v>
      </c>
      <c r="J2536" t="s">
        <v>26</v>
      </c>
      <c r="K2536" t="s">
        <v>40</v>
      </c>
      <c r="L2536">
        <v>1190</v>
      </c>
      <c r="M2536">
        <v>29.781302521008399</v>
      </c>
      <c r="N2536" t="s">
        <v>8</v>
      </c>
      <c r="O2536" t="s">
        <v>1057</v>
      </c>
      <c r="P2536" t="s">
        <v>29</v>
      </c>
      <c r="Q2536" t="s">
        <v>30</v>
      </c>
      <c r="R2536" t="s">
        <v>31</v>
      </c>
      <c r="S2536" t="s">
        <v>32</v>
      </c>
      <c r="T2536" t="s">
        <v>1058</v>
      </c>
      <c r="U2536" t="s">
        <v>34</v>
      </c>
      <c r="V2536">
        <v>354.39749999999998</v>
      </c>
    </row>
    <row r="2537" spans="1:22" x14ac:dyDescent="0.3">
      <c r="A2537" t="s">
        <v>3983</v>
      </c>
      <c r="B2537" s="2">
        <v>45969</v>
      </c>
      <c r="C2537" t="s">
        <v>1872</v>
      </c>
      <c r="D2537" t="s">
        <v>24</v>
      </c>
      <c r="E2537" t="s">
        <v>87</v>
      </c>
      <c r="F2537">
        <v>3</v>
      </c>
      <c r="G2537">
        <v>0</v>
      </c>
      <c r="H2537">
        <v>1050</v>
      </c>
      <c r="I2537">
        <v>360</v>
      </c>
      <c r="J2537" t="s">
        <v>51</v>
      </c>
      <c r="K2537" t="s">
        <v>40</v>
      </c>
      <c r="L2537">
        <v>350</v>
      </c>
      <c r="M2537">
        <v>34.285714285714278</v>
      </c>
      <c r="N2537" t="s">
        <v>8</v>
      </c>
      <c r="O2537" t="s">
        <v>386</v>
      </c>
      <c r="P2537" t="s">
        <v>73</v>
      </c>
      <c r="Q2537" t="s">
        <v>42</v>
      </c>
      <c r="R2537" t="s">
        <v>110</v>
      </c>
      <c r="S2537" t="s">
        <v>111</v>
      </c>
      <c r="T2537" t="s">
        <v>852</v>
      </c>
      <c r="U2537" t="s">
        <v>34</v>
      </c>
      <c r="V2537">
        <v>120</v>
      </c>
    </row>
    <row r="2538" spans="1:22" x14ac:dyDescent="0.3">
      <c r="A2538" t="s">
        <v>3984</v>
      </c>
      <c r="B2538" s="2">
        <v>46084</v>
      </c>
      <c r="C2538" t="s">
        <v>1328</v>
      </c>
      <c r="D2538" t="s">
        <v>24</v>
      </c>
      <c r="E2538" t="s">
        <v>25</v>
      </c>
      <c r="F2538">
        <v>6</v>
      </c>
      <c r="G2538">
        <v>0.1</v>
      </c>
      <c r="H2538">
        <v>75600</v>
      </c>
      <c r="I2538">
        <v>12791.84</v>
      </c>
      <c r="J2538" t="s">
        <v>39</v>
      </c>
      <c r="K2538" t="s">
        <v>40</v>
      </c>
      <c r="L2538">
        <v>12600</v>
      </c>
      <c r="M2538">
        <v>16.920423280423279</v>
      </c>
      <c r="N2538" t="s">
        <v>8</v>
      </c>
      <c r="O2538" t="s">
        <v>1329</v>
      </c>
      <c r="P2538" t="s">
        <v>29</v>
      </c>
      <c r="Q2538" t="s">
        <v>74</v>
      </c>
      <c r="R2538" t="s">
        <v>237</v>
      </c>
      <c r="S2538" t="s">
        <v>238</v>
      </c>
      <c r="T2538" t="s">
        <v>934</v>
      </c>
      <c r="U2538" t="s">
        <v>34</v>
      </c>
      <c r="V2538">
        <v>2131.9733333333329</v>
      </c>
    </row>
    <row r="2539" spans="1:22" x14ac:dyDescent="0.3">
      <c r="A2539" t="s">
        <v>3985</v>
      </c>
      <c r="B2539" s="2">
        <v>46244</v>
      </c>
      <c r="C2539" t="s">
        <v>640</v>
      </c>
      <c r="D2539" t="s">
        <v>24</v>
      </c>
      <c r="E2539" t="s">
        <v>242</v>
      </c>
      <c r="F2539">
        <v>5</v>
      </c>
      <c r="G2539">
        <v>0.1</v>
      </c>
      <c r="H2539">
        <v>2025</v>
      </c>
      <c r="I2539">
        <v>422.67</v>
      </c>
      <c r="J2539" t="s">
        <v>39</v>
      </c>
      <c r="K2539" t="s">
        <v>40</v>
      </c>
      <c r="L2539">
        <v>405</v>
      </c>
      <c r="M2539">
        <v>20.872592592592589</v>
      </c>
      <c r="N2539" t="s">
        <v>8</v>
      </c>
      <c r="O2539" t="s">
        <v>641</v>
      </c>
      <c r="P2539" t="s">
        <v>29</v>
      </c>
      <c r="Q2539" t="s">
        <v>30</v>
      </c>
      <c r="R2539" t="s">
        <v>31</v>
      </c>
      <c r="S2539" t="s">
        <v>32</v>
      </c>
      <c r="T2539" t="s">
        <v>642</v>
      </c>
      <c r="U2539" t="s">
        <v>34</v>
      </c>
      <c r="V2539">
        <v>84.534000000000006</v>
      </c>
    </row>
    <row r="2540" spans="1:22" x14ac:dyDescent="0.3">
      <c r="A2540" t="s">
        <v>3986</v>
      </c>
      <c r="B2540" s="2">
        <v>45881</v>
      </c>
      <c r="C2540" t="s">
        <v>447</v>
      </c>
      <c r="D2540" t="s">
        <v>37</v>
      </c>
      <c r="E2540" t="s">
        <v>310</v>
      </c>
      <c r="F2540">
        <v>1</v>
      </c>
      <c r="G2540">
        <v>0.15</v>
      </c>
      <c r="H2540">
        <v>1870</v>
      </c>
      <c r="I2540">
        <v>569.12</v>
      </c>
      <c r="J2540" t="s">
        <v>51</v>
      </c>
      <c r="K2540" t="s">
        <v>40</v>
      </c>
      <c r="L2540">
        <v>1870</v>
      </c>
      <c r="M2540">
        <v>30.434224598930481</v>
      </c>
      <c r="N2540" t="s">
        <v>8</v>
      </c>
      <c r="O2540" t="s">
        <v>448</v>
      </c>
      <c r="P2540" t="s">
        <v>29</v>
      </c>
      <c r="Q2540" t="s">
        <v>131</v>
      </c>
      <c r="R2540" t="s">
        <v>449</v>
      </c>
      <c r="S2540" t="s">
        <v>450</v>
      </c>
      <c r="T2540" t="s">
        <v>451</v>
      </c>
      <c r="U2540" t="s">
        <v>34</v>
      </c>
      <c r="V2540">
        <v>569.12</v>
      </c>
    </row>
    <row r="2541" spans="1:22" x14ac:dyDescent="0.3">
      <c r="A2541" t="s">
        <v>3987</v>
      </c>
      <c r="B2541" s="2">
        <v>45972</v>
      </c>
      <c r="C2541" t="s">
        <v>501</v>
      </c>
      <c r="D2541" t="s">
        <v>70</v>
      </c>
      <c r="E2541" t="s">
        <v>129</v>
      </c>
      <c r="F2541">
        <v>2</v>
      </c>
      <c r="G2541">
        <v>0.05</v>
      </c>
      <c r="H2541">
        <v>104500</v>
      </c>
      <c r="I2541">
        <v>15292.96</v>
      </c>
      <c r="J2541" t="s">
        <v>65</v>
      </c>
      <c r="K2541" t="s">
        <v>40</v>
      </c>
      <c r="L2541">
        <v>52250</v>
      </c>
      <c r="M2541">
        <v>14.63441148325359</v>
      </c>
      <c r="N2541" t="s">
        <v>8</v>
      </c>
      <c r="O2541" t="s">
        <v>502</v>
      </c>
      <c r="P2541" t="s">
        <v>29</v>
      </c>
      <c r="Q2541" t="s">
        <v>30</v>
      </c>
      <c r="R2541" t="s">
        <v>31</v>
      </c>
      <c r="S2541" t="s">
        <v>32</v>
      </c>
      <c r="T2541" t="s">
        <v>503</v>
      </c>
      <c r="U2541" t="s">
        <v>100</v>
      </c>
      <c r="V2541">
        <v>7646.48</v>
      </c>
    </row>
    <row r="2542" spans="1:22" x14ac:dyDescent="0.3">
      <c r="A2542" t="s">
        <v>3988</v>
      </c>
      <c r="B2542" s="2">
        <v>46217</v>
      </c>
      <c r="C2542" t="s">
        <v>1433</v>
      </c>
      <c r="D2542" t="s">
        <v>70</v>
      </c>
      <c r="E2542" t="s">
        <v>71</v>
      </c>
      <c r="F2542">
        <v>1</v>
      </c>
      <c r="G2542">
        <v>0.05</v>
      </c>
      <c r="H2542">
        <v>17100</v>
      </c>
      <c r="I2542">
        <v>2886.96</v>
      </c>
      <c r="J2542" t="s">
        <v>26</v>
      </c>
      <c r="K2542" t="s">
        <v>40</v>
      </c>
      <c r="L2542">
        <v>17100</v>
      </c>
      <c r="M2542">
        <v>16.882807017543861</v>
      </c>
      <c r="N2542" t="s">
        <v>8</v>
      </c>
      <c r="O2542" t="s">
        <v>318</v>
      </c>
      <c r="P2542" t="s">
        <v>73</v>
      </c>
      <c r="Q2542" t="s">
        <v>30</v>
      </c>
      <c r="R2542" t="s">
        <v>53</v>
      </c>
      <c r="S2542" t="s">
        <v>54</v>
      </c>
      <c r="T2542" t="s">
        <v>1434</v>
      </c>
      <c r="U2542" t="s">
        <v>34</v>
      </c>
      <c r="V2542">
        <v>2886.96</v>
      </c>
    </row>
    <row r="2543" spans="1:22" x14ac:dyDescent="0.3">
      <c r="A2543" t="s">
        <v>3989</v>
      </c>
      <c r="B2543" s="2">
        <v>45908</v>
      </c>
      <c r="C2543" t="s">
        <v>761</v>
      </c>
      <c r="D2543" t="s">
        <v>24</v>
      </c>
      <c r="E2543" t="s">
        <v>92</v>
      </c>
      <c r="F2543">
        <v>2</v>
      </c>
      <c r="G2543">
        <v>0.1</v>
      </c>
      <c r="H2543">
        <v>1620</v>
      </c>
      <c r="I2543">
        <v>412.91</v>
      </c>
      <c r="J2543" t="s">
        <v>26</v>
      </c>
      <c r="K2543" t="s">
        <v>40</v>
      </c>
      <c r="L2543">
        <v>810</v>
      </c>
      <c r="M2543">
        <v>25.488271604938269</v>
      </c>
      <c r="N2543" t="s">
        <v>8</v>
      </c>
      <c r="O2543" t="s">
        <v>762</v>
      </c>
      <c r="P2543" t="s">
        <v>29</v>
      </c>
      <c r="Q2543" t="s">
        <v>131</v>
      </c>
      <c r="R2543" t="s">
        <v>132</v>
      </c>
      <c r="S2543" t="s">
        <v>133</v>
      </c>
      <c r="T2543" t="s">
        <v>763</v>
      </c>
      <c r="U2543" t="s">
        <v>105</v>
      </c>
      <c r="V2543">
        <v>206.45500000000001</v>
      </c>
    </row>
    <row r="2544" spans="1:22" x14ac:dyDescent="0.3">
      <c r="A2544" t="s">
        <v>3990</v>
      </c>
      <c r="B2544" s="2">
        <v>45856</v>
      </c>
      <c r="C2544" t="s">
        <v>377</v>
      </c>
      <c r="D2544" t="s">
        <v>70</v>
      </c>
      <c r="E2544" t="s">
        <v>129</v>
      </c>
      <c r="F2544">
        <v>15</v>
      </c>
      <c r="G2544">
        <v>0.2</v>
      </c>
      <c r="H2544">
        <v>660000</v>
      </c>
      <c r="I2544">
        <v>-479560.98</v>
      </c>
      <c r="J2544" t="s">
        <v>65</v>
      </c>
      <c r="K2544" t="s">
        <v>434</v>
      </c>
      <c r="L2544">
        <v>44000</v>
      </c>
      <c r="M2544">
        <v>-72.660754545454537</v>
      </c>
      <c r="N2544" t="s">
        <v>81</v>
      </c>
      <c r="O2544" t="s">
        <v>378</v>
      </c>
      <c r="P2544" t="s">
        <v>29</v>
      </c>
      <c r="Q2544" t="s">
        <v>30</v>
      </c>
      <c r="R2544" t="s">
        <v>31</v>
      </c>
      <c r="S2544" t="s">
        <v>32</v>
      </c>
      <c r="T2544" t="s">
        <v>379</v>
      </c>
      <c r="U2544" t="s">
        <v>34</v>
      </c>
      <c r="V2544">
        <v>-31970.732</v>
      </c>
    </row>
    <row r="2545" spans="1:22" x14ac:dyDescent="0.3">
      <c r="A2545" t="s">
        <v>3991</v>
      </c>
      <c r="B2545" s="2">
        <v>46018</v>
      </c>
      <c r="C2545" t="s">
        <v>204</v>
      </c>
      <c r="D2545" t="s">
        <v>49</v>
      </c>
      <c r="E2545" t="s">
        <v>119</v>
      </c>
      <c r="F2545">
        <v>2</v>
      </c>
      <c r="G2545">
        <v>0.2</v>
      </c>
      <c r="H2545">
        <v>14400</v>
      </c>
      <c r="I2545">
        <v>2428.69</v>
      </c>
      <c r="J2545" t="s">
        <v>51</v>
      </c>
      <c r="K2545" t="s">
        <v>40</v>
      </c>
      <c r="L2545">
        <v>7200</v>
      </c>
      <c r="M2545">
        <v>16.86590277777778</v>
      </c>
      <c r="N2545" t="s">
        <v>8</v>
      </c>
      <c r="O2545" t="s">
        <v>205</v>
      </c>
      <c r="P2545" t="s">
        <v>29</v>
      </c>
      <c r="Q2545" t="s">
        <v>30</v>
      </c>
      <c r="R2545" t="s">
        <v>98</v>
      </c>
      <c r="S2545" t="s">
        <v>54</v>
      </c>
      <c r="T2545" t="s">
        <v>206</v>
      </c>
      <c r="U2545" t="s">
        <v>34</v>
      </c>
      <c r="V2545">
        <v>1214.345</v>
      </c>
    </row>
    <row r="2546" spans="1:22" x14ac:dyDescent="0.3">
      <c r="A2546" t="s">
        <v>3992</v>
      </c>
      <c r="B2546" s="2">
        <v>46214</v>
      </c>
      <c r="C2546" t="s">
        <v>1785</v>
      </c>
      <c r="D2546" t="s">
        <v>70</v>
      </c>
      <c r="E2546" t="s">
        <v>71</v>
      </c>
      <c r="F2546">
        <v>2</v>
      </c>
      <c r="G2546">
        <v>0</v>
      </c>
      <c r="H2546">
        <v>36000</v>
      </c>
      <c r="I2546">
        <v>-18963.68</v>
      </c>
      <c r="J2546" t="s">
        <v>26</v>
      </c>
      <c r="K2546" t="s">
        <v>434</v>
      </c>
      <c r="L2546">
        <v>18000</v>
      </c>
      <c r="M2546">
        <v>-52.676888888888882</v>
      </c>
      <c r="N2546" t="s">
        <v>81</v>
      </c>
      <c r="O2546" t="s">
        <v>1786</v>
      </c>
      <c r="P2546" t="s">
        <v>83</v>
      </c>
      <c r="Q2546" t="s">
        <v>30</v>
      </c>
      <c r="R2546" t="s">
        <v>53</v>
      </c>
      <c r="S2546" t="s">
        <v>54</v>
      </c>
      <c r="T2546" t="s">
        <v>227</v>
      </c>
      <c r="U2546" t="s">
        <v>46</v>
      </c>
      <c r="V2546">
        <v>-9481.84</v>
      </c>
    </row>
    <row r="2547" spans="1:22" x14ac:dyDescent="0.3">
      <c r="A2547" t="s">
        <v>3993</v>
      </c>
      <c r="B2547" s="2">
        <v>45857</v>
      </c>
      <c r="C2547" t="s">
        <v>1028</v>
      </c>
      <c r="D2547" t="s">
        <v>37</v>
      </c>
      <c r="E2547" t="s">
        <v>190</v>
      </c>
      <c r="F2547">
        <v>1</v>
      </c>
      <c r="G2547">
        <v>0.05</v>
      </c>
      <c r="H2547">
        <v>3990</v>
      </c>
      <c r="I2547">
        <v>1083.1199999999999</v>
      </c>
      <c r="J2547" t="s">
        <v>65</v>
      </c>
      <c r="K2547" t="s">
        <v>40</v>
      </c>
      <c r="L2547">
        <v>3990</v>
      </c>
      <c r="M2547">
        <v>27.14586466165413</v>
      </c>
      <c r="N2547" t="s">
        <v>8</v>
      </c>
      <c r="O2547" t="s">
        <v>390</v>
      </c>
      <c r="P2547" t="s">
        <v>29</v>
      </c>
      <c r="Q2547" t="s">
        <v>74</v>
      </c>
      <c r="R2547" t="s">
        <v>237</v>
      </c>
      <c r="S2547" t="s">
        <v>238</v>
      </c>
      <c r="T2547" t="s">
        <v>1029</v>
      </c>
      <c r="U2547" t="s">
        <v>46</v>
      </c>
      <c r="V2547">
        <v>1083.1199999999999</v>
      </c>
    </row>
    <row r="2548" spans="1:22" x14ac:dyDescent="0.3">
      <c r="A2548" t="s">
        <v>3994</v>
      </c>
      <c r="B2548" s="2">
        <v>46077</v>
      </c>
      <c r="C2548" t="s">
        <v>1637</v>
      </c>
      <c r="D2548" t="s">
        <v>70</v>
      </c>
      <c r="E2548" t="s">
        <v>71</v>
      </c>
      <c r="F2548">
        <v>1</v>
      </c>
      <c r="G2548">
        <v>0.1</v>
      </c>
      <c r="H2548">
        <v>16200</v>
      </c>
      <c r="I2548">
        <v>2547.81</v>
      </c>
      <c r="J2548" t="s">
        <v>51</v>
      </c>
      <c r="K2548" t="s">
        <v>40</v>
      </c>
      <c r="L2548">
        <v>16200</v>
      </c>
      <c r="M2548">
        <v>15.72722222222222</v>
      </c>
      <c r="N2548" t="s">
        <v>8</v>
      </c>
      <c r="O2548" t="s">
        <v>697</v>
      </c>
      <c r="P2548" t="s">
        <v>29</v>
      </c>
      <c r="Q2548" t="s">
        <v>30</v>
      </c>
      <c r="R2548" t="s">
        <v>31</v>
      </c>
      <c r="S2548" t="s">
        <v>32</v>
      </c>
      <c r="T2548" t="s">
        <v>1638</v>
      </c>
      <c r="U2548" t="s">
        <v>46</v>
      </c>
      <c r="V2548">
        <v>2547.81</v>
      </c>
    </row>
    <row r="2549" spans="1:22" x14ac:dyDescent="0.3">
      <c r="A2549" t="s">
        <v>3995</v>
      </c>
      <c r="B2549" s="2">
        <v>46067</v>
      </c>
      <c r="C2549" t="s">
        <v>726</v>
      </c>
      <c r="D2549" t="s">
        <v>24</v>
      </c>
      <c r="E2549" t="s">
        <v>242</v>
      </c>
      <c r="F2549">
        <v>6</v>
      </c>
      <c r="G2549">
        <v>0.05</v>
      </c>
      <c r="H2549">
        <v>2565</v>
      </c>
      <c r="I2549">
        <v>566.41999999999996</v>
      </c>
      <c r="J2549" t="s">
        <v>65</v>
      </c>
      <c r="K2549" t="s">
        <v>27</v>
      </c>
      <c r="L2549">
        <v>427.5</v>
      </c>
      <c r="M2549">
        <v>22.082651072124751</v>
      </c>
      <c r="N2549" t="s">
        <v>8</v>
      </c>
      <c r="O2549" t="s">
        <v>727</v>
      </c>
      <c r="P2549" t="s">
        <v>29</v>
      </c>
      <c r="Q2549" t="s">
        <v>30</v>
      </c>
      <c r="R2549" t="s">
        <v>31</v>
      </c>
      <c r="S2549" t="s">
        <v>32</v>
      </c>
      <c r="T2549" t="s">
        <v>33</v>
      </c>
      <c r="U2549" t="s">
        <v>34</v>
      </c>
      <c r="V2549">
        <v>94.403333333333322</v>
      </c>
    </row>
    <row r="2550" spans="1:22" x14ac:dyDescent="0.3">
      <c r="A2550" t="s">
        <v>3996</v>
      </c>
      <c r="B2550" s="2">
        <v>46197</v>
      </c>
      <c r="C2550" t="s">
        <v>321</v>
      </c>
      <c r="D2550" t="s">
        <v>70</v>
      </c>
      <c r="E2550" t="s">
        <v>71</v>
      </c>
      <c r="F2550">
        <v>1</v>
      </c>
      <c r="G2550">
        <v>0.1</v>
      </c>
      <c r="H2550">
        <v>16200</v>
      </c>
      <c r="I2550">
        <v>2209.42</v>
      </c>
      <c r="J2550" t="s">
        <v>39</v>
      </c>
      <c r="K2550" t="s">
        <v>40</v>
      </c>
      <c r="L2550">
        <v>16200</v>
      </c>
      <c r="M2550">
        <v>13.638395061728399</v>
      </c>
      <c r="N2550" t="s">
        <v>8</v>
      </c>
      <c r="O2550" t="s">
        <v>322</v>
      </c>
      <c r="P2550" t="s">
        <v>29</v>
      </c>
      <c r="Q2550" t="s">
        <v>30</v>
      </c>
      <c r="R2550" t="s">
        <v>31</v>
      </c>
      <c r="S2550" t="s">
        <v>32</v>
      </c>
      <c r="T2550" t="s">
        <v>323</v>
      </c>
      <c r="U2550" t="s">
        <v>34</v>
      </c>
      <c r="V2550">
        <v>2209.42</v>
      </c>
    </row>
    <row r="2551" spans="1:22" x14ac:dyDescent="0.3">
      <c r="A2551" t="s">
        <v>3997</v>
      </c>
      <c r="B2551" s="2">
        <v>46206</v>
      </c>
      <c r="C2551" t="s">
        <v>305</v>
      </c>
      <c r="D2551" t="s">
        <v>70</v>
      </c>
      <c r="E2551" t="s">
        <v>108</v>
      </c>
      <c r="F2551">
        <v>1</v>
      </c>
      <c r="G2551">
        <v>0.1</v>
      </c>
      <c r="H2551">
        <v>4050</v>
      </c>
      <c r="I2551">
        <v>1257.3499999999999</v>
      </c>
      <c r="J2551" t="s">
        <v>51</v>
      </c>
      <c r="K2551" t="s">
        <v>27</v>
      </c>
      <c r="L2551">
        <v>4050</v>
      </c>
      <c r="M2551">
        <v>31.04567901234568</v>
      </c>
      <c r="N2551" t="s">
        <v>8</v>
      </c>
      <c r="O2551" t="s">
        <v>306</v>
      </c>
      <c r="P2551" t="s">
        <v>29</v>
      </c>
      <c r="Q2551" t="s">
        <v>30</v>
      </c>
      <c r="R2551" t="s">
        <v>60</v>
      </c>
      <c r="S2551" t="s">
        <v>61</v>
      </c>
      <c r="T2551" t="s">
        <v>307</v>
      </c>
      <c r="U2551" t="s">
        <v>34</v>
      </c>
      <c r="V2551">
        <v>1257.3499999999999</v>
      </c>
    </row>
    <row r="2552" spans="1:22" x14ac:dyDescent="0.3">
      <c r="A2552" t="s">
        <v>3998</v>
      </c>
      <c r="B2552" s="2">
        <v>46077</v>
      </c>
      <c r="C2552" t="s">
        <v>2915</v>
      </c>
      <c r="D2552" t="s">
        <v>49</v>
      </c>
      <c r="E2552" t="s">
        <v>58</v>
      </c>
      <c r="F2552">
        <v>1</v>
      </c>
      <c r="G2552">
        <v>0.1</v>
      </c>
      <c r="H2552">
        <v>13500</v>
      </c>
      <c r="I2552">
        <v>2278.12</v>
      </c>
      <c r="J2552" t="s">
        <v>26</v>
      </c>
      <c r="K2552" t="s">
        <v>40</v>
      </c>
      <c r="L2552">
        <v>13500</v>
      </c>
      <c r="M2552">
        <v>16.874962962962961</v>
      </c>
      <c r="N2552" t="s">
        <v>8</v>
      </c>
      <c r="O2552" t="s">
        <v>2323</v>
      </c>
      <c r="P2552" t="s">
        <v>73</v>
      </c>
      <c r="Q2552" t="s">
        <v>131</v>
      </c>
      <c r="R2552" t="s">
        <v>132</v>
      </c>
      <c r="S2552" t="s">
        <v>133</v>
      </c>
      <c r="T2552" t="s">
        <v>2916</v>
      </c>
      <c r="U2552" t="s">
        <v>34</v>
      </c>
      <c r="V2552">
        <v>2278.12</v>
      </c>
    </row>
    <row r="2553" spans="1:22" x14ac:dyDescent="0.3">
      <c r="A2553" t="s">
        <v>3999</v>
      </c>
      <c r="B2553" s="2">
        <v>45847</v>
      </c>
      <c r="C2553" t="s">
        <v>2078</v>
      </c>
      <c r="D2553" t="s">
        <v>37</v>
      </c>
      <c r="E2553" t="s">
        <v>170</v>
      </c>
      <c r="F2553">
        <v>1</v>
      </c>
      <c r="G2553">
        <v>0</v>
      </c>
      <c r="H2553">
        <v>1400</v>
      </c>
      <c r="I2553">
        <v>500</v>
      </c>
      <c r="J2553" t="s">
        <v>26</v>
      </c>
      <c r="K2553" t="s">
        <v>40</v>
      </c>
      <c r="L2553">
        <v>1400</v>
      </c>
      <c r="M2553">
        <v>35.714285714285722</v>
      </c>
      <c r="N2553" t="s">
        <v>8</v>
      </c>
      <c r="O2553" t="s">
        <v>2079</v>
      </c>
      <c r="P2553" t="s">
        <v>73</v>
      </c>
      <c r="Q2553" t="s">
        <v>74</v>
      </c>
      <c r="R2553" t="s">
        <v>237</v>
      </c>
      <c r="S2553" t="s">
        <v>238</v>
      </c>
      <c r="T2553" t="s">
        <v>2080</v>
      </c>
      <c r="U2553" t="s">
        <v>34</v>
      </c>
      <c r="V2553">
        <v>500</v>
      </c>
    </row>
    <row r="2554" spans="1:22" x14ac:dyDescent="0.3">
      <c r="A2554" t="s">
        <v>4000</v>
      </c>
      <c r="B2554" s="2">
        <v>45920</v>
      </c>
      <c r="C2554" t="s">
        <v>710</v>
      </c>
      <c r="D2554" t="s">
        <v>24</v>
      </c>
      <c r="E2554" t="s">
        <v>87</v>
      </c>
      <c r="F2554">
        <v>3</v>
      </c>
      <c r="G2554">
        <v>0.05</v>
      </c>
      <c r="H2554">
        <v>997.5</v>
      </c>
      <c r="I2554">
        <v>326.52</v>
      </c>
      <c r="J2554" t="s">
        <v>65</v>
      </c>
      <c r="K2554" t="s">
        <v>40</v>
      </c>
      <c r="L2554">
        <v>332.5</v>
      </c>
      <c r="M2554">
        <v>32.733834586466173</v>
      </c>
      <c r="N2554" t="s">
        <v>8</v>
      </c>
      <c r="O2554" t="s">
        <v>711</v>
      </c>
      <c r="P2554" t="s">
        <v>29</v>
      </c>
      <c r="Q2554" t="s">
        <v>30</v>
      </c>
      <c r="R2554" t="s">
        <v>53</v>
      </c>
      <c r="S2554" t="s">
        <v>54</v>
      </c>
      <c r="T2554" t="s">
        <v>712</v>
      </c>
      <c r="U2554" t="s">
        <v>34</v>
      </c>
      <c r="V2554">
        <v>108.84</v>
      </c>
    </row>
    <row r="2555" spans="1:22" x14ac:dyDescent="0.3">
      <c r="A2555" t="s">
        <v>4001</v>
      </c>
      <c r="B2555" s="2">
        <v>46152</v>
      </c>
      <c r="C2555" t="s">
        <v>994</v>
      </c>
      <c r="D2555" t="s">
        <v>37</v>
      </c>
      <c r="E2555" t="s">
        <v>190</v>
      </c>
      <c r="F2555">
        <v>5</v>
      </c>
      <c r="G2555">
        <v>0</v>
      </c>
      <c r="H2555">
        <v>21000</v>
      </c>
      <c r="I2555">
        <v>6000</v>
      </c>
      <c r="J2555" t="s">
        <v>39</v>
      </c>
      <c r="K2555" t="s">
        <v>40</v>
      </c>
      <c r="L2555">
        <v>4200</v>
      </c>
      <c r="M2555">
        <v>28.571428571428569</v>
      </c>
      <c r="N2555" t="s">
        <v>8</v>
      </c>
      <c r="O2555" t="s">
        <v>995</v>
      </c>
      <c r="P2555" t="s">
        <v>29</v>
      </c>
      <c r="Q2555" t="s">
        <v>131</v>
      </c>
      <c r="R2555" t="s">
        <v>449</v>
      </c>
      <c r="S2555" t="s">
        <v>450</v>
      </c>
      <c r="T2555" t="s">
        <v>184</v>
      </c>
      <c r="U2555" t="s">
        <v>105</v>
      </c>
      <c r="V2555">
        <v>1200</v>
      </c>
    </row>
    <row r="2556" spans="1:22" x14ac:dyDescent="0.3">
      <c r="A2556" t="s">
        <v>4002</v>
      </c>
      <c r="B2556" s="2">
        <v>45992</v>
      </c>
      <c r="C2556" t="s">
        <v>2164</v>
      </c>
      <c r="D2556" t="s">
        <v>49</v>
      </c>
      <c r="E2556" t="s">
        <v>58</v>
      </c>
      <c r="F2556">
        <v>5</v>
      </c>
      <c r="G2556">
        <v>0.05</v>
      </c>
      <c r="H2556">
        <v>71250</v>
      </c>
      <c r="I2556">
        <v>15659.42</v>
      </c>
      <c r="J2556" t="s">
        <v>26</v>
      </c>
      <c r="K2556" t="s">
        <v>40</v>
      </c>
      <c r="L2556">
        <v>14250</v>
      </c>
      <c r="M2556">
        <v>21.978133333333329</v>
      </c>
      <c r="N2556" t="s">
        <v>8</v>
      </c>
      <c r="O2556" t="s">
        <v>141</v>
      </c>
      <c r="P2556" t="s">
        <v>29</v>
      </c>
      <c r="Q2556" t="s">
        <v>74</v>
      </c>
      <c r="R2556" t="s">
        <v>75</v>
      </c>
      <c r="S2556" t="s">
        <v>75</v>
      </c>
      <c r="T2556" t="s">
        <v>2165</v>
      </c>
      <c r="U2556" t="s">
        <v>105</v>
      </c>
      <c r="V2556">
        <v>3131.884</v>
      </c>
    </row>
    <row r="2557" spans="1:22" x14ac:dyDescent="0.3">
      <c r="A2557" t="s">
        <v>4003</v>
      </c>
      <c r="B2557" s="2">
        <v>46229</v>
      </c>
      <c r="C2557" t="s">
        <v>469</v>
      </c>
      <c r="D2557" t="s">
        <v>70</v>
      </c>
      <c r="E2557" t="s">
        <v>129</v>
      </c>
      <c r="F2557">
        <v>5</v>
      </c>
      <c r="G2557">
        <v>0</v>
      </c>
      <c r="H2557">
        <v>275000</v>
      </c>
      <c r="I2557">
        <v>-171858.98</v>
      </c>
      <c r="J2557" t="s">
        <v>65</v>
      </c>
      <c r="K2557" t="s">
        <v>434</v>
      </c>
      <c r="L2557">
        <v>55000</v>
      </c>
      <c r="M2557">
        <v>-62.494174545454548</v>
      </c>
      <c r="N2557" t="s">
        <v>81</v>
      </c>
      <c r="O2557" t="s">
        <v>470</v>
      </c>
      <c r="P2557" t="s">
        <v>83</v>
      </c>
      <c r="Q2557" t="s">
        <v>30</v>
      </c>
      <c r="R2557" t="s">
        <v>31</v>
      </c>
      <c r="S2557" t="s">
        <v>32</v>
      </c>
      <c r="T2557" t="s">
        <v>471</v>
      </c>
      <c r="U2557" t="s">
        <v>100</v>
      </c>
      <c r="V2557">
        <v>-34371.796000000002</v>
      </c>
    </row>
    <row r="2558" spans="1:22" x14ac:dyDescent="0.3">
      <c r="A2558" t="s">
        <v>4004</v>
      </c>
      <c r="B2558" s="2">
        <v>45900</v>
      </c>
      <c r="C2558" t="s">
        <v>772</v>
      </c>
      <c r="D2558" t="s">
        <v>70</v>
      </c>
      <c r="E2558" t="s">
        <v>71</v>
      </c>
      <c r="F2558">
        <v>2</v>
      </c>
      <c r="G2558">
        <v>0.15</v>
      </c>
      <c r="H2558">
        <v>30600</v>
      </c>
      <c r="I2558">
        <v>2910.57</v>
      </c>
      <c r="J2558" t="s">
        <v>26</v>
      </c>
      <c r="K2558" t="s">
        <v>40</v>
      </c>
      <c r="L2558">
        <v>15300</v>
      </c>
      <c r="M2558">
        <v>9.5116666666666667</v>
      </c>
      <c r="N2558" t="s">
        <v>8</v>
      </c>
      <c r="O2558" t="s">
        <v>773</v>
      </c>
      <c r="P2558" t="s">
        <v>29</v>
      </c>
      <c r="Q2558" t="s">
        <v>42</v>
      </c>
      <c r="R2558" t="s">
        <v>121</v>
      </c>
      <c r="S2558" t="s">
        <v>44</v>
      </c>
      <c r="T2558" t="s">
        <v>774</v>
      </c>
      <c r="U2558" t="s">
        <v>34</v>
      </c>
      <c r="V2558">
        <v>1455.2850000000001</v>
      </c>
    </row>
    <row r="2559" spans="1:22" x14ac:dyDescent="0.3">
      <c r="A2559" t="s">
        <v>4005</v>
      </c>
      <c r="B2559" s="2">
        <v>46076</v>
      </c>
      <c r="C2559" t="s">
        <v>1087</v>
      </c>
      <c r="D2559" t="s">
        <v>37</v>
      </c>
      <c r="E2559" t="s">
        <v>38</v>
      </c>
      <c r="F2559">
        <v>3</v>
      </c>
      <c r="G2559">
        <v>0</v>
      </c>
      <c r="H2559">
        <v>5400</v>
      </c>
      <c r="I2559">
        <v>1950</v>
      </c>
      <c r="J2559" t="s">
        <v>26</v>
      </c>
      <c r="K2559" t="s">
        <v>27</v>
      </c>
      <c r="L2559">
        <v>1800</v>
      </c>
      <c r="M2559">
        <v>36.111111111111107</v>
      </c>
      <c r="N2559" t="s">
        <v>8</v>
      </c>
      <c r="O2559" t="s">
        <v>1088</v>
      </c>
      <c r="P2559" t="s">
        <v>73</v>
      </c>
      <c r="Q2559" t="s">
        <v>131</v>
      </c>
      <c r="R2559" t="s">
        <v>200</v>
      </c>
      <c r="S2559" t="s">
        <v>201</v>
      </c>
      <c r="T2559" t="s">
        <v>1089</v>
      </c>
      <c r="U2559" t="s">
        <v>46</v>
      </c>
      <c r="V2559">
        <v>650</v>
      </c>
    </row>
    <row r="2560" spans="1:22" x14ac:dyDescent="0.3">
      <c r="A2560" t="s">
        <v>4006</v>
      </c>
      <c r="B2560" s="2">
        <v>45920</v>
      </c>
      <c r="C2560" t="s">
        <v>2197</v>
      </c>
      <c r="D2560" t="s">
        <v>24</v>
      </c>
      <c r="E2560" t="s">
        <v>87</v>
      </c>
      <c r="F2560">
        <v>1</v>
      </c>
      <c r="G2560">
        <v>0</v>
      </c>
      <c r="H2560">
        <v>350</v>
      </c>
      <c r="I2560">
        <v>120</v>
      </c>
      <c r="J2560" t="s">
        <v>39</v>
      </c>
      <c r="K2560" t="s">
        <v>40</v>
      </c>
      <c r="L2560">
        <v>350</v>
      </c>
      <c r="M2560">
        <v>34.285714285714278</v>
      </c>
      <c r="N2560" t="s">
        <v>8</v>
      </c>
      <c r="O2560" t="s">
        <v>2027</v>
      </c>
      <c r="P2560" t="s">
        <v>29</v>
      </c>
      <c r="Q2560" t="s">
        <v>74</v>
      </c>
      <c r="R2560" t="s">
        <v>493</v>
      </c>
      <c r="S2560" t="s">
        <v>494</v>
      </c>
      <c r="T2560" t="s">
        <v>2198</v>
      </c>
      <c r="U2560" t="s">
        <v>34</v>
      </c>
      <c r="V2560">
        <v>120</v>
      </c>
    </row>
    <row r="2561" spans="1:22" x14ac:dyDescent="0.3">
      <c r="A2561" t="s">
        <v>4007</v>
      </c>
      <c r="B2561" s="2">
        <v>46039</v>
      </c>
      <c r="C2561" t="s">
        <v>1110</v>
      </c>
      <c r="D2561" t="s">
        <v>49</v>
      </c>
      <c r="E2561" t="s">
        <v>50</v>
      </c>
      <c r="F2561">
        <v>1</v>
      </c>
      <c r="G2561">
        <v>0</v>
      </c>
      <c r="H2561">
        <v>13000</v>
      </c>
      <c r="I2561">
        <v>3200</v>
      </c>
      <c r="J2561" t="s">
        <v>26</v>
      </c>
      <c r="K2561" t="s">
        <v>40</v>
      </c>
      <c r="L2561">
        <v>13000</v>
      </c>
      <c r="M2561">
        <v>24.61538461538462</v>
      </c>
      <c r="N2561" t="s">
        <v>8</v>
      </c>
      <c r="O2561" t="s">
        <v>1111</v>
      </c>
      <c r="P2561" t="s">
        <v>29</v>
      </c>
      <c r="Q2561" t="s">
        <v>42</v>
      </c>
      <c r="R2561" t="s">
        <v>110</v>
      </c>
      <c r="S2561" t="s">
        <v>111</v>
      </c>
      <c r="T2561" t="s">
        <v>1112</v>
      </c>
      <c r="U2561" t="s">
        <v>34</v>
      </c>
      <c r="V2561">
        <v>3200</v>
      </c>
    </row>
    <row r="2562" spans="1:22" x14ac:dyDescent="0.3">
      <c r="A2562" t="s">
        <v>4008</v>
      </c>
      <c r="B2562" s="2">
        <v>45905</v>
      </c>
      <c r="C2562" t="s">
        <v>2223</v>
      </c>
      <c r="D2562" t="s">
        <v>70</v>
      </c>
      <c r="E2562" t="s">
        <v>71</v>
      </c>
      <c r="F2562">
        <v>2</v>
      </c>
      <c r="G2562">
        <v>0.1</v>
      </c>
      <c r="H2562">
        <v>32400</v>
      </c>
      <c r="I2562">
        <v>4671.33</v>
      </c>
      <c r="J2562" t="s">
        <v>39</v>
      </c>
      <c r="K2562" t="s">
        <v>40</v>
      </c>
      <c r="L2562">
        <v>16200</v>
      </c>
      <c r="M2562">
        <v>14.41768518518519</v>
      </c>
      <c r="N2562" t="s">
        <v>8</v>
      </c>
      <c r="O2562" t="s">
        <v>284</v>
      </c>
      <c r="P2562" t="s">
        <v>73</v>
      </c>
      <c r="Q2562" t="s">
        <v>131</v>
      </c>
      <c r="R2562" t="s">
        <v>132</v>
      </c>
      <c r="S2562" t="s">
        <v>133</v>
      </c>
      <c r="T2562" t="s">
        <v>2224</v>
      </c>
      <c r="U2562" t="s">
        <v>46</v>
      </c>
      <c r="V2562">
        <v>2335.665</v>
      </c>
    </row>
    <row r="2563" spans="1:22" x14ac:dyDescent="0.3">
      <c r="A2563" t="s">
        <v>4009</v>
      </c>
      <c r="B2563" s="2">
        <v>45977</v>
      </c>
      <c r="C2563" t="s">
        <v>1152</v>
      </c>
      <c r="D2563" t="s">
        <v>37</v>
      </c>
      <c r="E2563" t="s">
        <v>190</v>
      </c>
      <c r="F2563">
        <v>2</v>
      </c>
      <c r="G2563">
        <v>0.1</v>
      </c>
      <c r="H2563">
        <v>7560</v>
      </c>
      <c r="I2563">
        <v>1786.52</v>
      </c>
      <c r="J2563" t="s">
        <v>65</v>
      </c>
      <c r="K2563" t="s">
        <v>40</v>
      </c>
      <c r="L2563">
        <v>3780</v>
      </c>
      <c r="M2563">
        <v>23.63121693121693</v>
      </c>
      <c r="N2563" t="s">
        <v>8</v>
      </c>
      <c r="O2563" t="s">
        <v>995</v>
      </c>
      <c r="P2563" t="s">
        <v>29</v>
      </c>
      <c r="Q2563" t="s">
        <v>30</v>
      </c>
      <c r="R2563" t="s">
        <v>31</v>
      </c>
      <c r="S2563" t="s">
        <v>32</v>
      </c>
      <c r="T2563" t="s">
        <v>960</v>
      </c>
      <c r="U2563" t="s">
        <v>100</v>
      </c>
      <c r="V2563">
        <v>893.26</v>
      </c>
    </row>
    <row r="2564" spans="1:22" x14ac:dyDescent="0.3">
      <c r="A2564" t="s">
        <v>4010</v>
      </c>
      <c r="B2564" s="2">
        <v>46071</v>
      </c>
      <c r="C2564" t="s">
        <v>469</v>
      </c>
      <c r="D2564" t="s">
        <v>49</v>
      </c>
      <c r="E2564" t="s">
        <v>50</v>
      </c>
      <c r="F2564">
        <v>3</v>
      </c>
      <c r="G2564">
        <v>0.1</v>
      </c>
      <c r="H2564">
        <v>35100</v>
      </c>
      <c r="I2564">
        <v>6934.66</v>
      </c>
      <c r="J2564" t="s">
        <v>26</v>
      </c>
      <c r="K2564" t="s">
        <v>40</v>
      </c>
      <c r="L2564">
        <v>11700</v>
      </c>
      <c r="M2564">
        <v>19.756866096866101</v>
      </c>
      <c r="N2564" t="s">
        <v>8</v>
      </c>
      <c r="O2564" t="s">
        <v>470</v>
      </c>
      <c r="P2564" t="s">
        <v>83</v>
      </c>
      <c r="Q2564" t="s">
        <v>30</v>
      </c>
      <c r="R2564" t="s">
        <v>31</v>
      </c>
      <c r="S2564" t="s">
        <v>32</v>
      </c>
      <c r="T2564" t="s">
        <v>471</v>
      </c>
      <c r="U2564" t="s">
        <v>100</v>
      </c>
      <c r="V2564">
        <v>2311.5533333333328</v>
      </c>
    </row>
    <row r="2565" spans="1:22" x14ac:dyDescent="0.3">
      <c r="A2565" t="s">
        <v>4011</v>
      </c>
      <c r="B2565" s="2">
        <v>46198</v>
      </c>
      <c r="C2565" t="s">
        <v>297</v>
      </c>
      <c r="D2565" t="s">
        <v>37</v>
      </c>
      <c r="E2565" t="s">
        <v>38</v>
      </c>
      <c r="F2565">
        <v>2</v>
      </c>
      <c r="G2565">
        <v>0.2</v>
      </c>
      <c r="H2565">
        <v>2880</v>
      </c>
      <c r="I2565">
        <v>-631.05999999999995</v>
      </c>
      <c r="J2565" t="s">
        <v>65</v>
      </c>
      <c r="K2565" t="s">
        <v>80</v>
      </c>
      <c r="L2565">
        <v>1440</v>
      </c>
      <c r="M2565">
        <v>-21.911805555555549</v>
      </c>
      <c r="N2565" t="s">
        <v>81</v>
      </c>
      <c r="O2565" t="s">
        <v>298</v>
      </c>
      <c r="P2565" t="s">
        <v>83</v>
      </c>
      <c r="Q2565" t="s">
        <v>30</v>
      </c>
      <c r="R2565" t="s">
        <v>60</v>
      </c>
      <c r="S2565" t="s">
        <v>61</v>
      </c>
      <c r="T2565" t="s">
        <v>299</v>
      </c>
      <c r="U2565" t="s">
        <v>46</v>
      </c>
      <c r="V2565">
        <v>-315.52999999999997</v>
      </c>
    </row>
    <row r="2566" spans="1:22" x14ac:dyDescent="0.3">
      <c r="A2566" t="s">
        <v>4012</v>
      </c>
      <c r="B2566" s="2">
        <v>45954</v>
      </c>
      <c r="C2566" t="s">
        <v>1629</v>
      </c>
      <c r="D2566" t="s">
        <v>49</v>
      </c>
      <c r="E2566" t="s">
        <v>50</v>
      </c>
      <c r="F2566">
        <v>3</v>
      </c>
      <c r="G2566">
        <v>0.05</v>
      </c>
      <c r="H2566">
        <v>37050</v>
      </c>
      <c r="I2566">
        <v>8289.7000000000007</v>
      </c>
      <c r="J2566" t="s">
        <v>65</v>
      </c>
      <c r="K2566" t="s">
        <v>40</v>
      </c>
      <c r="L2566">
        <v>12350</v>
      </c>
      <c r="M2566">
        <v>22.37435897435898</v>
      </c>
      <c r="N2566" t="s">
        <v>8</v>
      </c>
      <c r="O2566" t="s">
        <v>1630</v>
      </c>
      <c r="P2566" t="s">
        <v>83</v>
      </c>
      <c r="Q2566" t="s">
        <v>42</v>
      </c>
      <c r="R2566" t="s">
        <v>121</v>
      </c>
      <c r="S2566" t="s">
        <v>44</v>
      </c>
      <c r="T2566" t="s">
        <v>1631</v>
      </c>
      <c r="U2566" t="s">
        <v>46</v>
      </c>
      <c r="V2566">
        <v>2763.233333333334</v>
      </c>
    </row>
    <row r="2567" spans="1:22" x14ac:dyDescent="0.3">
      <c r="A2567" t="s">
        <v>4013</v>
      </c>
      <c r="B2567" s="2">
        <v>45980</v>
      </c>
      <c r="C2567" t="s">
        <v>900</v>
      </c>
      <c r="D2567" t="s">
        <v>70</v>
      </c>
      <c r="E2567" t="s">
        <v>165</v>
      </c>
      <c r="F2567">
        <v>1</v>
      </c>
      <c r="G2567">
        <v>0.05</v>
      </c>
      <c r="H2567">
        <v>2375</v>
      </c>
      <c r="I2567">
        <v>715.7</v>
      </c>
      <c r="J2567" t="s">
        <v>39</v>
      </c>
      <c r="K2567" t="s">
        <v>40</v>
      </c>
      <c r="L2567">
        <v>2375</v>
      </c>
      <c r="M2567">
        <v>30.134736842105269</v>
      </c>
      <c r="N2567" t="s">
        <v>8</v>
      </c>
      <c r="O2567" t="s">
        <v>901</v>
      </c>
      <c r="P2567" t="s">
        <v>29</v>
      </c>
      <c r="Q2567" t="s">
        <v>30</v>
      </c>
      <c r="R2567" t="s">
        <v>31</v>
      </c>
      <c r="S2567" t="s">
        <v>32</v>
      </c>
      <c r="T2567" t="s">
        <v>902</v>
      </c>
      <c r="U2567" t="s">
        <v>34</v>
      </c>
      <c r="V2567">
        <v>715.7</v>
      </c>
    </row>
    <row r="2568" spans="1:22" x14ac:dyDescent="0.3">
      <c r="A2568" t="s">
        <v>4014</v>
      </c>
      <c r="B2568" s="2">
        <v>45895</v>
      </c>
      <c r="C2568" t="s">
        <v>3771</v>
      </c>
      <c r="D2568" t="s">
        <v>37</v>
      </c>
      <c r="E2568" t="s">
        <v>310</v>
      </c>
      <c r="F2568">
        <v>1</v>
      </c>
      <c r="G2568">
        <v>0</v>
      </c>
      <c r="H2568">
        <v>2200</v>
      </c>
      <c r="I2568">
        <v>750</v>
      </c>
      <c r="J2568" t="s">
        <v>39</v>
      </c>
      <c r="K2568" t="s">
        <v>27</v>
      </c>
      <c r="L2568">
        <v>2200</v>
      </c>
      <c r="M2568">
        <v>34.090909090909093</v>
      </c>
      <c r="N2568" t="s">
        <v>8</v>
      </c>
      <c r="O2568" t="s">
        <v>482</v>
      </c>
      <c r="P2568" t="s">
        <v>73</v>
      </c>
      <c r="Q2568" t="s">
        <v>74</v>
      </c>
      <c r="R2568" t="s">
        <v>75</v>
      </c>
      <c r="S2568" t="s">
        <v>75</v>
      </c>
      <c r="T2568" t="s">
        <v>3772</v>
      </c>
      <c r="U2568" t="s">
        <v>34</v>
      </c>
      <c r="V2568">
        <v>750</v>
      </c>
    </row>
    <row r="2569" spans="1:22" x14ac:dyDescent="0.3">
      <c r="A2569" t="s">
        <v>4015</v>
      </c>
      <c r="B2569" s="2">
        <v>45896</v>
      </c>
      <c r="C2569" t="s">
        <v>4016</v>
      </c>
      <c r="D2569" t="s">
        <v>24</v>
      </c>
      <c r="E2569" t="s">
        <v>87</v>
      </c>
      <c r="F2569">
        <v>2</v>
      </c>
      <c r="G2569">
        <v>0</v>
      </c>
      <c r="H2569">
        <v>700</v>
      </c>
      <c r="I2569">
        <v>240</v>
      </c>
      <c r="J2569" t="s">
        <v>65</v>
      </c>
      <c r="K2569" t="s">
        <v>40</v>
      </c>
      <c r="L2569">
        <v>350</v>
      </c>
      <c r="M2569">
        <v>34.285714285714278</v>
      </c>
      <c r="N2569" t="s">
        <v>8</v>
      </c>
      <c r="O2569" t="s">
        <v>701</v>
      </c>
      <c r="P2569" t="s">
        <v>29</v>
      </c>
      <c r="Q2569" t="s">
        <v>131</v>
      </c>
      <c r="R2569" t="s">
        <v>449</v>
      </c>
      <c r="S2569" t="s">
        <v>450</v>
      </c>
      <c r="T2569" t="s">
        <v>1026</v>
      </c>
      <c r="U2569" t="s">
        <v>46</v>
      </c>
      <c r="V2569">
        <v>120</v>
      </c>
    </row>
    <row r="2570" spans="1:22" x14ac:dyDescent="0.3">
      <c r="A2570" t="s">
        <v>4017</v>
      </c>
      <c r="B2570" s="2">
        <v>46175</v>
      </c>
      <c r="C2570" t="s">
        <v>1659</v>
      </c>
      <c r="D2570" t="s">
        <v>24</v>
      </c>
      <c r="E2570" t="s">
        <v>92</v>
      </c>
      <c r="F2570">
        <v>1</v>
      </c>
      <c r="G2570">
        <v>0.15</v>
      </c>
      <c r="H2570">
        <v>765</v>
      </c>
      <c r="I2570">
        <v>196.61</v>
      </c>
      <c r="J2570" t="s">
        <v>65</v>
      </c>
      <c r="K2570" t="s">
        <v>40</v>
      </c>
      <c r="L2570">
        <v>765</v>
      </c>
      <c r="M2570">
        <v>25.700653594771239</v>
      </c>
      <c r="N2570" t="s">
        <v>8</v>
      </c>
      <c r="O2570" t="s">
        <v>166</v>
      </c>
      <c r="P2570" t="s">
        <v>83</v>
      </c>
      <c r="Q2570" t="s">
        <v>42</v>
      </c>
      <c r="R2570" t="s">
        <v>121</v>
      </c>
      <c r="S2570" t="s">
        <v>44</v>
      </c>
      <c r="T2570" t="s">
        <v>1660</v>
      </c>
      <c r="U2570" t="s">
        <v>100</v>
      </c>
      <c r="V2570">
        <v>196.61</v>
      </c>
    </row>
    <row r="2571" spans="1:22" x14ac:dyDescent="0.3">
      <c r="A2571" t="s">
        <v>4018</v>
      </c>
      <c r="B2571" s="2">
        <v>46144</v>
      </c>
      <c r="C2571" t="s">
        <v>1648</v>
      </c>
      <c r="D2571" t="s">
        <v>49</v>
      </c>
      <c r="E2571" t="s">
        <v>58</v>
      </c>
      <c r="F2571">
        <v>3</v>
      </c>
      <c r="G2571">
        <v>0.05</v>
      </c>
      <c r="H2571">
        <v>42750</v>
      </c>
      <c r="I2571">
        <v>9086.4</v>
      </c>
      <c r="J2571" t="s">
        <v>39</v>
      </c>
      <c r="K2571" t="s">
        <v>40</v>
      </c>
      <c r="L2571">
        <v>14250</v>
      </c>
      <c r="M2571">
        <v>21.25473684210526</v>
      </c>
      <c r="N2571" t="s">
        <v>8</v>
      </c>
      <c r="O2571" t="s">
        <v>1649</v>
      </c>
      <c r="P2571" t="s">
        <v>73</v>
      </c>
      <c r="Q2571" t="s">
        <v>30</v>
      </c>
      <c r="R2571" t="s">
        <v>98</v>
      </c>
      <c r="S2571" t="s">
        <v>54</v>
      </c>
      <c r="T2571" t="s">
        <v>1650</v>
      </c>
      <c r="U2571" t="s">
        <v>34</v>
      </c>
      <c r="V2571">
        <v>3028.8</v>
      </c>
    </row>
    <row r="2572" spans="1:22" x14ac:dyDescent="0.3">
      <c r="A2572" t="s">
        <v>4019</v>
      </c>
      <c r="B2572" s="2">
        <v>46028</v>
      </c>
      <c r="C2572" t="s">
        <v>57</v>
      </c>
      <c r="D2572" t="s">
        <v>24</v>
      </c>
      <c r="E2572" t="s">
        <v>25</v>
      </c>
      <c r="F2572">
        <v>1</v>
      </c>
      <c r="G2572">
        <v>0.2</v>
      </c>
      <c r="H2572">
        <v>11200</v>
      </c>
      <c r="I2572">
        <v>-3283.69</v>
      </c>
      <c r="J2572" t="s">
        <v>65</v>
      </c>
      <c r="K2572" t="s">
        <v>434</v>
      </c>
      <c r="L2572">
        <v>11200</v>
      </c>
      <c r="M2572">
        <v>-29.31866071428572</v>
      </c>
      <c r="N2572" t="s">
        <v>81</v>
      </c>
      <c r="O2572" t="s">
        <v>59</v>
      </c>
      <c r="P2572" t="s">
        <v>29</v>
      </c>
      <c r="Q2572" t="s">
        <v>30</v>
      </c>
      <c r="R2572" t="s">
        <v>60</v>
      </c>
      <c r="S2572" t="s">
        <v>61</v>
      </c>
      <c r="T2572" t="s">
        <v>62</v>
      </c>
      <c r="U2572" t="s">
        <v>34</v>
      </c>
      <c r="V2572">
        <v>-3283.69</v>
      </c>
    </row>
    <row r="2573" spans="1:22" x14ac:dyDescent="0.3">
      <c r="A2573" t="s">
        <v>4020</v>
      </c>
      <c r="B2573" s="2">
        <v>46248</v>
      </c>
      <c r="C2573" t="s">
        <v>1723</v>
      </c>
      <c r="D2573" t="s">
        <v>70</v>
      </c>
      <c r="E2573" t="s">
        <v>108</v>
      </c>
      <c r="F2573">
        <v>1</v>
      </c>
      <c r="G2573">
        <v>0.1</v>
      </c>
      <c r="H2573">
        <v>4050</v>
      </c>
      <c r="I2573">
        <v>1208.1400000000001</v>
      </c>
      <c r="J2573" t="s">
        <v>51</v>
      </c>
      <c r="K2573" t="s">
        <v>40</v>
      </c>
      <c r="L2573">
        <v>4050</v>
      </c>
      <c r="M2573">
        <v>29.83061728395062</v>
      </c>
      <c r="N2573" t="s">
        <v>8</v>
      </c>
      <c r="O2573" t="s">
        <v>398</v>
      </c>
      <c r="P2573" t="s">
        <v>83</v>
      </c>
      <c r="Q2573" t="s">
        <v>30</v>
      </c>
      <c r="R2573" t="s">
        <v>98</v>
      </c>
      <c r="S2573" t="s">
        <v>54</v>
      </c>
      <c r="T2573" t="s">
        <v>1724</v>
      </c>
      <c r="U2573" t="s">
        <v>46</v>
      </c>
      <c r="V2573">
        <v>1208.1400000000001</v>
      </c>
    </row>
    <row r="2574" spans="1:22" x14ac:dyDescent="0.3">
      <c r="A2574" t="s">
        <v>4021</v>
      </c>
      <c r="B2574" s="2">
        <v>45886</v>
      </c>
      <c r="C2574" t="s">
        <v>891</v>
      </c>
      <c r="D2574" t="s">
        <v>49</v>
      </c>
      <c r="E2574" t="s">
        <v>50</v>
      </c>
      <c r="F2574">
        <v>4</v>
      </c>
      <c r="G2574">
        <v>0</v>
      </c>
      <c r="H2574">
        <v>52000</v>
      </c>
      <c r="I2574">
        <v>12800</v>
      </c>
      <c r="J2574" t="s">
        <v>51</v>
      </c>
      <c r="K2574" t="s">
        <v>40</v>
      </c>
      <c r="L2574">
        <v>13000</v>
      </c>
      <c r="M2574">
        <v>24.61538461538462</v>
      </c>
      <c r="N2574" t="s">
        <v>8</v>
      </c>
      <c r="O2574" t="s">
        <v>892</v>
      </c>
      <c r="P2574" t="s">
        <v>29</v>
      </c>
      <c r="Q2574" t="s">
        <v>30</v>
      </c>
      <c r="R2574" t="s">
        <v>31</v>
      </c>
      <c r="S2574" t="s">
        <v>32</v>
      </c>
      <c r="T2574" t="s">
        <v>893</v>
      </c>
      <c r="U2574" t="s">
        <v>34</v>
      </c>
      <c r="V2574">
        <v>3200</v>
      </c>
    </row>
    <row r="2575" spans="1:22" x14ac:dyDescent="0.3">
      <c r="A2575" t="s">
        <v>4022</v>
      </c>
      <c r="B2575" s="2">
        <v>45890</v>
      </c>
      <c r="C2575" t="s">
        <v>2511</v>
      </c>
      <c r="D2575" t="s">
        <v>49</v>
      </c>
      <c r="E2575" t="s">
        <v>50</v>
      </c>
      <c r="F2575">
        <v>2</v>
      </c>
      <c r="G2575">
        <v>0.15</v>
      </c>
      <c r="H2575">
        <v>22100</v>
      </c>
      <c r="I2575">
        <v>4082.14</v>
      </c>
      <c r="J2575" t="s">
        <v>26</v>
      </c>
      <c r="K2575" t="s">
        <v>40</v>
      </c>
      <c r="L2575">
        <v>11050</v>
      </c>
      <c r="M2575">
        <v>18.471221719457009</v>
      </c>
      <c r="N2575" t="s">
        <v>8</v>
      </c>
      <c r="O2575" t="s">
        <v>1695</v>
      </c>
      <c r="P2575" t="s">
        <v>83</v>
      </c>
      <c r="Q2575" t="s">
        <v>30</v>
      </c>
      <c r="R2575" t="s">
        <v>98</v>
      </c>
      <c r="S2575" t="s">
        <v>54</v>
      </c>
      <c r="T2575" t="s">
        <v>2512</v>
      </c>
      <c r="U2575" t="s">
        <v>46</v>
      </c>
      <c r="V2575">
        <v>2041.07</v>
      </c>
    </row>
    <row r="2576" spans="1:22" x14ac:dyDescent="0.3">
      <c r="A2576" t="s">
        <v>4023</v>
      </c>
      <c r="B2576" s="2">
        <v>46030</v>
      </c>
      <c r="C2576" t="s">
        <v>1193</v>
      </c>
      <c r="D2576" t="s">
        <v>37</v>
      </c>
      <c r="E2576" t="s">
        <v>38</v>
      </c>
      <c r="F2576">
        <v>2</v>
      </c>
      <c r="G2576">
        <v>0</v>
      </c>
      <c r="H2576">
        <v>3600</v>
      </c>
      <c r="I2576">
        <v>1300</v>
      </c>
      <c r="J2576" t="s">
        <v>39</v>
      </c>
      <c r="K2576" t="s">
        <v>40</v>
      </c>
      <c r="L2576">
        <v>1800</v>
      </c>
      <c r="M2576">
        <v>36.111111111111107</v>
      </c>
      <c r="N2576" t="s">
        <v>8</v>
      </c>
      <c r="O2576" t="s">
        <v>781</v>
      </c>
      <c r="P2576" t="s">
        <v>29</v>
      </c>
      <c r="Q2576" t="s">
        <v>30</v>
      </c>
      <c r="R2576" t="s">
        <v>31</v>
      </c>
      <c r="S2576" t="s">
        <v>32</v>
      </c>
      <c r="T2576" t="s">
        <v>1194</v>
      </c>
      <c r="U2576" t="s">
        <v>46</v>
      </c>
      <c r="V2576">
        <v>650</v>
      </c>
    </row>
    <row r="2577" spans="1:22" x14ac:dyDescent="0.3">
      <c r="A2577" t="s">
        <v>4024</v>
      </c>
      <c r="B2577" s="2">
        <v>45994</v>
      </c>
      <c r="C2577" t="s">
        <v>1173</v>
      </c>
      <c r="D2577" t="s">
        <v>49</v>
      </c>
      <c r="E2577" t="s">
        <v>58</v>
      </c>
      <c r="F2577">
        <v>3</v>
      </c>
      <c r="G2577">
        <v>0.15</v>
      </c>
      <c r="H2577">
        <v>38250</v>
      </c>
      <c r="I2577">
        <v>6077.6</v>
      </c>
      <c r="J2577" t="s">
        <v>51</v>
      </c>
      <c r="K2577" t="s">
        <v>40</v>
      </c>
      <c r="L2577">
        <v>12750</v>
      </c>
      <c r="M2577">
        <v>15.889150326797379</v>
      </c>
      <c r="N2577" t="s">
        <v>8</v>
      </c>
      <c r="O2577" t="s">
        <v>406</v>
      </c>
      <c r="P2577" t="s">
        <v>83</v>
      </c>
      <c r="Q2577" t="s">
        <v>131</v>
      </c>
      <c r="R2577" t="s">
        <v>289</v>
      </c>
      <c r="S2577" t="s">
        <v>290</v>
      </c>
      <c r="T2577" t="s">
        <v>1174</v>
      </c>
      <c r="U2577" t="s">
        <v>34</v>
      </c>
      <c r="V2577">
        <v>2025.866666666667</v>
      </c>
    </row>
    <row r="2578" spans="1:22" x14ac:dyDescent="0.3">
      <c r="A2578" t="s">
        <v>4025</v>
      </c>
      <c r="B2578" s="2">
        <v>45927</v>
      </c>
      <c r="C2578" t="s">
        <v>3463</v>
      </c>
      <c r="D2578" t="s">
        <v>70</v>
      </c>
      <c r="E2578" t="s">
        <v>165</v>
      </c>
      <c r="F2578">
        <v>5</v>
      </c>
      <c r="G2578">
        <v>0.2</v>
      </c>
      <c r="H2578">
        <v>10000</v>
      </c>
      <c r="I2578">
        <v>2420.3000000000002</v>
      </c>
      <c r="J2578" t="s">
        <v>65</v>
      </c>
      <c r="K2578" t="s">
        <v>40</v>
      </c>
      <c r="L2578">
        <v>2000</v>
      </c>
      <c r="M2578">
        <v>24.202999999999999</v>
      </c>
      <c r="N2578" t="s">
        <v>8</v>
      </c>
      <c r="O2578" t="s">
        <v>692</v>
      </c>
      <c r="P2578" t="s">
        <v>29</v>
      </c>
      <c r="Q2578" t="s">
        <v>42</v>
      </c>
      <c r="R2578" t="s">
        <v>110</v>
      </c>
      <c r="S2578" t="s">
        <v>111</v>
      </c>
      <c r="T2578" t="s">
        <v>1671</v>
      </c>
      <c r="U2578" t="s">
        <v>46</v>
      </c>
      <c r="V2578">
        <v>484.06000000000012</v>
      </c>
    </row>
    <row r="2579" spans="1:22" x14ac:dyDescent="0.3">
      <c r="A2579" t="s">
        <v>4026</v>
      </c>
      <c r="B2579" s="2">
        <v>45900</v>
      </c>
      <c r="C2579" t="s">
        <v>1056</v>
      </c>
      <c r="D2579" t="s">
        <v>49</v>
      </c>
      <c r="E2579" t="s">
        <v>58</v>
      </c>
      <c r="F2579">
        <v>2</v>
      </c>
      <c r="G2579">
        <v>0.1</v>
      </c>
      <c r="H2579">
        <v>27000</v>
      </c>
      <c r="I2579">
        <v>5043.79</v>
      </c>
      <c r="J2579" t="s">
        <v>51</v>
      </c>
      <c r="K2579" t="s">
        <v>40</v>
      </c>
      <c r="L2579">
        <v>13500</v>
      </c>
      <c r="M2579">
        <v>18.68070370370371</v>
      </c>
      <c r="N2579" t="s">
        <v>8</v>
      </c>
      <c r="O2579" t="s">
        <v>1057</v>
      </c>
      <c r="P2579" t="s">
        <v>29</v>
      </c>
      <c r="Q2579" t="s">
        <v>30</v>
      </c>
      <c r="R2579" t="s">
        <v>31</v>
      </c>
      <c r="S2579" t="s">
        <v>32</v>
      </c>
      <c r="T2579" t="s">
        <v>1058</v>
      </c>
      <c r="U2579" t="s">
        <v>34</v>
      </c>
      <c r="V2579">
        <v>2521.895</v>
      </c>
    </row>
    <row r="2580" spans="1:22" x14ac:dyDescent="0.3">
      <c r="A2580" t="s">
        <v>4027</v>
      </c>
      <c r="B2580" s="2">
        <v>46103</v>
      </c>
      <c r="C2580" t="s">
        <v>1193</v>
      </c>
      <c r="D2580" t="s">
        <v>24</v>
      </c>
      <c r="E2580" t="s">
        <v>242</v>
      </c>
      <c r="F2580">
        <v>2</v>
      </c>
      <c r="G2580">
        <v>0.15</v>
      </c>
      <c r="H2580">
        <v>765</v>
      </c>
      <c r="I2580">
        <v>137.34</v>
      </c>
      <c r="J2580" t="s">
        <v>51</v>
      </c>
      <c r="K2580" t="s">
        <v>40</v>
      </c>
      <c r="L2580">
        <v>382.5</v>
      </c>
      <c r="M2580">
        <v>17.952941176470588</v>
      </c>
      <c r="N2580" t="s">
        <v>8</v>
      </c>
      <c r="O2580" t="s">
        <v>781</v>
      </c>
      <c r="P2580" t="s">
        <v>29</v>
      </c>
      <c r="Q2580" t="s">
        <v>30</v>
      </c>
      <c r="R2580" t="s">
        <v>31</v>
      </c>
      <c r="S2580" t="s">
        <v>32</v>
      </c>
      <c r="T2580" t="s">
        <v>1194</v>
      </c>
      <c r="U2580" t="s">
        <v>46</v>
      </c>
      <c r="V2580">
        <v>68.67</v>
      </c>
    </row>
    <row r="2581" spans="1:22" x14ac:dyDescent="0.3">
      <c r="A2581" t="s">
        <v>4028</v>
      </c>
      <c r="B2581" s="2">
        <v>45851</v>
      </c>
      <c r="C2581" t="s">
        <v>769</v>
      </c>
      <c r="D2581" t="s">
        <v>49</v>
      </c>
      <c r="E2581" t="s">
        <v>50</v>
      </c>
      <c r="F2581">
        <v>1</v>
      </c>
      <c r="G2581">
        <v>0.1</v>
      </c>
      <c r="H2581">
        <v>11700</v>
      </c>
      <c r="I2581">
        <v>2140.83</v>
      </c>
      <c r="J2581" t="s">
        <v>65</v>
      </c>
      <c r="K2581" t="s">
        <v>27</v>
      </c>
      <c r="L2581">
        <v>11700</v>
      </c>
      <c r="M2581">
        <v>18.297692307692309</v>
      </c>
      <c r="N2581" t="s">
        <v>8</v>
      </c>
      <c r="O2581" t="s">
        <v>374</v>
      </c>
      <c r="P2581" t="s">
        <v>29</v>
      </c>
      <c r="Q2581" t="s">
        <v>42</v>
      </c>
      <c r="R2581" t="s">
        <v>121</v>
      </c>
      <c r="S2581" t="s">
        <v>44</v>
      </c>
      <c r="T2581" t="s">
        <v>172</v>
      </c>
      <c r="U2581" t="s">
        <v>46</v>
      </c>
      <c r="V2581">
        <v>2140.83</v>
      </c>
    </row>
    <row r="2582" spans="1:22" x14ac:dyDescent="0.3">
      <c r="A2582" t="s">
        <v>4029</v>
      </c>
      <c r="B2582" s="2">
        <v>46140</v>
      </c>
      <c r="C2582" t="s">
        <v>1637</v>
      </c>
      <c r="D2582" t="s">
        <v>70</v>
      </c>
      <c r="E2582" t="s">
        <v>71</v>
      </c>
      <c r="F2582">
        <v>4</v>
      </c>
      <c r="G2582">
        <v>0.3</v>
      </c>
      <c r="H2582">
        <v>50400</v>
      </c>
      <c r="I2582">
        <v>-2655.42</v>
      </c>
      <c r="J2582" t="s">
        <v>26</v>
      </c>
      <c r="K2582" t="s">
        <v>40</v>
      </c>
      <c r="L2582">
        <v>12600</v>
      </c>
      <c r="M2582">
        <v>-5.2686904761904758</v>
      </c>
      <c r="N2582" t="s">
        <v>81</v>
      </c>
      <c r="O2582" t="s">
        <v>697</v>
      </c>
      <c r="P2582" t="s">
        <v>29</v>
      </c>
      <c r="Q2582" t="s">
        <v>30</v>
      </c>
      <c r="R2582" t="s">
        <v>31</v>
      </c>
      <c r="S2582" t="s">
        <v>32</v>
      </c>
      <c r="T2582" t="s">
        <v>1638</v>
      </c>
      <c r="U2582" t="s">
        <v>46</v>
      </c>
      <c r="V2582">
        <v>-663.85500000000002</v>
      </c>
    </row>
    <row r="2583" spans="1:22" x14ac:dyDescent="0.3">
      <c r="A2583" t="s">
        <v>4030</v>
      </c>
      <c r="B2583" s="2">
        <v>46121</v>
      </c>
      <c r="C2583" t="s">
        <v>2813</v>
      </c>
      <c r="D2583" t="s">
        <v>37</v>
      </c>
      <c r="E2583" t="s">
        <v>190</v>
      </c>
      <c r="F2583">
        <v>3</v>
      </c>
      <c r="G2583">
        <v>0.1</v>
      </c>
      <c r="H2583">
        <v>11340</v>
      </c>
      <c r="I2583">
        <v>2598.42</v>
      </c>
      <c r="J2583" t="s">
        <v>65</v>
      </c>
      <c r="K2583" t="s">
        <v>40</v>
      </c>
      <c r="L2583">
        <v>3780</v>
      </c>
      <c r="M2583">
        <v>22.913756613756611</v>
      </c>
      <c r="N2583" t="s">
        <v>8</v>
      </c>
      <c r="O2583" t="s">
        <v>626</v>
      </c>
      <c r="P2583" t="s">
        <v>29</v>
      </c>
      <c r="Q2583" t="s">
        <v>131</v>
      </c>
      <c r="R2583" t="s">
        <v>200</v>
      </c>
      <c r="S2583" t="s">
        <v>201</v>
      </c>
      <c r="T2583" t="s">
        <v>1002</v>
      </c>
      <c r="U2583" t="s">
        <v>46</v>
      </c>
      <c r="V2583">
        <v>866.14</v>
      </c>
    </row>
    <row r="2584" spans="1:22" x14ac:dyDescent="0.3">
      <c r="A2584" t="s">
        <v>4031</v>
      </c>
      <c r="B2584" s="2">
        <v>45943</v>
      </c>
      <c r="C2584" t="s">
        <v>824</v>
      </c>
      <c r="D2584" t="s">
        <v>49</v>
      </c>
      <c r="E2584" t="s">
        <v>50</v>
      </c>
      <c r="F2584">
        <v>4</v>
      </c>
      <c r="G2584">
        <v>0.2</v>
      </c>
      <c r="H2584">
        <v>41600</v>
      </c>
      <c r="I2584">
        <v>6980.86</v>
      </c>
      <c r="J2584" t="s">
        <v>51</v>
      </c>
      <c r="K2584" t="s">
        <v>40</v>
      </c>
      <c r="L2584">
        <v>10400</v>
      </c>
      <c r="M2584">
        <v>16.780913461538461</v>
      </c>
      <c r="N2584" t="s">
        <v>8</v>
      </c>
      <c r="O2584" t="s">
        <v>825</v>
      </c>
      <c r="P2584" t="s">
        <v>29</v>
      </c>
      <c r="Q2584" t="s">
        <v>30</v>
      </c>
      <c r="R2584" t="s">
        <v>53</v>
      </c>
      <c r="S2584" t="s">
        <v>54</v>
      </c>
      <c r="T2584" t="s">
        <v>826</v>
      </c>
      <c r="U2584" t="s">
        <v>105</v>
      </c>
      <c r="V2584">
        <v>1745.2149999999999</v>
      </c>
    </row>
    <row r="2585" spans="1:22" x14ac:dyDescent="0.3">
      <c r="A2585" t="s">
        <v>4032</v>
      </c>
      <c r="B2585" s="2">
        <v>45861</v>
      </c>
      <c r="C2585" t="s">
        <v>3512</v>
      </c>
      <c r="D2585" t="s">
        <v>49</v>
      </c>
      <c r="E2585" t="s">
        <v>119</v>
      </c>
      <c r="F2585">
        <v>3</v>
      </c>
      <c r="G2585">
        <v>0.2</v>
      </c>
      <c r="H2585">
        <v>21600</v>
      </c>
      <c r="I2585">
        <v>3921.16</v>
      </c>
      <c r="J2585" t="s">
        <v>65</v>
      </c>
      <c r="K2585" t="s">
        <v>40</v>
      </c>
      <c r="L2585">
        <v>7200</v>
      </c>
      <c r="M2585">
        <v>18.153518518518521</v>
      </c>
      <c r="N2585" t="s">
        <v>8</v>
      </c>
      <c r="O2585" t="s">
        <v>648</v>
      </c>
      <c r="P2585" t="s">
        <v>83</v>
      </c>
      <c r="Q2585" t="s">
        <v>74</v>
      </c>
      <c r="R2585" t="s">
        <v>115</v>
      </c>
      <c r="S2585" t="s">
        <v>115</v>
      </c>
      <c r="T2585" t="s">
        <v>3513</v>
      </c>
      <c r="U2585" t="s">
        <v>34</v>
      </c>
      <c r="V2585">
        <v>1307.0533333333331</v>
      </c>
    </row>
    <row r="2586" spans="1:22" x14ac:dyDescent="0.3">
      <c r="A2586" t="s">
        <v>4033</v>
      </c>
      <c r="B2586" s="2">
        <v>45975</v>
      </c>
      <c r="C2586" t="s">
        <v>372</v>
      </c>
      <c r="D2586" t="s">
        <v>70</v>
      </c>
      <c r="E2586" t="s">
        <v>108</v>
      </c>
      <c r="F2586">
        <v>1</v>
      </c>
      <c r="G2586">
        <v>0</v>
      </c>
      <c r="H2586">
        <v>4500</v>
      </c>
      <c r="I2586">
        <v>1500</v>
      </c>
      <c r="J2586" t="s">
        <v>65</v>
      </c>
      <c r="K2586" t="s">
        <v>27</v>
      </c>
      <c r="L2586">
        <v>4500</v>
      </c>
      <c r="M2586">
        <v>33.333333333333329</v>
      </c>
      <c r="N2586" t="s">
        <v>8</v>
      </c>
      <c r="O2586" t="s">
        <v>374</v>
      </c>
      <c r="P2586" t="s">
        <v>73</v>
      </c>
      <c r="Q2586" t="s">
        <v>30</v>
      </c>
      <c r="R2586" t="s">
        <v>53</v>
      </c>
      <c r="S2586" t="s">
        <v>54</v>
      </c>
      <c r="T2586" t="s">
        <v>375</v>
      </c>
      <c r="U2586" t="s">
        <v>105</v>
      </c>
      <c r="V2586">
        <v>1500</v>
      </c>
    </row>
    <row r="2587" spans="1:22" x14ac:dyDescent="0.3">
      <c r="A2587" t="s">
        <v>4034</v>
      </c>
      <c r="B2587" s="2">
        <v>45965</v>
      </c>
      <c r="C2587" t="s">
        <v>272</v>
      </c>
      <c r="D2587" t="s">
        <v>49</v>
      </c>
      <c r="E2587" t="s">
        <v>50</v>
      </c>
      <c r="F2587">
        <v>1</v>
      </c>
      <c r="G2587">
        <v>0</v>
      </c>
      <c r="H2587">
        <v>13000</v>
      </c>
      <c r="I2587">
        <v>3200</v>
      </c>
      <c r="J2587" t="s">
        <v>26</v>
      </c>
      <c r="K2587" t="s">
        <v>40</v>
      </c>
      <c r="L2587">
        <v>13000</v>
      </c>
      <c r="M2587">
        <v>24.61538461538462</v>
      </c>
      <c r="N2587" t="s">
        <v>8</v>
      </c>
      <c r="O2587" t="s">
        <v>166</v>
      </c>
      <c r="P2587" t="s">
        <v>73</v>
      </c>
      <c r="Q2587" t="s">
        <v>30</v>
      </c>
      <c r="R2587" t="s">
        <v>98</v>
      </c>
      <c r="S2587" t="s">
        <v>54</v>
      </c>
      <c r="T2587" t="s">
        <v>273</v>
      </c>
      <c r="U2587" t="s">
        <v>105</v>
      </c>
      <c r="V2587">
        <v>3200</v>
      </c>
    </row>
    <row r="2588" spans="1:22" x14ac:dyDescent="0.3">
      <c r="A2588" t="s">
        <v>4035</v>
      </c>
      <c r="B2588" s="2">
        <v>46066</v>
      </c>
      <c r="C2588" t="s">
        <v>1262</v>
      </c>
      <c r="D2588" t="s">
        <v>49</v>
      </c>
      <c r="E2588" t="s">
        <v>58</v>
      </c>
      <c r="F2588">
        <v>3</v>
      </c>
      <c r="G2588">
        <v>0.2</v>
      </c>
      <c r="H2588">
        <v>36000</v>
      </c>
      <c r="I2588">
        <v>-18834.87</v>
      </c>
      <c r="J2588" t="s">
        <v>39</v>
      </c>
      <c r="K2588" t="s">
        <v>80</v>
      </c>
      <c r="L2588">
        <v>12000</v>
      </c>
      <c r="M2588">
        <v>-52.319083333333317</v>
      </c>
      <c r="N2588" t="s">
        <v>81</v>
      </c>
      <c r="O2588" t="s">
        <v>1263</v>
      </c>
      <c r="P2588" t="s">
        <v>83</v>
      </c>
      <c r="Q2588" t="s">
        <v>30</v>
      </c>
      <c r="R2588" t="s">
        <v>53</v>
      </c>
      <c r="S2588" t="s">
        <v>54</v>
      </c>
      <c r="T2588" t="s">
        <v>1264</v>
      </c>
      <c r="U2588" t="s">
        <v>46</v>
      </c>
      <c r="V2588">
        <v>-6278.29</v>
      </c>
    </row>
    <row r="2589" spans="1:22" x14ac:dyDescent="0.3">
      <c r="A2589" t="s">
        <v>4036</v>
      </c>
      <c r="B2589" s="2">
        <v>46061</v>
      </c>
      <c r="C2589" t="s">
        <v>869</v>
      </c>
      <c r="D2589" t="s">
        <v>70</v>
      </c>
      <c r="E2589" t="s">
        <v>165</v>
      </c>
      <c r="F2589">
        <v>3</v>
      </c>
      <c r="G2589">
        <v>0.2</v>
      </c>
      <c r="H2589">
        <v>6000</v>
      </c>
      <c r="I2589">
        <v>1335.9</v>
      </c>
      <c r="J2589" t="s">
        <v>39</v>
      </c>
      <c r="K2589" t="s">
        <v>40</v>
      </c>
      <c r="L2589">
        <v>2000</v>
      </c>
      <c r="M2589">
        <v>22.265000000000001</v>
      </c>
      <c r="N2589" t="s">
        <v>8</v>
      </c>
      <c r="O2589" t="s">
        <v>870</v>
      </c>
      <c r="P2589" t="s">
        <v>73</v>
      </c>
      <c r="Q2589" t="s">
        <v>30</v>
      </c>
      <c r="R2589" t="s">
        <v>98</v>
      </c>
      <c r="S2589" t="s">
        <v>54</v>
      </c>
      <c r="T2589" t="s">
        <v>859</v>
      </c>
      <c r="U2589" t="s">
        <v>34</v>
      </c>
      <c r="V2589">
        <v>445.3</v>
      </c>
    </row>
    <row r="2590" spans="1:22" x14ac:dyDescent="0.3">
      <c r="A2590" t="s">
        <v>4037</v>
      </c>
      <c r="B2590" s="2">
        <v>46040</v>
      </c>
      <c r="C2590" t="s">
        <v>275</v>
      </c>
      <c r="D2590" t="s">
        <v>49</v>
      </c>
      <c r="E2590" t="s">
        <v>58</v>
      </c>
      <c r="F2590">
        <v>5</v>
      </c>
      <c r="G2590">
        <v>0.2</v>
      </c>
      <c r="H2590">
        <v>60000</v>
      </c>
      <c r="I2590">
        <v>-34392.67</v>
      </c>
      <c r="J2590" t="s">
        <v>65</v>
      </c>
      <c r="K2590" t="s">
        <v>80</v>
      </c>
      <c r="L2590">
        <v>12000</v>
      </c>
      <c r="M2590">
        <v>-57.321116666666661</v>
      </c>
      <c r="N2590" t="s">
        <v>81</v>
      </c>
      <c r="O2590" t="s">
        <v>276</v>
      </c>
      <c r="P2590" t="s">
        <v>83</v>
      </c>
      <c r="Q2590" t="s">
        <v>30</v>
      </c>
      <c r="R2590" t="s">
        <v>53</v>
      </c>
      <c r="S2590" t="s">
        <v>54</v>
      </c>
      <c r="T2590" t="s">
        <v>277</v>
      </c>
      <c r="U2590" t="s">
        <v>100</v>
      </c>
      <c r="V2590">
        <v>-6878.5339999999997</v>
      </c>
    </row>
    <row r="2591" spans="1:22" x14ac:dyDescent="0.3">
      <c r="A2591" t="s">
        <v>4038</v>
      </c>
      <c r="B2591" s="2">
        <v>45951</v>
      </c>
      <c r="C2591" t="s">
        <v>279</v>
      </c>
      <c r="D2591" t="s">
        <v>70</v>
      </c>
      <c r="E2591" t="s">
        <v>165</v>
      </c>
      <c r="F2591">
        <v>2</v>
      </c>
      <c r="G2591">
        <v>0.3</v>
      </c>
      <c r="H2591">
        <v>3500</v>
      </c>
      <c r="I2591">
        <v>361.73</v>
      </c>
      <c r="J2591" t="s">
        <v>65</v>
      </c>
      <c r="K2591" t="s">
        <v>40</v>
      </c>
      <c r="L2591">
        <v>1750</v>
      </c>
      <c r="M2591">
        <v>10.335142857142859</v>
      </c>
      <c r="N2591" t="s">
        <v>8</v>
      </c>
      <c r="O2591" t="s">
        <v>280</v>
      </c>
      <c r="P2591" t="s">
        <v>73</v>
      </c>
      <c r="Q2591" t="s">
        <v>30</v>
      </c>
      <c r="R2591" t="s">
        <v>31</v>
      </c>
      <c r="S2591" t="s">
        <v>32</v>
      </c>
      <c r="T2591" t="s">
        <v>281</v>
      </c>
      <c r="U2591" t="s">
        <v>46</v>
      </c>
      <c r="V2591">
        <v>180.86500000000001</v>
      </c>
    </row>
    <row r="2592" spans="1:22" x14ac:dyDescent="0.3">
      <c r="A2592" t="s">
        <v>4039</v>
      </c>
      <c r="B2592" s="2">
        <v>46226</v>
      </c>
      <c r="C2592" t="s">
        <v>372</v>
      </c>
      <c r="D2592" t="s">
        <v>49</v>
      </c>
      <c r="E2592" t="s">
        <v>119</v>
      </c>
      <c r="F2592">
        <v>4</v>
      </c>
      <c r="G2592">
        <v>0</v>
      </c>
      <c r="H2592">
        <v>36000</v>
      </c>
      <c r="I2592">
        <v>9200</v>
      </c>
      <c r="J2592" t="s">
        <v>51</v>
      </c>
      <c r="K2592" t="s">
        <v>40</v>
      </c>
      <c r="L2592">
        <v>9000</v>
      </c>
      <c r="M2592">
        <v>25.55555555555555</v>
      </c>
      <c r="N2592" t="s">
        <v>8</v>
      </c>
      <c r="O2592" t="s">
        <v>374</v>
      </c>
      <c r="P2592" t="s">
        <v>73</v>
      </c>
      <c r="Q2592" t="s">
        <v>30</v>
      </c>
      <c r="R2592" t="s">
        <v>53</v>
      </c>
      <c r="S2592" t="s">
        <v>54</v>
      </c>
      <c r="T2592" t="s">
        <v>375</v>
      </c>
      <c r="U2592" t="s">
        <v>105</v>
      </c>
      <c r="V2592">
        <v>2300</v>
      </c>
    </row>
    <row r="2593" spans="1:22" x14ac:dyDescent="0.3">
      <c r="A2593" t="s">
        <v>4040</v>
      </c>
      <c r="B2593" s="2">
        <v>45980</v>
      </c>
      <c r="C2593" t="s">
        <v>3861</v>
      </c>
      <c r="D2593" t="s">
        <v>49</v>
      </c>
      <c r="E2593" t="s">
        <v>50</v>
      </c>
      <c r="F2593">
        <v>3</v>
      </c>
      <c r="G2593">
        <v>0.2</v>
      </c>
      <c r="H2593">
        <v>31200</v>
      </c>
      <c r="I2593">
        <v>5620.63</v>
      </c>
      <c r="J2593" t="s">
        <v>39</v>
      </c>
      <c r="K2593" t="s">
        <v>40</v>
      </c>
      <c r="L2593">
        <v>10400</v>
      </c>
      <c r="M2593">
        <v>18.014839743589739</v>
      </c>
      <c r="N2593" t="s">
        <v>8</v>
      </c>
      <c r="O2593" t="s">
        <v>276</v>
      </c>
      <c r="P2593" t="s">
        <v>83</v>
      </c>
      <c r="Q2593" t="s">
        <v>131</v>
      </c>
      <c r="R2593" t="s">
        <v>132</v>
      </c>
      <c r="S2593" t="s">
        <v>133</v>
      </c>
      <c r="T2593" t="s">
        <v>3862</v>
      </c>
      <c r="U2593" t="s">
        <v>34</v>
      </c>
      <c r="V2593">
        <v>1873.5433333333331</v>
      </c>
    </row>
    <row r="2594" spans="1:22" x14ac:dyDescent="0.3">
      <c r="A2594" t="s">
        <v>4041</v>
      </c>
      <c r="B2594" s="2">
        <v>46172</v>
      </c>
      <c r="C2594" t="s">
        <v>1193</v>
      </c>
      <c r="D2594" t="s">
        <v>49</v>
      </c>
      <c r="E2594" t="s">
        <v>119</v>
      </c>
      <c r="F2594">
        <v>5</v>
      </c>
      <c r="G2594">
        <v>0.2</v>
      </c>
      <c r="H2594">
        <v>36000</v>
      </c>
      <c r="I2594">
        <v>4675.72</v>
      </c>
      <c r="J2594" t="s">
        <v>39</v>
      </c>
      <c r="K2594" t="s">
        <v>40</v>
      </c>
      <c r="L2594">
        <v>7200</v>
      </c>
      <c r="M2594">
        <v>12.98811111111111</v>
      </c>
      <c r="N2594" t="s">
        <v>8</v>
      </c>
      <c r="O2594" t="s">
        <v>781</v>
      </c>
      <c r="P2594" t="s">
        <v>29</v>
      </c>
      <c r="Q2594" t="s">
        <v>30</v>
      </c>
      <c r="R2594" t="s">
        <v>31</v>
      </c>
      <c r="S2594" t="s">
        <v>32</v>
      </c>
      <c r="T2594" t="s">
        <v>1194</v>
      </c>
      <c r="U2594" t="s">
        <v>46</v>
      </c>
      <c r="V2594">
        <v>935.14400000000001</v>
      </c>
    </row>
    <row r="2595" spans="1:22" x14ac:dyDescent="0.3">
      <c r="A2595" t="s">
        <v>4042</v>
      </c>
      <c r="B2595" s="2">
        <v>45882</v>
      </c>
      <c r="C2595" t="s">
        <v>3867</v>
      </c>
      <c r="D2595" t="s">
        <v>37</v>
      </c>
      <c r="E2595" t="s">
        <v>190</v>
      </c>
      <c r="F2595">
        <v>4</v>
      </c>
      <c r="G2595">
        <v>0.1</v>
      </c>
      <c r="H2595">
        <v>15120</v>
      </c>
      <c r="I2595">
        <v>-1125.73</v>
      </c>
      <c r="J2595" t="s">
        <v>65</v>
      </c>
      <c r="K2595" t="s">
        <v>80</v>
      </c>
      <c r="L2595">
        <v>3780</v>
      </c>
      <c r="M2595">
        <v>-7.4453042328042329</v>
      </c>
      <c r="N2595" t="s">
        <v>81</v>
      </c>
      <c r="O2595" t="s">
        <v>1144</v>
      </c>
      <c r="P2595" t="s">
        <v>83</v>
      </c>
      <c r="Q2595" t="s">
        <v>42</v>
      </c>
      <c r="R2595" t="s">
        <v>121</v>
      </c>
      <c r="S2595" t="s">
        <v>44</v>
      </c>
      <c r="T2595" t="s">
        <v>3263</v>
      </c>
      <c r="U2595" t="s">
        <v>46</v>
      </c>
      <c r="V2595">
        <v>-281.4325</v>
      </c>
    </row>
    <row r="2596" spans="1:22" x14ac:dyDescent="0.3">
      <c r="A2596" t="s">
        <v>4043</v>
      </c>
      <c r="B2596" s="2">
        <v>46261</v>
      </c>
      <c r="C2596" t="s">
        <v>2150</v>
      </c>
      <c r="D2596" t="s">
        <v>37</v>
      </c>
      <c r="E2596" t="s">
        <v>38</v>
      </c>
      <c r="F2596">
        <v>6</v>
      </c>
      <c r="G2596">
        <v>0.1</v>
      </c>
      <c r="H2596">
        <v>9720</v>
      </c>
      <c r="I2596">
        <v>368.58</v>
      </c>
      <c r="J2596" t="s">
        <v>65</v>
      </c>
      <c r="K2596" t="s">
        <v>434</v>
      </c>
      <c r="L2596">
        <v>1620</v>
      </c>
      <c r="M2596">
        <v>3.791975308641975</v>
      </c>
      <c r="N2596" t="s">
        <v>8</v>
      </c>
      <c r="O2596" t="s">
        <v>149</v>
      </c>
      <c r="P2596" t="s">
        <v>83</v>
      </c>
      <c r="Q2596" t="s">
        <v>74</v>
      </c>
      <c r="R2596" t="s">
        <v>75</v>
      </c>
      <c r="S2596" t="s">
        <v>75</v>
      </c>
      <c r="T2596" t="s">
        <v>1862</v>
      </c>
      <c r="U2596" t="s">
        <v>105</v>
      </c>
      <c r="V2596">
        <v>61.43</v>
      </c>
    </row>
    <row r="2597" spans="1:22" x14ac:dyDescent="0.3">
      <c r="A2597" t="s">
        <v>4044</v>
      </c>
      <c r="B2597" s="2">
        <v>46146</v>
      </c>
      <c r="C2597" t="s">
        <v>1017</v>
      </c>
      <c r="D2597" t="s">
        <v>49</v>
      </c>
      <c r="E2597" t="s">
        <v>50</v>
      </c>
      <c r="F2597">
        <v>10</v>
      </c>
      <c r="G2597">
        <v>0.2</v>
      </c>
      <c r="H2597">
        <v>104000</v>
      </c>
      <c r="I2597">
        <v>11247.96</v>
      </c>
      <c r="J2597" t="s">
        <v>65</v>
      </c>
      <c r="K2597" t="s">
        <v>40</v>
      </c>
      <c r="L2597">
        <v>10400</v>
      </c>
      <c r="M2597">
        <v>10.81534615384615</v>
      </c>
      <c r="N2597" t="s">
        <v>8</v>
      </c>
      <c r="O2597" t="s">
        <v>1018</v>
      </c>
      <c r="P2597" t="s">
        <v>83</v>
      </c>
      <c r="Q2597" t="s">
        <v>30</v>
      </c>
      <c r="R2597" t="s">
        <v>98</v>
      </c>
      <c r="S2597" t="s">
        <v>54</v>
      </c>
      <c r="T2597" t="s">
        <v>1019</v>
      </c>
      <c r="U2597" t="s">
        <v>46</v>
      </c>
      <c r="V2597">
        <v>1124.796</v>
      </c>
    </row>
    <row r="2598" spans="1:22" x14ac:dyDescent="0.3">
      <c r="A2598" t="s">
        <v>4045</v>
      </c>
      <c r="B2598" s="2">
        <v>45882</v>
      </c>
      <c r="C2598" t="s">
        <v>2164</v>
      </c>
      <c r="D2598" t="s">
        <v>24</v>
      </c>
      <c r="E2598" t="s">
        <v>25</v>
      </c>
      <c r="F2598">
        <v>6</v>
      </c>
      <c r="G2598">
        <v>0.1</v>
      </c>
      <c r="H2598">
        <v>75600</v>
      </c>
      <c r="I2598">
        <v>9684.08</v>
      </c>
      <c r="J2598" t="s">
        <v>51</v>
      </c>
      <c r="K2598" t="s">
        <v>27</v>
      </c>
      <c r="L2598">
        <v>12600</v>
      </c>
      <c r="M2598">
        <v>12.809629629629629</v>
      </c>
      <c r="N2598" t="s">
        <v>8</v>
      </c>
      <c r="O2598" t="s">
        <v>141</v>
      </c>
      <c r="P2598" t="s">
        <v>29</v>
      </c>
      <c r="Q2598" t="s">
        <v>74</v>
      </c>
      <c r="R2598" t="s">
        <v>75</v>
      </c>
      <c r="S2598" t="s">
        <v>75</v>
      </c>
      <c r="T2598" t="s">
        <v>2165</v>
      </c>
      <c r="U2598" t="s">
        <v>105</v>
      </c>
      <c r="V2598">
        <v>1614.0133333333331</v>
      </c>
    </row>
    <row r="2599" spans="1:22" x14ac:dyDescent="0.3">
      <c r="A2599" t="s">
        <v>4046</v>
      </c>
      <c r="B2599" s="2">
        <v>45990</v>
      </c>
      <c r="C2599" t="s">
        <v>1331</v>
      </c>
      <c r="D2599" t="s">
        <v>24</v>
      </c>
      <c r="E2599" t="s">
        <v>92</v>
      </c>
      <c r="F2599">
        <v>1</v>
      </c>
      <c r="G2599">
        <v>0</v>
      </c>
      <c r="H2599">
        <v>900</v>
      </c>
      <c r="I2599">
        <v>-405.34</v>
      </c>
      <c r="J2599" t="s">
        <v>65</v>
      </c>
      <c r="K2599" t="s">
        <v>434</v>
      </c>
      <c r="L2599">
        <v>900</v>
      </c>
      <c r="M2599">
        <v>-45.037777777777777</v>
      </c>
      <c r="N2599" t="s">
        <v>81</v>
      </c>
      <c r="O2599" t="s">
        <v>553</v>
      </c>
      <c r="P2599" t="s">
        <v>29</v>
      </c>
      <c r="Q2599" t="s">
        <v>30</v>
      </c>
      <c r="R2599" t="s">
        <v>31</v>
      </c>
      <c r="S2599" t="s">
        <v>32</v>
      </c>
      <c r="T2599" t="s">
        <v>1332</v>
      </c>
      <c r="U2599" t="s">
        <v>46</v>
      </c>
      <c r="V2599">
        <v>-405.34</v>
      </c>
    </row>
    <row r="2600" spans="1:22" x14ac:dyDescent="0.3">
      <c r="A2600" t="s">
        <v>4047</v>
      </c>
      <c r="B2600" s="2">
        <v>46183</v>
      </c>
      <c r="C2600" t="s">
        <v>3640</v>
      </c>
      <c r="D2600" t="s">
        <v>24</v>
      </c>
      <c r="E2600" t="s">
        <v>92</v>
      </c>
      <c r="F2600">
        <v>2</v>
      </c>
      <c r="G2600">
        <v>0</v>
      </c>
      <c r="H2600">
        <v>1800</v>
      </c>
      <c r="I2600">
        <v>-146.22999999999999</v>
      </c>
      <c r="J2600" t="s">
        <v>26</v>
      </c>
      <c r="K2600" t="s">
        <v>434</v>
      </c>
      <c r="L2600">
        <v>900</v>
      </c>
      <c r="M2600">
        <v>-8.1238888888888887</v>
      </c>
      <c r="N2600" t="s">
        <v>81</v>
      </c>
      <c r="O2600" t="s">
        <v>692</v>
      </c>
      <c r="P2600" t="s">
        <v>73</v>
      </c>
      <c r="Q2600" t="s">
        <v>42</v>
      </c>
      <c r="R2600" t="s">
        <v>214</v>
      </c>
      <c r="S2600" t="s">
        <v>111</v>
      </c>
      <c r="T2600" t="s">
        <v>62</v>
      </c>
      <c r="U2600" t="s">
        <v>46</v>
      </c>
      <c r="V2600">
        <v>-73.114999999999995</v>
      </c>
    </row>
    <row r="2601" spans="1:22" x14ac:dyDescent="0.3">
      <c r="A2601" t="s">
        <v>4048</v>
      </c>
      <c r="B2601" s="2">
        <v>46006</v>
      </c>
      <c r="C2601" t="s">
        <v>1837</v>
      </c>
      <c r="D2601" t="s">
        <v>49</v>
      </c>
      <c r="E2601" t="s">
        <v>79</v>
      </c>
      <c r="F2601">
        <v>2</v>
      </c>
      <c r="G2601">
        <v>0.15</v>
      </c>
      <c r="H2601">
        <v>18700</v>
      </c>
      <c r="I2601">
        <v>3272.57</v>
      </c>
      <c r="J2601" t="s">
        <v>39</v>
      </c>
      <c r="K2601" t="s">
        <v>40</v>
      </c>
      <c r="L2601">
        <v>9350</v>
      </c>
      <c r="M2601">
        <v>17.500374331550798</v>
      </c>
      <c r="N2601" t="s">
        <v>8</v>
      </c>
      <c r="O2601" t="s">
        <v>492</v>
      </c>
      <c r="P2601" t="s">
        <v>29</v>
      </c>
      <c r="Q2601" t="s">
        <v>131</v>
      </c>
      <c r="R2601" t="s">
        <v>200</v>
      </c>
      <c r="S2601" t="s">
        <v>1838</v>
      </c>
      <c r="T2601" t="s">
        <v>1839</v>
      </c>
      <c r="U2601" t="s">
        <v>34</v>
      </c>
      <c r="V2601">
        <v>1636.2850000000001</v>
      </c>
    </row>
    <row r="2602" spans="1:22" x14ac:dyDescent="0.3">
      <c r="A2602" t="s">
        <v>4049</v>
      </c>
      <c r="B2602" s="2">
        <v>46169</v>
      </c>
      <c r="C2602" t="s">
        <v>2431</v>
      </c>
      <c r="D2602" t="s">
        <v>37</v>
      </c>
      <c r="E2602" t="s">
        <v>170</v>
      </c>
      <c r="F2602">
        <v>1</v>
      </c>
      <c r="G2602">
        <v>0</v>
      </c>
      <c r="H2602">
        <v>1400</v>
      </c>
      <c r="I2602">
        <v>500</v>
      </c>
      <c r="J2602" t="s">
        <v>39</v>
      </c>
      <c r="K2602" t="s">
        <v>27</v>
      </c>
      <c r="L2602">
        <v>1400</v>
      </c>
      <c r="M2602">
        <v>35.714285714285722</v>
      </c>
      <c r="N2602" t="s">
        <v>8</v>
      </c>
      <c r="O2602" t="s">
        <v>2432</v>
      </c>
      <c r="P2602" t="s">
        <v>29</v>
      </c>
      <c r="Q2602" t="s">
        <v>131</v>
      </c>
      <c r="R2602" t="s">
        <v>200</v>
      </c>
      <c r="S2602" t="s">
        <v>201</v>
      </c>
      <c r="T2602" t="s">
        <v>2433</v>
      </c>
      <c r="U2602" t="s">
        <v>46</v>
      </c>
      <c r="V2602">
        <v>500</v>
      </c>
    </row>
    <row r="2603" spans="1:22" x14ac:dyDescent="0.3">
      <c r="A2603" t="s">
        <v>4050</v>
      </c>
      <c r="B2603" s="2">
        <v>46226</v>
      </c>
      <c r="C2603" t="s">
        <v>164</v>
      </c>
      <c r="D2603" t="s">
        <v>37</v>
      </c>
      <c r="E2603" t="s">
        <v>190</v>
      </c>
      <c r="F2603">
        <v>3</v>
      </c>
      <c r="G2603">
        <v>0</v>
      </c>
      <c r="H2603">
        <v>12600</v>
      </c>
      <c r="I2603">
        <v>3600</v>
      </c>
      <c r="J2603" t="s">
        <v>51</v>
      </c>
      <c r="K2603" t="s">
        <v>40</v>
      </c>
      <c r="L2603">
        <v>4200</v>
      </c>
      <c r="M2603">
        <v>28.571428571428569</v>
      </c>
      <c r="N2603" t="s">
        <v>8</v>
      </c>
      <c r="O2603" t="s">
        <v>166</v>
      </c>
      <c r="P2603" t="s">
        <v>73</v>
      </c>
      <c r="Q2603" t="s">
        <v>30</v>
      </c>
      <c r="R2603" t="s">
        <v>53</v>
      </c>
      <c r="S2603" t="s">
        <v>54</v>
      </c>
      <c r="T2603" t="s">
        <v>167</v>
      </c>
      <c r="U2603" t="s">
        <v>46</v>
      </c>
      <c r="V2603">
        <v>1200</v>
      </c>
    </row>
    <row r="2604" spans="1:22" x14ac:dyDescent="0.3">
      <c r="A2604" t="s">
        <v>4051</v>
      </c>
      <c r="B2604" s="2">
        <v>46186</v>
      </c>
      <c r="C2604" t="s">
        <v>1934</v>
      </c>
      <c r="D2604" t="s">
        <v>49</v>
      </c>
      <c r="E2604" t="s">
        <v>50</v>
      </c>
      <c r="F2604">
        <v>4</v>
      </c>
      <c r="G2604">
        <v>0.2</v>
      </c>
      <c r="H2604">
        <v>41600</v>
      </c>
      <c r="I2604">
        <v>5445.28</v>
      </c>
      <c r="J2604" t="s">
        <v>65</v>
      </c>
      <c r="K2604" t="s">
        <v>40</v>
      </c>
      <c r="L2604">
        <v>10400</v>
      </c>
      <c r="M2604">
        <v>13.08961538461538</v>
      </c>
      <c r="N2604" t="s">
        <v>8</v>
      </c>
      <c r="O2604" t="s">
        <v>975</v>
      </c>
      <c r="P2604" t="s">
        <v>73</v>
      </c>
      <c r="Q2604" t="s">
        <v>74</v>
      </c>
      <c r="R2604" t="s">
        <v>75</v>
      </c>
      <c r="S2604" t="s">
        <v>75</v>
      </c>
      <c r="T2604" t="s">
        <v>1425</v>
      </c>
      <c r="U2604" t="s">
        <v>46</v>
      </c>
      <c r="V2604">
        <v>1361.32</v>
      </c>
    </row>
    <row r="2605" spans="1:22" x14ac:dyDescent="0.3">
      <c r="A2605" t="s">
        <v>4052</v>
      </c>
      <c r="B2605" s="2">
        <v>46259</v>
      </c>
      <c r="C2605" t="s">
        <v>1812</v>
      </c>
      <c r="D2605" t="s">
        <v>49</v>
      </c>
      <c r="E2605" t="s">
        <v>58</v>
      </c>
      <c r="F2605">
        <v>1</v>
      </c>
      <c r="G2605">
        <v>0.1</v>
      </c>
      <c r="H2605">
        <v>13500</v>
      </c>
      <c r="I2605">
        <v>2363.3000000000002</v>
      </c>
      <c r="J2605" t="s">
        <v>65</v>
      </c>
      <c r="K2605" t="s">
        <v>40</v>
      </c>
      <c r="L2605">
        <v>13500</v>
      </c>
      <c r="M2605">
        <v>17.505925925925929</v>
      </c>
      <c r="N2605" t="s">
        <v>8</v>
      </c>
      <c r="O2605" t="s">
        <v>1813</v>
      </c>
      <c r="P2605" t="s">
        <v>83</v>
      </c>
      <c r="Q2605" t="s">
        <v>30</v>
      </c>
      <c r="R2605" t="s">
        <v>98</v>
      </c>
      <c r="S2605" t="s">
        <v>54</v>
      </c>
      <c r="T2605" t="s">
        <v>1089</v>
      </c>
      <c r="U2605" t="s">
        <v>34</v>
      </c>
      <c r="V2605">
        <v>2363.3000000000002</v>
      </c>
    </row>
    <row r="2606" spans="1:22" x14ac:dyDescent="0.3">
      <c r="A2606" t="s">
        <v>4053</v>
      </c>
      <c r="B2606" s="2">
        <v>46204</v>
      </c>
      <c r="C2606" t="s">
        <v>861</v>
      </c>
      <c r="D2606" t="s">
        <v>37</v>
      </c>
      <c r="E2606" t="s">
        <v>190</v>
      </c>
      <c r="F2606">
        <v>3</v>
      </c>
      <c r="G2606">
        <v>0.15</v>
      </c>
      <c r="H2606">
        <v>10710</v>
      </c>
      <c r="I2606">
        <v>2473.94</v>
      </c>
      <c r="J2606" t="s">
        <v>51</v>
      </c>
      <c r="K2606" t="s">
        <v>40</v>
      </c>
      <c r="L2606">
        <v>3570</v>
      </c>
      <c r="M2606">
        <v>23.099346405228761</v>
      </c>
      <c r="N2606" t="s">
        <v>8</v>
      </c>
      <c r="O2606" t="s">
        <v>369</v>
      </c>
      <c r="P2606" t="s">
        <v>29</v>
      </c>
      <c r="Q2606" t="s">
        <v>74</v>
      </c>
      <c r="R2606" t="s">
        <v>237</v>
      </c>
      <c r="S2606" t="s">
        <v>238</v>
      </c>
      <c r="T2606" t="s">
        <v>750</v>
      </c>
      <c r="U2606" t="s">
        <v>105</v>
      </c>
      <c r="V2606">
        <v>824.64666666666665</v>
      </c>
    </row>
    <row r="2607" spans="1:22" x14ac:dyDescent="0.3">
      <c r="A2607" t="s">
        <v>4054</v>
      </c>
      <c r="B2607" s="2">
        <v>45961</v>
      </c>
      <c r="C2607" t="s">
        <v>272</v>
      </c>
      <c r="D2607" t="s">
        <v>70</v>
      </c>
      <c r="E2607" t="s">
        <v>165</v>
      </c>
      <c r="F2607">
        <v>1</v>
      </c>
      <c r="G2607">
        <v>0.15</v>
      </c>
      <c r="H2607">
        <v>2125</v>
      </c>
      <c r="I2607">
        <v>-940.37</v>
      </c>
      <c r="J2607" t="s">
        <v>26</v>
      </c>
      <c r="K2607" t="s">
        <v>434</v>
      </c>
      <c r="L2607">
        <v>2125</v>
      </c>
      <c r="M2607">
        <v>-44.252705882352942</v>
      </c>
      <c r="N2607" t="s">
        <v>81</v>
      </c>
      <c r="O2607" t="s">
        <v>166</v>
      </c>
      <c r="P2607" t="s">
        <v>73</v>
      </c>
      <c r="Q2607" t="s">
        <v>30</v>
      </c>
      <c r="R2607" t="s">
        <v>98</v>
      </c>
      <c r="S2607" t="s">
        <v>54</v>
      </c>
      <c r="T2607" t="s">
        <v>273</v>
      </c>
      <c r="U2607" t="s">
        <v>105</v>
      </c>
      <c r="V2607">
        <v>-940.37</v>
      </c>
    </row>
    <row r="2608" spans="1:22" x14ac:dyDescent="0.3">
      <c r="A2608" t="s">
        <v>4055</v>
      </c>
      <c r="B2608" s="2">
        <v>46151</v>
      </c>
      <c r="C2608" t="s">
        <v>229</v>
      </c>
      <c r="D2608" t="s">
        <v>37</v>
      </c>
      <c r="E2608" t="s">
        <v>310</v>
      </c>
      <c r="F2608">
        <v>10</v>
      </c>
      <c r="G2608">
        <v>0</v>
      </c>
      <c r="H2608">
        <v>22000</v>
      </c>
      <c r="I2608">
        <v>7500</v>
      </c>
      <c r="J2608" t="s">
        <v>26</v>
      </c>
      <c r="K2608" t="s">
        <v>40</v>
      </c>
      <c r="L2608">
        <v>2200</v>
      </c>
      <c r="M2608">
        <v>34.090909090909093</v>
      </c>
      <c r="N2608" t="s">
        <v>8</v>
      </c>
      <c r="O2608" t="s">
        <v>103</v>
      </c>
      <c r="P2608" t="s">
        <v>29</v>
      </c>
      <c r="Q2608" t="s">
        <v>30</v>
      </c>
      <c r="R2608" t="s">
        <v>60</v>
      </c>
      <c r="S2608" t="s">
        <v>61</v>
      </c>
      <c r="T2608" t="s">
        <v>230</v>
      </c>
      <c r="U2608" t="s">
        <v>105</v>
      </c>
      <c r="V2608">
        <v>750</v>
      </c>
    </row>
    <row r="2609" spans="1:22" x14ac:dyDescent="0.3">
      <c r="A2609" t="s">
        <v>4056</v>
      </c>
      <c r="B2609" s="2">
        <v>45849</v>
      </c>
      <c r="C2609" t="s">
        <v>2495</v>
      </c>
      <c r="D2609" t="s">
        <v>24</v>
      </c>
      <c r="E2609" t="s">
        <v>87</v>
      </c>
      <c r="F2609">
        <v>3</v>
      </c>
      <c r="G2609">
        <v>0.1</v>
      </c>
      <c r="H2609">
        <v>945</v>
      </c>
      <c r="I2609">
        <v>14.97</v>
      </c>
      <c r="J2609" t="s">
        <v>65</v>
      </c>
      <c r="K2609" t="s">
        <v>80</v>
      </c>
      <c r="L2609">
        <v>315</v>
      </c>
      <c r="M2609">
        <v>1.5841269841269841</v>
      </c>
      <c r="N2609" t="s">
        <v>8</v>
      </c>
      <c r="O2609" t="s">
        <v>1831</v>
      </c>
      <c r="P2609" t="s">
        <v>29</v>
      </c>
      <c r="Q2609" t="s">
        <v>74</v>
      </c>
      <c r="R2609" t="s">
        <v>237</v>
      </c>
      <c r="S2609" t="s">
        <v>238</v>
      </c>
      <c r="T2609" t="s">
        <v>2496</v>
      </c>
      <c r="U2609" t="s">
        <v>46</v>
      </c>
      <c r="V2609">
        <v>4.99</v>
      </c>
    </row>
    <row r="2610" spans="1:22" x14ac:dyDescent="0.3">
      <c r="A2610" t="s">
        <v>4057</v>
      </c>
      <c r="B2610" s="2">
        <v>46002</v>
      </c>
      <c r="C2610" t="s">
        <v>4058</v>
      </c>
      <c r="D2610" t="s">
        <v>37</v>
      </c>
      <c r="E2610" t="s">
        <v>190</v>
      </c>
      <c r="F2610">
        <v>1</v>
      </c>
      <c r="G2610">
        <v>0.05</v>
      </c>
      <c r="H2610">
        <v>3990</v>
      </c>
      <c r="I2610">
        <v>1060.3900000000001</v>
      </c>
      <c r="J2610" t="s">
        <v>26</v>
      </c>
      <c r="K2610" t="s">
        <v>40</v>
      </c>
      <c r="L2610">
        <v>3990</v>
      </c>
      <c r="M2610">
        <v>26.576190476190479</v>
      </c>
      <c r="N2610" t="s">
        <v>8</v>
      </c>
      <c r="O2610" t="s">
        <v>717</v>
      </c>
      <c r="P2610" t="s">
        <v>73</v>
      </c>
      <c r="Q2610" t="s">
        <v>131</v>
      </c>
      <c r="R2610" t="s">
        <v>200</v>
      </c>
      <c r="S2610" t="s">
        <v>201</v>
      </c>
      <c r="T2610" t="s">
        <v>4059</v>
      </c>
      <c r="U2610" t="s">
        <v>34</v>
      </c>
      <c r="V2610">
        <v>1060.3900000000001</v>
      </c>
    </row>
    <row r="2611" spans="1:22" x14ac:dyDescent="0.3">
      <c r="A2611" t="s">
        <v>4060</v>
      </c>
      <c r="B2611" s="2">
        <v>45999</v>
      </c>
      <c r="C2611" t="s">
        <v>1773</v>
      </c>
      <c r="D2611" t="s">
        <v>70</v>
      </c>
      <c r="E2611" t="s">
        <v>129</v>
      </c>
      <c r="F2611">
        <v>3</v>
      </c>
      <c r="G2611">
        <v>0.1</v>
      </c>
      <c r="H2611">
        <v>148500</v>
      </c>
      <c r="I2611">
        <v>14768.45</v>
      </c>
      <c r="J2611" t="s">
        <v>51</v>
      </c>
      <c r="K2611" t="s">
        <v>27</v>
      </c>
      <c r="L2611">
        <v>49500</v>
      </c>
      <c r="M2611">
        <v>9.9450841750841761</v>
      </c>
      <c r="N2611" t="s">
        <v>8</v>
      </c>
      <c r="O2611" t="s">
        <v>1538</v>
      </c>
      <c r="P2611" t="s">
        <v>29</v>
      </c>
      <c r="Q2611" t="s">
        <v>74</v>
      </c>
      <c r="R2611" t="s">
        <v>237</v>
      </c>
      <c r="S2611" t="s">
        <v>238</v>
      </c>
      <c r="T2611" t="s">
        <v>1774</v>
      </c>
      <c r="U2611" t="s">
        <v>105</v>
      </c>
      <c r="V2611">
        <v>4922.8166666666666</v>
      </c>
    </row>
    <row r="2612" spans="1:22" x14ac:dyDescent="0.3">
      <c r="A2612" t="s">
        <v>4061</v>
      </c>
      <c r="B2612" s="2">
        <v>45908</v>
      </c>
      <c r="C2612" t="s">
        <v>2947</v>
      </c>
      <c r="D2612" t="s">
        <v>49</v>
      </c>
      <c r="E2612" t="s">
        <v>58</v>
      </c>
      <c r="F2612">
        <v>4</v>
      </c>
      <c r="G2612">
        <v>0.1</v>
      </c>
      <c r="H2612">
        <v>54000</v>
      </c>
      <c r="I2612">
        <v>10095.280000000001</v>
      </c>
      <c r="J2612" t="s">
        <v>39</v>
      </c>
      <c r="K2612" t="s">
        <v>40</v>
      </c>
      <c r="L2612">
        <v>13500</v>
      </c>
      <c r="M2612">
        <v>18.694962962962961</v>
      </c>
      <c r="N2612" t="s">
        <v>8</v>
      </c>
      <c r="O2612" t="s">
        <v>2674</v>
      </c>
      <c r="P2612" t="s">
        <v>29</v>
      </c>
      <c r="Q2612" t="s">
        <v>74</v>
      </c>
      <c r="R2612" t="s">
        <v>115</v>
      </c>
      <c r="S2612" t="s">
        <v>115</v>
      </c>
      <c r="T2612" t="s">
        <v>2948</v>
      </c>
      <c r="U2612" t="s">
        <v>105</v>
      </c>
      <c r="V2612">
        <v>2523.8200000000002</v>
      </c>
    </row>
    <row r="2613" spans="1:22" x14ac:dyDescent="0.3">
      <c r="A2613" t="s">
        <v>4062</v>
      </c>
      <c r="B2613" s="2">
        <v>46075</v>
      </c>
      <c r="C2613" t="s">
        <v>481</v>
      </c>
      <c r="D2613" t="s">
        <v>24</v>
      </c>
      <c r="E2613" t="s">
        <v>242</v>
      </c>
      <c r="F2613">
        <v>2</v>
      </c>
      <c r="G2613">
        <v>0.1</v>
      </c>
      <c r="H2613">
        <v>810</v>
      </c>
      <c r="I2613">
        <v>144.13</v>
      </c>
      <c r="J2613" t="s">
        <v>26</v>
      </c>
      <c r="K2613" t="s">
        <v>27</v>
      </c>
      <c r="L2613">
        <v>405</v>
      </c>
      <c r="M2613">
        <v>17.79382716049383</v>
      </c>
      <c r="N2613" t="s">
        <v>8</v>
      </c>
      <c r="O2613" t="s">
        <v>482</v>
      </c>
      <c r="P2613" t="s">
        <v>83</v>
      </c>
      <c r="Q2613" t="s">
        <v>30</v>
      </c>
      <c r="R2613" t="s">
        <v>31</v>
      </c>
      <c r="S2613" t="s">
        <v>32</v>
      </c>
      <c r="T2613" t="s">
        <v>483</v>
      </c>
      <c r="U2613" t="s">
        <v>46</v>
      </c>
      <c r="V2613">
        <v>72.064999999999998</v>
      </c>
    </row>
    <row r="2614" spans="1:22" x14ac:dyDescent="0.3">
      <c r="A2614" t="s">
        <v>4063</v>
      </c>
      <c r="B2614" s="2">
        <v>46173</v>
      </c>
      <c r="C2614" t="s">
        <v>189</v>
      </c>
      <c r="D2614" t="s">
        <v>49</v>
      </c>
      <c r="E2614" t="s">
        <v>58</v>
      </c>
      <c r="F2614">
        <v>1</v>
      </c>
      <c r="G2614">
        <v>0</v>
      </c>
      <c r="H2614">
        <v>15000</v>
      </c>
      <c r="I2614">
        <v>3500</v>
      </c>
      <c r="J2614" t="s">
        <v>39</v>
      </c>
      <c r="K2614" t="s">
        <v>27</v>
      </c>
      <c r="L2614">
        <v>15000</v>
      </c>
      <c r="M2614">
        <v>23.333333333333329</v>
      </c>
      <c r="N2614" t="s">
        <v>8</v>
      </c>
      <c r="O2614" t="s">
        <v>191</v>
      </c>
      <c r="P2614" t="s">
        <v>29</v>
      </c>
      <c r="Q2614" t="s">
        <v>30</v>
      </c>
      <c r="R2614" t="s">
        <v>31</v>
      </c>
      <c r="S2614" t="s">
        <v>32</v>
      </c>
      <c r="T2614" t="s">
        <v>192</v>
      </c>
      <c r="U2614" t="s">
        <v>34</v>
      </c>
      <c r="V2614">
        <v>3500</v>
      </c>
    </row>
    <row r="2615" spans="1:22" x14ac:dyDescent="0.3">
      <c r="A2615" t="s">
        <v>4064</v>
      </c>
      <c r="B2615" s="2">
        <v>46196</v>
      </c>
      <c r="C2615" t="s">
        <v>3640</v>
      </c>
      <c r="D2615" t="s">
        <v>70</v>
      </c>
      <c r="E2615" t="s">
        <v>108</v>
      </c>
      <c r="F2615">
        <v>5</v>
      </c>
      <c r="G2615">
        <v>0.15</v>
      </c>
      <c r="H2615">
        <v>19125</v>
      </c>
      <c r="I2615">
        <v>5163.1400000000003</v>
      </c>
      <c r="J2615" t="s">
        <v>51</v>
      </c>
      <c r="K2615" t="s">
        <v>40</v>
      </c>
      <c r="L2615">
        <v>3825</v>
      </c>
      <c r="M2615">
        <v>26.996810457516339</v>
      </c>
      <c r="N2615" t="s">
        <v>8</v>
      </c>
      <c r="O2615" t="s">
        <v>692</v>
      </c>
      <c r="P2615" t="s">
        <v>73</v>
      </c>
      <c r="Q2615" t="s">
        <v>42</v>
      </c>
      <c r="R2615" t="s">
        <v>214</v>
      </c>
      <c r="S2615" t="s">
        <v>111</v>
      </c>
      <c r="T2615" t="s">
        <v>62</v>
      </c>
      <c r="U2615" t="s">
        <v>46</v>
      </c>
      <c r="V2615">
        <v>1032.6279999999999</v>
      </c>
    </row>
    <row r="2616" spans="1:22" x14ac:dyDescent="0.3">
      <c r="A2616" t="s">
        <v>4065</v>
      </c>
      <c r="B2616" s="2">
        <v>46196</v>
      </c>
      <c r="C2616" t="s">
        <v>1655</v>
      </c>
      <c r="D2616" t="s">
        <v>24</v>
      </c>
      <c r="E2616" t="s">
        <v>25</v>
      </c>
      <c r="F2616">
        <v>5</v>
      </c>
      <c r="G2616">
        <v>0.05</v>
      </c>
      <c r="H2616">
        <v>66500</v>
      </c>
      <c r="I2616">
        <v>11725.61</v>
      </c>
      <c r="J2616" t="s">
        <v>26</v>
      </c>
      <c r="K2616" t="s">
        <v>40</v>
      </c>
      <c r="L2616">
        <v>13300</v>
      </c>
      <c r="M2616">
        <v>17.632496240601501</v>
      </c>
      <c r="N2616" t="s">
        <v>8</v>
      </c>
      <c r="O2616" t="s">
        <v>1656</v>
      </c>
      <c r="P2616" t="s">
        <v>29</v>
      </c>
      <c r="Q2616" t="s">
        <v>30</v>
      </c>
      <c r="R2616" t="s">
        <v>53</v>
      </c>
      <c r="S2616" t="s">
        <v>54</v>
      </c>
      <c r="T2616" t="s">
        <v>1657</v>
      </c>
      <c r="U2616" t="s">
        <v>34</v>
      </c>
      <c r="V2616">
        <v>2345.1219999999998</v>
      </c>
    </row>
    <row r="2617" spans="1:22" x14ac:dyDescent="0.3">
      <c r="A2617" t="s">
        <v>4066</v>
      </c>
      <c r="B2617" s="2">
        <v>46005</v>
      </c>
      <c r="C2617" t="s">
        <v>529</v>
      </c>
      <c r="D2617" t="s">
        <v>49</v>
      </c>
      <c r="E2617" t="s">
        <v>58</v>
      </c>
      <c r="F2617">
        <v>1</v>
      </c>
      <c r="G2617">
        <v>0.15</v>
      </c>
      <c r="H2617">
        <v>12750</v>
      </c>
      <c r="I2617">
        <v>1695.71</v>
      </c>
      <c r="J2617" t="s">
        <v>39</v>
      </c>
      <c r="K2617" t="s">
        <v>27</v>
      </c>
      <c r="L2617">
        <v>12750</v>
      </c>
      <c r="M2617">
        <v>13.299686274509799</v>
      </c>
      <c r="N2617" t="s">
        <v>8</v>
      </c>
      <c r="O2617" t="s">
        <v>530</v>
      </c>
      <c r="P2617" t="s">
        <v>29</v>
      </c>
      <c r="Q2617" t="s">
        <v>30</v>
      </c>
      <c r="R2617" t="s">
        <v>98</v>
      </c>
      <c r="S2617" t="s">
        <v>54</v>
      </c>
      <c r="T2617" t="s">
        <v>531</v>
      </c>
      <c r="U2617" t="s">
        <v>105</v>
      </c>
      <c r="V2617">
        <v>1695.71</v>
      </c>
    </row>
    <row r="2618" spans="1:22" x14ac:dyDescent="0.3">
      <c r="A2618" t="s">
        <v>4067</v>
      </c>
      <c r="B2618" s="2">
        <v>46237</v>
      </c>
      <c r="C2618" t="s">
        <v>1152</v>
      </c>
      <c r="D2618" t="s">
        <v>24</v>
      </c>
      <c r="E2618" t="s">
        <v>242</v>
      </c>
      <c r="F2618">
        <v>3</v>
      </c>
      <c r="G2618">
        <v>0.05</v>
      </c>
      <c r="H2618">
        <v>1282.5</v>
      </c>
      <c r="I2618">
        <v>285.60000000000002</v>
      </c>
      <c r="J2618" t="s">
        <v>51</v>
      </c>
      <c r="K2618" t="s">
        <v>40</v>
      </c>
      <c r="L2618">
        <v>427.5</v>
      </c>
      <c r="M2618">
        <v>22.26900584795322</v>
      </c>
      <c r="N2618" t="s">
        <v>8</v>
      </c>
      <c r="O2618" t="s">
        <v>995</v>
      </c>
      <c r="P2618" t="s">
        <v>29</v>
      </c>
      <c r="Q2618" t="s">
        <v>30</v>
      </c>
      <c r="R2618" t="s">
        <v>31</v>
      </c>
      <c r="S2618" t="s">
        <v>32</v>
      </c>
      <c r="T2618" t="s">
        <v>960</v>
      </c>
      <c r="U2618" t="s">
        <v>100</v>
      </c>
      <c r="V2618">
        <v>95.2</v>
      </c>
    </row>
    <row r="2619" spans="1:22" x14ac:dyDescent="0.3">
      <c r="A2619" t="s">
        <v>4068</v>
      </c>
      <c r="B2619" s="2">
        <v>46226</v>
      </c>
      <c r="C2619" t="s">
        <v>2241</v>
      </c>
      <c r="D2619" t="s">
        <v>49</v>
      </c>
      <c r="E2619" t="s">
        <v>50</v>
      </c>
      <c r="F2619">
        <v>1</v>
      </c>
      <c r="G2619">
        <v>0</v>
      </c>
      <c r="H2619">
        <v>13000</v>
      </c>
      <c r="I2619">
        <v>3200</v>
      </c>
      <c r="J2619" t="s">
        <v>65</v>
      </c>
      <c r="K2619" t="s">
        <v>40</v>
      </c>
      <c r="L2619">
        <v>13000</v>
      </c>
      <c r="M2619">
        <v>24.61538461538462</v>
      </c>
      <c r="N2619" t="s">
        <v>8</v>
      </c>
      <c r="O2619" t="s">
        <v>2242</v>
      </c>
      <c r="P2619" t="s">
        <v>73</v>
      </c>
      <c r="Q2619" t="s">
        <v>74</v>
      </c>
      <c r="R2619" t="s">
        <v>493</v>
      </c>
      <c r="S2619" t="s">
        <v>494</v>
      </c>
      <c r="T2619" t="s">
        <v>2243</v>
      </c>
      <c r="U2619" t="s">
        <v>100</v>
      </c>
      <c r="V2619">
        <v>3200</v>
      </c>
    </row>
    <row r="2620" spans="1:22" x14ac:dyDescent="0.3">
      <c r="A2620" t="s">
        <v>4069</v>
      </c>
      <c r="B2620" s="2">
        <v>45861</v>
      </c>
      <c r="C2620" t="s">
        <v>1782</v>
      </c>
      <c r="D2620" t="s">
        <v>24</v>
      </c>
      <c r="E2620" t="s">
        <v>242</v>
      </c>
      <c r="F2620">
        <v>1</v>
      </c>
      <c r="G2620">
        <v>0</v>
      </c>
      <c r="H2620">
        <v>450</v>
      </c>
      <c r="I2620">
        <v>110</v>
      </c>
      <c r="J2620" t="s">
        <v>39</v>
      </c>
      <c r="K2620" t="s">
        <v>40</v>
      </c>
      <c r="L2620">
        <v>450</v>
      </c>
      <c r="M2620">
        <v>24.444444444444439</v>
      </c>
      <c r="N2620" t="s">
        <v>8</v>
      </c>
      <c r="O2620" t="s">
        <v>682</v>
      </c>
      <c r="P2620" t="s">
        <v>73</v>
      </c>
      <c r="Q2620" t="s">
        <v>131</v>
      </c>
      <c r="R2620" t="s">
        <v>200</v>
      </c>
      <c r="S2620" t="s">
        <v>201</v>
      </c>
      <c r="T2620" t="s">
        <v>295</v>
      </c>
      <c r="U2620" t="s">
        <v>34</v>
      </c>
      <c r="V2620">
        <v>110</v>
      </c>
    </row>
    <row r="2621" spans="1:22" x14ac:dyDescent="0.3">
      <c r="A2621" t="s">
        <v>4070</v>
      </c>
      <c r="B2621" s="2">
        <v>46103</v>
      </c>
      <c r="C2621" t="s">
        <v>1951</v>
      </c>
      <c r="D2621" t="s">
        <v>70</v>
      </c>
      <c r="E2621" t="s">
        <v>71</v>
      </c>
      <c r="F2621">
        <v>2</v>
      </c>
      <c r="G2621">
        <v>0</v>
      </c>
      <c r="H2621">
        <v>36000</v>
      </c>
      <c r="I2621">
        <v>-20363.259999999998</v>
      </c>
      <c r="J2621" t="s">
        <v>51</v>
      </c>
      <c r="K2621" t="s">
        <v>434</v>
      </c>
      <c r="L2621">
        <v>18000</v>
      </c>
      <c r="M2621">
        <v>-56.564611111111113</v>
      </c>
      <c r="N2621" t="s">
        <v>81</v>
      </c>
      <c r="O2621" t="s">
        <v>1952</v>
      </c>
      <c r="P2621" t="s">
        <v>29</v>
      </c>
      <c r="Q2621" t="s">
        <v>30</v>
      </c>
      <c r="R2621" t="s">
        <v>31</v>
      </c>
      <c r="S2621" t="s">
        <v>32</v>
      </c>
      <c r="T2621" t="s">
        <v>1953</v>
      </c>
      <c r="U2621" t="s">
        <v>34</v>
      </c>
      <c r="V2621">
        <v>-10181.629999999999</v>
      </c>
    </row>
    <row r="2622" spans="1:22" x14ac:dyDescent="0.3">
      <c r="A2622" t="s">
        <v>4071</v>
      </c>
      <c r="B2622" s="2">
        <v>45992</v>
      </c>
      <c r="C2622" t="s">
        <v>2034</v>
      </c>
      <c r="D2622" t="s">
        <v>37</v>
      </c>
      <c r="E2622" t="s">
        <v>170</v>
      </c>
      <c r="F2622">
        <v>3</v>
      </c>
      <c r="G2622">
        <v>0.05</v>
      </c>
      <c r="H2622">
        <v>3990</v>
      </c>
      <c r="I2622">
        <v>1371.3</v>
      </c>
      <c r="J2622" t="s">
        <v>65</v>
      </c>
      <c r="K2622" t="s">
        <v>40</v>
      </c>
      <c r="L2622">
        <v>1330</v>
      </c>
      <c r="M2622">
        <v>34.368421052631582</v>
      </c>
      <c r="N2622" t="s">
        <v>8</v>
      </c>
      <c r="O2622" t="s">
        <v>502</v>
      </c>
      <c r="P2622" t="s">
        <v>29</v>
      </c>
      <c r="Q2622" t="s">
        <v>30</v>
      </c>
      <c r="R2622" t="s">
        <v>98</v>
      </c>
      <c r="S2622" t="s">
        <v>54</v>
      </c>
      <c r="T2622" t="s">
        <v>2035</v>
      </c>
      <c r="U2622" t="s">
        <v>34</v>
      </c>
      <c r="V2622">
        <v>457.1</v>
      </c>
    </row>
    <row r="2623" spans="1:22" x14ac:dyDescent="0.3">
      <c r="A2623" t="s">
        <v>4072</v>
      </c>
      <c r="B2623" s="2">
        <v>46202</v>
      </c>
      <c r="C2623" t="s">
        <v>1152</v>
      </c>
      <c r="D2623" t="s">
        <v>49</v>
      </c>
      <c r="E2623" t="s">
        <v>50</v>
      </c>
      <c r="F2623">
        <v>3</v>
      </c>
      <c r="G2623">
        <v>0.15</v>
      </c>
      <c r="H2623">
        <v>33150</v>
      </c>
      <c r="I2623">
        <v>4718.78</v>
      </c>
      <c r="J2623" t="s">
        <v>39</v>
      </c>
      <c r="K2623" t="s">
        <v>40</v>
      </c>
      <c r="L2623">
        <v>11050</v>
      </c>
      <c r="M2623">
        <v>14.234630467571639</v>
      </c>
      <c r="N2623" t="s">
        <v>8</v>
      </c>
      <c r="O2623" t="s">
        <v>995</v>
      </c>
      <c r="P2623" t="s">
        <v>29</v>
      </c>
      <c r="Q2623" t="s">
        <v>30</v>
      </c>
      <c r="R2623" t="s">
        <v>31</v>
      </c>
      <c r="S2623" t="s">
        <v>32</v>
      </c>
      <c r="T2623" t="s">
        <v>960</v>
      </c>
      <c r="U2623" t="s">
        <v>100</v>
      </c>
      <c r="V2623">
        <v>1572.926666666667</v>
      </c>
    </row>
    <row r="2624" spans="1:22" x14ac:dyDescent="0.3">
      <c r="A2624" t="s">
        <v>4073</v>
      </c>
      <c r="B2624" s="2">
        <v>45899</v>
      </c>
      <c r="C2624" t="s">
        <v>263</v>
      </c>
      <c r="D2624" t="s">
        <v>37</v>
      </c>
      <c r="E2624" t="s">
        <v>310</v>
      </c>
      <c r="F2624">
        <v>2</v>
      </c>
      <c r="G2624">
        <v>0.1</v>
      </c>
      <c r="H2624">
        <v>3960</v>
      </c>
      <c r="I2624">
        <v>1191.94</v>
      </c>
      <c r="J2624" t="s">
        <v>51</v>
      </c>
      <c r="K2624" t="s">
        <v>40</v>
      </c>
      <c r="L2624">
        <v>1980</v>
      </c>
      <c r="M2624">
        <v>30.09949494949495</v>
      </c>
      <c r="N2624" t="s">
        <v>8</v>
      </c>
      <c r="O2624" t="s">
        <v>265</v>
      </c>
      <c r="P2624" t="s">
        <v>73</v>
      </c>
      <c r="Q2624" t="s">
        <v>30</v>
      </c>
      <c r="R2624" t="s">
        <v>31</v>
      </c>
      <c r="S2624" t="s">
        <v>32</v>
      </c>
      <c r="T2624" t="s">
        <v>266</v>
      </c>
      <c r="U2624" t="s">
        <v>46</v>
      </c>
      <c r="V2624">
        <v>595.97</v>
      </c>
    </row>
    <row r="2625" spans="1:22" x14ac:dyDescent="0.3">
      <c r="A2625" t="s">
        <v>4074</v>
      </c>
      <c r="B2625" s="2">
        <v>46194</v>
      </c>
      <c r="C2625" t="s">
        <v>667</v>
      </c>
      <c r="D2625" t="s">
        <v>49</v>
      </c>
      <c r="E2625" t="s">
        <v>79</v>
      </c>
      <c r="F2625">
        <v>1</v>
      </c>
      <c r="G2625">
        <v>0</v>
      </c>
      <c r="H2625">
        <v>11000</v>
      </c>
      <c r="I2625">
        <v>2600</v>
      </c>
      <c r="J2625" t="s">
        <v>26</v>
      </c>
      <c r="K2625" t="s">
        <v>27</v>
      </c>
      <c r="L2625">
        <v>11000</v>
      </c>
      <c r="M2625">
        <v>23.63636363636364</v>
      </c>
      <c r="N2625" t="s">
        <v>8</v>
      </c>
      <c r="O2625" t="s">
        <v>668</v>
      </c>
      <c r="P2625" t="s">
        <v>29</v>
      </c>
      <c r="Q2625" t="s">
        <v>30</v>
      </c>
      <c r="R2625" t="s">
        <v>31</v>
      </c>
      <c r="S2625" t="s">
        <v>32</v>
      </c>
      <c r="T2625" t="s">
        <v>669</v>
      </c>
      <c r="U2625" t="s">
        <v>46</v>
      </c>
      <c r="V2625">
        <v>2600</v>
      </c>
    </row>
    <row r="2626" spans="1:22" x14ac:dyDescent="0.3">
      <c r="A2626" t="s">
        <v>4075</v>
      </c>
      <c r="B2626" s="2">
        <v>46071</v>
      </c>
      <c r="C2626" t="s">
        <v>1140</v>
      </c>
      <c r="D2626" t="s">
        <v>24</v>
      </c>
      <c r="E2626" t="s">
        <v>92</v>
      </c>
      <c r="F2626">
        <v>4</v>
      </c>
      <c r="G2626">
        <v>0.15</v>
      </c>
      <c r="H2626">
        <v>3060</v>
      </c>
      <c r="I2626">
        <v>854.26</v>
      </c>
      <c r="J2626" t="s">
        <v>39</v>
      </c>
      <c r="K2626" t="s">
        <v>40</v>
      </c>
      <c r="L2626">
        <v>765</v>
      </c>
      <c r="M2626">
        <v>27.91699346405229</v>
      </c>
      <c r="N2626" t="s">
        <v>8</v>
      </c>
      <c r="O2626" t="s">
        <v>1141</v>
      </c>
      <c r="P2626" t="s">
        <v>29</v>
      </c>
      <c r="Q2626" t="s">
        <v>42</v>
      </c>
      <c r="R2626" t="s">
        <v>214</v>
      </c>
      <c r="S2626" t="s">
        <v>111</v>
      </c>
      <c r="T2626" t="s">
        <v>471</v>
      </c>
      <c r="U2626" t="s">
        <v>105</v>
      </c>
      <c r="V2626">
        <v>213.565</v>
      </c>
    </row>
    <row r="2627" spans="1:22" x14ac:dyDescent="0.3">
      <c r="A2627" t="s">
        <v>4076</v>
      </c>
      <c r="B2627" s="2">
        <v>45847</v>
      </c>
      <c r="C2627" t="s">
        <v>1293</v>
      </c>
      <c r="D2627" t="s">
        <v>70</v>
      </c>
      <c r="E2627" t="s">
        <v>108</v>
      </c>
      <c r="F2627">
        <v>1</v>
      </c>
      <c r="G2627">
        <v>0.1</v>
      </c>
      <c r="H2627">
        <v>4050</v>
      </c>
      <c r="I2627">
        <v>1172.3599999999999</v>
      </c>
      <c r="J2627" t="s">
        <v>51</v>
      </c>
      <c r="K2627" t="s">
        <v>27</v>
      </c>
      <c r="L2627">
        <v>4050</v>
      </c>
      <c r="M2627">
        <v>28.947160493827159</v>
      </c>
      <c r="N2627" t="s">
        <v>8</v>
      </c>
      <c r="O2627" t="s">
        <v>1294</v>
      </c>
      <c r="P2627" t="s">
        <v>83</v>
      </c>
      <c r="Q2627" t="s">
        <v>74</v>
      </c>
      <c r="R2627" t="s">
        <v>115</v>
      </c>
      <c r="S2627" t="s">
        <v>115</v>
      </c>
      <c r="T2627" t="s">
        <v>1295</v>
      </c>
      <c r="U2627" t="s">
        <v>46</v>
      </c>
      <c r="V2627">
        <v>1172.3599999999999</v>
      </c>
    </row>
    <row r="2628" spans="1:22" x14ac:dyDescent="0.3">
      <c r="A2628" t="s">
        <v>4077</v>
      </c>
      <c r="B2628" s="2">
        <v>45953</v>
      </c>
      <c r="C2628" t="s">
        <v>3230</v>
      </c>
      <c r="D2628" t="s">
        <v>70</v>
      </c>
      <c r="E2628" t="s">
        <v>71</v>
      </c>
      <c r="F2628">
        <v>2</v>
      </c>
      <c r="G2628">
        <v>0</v>
      </c>
      <c r="H2628">
        <v>36000</v>
      </c>
      <c r="I2628">
        <v>7000</v>
      </c>
      <c r="J2628" t="s">
        <v>39</v>
      </c>
      <c r="K2628" t="s">
        <v>40</v>
      </c>
      <c r="L2628">
        <v>18000</v>
      </c>
      <c r="M2628">
        <v>19.44444444444445</v>
      </c>
      <c r="N2628" t="s">
        <v>8</v>
      </c>
      <c r="O2628" t="s">
        <v>733</v>
      </c>
      <c r="P2628" t="s">
        <v>29</v>
      </c>
      <c r="Q2628" t="s">
        <v>42</v>
      </c>
      <c r="R2628" t="s">
        <v>121</v>
      </c>
      <c r="S2628" t="s">
        <v>44</v>
      </c>
      <c r="T2628" t="s">
        <v>3231</v>
      </c>
      <c r="U2628" t="s">
        <v>34</v>
      </c>
      <c r="V2628">
        <v>3500</v>
      </c>
    </row>
    <row r="2629" spans="1:22" x14ac:dyDescent="0.3">
      <c r="A2629" t="s">
        <v>4078</v>
      </c>
      <c r="B2629" s="2">
        <v>46238</v>
      </c>
      <c r="C2629" t="s">
        <v>4079</v>
      </c>
      <c r="D2629" t="s">
        <v>24</v>
      </c>
      <c r="E2629" t="s">
        <v>87</v>
      </c>
      <c r="F2629">
        <v>6</v>
      </c>
      <c r="G2629">
        <v>0</v>
      </c>
      <c r="H2629">
        <v>2100</v>
      </c>
      <c r="I2629">
        <v>720</v>
      </c>
      <c r="J2629" t="s">
        <v>65</v>
      </c>
      <c r="K2629" t="s">
        <v>40</v>
      </c>
      <c r="L2629">
        <v>350</v>
      </c>
      <c r="M2629">
        <v>34.285714285714278</v>
      </c>
      <c r="N2629" t="s">
        <v>8</v>
      </c>
      <c r="O2629" t="s">
        <v>4080</v>
      </c>
      <c r="P2629" t="s">
        <v>83</v>
      </c>
      <c r="Q2629" t="s">
        <v>131</v>
      </c>
      <c r="R2629" t="s">
        <v>289</v>
      </c>
      <c r="S2629" t="s">
        <v>290</v>
      </c>
      <c r="T2629" t="s">
        <v>4081</v>
      </c>
      <c r="U2629" t="s">
        <v>46</v>
      </c>
      <c r="V2629">
        <v>120</v>
      </c>
    </row>
    <row r="2630" spans="1:22" x14ac:dyDescent="0.3">
      <c r="A2630" t="s">
        <v>4082</v>
      </c>
      <c r="B2630" s="2">
        <v>45910</v>
      </c>
      <c r="C2630" t="s">
        <v>225</v>
      </c>
      <c r="D2630" t="s">
        <v>24</v>
      </c>
      <c r="E2630" t="s">
        <v>87</v>
      </c>
      <c r="F2630">
        <v>1</v>
      </c>
      <c r="G2630">
        <v>0.15</v>
      </c>
      <c r="H2630">
        <v>297.5</v>
      </c>
      <c r="I2630">
        <v>95.08</v>
      </c>
      <c r="J2630" t="s">
        <v>39</v>
      </c>
      <c r="K2630" t="s">
        <v>40</v>
      </c>
      <c r="L2630">
        <v>297.5</v>
      </c>
      <c r="M2630">
        <v>31.959663865546219</v>
      </c>
      <c r="N2630" t="s">
        <v>8</v>
      </c>
      <c r="O2630" t="s">
        <v>226</v>
      </c>
      <c r="P2630" t="s">
        <v>29</v>
      </c>
      <c r="Q2630" t="s">
        <v>30</v>
      </c>
      <c r="R2630" t="s">
        <v>31</v>
      </c>
      <c r="S2630" t="s">
        <v>32</v>
      </c>
      <c r="T2630" t="s">
        <v>227</v>
      </c>
      <c r="U2630" t="s">
        <v>100</v>
      </c>
      <c r="V2630">
        <v>95.08</v>
      </c>
    </row>
    <row r="2631" spans="1:22" x14ac:dyDescent="0.3">
      <c r="A2631" t="s">
        <v>4083</v>
      </c>
      <c r="B2631" s="2">
        <v>46052</v>
      </c>
      <c r="C2631" t="s">
        <v>577</v>
      </c>
      <c r="D2631" t="s">
        <v>70</v>
      </c>
      <c r="E2631" t="s">
        <v>108</v>
      </c>
      <c r="F2631">
        <v>2</v>
      </c>
      <c r="G2631">
        <v>0</v>
      </c>
      <c r="H2631">
        <v>9000</v>
      </c>
      <c r="I2631">
        <v>3000</v>
      </c>
      <c r="J2631" t="s">
        <v>51</v>
      </c>
      <c r="K2631" t="s">
        <v>40</v>
      </c>
      <c r="L2631">
        <v>4500</v>
      </c>
      <c r="M2631">
        <v>33.333333333333329</v>
      </c>
      <c r="N2631" t="s">
        <v>8</v>
      </c>
      <c r="O2631" t="s">
        <v>578</v>
      </c>
      <c r="P2631" t="s">
        <v>73</v>
      </c>
      <c r="Q2631" t="s">
        <v>30</v>
      </c>
      <c r="R2631" t="s">
        <v>98</v>
      </c>
      <c r="S2631" t="s">
        <v>54</v>
      </c>
      <c r="T2631" t="s">
        <v>579</v>
      </c>
      <c r="U2631" t="s">
        <v>46</v>
      </c>
      <c r="V2631">
        <v>1500</v>
      </c>
    </row>
    <row r="2632" spans="1:22" x14ac:dyDescent="0.3">
      <c r="A2632" t="s">
        <v>4084</v>
      </c>
      <c r="B2632" s="2">
        <v>46012</v>
      </c>
      <c r="C2632" t="s">
        <v>348</v>
      </c>
      <c r="D2632" t="s">
        <v>49</v>
      </c>
      <c r="E2632" t="s">
        <v>58</v>
      </c>
      <c r="F2632">
        <v>3</v>
      </c>
      <c r="G2632">
        <v>0.05</v>
      </c>
      <c r="H2632">
        <v>42750</v>
      </c>
      <c r="I2632">
        <v>9288.73</v>
      </c>
      <c r="J2632" t="s">
        <v>39</v>
      </c>
      <c r="K2632" t="s">
        <v>27</v>
      </c>
      <c r="L2632">
        <v>14250</v>
      </c>
      <c r="M2632">
        <v>21.728023391812869</v>
      </c>
      <c r="N2632" t="s">
        <v>8</v>
      </c>
      <c r="O2632" t="s">
        <v>349</v>
      </c>
      <c r="P2632" t="s">
        <v>83</v>
      </c>
      <c r="Q2632" t="s">
        <v>30</v>
      </c>
      <c r="R2632" t="s">
        <v>31</v>
      </c>
      <c r="S2632" t="s">
        <v>32</v>
      </c>
      <c r="T2632" t="s">
        <v>307</v>
      </c>
      <c r="U2632" t="s">
        <v>100</v>
      </c>
      <c r="V2632">
        <v>3096.2433333333329</v>
      </c>
    </row>
    <row r="2633" spans="1:22" x14ac:dyDescent="0.3">
      <c r="A2633" t="s">
        <v>4085</v>
      </c>
      <c r="B2633" s="2">
        <v>46069</v>
      </c>
      <c r="C2633" t="s">
        <v>381</v>
      </c>
      <c r="D2633" t="s">
        <v>49</v>
      </c>
      <c r="E2633" t="s">
        <v>79</v>
      </c>
      <c r="F2633">
        <v>3</v>
      </c>
      <c r="G2633">
        <v>0.1</v>
      </c>
      <c r="H2633">
        <v>29700</v>
      </c>
      <c r="I2633">
        <v>6027.72</v>
      </c>
      <c r="J2633" t="s">
        <v>39</v>
      </c>
      <c r="K2633" t="s">
        <v>40</v>
      </c>
      <c r="L2633">
        <v>9900</v>
      </c>
      <c r="M2633">
        <v>20.295353535353531</v>
      </c>
      <c r="N2633" t="s">
        <v>8</v>
      </c>
      <c r="O2633" t="s">
        <v>382</v>
      </c>
      <c r="P2633" t="s">
        <v>73</v>
      </c>
      <c r="Q2633" t="s">
        <v>30</v>
      </c>
      <c r="R2633" t="s">
        <v>98</v>
      </c>
      <c r="S2633" t="s">
        <v>54</v>
      </c>
      <c r="T2633" t="s">
        <v>383</v>
      </c>
      <c r="U2633" t="s">
        <v>100</v>
      </c>
      <c r="V2633">
        <v>2009.24</v>
      </c>
    </row>
    <row r="2634" spans="1:22" x14ac:dyDescent="0.3">
      <c r="A2634" t="s">
        <v>4086</v>
      </c>
      <c r="B2634" s="2">
        <v>46233</v>
      </c>
      <c r="C2634" t="s">
        <v>372</v>
      </c>
      <c r="D2634" t="s">
        <v>24</v>
      </c>
      <c r="E2634" t="s">
        <v>87</v>
      </c>
      <c r="F2634">
        <v>1</v>
      </c>
      <c r="G2634">
        <v>0.1</v>
      </c>
      <c r="H2634">
        <v>315</v>
      </c>
      <c r="I2634">
        <v>99.9</v>
      </c>
      <c r="J2634" t="s">
        <v>26</v>
      </c>
      <c r="K2634" t="s">
        <v>40</v>
      </c>
      <c r="L2634">
        <v>315</v>
      </c>
      <c r="M2634">
        <v>31.714285714285719</v>
      </c>
      <c r="N2634" t="s">
        <v>8</v>
      </c>
      <c r="O2634" t="s">
        <v>374</v>
      </c>
      <c r="P2634" t="s">
        <v>73</v>
      </c>
      <c r="Q2634" t="s">
        <v>30</v>
      </c>
      <c r="R2634" t="s">
        <v>53</v>
      </c>
      <c r="S2634" t="s">
        <v>54</v>
      </c>
      <c r="T2634" t="s">
        <v>375</v>
      </c>
      <c r="U2634" t="s">
        <v>105</v>
      </c>
      <c r="V2634">
        <v>99.9</v>
      </c>
    </row>
    <row r="2635" spans="1:22" x14ac:dyDescent="0.3">
      <c r="A2635" t="s">
        <v>4087</v>
      </c>
      <c r="B2635" s="2">
        <v>45928</v>
      </c>
      <c r="C2635" t="s">
        <v>2737</v>
      </c>
      <c r="D2635" t="s">
        <v>49</v>
      </c>
      <c r="E2635" t="s">
        <v>79</v>
      </c>
      <c r="F2635">
        <v>3</v>
      </c>
      <c r="G2635">
        <v>0.2</v>
      </c>
      <c r="H2635">
        <v>26400</v>
      </c>
      <c r="I2635">
        <v>3831.62</v>
      </c>
      <c r="J2635" t="s">
        <v>65</v>
      </c>
      <c r="K2635" t="s">
        <v>27</v>
      </c>
      <c r="L2635">
        <v>8800</v>
      </c>
      <c r="M2635">
        <v>14.513712121212119</v>
      </c>
      <c r="N2635" t="s">
        <v>8</v>
      </c>
      <c r="O2635" t="s">
        <v>567</v>
      </c>
      <c r="P2635" t="s">
        <v>29</v>
      </c>
      <c r="Q2635" t="s">
        <v>42</v>
      </c>
      <c r="R2635" t="s">
        <v>121</v>
      </c>
      <c r="S2635" t="s">
        <v>44</v>
      </c>
      <c r="T2635" t="s">
        <v>2738</v>
      </c>
      <c r="U2635" t="s">
        <v>46</v>
      </c>
      <c r="V2635">
        <v>1277.2066666666669</v>
      </c>
    </row>
    <row r="2636" spans="1:22" x14ac:dyDescent="0.3">
      <c r="A2636" t="s">
        <v>4088</v>
      </c>
      <c r="B2636" s="2">
        <v>46084</v>
      </c>
      <c r="C2636" t="s">
        <v>1513</v>
      </c>
      <c r="D2636" t="s">
        <v>37</v>
      </c>
      <c r="E2636" t="s">
        <v>170</v>
      </c>
      <c r="F2636">
        <v>2</v>
      </c>
      <c r="G2636">
        <v>0.3</v>
      </c>
      <c r="H2636">
        <v>1960</v>
      </c>
      <c r="I2636">
        <v>324.26</v>
      </c>
      <c r="J2636" t="s">
        <v>51</v>
      </c>
      <c r="K2636" t="s">
        <v>40</v>
      </c>
      <c r="L2636">
        <v>980</v>
      </c>
      <c r="M2636">
        <v>16.543877551020412</v>
      </c>
      <c r="N2636" t="s">
        <v>8</v>
      </c>
      <c r="O2636" t="s">
        <v>1514</v>
      </c>
      <c r="P2636" t="s">
        <v>29</v>
      </c>
      <c r="Q2636" t="s">
        <v>74</v>
      </c>
      <c r="R2636" t="s">
        <v>115</v>
      </c>
      <c r="S2636" t="s">
        <v>115</v>
      </c>
      <c r="T2636" t="s">
        <v>1515</v>
      </c>
      <c r="U2636" t="s">
        <v>46</v>
      </c>
      <c r="V2636">
        <v>162.13</v>
      </c>
    </row>
    <row r="2637" spans="1:22" x14ac:dyDescent="0.3">
      <c r="A2637" t="s">
        <v>4089</v>
      </c>
      <c r="B2637" s="2">
        <v>45850</v>
      </c>
      <c r="C2637" t="s">
        <v>275</v>
      </c>
      <c r="D2637" t="s">
        <v>49</v>
      </c>
      <c r="E2637" t="s">
        <v>119</v>
      </c>
      <c r="F2637">
        <v>2</v>
      </c>
      <c r="G2637">
        <v>0</v>
      </c>
      <c r="H2637">
        <v>18000</v>
      </c>
      <c r="I2637">
        <v>4600</v>
      </c>
      <c r="J2637" t="s">
        <v>39</v>
      </c>
      <c r="K2637" t="s">
        <v>40</v>
      </c>
      <c r="L2637">
        <v>9000</v>
      </c>
      <c r="M2637">
        <v>25.55555555555555</v>
      </c>
      <c r="N2637" t="s">
        <v>8</v>
      </c>
      <c r="O2637" t="s">
        <v>276</v>
      </c>
      <c r="P2637" t="s">
        <v>83</v>
      </c>
      <c r="Q2637" t="s">
        <v>30</v>
      </c>
      <c r="R2637" t="s">
        <v>53</v>
      </c>
      <c r="S2637" t="s">
        <v>54</v>
      </c>
      <c r="T2637" t="s">
        <v>277</v>
      </c>
      <c r="U2637" t="s">
        <v>100</v>
      </c>
      <c r="V2637">
        <v>2300</v>
      </c>
    </row>
    <row r="2638" spans="1:22" x14ac:dyDescent="0.3">
      <c r="A2638" t="s">
        <v>4090</v>
      </c>
      <c r="B2638" s="2">
        <v>46130</v>
      </c>
      <c r="C2638" t="s">
        <v>1682</v>
      </c>
      <c r="D2638" t="s">
        <v>70</v>
      </c>
      <c r="E2638" t="s">
        <v>129</v>
      </c>
      <c r="F2638">
        <v>1</v>
      </c>
      <c r="G2638">
        <v>0.05</v>
      </c>
      <c r="H2638">
        <v>52250</v>
      </c>
      <c r="I2638">
        <v>6860.52</v>
      </c>
      <c r="J2638" t="s">
        <v>51</v>
      </c>
      <c r="K2638" t="s">
        <v>40</v>
      </c>
      <c r="L2638">
        <v>52250</v>
      </c>
      <c r="M2638">
        <v>13.13018181818182</v>
      </c>
      <c r="N2638" t="s">
        <v>8</v>
      </c>
      <c r="O2638" t="s">
        <v>648</v>
      </c>
      <c r="P2638" t="s">
        <v>73</v>
      </c>
      <c r="Q2638" t="s">
        <v>131</v>
      </c>
      <c r="R2638" t="s">
        <v>449</v>
      </c>
      <c r="S2638" t="s">
        <v>450</v>
      </c>
      <c r="T2638" t="s">
        <v>912</v>
      </c>
      <c r="U2638" t="s">
        <v>46</v>
      </c>
      <c r="V2638">
        <v>6860.52</v>
      </c>
    </row>
    <row r="2639" spans="1:22" x14ac:dyDescent="0.3">
      <c r="A2639" t="s">
        <v>4091</v>
      </c>
      <c r="B2639" s="2">
        <v>45846</v>
      </c>
      <c r="C2639" t="s">
        <v>1480</v>
      </c>
      <c r="D2639" t="s">
        <v>70</v>
      </c>
      <c r="E2639" t="s">
        <v>108</v>
      </c>
      <c r="F2639">
        <v>3</v>
      </c>
      <c r="G2639">
        <v>0.2</v>
      </c>
      <c r="H2639">
        <v>10800</v>
      </c>
      <c r="I2639">
        <v>2497.11</v>
      </c>
      <c r="J2639" t="s">
        <v>39</v>
      </c>
      <c r="K2639" t="s">
        <v>40</v>
      </c>
      <c r="L2639">
        <v>3600</v>
      </c>
      <c r="M2639">
        <v>23.121388888888891</v>
      </c>
      <c r="N2639" t="s">
        <v>8</v>
      </c>
      <c r="O2639" t="s">
        <v>66</v>
      </c>
      <c r="P2639" t="s">
        <v>73</v>
      </c>
      <c r="Q2639" t="s">
        <v>30</v>
      </c>
      <c r="R2639" t="s">
        <v>98</v>
      </c>
      <c r="S2639" t="s">
        <v>54</v>
      </c>
      <c r="T2639" t="s">
        <v>1481</v>
      </c>
      <c r="U2639" t="s">
        <v>46</v>
      </c>
      <c r="V2639">
        <v>832.37</v>
      </c>
    </row>
    <row r="2640" spans="1:22" x14ac:dyDescent="0.3">
      <c r="A2640" t="s">
        <v>4092</v>
      </c>
      <c r="B2640" s="2">
        <v>46057</v>
      </c>
      <c r="C2640" t="s">
        <v>863</v>
      </c>
      <c r="D2640" t="s">
        <v>70</v>
      </c>
      <c r="E2640" t="s">
        <v>129</v>
      </c>
      <c r="F2640">
        <v>2</v>
      </c>
      <c r="G2640">
        <v>0.05</v>
      </c>
      <c r="H2640">
        <v>104500</v>
      </c>
      <c r="I2640">
        <v>14761.34</v>
      </c>
      <c r="J2640" t="s">
        <v>39</v>
      </c>
      <c r="K2640" t="s">
        <v>27</v>
      </c>
      <c r="L2640">
        <v>52250</v>
      </c>
      <c r="M2640">
        <v>14.12568421052632</v>
      </c>
      <c r="N2640" t="s">
        <v>8</v>
      </c>
      <c r="O2640" t="s">
        <v>187</v>
      </c>
      <c r="P2640" t="s">
        <v>73</v>
      </c>
      <c r="Q2640" t="s">
        <v>30</v>
      </c>
      <c r="R2640" t="s">
        <v>53</v>
      </c>
      <c r="S2640" t="s">
        <v>54</v>
      </c>
      <c r="T2640" t="s">
        <v>864</v>
      </c>
      <c r="U2640" t="s">
        <v>34</v>
      </c>
      <c r="V2640">
        <v>7380.67</v>
      </c>
    </row>
    <row r="2641" spans="1:22" x14ac:dyDescent="0.3">
      <c r="A2641" t="s">
        <v>4093</v>
      </c>
      <c r="B2641" s="2">
        <v>46163</v>
      </c>
      <c r="C2641" t="s">
        <v>2017</v>
      </c>
      <c r="D2641" t="s">
        <v>37</v>
      </c>
      <c r="E2641" t="s">
        <v>170</v>
      </c>
      <c r="F2641">
        <v>6</v>
      </c>
      <c r="G2641">
        <v>0.2</v>
      </c>
      <c r="H2641">
        <v>6720</v>
      </c>
      <c r="I2641">
        <v>1667.36</v>
      </c>
      <c r="J2641" t="s">
        <v>39</v>
      </c>
      <c r="K2641" t="s">
        <v>40</v>
      </c>
      <c r="L2641">
        <v>1120</v>
      </c>
      <c r="M2641">
        <v>24.81190476190476</v>
      </c>
      <c r="N2641" t="s">
        <v>8</v>
      </c>
      <c r="O2641" t="s">
        <v>844</v>
      </c>
      <c r="P2641" t="s">
        <v>29</v>
      </c>
      <c r="Q2641" t="s">
        <v>30</v>
      </c>
      <c r="R2641" t="s">
        <v>31</v>
      </c>
      <c r="S2641" t="s">
        <v>32</v>
      </c>
      <c r="T2641" t="s">
        <v>2018</v>
      </c>
      <c r="U2641" t="s">
        <v>34</v>
      </c>
      <c r="V2641">
        <v>277.89333333333332</v>
      </c>
    </row>
    <row r="2642" spans="1:22" x14ac:dyDescent="0.3">
      <c r="A2642" t="s">
        <v>4094</v>
      </c>
      <c r="B2642" s="2">
        <v>46259</v>
      </c>
      <c r="C2642" t="s">
        <v>3313</v>
      </c>
      <c r="D2642" t="s">
        <v>24</v>
      </c>
      <c r="E2642" t="s">
        <v>92</v>
      </c>
      <c r="F2642">
        <v>1</v>
      </c>
      <c r="G2642">
        <v>0.1</v>
      </c>
      <c r="H2642">
        <v>810</v>
      </c>
      <c r="I2642">
        <v>213.02</v>
      </c>
      <c r="J2642" t="s">
        <v>26</v>
      </c>
      <c r="K2642" t="s">
        <v>40</v>
      </c>
      <c r="L2642">
        <v>810</v>
      </c>
      <c r="M2642">
        <v>26.298765432098769</v>
      </c>
      <c r="N2642" t="s">
        <v>8</v>
      </c>
      <c r="O2642" t="s">
        <v>3314</v>
      </c>
      <c r="P2642" t="s">
        <v>29</v>
      </c>
      <c r="Q2642" t="s">
        <v>42</v>
      </c>
      <c r="R2642" t="s">
        <v>121</v>
      </c>
      <c r="S2642" t="s">
        <v>44</v>
      </c>
      <c r="T2642" t="s">
        <v>3315</v>
      </c>
      <c r="U2642" t="s">
        <v>105</v>
      </c>
      <c r="V2642">
        <v>213.02</v>
      </c>
    </row>
    <row r="2643" spans="1:22" x14ac:dyDescent="0.3">
      <c r="A2643" t="s">
        <v>4095</v>
      </c>
      <c r="B2643" s="2">
        <v>46142</v>
      </c>
      <c r="C2643" t="s">
        <v>1575</v>
      </c>
      <c r="D2643" t="s">
        <v>49</v>
      </c>
      <c r="E2643" t="s">
        <v>58</v>
      </c>
      <c r="F2643">
        <v>1</v>
      </c>
      <c r="G2643">
        <v>0.15</v>
      </c>
      <c r="H2643">
        <v>12750</v>
      </c>
      <c r="I2643">
        <v>1764.56</v>
      </c>
      <c r="J2643" t="s">
        <v>39</v>
      </c>
      <c r="K2643" t="s">
        <v>40</v>
      </c>
      <c r="L2643">
        <v>12750</v>
      </c>
      <c r="M2643">
        <v>13.839686274509811</v>
      </c>
      <c r="N2643" t="s">
        <v>8</v>
      </c>
      <c r="O2643" t="s">
        <v>349</v>
      </c>
      <c r="P2643" t="s">
        <v>83</v>
      </c>
      <c r="Q2643" t="s">
        <v>74</v>
      </c>
      <c r="R2643" t="s">
        <v>75</v>
      </c>
      <c r="S2643" t="s">
        <v>75</v>
      </c>
      <c r="T2643" t="s">
        <v>1576</v>
      </c>
      <c r="U2643" t="s">
        <v>34</v>
      </c>
      <c r="V2643">
        <v>1764.56</v>
      </c>
    </row>
    <row r="2644" spans="1:22" x14ac:dyDescent="0.3">
      <c r="A2644" t="s">
        <v>4096</v>
      </c>
      <c r="B2644" s="2">
        <v>46011</v>
      </c>
      <c r="C2644" t="s">
        <v>204</v>
      </c>
      <c r="D2644" t="s">
        <v>49</v>
      </c>
      <c r="E2644" t="s">
        <v>79</v>
      </c>
      <c r="F2644">
        <v>1</v>
      </c>
      <c r="G2644">
        <v>0.15</v>
      </c>
      <c r="H2644">
        <v>9350</v>
      </c>
      <c r="I2644">
        <v>1797.55</v>
      </c>
      <c r="J2644" t="s">
        <v>51</v>
      </c>
      <c r="K2644" t="s">
        <v>40</v>
      </c>
      <c r="L2644">
        <v>9350</v>
      </c>
      <c r="M2644">
        <v>19.22513368983957</v>
      </c>
      <c r="N2644" t="s">
        <v>8</v>
      </c>
      <c r="O2644" t="s">
        <v>205</v>
      </c>
      <c r="P2644" t="s">
        <v>29</v>
      </c>
      <c r="Q2644" t="s">
        <v>30</v>
      </c>
      <c r="R2644" t="s">
        <v>98</v>
      </c>
      <c r="S2644" t="s">
        <v>54</v>
      </c>
      <c r="T2644" t="s">
        <v>206</v>
      </c>
      <c r="U2644" t="s">
        <v>34</v>
      </c>
      <c r="V2644">
        <v>1797.55</v>
      </c>
    </row>
    <row r="2645" spans="1:22" x14ac:dyDescent="0.3">
      <c r="A2645" t="s">
        <v>4097</v>
      </c>
      <c r="B2645" s="2">
        <v>46228</v>
      </c>
      <c r="C2645" t="s">
        <v>4098</v>
      </c>
      <c r="D2645" t="s">
        <v>70</v>
      </c>
      <c r="E2645" t="s">
        <v>71</v>
      </c>
      <c r="F2645">
        <v>2</v>
      </c>
      <c r="G2645">
        <v>0.1</v>
      </c>
      <c r="H2645">
        <v>32400</v>
      </c>
      <c r="I2645">
        <v>5015.45</v>
      </c>
      <c r="J2645" t="s">
        <v>39</v>
      </c>
      <c r="K2645" t="s">
        <v>40</v>
      </c>
      <c r="L2645">
        <v>16200</v>
      </c>
      <c r="M2645">
        <v>15.47978395061728</v>
      </c>
      <c r="N2645" t="s">
        <v>8</v>
      </c>
      <c r="O2645" t="s">
        <v>4099</v>
      </c>
      <c r="P2645" t="s">
        <v>83</v>
      </c>
      <c r="Q2645" t="s">
        <v>131</v>
      </c>
      <c r="R2645" t="s">
        <v>449</v>
      </c>
      <c r="S2645" t="s">
        <v>450</v>
      </c>
      <c r="T2645" t="s">
        <v>4100</v>
      </c>
      <c r="U2645" t="s">
        <v>34</v>
      </c>
      <c r="V2645">
        <v>2507.7249999999999</v>
      </c>
    </row>
    <row r="2646" spans="1:22" x14ac:dyDescent="0.3">
      <c r="A2646" t="s">
        <v>4101</v>
      </c>
      <c r="B2646" s="2">
        <v>45974</v>
      </c>
      <c r="C2646" t="s">
        <v>2670</v>
      </c>
      <c r="D2646" t="s">
        <v>37</v>
      </c>
      <c r="E2646" t="s">
        <v>170</v>
      </c>
      <c r="F2646">
        <v>6</v>
      </c>
      <c r="G2646">
        <v>0.05</v>
      </c>
      <c r="H2646">
        <v>7980</v>
      </c>
      <c r="I2646">
        <v>2691.73</v>
      </c>
      <c r="J2646" t="s">
        <v>39</v>
      </c>
      <c r="K2646" t="s">
        <v>27</v>
      </c>
      <c r="L2646">
        <v>1330</v>
      </c>
      <c r="M2646">
        <v>33.730952380952381</v>
      </c>
      <c r="N2646" t="s">
        <v>8</v>
      </c>
      <c r="O2646" t="s">
        <v>1383</v>
      </c>
      <c r="P2646" t="s">
        <v>29</v>
      </c>
      <c r="Q2646" t="s">
        <v>42</v>
      </c>
      <c r="R2646" t="s">
        <v>110</v>
      </c>
      <c r="S2646" t="s">
        <v>111</v>
      </c>
      <c r="T2646" t="s">
        <v>2114</v>
      </c>
      <c r="U2646" t="s">
        <v>100</v>
      </c>
      <c r="V2646">
        <v>448.62166666666673</v>
      </c>
    </row>
    <row r="2647" spans="1:22" x14ac:dyDescent="0.3">
      <c r="A2647" t="s">
        <v>4102</v>
      </c>
      <c r="B2647" s="2">
        <v>45884</v>
      </c>
      <c r="C2647" t="s">
        <v>3168</v>
      </c>
      <c r="D2647" t="s">
        <v>24</v>
      </c>
      <c r="E2647" t="s">
        <v>87</v>
      </c>
      <c r="F2647">
        <v>3</v>
      </c>
      <c r="G2647">
        <v>0.1</v>
      </c>
      <c r="H2647">
        <v>945</v>
      </c>
      <c r="I2647">
        <v>308.39</v>
      </c>
      <c r="J2647" t="s">
        <v>51</v>
      </c>
      <c r="K2647" t="s">
        <v>40</v>
      </c>
      <c r="L2647">
        <v>315</v>
      </c>
      <c r="M2647">
        <v>32.633862433862433</v>
      </c>
      <c r="N2647" t="s">
        <v>8</v>
      </c>
      <c r="O2647" t="s">
        <v>3169</v>
      </c>
      <c r="P2647" t="s">
        <v>29</v>
      </c>
      <c r="Q2647" t="s">
        <v>74</v>
      </c>
      <c r="R2647" t="s">
        <v>115</v>
      </c>
      <c r="S2647" t="s">
        <v>115</v>
      </c>
      <c r="T2647" t="s">
        <v>2474</v>
      </c>
      <c r="U2647" t="s">
        <v>34</v>
      </c>
      <c r="V2647">
        <v>102.7966666666667</v>
      </c>
    </row>
    <row r="2648" spans="1:22" x14ac:dyDescent="0.3">
      <c r="A2648" t="s">
        <v>4103</v>
      </c>
      <c r="B2648" s="2">
        <v>46151</v>
      </c>
      <c r="C2648" t="s">
        <v>1193</v>
      </c>
      <c r="D2648" t="s">
        <v>70</v>
      </c>
      <c r="E2648" t="s">
        <v>165</v>
      </c>
      <c r="F2648">
        <v>2</v>
      </c>
      <c r="G2648">
        <v>0.3</v>
      </c>
      <c r="H2648">
        <v>3500</v>
      </c>
      <c r="I2648">
        <v>499.56</v>
      </c>
      <c r="J2648" t="s">
        <v>39</v>
      </c>
      <c r="K2648" t="s">
        <v>27</v>
      </c>
      <c r="L2648">
        <v>1750</v>
      </c>
      <c r="M2648">
        <v>14.27314285714286</v>
      </c>
      <c r="N2648" t="s">
        <v>8</v>
      </c>
      <c r="O2648" t="s">
        <v>781</v>
      </c>
      <c r="P2648" t="s">
        <v>29</v>
      </c>
      <c r="Q2648" t="s">
        <v>30</v>
      </c>
      <c r="R2648" t="s">
        <v>31</v>
      </c>
      <c r="S2648" t="s">
        <v>32</v>
      </c>
      <c r="T2648" t="s">
        <v>1194</v>
      </c>
      <c r="U2648" t="s">
        <v>46</v>
      </c>
      <c r="V2648">
        <v>249.78</v>
      </c>
    </row>
    <row r="2649" spans="1:22" x14ac:dyDescent="0.3">
      <c r="A2649" t="s">
        <v>4104</v>
      </c>
      <c r="B2649" s="2">
        <v>46232</v>
      </c>
      <c r="C2649" t="s">
        <v>1655</v>
      </c>
      <c r="D2649" t="s">
        <v>37</v>
      </c>
      <c r="E2649" t="s">
        <v>190</v>
      </c>
      <c r="F2649">
        <v>3</v>
      </c>
      <c r="G2649">
        <v>0.05</v>
      </c>
      <c r="H2649">
        <v>11970</v>
      </c>
      <c r="I2649">
        <v>3073.82</v>
      </c>
      <c r="J2649" t="s">
        <v>39</v>
      </c>
      <c r="K2649" t="s">
        <v>40</v>
      </c>
      <c r="L2649">
        <v>3990</v>
      </c>
      <c r="M2649">
        <v>25.679365079365081</v>
      </c>
      <c r="N2649" t="s">
        <v>8</v>
      </c>
      <c r="O2649" t="s">
        <v>1656</v>
      </c>
      <c r="P2649" t="s">
        <v>29</v>
      </c>
      <c r="Q2649" t="s">
        <v>30</v>
      </c>
      <c r="R2649" t="s">
        <v>53</v>
      </c>
      <c r="S2649" t="s">
        <v>54</v>
      </c>
      <c r="T2649" t="s">
        <v>1657</v>
      </c>
      <c r="U2649" t="s">
        <v>34</v>
      </c>
      <c r="V2649">
        <v>1024.606666666667</v>
      </c>
    </row>
    <row r="2650" spans="1:22" x14ac:dyDescent="0.3">
      <c r="A2650" t="s">
        <v>4105</v>
      </c>
      <c r="B2650" s="2">
        <v>46158</v>
      </c>
      <c r="C2650" t="s">
        <v>525</v>
      </c>
      <c r="D2650" t="s">
        <v>70</v>
      </c>
      <c r="E2650" t="s">
        <v>129</v>
      </c>
      <c r="F2650">
        <v>1</v>
      </c>
      <c r="G2650">
        <v>0.05</v>
      </c>
      <c r="H2650">
        <v>52250</v>
      </c>
      <c r="I2650">
        <v>7382.04</v>
      </c>
      <c r="J2650" t="s">
        <v>65</v>
      </c>
      <c r="K2650" t="s">
        <v>40</v>
      </c>
      <c r="L2650">
        <v>52250</v>
      </c>
      <c r="M2650">
        <v>14.128306220095689</v>
      </c>
      <c r="N2650" t="s">
        <v>8</v>
      </c>
      <c r="O2650" t="s">
        <v>526</v>
      </c>
      <c r="P2650" t="s">
        <v>29</v>
      </c>
      <c r="Q2650" t="s">
        <v>30</v>
      </c>
      <c r="R2650" t="s">
        <v>98</v>
      </c>
      <c r="S2650" t="s">
        <v>54</v>
      </c>
      <c r="T2650" t="s">
        <v>527</v>
      </c>
      <c r="U2650" t="s">
        <v>34</v>
      </c>
      <c r="V2650">
        <v>7382.04</v>
      </c>
    </row>
    <row r="2651" spans="1:22" x14ac:dyDescent="0.3">
      <c r="A2651" t="s">
        <v>4106</v>
      </c>
      <c r="B2651" s="2">
        <v>45955</v>
      </c>
      <c r="C2651" t="s">
        <v>1193</v>
      </c>
      <c r="D2651" t="s">
        <v>49</v>
      </c>
      <c r="E2651" t="s">
        <v>50</v>
      </c>
      <c r="F2651">
        <v>5</v>
      </c>
      <c r="G2651">
        <v>0.1</v>
      </c>
      <c r="H2651">
        <v>58500</v>
      </c>
      <c r="I2651">
        <v>11202.37</v>
      </c>
      <c r="J2651" t="s">
        <v>65</v>
      </c>
      <c r="K2651" t="s">
        <v>40</v>
      </c>
      <c r="L2651">
        <v>11700</v>
      </c>
      <c r="M2651">
        <v>19.149350427350431</v>
      </c>
      <c r="N2651" t="s">
        <v>8</v>
      </c>
      <c r="O2651" t="s">
        <v>781</v>
      </c>
      <c r="P2651" t="s">
        <v>29</v>
      </c>
      <c r="Q2651" t="s">
        <v>30</v>
      </c>
      <c r="R2651" t="s">
        <v>31</v>
      </c>
      <c r="S2651" t="s">
        <v>32</v>
      </c>
      <c r="T2651" t="s">
        <v>1194</v>
      </c>
      <c r="U2651" t="s">
        <v>46</v>
      </c>
      <c r="V2651">
        <v>2240.4740000000002</v>
      </c>
    </row>
    <row r="2652" spans="1:22" x14ac:dyDescent="0.3">
      <c r="A2652" t="s">
        <v>4107</v>
      </c>
      <c r="B2652" s="2">
        <v>45939</v>
      </c>
      <c r="C2652" t="s">
        <v>57</v>
      </c>
      <c r="D2652" t="s">
        <v>49</v>
      </c>
      <c r="E2652" t="s">
        <v>58</v>
      </c>
      <c r="F2652">
        <v>1</v>
      </c>
      <c r="G2652">
        <v>0.15</v>
      </c>
      <c r="H2652">
        <v>12750</v>
      </c>
      <c r="I2652">
        <v>1788.68</v>
      </c>
      <c r="J2652" t="s">
        <v>65</v>
      </c>
      <c r="K2652" t="s">
        <v>27</v>
      </c>
      <c r="L2652">
        <v>12750</v>
      </c>
      <c r="M2652">
        <v>14.02886274509804</v>
      </c>
      <c r="N2652" t="s">
        <v>8</v>
      </c>
      <c r="O2652" t="s">
        <v>59</v>
      </c>
      <c r="P2652" t="s">
        <v>29</v>
      </c>
      <c r="Q2652" t="s">
        <v>30</v>
      </c>
      <c r="R2652" t="s">
        <v>60</v>
      </c>
      <c r="S2652" t="s">
        <v>61</v>
      </c>
      <c r="T2652" t="s">
        <v>62</v>
      </c>
      <c r="U2652" t="s">
        <v>34</v>
      </c>
      <c r="V2652">
        <v>1788.68</v>
      </c>
    </row>
    <row r="2653" spans="1:22" x14ac:dyDescent="0.3">
      <c r="A2653" t="s">
        <v>4108</v>
      </c>
      <c r="B2653" s="2">
        <v>46244</v>
      </c>
      <c r="C2653" t="s">
        <v>2681</v>
      </c>
      <c r="D2653" t="s">
        <v>24</v>
      </c>
      <c r="E2653" t="s">
        <v>87</v>
      </c>
      <c r="F2653">
        <v>2</v>
      </c>
      <c r="G2653">
        <v>0</v>
      </c>
      <c r="H2653">
        <v>700</v>
      </c>
      <c r="I2653">
        <v>240</v>
      </c>
      <c r="J2653" t="s">
        <v>39</v>
      </c>
      <c r="K2653" t="s">
        <v>40</v>
      </c>
      <c r="L2653">
        <v>350</v>
      </c>
      <c r="M2653">
        <v>34.285714285714278</v>
      </c>
      <c r="N2653" t="s">
        <v>8</v>
      </c>
      <c r="O2653" t="s">
        <v>2636</v>
      </c>
      <c r="P2653" t="s">
        <v>73</v>
      </c>
      <c r="Q2653" t="s">
        <v>74</v>
      </c>
      <c r="R2653" t="s">
        <v>75</v>
      </c>
      <c r="S2653" t="s">
        <v>75</v>
      </c>
      <c r="T2653" t="s">
        <v>2682</v>
      </c>
      <c r="U2653" t="s">
        <v>34</v>
      </c>
      <c r="V2653">
        <v>120</v>
      </c>
    </row>
    <row r="2654" spans="1:22" x14ac:dyDescent="0.3">
      <c r="A2654" t="s">
        <v>4109</v>
      </c>
      <c r="B2654" s="2">
        <v>46178</v>
      </c>
      <c r="C2654" t="s">
        <v>1519</v>
      </c>
      <c r="D2654" t="s">
        <v>70</v>
      </c>
      <c r="E2654" t="s">
        <v>108</v>
      </c>
      <c r="F2654">
        <v>1</v>
      </c>
      <c r="G2654">
        <v>0.05</v>
      </c>
      <c r="H2654">
        <v>4275</v>
      </c>
      <c r="I2654">
        <v>1317.23</v>
      </c>
      <c r="J2654" t="s">
        <v>39</v>
      </c>
      <c r="K2654" t="s">
        <v>40</v>
      </c>
      <c r="L2654">
        <v>4275</v>
      </c>
      <c r="M2654">
        <v>30.812397660818711</v>
      </c>
      <c r="N2654" t="s">
        <v>8</v>
      </c>
      <c r="O2654" t="s">
        <v>1520</v>
      </c>
      <c r="P2654" t="s">
        <v>83</v>
      </c>
      <c r="Q2654" t="s">
        <v>30</v>
      </c>
      <c r="R2654" t="s">
        <v>31</v>
      </c>
      <c r="S2654" t="s">
        <v>32</v>
      </c>
      <c r="T2654" t="s">
        <v>1521</v>
      </c>
      <c r="U2654" t="s">
        <v>105</v>
      </c>
      <c r="V2654">
        <v>1317.23</v>
      </c>
    </row>
    <row r="2655" spans="1:22" x14ac:dyDescent="0.3">
      <c r="A2655" t="s">
        <v>4110</v>
      </c>
      <c r="B2655" s="2">
        <v>46187</v>
      </c>
      <c r="C2655" t="s">
        <v>2154</v>
      </c>
      <c r="D2655" t="s">
        <v>70</v>
      </c>
      <c r="E2655" t="s">
        <v>108</v>
      </c>
      <c r="F2655">
        <v>2</v>
      </c>
      <c r="G2655">
        <v>0.1</v>
      </c>
      <c r="H2655">
        <v>8100</v>
      </c>
      <c r="I2655">
        <v>2453.84</v>
      </c>
      <c r="J2655" t="s">
        <v>51</v>
      </c>
      <c r="K2655" t="s">
        <v>40</v>
      </c>
      <c r="L2655">
        <v>4050</v>
      </c>
      <c r="M2655">
        <v>30.29432098765432</v>
      </c>
      <c r="N2655" t="s">
        <v>8</v>
      </c>
      <c r="O2655" t="s">
        <v>1606</v>
      </c>
      <c r="P2655" t="s">
        <v>83</v>
      </c>
      <c r="Q2655" t="s">
        <v>42</v>
      </c>
      <c r="R2655" t="s">
        <v>110</v>
      </c>
      <c r="S2655" t="s">
        <v>111</v>
      </c>
      <c r="T2655" t="s">
        <v>2155</v>
      </c>
      <c r="U2655" t="s">
        <v>34</v>
      </c>
      <c r="V2655">
        <v>1226.92</v>
      </c>
    </row>
    <row r="2656" spans="1:22" x14ac:dyDescent="0.3">
      <c r="A2656" t="s">
        <v>4111</v>
      </c>
      <c r="B2656" s="2">
        <v>46216</v>
      </c>
      <c r="C2656" t="s">
        <v>2517</v>
      </c>
      <c r="D2656" t="s">
        <v>70</v>
      </c>
      <c r="E2656" t="s">
        <v>165</v>
      </c>
      <c r="F2656">
        <v>5</v>
      </c>
      <c r="G2656">
        <v>0.1</v>
      </c>
      <c r="H2656">
        <v>11250</v>
      </c>
      <c r="I2656">
        <v>-803.91</v>
      </c>
      <c r="J2656" t="s">
        <v>51</v>
      </c>
      <c r="K2656" t="s">
        <v>80</v>
      </c>
      <c r="L2656">
        <v>2250</v>
      </c>
      <c r="M2656">
        <v>-7.1458666666666666</v>
      </c>
      <c r="N2656" t="s">
        <v>81</v>
      </c>
      <c r="O2656" t="s">
        <v>2518</v>
      </c>
      <c r="P2656" t="s">
        <v>29</v>
      </c>
      <c r="Q2656" t="s">
        <v>131</v>
      </c>
      <c r="R2656" t="s">
        <v>449</v>
      </c>
      <c r="S2656" t="s">
        <v>450</v>
      </c>
      <c r="T2656" t="s">
        <v>898</v>
      </c>
      <c r="U2656" t="s">
        <v>105</v>
      </c>
      <c r="V2656">
        <v>-160.78200000000001</v>
      </c>
    </row>
    <row r="2657" spans="1:22" x14ac:dyDescent="0.3">
      <c r="A2657" t="s">
        <v>4112</v>
      </c>
      <c r="B2657" s="2">
        <v>45996</v>
      </c>
      <c r="C2657" t="s">
        <v>2182</v>
      </c>
      <c r="D2657" t="s">
        <v>70</v>
      </c>
      <c r="E2657" t="s">
        <v>129</v>
      </c>
      <c r="F2657">
        <v>5</v>
      </c>
      <c r="G2657">
        <v>0.05</v>
      </c>
      <c r="H2657">
        <v>261250</v>
      </c>
      <c r="I2657">
        <v>37439.57</v>
      </c>
      <c r="J2657" t="s">
        <v>26</v>
      </c>
      <c r="K2657" t="s">
        <v>40</v>
      </c>
      <c r="L2657">
        <v>52250</v>
      </c>
      <c r="M2657">
        <v>14.33093588516746</v>
      </c>
      <c r="N2657" t="s">
        <v>8</v>
      </c>
      <c r="O2657" t="s">
        <v>2183</v>
      </c>
      <c r="P2657" t="s">
        <v>73</v>
      </c>
      <c r="Q2657" t="s">
        <v>30</v>
      </c>
      <c r="R2657" t="s">
        <v>98</v>
      </c>
      <c r="S2657" t="s">
        <v>54</v>
      </c>
      <c r="T2657" t="s">
        <v>2184</v>
      </c>
      <c r="U2657" t="s">
        <v>105</v>
      </c>
      <c r="V2657">
        <v>7487.9139999999998</v>
      </c>
    </row>
    <row r="2658" spans="1:22" x14ac:dyDescent="0.3">
      <c r="A2658" t="s">
        <v>4113</v>
      </c>
      <c r="B2658" s="2">
        <v>46041</v>
      </c>
      <c r="C2658" t="s">
        <v>1308</v>
      </c>
      <c r="D2658" t="s">
        <v>70</v>
      </c>
      <c r="E2658" t="s">
        <v>165</v>
      </c>
      <c r="F2658">
        <v>2</v>
      </c>
      <c r="G2658">
        <v>0</v>
      </c>
      <c r="H2658">
        <v>5000</v>
      </c>
      <c r="I2658">
        <v>1600</v>
      </c>
      <c r="J2658" t="s">
        <v>26</v>
      </c>
      <c r="K2658" t="s">
        <v>40</v>
      </c>
      <c r="L2658">
        <v>2500</v>
      </c>
      <c r="M2658">
        <v>32</v>
      </c>
      <c r="N2658" t="s">
        <v>8</v>
      </c>
      <c r="O2658" t="s">
        <v>1309</v>
      </c>
      <c r="P2658" t="s">
        <v>29</v>
      </c>
      <c r="Q2658" t="s">
        <v>131</v>
      </c>
      <c r="R2658" t="s">
        <v>132</v>
      </c>
      <c r="S2658" t="s">
        <v>133</v>
      </c>
      <c r="T2658" t="s">
        <v>1310</v>
      </c>
      <c r="U2658" t="s">
        <v>46</v>
      </c>
      <c r="V2658">
        <v>800</v>
      </c>
    </row>
    <row r="2659" spans="1:22" x14ac:dyDescent="0.3">
      <c r="A2659" t="s">
        <v>4114</v>
      </c>
      <c r="B2659" s="2">
        <v>46120</v>
      </c>
      <c r="C2659" t="s">
        <v>1094</v>
      </c>
      <c r="D2659" t="s">
        <v>24</v>
      </c>
      <c r="E2659" t="s">
        <v>92</v>
      </c>
      <c r="F2659">
        <v>2</v>
      </c>
      <c r="G2659">
        <v>0.15</v>
      </c>
      <c r="H2659">
        <v>1530</v>
      </c>
      <c r="I2659">
        <v>388.2</v>
      </c>
      <c r="J2659" t="s">
        <v>26</v>
      </c>
      <c r="K2659" t="s">
        <v>40</v>
      </c>
      <c r="L2659">
        <v>765</v>
      </c>
      <c r="M2659">
        <v>25.372549019607838</v>
      </c>
      <c r="N2659" t="s">
        <v>8</v>
      </c>
      <c r="O2659" t="s">
        <v>183</v>
      </c>
      <c r="P2659" t="s">
        <v>73</v>
      </c>
      <c r="Q2659" t="s">
        <v>30</v>
      </c>
      <c r="R2659" t="s">
        <v>31</v>
      </c>
      <c r="S2659" t="s">
        <v>32</v>
      </c>
      <c r="T2659" t="s">
        <v>1095</v>
      </c>
      <c r="U2659" t="s">
        <v>105</v>
      </c>
      <c r="V2659">
        <v>194.1</v>
      </c>
    </row>
    <row r="2660" spans="1:22" x14ac:dyDescent="0.3">
      <c r="A2660" t="s">
        <v>4115</v>
      </c>
      <c r="B2660" s="2">
        <v>46165</v>
      </c>
      <c r="C2660" t="s">
        <v>477</v>
      </c>
      <c r="D2660" t="s">
        <v>49</v>
      </c>
      <c r="E2660" t="s">
        <v>50</v>
      </c>
      <c r="F2660">
        <v>3</v>
      </c>
      <c r="G2660">
        <v>0.05</v>
      </c>
      <c r="H2660">
        <v>37050</v>
      </c>
      <c r="I2660">
        <v>8518.2999999999993</v>
      </c>
      <c r="J2660" t="s">
        <v>26</v>
      </c>
      <c r="K2660" t="s">
        <v>40</v>
      </c>
      <c r="L2660">
        <v>12350</v>
      </c>
      <c r="M2660">
        <v>22.991363022941972</v>
      </c>
      <c r="N2660" t="s">
        <v>8</v>
      </c>
      <c r="O2660" t="s">
        <v>478</v>
      </c>
      <c r="P2660" t="s">
        <v>73</v>
      </c>
      <c r="Q2660" t="s">
        <v>131</v>
      </c>
      <c r="R2660" t="s">
        <v>289</v>
      </c>
      <c r="S2660" t="s">
        <v>290</v>
      </c>
      <c r="T2660" t="s">
        <v>479</v>
      </c>
      <c r="U2660" t="s">
        <v>100</v>
      </c>
      <c r="V2660">
        <v>2839.4333333333329</v>
      </c>
    </row>
    <row r="2661" spans="1:22" x14ac:dyDescent="0.3">
      <c r="A2661" t="s">
        <v>4116</v>
      </c>
      <c r="B2661" s="2">
        <v>45886</v>
      </c>
      <c r="C2661" t="s">
        <v>1560</v>
      </c>
      <c r="D2661" t="s">
        <v>49</v>
      </c>
      <c r="E2661" t="s">
        <v>58</v>
      </c>
      <c r="F2661">
        <v>3</v>
      </c>
      <c r="G2661">
        <v>0.1</v>
      </c>
      <c r="H2661">
        <v>40500</v>
      </c>
      <c r="I2661">
        <v>-8647.35</v>
      </c>
      <c r="J2661" t="s">
        <v>39</v>
      </c>
      <c r="K2661" t="s">
        <v>434</v>
      </c>
      <c r="L2661">
        <v>13500</v>
      </c>
      <c r="M2661">
        <v>-21.351481481481478</v>
      </c>
      <c r="N2661" t="s">
        <v>81</v>
      </c>
      <c r="O2661" t="s">
        <v>161</v>
      </c>
      <c r="P2661" t="s">
        <v>29</v>
      </c>
      <c r="Q2661" t="s">
        <v>42</v>
      </c>
      <c r="R2661" t="s">
        <v>110</v>
      </c>
      <c r="S2661" t="s">
        <v>111</v>
      </c>
      <c r="T2661" t="s">
        <v>1561</v>
      </c>
      <c r="U2661" t="s">
        <v>46</v>
      </c>
      <c r="V2661">
        <v>-2882.45</v>
      </c>
    </row>
    <row r="2662" spans="1:22" x14ac:dyDescent="0.3">
      <c r="A2662" t="s">
        <v>4117</v>
      </c>
      <c r="B2662" s="2">
        <v>46200</v>
      </c>
      <c r="C2662" t="s">
        <v>1346</v>
      </c>
      <c r="D2662" t="s">
        <v>24</v>
      </c>
      <c r="E2662" t="s">
        <v>92</v>
      </c>
      <c r="F2662">
        <v>1</v>
      </c>
      <c r="G2662">
        <v>0</v>
      </c>
      <c r="H2662">
        <v>900</v>
      </c>
      <c r="I2662">
        <v>280</v>
      </c>
      <c r="J2662" t="s">
        <v>65</v>
      </c>
      <c r="K2662" t="s">
        <v>40</v>
      </c>
      <c r="L2662">
        <v>900</v>
      </c>
      <c r="M2662">
        <v>31.111111111111111</v>
      </c>
      <c r="N2662" t="s">
        <v>8</v>
      </c>
      <c r="O2662" t="s">
        <v>825</v>
      </c>
      <c r="P2662" t="s">
        <v>73</v>
      </c>
      <c r="Q2662" t="s">
        <v>30</v>
      </c>
      <c r="R2662" t="s">
        <v>98</v>
      </c>
      <c r="S2662" t="s">
        <v>54</v>
      </c>
      <c r="T2662" t="s">
        <v>1347</v>
      </c>
      <c r="U2662" t="s">
        <v>34</v>
      </c>
      <c r="V2662">
        <v>280</v>
      </c>
    </row>
    <row r="2663" spans="1:22" x14ac:dyDescent="0.3">
      <c r="A2663" t="s">
        <v>4118</v>
      </c>
      <c r="B2663" s="2">
        <v>46227</v>
      </c>
      <c r="C2663" t="s">
        <v>1091</v>
      </c>
      <c r="D2663" t="s">
        <v>70</v>
      </c>
      <c r="E2663" t="s">
        <v>71</v>
      </c>
      <c r="F2663">
        <v>4</v>
      </c>
      <c r="G2663">
        <v>0</v>
      </c>
      <c r="H2663">
        <v>72000</v>
      </c>
      <c r="I2663">
        <v>14000</v>
      </c>
      <c r="J2663" t="s">
        <v>65</v>
      </c>
      <c r="K2663" t="s">
        <v>40</v>
      </c>
      <c r="L2663">
        <v>18000</v>
      </c>
      <c r="M2663">
        <v>19.44444444444445</v>
      </c>
      <c r="N2663" t="s">
        <v>8</v>
      </c>
      <c r="O2663" t="s">
        <v>1018</v>
      </c>
      <c r="P2663" t="s">
        <v>83</v>
      </c>
      <c r="Q2663" t="s">
        <v>30</v>
      </c>
      <c r="R2663" t="s">
        <v>31</v>
      </c>
      <c r="S2663" t="s">
        <v>32</v>
      </c>
      <c r="T2663" t="s">
        <v>1092</v>
      </c>
      <c r="U2663" t="s">
        <v>105</v>
      </c>
      <c r="V2663">
        <v>3500</v>
      </c>
    </row>
    <row r="2664" spans="1:22" x14ac:dyDescent="0.3">
      <c r="A2664" t="s">
        <v>4119</v>
      </c>
      <c r="B2664" s="2">
        <v>46209</v>
      </c>
      <c r="C2664" t="s">
        <v>522</v>
      </c>
      <c r="D2664" t="s">
        <v>49</v>
      </c>
      <c r="E2664" t="s">
        <v>58</v>
      </c>
      <c r="F2664">
        <v>2</v>
      </c>
      <c r="G2664">
        <v>0.1</v>
      </c>
      <c r="H2664">
        <v>27000</v>
      </c>
      <c r="I2664">
        <v>4869.33</v>
      </c>
      <c r="J2664" t="s">
        <v>26</v>
      </c>
      <c r="K2664" t="s">
        <v>40</v>
      </c>
      <c r="L2664">
        <v>13500</v>
      </c>
      <c r="M2664">
        <v>18.03455555555556</v>
      </c>
      <c r="N2664" t="s">
        <v>8</v>
      </c>
      <c r="O2664" t="s">
        <v>523</v>
      </c>
      <c r="P2664" t="s">
        <v>73</v>
      </c>
      <c r="Q2664" t="s">
        <v>30</v>
      </c>
      <c r="R2664" t="s">
        <v>98</v>
      </c>
      <c r="S2664" t="s">
        <v>54</v>
      </c>
      <c r="T2664" t="s">
        <v>62</v>
      </c>
      <c r="U2664" t="s">
        <v>46</v>
      </c>
      <c r="V2664">
        <v>2434.665</v>
      </c>
    </row>
    <row r="2665" spans="1:22" x14ac:dyDescent="0.3">
      <c r="A2665" t="s">
        <v>4120</v>
      </c>
      <c r="B2665" s="2">
        <v>46180</v>
      </c>
      <c r="C2665" t="s">
        <v>1363</v>
      </c>
      <c r="D2665" t="s">
        <v>24</v>
      </c>
      <c r="E2665" t="s">
        <v>92</v>
      </c>
      <c r="F2665">
        <v>1</v>
      </c>
      <c r="G2665">
        <v>0.3</v>
      </c>
      <c r="H2665">
        <v>630</v>
      </c>
      <c r="I2665">
        <v>68.97</v>
      </c>
      <c r="J2665" t="s">
        <v>51</v>
      </c>
      <c r="K2665" t="s">
        <v>40</v>
      </c>
      <c r="L2665">
        <v>630</v>
      </c>
      <c r="M2665">
        <v>10.94761904761905</v>
      </c>
      <c r="N2665" t="s">
        <v>8</v>
      </c>
      <c r="O2665" t="s">
        <v>1364</v>
      </c>
      <c r="P2665" t="s">
        <v>73</v>
      </c>
      <c r="Q2665" t="s">
        <v>30</v>
      </c>
      <c r="R2665" t="s">
        <v>98</v>
      </c>
      <c r="S2665" t="s">
        <v>54</v>
      </c>
      <c r="T2665" t="s">
        <v>1365</v>
      </c>
      <c r="U2665" t="s">
        <v>105</v>
      </c>
      <c r="V2665">
        <v>68.97</v>
      </c>
    </row>
    <row r="2666" spans="1:22" x14ac:dyDescent="0.3">
      <c r="A2666" t="s">
        <v>4121</v>
      </c>
      <c r="B2666" s="2">
        <v>46097</v>
      </c>
      <c r="C2666" t="s">
        <v>2673</v>
      </c>
      <c r="D2666" t="s">
        <v>49</v>
      </c>
      <c r="E2666" t="s">
        <v>79</v>
      </c>
      <c r="F2666">
        <v>5</v>
      </c>
      <c r="G2666">
        <v>0.1</v>
      </c>
      <c r="H2666">
        <v>49500</v>
      </c>
      <c r="I2666">
        <v>-20903.349999999999</v>
      </c>
      <c r="J2666" t="s">
        <v>65</v>
      </c>
      <c r="K2666" t="s">
        <v>434</v>
      </c>
      <c r="L2666">
        <v>9900</v>
      </c>
      <c r="M2666">
        <v>-42.228989898989887</v>
      </c>
      <c r="N2666" t="s">
        <v>81</v>
      </c>
      <c r="O2666" t="s">
        <v>2674</v>
      </c>
      <c r="P2666" t="s">
        <v>73</v>
      </c>
      <c r="Q2666" t="s">
        <v>30</v>
      </c>
      <c r="R2666" t="s">
        <v>98</v>
      </c>
      <c r="S2666" t="s">
        <v>54</v>
      </c>
      <c r="T2666" t="s">
        <v>2675</v>
      </c>
      <c r="U2666" t="s">
        <v>34</v>
      </c>
      <c r="V2666">
        <v>-4180.67</v>
      </c>
    </row>
    <row r="2667" spans="1:22" x14ac:dyDescent="0.3">
      <c r="A2667" t="s">
        <v>4122</v>
      </c>
      <c r="B2667" s="2">
        <v>45936</v>
      </c>
      <c r="C2667" t="s">
        <v>2428</v>
      </c>
      <c r="D2667" t="s">
        <v>70</v>
      </c>
      <c r="E2667" t="s">
        <v>71</v>
      </c>
      <c r="F2667">
        <v>5</v>
      </c>
      <c r="G2667">
        <v>0.1</v>
      </c>
      <c r="H2667">
        <v>81000</v>
      </c>
      <c r="I2667">
        <v>10679.96</v>
      </c>
      <c r="J2667" t="s">
        <v>39</v>
      </c>
      <c r="K2667" t="s">
        <v>40</v>
      </c>
      <c r="L2667">
        <v>16200</v>
      </c>
      <c r="M2667">
        <v>13.18513580246913</v>
      </c>
      <c r="N2667" t="s">
        <v>8</v>
      </c>
      <c r="O2667" t="s">
        <v>349</v>
      </c>
      <c r="P2667" t="s">
        <v>73</v>
      </c>
      <c r="Q2667" t="s">
        <v>74</v>
      </c>
      <c r="R2667" t="s">
        <v>493</v>
      </c>
      <c r="S2667" t="s">
        <v>494</v>
      </c>
      <c r="T2667" t="s">
        <v>2429</v>
      </c>
      <c r="U2667" t="s">
        <v>105</v>
      </c>
      <c r="V2667">
        <v>2135.9920000000002</v>
      </c>
    </row>
    <row r="2668" spans="1:22" x14ac:dyDescent="0.3">
      <c r="A2668" t="s">
        <v>4123</v>
      </c>
      <c r="B2668" s="2">
        <v>45988</v>
      </c>
      <c r="C2668" t="s">
        <v>2154</v>
      </c>
      <c r="D2668" t="s">
        <v>37</v>
      </c>
      <c r="E2668" t="s">
        <v>310</v>
      </c>
      <c r="F2668">
        <v>6</v>
      </c>
      <c r="G2668">
        <v>0</v>
      </c>
      <c r="H2668">
        <v>13200</v>
      </c>
      <c r="I2668">
        <v>4500</v>
      </c>
      <c r="J2668" t="s">
        <v>39</v>
      </c>
      <c r="K2668" t="s">
        <v>40</v>
      </c>
      <c r="L2668">
        <v>2200</v>
      </c>
      <c r="M2668">
        <v>34.090909090909093</v>
      </c>
      <c r="N2668" t="s">
        <v>8</v>
      </c>
      <c r="O2668" t="s">
        <v>1606</v>
      </c>
      <c r="P2668" t="s">
        <v>83</v>
      </c>
      <c r="Q2668" t="s">
        <v>42</v>
      </c>
      <c r="R2668" t="s">
        <v>110</v>
      </c>
      <c r="S2668" t="s">
        <v>111</v>
      </c>
      <c r="T2668" t="s">
        <v>2155</v>
      </c>
      <c r="U2668" t="s">
        <v>34</v>
      </c>
      <c r="V2668">
        <v>750</v>
      </c>
    </row>
    <row r="2669" spans="1:22" x14ac:dyDescent="0.3">
      <c r="A2669" t="s">
        <v>4124</v>
      </c>
      <c r="B2669" s="2">
        <v>46006</v>
      </c>
      <c r="C2669" t="s">
        <v>522</v>
      </c>
      <c r="D2669" t="s">
        <v>24</v>
      </c>
      <c r="E2669" t="s">
        <v>92</v>
      </c>
      <c r="F2669">
        <v>1</v>
      </c>
      <c r="G2669">
        <v>0</v>
      </c>
      <c r="H2669">
        <v>900</v>
      </c>
      <c r="I2669">
        <v>280</v>
      </c>
      <c r="J2669" t="s">
        <v>65</v>
      </c>
      <c r="K2669" t="s">
        <v>27</v>
      </c>
      <c r="L2669">
        <v>900</v>
      </c>
      <c r="M2669">
        <v>31.111111111111111</v>
      </c>
      <c r="N2669" t="s">
        <v>8</v>
      </c>
      <c r="O2669" t="s">
        <v>523</v>
      </c>
      <c r="P2669" t="s">
        <v>73</v>
      </c>
      <c r="Q2669" t="s">
        <v>30</v>
      </c>
      <c r="R2669" t="s">
        <v>98</v>
      </c>
      <c r="S2669" t="s">
        <v>54</v>
      </c>
      <c r="T2669" t="s">
        <v>62</v>
      </c>
      <c r="U2669" t="s">
        <v>46</v>
      </c>
      <c r="V2669">
        <v>280</v>
      </c>
    </row>
    <row r="2670" spans="1:22" x14ac:dyDescent="0.3">
      <c r="A2670" t="s">
        <v>4125</v>
      </c>
      <c r="B2670" s="2">
        <v>46148</v>
      </c>
      <c r="C2670" t="s">
        <v>1513</v>
      </c>
      <c r="D2670" t="s">
        <v>37</v>
      </c>
      <c r="E2670" t="s">
        <v>190</v>
      </c>
      <c r="F2670">
        <v>1</v>
      </c>
      <c r="G2670">
        <v>0.2</v>
      </c>
      <c r="H2670">
        <v>3360</v>
      </c>
      <c r="I2670">
        <v>682.02</v>
      </c>
      <c r="J2670" t="s">
        <v>65</v>
      </c>
      <c r="K2670" t="s">
        <v>40</v>
      </c>
      <c r="L2670">
        <v>3360</v>
      </c>
      <c r="M2670">
        <v>20.298214285714291</v>
      </c>
      <c r="N2670" t="s">
        <v>8</v>
      </c>
      <c r="O2670" t="s">
        <v>1514</v>
      </c>
      <c r="P2670" t="s">
        <v>29</v>
      </c>
      <c r="Q2670" t="s">
        <v>74</v>
      </c>
      <c r="R2670" t="s">
        <v>115</v>
      </c>
      <c r="S2670" t="s">
        <v>115</v>
      </c>
      <c r="T2670" t="s">
        <v>1515</v>
      </c>
      <c r="U2670" t="s">
        <v>46</v>
      </c>
      <c r="V2670">
        <v>682.02</v>
      </c>
    </row>
    <row r="2671" spans="1:22" x14ac:dyDescent="0.3">
      <c r="A2671" t="s">
        <v>4126</v>
      </c>
      <c r="B2671" s="2">
        <v>46204</v>
      </c>
      <c r="C2671" t="s">
        <v>1585</v>
      </c>
      <c r="D2671" t="s">
        <v>70</v>
      </c>
      <c r="E2671" t="s">
        <v>129</v>
      </c>
      <c r="F2671">
        <v>1</v>
      </c>
      <c r="G2671">
        <v>0.05</v>
      </c>
      <c r="H2671">
        <v>52250</v>
      </c>
      <c r="I2671">
        <v>7440.4</v>
      </c>
      <c r="J2671" t="s">
        <v>39</v>
      </c>
      <c r="K2671" t="s">
        <v>40</v>
      </c>
      <c r="L2671">
        <v>52250</v>
      </c>
      <c r="M2671">
        <v>14.24</v>
      </c>
      <c r="N2671" t="s">
        <v>8</v>
      </c>
      <c r="O2671" t="s">
        <v>1586</v>
      </c>
      <c r="P2671" t="s">
        <v>29</v>
      </c>
      <c r="Q2671" t="s">
        <v>74</v>
      </c>
      <c r="R2671" t="s">
        <v>493</v>
      </c>
      <c r="S2671" t="s">
        <v>494</v>
      </c>
      <c r="T2671" t="s">
        <v>876</v>
      </c>
      <c r="U2671" t="s">
        <v>34</v>
      </c>
      <c r="V2671">
        <v>7440.4</v>
      </c>
    </row>
    <row r="2672" spans="1:22" x14ac:dyDescent="0.3">
      <c r="A2672" t="s">
        <v>4127</v>
      </c>
      <c r="B2672" s="2">
        <v>46056</v>
      </c>
      <c r="C2672" t="s">
        <v>766</v>
      </c>
      <c r="D2672" t="s">
        <v>24</v>
      </c>
      <c r="E2672" t="s">
        <v>242</v>
      </c>
      <c r="F2672">
        <v>1</v>
      </c>
      <c r="G2672">
        <v>0.1</v>
      </c>
      <c r="H2672">
        <v>405</v>
      </c>
      <c r="I2672">
        <v>80.94</v>
      </c>
      <c r="J2672" t="s">
        <v>26</v>
      </c>
      <c r="K2672" t="s">
        <v>27</v>
      </c>
      <c r="L2672">
        <v>405</v>
      </c>
      <c r="M2672">
        <v>19.985185185185181</v>
      </c>
      <c r="N2672" t="s">
        <v>8</v>
      </c>
      <c r="O2672" t="s">
        <v>195</v>
      </c>
      <c r="P2672" t="s">
        <v>29</v>
      </c>
      <c r="Q2672" t="s">
        <v>42</v>
      </c>
      <c r="R2672" t="s">
        <v>43</v>
      </c>
      <c r="S2672" t="s">
        <v>44</v>
      </c>
      <c r="T2672" t="s">
        <v>767</v>
      </c>
      <c r="U2672" t="s">
        <v>105</v>
      </c>
      <c r="V2672">
        <v>80.94</v>
      </c>
    </row>
    <row r="2673" spans="1:22" x14ac:dyDescent="0.3">
      <c r="A2673" t="s">
        <v>4128</v>
      </c>
      <c r="B2673" s="2">
        <v>46031</v>
      </c>
      <c r="C2673" t="s">
        <v>1782</v>
      </c>
      <c r="D2673" t="s">
        <v>24</v>
      </c>
      <c r="E2673" t="s">
        <v>92</v>
      </c>
      <c r="F2673">
        <v>1</v>
      </c>
      <c r="G2673">
        <v>0.3</v>
      </c>
      <c r="H2673">
        <v>630</v>
      </c>
      <c r="I2673">
        <v>148.53</v>
      </c>
      <c r="J2673" t="s">
        <v>51</v>
      </c>
      <c r="K2673" t="s">
        <v>40</v>
      </c>
      <c r="L2673">
        <v>630</v>
      </c>
      <c r="M2673">
        <v>23.576190476190479</v>
      </c>
      <c r="N2673" t="s">
        <v>8</v>
      </c>
      <c r="O2673" t="s">
        <v>682</v>
      </c>
      <c r="P2673" t="s">
        <v>73</v>
      </c>
      <c r="Q2673" t="s">
        <v>131</v>
      </c>
      <c r="R2673" t="s">
        <v>200</v>
      </c>
      <c r="S2673" t="s">
        <v>201</v>
      </c>
      <c r="T2673" t="s">
        <v>295</v>
      </c>
      <c r="U2673" t="s">
        <v>34</v>
      </c>
      <c r="V2673">
        <v>148.53</v>
      </c>
    </row>
    <row r="2674" spans="1:22" x14ac:dyDescent="0.3">
      <c r="A2674" t="s">
        <v>4129</v>
      </c>
      <c r="B2674" s="2">
        <v>46161</v>
      </c>
      <c r="C2674" t="s">
        <v>2054</v>
      </c>
      <c r="D2674" t="s">
        <v>24</v>
      </c>
      <c r="E2674" t="s">
        <v>25</v>
      </c>
      <c r="F2674">
        <v>3</v>
      </c>
      <c r="G2674">
        <v>0.1</v>
      </c>
      <c r="H2674">
        <v>37800</v>
      </c>
      <c r="I2674">
        <v>6018.39</v>
      </c>
      <c r="J2674" t="s">
        <v>65</v>
      </c>
      <c r="K2674" t="s">
        <v>40</v>
      </c>
      <c r="L2674">
        <v>12600</v>
      </c>
      <c r="M2674">
        <v>15.92166666666667</v>
      </c>
      <c r="N2674" t="s">
        <v>8</v>
      </c>
      <c r="O2674" t="s">
        <v>1383</v>
      </c>
      <c r="P2674" t="s">
        <v>29</v>
      </c>
      <c r="Q2674" t="s">
        <v>74</v>
      </c>
      <c r="R2674" t="s">
        <v>75</v>
      </c>
      <c r="S2674" t="s">
        <v>75</v>
      </c>
      <c r="T2674" t="s">
        <v>2055</v>
      </c>
      <c r="U2674" t="s">
        <v>34</v>
      </c>
      <c r="V2674">
        <v>2006.13</v>
      </c>
    </row>
    <row r="2675" spans="1:22" x14ac:dyDescent="0.3">
      <c r="A2675" t="s">
        <v>4130</v>
      </c>
      <c r="B2675" s="2">
        <v>46027</v>
      </c>
      <c r="C2675" t="s">
        <v>204</v>
      </c>
      <c r="D2675" t="s">
        <v>70</v>
      </c>
      <c r="E2675" t="s">
        <v>129</v>
      </c>
      <c r="F2675">
        <v>6</v>
      </c>
      <c r="G2675">
        <v>0.1</v>
      </c>
      <c r="H2675">
        <v>297000</v>
      </c>
      <c r="I2675">
        <v>34392.089999999997</v>
      </c>
      <c r="J2675" t="s">
        <v>65</v>
      </c>
      <c r="K2675" t="s">
        <v>40</v>
      </c>
      <c r="L2675">
        <v>49500</v>
      </c>
      <c r="M2675">
        <v>11.579828282828281</v>
      </c>
      <c r="N2675" t="s">
        <v>8</v>
      </c>
      <c r="O2675" t="s">
        <v>205</v>
      </c>
      <c r="P2675" t="s">
        <v>29</v>
      </c>
      <c r="Q2675" t="s">
        <v>30</v>
      </c>
      <c r="R2675" t="s">
        <v>98</v>
      </c>
      <c r="S2675" t="s">
        <v>54</v>
      </c>
      <c r="T2675" t="s">
        <v>206</v>
      </c>
      <c r="U2675" t="s">
        <v>34</v>
      </c>
      <c r="V2675">
        <v>5732.0149999999994</v>
      </c>
    </row>
    <row r="2676" spans="1:22" x14ac:dyDescent="0.3">
      <c r="A2676" t="s">
        <v>4131</v>
      </c>
      <c r="B2676" s="2">
        <v>45910</v>
      </c>
      <c r="C2676" t="s">
        <v>736</v>
      </c>
      <c r="D2676" t="s">
        <v>70</v>
      </c>
      <c r="E2676" t="s">
        <v>129</v>
      </c>
      <c r="F2676">
        <v>2</v>
      </c>
      <c r="G2676">
        <v>0.05</v>
      </c>
      <c r="H2676">
        <v>104500</v>
      </c>
      <c r="I2676">
        <v>15442.32</v>
      </c>
      <c r="J2676" t="s">
        <v>39</v>
      </c>
      <c r="K2676" t="s">
        <v>27</v>
      </c>
      <c r="L2676">
        <v>52250</v>
      </c>
      <c r="M2676">
        <v>14.777339712918661</v>
      </c>
      <c r="N2676" t="s">
        <v>8</v>
      </c>
      <c r="O2676" t="s">
        <v>648</v>
      </c>
      <c r="P2676" t="s">
        <v>29</v>
      </c>
      <c r="Q2676" t="s">
        <v>30</v>
      </c>
      <c r="R2676" t="s">
        <v>60</v>
      </c>
      <c r="S2676" t="s">
        <v>61</v>
      </c>
      <c r="T2676" t="s">
        <v>311</v>
      </c>
      <c r="U2676" t="s">
        <v>34</v>
      </c>
      <c r="V2676">
        <v>7721.16</v>
      </c>
    </row>
    <row r="2677" spans="1:22" x14ac:dyDescent="0.3">
      <c r="A2677" t="s">
        <v>4132</v>
      </c>
      <c r="B2677" s="2">
        <v>45944</v>
      </c>
      <c r="C2677" t="s">
        <v>2145</v>
      </c>
      <c r="D2677" t="s">
        <v>37</v>
      </c>
      <c r="E2677" t="s">
        <v>310</v>
      </c>
      <c r="F2677">
        <v>2</v>
      </c>
      <c r="G2677">
        <v>0</v>
      </c>
      <c r="H2677">
        <v>4400</v>
      </c>
      <c r="I2677">
        <v>1500</v>
      </c>
      <c r="J2677" t="s">
        <v>51</v>
      </c>
      <c r="K2677" t="s">
        <v>40</v>
      </c>
      <c r="L2677">
        <v>2200</v>
      </c>
      <c r="M2677">
        <v>34.090909090909093</v>
      </c>
      <c r="N2677" t="s">
        <v>8</v>
      </c>
      <c r="O2677" t="s">
        <v>302</v>
      </c>
      <c r="P2677" t="s">
        <v>29</v>
      </c>
      <c r="Q2677" t="s">
        <v>30</v>
      </c>
      <c r="R2677" t="s">
        <v>98</v>
      </c>
      <c r="S2677" t="s">
        <v>54</v>
      </c>
      <c r="T2677" t="s">
        <v>601</v>
      </c>
      <c r="U2677" t="s">
        <v>46</v>
      </c>
      <c r="V2677">
        <v>750</v>
      </c>
    </row>
    <row r="2678" spans="1:22" x14ac:dyDescent="0.3">
      <c r="A2678" t="s">
        <v>4133</v>
      </c>
      <c r="B2678" s="2">
        <v>46121</v>
      </c>
      <c r="C2678" t="s">
        <v>397</v>
      </c>
      <c r="D2678" t="s">
        <v>24</v>
      </c>
      <c r="E2678" t="s">
        <v>25</v>
      </c>
      <c r="F2678">
        <v>2</v>
      </c>
      <c r="G2678">
        <v>0.1</v>
      </c>
      <c r="H2678">
        <v>25200</v>
      </c>
      <c r="I2678">
        <v>-3364.3</v>
      </c>
      <c r="J2678" t="s">
        <v>39</v>
      </c>
      <c r="K2678" t="s">
        <v>434</v>
      </c>
      <c r="L2678">
        <v>12600</v>
      </c>
      <c r="M2678">
        <v>-13.35039682539683</v>
      </c>
      <c r="N2678" t="s">
        <v>81</v>
      </c>
      <c r="O2678" t="s">
        <v>398</v>
      </c>
      <c r="P2678" t="s">
        <v>73</v>
      </c>
      <c r="Q2678" t="s">
        <v>30</v>
      </c>
      <c r="R2678" t="s">
        <v>98</v>
      </c>
      <c r="S2678" t="s">
        <v>54</v>
      </c>
      <c r="T2678" t="s">
        <v>399</v>
      </c>
      <c r="U2678" t="s">
        <v>34</v>
      </c>
      <c r="V2678">
        <v>-1682.15</v>
      </c>
    </row>
    <row r="2679" spans="1:22" x14ac:dyDescent="0.3">
      <c r="A2679" t="s">
        <v>4134</v>
      </c>
      <c r="B2679" s="2">
        <v>46094</v>
      </c>
      <c r="C2679" t="s">
        <v>2101</v>
      </c>
      <c r="D2679" t="s">
        <v>37</v>
      </c>
      <c r="E2679" t="s">
        <v>170</v>
      </c>
      <c r="F2679">
        <v>2</v>
      </c>
      <c r="G2679">
        <v>0.2</v>
      </c>
      <c r="H2679">
        <v>2240</v>
      </c>
      <c r="I2679">
        <v>576.61</v>
      </c>
      <c r="J2679" t="s">
        <v>51</v>
      </c>
      <c r="K2679" t="s">
        <v>40</v>
      </c>
      <c r="L2679">
        <v>1120</v>
      </c>
      <c r="M2679">
        <v>25.74151785714286</v>
      </c>
      <c r="N2679" t="s">
        <v>8</v>
      </c>
      <c r="O2679" t="s">
        <v>2102</v>
      </c>
      <c r="P2679" t="s">
        <v>29</v>
      </c>
      <c r="Q2679" t="s">
        <v>131</v>
      </c>
      <c r="R2679" t="s">
        <v>289</v>
      </c>
      <c r="S2679" t="s">
        <v>290</v>
      </c>
      <c r="T2679" t="s">
        <v>2103</v>
      </c>
      <c r="U2679" t="s">
        <v>34</v>
      </c>
      <c r="V2679">
        <v>288.30500000000001</v>
      </c>
    </row>
    <row r="2680" spans="1:22" x14ac:dyDescent="0.3">
      <c r="A2680" t="s">
        <v>4135</v>
      </c>
      <c r="B2680" s="2">
        <v>45841</v>
      </c>
      <c r="C2680" t="s">
        <v>3711</v>
      </c>
      <c r="D2680" t="s">
        <v>70</v>
      </c>
      <c r="E2680" t="s">
        <v>108</v>
      </c>
      <c r="F2680">
        <v>1</v>
      </c>
      <c r="G2680">
        <v>0.3</v>
      </c>
      <c r="H2680">
        <v>3150</v>
      </c>
      <c r="I2680">
        <v>839.06</v>
      </c>
      <c r="J2680" t="s">
        <v>65</v>
      </c>
      <c r="K2680" t="s">
        <v>40</v>
      </c>
      <c r="L2680">
        <v>3150</v>
      </c>
      <c r="M2680">
        <v>26.636825396825401</v>
      </c>
      <c r="N2680" t="s">
        <v>8</v>
      </c>
      <c r="O2680" t="s">
        <v>3712</v>
      </c>
      <c r="P2680" t="s">
        <v>83</v>
      </c>
      <c r="Q2680" t="s">
        <v>42</v>
      </c>
      <c r="R2680" t="s">
        <v>121</v>
      </c>
      <c r="S2680" t="s">
        <v>44</v>
      </c>
      <c r="T2680" t="s">
        <v>3197</v>
      </c>
      <c r="U2680" t="s">
        <v>34</v>
      </c>
      <c r="V2680">
        <v>839.06</v>
      </c>
    </row>
    <row r="2681" spans="1:22" x14ac:dyDescent="0.3">
      <c r="A2681" t="s">
        <v>4136</v>
      </c>
      <c r="B2681" s="2">
        <v>45902</v>
      </c>
      <c r="C2681" t="s">
        <v>936</v>
      </c>
      <c r="D2681" t="s">
        <v>70</v>
      </c>
      <c r="E2681" t="s">
        <v>71</v>
      </c>
      <c r="F2681">
        <v>3</v>
      </c>
      <c r="G2681">
        <v>0.05</v>
      </c>
      <c r="H2681">
        <v>51300</v>
      </c>
      <c r="I2681">
        <v>8816.08</v>
      </c>
      <c r="J2681" t="s">
        <v>51</v>
      </c>
      <c r="K2681" t="s">
        <v>40</v>
      </c>
      <c r="L2681">
        <v>17100</v>
      </c>
      <c r="M2681">
        <v>17.185341130604289</v>
      </c>
      <c r="N2681" t="s">
        <v>8</v>
      </c>
      <c r="O2681" t="s">
        <v>937</v>
      </c>
      <c r="P2681" t="s">
        <v>73</v>
      </c>
      <c r="Q2681" t="s">
        <v>30</v>
      </c>
      <c r="R2681" t="s">
        <v>53</v>
      </c>
      <c r="S2681" t="s">
        <v>54</v>
      </c>
      <c r="T2681" t="s">
        <v>938</v>
      </c>
      <c r="U2681" t="s">
        <v>34</v>
      </c>
      <c r="V2681">
        <v>2938.6933333333332</v>
      </c>
    </row>
    <row r="2682" spans="1:22" x14ac:dyDescent="0.3">
      <c r="A2682" t="s">
        <v>4137</v>
      </c>
      <c r="B2682" s="2">
        <v>46219</v>
      </c>
      <c r="C2682" t="s">
        <v>2145</v>
      </c>
      <c r="D2682" t="s">
        <v>70</v>
      </c>
      <c r="E2682" t="s">
        <v>108</v>
      </c>
      <c r="F2682">
        <v>6</v>
      </c>
      <c r="G2682">
        <v>0.2</v>
      </c>
      <c r="H2682">
        <v>21600</v>
      </c>
      <c r="I2682">
        <v>6331.43</v>
      </c>
      <c r="J2682" t="s">
        <v>65</v>
      </c>
      <c r="K2682" t="s">
        <v>40</v>
      </c>
      <c r="L2682">
        <v>3600</v>
      </c>
      <c r="M2682">
        <v>29.312175925925931</v>
      </c>
      <c r="N2682" t="s">
        <v>8</v>
      </c>
      <c r="O2682" t="s">
        <v>302</v>
      </c>
      <c r="P2682" t="s">
        <v>29</v>
      </c>
      <c r="Q2682" t="s">
        <v>30</v>
      </c>
      <c r="R2682" t="s">
        <v>98</v>
      </c>
      <c r="S2682" t="s">
        <v>54</v>
      </c>
      <c r="T2682" t="s">
        <v>601</v>
      </c>
      <c r="U2682" t="s">
        <v>46</v>
      </c>
      <c r="V2682">
        <v>1055.238333333333</v>
      </c>
    </row>
    <row r="2683" spans="1:22" x14ac:dyDescent="0.3">
      <c r="A2683" t="s">
        <v>4138</v>
      </c>
      <c r="B2683" s="2">
        <v>45895</v>
      </c>
      <c r="C2683" t="s">
        <v>351</v>
      </c>
      <c r="D2683" t="s">
        <v>24</v>
      </c>
      <c r="E2683" t="s">
        <v>92</v>
      </c>
      <c r="F2683">
        <v>1</v>
      </c>
      <c r="G2683">
        <v>0</v>
      </c>
      <c r="H2683">
        <v>900</v>
      </c>
      <c r="I2683">
        <v>280</v>
      </c>
      <c r="J2683" t="s">
        <v>39</v>
      </c>
      <c r="K2683" t="s">
        <v>40</v>
      </c>
      <c r="L2683">
        <v>900</v>
      </c>
      <c r="M2683">
        <v>31.111111111111111</v>
      </c>
      <c r="N2683" t="s">
        <v>8</v>
      </c>
      <c r="O2683" t="s">
        <v>352</v>
      </c>
      <c r="P2683" t="s">
        <v>73</v>
      </c>
      <c r="Q2683" t="s">
        <v>30</v>
      </c>
      <c r="R2683" t="s">
        <v>31</v>
      </c>
      <c r="S2683" t="s">
        <v>32</v>
      </c>
      <c r="T2683" t="s">
        <v>338</v>
      </c>
      <c r="U2683" t="s">
        <v>100</v>
      </c>
      <c r="V2683">
        <v>280</v>
      </c>
    </row>
    <row r="2684" spans="1:22" x14ac:dyDescent="0.3">
      <c r="A2684" t="s">
        <v>4139</v>
      </c>
      <c r="B2684" s="2">
        <v>46231</v>
      </c>
      <c r="C2684" t="s">
        <v>309</v>
      </c>
      <c r="D2684" t="s">
        <v>37</v>
      </c>
      <c r="E2684" t="s">
        <v>170</v>
      </c>
      <c r="F2684">
        <v>3</v>
      </c>
      <c r="G2684">
        <v>0</v>
      </c>
      <c r="H2684">
        <v>4200</v>
      </c>
      <c r="I2684">
        <v>1500</v>
      </c>
      <c r="J2684" t="s">
        <v>51</v>
      </c>
      <c r="K2684" t="s">
        <v>40</v>
      </c>
      <c r="L2684">
        <v>1400</v>
      </c>
      <c r="M2684">
        <v>35.714285714285722</v>
      </c>
      <c r="N2684" t="s">
        <v>8</v>
      </c>
      <c r="O2684" t="s">
        <v>59</v>
      </c>
      <c r="P2684" t="s">
        <v>73</v>
      </c>
      <c r="Q2684" t="s">
        <v>74</v>
      </c>
      <c r="R2684" t="s">
        <v>237</v>
      </c>
      <c r="S2684" t="s">
        <v>238</v>
      </c>
      <c r="T2684" t="s">
        <v>311</v>
      </c>
      <c r="U2684" t="s">
        <v>46</v>
      </c>
      <c r="V2684">
        <v>500</v>
      </c>
    </row>
    <row r="2685" spans="1:22" x14ac:dyDescent="0.3">
      <c r="A2685" t="s">
        <v>4140</v>
      </c>
      <c r="B2685" s="2">
        <v>46092</v>
      </c>
      <c r="C2685" t="s">
        <v>430</v>
      </c>
      <c r="D2685" t="s">
        <v>70</v>
      </c>
      <c r="E2685" t="s">
        <v>108</v>
      </c>
      <c r="F2685">
        <v>6</v>
      </c>
      <c r="G2685">
        <v>0.05</v>
      </c>
      <c r="H2685">
        <v>25650</v>
      </c>
      <c r="I2685">
        <v>8162.56</v>
      </c>
      <c r="J2685" t="s">
        <v>39</v>
      </c>
      <c r="K2685" t="s">
        <v>40</v>
      </c>
      <c r="L2685">
        <v>4275</v>
      </c>
      <c r="M2685">
        <v>31.82284600389864</v>
      </c>
      <c r="N2685" t="s">
        <v>8</v>
      </c>
      <c r="O2685" t="s">
        <v>431</v>
      </c>
      <c r="P2685" t="s">
        <v>29</v>
      </c>
      <c r="Q2685" t="s">
        <v>30</v>
      </c>
      <c r="R2685" t="s">
        <v>53</v>
      </c>
      <c r="S2685" t="s">
        <v>54</v>
      </c>
      <c r="T2685" t="s">
        <v>256</v>
      </c>
      <c r="U2685" t="s">
        <v>46</v>
      </c>
      <c r="V2685">
        <v>1360.426666666667</v>
      </c>
    </row>
    <row r="2686" spans="1:22" x14ac:dyDescent="0.3">
      <c r="A2686" t="s">
        <v>4141</v>
      </c>
      <c r="B2686" s="2">
        <v>46262</v>
      </c>
      <c r="C2686" t="s">
        <v>164</v>
      </c>
      <c r="D2686" t="s">
        <v>24</v>
      </c>
      <c r="E2686" t="s">
        <v>25</v>
      </c>
      <c r="F2686">
        <v>2</v>
      </c>
      <c r="G2686">
        <v>0.2</v>
      </c>
      <c r="H2686">
        <v>22400</v>
      </c>
      <c r="I2686">
        <v>1233.27</v>
      </c>
      <c r="J2686" t="s">
        <v>26</v>
      </c>
      <c r="K2686" t="s">
        <v>40</v>
      </c>
      <c r="L2686">
        <v>11200</v>
      </c>
      <c r="M2686">
        <v>5.5056696428571428</v>
      </c>
      <c r="N2686" t="s">
        <v>8</v>
      </c>
      <c r="O2686" t="s">
        <v>166</v>
      </c>
      <c r="P2686" t="s">
        <v>73</v>
      </c>
      <c r="Q2686" t="s">
        <v>30</v>
      </c>
      <c r="R2686" t="s">
        <v>53</v>
      </c>
      <c r="S2686" t="s">
        <v>54</v>
      </c>
      <c r="T2686" t="s">
        <v>167</v>
      </c>
      <c r="U2686" t="s">
        <v>46</v>
      </c>
      <c r="V2686">
        <v>616.63499999999999</v>
      </c>
    </row>
    <row r="2687" spans="1:22" x14ac:dyDescent="0.3">
      <c r="A2687" t="s">
        <v>4142</v>
      </c>
      <c r="B2687" s="2">
        <v>45951</v>
      </c>
      <c r="C2687" t="s">
        <v>1694</v>
      </c>
      <c r="D2687" t="s">
        <v>24</v>
      </c>
      <c r="E2687" t="s">
        <v>92</v>
      </c>
      <c r="F2687">
        <v>1</v>
      </c>
      <c r="G2687">
        <v>0.15</v>
      </c>
      <c r="H2687">
        <v>765</v>
      </c>
      <c r="I2687">
        <v>191.35</v>
      </c>
      <c r="J2687" t="s">
        <v>51</v>
      </c>
      <c r="K2687" t="s">
        <v>40</v>
      </c>
      <c r="L2687">
        <v>765</v>
      </c>
      <c r="M2687">
        <v>25.01307189542484</v>
      </c>
      <c r="N2687" t="s">
        <v>8</v>
      </c>
      <c r="O2687" t="s">
        <v>1695</v>
      </c>
      <c r="P2687" t="s">
        <v>73</v>
      </c>
      <c r="Q2687" t="s">
        <v>30</v>
      </c>
      <c r="R2687" t="s">
        <v>60</v>
      </c>
      <c r="S2687" t="s">
        <v>61</v>
      </c>
      <c r="T2687" t="s">
        <v>1696</v>
      </c>
      <c r="U2687" t="s">
        <v>100</v>
      </c>
      <c r="V2687">
        <v>191.35</v>
      </c>
    </row>
    <row r="2688" spans="1:22" x14ac:dyDescent="0.3">
      <c r="A2688" t="s">
        <v>4143</v>
      </c>
      <c r="B2688" s="2">
        <v>46171</v>
      </c>
      <c r="C2688" t="s">
        <v>872</v>
      </c>
      <c r="D2688" t="s">
        <v>70</v>
      </c>
      <c r="E2688" t="s">
        <v>108</v>
      </c>
      <c r="F2688">
        <v>4</v>
      </c>
      <c r="G2688">
        <v>0.05</v>
      </c>
      <c r="H2688">
        <v>17100</v>
      </c>
      <c r="I2688">
        <v>5583.88</v>
      </c>
      <c r="J2688" t="s">
        <v>65</v>
      </c>
      <c r="K2688" t="s">
        <v>40</v>
      </c>
      <c r="L2688">
        <v>4275</v>
      </c>
      <c r="M2688">
        <v>32.654269005847951</v>
      </c>
      <c r="N2688" t="s">
        <v>8</v>
      </c>
      <c r="O2688" t="s">
        <v>492</v>
      </c>
      <c r="P2688" t="s">
        <v>29</v>
      </c>
      <c r="Q2688" t="s">
        <v>42</v>
      </c>
      <c r="R2688" t="s">
        <v>121</v>
      </c>
      <c r="S2688" t="s">
        <v>44</v>
      </c>
      <c r="T2688" t="s">
        <v>873</v>
      </c>
      <c r="U2688" t="s">
        <v>46</v>
      </c>
      <c r="V2688">
        <v>1395.97</v>
      </c>
    </row>
    <row r="2689" spans="1:22" x14ac:dyDescent="0.3">
      <c r="A2689" t="s">
        <v>4144</v>
      </c>
      <c r="B2689" s="2">
        <v>45849</v>
      </c>
      <c r="C2689" t="s">
        <v>1803</v>
      </c>
      <c r="D2689" t="s">
        <v>70</v>
      </c>
      <c r="E2689" t="s">
        <v>165</v>
      </c>
      <c r="F2689">
        <v>1</v>
      </c>
      <c r="G2689">
        <v>0.05</v>
      </c>
      <c r="H2689">
        <v>2375</v>
      </c>
      <c r="I2689">
        <v>738.74</v>
      </c>
      <c r="J2689" t="s">
        <v>26</v>
      </c>
      <c r="K2689" t="s">
        <v>27</v>
      </c>
      <c r="L2689">
        <v>2375</v>
      </c>
      <c r="M2689">
        <v>31.10484210526316</v>
      </c>
      <c r="N2689" t="s">
        <v>8</v>
      </c>
      <c r="O2689" t="s">
        <v>1804</v>
      </c>
      <c r="P2689" t="s">
        <v>29</v>
      </c>
      <c r="Q2689" t="s">
        <v>74</v>
      </c>
      <c r="R2689" t="s">
        <v>115</v>
      </c>
      <c r="S2689" t="s">
        <v>115</v>
      </c>
      <c r="T2689" t="s">
        <v>604</v>
      </c>
      <c r="U2689" t="s">
        <v>46</v>
      </c>
      <c r="V2689">
        <v>738.74</v>
      </c>
    </row>
    <row r="2690" spans="1:22" x14ac:dyDescent="0.3">
      <c r="A2690" t="s">
        <v>4145</v>
      </c>
      <c r="B2690" s="2">
        <v>46126</v>
      </c>
      <c r="C2690" t="s">
        <v>878</v>
      </c>
      <c r="D2690" t="s">
        <v>37</v>
      </c>
      <c r="E2690" t="s">
        <v>190</v>
      </c>
      <c r="F2690">
        <v>1</v>
      </c>
      <c r="G2690">
        <v>0.1</v>
      </c>
      <c r="H2690">
        <v>3780</v>
      </c>
      <c r="I2690">
        <v>924.74</v>
      </c>
      <c r="J2690" t="s">
        <v>26</v>
      </c>
      <c r="K2690" t="s">
        <v>27</v>
      </c>
      <c r="L2690">
        <v>3780</v>
      </c>
      <c r="M2690">
        <v>24.464021164021158</v>
      </c>
      <c r="N2690" t="s">
        <v>8</v>
      </c>
      <c r="O2690" t="s">
        <v>879</v>
      </c>
      <c r="P2690" t="s">
        <v>83</v>
      </c>
      <c r="Q2690" t="s">
        <v>30</v>
      </c>
      <c r="R2690" t="s">
        <v>98</v>
      </c>
      <c r="S2690" t="s">
        <v>54</v>
      </c>
      <c r="T2690" t="s">
        <v>880</v>
      </c>
      <c r="U2690" t="s">
        <v>46</v>
      </c>
      <c r="V2690">
        <v>924.74</v>
      </c>
    </row>
    <row r="2691" spans="1:22" x14ac:dyDescent="0.3">
      <c r="A2691" t="s">
        <v>4146</v>
      </c>
      <c r="B2691" s="2">
        <v>45975</v>
      </c>
      <c r="C2691" t="s">
        <v>1285</v>
      </c>
      <c r="D2691" t="s">
        <v>70</v>
      </c>
      <c r="E2691" t="s">
        <v>108</v>
      </c>
      <c r="F2691">
        <v>2</v>
      </c>
      <c r="G2691">
        <v>0.15</v>
      </c>
      <c r="H2691">
        <v>7650</v>
      </c>
      <c r="I2691">
        <v>-1023.79</v>
      </c>
      <c r="J2691" t="s">
        <v>26</v>
      </c>
      <c r="K2691" t="s">
        <v>80</v>
      </c>
      <c r="L2691">
        <v>3825</v>
      </c>
      <c r="M2691">
        <v>-13.38287581699346</v>
      </c>
      <c r="N2691" t="s">
        <v>81</v>
      </c>
      <c r="O2691" t="s">
        <v>1286</v>
      </c>
      <c r="P2691" t="s">
        <v>29</v>
      </c>
      <c r="Q2691" t="s">
        <v>74</v>
      </c>
      <c r="R2691" t="s">
        <v>493</v>
      </c>
      <c r="S2691" t="s">
        <v>494</v>
      </c>
      <c r="T2691" t="s">
        <v>1287</v>
      </c>
      <c r="U2691" t="s">
        <v>46</v>
      </c>
      <c r="V2691">
        <v>-511.89499999999998</v>
      </c>
    </row>
    <row r="2692" spans="1:22" x14ac:dyDescent="0.3">
      <c r="A2692" t="s">
        <v>4147</v>
      </c>
      <c r="B2692" s="2">
        <v>45983</v>
      </c>
      <c r="C2692" t="s">
        <v>385</v>
      </c>
      <c r="D2692" t="s">
        <v>24</v>
      </c>
      <c r="E2692" t="s">
        <v>242</v>
      </c>
      <c r="F2692">
        <v>1</v>
      </c>
      <c r="G2692">
        <v>0.2</v>
      </c>
      <c r="H2692">
        <v>360</v>
      </c>
      <c r="I2692">
        <v>65.150000000000006</v>
      </c>
      <c r="J2692" t="s">
        <v>26</v>
      </c>
      <c r="K2692" t="s">
        <v>40</v>
      </c>
      <c r="L2692">
        <v>360</v>
      </c>
      <c r="M2692">
        <v>18.097222222222221</v>
      </c>
      <c r="N2692" t="s">
        <v>8</v>
      </c>
      <c r="O2692" t="s">
        <v>386</v>
      </c>
      <c r="P2692" t="s">
        <v>29</v>
      </c>
      <c r="Q2692" t="s">
        <v>30</v>
      </c>
      <c r="R2692" t="s">
        <v>60</v>
      </c>
      <c r="S2692" t="s">
        <v>61</v>
      </c>
      <c r="T2692" t="s">
        <v>387</v>
      </c>
      <c r="U2692" t="s">
        <v>100</v>
      </c>
      <c r="V2692">
        <v>65.150000000000006</v>
      </c>
    </row>
    <row r="2693" spans="1:22" x14ac:dyDescent="0.3">
      <c r="A2693" t="s">
        <v>4148</v>
      </c>
      <c r="B2693" s="2">
        <v>46018</v>
      </c>
      <c r="C2693" t="s">
        <v>208</v>
      </c>
      <c r="D2693" t="s">
        <v>70</v>
      </c>
      <c r="E2693" t="s">
        <v>71</v>
      </c>
      <c r="F2693">
        <v>2</v>
      </c>
      <c r="G2693">
        <v>0</v>
      </c>
      <c r="H2693">
        <v>36000</v>
      </c>
      <c r="I2693">
        <v>7000</v>
      </c>
      <c r="J2693" t="s">
        <v>26</v>
      </c>
      <c r="K2693" t="s">
        <v>27</v>
      </c>
      <c r="L2693">
        <v>18000</v>
      </c>
      <c r="M2693">
        <v>19.44444444444445</v>
      </c>
      <c r="N2693" t="s">
        <v>8</v>
      </c>
      <c r="O2693" t="s">
        <v>209</v>
      </c>
      <c r="P2693" t="s">
        <v>29</v>
      </c>
      <c r="Q2693" t="s">
        <v>30</v>
      </c>
      <c r="R2693" t="s">
        <v>60</v>
      </c>
      <c r="S2693" t="s">
        <v>61</v>
      </c>
      <c r="T2693" t="s">
        <v>210</v>
      </c>
      <c r="U2693" t="s">
        <v>46</v>
      </c>
      <c r="V2693">
        <v>3500</v>
      </c>
    </row>
    <row r="2694" spans="1:22" x14ac:dyDescent="0.3">
      <c r="A2694" t="s">
        <v>4149</v>
      </c>
      <c r="B2694" s="2">
        <v>46246</v>
      </c>
      <c r="C2694" t="s">
        <v>1403</v>
      </c>
      <c r="D2694" t="s">
        <v>24</v>
      </c>
      <c r="E2694" t="s">
        <v>92</v>
      </c>
      <c r="F2694">
        <v>3</v>
      </c>
      <c r="G2694">
        <v>0</v>
      </c>
      <c r="H2694">
        <v>2700</v>
      </c>
      <c r="I2694">
        <v>840</v>
      </c>
      <c r="J2694" t="s">
        <v>65</v>
      </c>
      <c r="K2694" t="s">
        <v>40</v>
      </c>
      <c r="L2694">
        <v>900</v>
      </c>
      <c r="M2694">
        <v>31.111111111111111</v>
      </c>
      <c r="N2694" t="s">
        <v>8</v>
      </c>
      <c r="O2694" t="s">
        <v>723</v>
      </c>
      <c r="P2694" t="s">
        <v>73</v>
      </c>
      <c r="Q2694" t="s">
        <v>42</v>
      </c>
      <c r="R2694" t="s">
        <v>43</v>
      </c>
      <c r="S2694" t="s">
        <v>44</v>
      </c>
      <c r="T2694" t="s">
        <v>1404</v>
      </c>
      <c r="U2694" t="s">
        <v>46</v>
      </c>
      <c r="V2694">
        <v>280</v>
      </c>
    </row>
    <row r="2695" spans="1:22" x14ac:dyDescent="0.3">
      <c r="A2695" t="s">
        <v>4150</v>
      </c>
      <c r="B2695" s="2">
        <v>45881</v>
      </c>
      <c r="C2695" t="s">
        <v>1014</v>
      </c>
      <c r="D2695" t="s">
        <v>70</v>
      </c>
      <c r="E2695" t="s">
        <v>108</v>
      </c>
      <c r="F2695">
        <v>1</v>
      </c>
      <c r="G2695">
        <v>0.15</v>
      </c>
      <c r="H2695">
        <v>3825</v>
      </c>
      <c r="I2695">
        <v>1115.9100000000001</v>
      </c>
      <c r="J2695" t="s">
        <v>65</v>
      </c>
      <c r="K2695" t="s">
        <v>40</v>
      </c>
      <c r="L2695">
        <v>3825</v>
      </c>
      <c r="M2695">
        <v>29.174117647058829</v>
      </c>
      <c r="N2695" t="s">
        <v>8</v>
      </c>
      <c r="O2695" t="s">
        <v>530</v>
      </c>
      <c r="P2695" t="s">
        <v>73</v>
      </c>
      <c r="Q2695" t="s">
        <v>42</v>
      </c>
      <c r="R2695" t="s">
        <v>121</v>
      </c>
      <c r="S2695" t="s">
        <v>44</v>
      </c>
      <c r="T2695" t="s">
        <v>1015</v>
      </c>
      <c r="U2695" t="s">
        <v>34</v>
      </c>
      <c r="V2695">
        <v>1115.9100000000001</v>
      </c>
    </row>
    <row r="2696" spans="1:22" x14ac:dyDescent="0.3">
      <c r="A2696" t="s">
        <v>4151</v>
      </c>
      <c r="B2696" s="2">
        <v>45869</v>
      </c>
      <c r="C2696" t="s">
        <v>488</v>
      </c>
      <c r="D2696" t="s">
        <v>70</v>
      </c>
      <c r="E2696" t="s">
        <v>108</v>
      </c>
      <c r="F2696">
        <v>3</v>
      </c>
      <c r="G2696">
        <v>0.1</v>
      </c>
      <c r="H2696">
        <v>12150</v>
      </c>
      <c r="I2696">
        <v>3407.5</v>
      </c>
      <c r="J2696" t="s">
        <v>65</v>
      </c>
      <c r="K2696" t="s">
        <v>40</v>
      </c>
      <c r="L2696">
        <v>4050</v>
      </c>
      <c r="M2696">
        <v>28.045267489711929</v>
      </c>
      <c r="N2696" t="s">
        <v>8</v>
      </c>
      <c r="O2696" t="s">
        <v>398</v>
      </c>
      <c r="P2696" t="s">
        <v>29</v>
      </c>
      <c r="Q2696" t="s">
        <v>30</v>
      </c>
      <c r="R2696" t="s">
        <v>60</v>
      </c>
      <c r="S2696" t="s">
        <v>61</v>
      </c>
      <c r="T2696" t="s">
        <v>489</v>
      </c>
      <c r="U2696" t="s">
        <v>105</v>
      </c>
      <c r="V2696">
        <v>1135.833333333333</v>
      </c>
    </row>
    <row r="2697" spans="1:22" x14ac:dyDescent="0.3">
      <c r="A2697" t="s">
        <v>4152</v>
      </c>
      <c r="B2697" s="2">
        <v>46067</v>
      </c>
      <c r="C2697" t="s">
        <v>897</v>
      </c>
      <c r="D2697" t="s">
        <v>37</v>
      </c>
      <c r="E2697" t="s">
        <v>310</v>
      </c>
      <c r="F2697">
        <v>4</v>
      </c>
      <c r="G2697">
        <v>0</v>
      </c>
      <c r="H2697">
        <v>8800</v>
      </c>
      <c r="I2697">
        <v>3000</v>
      </c>
      <c r="J2697" t="s">
        <v>39</v>
      </c>
      <c r="K2697" t="s">
        <v>40</v>
      </c>
      <c r="L2697">
        <v>2200</v>
      </c>
      <c r="M2697">
        <v>34.090909090909093</v>
      </c>
      <c r="N2697" t="s">
        <v>8</v>
      </c>
      <c r="O2697" t="s">
        <v>607</v>
      </c>
      <c r="P2697" t="s">
        <v>73</v>
      </c>
      <c r="Q2697" t="s">
        <v>30</v>
      </c>
      <c r="R2697" t="s">
        <v>31</v>
      </c>
      <c r="S2697" t="s">
        <v>32</v>
      </c>
      <c r="T2697" t="s">
        <v>898</v>
      </c>
      <c r="U2697" t="s">
        <v>34</v>
      </c>
      <c r="V2697">
        <v>750</v>
      </c>
    </row>
    <row r="2698" spans="1:22" x14ac:dyDescent="0.3">
      <c r="A2698" t="s">
        <v>4153</v>
      </c>
      <c r="B2698" s="2">
        <v>46151</v>
      </c>
      <c r="C2698" t="s">
        <v>2972</v>
      </c>
      <c r="D2698" t="s">
        <v>70</v>
      </c>
      <c r="E2698" t="s">
        <v>108</v>
      </c>
      <c r="F2698">
        <v>5</v>
      </c>
      <c r="G2698">
        <v>0.15</v>
      </c>
      <c r="H2698">
        <v>19125</v>
      </c>
      <c r="I2698">
        <v>5639.17</v>
      </c>
      <c r="J2698" t="s">
        <v>65</v>
      </c>
      <c r="K2698" t="s">
        <v>40</v>
      </c>
      <c r="L2698">
        <v>3825</v>
      </c>
      <c r="M2698">
        <v>29.485856209150331</v>
      </c>
      <c r="N2698" t="s">
        <v>8</v>
      </c>
      <c r="O2698" t="s">
        <v>870</v>
      </c>
      <c r="P2698" t="s">
        <v>83</v>
      </c>
      <c r="Q2698" t="s">
        <v>30</v>
      </c>
      <c r="R2698" t="s">
        <v>60</v>
      </c>
      <c r="S2698" t="s">
        <v>61</v>
      </c>
      <c r="T2698" t="s">
        <v>898</v>
      </c>
      <c r="U2698" t="s">
        <v>34</v>
      </c>
      <c r="V2698">
        <v>1127.8340000000001</v>
      </c>
    </row>
    <row r="2699" spans="1:22" x14ac:dyDescent="0.3">
      <c r="A2699" t="s">
        <v>4154</v>
      </c>
      <c r="B2699" s="2">
        <v>45879</v>
      </c>
      <c r="C2699" t="s">
        <v>48</v>
      </c>
      <c r="D2699" t="s">
        <v>37</v>
      </c>
      <c r="E2699" t="s">
        <v>310</v>
      </c>
      <c r="F2699">
        <v>2</v>
      </c>
      <c r="G2699">
        <v>0.05</v>
      </c>
      <c r="H2699">
        <v>4180</v>
      </c>
      <c r="I2699">
        <v>1391.79</v>
      </c>
      <c r="J2699" t="s">
        <v>26</v>
      </c>
      <c r="K2699" t="s">
        <v>40</v>
      </c>
      <c r="L2699">
        <v>2090</v>
      </c>
      <c r="M2699">
        <v>33.296411483253593</v>
      </c>
      <c r="N2699" t="s">
        <v>8</v>
      </c>
      <c r="O2699" t="s">
        <v>52</v>
      </c>
      <c r="P2699" t="s">
        <v>29</v>
      </c>
      <c r="Q2699" t="s">
        <v>30</v>
      </c>
      <c r="R2699" t="s">
        <v>53</v>
      </c>
      <c r="S2699" t="s">
        <v>54</v>
      </c>
      <c r="T2699" t="s">
        <v>55</v>
      </c>
      <c r="U2699" t="s">
        <v>34</v>
      </c>
      <c r="V2699">
        <v>695.89499999999998</v>
      </c>
    </row>
    <row r="2700" spans="1:22" x14ac:dyDescent="0.3">
      <c r="A2700" t="s">
        <v>4155</v>
      </c>
      <c r="B2700" s="2">
        <v>45898</v>
      </c>
      <c r="C2700" t="s">
        <v>1597</v>
      </c>
      <c r="D2700" t="s">
        <v>37</v>
      </c>
      <c r="E2700" t="s">
        <v>310</v>
      </c>
      <c r="F2700">
        <v>3</v>
      </c>
      <c r="G2700">
        <v>0.05</v>
      </c>
      <c r="H2700">
        <v>6270</v>
      </c>
      <c r="I2700">
        <v>1978.58</v>
      </c>
      <c r="J2700" t="s">
        <v>65</v>
      </c>
      <c r="K2700" t="s">
        <v>40</v>
      </c>
      <c r="L2700">
        <v>2090</v>
      </c>
      <c r="M2700">
        <v>31.55629984051037</v>
      </c>
      <c r="N2700" t="s">
        <v>8</v>
      </c>
      <c r="O2700" t="s">
        <v>1383</v>
      </c>
      <c r="P2700" t="s">
        <v>29</v>
      </c>
      <c r="Q2700" t="s">
        <v>42</v>
      </c>
      <c r="R2700" t="s">
        <v>43</v>
      </c>
      <c r="S2700" t="s">
        <v>44</v>
      </c>
      <c r="T2700" t="s">
        <v>407</v>
      </c>
      <c r="U2700" t="s">
        <v>46</v>
      </c>
      <c r="V2700">
        <v>659.52666666666664</v>
      </c>
    </row>
    <row r="2701" spans="1:22" x14ac:dyDescent="0.3">
      <c r="A2701" t="s">
        <v>4156</v>
      </c>
      <c r="B2701" s="2">
        <v>46212</v>
      </c>
      <c r="C2701" t="s">
        <v>675</v>
      </c>
      <c r="D2701" t="s">
        <v>37</v>
      </c>
      <c r="E2701" t="s">
        <v>170</v>
      </c>
      <c r="F2701">
        <v>4</v>
      </c>
      <c r="G2701">
        <v>0.15</v>
      </c>
      <c r="H2701">
        <v>4760</v>
      </c>
      <c r="I2701">
        <v>1319.45</v>
      </c>
      <c r="J2701" t="s">
        <v>51</v>
      </c>
      <c r="K2701" t="s">
        <v>40</v>
      </c>
      <c r="L2701">
        <v>1190</v>
      </c>
      <c r="M2701">
        <v>27.719537815126049</v>
      </c>
      <c r="N2701" t="s">
        <v>8</v>
      </c>
      <c r="O2701" t="s">
        <v>255</v>
      </c>
      <c r="P2701" t="s">
        <v>29</v>
      </c>
      <c r="Q2701" t="s">
        <v>30</v>
      </c>
      <c r="R2701" t="s">
        <v>60</v>
      </c>
      <c r="S2701" t="s">
        <v>61</v>
      </c>
      <c r="T2701" t="s">
        <v>676</v>
      </c>
      <c r="U2701" t="s">
        <v>105</v>
      </c>
      <c r="V2701">
        <v>329.86250000000001</v>
      </c>
    </row>
    <row r="2702" spans="1:22" x14ac:dyDescent="0.3">
      <c r="A2702" t="s">
        <v>4157</v>
      </c>
      <c r="B2702" s="2">
        <v>46157</v>
      </c>
      <c r="C2702" t="s">
        <v>574</v>
      </c>
      <c r="D2702" t="s">
        <v>24</v>
      </c>
      <c r="E2702" t="s">
        <v>242</v>
      </c>
      <c r="F2702">
        <v>1</v>
      </c>
      <c r="G2702">
        <v>0</v>
      </c>
      <c r="H2702">
        <v>450</v>
      </c>
      <c r="I2702">
        <v>110</v>
      </c>
      <c r="J2702" t="s">
        <v>39</v>
      </c>
      <c r="K2702" t="s">
        <v>40</v>
      </c>
      <c r="L2702">
        <v>450</v>
      </c>
      <c r="M2702">
        <v>24.444444444444439</v>
      </c>
      <c r="N2702" t="s">
        <v>8</v>
      </c>
      <c r="O2702" t="s">
        <v>510</v>
      </c>
      <c r="P2702" t="s">
        <v>73</v>
      </c>
      <c r="Q2702" t="s">
        <v>74</v>
      </c>
      <c r="R2702" t="s">
        <v>75</v>
      </c>
      <c r="S2702" t="s">
        <v>75</v>
      </c>
      <c r="T2702" t="s">
        <v>575</v>
      </c>
      <c r="U2702" t="s">
        <v>100</v>
      </c>
      <c r="V2702">
        <v>110</v>
      </c>
    </row>
    <row r="2703" spans="1:22" x14ac:dyDescent="0.3">
      <c r="A2703" t="s">
        <v>4158</v>
      </c>
      <c r="B2703" s="2">
        <v>45956</v>
      </c>
      <c r="C2703" t="s">
        <v>974</v>
      </c>
      <c r="D2703" t="s">
        <v>70</v>
      </c>
      <c r="E2703" t="s">
        <v>165</v>
      </c>
      <c r="F2703">
        <v>1</v>
      </c>
      <c r="G2703">
        <v>0.05</v>
      </c>
      <c r="H2703">
        <v>2375</v>
      </c>
      <c r="I2703">
        <v>716.51</v>
      </c>
      <c r="J2703" t="s">
        <v>65</v>
      </c>
      <c r="K2703" t="s">
        <v>27</v>
      </c>
      <c r="L2703">
        <v>2375</v>
      </c>
      <c r="M2703">
        <v>30.16884210526316</v>
      </c>
      <c r="N2703" t="s">
        <v>8</v>
      </c>
      <c r="O2703" t="s">
        <v>975</v>
      </c>
      <c r="P2703" t="s">
        <v>73</v>
      </c>
      <c r="Q2703" t="s">
        <v>42</v>
      </c>
      <c r="R2703" t="s">
        <v>43</v>
      </c>
      <c r="S2703" t="s">
        <v>44</v>
      </c>
      <c r="T2703" t="s">
        <v>976</v>
      </c>
      <c r="U2703" t="s">
        <v>100</v>
      </c>
      <c r="V2703">
        <v>716.51</v>
      </c>
    </row>
    <row r="2704" spans="1:22" x14ac:dyDescent="0.3">
      <c r="A2704" t="s">
        <v>4159</v>
      </c>
      <c r="B2704" s="2">
        <v>45993</v>
      </c>
      <c r="C2704" t="s">
        <v>548</v>
      </c>
      <c r="D2704" t="s">
        <v>24</v>
      </c>
      <c r="E2704" t="s">
        <v>242</v>
      </c>
      <c r="F2704">
        <v>4</v>
      </c>
      <c r="G2704">
        <v>0.05</v>
      </c>
      <c r="H2704">
        <v>1710</v>
      </c>
      <c r="I2704">
        <v>397.86</v>
      </c>
      <c r="J2704" t="s">
        <v>26</v>
      </c>
      <c r="K2704" t="s">
        <v>40</v>
      </c>
      <c r="L2704">
        <v>427.5</v>
      </c>
      <c r="M2704">
        <v>23.266666666666669</v>
      </c>
      <c r="N2704" t="s">
        <v>8</v>
      </c>
      <c r="O2704" t="s">
        <v>549</v>
      </c>
      <c r="P2704" t="s">
        <v>29</v>
      </c>
      <c r="Q2704" t="s">
        <v>74</v>
      </c>
      <c r="R2704" t="s">
        <v>115</v>
      </c>
      <c r="S2704" t="s">
        <v>115</v>
      </c>
      <c r="T2704" t="s">
        <v>550</v>
      </c>
      <c r="U2704" t="s">
        <v>100</v>
      </c>
      <c r="V2704">
        <v>99.465000000000003</v>
      </c>
    </row>
    <row r="2705" spans="1:22" x14ac:dyDescent="0.3">
      <c r="A2705" t="s">
        <v>4160</v>
      </c>
      <c r="B2705" s="2">
        <v>45906</v>
      </c>
      <c r="C2705" t="s">
        <v>570</v>
      </c>
      <c r="D2705" t="s">
        <v>70</v>
      </c>
      <c r="E2705" t="s">
        <v>108</v>
      </c>
      <c r="F2705">
        <v>1</v>
      </c>
      <c r="G2705">
        <v>0.15</v>
      </c>
      <c r="H2705">
        <v>3825</v>
      </c>
      <c r="I2705">
        <v>1102.8</v>
      </c>
      <c r="J2705" t="s">
        <v>51</v>
      </c>
      <c r="K2705" t="s">
        <v>40</v>
      </c>
      <c r="L2705">
        <v>3825</v>
      </c>
      <c r="M2705">
        <v>28.831372549019608</v>
      </c>
      <c r="N2705" t="s">
        <v>8</v>
      </c>
      <c r="O2705" t="s">
        <v>571</v>
      </c>
      <c r="P2705" t="s">
        <v>29</v>
      </c>
      <c r="Q2705" t="s">
        <v>30</v>
      </c>
      <c r="R2705" t="s">
        <v>31</v>
      </c>
      <c r="S2705" t="s">
        <v>32</v>
      </c>
      <c r="T2705" t="s">
        <v>572</v>
      </c>
      <c r="U2705" t="s">
        <v>100</v>
      </c>
      <c r="V2705">
        <v>1102.8</v>
      </c>
    </row>
    <row r="2706" spans="1:22" x14ac:dyDescent="0.3">
      <c r="A2706" t="s">
        <v>4161</v>
      </c>
      <c r="B2706" s="2">
        <v>46006</v>
      </c>
      <c r="C2706" t="s">
        <v>351</v>
      </c>
      <c r="D2706" t="s">
        <v>70</v>
      </c>
      <c r="E2706" t="s">
        <v>71</v>
      </c>
      <c r="F2706">
        <v>2</v>
      </c>
      <c r="G2706">
        <v>0.05</v>
      </c>
      <c r="H2706">
        <v>34200</v>
      </c>
      <c r="I2706">
        <v>-4273.5200000000004</v>
      </c>
      <c r="J2706" t="s">
        <v>39</v>
      </c>
      <c r="K2706" t="s">
        <v>434</v>
      </c>
      <c r="L2706">
        <v>17100</v>
      </c>
      <c r="M2706">
        <v>-12.495672514619891</v>
      </c>
      <c r="N2706" t="s">
        <v>81</v>
      </c>
      <c r="O2706" t="s">
        <v>352</v>
      </c>
      <c r="P2706" t="s">
        <v>73</v>
      </c>
      <c r="Q2706" t="s">
        <v>30</v>
      </c>
      <c r="R2706" t="s">
        <v>31</v>
      </c>
      <c r="S2706" t="s">
        <v>32</v>
      </c>
      <c r="T2706" t="s">
        <v>338</v>
      </c>
      <c r="U2706" t="s">
        <v>100</v>
      </c>
      <c r="V2706">
        <v>-2136.7600000000002</v>
      </c>
    </row>
    <row r="2707" spans="1:22" x14ac:dyDescent="0.3">
      <c r="A2707" t="s">
        <v>4162</v>
      </c>
      <c r="B2707" s="2">
        <v>46095</v>
      </c>
      <c r="C2707" t="s">
        <v>2278</v>
      </c>
      <c r="D2707" t="s">
        <v>49</v>
      </c>
      <c r="E2707" t="s">
        <v>79</v>
      </c>
      <c r="F2707">
        <v>3</v>
      </c>
      <c r="G2707">
        <v>0.15</v>
      </c>
      <c r="H2707">
        <v>28050</v>
      </c>
      <c r="I2707">
        <v>4581.57</v>
      </c>
      <c r="J2707" t="s">
        <v>26</v>
      </c>
      <c r="K2707" t="s">
        <v>40</v>
      </c>
      <c r="L2707">
        <v>9350</v>
      </c>
      <c r="M2707">
        <v>16.33358288770053</v>
      </c>
      <c r="N2707" t="s">
        <v>8</v>
      </c>
      <c r="O2707" t="s">
        <v>470</v>
      </c>
      <c r="P2707" t="s">
        <v>29</v>
      </c>
      <c r="Q2707" t="s">
        <v>30</v>
      </c>
      <c r="R2707" t="s">
        <v>98</v>
      </c>
      <c r="S2707" t="s">
        <v>54</v>
      </c>
      <c r="T2707" t="s">
        <v>2279</v>
      </c>
      <c r="U2707" t="s">
        <v>105</v>
      </c>
      <c r="V2707">
        <v>1527.19</v>
      </c>
    </row>
    <row r="2708" spans="1:22" x14ac:dyDescent="0.3">
      <c r="A2708" t="s">
        <v>4163</v>
      </c>
      <c r="B2708" s="2">
        <v>45945</v>
      </c>
      <c r="C2708" t="s">
        <v>522</v>
      </c>
      <c r="D2708" t="s">
        <v>49</v>
      </c>
      <c r="E2708" t="s">
        <v>50</v>
      </c>
      <c r="F2708">
        <v>6</v>
      </c>
      <c r="G2708">
        <v>0.05</v>
      </c>
      <c r="H2708">
        <v>74100</v>
      </c>
      <c r="I2708">
        <v>16735.38</v>
      </c>
      <c r="J2708" t="s">
        <v>26</v>
      </c>
      <c r="K2708" t="s">
        <v>40</v>
      </c>
      <c r="L2708">
        <v>12350</v>
      </c>
      <c r="M2708">
        <v>22.58485829959514</v>
      </c>
      <c r="N2708" t="s">
        <v>8</v>
      </c>
      <c r="O2708" t="s">
        <v>523</v>
      </c>
      <c r="P2708" t="s">
        <v>73</v>
      </c>
      <c r="Q2708" t="s">
        <v>30</v>
      </c>
      <c r="R2708" t="s">
        <v>98</v>
      </c>
      <c r="S2708" t="s">
        <v>54</v>
      </c>
      <c r="T2708" t="s">
        <v>62</v>
      </c>
      <c r="U2708" t="s">
        <v>46</v>
      </c>
      <c r="V2708">
        <v>2789.23</v>
      </c>
    </row>
    <row r="2709" spans="1:22" x14ac:dyDescent="0.3">
      <c r="A2709" t="s">
        <v>4164</v>
      </c>
      <c r="B2709" s="2">
        <v>45931</v>
      </c>
      <c r="C2709" t="s">
        <v>1143</v>
      </c>
      <c r="D2709" t="s">
        <v>49</v>
      </c>
      <c r="E2709" t="s">
        <v>58</v>
      </c>
      <c r="F2709">
        <v>4</v>
      </c>
      <c r="G2709">
        <v>0.15</v>
      </c>
      <c r="H2709">
        <v>51000</v>
      </c>
      <c r="I2709">
        <v>8027.52</v>
      </c>
      <c r="J2709" t="s">
        <v>65</v>
      </c>
      <c r="K2709" t="s">
        <v>27</v>
      </c>
      <c r="L2709">
        <v>12750</v>
      </c>
      <c r="M2709">
        <v>15.74023529411765</v>
      </c>
      <c r="N2709" t="s">
        <v>8</v>
      </c>
      <c r="O2709" t="s">
        <v>1144</v>
      </c>
      <c r="P2709" t="s">
        <v>29</v>
      </c>
      <c r="Q2709" t="s">
        <v>30</v>
      </c>
      <c r="R2709" t="s">
        <v>31</v>
      </c>
      <c r="S2709" t="s">
        <v>32</v>
      </c>
      <c r="T2709" t="s">
        <v>1145</v>
      </c>
      <c r="U2709" t="s">
        <v>100</v>
      </c>
      <c r="V2709">
        <v>2006.88</v>
      </c>
    </row>
    <row r="2710" spans="1:22" x14ac:dyDescent="0.3">
      <c r="A2710" t="s">
        <v>4165</v>
      </c>
      <c r="B2710" s="2">
        <v>46134</v>
      </c>
      <c r="C2710" t="s">
        <v>651</v>
      </c>
      <c r="D2710" t="s">
        <v>37</v>
      </c>
      <c r="E2710" t="s">
        <v>310</v>
      </c>
      <c r="F2710">
        <v>3</v>
      </c>
      <c r="G2710">
        <v>0.1</v>
      </c>
      <c r="H2710">
        <v>5940</v>
      </c>
      <c r="I2710">
        <v>1748.88</v>
      </c>
      <c r="J2710" t="s">
        <v>26</v>
      </c>
      <c r="K2710" t="s">
        <v>40</v>
      </c>
      <c r="L2710">
        <v>1980</v>
      </c>
      <c r="M2710">
        <v>29.442424242424241</v>
      </c>
      <c r="N2710" t="s">
        <v>8</v>
      </c>
      <c r="O2710" t="s">
        <v>652</v>
      </c>
      <c r="P2710" t="s">
        <v>83</v>
      </c>
      <c r="Q2710" t="s">
        <v>131</v>
      </c>
      <c r="R2710" t="s">
        <v>200</v>
      </c>
      <c r="S2710" t="s">
        <v>201</v>
      </c>
      <c r="T2710" t="s">
        <v>653</v>
      </c>
      <c r="U2710" t="s">
        <v>34</v>
      </c>
      <c r="V2710">
        <v>582.96</v>
      </c>
    </row>
    <row r="2711" spans="1:22" x14ac:dyDescent="0.3">
      <c r="A2711" t="s">
        <v>4166</v>
      </c>
      <c r="B2711" s="2">
        <v>46253</v>
      </c>
      <c r="C2711" t="s">
        <v>1334</v>
      </c>
      <c r="D2711" t="s">
        <v>49</v>
      </c>
      <c r="E2711" t="s">
        <v>50</v>
      </c>
      <c r="F2711">
        <v>3</v>
      </c>
      <c r="G2711">
        <v>0</v>
      </c>
      <c r="H2711">
        <v>39000</v>
      </c>
      <c r="I2711">
        <v>9600</v>
      </c>
      <c r="J2711" t="s">
        <v>26</v>
      </c>
      <c r="K2711" t="s">
        <v>40</v>
      </c>
      <c r="L2711">
        <v>13000</v>
      </c>
      <c r="M2711">
        <v>24.61538461538462</v>
      </c>
      <c r="N2711" t="s">
        <v>8</v>
      </c>
      <c r="O2711" t="s">
        <v>1335</v>
      </c>
      <c r="P2711" t="s">
        <v>29</v>
      </c>
      <c r="Q2711" t="s">
        <v>131</v>
      </c>
      <c r="R2711" t="s">
        <v>289</v>
      </c>
      <c r="S2711" t="s">
        <v>290</v>
      </c>
      <c r="T2711" t="s">
        <v>1336</v>
      </c>
      <c r="U2711" t="s">
        <v>46</v>
      </c>
      <c r="V2711">
        <v>3200</v>
      </c>
    </row>
    <row r="2712" spans="1:22" x14ac:dyDescent="0.3">
      <c r="A2712" t="s">
        <v>4167</v>
      </c>
      <c r="B2712" s="2">
        <v>46162</v>
      </c>
      <c r="C2712" t="s">
        <v>2500</v>
      </c>
      <c r="D2712" t="s">
        <v>70</v>
      </c>
      <c r="E2712" t="s">
        <v>108</v>
      </c>
      <c r="F2712">
        <v>4</v>
      </c>
      <c r="G2712">
        <v>0</v>
      </c>
      <c r="H2712">
        <v>18000</v>
      </c>
      <c r="I2712">
        <v>6000</v>
      </c>
      <c r="J2712" t="s">
        <v>26</v>
      </c>
      <c r="K2712" t="s">
        <v>40</v>
      </c>
      <c r="L2712">
        <v>4500</v>
      </c>
      <c r="M2712">
        <v>33.333333333333329</v>
      </c>
      <c r="N2712" t="s">
        <v>8</v>
      </c>
      <c r="O2712" t="s">
        <v>1169</v>
      </c>
      <c r="P2712" t="s">
        <v>29</v>
      </c>
      <c r="Q2712" t="s">
        <v>131</v>
      </c>
      <c r="R2712" t="s">
        <v>289</v>
      </c>
      <c r="S2712" t="s">
        <v>290</v>
      </c>
      <c r="T2712" t="s">
        <v>2501</v>
      </c>
      <c r="U2712" t="s">
        <v>105</v>
      </c>
      <c r="V2712">
        <v>1500</v>
      </c>
    </row>
    <row r="2713" spans="1:22" x14ac:dyDescent="0.3">
      <c r="A2713" t="s">
        <v>4168</v>
      </c>
      <c r="B2713" s="2">
        <v>46168</v>
      </c>
      <c r="C2713" t="s">
        <v>529</v>
      </c>
      <c r="D2713" t="s">
        <v>37</v>
      </c>
      <c r="E2713" t="s">
        <v>190</v>
      </c>
      <c r="F2713">
        <v>5</v>
      </c>
      <c r="G2713">
        <v>0.1</v>
      </c>
      <c r="H2713">
        <v>18900</v>
      </c>
      <c r="I2713">
        <v>4576.3</v>
      </c>
      <c r="J2713" t="s">
        <v>51</v>
      </c>
      <c r="K2713" t="s">
        <v>40</v>
      </c>
      <c r="L2713">
        <v>3780</v>
      </c>
      <c r="M2713">
        <v>24.213227513227519</v>
      </c>
      <c r="N2713" t="s">
        <v>8</v>
      </c>
      <c r="O2713" t="s">
        <v>530</v>
      </c>
      <c r="P2713" t="s">
        <v>29</v>
      </c>
      <c r="Q2713" t="s">
        <v>30</v>
      </c>
      <c r="R2713" t="s">
        <v>98</v>
      </c>
      <c r="S2713" t="s">
        <v>54</v>
      </c>
      <c r="T2713" t="s">
        <v>531</v>
      </c>
      <c r="U2713" t="s">
        <v>105</v>
      </c>
      <c r="V2713">
        <v>915.26</v>
      </c>
    </row>
    <row r="2714" spans="1:22" x14ac:dyDescent="0.3">
      <c r="A2714" t="s">
        <v>4169</v>
      </c>
      <c r="B2714" s="2">
        <v>46011</v>
      </c>
      <c r="C2714" t="s">
        <v>1676</v>
      </c>
      <c r="D2714" t="s">
        <v>70</v>
      </c>
      <c r="E2714" t="s">
        <v>129</v>
      </c>
      <c r="F2714">
        <v>1</v>
      </c>
      <c r="G2714">
        <v>0.15</v>
      </c>
      <c r="H2714">
        <v>46750</v>
      </c>
      <c r="I2714">
        <v>4696.05</v>
      </c>
      <c r="J2714" t="s">
        <v>65</v>
      </c>
      <c r="K2714" t="s">
        <v>40</v>
      </c>
      <c r="L2714">
        <v>46750</v>
      </c>
      <c r="M2714">
        <v>10.045026737967911</v>
      </c>
      <c r="N2714" t="s">
        <v>8</v>
      </c>
      <c r="O2714" t="s">
        <v>1649</v>
      </c>
      <c r="P2714" t="s">
        <v>73</v>
      </c>
      <c r="Q2714" t="s">
        <v>30</v>
      </c>
      <c r="R2714" t="s">
        <v>31</v>
      </c>
      <c r="S2714" t="s">
        <v>32</v>
      </c>
      <c r="T2714" t="s">
        <v>1677</v>
      </c>
      <c r="U2714" t="s">
        <v>46</v>
      </c>
      <c r="V2714">
        <v>4696.05</v>
      </c>
    </row>
    <row r="2715" spans="1:22" x14ac:dyDescent="0.3">
      <c r="A2715" t="s">
        <v>4170</v>
      </c>
      <c r="B2715" s="2">
        <v>46093</v>
      </c>
      <c r="C2715" t="s">
        <v>413</v>
      </c>
      <c r="D2715" t="s">
        <v>49</v>
      </c>
      <c r="E2715" t="s">
        <v>119</v>
      </c>
      <c r="F2715">
        <v>2</v>
      </c>
      <c r="G2715">
        <v>0.1</v>
      </c>
      <c r="H2715">
        <v>16200</v>
      </c>
      <c r="I2715">
        <v>3650.96</v>
      </c>
      <c r="J2715" t="s">
        <v>65</v>
      </c>
      <c r="K2715" t="s">
        <v>40</v>
      </c>
      <c r="L2715">
        <v>8100</v>
      </c>
      <c r="M2715">
        <v>22.53679012345679</v>
      </c>
      <c r="N2715" t="s">
        <v>8</v>
      </c>
      <c r="O2715" t="s">
        <v>414</v>
      </c>
      <c r="P2715" t="s">
        <v>73</v>
      </c>
      <c r="Q2715" t="s">
        <v>74</v>
      </c>
      <c r="R2715" t="s">
        <v>115</v>
      </c>
      <c r="S2715" t="s">
        <v>115</v>
      </c>
      <c r="T2715" t="s">
        <v>415</v>
      </c>
      <c r="U2715" t="s">
        <v>34</v>
      </c>
      <c r="V2715">
        <v>1825.48</v>
      </c>
    </row>
    <row r="2716" spans="1:22" x14ac:dyDescent="0.3">
      <c r="A2716" t="s">
        <v>4171</v>
      </c>
      <c r="B2716" s="2">
        <v>45840</v>
      </c>
      <c r="C2716" t="s">
        <v>866</v>
      </c>
      <c r="D2716" t="s">
        <v>49</v>
      </c>
      <c r="E2716" t="s">
        <v>79</v>
      </c>
      <c r="F2716">
        <v>2</v>
      </c>
      <c r="G2716">
        <v>0</v>
      </c>
      <c r="H2716">
        <v>22000</v>
      </c>
      <c r="I2716">
        <v>5200</v>
      </c>
      <c r="J2716" t="s">
        <v>26</v>
      </c>
      <c r="K2716" t="s">
        <v>40</v>
      </c>
      <c r="L2716">
        <v>11000</v>
      </c>
      <c r="M2716">
        <v>23.63636363636364</v>
      </c>
      <c r="N2716" t="s">
        <v>8</v>
      </c>
      <c r="O2716" t="s">
        <v>247</v>
      </c>
      <c r="P2716" t="s">
        <v>73</v>
      </c>
      <c r="Q2716" t="s">
        <v>30</v>
      </c>
      <c r="R2716" t="s">
        <v>98</v>
      </c>
      <c r="S2716" t="s">
        <v>54</v>
      </c>
      <c r="T2716" t="s">
        <v>319</v>
      </c>
      <c r="U2716" t="s">
        <v>34</v>
      </c>
      <c r="V2716">
        <v>2600</v>
      </c>
    </row>
    <row r="2717" spans="1:22" x14ac:dyDescent="0.3">
      <c r="A2717" t="s">
        <v>4172</v>
      </c>
      <c r="B2717" s="2">
        <v>45865</v>
      </c>
      <c r="C2717" t="s">
        <v>3090</v>
      </c>
      <c r="D2717" t="s">
        <v>70</v>
      </c>
      <c r="E2717" t="s">
        <v>71</v>
      </c>
      <c r="F2717">
        <v>5</v>
      </c>
      <c r="G2717">
        <v>0.2</v>
      </c>
      <c r="H2717">
        <v>72000</v>
      </c>
      <c r="I2717">
        <v>3100.88</v>
      </c>
      <c r="J2717" t="s">
        <v>39</v>
      </c>
      <c r="K2717" t="s">
        <v>40</v>
      </c>
      <c r="L2717">
        <v>14400</v>
      </c>
      <c r="M2717">
        <v>4.3067777777777776</v>
      </c>
      <c r="N2717" t="s">
        <v>8</v>
      </c>
      <c r="O2717" t="s">
        <v>526</v>
      </c>
      <c r="P2717" t="s">
        <v>29</v>
      </c>
      <c r="Q2717" t="s">
        <v>42</v>
      </c>
      <c r="R2717" t="s">
        <v>121</v>
      </c>
      <c r="S2717" t="s">
        <v>44</v>
      </c>
      <c r="T2717" t="s">
        <v>1612</v>
      </c>
      <c r="U2717" t="s">
        <v>34</v>
      </c>
      <c r="V2717">
        <v>620.17600000000004</v>
      </c>
    </row>
    <row r="2718" spans="1:22" x14ac:dyDescent="0.3">
      <c r="A2718" t="s">
        <v>4173</v>
      </c>
      <c r="B2718" s="2">
        <v>45949</v>
      </c>
      <c r="C2718" t="s">
        <v>3546</v>
      </c>
      <c r="D2718" t="s">
        <v>24</v>
      </c>
      <c r="E2718" t="s">
        <v>92</v>
      </c>
      <c r="F2718">
        <v>6</v>
      </c>
      <c r="G2718">
        <v>0.1</v>
      </c>
      <c r="H2718">
        <v>4860</v>
      </c>
      <c r="I2718">
        <v>1278.4000000000001</v>
      </c>
      <c r="J2718" t="s">
        <v>39</v>
      </c>
      <c r="K2718" t="s">
        <v>40</v>
      </c>
      <c r="L2718">
        <v>810</v>
      </c>
      <c r="M2718">
        <v>26.304526748971199</v>
      </c>
      <c r="N2718" t="s">
        <v>8</v>
      </c>
      <c r="O2718" t="s">
        <v>2432</v>
      </c>
      <c r="P2718" t="s">
        <v>29</v>
      </c>
      <c r="Q2718" t="s">
        <v>42</v>
      </c>
      <c r="R2718" t="s">
        <v>110</v>
      </c>
      <c r="S2718" t="s">
        <v>111</v>
      </c>
      <c r="T2718" t="s">
        <v>3547</v>
      </c>
      <c r="U2718" t="s">
        <v>34</v>
      </c>
      <c r="V2718">
        <v>213.06666666666669</v>
      </c>
    </row>
    <row r="2719" spans="1:22" x14ac:dyDescent="0.3">
      <c r="A2719" t="s">
        <v>4174</v>
      </c>
      <c r="B2719" s="2">
        <v>45849</v>
      </c>
      <c r="C2719" t="s">
        <v>1785</v>
      </c>
      <c r="D2719" t="s">
        <v>70</v>
      </c>
      <c r="E2719" t="s">
        <v>71</v>
      </c>
      <c r="F2719">
        <v>1</v>
      </c>
      <c r="G2719">
        <v>0.15</v>
      </c>
      <c r="H2719">
        <v>15300</v>
      </c>
      <c r="I2719">
        <v>1683.75</v>
      </c>
      <c r="J2719" t="s">
        <v>39</v>
      </c>
      <c r="K2719" t="s">
        <v>40</v>
      </c>
      <c r="L2719">
        <v>15300</v>
      </c>
      <c r="M2719">
        <v>11.004901960784309</v>
      </c>
      <c r="N2719" t="s">
        <v>8</v>
      </c>
      <c r="O2719" t="s">
        <v>1786</v>
      </c>
      <c r="P2719" t="s">
        <v>83</v>
      </c>
      <c r="Q2719" t="s">
        <v>30</v>
      </c>
      <c r="R2719" t="s">
        <v>53</v>
      </c>
      <c r="S2719" t="s">
        <v>54</v>
      </c>
      <c r="T2719" t="s">
        <v>227</v>
      </c>
      <c r="U2719" t="s">
        <v>46</v>
      </c>
      <c r="V2719">
        <v>1683.75</v>
      </c>
    </row>
    <row r="2720" spans="1:22" x14ac:dyDescent="0.3">
      <c r="A2720" t="s">
        <v>4175</v>
      </c>
      <c r="B2720" s="2">
        <v>46172</v>
      </c>
      <c r="C2720" t="s">
        <v>1193</v>
      </c>
      <c r="D2720" t="s">
        <v>37</v>
      </c>
      <c r="E2720" t="s">
        <v>170</v>
      </c>
      <c r="F2720">
        <v>1</v>
      </c>
      <c r="G2720">
        <v>0.05</v>
      </c>
      <c r="H2720">
        <v>1330</v>
      </c>
      <c r="I2720">
        <v>464.26</v>
      </c>
      <c r="J2720" t="s">
        <v>51</v>
      </c>
      <c r="K2720" t="s">
        <v>27</v>
      </c>
      <c r="L2720">
        <v>1330</v>
      </c>
      <c r="M2720">
        <v>34.906766917293233</v>
      </c>
      <c r="N2720" t="s">
        <v>8</v>
      </c>
      <c r="O2720" t="s">
        <v>781</v>
      </c>
      <c r="P2720" t="s">
        <v>29</v>
      </c>
      <c r="Q2720" t="s">
        <v>30</v>
      </c>
      <c r="R2720" t="s">
        <v>31</v>
      </c>
      <c r="S2720" t="s">
        <v>32</v>
      </c>
      <c r="T2720" t="s">
        <v>1194</v>
      </c>
      <c r="U2720" t="s">
        <v>46</v>
      </c>
      <c r="V2720">
        <v>464.26</v>
      </c>
    </row>
    <row r="2721" spans="1:22" x14ac:dyDescent="0.3">
      <c r="A2721" t="s">
        <v>4176</v>
      </c>
      <c r="B2721" s="2">
        <v>45903</v>
      </c>
      <c r="C2721" t="s">
        <v>1078</v>
      </c>
      <c r="D2721" t="s">
        <v>49</v>
      </c>
      <c r="E2721" t="s">
        <v>79</v>
      </c>
      <c r="F2721">
        <v>4</v>
      </c>
      <c r="G2721">
        <v>0.1</v>
      </c>
      <c r="H2721">
        <v>39600</v>
      </c>
      <c r="I2721">
        <v>-13569.29</v>
      </c>
      <c r="J2721" t="s">
        <v>65</v>
      </c>
      <c r="K2721" t="s">
        <v>80</v>
      </c>
      <c r="L2721">
        <v>9900</v>
      </c>
      <c r="M2721">
        <v>-34.265883838383843</v>
      </c>
      <c r="N2721" t="s">
        <v>81</v>
      </c>
      <c r="O2721" t="s">
        <v>1079</v>
      </c>
      <c r="P2721" t="s">
        <v>83</v>
      </c>
      <c r="Q2721" t="s">
        <v>30</v>
      </c>
      <c r="R2721" t="s">
        <v>31</v>
      </c>
      <c r="S2721" t="s">
        <v>32</v>
      </c>
      <c r="T2721" t="s">
        <v>948</v>
      </c>
      <c r="U2721" t="s">
        <v>34</v>
      </c>
      <c r="V2721">
        <v>-3392.3225000000002</v>
      </c>
    </row>
    <row r="2722" spans="1:22" x14ac:dyDescent="0.3">
      <c r="A2722" t="s">
        <v>4177</v>
      </c>
      <c r="B2722" s="2">
        <v>45843</v>
      </c>
      <c r="C2722" t="s">
        <v>907</v>
      </c>
      <c r="D2722" t="s">
        <v>24</v>
      </c>
      <c r="E2722" t="s">
        <v>25</v>
      </c>
      <c r="F2722">
        <v>1</v>
      </c>
      <c r="G2722">
        <v>0.05</v>
      </c>
      <c r="H2722">
        <v>13300</v>
      </c>
      <c r="I2722">
        <v>-4427.22</v>
      </c>
      <c r="J2722" t="s">
        <v>39</v>
      </c>
      <c r="K2722" t="s">
        <v>434</v>
      </c>
      <c r="L2722">
        <v>13300</v>
      </c>
      <c r="M2722">
        <v>-33.287368421052633</v>
      </c>
      <c r="N2722" t="s">
        <v>81</v>
      </c>
      <c r="O2722" t="s">
        <v>908</v>
      </c>
      <c r="P2722" t="s">
        <v>29</v>
      </c>
      <c r="Q2722" t="s">
        <v>30</v>
      </c>
      <c r="R2722" t="s">
        <v>60</v>
      </c>
      <c r="S2722" t="s">
        <v>61</v>
      </c>
      <c r="T2722" t="s">
        <v>486</v>
      </c>
      <c r="U2722" t="s">
        <v>34</v>
      </c>
      <c r="V2722">
        <v>-4427.22</v>
      </c>
    </row>
    <row r="2723" spans="1:22" x14ac:dyDescent="0.3">
      <c r="A2723" t="s">
        <v>4178</v>
      </c>
      <c r="B2723" s="2">
        <v>46012</v>
      </c>
      <c r="C2723" t="s">
        <v>1812</v>
      </c>
      <c r="D2723" t="s">
        <v>24</v>
      </c>
      <c r="E2723" t="s">
        <v>242</v>
      </c>
      <c r="F2723">
        <v>1</v>
      </c>
      <c r="G2723">
        <v>0.05</v>
      </c>
      <c r="H2723">
        <v>427.5</v>
      </c>
      <c r="I2723">
        <v>93.96</v>
      </c>
      <c r="J2723" t="s">
        <v>26</v>
      </c>
      <c r="K2723" t="s">
        <v>40</v>
      </c>
      <c r="L2723">
        <v>427.5</v>
      </c>
      <c r="M2723">
        <v>21.97894736842105</v>
      </c>
      <c r="N2723" t="s">
        <v>8</v>
      </c>
      <c r="O2723" t="s">
        <v>1813</v>
      </c>
      <c r="P2723" t="s">
        <v>83</v>
      </c>
      <c r="Q2723" t="s">
        <v>30</v>
      </c>
      <c r="R2723" t="s">
        <v>98</v>
      </c>
      <c r="S2723" t="s">
        <v>54</v>
      </c>
      <c r="T2723" t="s">
        <v>1089</v>
      </c>
      <c r="U2723" t="s">
        <v>34</v>
      </c>
      <c r="V2723">
        <v>93.96</v>
      </c>
    </row>
    <row r="2724" spans="1:22" x14ac:dyDescent="0.3">
      <c r="A2724" t="s">
        <v>4179</v>
      </c>
      <c r="B2724" s="2">
        <v>46182</v>
      </c>
      <c r="C2724" t="s">
        <v>1497</v>
      </c>
      <c r="D2724" t="s">
        <v>37</v>
      </c>
      <c r="E2724" t="s">
        <v>38</v>
      </c>
      <c r="F2724">
        <v>1</v>
      </c>
      <c r="G2724">
        <v>0.1</v>
      </c>
      <c r="H2724">
        <v>1620</v>
      </c>
      <c r="I2724">
        <v>-697.8</v>
      </c>
      <c r="J2724" t="s">
        <v>65</v>
      </c>
      <c r="K2724" t="s">
        <v>80</v>
      </c>
      <c r="L2724">
        <v>1620</v>
      </c>
      <c r="M2724">
        <v>-43.074074074074069</v>
      </c>
      <c r="N2724" t="s">
        <v>81</v>
      </c>
      <c r="O2724" t="s">
        <v>88</v>
      </c>
      <c r="P2724" t="s">
        <v>73</v>
      </c>
      <c r="Q2724" t="s">
        <v>30</v>
      </c>
      <c r="R2724" t="s">
        <v>31</v>
      </c>
      <c r="S2724" t="s">
        <v>32</v>
      </c>
      <c r="T2724" t="s">
        <v>1498</v>
      </c>
      <c r="U2724" t="s">
        <v>46</v>
      </c>
      <c r="V2724">
        <v>-697.8</v>
      </c>
    </row>
    <row r="2725" spans="1:22" x14ac:dyDescent="0.3">
      <c r="A2725" t="s">
        <v>4180</v>
      </c>
      <c r="B2725" s="2">
        <v>46259</v>
      </c>
      <c r="C2725" t="s">
        <v>863</v>
      </c>
      <c r="D2725" t="s">
        <v>37</v>
      </c>
      <c r="E2725" t="s">
        <v>170</v>
      </c>
      <c r="F2725">
        <v>2</v>
      </c>
      <c r="G2725">
        <v>0.05</v>
      </c>
      <c r="H2725">
        <v>2660</v>
      </c>
      <c r="I2725">
        <v>918.77</v>
      </c>
      <c r="J2725" t="s">
        <v>51</v>
      </c>
      <c r="K2725" t="s">
        <v>40</v>
      </c>
      <c r="L2725">
        <v>1330</v>
      </c>
      <c r="M2725">
        <v>34.540225563909772</v>
      </c>
      <c r="N2725" t="s">
        <v>8</v>
      </c>
      <c r="O2725" t="s">
        <v>187</v>
      </c>
      <c r="P2725" t="s">
        <v>73</v>
      </c>
      <c r="Q2725" t="s">
        <v>30</v>
      </c>
      <c r="R2725" t="s">
        <v>53</v>
      </c>
      <c r="S2725" t="s">
        <v>54</v>
      </c>
      <c r="T2725" t="s">
        <v>864</v>
      </c>
      <c r="U2725" t="s">
        <v>34</v>
      </c>
      <c r="V2725">
        <v>459.38499999999999</v>
      </c>
    </row>
    <row r="2726" spans="1:22" x14ac:dyDescent="0.3">
      <c r="A2726" t="s">
        <v>4181</v>
      </c>
      <c r="B2726" s="2">
        <v>45965</v>
      </c>
      <c r="C2726" t="s">
        <v>1497</v>
      </c>
      <c r="D2726" t="s">
        <v>70</v>
      </c>
      <c r="E2726" t="s">
        <v>129</v>
      </c>
      <c r="F2726">
        <v>1</v>
      </c>
      <c r="G2726">
        <v>0</v>
      </c>
      <c r="H2726">
        <v>55000</v>
      </c>
      <c r="I2726">
        <v>9000</v>
      </c>
      <c r="J2726" t="s">
        <v>65</v>
      </c>
      <c r="K2726" t="s">
        <v>27</v>
      </c>
      <c r="L2726">
        <v>55000</v>
      </c>
      <c r="M2726">
        <v>16.36363636363636</v>
      </c>
      <c r="N2726" t="s">
        <v>8</v>
      </c>
      <c r="O2726" t="s">
        <v>88</v>
      </c>
      <c r="P2726" t="s">
        <v>73</v>
      </c>
      <c r="Q2726" t="s">
        <v>30</v>
      </c>
      <c r="R2726" t="s">
        <v>31</v>
      </c>
      <c r="S2726" t="s">
        <v>32</v>
      </c>
      <c r="T2726" t="s">
        <v>1498</v>
      </c>
      <c r="U2726" t="s">
        <v>46</v>
      </c>
      <c r="V2726">
        <v>9000</v>
      </c>
    </row>
    <row r="2727" spans="1:22" x14ac:dyDescent="0.3">
      <c r="A2727" t="s">
        <v>4182</v>
      </c>
      <c r="B2727" s="2">
        <v>45873</v>
      </c>
      <c r="C2727" t="s">
        <v>738</v>
      </c>
      <c r="D2727" t="s">
        <v>37</v>
      </c>
      <c r="E2727" t="s">
        <v>38</v>
      </c>
      <c r="F2727">
        <v>4</v>
      </c>
      <c r="G2727">
        <v>0.1</v>
      </c>
      <c r="H2727">
        <v>6480</v>
      </c>
      <c r="I2727">
        <v>-61.97</v>
      </c>
      <c r="J2727" t="s">
        <v>65</v>
      </c>
      <c r="K2727" t="s">
        <v>434</v>
      </c>
      <c r="L2727">
        <v>1620</v>
      </c>
      <c r="M2727">
        <v>-0.95632716049382716</v>
      </c>
      <c r="N2727" t="s">
        <v>81</v>
      </c>
      <c r="O2727" t="s">
        <v>739</v>
      </c>
      <c r="P2727" t="s">
        <v>83</v>
      </c>
      <c r="Q2727" t="s">
        <v>74</v>
      </c>
      <c r="R2727" t="s">
        <v>493</v>
      </c>
      <c r="S2727" t="s">
        <v>494</v>
      </c>
      <c r="T2727" t="s">
        <v>615</v>
      </c>
      <c r="U2727" t="s">
        <v>34</v>
      </c>
      <c r="V2727">
        <v>-15.4925</v>
      </c>
    </row>
    <row r="2728" spans="1:22" x14ac:dyDescent="0.3">
      <c r="A2728" t="s">
        <v>4183</v>
      </c>
      <c r="B2728" s="2">
        <v>46156</v>
      </c>
      <c r="C2728" t="s">
        <v>1346</v>
      </c>
      <c r="D2728" t="s">
        <v>70</v>
      </c>
      <c r="E2728" t="s">
        <v>108</v>
      </c>
      <c r="F2728">
        <v>1</v>
      </c>
      <c r="G2728">
        <v>0.15</v>
      </c>
      <c r="H2728">
        <v>3825</v>
      </c>
      <c r="I2728">
        <v>987.8</v>
      </c>
      <c r="J2728" t="s">
        <v>51</v>
      </c>
      <c r="K2728" t="s">
        <v>27</v>
      </c>
      <c r="L2728">
        <v>3825</v>
      </c>
      <c r="M2728">
        <v>25.82483660130719</v>
      </c>
      <c r="N2728" t="s">
        <v>8</v>
      </c>
      <c r="O2728" t="s">
        <v>825</v>
      </c>
      <c r="P2728" t="s">
        <v>73</v>
      </c>
      <c r="Q2728" t="s">
        <v>30</v>
      </c>
      <c r="R2728" t="s">
        <v>98</v>
      </c>
      <c r="S2728" t="s">
        <v>54</v>
      </c>
      <c r="T2728" t="s">
        <v>1347</v>
      </c>
      <c r="U2728" t="s">
        <v>34</v>
      </c>
      <c r="V2728">
        <v>987.8</v>
      </c>
    </row>
    <row r="2729" spans="1:22" x14ac:dyDescent="0.3">
      <c r="A2729" t="s">
        <v>4184</v>
      </c>
      <c r="B2729" s="2">
        <v>46214</v>
      </c>
      <c r="C2729" t="s">
        <v>748</v>
      </c>
      <c r="D2729" t="s">
        <v>49</v>
      </c>
      <c r="E2729" t="s">
        <v>50</v>
      </c>
      <c r="F2729">
        <v>4</v>
      </c>
      <c r="G2729">
        <v>0.2</v>
      </c>
      <c r="H2729">
        <v>41600</v>
      </c>
      <c r="I2729">
        <v>6644.36</v>
      </c>
      <c r="J2729" t="s">
        <v>26</v>
      </c>
      <c r="K2729" t="s">
        <v>40</v>
      </c>
      <c r="L2729">
        <v>10400</v>
      </c>
      <c r="M2729">
        <v>15.972019230769231</v>
      </c>
      <c r="N2729" t="s">
        <v>8</v>
      </c>
      <c r="O2729" t="s">
        <v>749</v>
      </c>
      <c r="P2729" t="s">
        <v>29</v>
      </c>
      <c r="Q2729" t="s">
        <v>30</v>
      </c>
      <c r="R2729" t="s">
        <v>60</v>
      </c>
      <c r="S2729" t="s">
        <v>61</v>
      </c>
      <c r="T2729" t="s">
        <v>750</v>
      </c>
      <c r="U2729" t="s">
        <v>34</v>
      </c>
      <c r="V2729">
        <v>1661.09</v>
      </c>
    </row>
    <row r="2730" spans="1:22" x14ac:dyDescent="0.3">
      <c r="A2730" t="s">
        <v>4185</v>
      </c>
      <c r="B2730" s="2">
        <v>46145</v>
      </c>
      <c r="C2730" t="s">
        <v>1087</v>
      </c>
      <c r="D2730" t="s">
        <v>70</v>
      </c>
      <c r="E2730" t="s">
        <v>108</v>
      </c>
      <c r="F2730">
        <v>1</v>
      </c>
      <c r="G2730">
        <v>0.2</v>
      </c>
      <c r="H2730">
        <v>3600</v>
      </c>
      <c r="I2730">
        <v>876.07</v>
      </c>
      <c r="J2730" t="s">
        <v>39</v>
      </c>
      <c r="K2730" t="s">
        <v>27</v>
      </c>
      <c r="L2730">
        <v>3600</v>
      </c>
      <c r="M2730">
        <v>24.33527777777778</v>
      </c>
      <c r="N2730" t="s">
        <v>8</v>
      </c>
      <c r="O2730" t="s">
        <v>1088</v>
      </c>
      <c r="P2730" t="s">
        <v>73</v>
      </c>
      <c r="Q2730" t="s">
        <v>131</v>
      </c>
      <c r="R2730" t="s">
        <v>200</v>
      </c>
      <c r="S2730" t="s">
        <v>201</v>
      </c>
      <c r="T2730" t="s">
        <v>1089</v>
      </c>
      <c r="U2730" t="s">
        <v>46</v>
      </c>
      <c r="V2730">
        <v>876.07</v>
      </c>
    </row>
    <row r="2731" spans="1:22" x14ac:dyDescent="0.3">
      <c r="A2731" t="s">
        <v>4186</v>
      </c>
      <c r="B2731" s="2">
        <v>46011</v>
      </c>
      <c r="C2731" t="s">
        <v>1436</v>
      </c>
      <c r="D2731" t="s">
        <v>37</v>
      </c>
      <c r="E2731" t="s">
        <v>170</v>
      </c>
      <c r="F2731">
        <v>4</v>
      </c>
      <c r="G2731">
        <v>0.1</v>
      </c>
      <c r="H2731">
        <v>5040</v>
      </c>
      <c r="I2731">
        <v>1675.73</v>
      </c>
      <c r="J2731" t="s">
        <v>65</v>
      </c>
      <c r="K2731" t="s">
        <v>40</v>
      </c>
      <c r="L2731">
        <v>1260</v>
      </c>
      <c r="M2731">
        <v>33.24861111111111</v>
      </c>
      <c r="N2731" t="s">
        <v>8</v>
      </c>
      <c r="O2731" t="s">
        <v>697</v>
      </c>
      <c r="P2731" t="s">
        <v>83</v>
      </c>
      <c r="Q2731" t="s">
        <v>30</v>
      </c>
      <c r="R2731" t="s">
        <v>60</v>
      </c>
      <c r="S2731" t="s">
        <v>61</v>
      </c>
      <c r="T2731" t="s">
        <v>1437</v>
      </c>
      <c r="U2731" t="s">
        <v>46</v>
      </c>
      <c r="V2731">
        <v>418.9325</v>
      </c>
    </row>
    <row r="2732" spans="1:22" x14ac:dyDescent="0.3">
      <c r="A2732" t="s">
        <v>4187</v>
      </c>
      <c r="B2732" s="2">
        <v>45929</v>
      </c>
      <c r="C2732" t="s">
        <v>217</v>
      </c>
      <c r="D2732" t="s">
        <v>49</v>
      </c>
      <c r="E2732" t="s">
        <v>58</v>
      </c>
      <c r="F2732">
        <v>1</v>
      </c>
      <c r="G2732">
        <v>0.1</v>
      </c>
      <c r="H2732">
        <v>13500</v>
      </c>
      <c r="I2732">
        <v>2718.82</v>
      </c>
      <c r="J2732" t="s">
        <v>26</v>
      </c>
      <c r="K2732" t="s">
        <v>40</v>
      </c>
      <c r="L2732">
        <v>13500</v>
      </c>
      <c r="M2732">
        <v>20.139407407407411</v>
      </c>
      <c r="N2732" t="s">
        <v>8</v>
      </c>
      <c r="O2732" t="s">
        <v>218</v>
      </c>
      <c r="P2732" t="s">
        <v>29</v>
      </c>
      <c r="Q2732" t="s">
        <v>30</v>
      </c>
      <c r="R2732" t="s">
        <v>31</v>
      </c>
      <c r="S2732" t="s">
        <v>32</v>
      </c>
      <c r="T2732" t="s">
        <v>219</v>
      </c>
      <c r="U2732" t="s">
        <v>100</v>
      </c>
      <c r="V2732">
        <v>2718.82</v>
      </c>
    </row>
    <row r="2733" spans="1:22" x14ac:dyDescent="0.3">
      <c r="A2733" t="s">
        <v>4188</v>
      </c>
      <c r="B2733" s="2">
        <v>46103</v>
      </c>
      <c r="C2733" t="s">
        <v>3203</v>
      </c>
      <c r="D2733" t="s">
        <v>24</v>
      </c>
      <c r="E2733" t="s">
        <v>87</v>
      </c>
      <c r="F2733">
        <v>1</v>
      </c>
      <c r="G2733">
        <v>0.2</v>
      </c>
      <c r="H2733">
        <v>280</v>
      </c>
      <c r="I2733">
        <v>66.849999999999994</v>
      </c>
      <c r="J2733" t="s">
        <v>26</v>
      </c>
      <c r="K2733" t="s">
        <v>40</v>
      </c>
      <c r="L2733">
        <v>280</v>
      </c>
      <c r="M2733">
        <v>23.875</v>
      </c>
      <c r="N2733" t="s">
        <v>8</v>
      </c>
      <c r="O2733" t="s">
        <v>1353</v>
      </c>
      <c r="P2733" t="s">
        <v>83</v>
      </c>
      <c r="Q2733" t="s">
        <v>74</v>
      </c>
      <c r="R2733" t="s">
        <v>75</v>
      </c>
      <c r="S2733" t="s">
        <v>75</v>
      </c>
      <c r="T2733" t="s">
        <v>3204</v>
      </c>
      <c r="U2733" t="s">
        <v>46</v>
      </c>
      <c r="V2733">
        <v>66.849999999999994</v>
      </c>
    </row>
    <row r="2734" spans="1:22" x14ac:dyDescent="0.3">
      <c r="A2734" t="s">
        <v>4189</v>
      </c>
      <c r="B2734" s="2">
        <v>46101</v>
      </c>
      <c r="C2734" t="s">
        <v>1599</v>
      </c>
      <c r="D2734" t="s">
        <v>24</v>
      </c>
      <c r="E2734" t="s">
        <v>25</v>
      </c>
      <c r="F2734">
        <v>4</v>
      </c>
      <c r="G2734">
        <v>0.05</v>
      </c>
      <c r="H2734">
        <v>53200</v>
      </c>
      <c r="I2734">
        <v>-17486.7</v>
      </c>
      <c r="J2734" t="s">
        <v>65</v>
      </c>
      <c r="K2734" t="s">
        <v>80</v>
      </c>
      <c r="L2734">
        <v>13300</v>
      </c>
      <c r="M2734">
        <v>-32.869736842105262</v>
      </c>
      <c r="N2734" t="s">
        <v>81</v>
      </c>
      <c r="O2734" t="s">
        <v>259</v>
      </c>
      <c r="P2734" t="s">
        <v>29</v>
      </c>
      <c r="Q2734" t="s">
        <v>42</v>
      </c>
      <c r="R2734" t="s">
        <v>121</v>
      </c>
      <c r="S2734" t="s">
        <v>44</v>
      </c>
      <c r="T2734" t="s">
        <v>1062</v>
      </c>
      <c r="U2734" t="s">
        <v>100</v>
      </c>
      <c r="V2734">
        <v>-4371.6750000000002</v>
      </c>
    </row>
    <row r="2735" spans="1:22" x14ac:dyDescent="0.3">
      <c r="A2735" t="s">
        <v>4190</v>
      </c>
      <c r="B2735" s="2">
        <v>46178</v>
      </c>
      <c r="C2735" t="s">
        <v>1712</v>
      </c>
      <c r="D2735" t="s">
        <v>49</v>
      </c>
      <c r="E2735" t="s">
        <v>79</v>
      </c>
      <c r="F2735">
        <v>5</v>
      </c>
      <c r="G2735">
        <v>0.15</v>
      </c>
      <c r="H2735">
        <v>46750</v>
      </c>
      <c r="I2735">
        <v>7159.23</v>
      </c>
      <c r="J2735" t="s">
        <v>26</v>
      </c>
      <c r="K2735" t="s">
        <v>40</v>
      </c>
      <c r="L2735">
        <v>9350</v>
      </c>
      <c r="M2735">
        <v>15.31386096256684</v>
      </c>
      <c r="N2735" t="s">
        <v>8</v>
      </c>
      <c r="O2735" t="s">
        <v>390</v>
      </c>
      <c r="P2735" t="s">
        <v>29</v>
      </c>
      <c r="Q2735" t="s">
        <v>42</v>
      </c>
      <c r="R2735" t="s">
        <v>43</v>
      </c>
      <c r="S2735" t="s">
        <v>44</v>
      </c>
      <c r="T2735" t="s">
        <v>1713</v>
      </c>
      <c r="U2735" t="s">
        <v>46</v>
      </c>
      <c r="V2735">
        <v>1431.846</v>
      </c>
    </row>
    <row r="2736" spans="1:22" x14ac:dyDescent="0.3">
      <c r="A2736" t="s">
        <v>4191</v>
      </c>
      <c r="B2736" s="2">
        <v>46071</v>
      </c>
      <c r="C2736" t="s">
        <v>1262</v>
      </c>
      <c r="D2736" t="s">
        <v>49</v>
      </c>
      <c r="E2736" t="s">
        <v>50</v>
      </c>
      <c r="F2736">
        <v>1</v>
      </c>
      <c r="G2736">
        <v>0.2</v>
      </c>
      <c r="H2736">
        <v>10400</v>
      </c>
      <c r="I2736">
        <v>1925.99</v>
      </c>
      <c r="J2736" t="s">
        <v>51</v>
      </c>
      <c r="K2736" t="s">
        <v>40</v>
      </c>
      <c r="L2736">
        <v>10400</v>
      </c>
      <c r="M2736">
        <v>18.519134615384619</v>
      </c>
      <c r="N2736" t="s">
        <v>8</v>
      </c>
      <c r="O2736" t="s">
        <v>1263</v>
      </c>
      <c r="P2736" t="s">
        <v>83</v>
      </c>
      <c r="Q2736" t="s">
        <v>30</v>
      </c>
      <c r="R2736" t="s">
        <v>53</v>
      </c>
      <c r="S2736" t="s">
        <v>54</v>
      </c>
      <c r="T2736" t="s">
        <v>1264</v>
      </c>
      <c r="U2736" t="s">
        <v>46</v>
      </c>
      <c r="V2736">
        <v>1925.99</v>
      </c>
    </row>
    <row r="2737" spans="1:22" x14ac:dyDescent="0.3">
      <c r="A2737" t="s">
        <v>4192</v>
      </c>
      <c r="B2737" s="2">
        <v>46066</v>
      </c>
      <c r="C2737" t="s">
        <v>659</v>
      </c>
      <c r="D2737" t="s">
        <v>70</v>
      </c>
      <c r="E2737" t="s">
        <v>165</v>
      </c>
      <c r="F2737">
        <v>3</v>
      </c>
      <c r="G2737">
        <v>0.05</v>
      </c>
      <c r="H2737">
        <v>7125</v>
      </c>
      <c r="I2737">
        <v>2163.4899999999998</v>
      </c>
      <c r="J2737" t="s">
        <v>39</v>
      </c>
      <c r="K2737" t="s">
        <v>40</v>
      </c>
      <c r="L2737">
        <v>2375</v>
      </c>
      <c r="M2737">
        <v>30.36477192982456</v>
      </c>
      <c r="N2737" t="s">
        <v>8</v>
      </c>
      <c r="O2737" t="s">
        <v>660</v>
      </c>
      <c r="P2737" t="s">
        <v>83</v>
      </c>
      <c r="Q2737" t="s">
        <v>30</v>
      </c>
      <c r="R2737" t="s">
        <v>60</v>
      </c>
      <c r="S2737" t="s">
        <v>61</v>
      </c>
      <c r="T2737" t="s">
        <v>475</v>
      </c>
      <c r="U2737" t="s">
        <v>46</v>
      </c>
      <c r="V2737">
        <v>721.1633333333333</v>
      </c>
    </row>
    <row r="2738" spans="1:22" x14ac:dyDescent="0.3">
      <c r="A2738" t="s">
        <v>4193</v>
      </c>
      <c r="B2738" s="2">
        <v>46047</v>
      </c>
      <c r="C2738" t="s">
        <v>1000</v>
      </c>
      <c r="D2738" t="s">
        <v>24</v>
      </c>
      <c r="E2738" t="s">
        <v>87</v>
      </c>
      <c r="F2738">
        <v>4</v>
      </c>
      <c r="G2738">
        <v>0.3</v>
      </c>
      <c r="H2738">
        <v>980</v>
      </c>
      <c r="I2738">
        <v>192.97</v>
      </c>
      <c r="J2738" t="s">
        <v>26</v>
      </c>
      <c r="K2738" t="s">
        <v>40</v>
      </c>
      <c r="L2738">
        <v>245</v>
      </c>
      <c r="M2738">
        <v>19.690816326530609</v>
      </c>
      <c r="N2738" t="s">
        <v>8</v>
      </c>
      <c r="O2738" t="s">
        <v>1001</v>
      </c>
      <c r="P2738" t="s">
        <v>29</v>
      </c>
      <c r="Q2738" t="s">
        <v>30</v>
      </c>
      <c r="R2738" t="s">
        <v>60</v>
      </c>
      <c r="S2738" t="s">
        <v>61</v>
      </c>
      <c r="T2738" t="s">
        <v>1002</v>
      </c>
      <c r="U2738" t="s">
        <v>105</v>
      </c>
      <c r="V2738">
        <v>48.2425</v>
      </c>
    </row>
    <row r="2739" spans="1:22" x14ac:dyDescent="0.3">
      <c r="A2739" t="s">
        <v>4194</v>
      </c>
      <c r="B2739" s="2">
        <v>46019</v>
      </c>
      <c r="C2739" t="s">
        <v>417</v>
      </c>
      <c r="D2739" t="s">
        <v>70</v>
      </c>
      <c r="E2739" t="s">
        <v>165</v>
      </c>
      <c r="F2739">
        <v>1</v>
      </c>
      <c r="G2739">
        <v>0.1</v>
      </c>
      <c r="H2739">
        <v>2250</v>
      </c>
      <c r="I2739">
        <v>621.59</v>
      </c>
      <c r="J2739" t="s">
        <v>65</v>
      </c>
      <c r="K2739" t="s">
        <v>40</v>
      </c>
      <c r="L2739">
        <v>2250</v>
      </c>
      <c r="M2739">
        <v>27.626222222222221</v>
      </c>
      <c r="N2739" t="s">
        <v>8</v>
      </c>
      <c r="O2739" t="s">
        <v>418</v>
      </c>
      <c r="P2739" t="s">
        <v>29</v>
      </c>
      <c r="Q2739" t="s">
        <v>30</v>
      </c>
      <c r="R2739" t="s">
        <v>60</v>
      </c>
      <c r="S2739" t="s">
        <v>61</v>
      </c>
      <c r="T2739" t="s">
        <v>419</v>
      </c>
      <c r="U2739" t="s">
        <v>34</v>
      </c>
      <c r="V2739">
        <v>621.59</v>
      </c>
    </row>
    <row r="2740" spans="1:22" x14ac:dyDescent="0.3">
      <c r="A2740" t="s">
        <v>4195</v>
      </c>
      <c r="B2740" s="2">
        <v>46177</v>
      </c>
      <c r="C2740" t="s">
        <v>861</v>
      </c>
      <c r="D2740" t="s">
        <v>49</v>
      </c>
      <c r="E2740" t="s">
        <v>50</v>
      </c>
      <c r="F2740">
        <v>3</v>
      </c>
      <c r="G2740">
        <v>0.2</v>
      </c>
      <c r="H2740">
        <v>31200</v>
      </c>
      <c r="I2740">
        <v>3695.14</v>
      </c>
      <c r="J2740" t="s">
        <v>39</v>
      </c>
      <c r="K2740" t="s">
        <v>40</v>
      </c>
      <c r="L2740">
        <v>10400</v>
      </c>
      <c r="M2740">
        <v>11.84339743589744</v>
      </c>
      <c r="N2740" t="s">
        <v>8</v>
      </c>
      <c r="O2740" t="s">
        <v>369</v>
      </c>
      <c r="P2740" t="s">
        <v>29</v>
      </c>
      <c r="Q2740" t="s">
        <v>74</v>
      </c>
      <c r="R2740" t="s">
        <v>237</v>
      </c>
      <c r="S2740" t="s">
        <v>238</v>
      </c>
      <c r="T2740" t="s">
        <v>750</v>
      </c>
      <c r="U2740" t="s">
        <v>105</v>
      </c>
      <c r="V2740">
        <v>1231.7133333333329</v>
      </c>
    </row>
    <row r="2741" spans="1:22" x14ac:dyDescent="0.3">
      <c r="A2741" t="s">
        <v>4196</v>
      </c>
      <c r="B2741" s="2">
        <v>45986</v>
      </c>
      <c r="C2741" t="s">
        <v>4197</v>
      </c>
      <c r="D2741" t="s">
        <v>37</v>
      </c>
      <c r="E2741" t="s">
        <v>190</v>
      </c>
      <c r="F2741">
        <v>1</v>
      </c>
      <c r="G2741">
        <v>0.15</v>
      </c>
      <c r="H2741">
        <v>3570</v>
      </c>
      <c r="I2741">
        <v>746.53</v>
      </c>
      <c r="J2741" t="s">
        <v>26</v>
      </c>
      <c r="K2741" t="s">
        <v>40</v>
      </c>
      <c r="L2741">
        <v>3570</v>
      </c>
      <c r="M2741">
        <v>20.911204481792719</v>
      </c>
      <c r="N2741" t="s">
        <v>8</v>
      </c>
      <c r="O2741" t="s">
        <v>2267</v>
      </c>
      <c r="P2741" t="s">
        <v>29</v>
      </c>
      <c r="Q2741" t="s">
        <v>131</v>
      </c>
      <c r="R2741" t="s">
        <v>200</v>
      </c>
      <c r="S2741" t="s">
        <v>201</v>
      </c>
      <c r="T2741" t="s">
        <v>4198</v>
      </c>
      <c r="U2741" t="s">
        <v>100</v>
      </c>
      <c r="V2741">
        <v>746.53</v>
      </c>
    </row>
    <row r="2742" spans="1:22" x14ac:dyDescent="0.3">
      <c r="A2742" t="s">
        <v>4199</v>
      </c>
      <c r="B2742" s="2">
        <v>46184</v>
      </c>
      <c r="C2742" t="s">
        <v>2154</v>
      </c>
      <c r="D2742" t="s">
        <v>70</v>
      </c>
      <c r="E2742" t="s">
        <v>108</v>
      </c>
      <c r="F2742">
        <v>2</v>
      </c>
      <c r="G2742">
        <v>0.1</v>
      </c>
      <c r="H2742">
        <v>8100</v>
      </c>
      <c r="I2742">
        <v>2283.7399999999998</v>
      </c>
      <c r="J2742" t="s">
        <v>51</v>
      </c>
      <c r="K2742" t="s">
        <v>40</v>
      </c>
      <c r="L2742">
        <v>4050</v>
      </c>
      <c r="M2742">
        <v>28.194320987654319</v>
      </c>
      <c r="N2742" t="s">
        <v>8</v>
      </c>
      <c r="O2742" t="s">
        <v>1606</v>
      </c>
      <c r="P2742" t="s">
        <v>83</v>
      </c>
      <c r="Q2742" t="s">
        <v>42</v>
      </c>
      <c r="R2742" t="s">
        <v>110</v>
      </c>
      <c r="S2742" t="s">
        <v>111</v>
      </c>
      <c r="T2742" t="s">
        <v>2155</v>
      </c>
      <c r="U2742" t="s">
        <v>34</v>
      </c>
      <c r="V2742">
        <v>1141.8699999999999</v>
      </c>
    </row>
    <row r="2743" spans="1:22" x14ac:dyDescent="0.3">
      <c r="A2743" t="s">
        <v>4200</v>
      </c>
      <c r="B2743" s="2">
        <v>45988</v>
      </c>
      <c r="C2743" t="s">
        <v>204</v>
      </c>
      <c r="D2743" t="s">
        <v>49</v>
      </c>
      <c r="E2743" t="s">
        <v>50</v>
      </c>
      <c r="F2743">
        <v>3</v>
      </c>
      <c r="G2743">
        <v>0.1</v>
      </c>
      <c r="H2743">
        <v>35100</v>
      </c>
      <c r="I2743">
        <v>7503.34</v>
      </c>
      <c r="J2743" t="s">
        <v>51</v>
      </c>
      <c r="K2743" t="s">
        <v>27</v>
      </c>
      <c r="L2743">
        <v>11700</v>
      </c>
      <c r="M2743">
        <v>21.377037037037042</v>
      </c>
      <c r="N2743" t="s">
        <v>8</v>
      </c>
      <c r="O2743" t="s">
        <v>205</v>
      </c>
      <c r="P2743" t="s">
        <v>29</v>
      </c>
      <c r="Q2743" t="s">
        <v>30</v>
      </c>
      <c r="R2743" t="s">
        <v>98</v>
      </c>
      <c r="S2743" t="s">
        <v>54</v>
      </c>
      <c r="T2743" t="s">
        <v>206</v>
      </c>
      <c r="U2743" t="s">
        <v>34</v>
      </c>
      <c r="V2743">
        <v>2501.1133333333328</v>
      </c>
    </row>
    <row r="2744" spans="1:22" x14ac:dyDescent="0.3">
      <c r="A2744" t="s">
        <v>4201</v>
      </c>
      <c r="B2744" s="2">
        <v>45932</v>
      </c>
      <c r="C2744" t="s">
        <v>1645</v>
      </c>
      <c r="D2744" t="s">
        <v>24</v>
      </c>
      <c r="E2744" t="s">
        <v>87</v>
      </c>
      <c r="F2744">
        <v>4</v>
      </c>
      <c r="G2744">
        <v>0.3</v>
      </c>
      <c r="H2744">
        <v>980</v>
      </c>
      <c r="I2744">
        <v>-107.47</v>
      </c>
      <c r="J2744" t="s">
        <v>39</v>
      </c>
      <c r="K2744" t="s">
        <v>80</v>
      </c>
      <c r="L2744">
        <v>245</v>
      </c>
      <c r="M2744">
        <v>-10.966326530612241</v>
      </c>
      <c r="N2744" t="s">
        <v>81</v>
      </c>
      <c r="O2744" t="s">
        <v>984</v>
      </c>
      <c r="P2744" t="s">
        <v>29</v>
      </c>
      <c r="Q2744" t="s">
        <v>131</v>
      </c>
      <c r="R2744" t="s">
        <v>132</v>
      </c>
      <c r="S2744" t="s">
        <v>133</v>
      </c>
      <c r="T2744" t="s">
        <v>1646</v>
      </c>
      <c r="U2744" t="s">
        <v>34</v>
      </c>
      <c r="V2744">
        <v>-26.8675</v>
      </c>
    </row>
    <row r="2745" spans="1:22" x14ac:dyDescent="0.3">
      <c r="A2745" t="s">
        <v>4202</v>
      </c>
      <c r="B2745" s="2">
        <v>45843</v>
      </c>
      <c r="C2745" t="s">
        <v>272</v>
      </c>
      <c r="D2745" t="s">
        <v>37</v>
      </c>
      <c r="E2745" t="s">
        <v>310</v>
      </c>
      <c r="F2745">
        <v>1</v>
      </c>
      <c r="G2745">
        <v>0.1</v>
      </c>
      <c r="H2745">
        <v>1980</v>
      </c>
      <c r="I2745">
        <v>637.05999999999995</v>
      </c>
      <c r="J2745" t="s">
        <v>39</v>
      </c>
      <c r="K2745" t="s">
        <v>40</v>
      </c>
      <c r="L2745">
        <v>1980</v>
      </c>
      <c r="M2745">
        <v>32.17474747474747</v>
      </c>
      <c r="N2745" t="s">
        <v>8</v>
      </c>
      <c r="O2745" t="s">
        <v>166</v>
      </c>
      <c r="P2745" t="s">
        <v>73</v>
      </c>
      <c r="Q2745" t="s">
        <v>30</v>
      </c>
      <c r="R2745" t="s">
        <v>98</v>
      </c>
      <c r="S2745" t="s">
        <v>54</v>
      </c>
      <c r="T2745" t="s">
        <v>273</v>
      </c>
      <c r="U2745" t="s">
        <v>105</v>
      </c>
      <c r="V2745">
        <v>637.05999999999995</v>
      </c>
    </row>
    <row r="2746" spans="1:22" x14ac:dyDescent="0.3">
      <c r="A2746" t="s">
        <v>4203</v>
      </c>
      <c r="B2746" s="2">
        <v>45898</v>
      </c>
      <c r="C2746" t="s">
        <v>174</v>
      </c>
      <c r="D2746" t="s">
        <v>24</v>
      </c>
      <c r="E2746" t="s">
        <v>242</v>
      </c>
      <c r="F2746">
        <v>2</v>
      </c>
      <c r="G2746">
        <v>0</v>
      </c>
      <c r="H2746">
        <v>900</v>
      </c>
      <c r="I2746">
        <v>220</v>
      </c>
      <c r="J2746" t="s">
        <v>26</v>
      </c>
      <c r="K2746" t="s">
        <v>40</v>
      </c>
      <c r="L2746">
        <v>450</v>
      </c>
      <c r="M2746">
        <v>24.444444444444439</v>
      </c>
      <c r="N2746" t="s">
        <v>8</v>
      </c>
      <c r="O2746" t="s">
        <v>175</v>
      </c>
      <c r="P2746" t="s">
        <v>29</v>
      </c>
      <c r="Q2746" t="s">
        <v>30</v>
      </c>
      <c r="R2746" t="s">
        <v>53</v>
      </c>
      <c r="S2746" t="s">
        <v>54</v>
      </c>
      <c r="T2746" t="s">
        <v>176</v>
      </c>
      <c r="U2746" t="s">
        <v>34</v>
      </c>
      <c r="V2746">
        <v>110</v>
      </c>
    </row>
    <row r="2747" spans="1:22" x14ac:dyDescent="0.3">
      <c r="A2747" t="s">
        <v>4204</v>
      </c>
      <c r="B2747" s="2">
        <v>46017</v>
      </c>
      <c r="C2747" t="s">
        <v>1060</v>
      </c>
      <c r="D2747" t="s">
        <v>49</v>
      </c>
      <c r="E2747" t="s">
        <v>50</v>
      </c>
      <c r="F2747">
        <v>10</v>
      </c>
      <c r="G2747">
        <v>0.2</v>
      </c>
      <c r="H2747">
        <v>104000</v>
      </c>
      <c r="I2747">
        <v>18282.22</v>
      </c>
      <c r="J2747" t="s">
        <v>65</v>
      </c>
      <c r="K2747" t="s">
        <v>40</v>
      </c>
      <c r="L2747">
        <v>10400</v>
      </c>
      <c r="M2747">
        <v>17.579057692307689</v>
      </c>
      <c r="N2747" t="s">
        <v>8</v>
      </c>
      <c r="O2747" t="s">
        <v>1061</v>
      </c>
      <c r="P2747" t="s">
        <v>73</v>
      </c>
      <c r="Q2747" t="s">
        <v>30</v>
      </c>
      <c r="R2747" t="s">
        <v>31</v>
      </c>
      <c r="S2747" t="s">
        <v>32</v>
      </c>
      <c r="T2747" t="s">
        <v>1062</v>
      </c>
      <c r="U2747" t="s">
        <v>46</v>
      </c>
      <c r="V2747">
        <v>1828.222</v>
      </c>
    </row>
    <row r="2748" spans="1:22" x14ac:dyDescent="0.3">
      <c r="A2748" t="s">
        <v>4205</v>
      </c>
      <c r="B2748" s="2">
        <v>45972</v>
      </c>
      <c r="C2748" t="s">
        <v>430</v>
      </c>
      <c r="D2748" t="s">
        <v>49</v>
      </c>
      <c r="E2748" t="s">
        <v>79</v>
      </c>
      <c r="F2748">
        <v>1</v>
      </c>
      <c r="G2748">
        <v>0.2</v>
      </c>
      <c r="H2748">
        <v>8800</v>
      </c>
      <c r="I2748">
        <v>773.3</v>
      </c>
      <c r="J2748" t="s">
        <v>39</v>
      </c>
      <c r="K2748" t="s">
        <v>27</v>
      </c>
      <c r="L2748">
        <v>8800</v>
      </c>
      <c r="M2748">
        <v>8.7874999999999996</v>
      </c>
      <c r="N2748" t="s">
        <v>8</v>
      </c>
      <c r="O2748" t="s">
        <v>431</v>
      </c>
      <c r="P2748" t="s">
        <v>29</v>
      </c>
      <c r="Q2748" t="s">
        <v>30</v>
      </c>
      <c r="R2748" t="s">
        <v>53</v>
      </c>
      <c r="S2748" t="s">
        <v>54</v>
      </c>
      <c r="T2748" t="s">
        <v>256</v>
      </c>
      <c r="U2748" t="s">
        <v>46</v>
      </c>
      <c r="V2748">
        <v>773.3</v>
      </c>
    </row>
    <row r="2749" spans="1:22" x14ac:dyDescent="0.3">
      <c r="A2749" t="s">
        <v>4206</v>
      </c>
      <c r="B2749" s="2">
        <v>46235</v>
      </c>
      <c r="C2749" t="s">
        <v>1243</v>
      </c>
      <c r="D2749" t="s">
        <v>24</v>
      </c>
      <c r="E2749" t="s">
        <v>25</v>
      </c>
      <c r="F2749">
        <v>1</v>
      </c>
      <c r="G2749">
        <v>0.15</v>
      </c>
      <c r="H2749">
        <v>11900</v>
      </c>
      <c r="I2749">
        <v>1563.07</v>
      </c>
      <c r="J2749" t="s">
        <v>65</v>
      </c>
      <c r="K2749" t="s">
        <v>40</v>
      </c>
      <c r="L2749">
        <v>11900</v>
      </c>
      <c r="M2749">
        <v>13.13504201680672</v>
      </c>
      <c r="N2749" t="s">
        <v>8</v>
      </c>
      <c r="O2749" t="s">
        <v>754</v>
      </c>
      <c r="P2749" t="s">
        <v>73</v>
      </c>
      <c r="Q2749" t="s">
        <v>42</v>
      </c>
      <c r="R2749" t="s">
        <v>110</v>
      </c>
      <c r="S2749" t="s">
        <v>111</v>
      </c>
      <c r="T2749" t="s">
        <v>1244</v>
      </c>
      <c r="U2749" t="s">
        <v>105</v>
      </c>
      <c r="V2749">
        <v>1563.07</v>
      </c>
    </row>
    <row r="2750" spans="1:22" x14ac:dyDescent="0.3">
      <c r="A2750" t="s">
        <v>4207</v>
      </c>
      <c r="B2750" s="2">
        <v>45925</v>
      </c>
      <c r="C2750" t="s">
        <v>401</v>
      </c>
      <c r="D2750" t="s">
        <v>70</v>
      </c>
      <c r="E2750" t="s">
        <v>108</v>
      </c>
      <c r="F2750">
        <v>3</v>
      </c>
      <c r="G2750">
        <v>0.05</v>
      </c>
      <c r="H2750">
        <v>12825</v>
      </c>
      <c r="I2750">
        <v>4154.25</v>
      </c>
      <c r="J2750" t="s">
        <v>39</v>
      </c>
      <c r="K2750" t="s">
        <v>40</v>
      </c>
      <c r="L2750">
        <v>4275</v>
      </c>
      <c r="M2750">
        <v>32.39181286549708</v>
      </c>
      <c r="N2750" t="s">
        <v>8</v>
      </c>
      <c r="O2750" t="s">
        <v>402</v>
      </c>
      <c r="P2750" t="s">
        <v>29</v>
      </c>
      <c r="Q2750" t="s">
        <v>30</v>
      </c>
      <c r="R2750" t="s">
        <v>60</v>
      </c>
      <c r="S2750" t="s">
        <v>61</v>
      </c>
      <c r="T2750" t="s">
        <v>403</v>
      </c>
      <c r="U2750" t="s">
        <v>46</v>
      </c>
      <c r="V2750">
        <v>1384.75</v>
      </c>
    </row>
    <row r="2751" spans="1:22" x14ac:dyDescent="0.3">
      <c r="A2751" t="s">
        <v>4208</v>
      </c>
      <c r="B2751" s="2">
        <v>46143</v>
      </c>
      <c r="C2751" t="s">
        <v>2026</v>
      </c>
      <c r="D2751" t="s">
        <v>49</v>
      </c>
      <c r="E2751" t="s">
        <v>79</v>
      </c>
      <c r="F2751">
        <v>4</v>
      </c>
      <c r="G2751">
        <v>0.05</v>
      </c>
      <c r="H2751">
        <v>41800</v>
      </c>
      <c r="I2751">
        <v>-22306.37</v>
      </c>
      <c r="J2751" t="s">
        <v>26</v>
      </c>
      <c r="K2751" t="s">
        <v>80</v>
      </c>
      <c r="L2751">
        <v>10450</v>
      </c>
      <c r="M2751">
        <v>-53.364521531100472</v>
      </c>
      <c r="N2751" t="s">
        <v>81</v>
      </c>
      <c r="O2751" t="s">
        <v>2027</v>
      </c>
      <c r="P2751" t="s">
        <v>29</v>
      </c>
      <c r="Q2751" t="s">
        <v>74</v>
      </c>
      <c r="R2751" t="s">
        <v>493</v>
      </c>
      <c r="S2751" t="s">
        <v>494</v>
      </c>
      <c r="T2751" t="s">
        <v>260</v>
      </c>
      <c r="U2751" t="s">
        <v>105</v>
      </c>
      <c r="V2751">
        <v>-5576.5924999999997</v>
      </c>
    </row>
    <row r="2752" spans="1:22" x14ac:dyDescent="0.3">
      <c r="A2752" t="s">
        <v>4209</v>
      </c>
      <c r="B2752" s="2">
        <v>45915</v>
      </c>
      <c r="C2752" t="s">
        <v>1854</v>
      </c>
      <c r="D2752" t="s">
        <v>49</v>
      </c>
      <c r="E2752" t="s">
        <v>58</v>
      </c>
      <c r="F2752">
        <v>3</v>
      </c>
      <c r="G2752">
        <v>0.05</v>
      </c>
      <c r="H2752">
        <v>42750</v>
      </c>
      <c r="I2752">
        <v>8885.81</v>
      </c>
      <c r="J2752" t="s">
        <v>39</v>
      </c>
      <c r="K2752" t="s">
        <v>27</v>
      </c>
      <c r="L2752">
        <v>14250</v>
      </c>
      <c r="M2752">
        <v>20.78552046783625</v>
      </c>
      <c r="N2752" t="s">
        <v>8</v>
      </c>
      <c r="O2752" t="s">
        <v>773</v>
      </c>
      <c r="P2752" t="s">
        <v>83</v>
      </c>
      <c r="Q2752" t="s">
        <v>74</v>
      </c>
      <c r="R2752" t="s">
        <v>115</v>
      </c>
      <c r="S2752" t="s">
        <v>115</v>
      </c>
      <c r="T2752" t="s">
        <v>1855</v>
      </c>
      <c r="U2752" t="s">
        <v>34</v>
      </c>
      <c r="V2752">
        <v>2961.936666666666</v>
      </c>
    </row>
    <row r="2753" spans="1:22" x14ac:dyDescent="0.3">
      <c r="A2753" t="s">
        <v>4210</v>
      </c>
      <c r="B2753" s="2">
        <v>46263</v>
      </c>
      <c r="C2753" t="s">
        <v>140</v>
      </c>
      <c r="D2753" t="s">
        <v>37</v>
      </c>
      <c r="E2753" t="s">
        <v>190</v>
      </c>
      <c r="F2753">
        <v>1</v>
      </c>
      <c r="G2753">
        <v>0</v>
      </c>
      <c r="H2753">
        <v>4200</v>
      </c>
      <c r="I2753">
        <v>1200</v>
      </c>
      <c r="J2753" t="s">
        <v>65</v>
      </c>
      <c r="K2753" t="s">
        <v>40</v>
      </c>
      <c r="L2753">
        <v>4200</v>
      </c>
      <c r="M2753">
        <v>28.571428571428569</v>
      </c>
      <c r="N2753" t="s">
        <v>8</v>
      </c>
      <c r="O2753" t="s">
        <v>141</v>
      </c>
      <c r="P2753" t="s">
        <v>29</v>
      </c>
      <c r="Q2753" t="s">
        <v>30</v>
      </c>
      <c r="R2753" t="s">
        <v>53</v>
      </c>
      <c r="S2753" t="s">
        <v>54</v>
      </c>
      <c r="T2753" t="s">
        <v>142</v>
      </c>
      <c r="U2753" t="s">
        <v>100</v>
      </c>
      <c r="V2753">
        <v>1200</v>
      </c>
    </row>
    <row r="2754" spans="1:22" x14ac:dyDescent="0.3">
      <c r="A2754" t="s">
        <v>4211</v>
      </c>
      <c r="B2754" s="2">
        <v>45980</v>
      </c>
      <c r="C2754" t="s">
        <v>1984</v>
      </c>
      <c r="D2754" t="s">
        <v>49</v>
      </c>
      <c r="E2754" t="s">
        <v>58</v>
      </c>
      <c r="F2754">
        <v>4</v>
      </c>
      <c r="G2754">
        <v>0</v>
      </c>
      <c r="H2754">
        <v>60000</v>
      </c>
      <c r="I2754">
        <v>14000</v>
      </c>
      <c r="J2754" t="s">
        <v>65</v>
      </c>
      <c r="K2754" t="s">
        <v>40</v>
      </c>
      <c r="L2754">
        <v>15000</v>
      </c>
      <c r="M2754">
        <v>23.333333333333329</v>
      </c>
      <c r="N2754" t="s">
        <v>8</v>
      </c>
      <c r="O2754" t="s">
        <v>959</v>
      </c>
      <c r="P2754" t="s">
        <v>73</v>
      </c>
      <c r="Q2754" t="s">
        <v>74</v>
      </c>
      <c r="R2754" t="s">
        <v>493</v>
      </c>
      <c r="S2754" t="s">
        <v>494</v>
      </c>
      <c r="T2754" t="s">
        <v>1985</v>
      </c>
      <c r="U2754" t="s">
        <v>100</v>
      </c>
      <c r="V2754">
        <v>3500</v>
      </c>
    </row>
    <row r="2755" spans="1:22" x14ac:dyDescent="0.3">
      <c r="A2755" t="s">
        <v>4212</v>
      </c>
      <c r="B2755" s="2">
        <v>46039</v>
      </c>
      <c r="C2755" t="s">
        <v>509</v>
      </c>
      <c r="D2755" t="s">
        <v>49</v>
      </c>
      <c r="E2755" t="s">
        <v>58</v>
      </c>
      <c r="F2755">
        <v>3</v>
      </c>
      <c r="G2755">
        <v>0.15</v>
      </c>
      <c r="H2755">
        <v>38250</v>
      </c>
      <c r="I2755">
        <v>5651.7</v>
      </c>
      <c r="J2755" t="s">
        <v>39</v>
      </c>
      <c r="K2755" t="s">
        <v>40</v>
      </c>
      <c r="L2755">
        <v>12750</v>
      </c>
      <c r="M2755">
        <v>14.7756862745098</v>
      </c>
      <c r="N2755" t="s">
        <v>8</v>
      </c>
      <c r="O2755" t="s">
        <v>510</v>
      </c>
      <c r="P2755" t="s">
        <v>73</v>
      </c>
      <c r="Q2755" t="s">
        <v>42</v>
      </c>
      <c r="R2755" t="s">
        <v>110</v>
      </c>
      <c r="S2755" t="s">
        <v>111</v>
      </c>
      <c r="T2755" t="s">
        <v>511</v>
      </c>
      <c r="U2755" t="s">
        <v>34</v>
      </c>
      <c r="V2755">
        <v>1883.9</v>
      </c>
    </row>
    <row r="2756" spans="1:22" x14ac:dyDescent="0.3">
      <c r="A2756" t="s">
        <v>4213</v>
      </c>
      <c r="B2756" s="2">
        <v>46028</v>
      </c>
      <c r="C2756" t="s">
        <v>1704</v>
      </c>
      <c r="D2756" t="s">
        <v>49</v>
      </c>
      <c r="E2756" t="s">
        <v>119</v>
      </c>
      <c r="F2756">
        <v>1</v>
      </c>
      <c r="G2756">
        <v>0.15</v>
      </c>
      <c r="H2756">
        <v>7650</v>
      </c>
      <c r="I2756">
        <v>1160.8800000000001</v>
      </c>
      <c r="J2756" t="s">
        <v>39</v>
      </c>
      <c r="K2756" t="s">
        <v>40</v>
      </c>
      <c r="L2756">
        <v>7650</v>
      </c>
      <c r="M2756">
        <v>15.174901960784309</v>
      </c>
      <c r="N2756" t="s">
        <v>8</v>
      </c>
      <c r="O2756" t="s">
        <v>636</v>
      </c>
      <c r="P2756" t="s">
        <v>29</v>
      </c>
      <c r="Q2756" t="s">
        <v>30</v>
      </c>
      <c r="R2756" t="s">
        <v>53</v>
      </c>
      <c r="S2756" t="s">
        <v>54</v>
      </c>
      <c r="T2756" t="s">
        <v>1705</v>
      </c>
      <c r="U2756" t="s">
        <v>34</v>
      </c>
      <c r="V2756">
        <v>1160.8800000000001</v>
      </c>
    </row>
    <row r="2757" spans="1:22" x14ac:dyDescent="0.3">
      <c r="A2757" t="s">
        <v>4214</v>
      </c>
      <c r="B2757" s="2">
        <v>46113</v>
      </c>
      <c r="C2757" t="s">
        <v>194</v>
      </c>
      <c r="D2757" t="s">
        <v>70</v>
      </c>
      <c r="E2757" t="s">
        <v>71</v>
      </c>
      <c r="F2757">
        <v>3</v>
      </c>
      <c r="G2757">
        <v>0.05</v>
      </c>
      <c r="H2757">
        <v>51300</v>
      </c>
      <c r="I2757">
        <v>8791.25</v>
      </c>
      <c r="J2757" t="s">
        <v>39</v>
      </c>
      <c r="K2757" t="s">
        <v>40</v>
      </c>
      <c r="L2757">
        <v>17100</v>
      </c>
      <c r="M2757">
        <v>17.136939571150101</v>
      </c>
      <c r="N2757" t="s">
        <v>8</v>
      </c>
      <c r="O2757" t="s">
        <v>195</v>
      </c>
      <c r="P2757" t="s">
        <v>73</v>
      </c>
      <c r="Q2757" t="s">
        <v>30</v>
      </c>
      <c r="R2757" t="s">
        <v>98</v>
      </c>
      <c r="S2757" t="s">
        <v>54</v>
      </c>
      <c r="T2757" t="s">
        <v>196</v>
      </c>
      <c r="U2757" t="s">
        <v>105</v>
      </c>
      <c r="V2757">
        <v>2930.416666666667</v>
      </c>
    </row>
    <row r="2758" spans="1:22" x14ac:dyDescent="0.3">
      <c r="A2758" t="s">
        <v>4215</v>
      </c>
      <c r="B2758" s="2">
        <v>46160</v>
      </c>
      <c r="C2758" t="s">
        <v>1637</v>
      </c>
      <c r="D2758" t="s">
        <v>70</v>
      </c>
      <c r="E2758" t="s">
        <v>165</v>
      </c>
      <c r="F2758">
        <v>1</v>
      </c>
      <c r="G2758">
        <v>0.3</v>
      </c>
      <c r="H2758">
        <v>1750</v>
      </c>
      <c r="I2758">
        <v>442.17</v>
      </c>
      <c r="J2758" t="s">
        <v>65</v>
      </c>
      <c r="K2758" t="s">
        <v>40</v>
      </c>
      <c r="L2758">
        <v>1750</v>
      </c>
      <c r="M2758">
        <v>25.266857142857148</v>
      </c>
      <c r="N2758" t="s">
        <v>8</v>
      </c>
      <c r="O2758" t="s">
        <v>697</v>
      </c>
      <c r="P2758" t="s">
        <v>29</v>
      </c>
      <c r="Q2758" t="s">
        <v>30</v>
      </c>
      <c r="R2758" t="s">
        <v>31</v>
      </c>
      <c r="S2758" t="s">
        <v>32</v>
      </c>
      <c r="T2758" t="s">
        <v>1638</v>
      </c>
      <c r="U2758" t="s">
        <v>46</v>
      </c>
      <c r="V2758">
        <v>442.17</v>
      </c>
    </row>
    <row r="2759" spans="1:22" x14ac:dyDescent="0.3">
      <c r="A2759" t="s">
        <v>4216</v>
      </c>
      <c r="B2759" s="2">
        <v>45905</v>
      </c>
      <c r="C2759" t="s">
        <v>1662</v>
      </c>
      <c r="D2759" t="s">
        <v>70</v>
      </c>
      <c r="E2759" t="s">
        <v>108</v>
      </c>
      <c r="F2759">
        <v>4</v>
      </c>
      <c r="G2759">
        <v>0.15</v>
      </c>
      <c r="H2759">
        <v>15300</v>
      </c>
      <c r="I2759">
        <v>4389.9799999999996</v>
      </c>
      <c r="J2759" t="s">
        <v>65</v>
      </c>
      <c r="K2759" t="s">
        <v>40</v>
      </c>
      <c r="L2759">
        <v>3825</v>
      </c>
      <c r="M2759">
        <v>28.692679738562092</v>
      </c>
      <c r="N2759" t="s">
        <v>8</v>
      </c>
      <c r="O2759" t="s">
        <v>1663</v>
      </c>
      <c r="P2759" t="s">
        <v>29</v>
      </c>
      <c r="Q2759" t="s">
        <v>131</v>
      </c>
      <c r="R2759" t="s">
        <v>200</v>
      </c>
      <c r="S2759" t="s">
        <v>201</v>
      </c>
      <c r="T2759" t="s">
        <v>1664</v>
      </c>
      <c r="U2759" t="s">
        <v>34</v>
      </c>
      <c r="V2759">
        <v>1097.4949999999999</v>
      </c>
    </row>
    <row r="2760" spans="1:22" x14ac:dyDescent="0.3">
      <c r="A2760" t="s">
        <v>4217</v>
      </c>
      <c r="B2760" s="2">
        <v>46262</v>
      </c>
      <c r="C2760" t="s">
        <v>525</v>
      </c>
      <c r="D2760" t="s">
        <v>24</v>
      </c>
      <c r="E2760" t="s">
        <v>242</v>
      </c>
      <c r="F2760">
        <v>10</v>
      </c>
      <c r="G2760">
        <v>0.05</v>
      </c>
      <c r="H2760">
        <v>4275</v>
      </c>
      <c r="I2760">
        <v>922.53</v>
      </c>
      <c r="J2760" t="s">
        <v>65</v>
      </c>
      <c r="K2760" t="s">
        <v>27</v>
      </c>
      <c r="L2760">
        <v>427.5</v>
      </c>
      <c r="M2760">
        <v>21.57964912280702</v>
      </c>
      <c r="N2760" t="s">
        <v>8</v>
      </c>
      <c r="O2760" t="s">
        <v>526</v>
      </c>
      <c r="P2760" t="s">
        <v>29</v>
      </c>
      <c r="Q2760" t="s">
        <v>30</v>
      </c>
      <c r="R2760" t="s">
        <v>98</v>
      </c>
      <c r="S2760" t="s">
        <v>54</v>
      </c>
      <c r="T2760" t="s">
        <v>527</v>
      </c>
      <c r="U2760" t="s">
        <v>34</v>
      </c>
      <c r="V2760">
        <v>92.253</v>
      </c>
    </row>
    <row r="2761" spans="1:22" x14ac:dyDescent="0.3">
      <c r="A2761" t="s">
        <v>4218</v>
      </c>
      <c r="B2761" s="2">
        <v>46005</v>
      </c>
      <c r="C2761" t="s">
        <v>1837</v>
      </c>
      <c r="D2761" t="s">
        <v>70</v>
      </c>
      <c r="E2761" t="s">
        <v>71</v>
      </c>
      <c r="F2761">
        <v>4</v>
      </c>
      <c r="G2761">
        <v>0.3</v>
      </c>
      <c r="H2761">
        <v>50400</v>
      </c>
      <c r="I2761">
        <v>-1714.58</v>
      </c>
      <c r="J2761" t="s">
        <v>39</v>
      </c>
      <c r="K2761" t="s">
        <v>40</v>
      </c>
      <c r="L2761">
        <v>12600</v>
      </c>
      <c r="M2761">
        <v>-3.4019444444444442</v>
      </c>
      <c r="N2761" t="s">
        <v>81</v>
      </c>
      <c r="O2761" t="s">
        <v>492</v>
      </c>
      <c r="P2761" t="s">
        <v>29</v>
      </c>
      <c r="Q2761" t="s">
        <v>131</v>
      </c>
      <c r="R2761" t="s">
        <v>200</v>
      </c>
      <c r="S2761" t="s">
        <v>1838</v>
      </c>
      <c r="T2761" t="s">
        <v>1839</v>
      </c>
      <c r="U2761" t="s">
        <v>34</v>
      </c>
      <c r="V2761">
        <v>-428.64499999999998</v>
      </c>
    </row>
    <row r="2762" spans="1:22" x14ac:dyDescent="0.3">
      <c r="A2762" t="s">
        <v>4219</v>
      </c>
      <c r="B2762" s="2">
        <v>46076</v>
      </c>
      <c r="C2762" t="s">
        <v>1568</v>
      </c>
      <c r="D2762" t="s">
        <v>70</v>
      </c>
      <c r="E2762" t="s">
        <v>108</v>
      </c>
      <c r="F2762">
        <v>1</v>
      </c>
      <c r="G2762">
        <v>0</v>
      </c>
      <c r="H2762">
        <v>4500</v>
      </c>
      <c r="I2762">
        <v>1500</v>
      </c>
      <c r="J2762" t="s">
        <v>65</v>
      </c>
      <c r="K2762" t="s">
        <v>40</v>
      </c>
      <c r="L2762">
        <v>4500</v>
      </c>
      <c r="M2762">
        <v>33.333333333333329</v>
      </c>
      <c r="N2762" t="s">
        <v>8</v>
      </c>
      <c r="O2762" t="s">
        <v>1569</v>
      </c>
      <c r="P2762" t="s">
        <v>83</v>
      </c>
      <c r="Q2762" t="s">
        <v>42</v>
      </c>
      <c r="R2762" t="s">
        <v>121</v>
      </c>
      <c r="S2762" t="s">
        <v>44</v>
      </c>
      <c r="T2762" t="s">
        <v>1570</v>
      </c>
      <c r="U2762" t="s">
        <v>46</v>
      </c>
      <c r="V2762">
        <v>1500</v>
      </c>
    </row>
    <row r="2763" spans="1:22" x14ac:dyDescent="0.3">
      <c r="A2763" t="s">
        <v>4220</v>
      </c>
      <c r="B2763" s="2">
        <v>46049</v>
      </c>
      <c r="C2763" t="s">
        <v>1266</v>
      </c>
      <c r="D2763" t="s">
        <v>70</v>
      </c>
      <c r="E2763" t="s">
        <v>108</v>
      </c>
      <c r="F2763">
        <v>1</v>
      </c>
      <c r="G2763">
        <v>0</v>
      </c>
      <c r="H2763">
        <v>4500</v>
      </c>
      <c r="I2763">
        <v>1500</v>
      </c>
      <c r="J2763" t="s">
        <v>51</v>
      </c>
      <c r="K2763" t="s">
        <v>40</v>
      </c>
      <c r="L2763">
        <v>4500</v>
      </c>
      <c r="M2763">
        <v>33.333333333333329</v>
      </c>
      <c r="N2763" t="s">
        <v>8</v>
      </c>
      <c r="O2763" t="s">
        <v>518</v>
      </c>
      <c r="P2763" t="s">
        <v>29</v>
      </c>
      <c r="Q2763" t="s">
        <v>74</v>
      </c>
      <c r="R2763" t="s">
        <v>115</v>
      </c>
      <c r="S2763" t="s">
        <v>115</v>
      </c>
      <c r="T2763" t="s">
        <v>1267</v>
      </c>
      <c r="U2763" t="s">
        <v>100</v>
      </c>
      <c r="V2763">
        <v>1500</v>
      </c>
    </row>
    <row r="2764" spans="1:22" x14ac:dyDescent="0.3">
      <c r="A2764" t="s">
        <v>4221</v>
      </c>
      <c r="B2764" s="2">
        <v>45985</v>
      </c>
      <c r="C2764" t="s">
        <v>533</v>
      </c>
      <c r="D2764" t="s">
        <v>24</v>
      </c>
      <c r="E2764" t="s">
        <v>87</v>
      </c>
      <c r="F2764">
        <v>2</v>
      </c>
      <c r="G2764">
        <v>0.1</v>
      </c>
      <c r="H2764">
        <v>630</v>
      </c>
      <c r="I2764">
        <v>184.86</v>
      </c>
      <c r="J2764" t="s">
        <v>26</v>
      </c>
      <c r="K2764" t="s">
        <v>40</v>
      </c>
      <c r="L2764">
        <v>315</v>
      </c>
      <c r="M2764">
        <v>29.342857142857142</v>
      </c>
      <c r="N2764" t="s">
        <v>8</v>
      </c>
      <c r="O2764" t="s">
        <v>306</v>
      </c>
      <c r="P2764" t="s">
        <v>83</v>
      </c>
      <c r="Q2764" t="s">
        <v>131</v>
      </c>
      <c r="R2764" t="s">
        <v>132</v>
      </c>
      <c r="S2764" t="s">
        <v>133</v>
      </c>
      <c r="T2764" t="s">
        <v>534</v>
      </c>
      <c r="U2764" t="s">
        <v>46</v>
      </c>
      <c r="V2764">
        <v>92.43</v>
      </c>
    </row>
    <row r="2765" spans="1:22" x14ac:dyDescent="0.3">
      <c r="A2765" t="s">
        <v>4222</v>
      </c>
      <c r="B2765" s="2">
        <v>46171</v>
      </c>
      <c r="C2765" t="s">
        <v>1152</v>
      </c>
      <c r="D2765" t="s">
        <v>24</v>
      </c>
      <c r="E2765" t="s">
        <v>242</v>
      </c>
      <c r="F2765">
        <v>4</v>
      </c>
      <c r="G2765">
        <v>0.15</v>
      </c>
      <c r="H2765">
        <v>1530</v>
      </c>
      <c r="I2765">
        <v>223.25</v>
      </c>
      <c r="J2765" t="s">
        <v>51</v>
      </c>
      <c r="K2765" t="s">
        <v>40</v>
      </c>
      <c r="L2765">
        <v>382.5</v>
      </c>
      <c r="M2765">
        <v>14.591503267973859</v>
      </c>
      <c r="N2765" t="s">
        <v>8</v>
      </c>
      <c r="O2765" t="s">
        <v>995</v>
      </c>
      <c r="P2765" t="s">
        <v>29</v>
      </c>
      <c r="Q2765" t="s">
        <v>30</v>
      </c>
      <c r="R2765" t="s">
        <v>31</v>
      </c>
      <c r="S2765" t="s">
        <v>32</v>
      </c>
      <c r="T2765" t="s">
        <v>960</v>
      </c>
      <c r="U2765" t="s">
        <v>100</v>
      </c>
      <c r="V2765">
        <v>55.8125</v>
      </c>
    </row>
    <row r="2766" spans="1:22" x14ac:dyDescent="0.3">
      <c r="A2766" t="s">
        <v>4223</v>
      </c>
      <c r="B2766" s="2">
        <v>46237</v>
      </c>
      <c r="C2766" t="s">
        <v>1377</v>
      </c>
      <c r="D2766" t="s">
        <v>70</v>
      </c>
      <c r="E2766" t="s">
        <v>71</v>
      </c>
      <c r="F2766">
        <v>3</v>
      </c>
      <c r="G2766">
        <v>0.15</v>
      </c>
      <c r="H2766">
        <v>45900</v>
      </c>
      <c r="I2766">
        <v>5471.85</v>
      </c>
      <c r="J2766" t="s">
        <v>51</v>
      </c>
      <c r="K2766" t="s">
        <v>40</v>
      </c>
      <c r="L2766">
        <v>15300</v>
      </c>
      <c r="M2766">
        <v>11.921241830065361</v>
      </c>
      <c r="N2766" t="s">
        <v>8</v>
      </c>
      <c r="O2766" t="s">
        <v>1378</v>
      </c>
      <c r="P2766" t="s">
        <v>29</v>
      </c>
      <c r="Q2766" t="s">
        <v>30</v>
      </c>
      <c r="R2766" t="s">
        <v>53</v>
      </c>
      <c r="S2766" t="s">
        <v>54</v>
      </c>
      <c r="T2766" t="s">
        <v>1379</v>
      </c>
      <c r="U2766" t="s">
        <v>100</v>
      </c>
      <c r="V2766">
        <v>1823.95</v>
      </c>
    </row>
    <row r="2767" spans="1:22" x14ac:dyDescent="0.3">
      <c r="A2767" t="s">
        <v>4224</v>
      </c>
      <c r="B2767" s="2">
        <v>46170</v>
      </c>
      <c r="C2767" t="s">
        <v>2014</v>
      </c>
      <c r="D2767" t="s">
        <v>49</v>
      </c>
      <c r="E2767" t="s">
        <v>50</v>
      </c>
      <c r="F2767">
        <v>3</v>
      </c>
      <c r="G2767">
        <v>0.2</v>
      </c>
      <c r="H2767">
        <v>31200</v>
      </c>
      <c r="I2767">
        <v>4463.74</v>
      </c>
      <c r="J2767" t="s">
        <v>65</v>
      </c>
      <c r="K2767" t="s">
        <v>40</v>
      </c>
      <c r="L2767">
        <v>10400</v>
      </c>
      <c r="M2767">
        <v>14.30685897435897</v>
      </c>
      <c r="N2767" t="s">
        <v>8</v>
      </c>
      <c r="O2767" t="s">
        <v>911</v>
      </c>
      <c r="P2767" t="s">
        <v>29</v>
      </c>
      <c r="Q2767" t="s">
        <v>42</v>
      </c>
      <c r="R2767" t="s">
        <v>214</v>
      </c>
      <c r="S2767" t="s">
        <v>111</v>
      </c>
      <c r="T2767" t="s">
        <v>2015</v>
      </c>
      <c r="U2767" t="s">
        <v>105</v>
      </c>
      <c r="V2767">
        <v>1487.913333333333</v>
      </c>
    </row>
    <row r="2768" spans="1:22" x14ac:dyDescent="0.3">
      <c r="A2768" t="s">
        <v>4225</v>
      </c>
      <c r="B2768" s="2">
        <v>46060</v>
      </c>
      <c r="C2768" t="s">
        <v>204</v>
      </c>
      <c r="D2768" t="s">
        <v>24</v>
      </c>
      <c r="E2768" t="s">
        <v>25</v>
      </c>
      <c r="F2768">
        <v>4</v>
      </c>
      <c r="G2768">
        <v>0.1</v>
      </c>
      <c r="H2768">
        <v>50400</v>
      </c>
      <c r="I2768">
        <v>7219.55</v>
      </c>
      <c r="J2768" t="s">
        <v>39</v>
      </c>
      <c r="K2768" t="s">
        <v>40</v>
      </c>
      <c r="L2768">
        <v>12600</v>
      </c>
      <c r="M2768">
        <v>14.324503968253969</v>
      </c>
      <c r="N2768" t="s">
        <v>8</v>
      </c>
      <c r="O2768" t="s">
        <v>205</v>
      </c>
      <c r="P2768" t="s">
        <v>29</v>
      </c>
      <c r="Q2768" t="s">
        <v>30</v>
      </c>
      <c r="R2768" t="s">
        <v>98</v>
      </c>
      <c r="S2768" t="s">
        <v>54</v>
      </c>
      <c r="T2768" t="s">
        <v>206</v>
      </c>
      <c r="U2768" t="s">
        <v>34</v>
      </c>
      <c r="V2768">
        <v>1804.8875</v>
      </c>
    </row>
    <row r="2769" spans="1:22" x14ac:dyDescent="0.3">
      <c r="A2769" t="s">
        <v>4226</v>
      </c>
      <c r="B2769" s="2">
        <v>46054</v>
      </c>
      <c r="C2769" t="s">
        <v>916</v>
      </c>
      <c r="D2769" t="s">
        <v>37</v>
      </c>
      <c r="E2769" t="s">
        <v>38</v>
      </c>
      <c r="F2769">
        <v>2</v>
      </c>
      <c r="G2769">
        <v>0</v>
      </c>
      <c r="H2769">
        <v>3600</v>
      </c>
      <c r="I2769">
        <v>1300</v>
      </c>
      <c r="J2769" t="s">
        <v>26</v>
      </c>
      <c r="K2769" t="s">
        <v>40</v>
      </c>
      <c r="L2769">
        <v>1800</v>
      </c>
      <c r="M2769">
        <v>36.111111111111107</v>
      </c>
      <c r="N2769" t="s">
        <v>8</v>
      </c>
      <c r="O2769" t="s">
        <v>917</v>
      </c>
      <c r="P2769" t="s">
        <v>29</v>
      </c>
      <c r="Q2769" t="s">
        <v>42</v>
      </c>
      <c r="R2769" t="s">
        <v>121</v>
      </c>
      <c r="S2769" t="s">
        <v>44</v>
      </c>
      <c r="T2769" t="s">
        <v>918</v>
      </c>
      <c r="U2769" t="s">
        <v>34</v>
      </c>
      <c r="V2769">
        <v>650</v>
      </c>
    </row>
    <row r="2770" spans="1:22" x14ac:dyDescent="0.3">
      <c r="A2770" t="s">
        <v>4227</v>
      </c>
      <c r="B2770" s="2">
        <v>45879</v>
      </c>
      <c r="C2770" t="s">
        <v>1704</v>
      </c>
      <c r="D2770" t="s">
        <v>70</v>
      </c>
      <c r="E2770" t="s">
        <v>165</v>
      </c>
      <c r="F2770">
        <v>1</v>
      </c>
      <c r="G2770">
        <v>0.2</v>
      </c>
      <c r="H2770">
        <v>2000</v>
      </c>
      <c r="I2770">
        <v>565.07000000000005</v>
      </c>
      <c r="J2770" t="s">
        <v>65</v>
      </c>
      <c r="K2770" t="s">
        <v>40</v>
      </c>
      <c r="L2770">
        <v>2000</v>
      </c>
      <c r="M2770">
        <v>28.253499999999999</v>
      </c>
      <c r="N2770" t="s">
        <v>8</v>
      </c>
      <c r="O2770" t="s">
        <v>636</v>
      </c>
      <c r="P2770" t="s">
        <v>29</v>
      </c>
      <c r="Q2770" t="s">
        <v>30</v>
      </c>
      <c r="R2770" t="s">
        <v>53</v>
      </c>
      <c r="S2770" t="s">
        <v>54</v>
      </c>
      <c r="T2770" t="s">
        <v>1705</v>
      </c>
      <c r="U2770" t="s">
        <v>34</v>
      </c>
      <c r="V2770">
        <v>565.07000000000005</v>
      </c>
    </row>
    <row r="2771" spans="1:22" x14ac:dyDescent="0.3">
      <c r="A2771" t="s">
        <v>4228</v>
      </c>
      <c r="B2771" s="2">
        <v>45992</v>
      </c>
      <c r="C2771" t="s">
        <v>1761</v>
      </c>
      <c r="D2771" t="s">
        <v>24</v>
      </c>
      <c r="E2771" t="s">
        <v>242</v>
      </c>
      <c r="F2771">
        <v>3</v>
      </c>
      <c r="G2771">
        <v>0.1</v>
      </c>
      <c r="H2771">
        <v>1215</v>
      </c>
      <c r="I2771">
        <v>247.46</v>
      </c>
      <c r="J2771" t="s">
        <v>65</v>
      </c>
      <c r="K2771" t="s">
        <v>40</v>
      </c>
      <c r="L2771">
        <v>405</v>
      </c>
      <c r="M2771">
        <v>20.367078189300411</v>
      </c>
      <c r="N2771" t="s">
        <v>8</v>
      </c>
      <c r="O2771" t="s">
        <v>1762</v>
      </c>
      <c r="P2771" t="s">
        <v>83</v>
      </c>
      <c r="Q2771" t="s">
        <v>74</v>
      </c>
      <c r="R2771" t="s">
        <v>493</v>
      </c>
      <c r="S2771" t="s">
        <v>494</v>
      </c>
      <c r="T2771" t="s">
        <v>1763</v>
      </c>
      <c r="U2771" t="s">
        <v>34</v>
      </c>
      <c r="V2771">
        <v>82.486666666666665</v>
      </c>
    </row>
    <row r="2772" spans="1:22" x14ac:dyDescent="0.3">
      <c r="A2772" t="s">
        <v>4229</v>
      </c>
      <c r="B2772" s="2">
        <v>46252</v>
      </c>
      <c r="C2772" t="s">
        <v>910</v>
      </c>
      <c r="D2772" t="s">
        <v>24</v>
      </c>
      <c r="E2772" t="s">
        <v>92</v>
      </c>
      <c r="F2772">
        <v>2</v>
      </c>
      <c r="G2772">
        <v>0.1</v>
      </c>
      <c r="H2772">
        <v>1620</v>
      </c>
      <c r="I2772">
        <v>424.84</v>
      </c>
      <c r="J2772" t="s">
        <v>26</v>
      </c>
      <c r="K2772" t="s">
        <v>40</v>
      </c>
      <c r="L2772">
        <v>810</v>
      </c>
      <c r="M2772">
        <v>26.224691358024689</v>
      </c>
      <c r="N2772" t="s">
        <v>8</v>
      </c>
      <c r="O2772" t="s">
        <v>911</v>
      </c>
      <c r="P2772" t="s">
        <v>29</v>
      </c>
      <c r="Q2772" t="s">
        <v>30</v>
      </c>
      <c r="R2772" t="s">
        <v>31</v>
      </c>
      <c r="S2772" t="s">
        <v>32</v>
      </c>
      <c r="T2772" t="s">
        <v>912</v>
      </c>
      <c r="U2772" t="s">
        <v>34</v>
      </c>
      <c r="V2772">
        <v>212.42</v>
      </c>
    </row>
    <row r="2773" spans="1:22" x14ac:dyDescent="0.3">
      <c r="A2773" t="s">
        <v>4230</v>
      </c>
      <c r="B2773" s="2">
        <v>45839</v>
      </c>
      <c r="C2773" t="s">
        <v>3715</v>
      </c>
      <c r="D2773" t="s">
        <v>70</v>
      </c>
      <c r="E2773" t="s">
        <v>129</v>
      </c>
      <c r="F2773">
        <v>1</v>
      </c>
      <c r="G2773">
        <v>0.05</v>
      </c>
      <c r="H2773">
        <v>52250</v>
      </c>
      <c r="I2773">
        <v>7483.48</v>
      </c>
      <c r="J2773" t="s">
        <v>51</v>
      </c>
      <c r="K2773" t="s">
        <v>40</v>
      </c>
      <c r="L2773">
        <v>52250</v>
      </c>
      <c r="M2773">
        <v>14.322449760765551</v>
      </c>
      <c r="N2773" t="s">
        <v>8</v>
      </c>
      <c r="O2773" t="s">
        <v>1963</v>
      </c>
      <c r="P2773" t="s">
        <v>29</v>
      </c>
      <c r="Q2773" t="s">
        <v>74</v>
      </c>
      <c r="R2773" t="s">
        <v>75</v>
      </c>
      <c r="S2773" t="s">
        <v>75</v>
      </c>
      <c r="T2773" t="s">
        <v>3716</v>
      </c>
      <c r="U2773" t="s">
        <v>34</v>
      </c>
      <c r="V2773">
        <v>7483.48</v>
      </c>
    </row>
    <row r="2774" spans="1:22" x14ac:dyDescent="0.3">
      <c r="A2774" t="s">
        <v>4231</v>
      </c>
      <c r="B2774" s="2">
        <v>46227</v>
      </c>
      <c r="C2774" t="s">
        <v>268</v>
      </c>
      <c r="D2774" t="s">
        <v>70</v>
      </c>
      <c r="E2774" t="s">
        <v>71</v>
      </c>
      <c r="F2774">
        <v>2</v>
      </c>
      <c r="G2774">
        <v>0.05</v>
      </c>
      <c r="H2774">
        <v>34200</v>
      </c>
      <c r="I2774">
        <v>6095.54</v>
      </c>
      <c r="J2774" t="s">
        <v>26</v>
      </c>
      <c r="K2774" t="s">
        <v>40</v>
      </c>
      <c r="L2774">
        <v>17100</v>
      </c>
      <c r="M2774">
        <v>17.823216374269009</v>
      </c>
      <c r="N2774" t="s">
        <v>8</v>
      </c>
      <c r="O2774" t="s">
        <v>269</v>
      </c>
      <c r="P2774" t="s">
        <v>29</v>
      </c>
      <c r="Q2774" t="s">
        <v>30</v>
      </c>
      <c r="R2774" t="s">
        <v>31</v>
      </c>
      <c r="S2774" t="s">
        <v>32</v>
      </c>
      <c r="T2774" t="s">
        <v>270</v>
      </c>
      <c r="U2774" t="s">
        <v>34</v>
      </c>
      <c r="V2774">
        <v>3047.77</v>
      </c>
    </row>
    <row r="2775" spans="1:22" x14ac:dyDescent="0.3">
      <c r="A2775" t="s">
        <v>4232</v>
      </c>
      <c r="B2775" s="2">
        <v>45960</v>
      </c>
      <c r="C2775" t="s">
        <v>1869</v>
      </c>
      <c r="D2775" t="s">
        <v>37</v>
      </c>
      <c r="E2775" t="s">
        <v>170</v>
      </c>
      <c r="F2775">
        <v>3</v>
      </c>
      <c r="G2775">
        <v>0.15</v>
      </c>
      <c r="H2775">
        <v>3570</v>
      </c>
      <c r="I2775">
        <v>970.59</v>
      </c>
      <c r="J2775" t="s">
        <v>65</v>
      </c>
      <c r="K2775" t="s">
        <v>40</v>
      </c>
      <c r="L2775">
        <v>1190</v>
      </c>
      <c r="M2775">
        <v>27.187394957983201</v>
      </c>
      <c r="N2775" t="s">
        <v>8</v>
      </c>
      <c r="O2775" t="s">
        <v>789</v>
      </c>
      <c r="P2775" t="s">
        <v>29</v>
      </c>
      <c r="Q2775" t="s">
        <v>42</v>
      </c>
      <c r="R2775" t="s">
        <v>214</v>
      </c>
      <c r="S2775" t="s">
        <v>111</v>
      </c>
      <c r="T2775" t="s">
        <v>1870</v>
      </c>
      <c r="U2775" t="s">
        <v>34</v>
      </c>
      <c r="V2775">
        <v>323.52999999999997</v>
      </c>
    </row>
    <row r="2776" spans="1:22" x14ac:dyDescent="0.3">
      <c r="A2776" t="s">
        <v>4233</v>
      </c>
      <c r="B2776" s="2">
        <v>45848</v>
      </c>
      <c r="C2776" t="s">
        <v>229</v>
      </c>
      <c r="D2776" t="s">
        <v>70</v>
      </c>
      <c r="E2776" t="s">
        <v>129</v>
      </c>
      <c r="F2776">
        <v>6</v>
      </c>
      <c r="G2776">
        <v>0</v>
      </c>
      <c r="H2776">
        <v>330000</v>
      </c>
      <c r="I2776">
        <v>54000</v>
      </c>
      <c r="J2776" t="s">
        <v>65</v>
      </c>
      <c r="K2776" t="s">
        <v>40</v>
      </c>
      <c r="L2776">
        <v>55000</v>
      </c>
      <c r="M2776">
        <v>16.36363636363636</v>
      </c>
      <c r="N2776" t="s">
        <v>8</v>
      </c>
      <c r="O2776" t="s">
        <v>103</v>
      </c>
      <c r="P2776" t="s">
        <v>29</v>
      </c>
      <c r="Q2776" t="s">
        <v>30</v>
      </c>
      <c r="R2776" t="s">
        <v>60</v>
      </c>
      <c r="S2776" t="s">
        <v>61</v>
      </c>
      <c r="T2776" t="s">
        <v>230</v>
      </c>
      <c r="U2776" t="s">
        <v>105</v>
      </c>
      <c r="V2776">
        <v>9000</v>
      </c>
    </row>
    <row r="2777" spans="1:22" x14ac:dyDescent="0.3">
      <c r="A2777" t="s">
        <v>4234</v>
      </c>
      <c r="B2777" s="2">
        <v>45905</v>
      </c>
      <c r="C2777" t="s">
        <v>667</v>
      </c>
      <c r="D2777" t="s">
        <v>49</v>
      </c>
      <c r="E2777" t="s">
        <v>119</v>
      </c>
      <c r="F2777">
        <v>2</v>
      </c>
      <c r="G2777">
        <v>0.1</v>
      </c>
      <c r="H2777">
        <v>16200</v>
      </c>
      <c r="I2777">
        <v>3104.59</v>
      </c>
      <c r="J2777" t="s">
        <v>26</v>
      </c>
      <c r="K2777" t="s">
        <v>40</v>
      </c>
      <c r="L2777">
        <v>8100</v>
      </c>
      <c r="M2777">
        <v>19.16413580246914</v>
      </c>
      <c r="N2777" t="s">
        <v>8</v>
      </c>
      <c r="O2777" t="s">
        <v>668</v>
      </c>
      <c r="P2777" t="s">
        <v>29</v>
      </c>
      <c r="Q2777" t="s">
        <v>30</v>
      </c>
      <c r="R2777" t="s">
        <v>31</v>
      </c>
      <c r="S2777" t="s">
        <v>32</v>
      </c>
      <c r="T2777" t="s">
        <v>669</v>
      </c>
      <c r="U2777" t="s">
        <v>46</v>
      </c>
      <c r="V2777">
        <v>1552.2950000000001</v>
      </c>
    </row>
    <row r="2778" spans="1:22" x14ac:dyDescent="0.3">
      <c r="A2778" t="s">
        <v>4235</v>
      </c>
      <c r="B2778" s="2">
        <v>45875</v>
      </c>
      <c r="C2778" t="s">
        <v>824</v>
      </c>
      <c r="D2778" t="s">
        <v>24</v>
      </c>
      <c r="E2778" t="s">
        <v>87</v>
      </c>
      <c r="F2778">
        <v>3</v>
      </c>
      <c r="G2778">
        <v>0</v>
      </c>
      <c r="H2778">
        <v>1050</v>
      </c>
      <c r="I2778">
        <v>-72.489999999999995</v>
      </c>
      <c r="J2778" t="s">
        <v>39</v>
      </c>
      <c r="K2778" t="s">
        <v>80</v>
      </c>
      <c r="L2778">
        <v>350</v>
      </c>
      <c r="M2778">
        <v>-6.9038095238095227</v>
      </c>
      <c r="N2778" t="s">
        <v>81</v>
      </c>
      <c r="O2778" t="s">
        <v>825</v>
      </c>
      <c r="P2778" t="s">
        <v>29</v>
      </c>
      <c r="Q2778" t="s">
        <v>30</v>
      </c>
      <c r="R2778" t="s">
        <v>53</v>
      </c>
      <c r="S2778" t="s">
        <v>54</v>
      </c>
      <c r="T2778" t="s">
        <v>826</v>
      </c>
      <c r="U2778" t="s">
        <v>105</v>
      </c>
      <c r="V2778">
        <v>-24.16333333333333</v>
      </c>
    </row>
    <row r="2779" spans="1:22" x14ac:dyDescent="0.3">
      <c r="A2779" t="s">
        <v>4236</v>
      </c>
      <c r="B2779" s="2">
        <v>46235</v>
      </c>
      <c r="C2779" t="s">
        <v>2194</v>
      </c>
      <c r="D2779" t="s">
        <v>49</v>
      </c>
      <c r="E2779" t="s">
        <v>119</v>
      </c>
      <c r="F2779">
        <v>1</v>
      </c>
      <c r="G2779">
        <v>0.15</v>
      </c>
      <c r="H2779">
        <v>7650</v>
      </c>
      <c r="I2779">
        <v>1442.98</v>
      </c>
      <c r="J2779" t="s">
        <v>39</v>
      </c>
      <c r="K2779" t="s">
        <v>40</v>
      </c>
      <c r="L2779">
        <v>7650</v>
      </c>
      <c r="M2779">
        <v>18.862483660130721</v>
      </c>
      <c r="N2779" t="s">
        <v>8</v>
      </c>
      <c r="O2779" t="s">
        <v>333</v>
      </c>
      <c r="P2779" t="s">
        <v>29</v>
      </c>
      <c r="Q2779" t="s">
        <v>42</v>
      </c>
      <c r="R2779" t="s">
        <v>43</v>
      </c>
      <c r="S2779" t="s">
        <v>44</v>
      </c>
      <c r="T2779" t="s">
        <v>2004</v>
      </c>
      <c r="U2779" t="s">
        <v>34</v>
      </c>
      <c r="V2779">
        <v>1442.98</v>
      </c>
    </row>
    <row r="2780" spans="1:22" x14ac:dyDescent="0.3">
      <c r="A2780" t="s">
        <v>4237</v>
      </c>
      <c r="B2780" s="2">
        <v>46246</v>
      </c>
      <c r="C2780" t="s">
        <v>766</v>
      </c>
      <c r="D2780" t="s">
        <v>49</v>
      </c>
      <c r="E2780" t="s">
        <v>79</v>
      </c>
      <c r="F2780">
        <v>1</v>
      </c>
      <c r="G2780">
        <v>0.1</v>
      </c>
      <c r="H2780">
        <v>9900</v>
      </c>
      <c r="I2780">
        <v>1719.21</v>
      </c>
      <c r="J2780" t="s">
        <v>51</v>
      </c>
      <c r="K2780" t="s">
        <v>40</v>
      </c>
      <c r="L2780">
        <v>9900</v>
      </c>
      <c r="M2780">
        <v>17.365757575757581</v>
      </c>
      <c r="N2780" t="s">
        <v>8</v>
      </c>
      <c r="O2780" t="s">
        <v>195</v>
      </c>
      <c r="P2780" t="s">
        <v>29</v>
      </c>
      <c r="Q2780" t="s">
        <v>42</v>
      </c>
      <c r="R2780" t="s">
        <v>43</v>
      </c>
      <c r="S2780" t="s">
        <v>44</v>
      </c>
      <c r="T2780" t="s">
        <v>767</v>
      </c>
      <c r="U2780" t="s">
        <v>105</v>
      </c>
      <c r="V2780">
        <v>1719.21</v>
      </c>
    </row>
    <row r="2781" spans="1:22" x14ac:dyDescent="0.3">
      <c r="A2781" t="s">
        <v>4238</v>
      </c>
      <c r="B2781" s="2">
        <v>46165</v>
      </c>
      <c r="C2781" t="s">
        <v>933</v>
      </c>
      <c r="D2781" t="s">
        <v>24</v>
      </c>
      <c r="E2781" t="s">
        <v>242</v>
      </c>
      <c r="F2781">
        <v>5</v>
      </c>
      <c r="G2781">
        <v>0.15</v>
      </c>
      <c r="H2781">
        <v>1912.5</v>
      </c>
      <c r="I2781">
        <v>295.72000000000003</v>
      </c>
      <c r="J2781" t="s">
        <v>51</v>
      </c>
      <c r="K2781" t="s">
        <v>40</v>
      </c>
      <c r="L2781">
        <v>382.5</v>
      </c>
      <c r="M2781">
        <v>15.462483660130721</v>
      </c>
      <c r="N2781" t="s">
        <v>8</v>
      </c>
      <c r="O2781" t="s">
        <v>233</v>
      </c>
      <c r="P2781" t="s">
        <v>29</v>
      </c>
      <c r="Q2781" t="s">
        <v>30</v>
      </c>
      <c r="R2781" t="s">
        <v>31</v>
      </c>
      <c r="S2781" t="s">
        <v>32</v>
      </c>
      <c r="T2781" t="s">
        <v>934</v>
      </c>
      <c r="U2781" t="s">
        <v>34</v>
      </c>
      <c r="V2781">
        <v>59.144000000000013</v>
      </c>
    </row>
    <row r="2782" spans="1:22" x14ac:dyDescent="0.3">
      <c r="A2782" t="s">
        <v>4239</v>
      </c>
      <c r="B2782" s="2">
        <v>45929</v>
      </c>
      <c r="C2782" t="s">
        <v>970</v>
      </c>
      <c r="D2782" t="s">
        <v>24</v>
      </c>
      <c r="E2782" t="s">
        <v>25</v>
      </c>
      <c r="F2782">
        <v>1</v>
      </c>
      <c r="G2782">
        <v>0.1</v>
      </c>
      <c r="H2782">
        <v>12600</v>
      </c>
      <c r="I2782">
        <v>1708.62</v>
      </c>
      <c r="J2782" t="s">
        <v>39</v>
      </c>
      <c r="K2782" t="s">
        <v>40</v>
      </c>
      <c r="L2782">
        <v>12600</v>
      </c>
      <c r="M2782">
        <v>13.560476190476191</v>
      </c>
      <c r="N2782" t="s">
        <v>8</v>
      </c>
      <c r="O2782" t="s">
        <v>971</v>
      </c>
      <c r="P2782" t="s">
        <v>83</v>
      </c>
      <c r="Q2782" t="s">
        <v>30</v>
      </c>
      <c r="R2782" t="s">
        <v>31</v>
      </c>
      <c r="S2782" t="s">
        <v>32</v>
      </c>
      <c r="T2782" t="s">
        <v>972</v>
      </c>
      <c r="U2782" t="s">
        <v>34</v>
      </c>
      <c r="V2782">
        <v>1708.62</v>
      </c>
    </row>
    <row r="2783" spans="1:22" x14ac:dyDescent="0.3">
      <c r="A2783" t="s">
        <v>4240</v>
      </c>
      <c r="B2783" s="2">
        <v>46111</v>
      </c>
      <c r="C2783" t="s">
        <v>3327</v>
      </c>
      <c r="D2783" t="s">
        <v>49</v>
      </c>
      <c r="E2783" t="s">
        <v>119</v>
      </c>
      <c r="F2783">
        <v>2</v>
      </c>
      <c r="G2783">
        <v>0.2</v>
      </c>
      <c r="H2783">
        <v>14400</v>
      </c>
      <c r="I2783">
        <v>2145.1</v>
      </c>
      <c r="J2783" t="s">
        <v>51</v>
      </c>
      <c r="K2783" t="s">
        <v>40</v>
      </c>
      <c r="L2783">
        <v>7200</v>
      </c>
      <c r="M2783">
        <v>14.896527777777781</v>
      </c>
      <c r="N2783" t="s">
        <v>8</v>
      </c>
      <c r="O2783" t="s">
        <v>3328</v>
      </c>
      <c r="P2783" t="s">
        <v>29</v>
      </c>
      <c r="Q2783" t="s">
        <v>74</v>
      </c>
      <c r="R2783" t="s">
        <v>115</v>
      </c>
      <c r="S2783" t="s">
        <v>115</v>
      </c>
      <c r="T2783" t="s">
        <v>184</v>
      </c>
      <c r="U2783" t="s">
        <v>34</v>
      </c>
      <c r="V2783">
        <v>1072.55</v>
      </c>
    </row>
    <row r="2784" spans="1:22" x14ac:dyDescent="0.3">
      <c r="A2784" t="s">
        <v>4241</v>
      </c>
      <c r="B2784" s="2">
        <v>46167</v>
      </c>
      <c r="C2784" t="s">
        <v>1436</v>
      </c>
      <c r="D2784" t="s">
        <v>49</v>
      </c>
      <c r="E2784" t="s">
        <v>119</v>
      </c>
      <c r="F2784">
        <v>1</v>
      </c>
      <c r="G2784">
        <v>0.05</v>
      </c>
      <c r="H2784">
        <v>8550</v>
      </c>
      <c r="I2784">
        <v>2068.27</v>
      </c>
      <c r="J2784" t="s">
        <v>65</v>
      </c>
      <c r="K2784" t="s">
        <v>40</v>
      </c>
      <c r="L2784">
        <v>8550</v>
      </c>
      <c r="M2784">
        <v>24.190292397660819</v>
      </c>
      <c r="N2784" t="s">
        <v>8</v>
      </c>
      <c r="O2784" t="s">
        <v>697</v>
      </c>
      <c r="P2784" t="s">
        <v>83</v>
      </c>
      <c r="Q2784" t="s">
        <v>30</v>
      </c>
      <c r="R2784" t="s">
        <v>60</v>
      </c>
      <c r="S2784" t="s">
        <v>61</v>
      </c>
      <c r="T2784" t="s">
        <v>1437</v>
      </c>
      <c r="U2784" t="s">
        <v>46</v>
      </c>
      <c r="V2784">
        <v>2068.27</v>
      </c>
    </row>
    <row r="2785" spans="1:22" x14ac:dyDescent="0.3">
      <c r="A2785" t="s">
        <v>4242</v>
      </c>
      <c r="B2785" s="2">
        <v>45851</v>
      </c>
      <c r="C2785" t="s">
        <v>208</v>
      </c>
      <c r="D2785" t="s">
        <v>49</v>
      </c>
      <c r="E2785" t="s">
        <v>50</v>
      </c>
      <c r="F2785">
        <v>5</v>
      </c>
      <c r="G2785">
        <v>0.1</v>
      </c>
      <c r="H2785">
        <v>58500</v>
      </c>
      <c r="I2785">
        <v>12823.79</v>
      </c>
      <c r="J2785" t="s">
        <v>51</v>
      </c>
      <c r="K2785" t="s">
        <v>40</v>
      </c>
      <c r="L2785">
        <v>11700</v>
      </c>
      <c r="M2785">
        <v>21.921008547008551</v>
      </c>
      <c r="N2785" t="s">
        <v>8</v>
      </c>
      <c r="O2785" t="s">
        <v>209</v>
      </c>
      <c r="P2785" t="s">
        <v>29</v>
      </c>
      <c r="Q2785" t="s">
        <v>30</v>
      </c>
      <c r="R2785" t="s">
        <v>60</v>
      </c>
      <c r="S2785" t="s">
        <v>61</v>
      </c>
      <c r="T2785" t="s">
        <v>210</v>
      </c>
      <c r="U2785" t="s">
        <v>46</v>
      </c>
      <c r="V2785">
        <v>2564.7579999999998</v>
      </c>
    </row>
    <row r="2786" spans="1:22" x14ac:dyDescent="0.3">
      <c r="A2786" t="s">
        <v>4243</v>
      </c>
      <c r="B2786" s="2">
        <v>45909</v>
      </c>
      <c r="C2786" t="s">
        <v>377</v>
      </c>
      <c r="D2786" t="s">
        <v>49</v>
      </c>
      <c r="E2786" t="s">
        <v>79</v>
      </c>
      <c r="F2786">
        <v>1</v>
      </c>
      <c r="G2786">
        <v>0.2</v>
      </c>
      <c r="H2786">
        <v>8800</v>
      </c>
      <c r="I2786">
        <v>1380.16</v>
      </c>
      <c r="J2786" t="s">
        <v>39</v>
      </c>
      <c r="K2786" t="s">
        <v>40</v>
      </c>
      <c r="L2786">
        <v>8800</v>
      </c>
      <c r="M2786">
        <v>15.68363636363636</v>
      </c>
      <c r="N2786" t="s">
        <v>8</v>
      </c>
      <c r="O2786" t="s">
        <v>378</v>
      </c>
      <c r="P2786" t="s">
        <v>29</v>
      </c>
      <c r="Q2786" t="s">
        <v>30</v>
      </c>
      <c r="R2786" t="s">
        <v>31</v>
      </c>
      <c r="S2786" t="s">
        <v>32</v>
      </c>
      <c r="T2786" t="s">
        <v>379</v>
      </c>
      <c r="U2786" t="s">
        <v>34</v>
      </c>
      <c r="V2786">
        <v>1380.16</v>
      </c>
    </row>
    <row r="2787" spans="1:22" x14ac:dyDescent="0.3">
      <c r="A2787" t="s">
        <v>4244</v>
      </c>
      <c r="B2787" s="2">
        <v>45941</v>
      </c>
      <c r="C2787" t="s">
        <v>194</v>
      </c>
      <c r="D2787" t="s">
        <v>37</v>
      </c>
      <c r="E2787" t="s">
        <v>170</v>
      </c>
      <c r="F2787">
        <v>3</v>
      </c>
      <c r="G2787">
        <v>0.2</v>
      </c>
      <c r="H2787">
        <v>3360</v>
      </c>
      <c r="I2787">
        <v>970.3</v>
      </c>
      <c r="J2787" t="s">
        <v>65</v>
      </c>
      <c r="K2787" t="s">
        <v>40</v>
      </c>
      <c r="L2787">
        <v>1120</v>
      </c>
      <c r="M2787">
        <v>28.87797619047619</v>
      </c>
      <c r="N2787" t="s">
        <v>8</v>
      </c>
      <c r="O2787" t="s">
        <v>195</v>
      </c>
      <c r="P2787" t="s">
        <v>73</v>
      </c>
      <c r="Q2787" t="s">
        <v>30</v>
      </c>
      <c r="R2787" t="s">
        <v>98</v>
      </c>
      <c r="S2787" t="s">
        <v>54</v>
      </c>
      <c r="T2787" t="s">
        <v>196</v>
      </c>
      <c r="U2787" t="s">
        <v>105</v>
      </c>
      <c r="V2787">
        <v>323.43333333333328</v>
      </c>
    </row>
    <row r="2788" spans="1:22" x14ac:dyDescent="0.3">
      <c r="A2788" t="s">
        <v>4245</v>
      </c>
      <c r="B2788" s="2">
        <v>46192</v>
      </c>
      <c r="C2788" t="s">
        <v>1273</v>
      </c>
      <c r="D2788" t="s">
        <v>70</v>
      </c>
      <c r="E2788" t="s">
        <v>108</v>
      </c>
      <c r="F2788">
        <v>1</v>
      </c>
      <c r="G2788">
        <v>0.15</v>
      </c>
      <c r="H2788">
        <v>3825</v>
      </c>
      <c r="I2788">
        <v>1135.46</v>
      </c>
      <c r="J2788" t="s">
        <v>65</v>
      </c>
      <c r="K2788" t="s">
        <v>40</v>
      </c>
      <c r="L2788">
        <v>3825</v>
      </c>
      <c r="M2788">
        <v>29.685228758169931</v>
      </c>
      <c r="N2788" t="s">
        <v>8</v>
      </c>
      <c r="O2788" t="s">
        <v>618</v>
      </c>
      <c r="P2788" t="s">
        <v>83</v>
      </c>
      <c r="Q2788" t="s">
        <v>74</v>
      </c>
      <c r="R2788" t="s">
        <v>237</v>
      </c>
      <c r="S2788" t="s">
        <v>238</v>
      </c>
      <c r="T2788" t="s">
        <v>1274</v>
      </c>
      <c r="U2788" t="s">
        <v>100</v>
      </c>
      <c r="V2788">
        <v>1135.46</v>
      </c>
    </row>
    <row r="2789" spans="1:22" x14ac:dyDescent="0.3">
      <c r="A2789" t="s">
        <v>4246</v>
      </c>
      <c r="B2789" s="2">
        <v>46156</v>
      </c>
      <c r="C2789" t="s">
        <v>405</v>
      </c>
      <c r="D2789" t="s">
        <v>37</v>
      </c>
      <c r="E2789" t="s">
        <v>310</v>
      </c>
      <c r="F2789">
        <v>1</v>
      </c>
      <c r="G2789">
        <v>0.1</v>
      </c>
      <c r="H2789">
        <v>1980</v>
      </c>
      <c r="I2789">
        <v>563.26</v>
      </c>
      <c r="J2789" t="s">
        <v>65</v>
      </c>
      <c r="K2789" t="s">
        <v>40</v>
      </c>
      <c r="L2789">
        <v>1980</v>
      </c>
      <c r="M2789">
        <v>28.44747474747475</v>
      </c>
      <c r="N2789" t="s">
        <v>8</v>
      </c>
      <c r="O2789" t="s">
        <v>406</v>
      </c>
      <c r="P2789" t="s">
        <v>73</v>
      </c>
      <c r="Q2789" t="s">
        <v>74</v>
      </c>
      <c r="R2789" t="s">
        <v>115</v>
      </c>
      <c r="S2789" t="s">
        <v>115</v>
      </c>
      <c r="T2789" t="s">
        <v>407</v>
      </c>
      <c r="U2789" t="s">
        <v>100</v>
      </c>
      <c r="V2789">
        <v>563.26</v>
      </c>
    </row>
    <row r="2790" spans="1:22" x14ac:dyDescent="0.3">
      <c r="A2790" t="s">
        <v>4247</v>
      </c>
      <c r="B2790" s="2">
        <v>45876</v>
      </c>
      <c r="C2790" t="s">
        <v>983</v>
      </c>
      <c r="D2790" t="s">
        <v>24</v>
      </c>
      <c r="E2790" t="s">
        <v>92</v>
      </c>
      <c r="F2790">
        <v>1</v>
      </c>
      <c r="G2790">
        <v>0</v>
      </c>
      <c r="H2790">
        <v>900</v>
      </c>
      <c r="I2790">
        <v>280</v>
      </c>
      <c r="J2790" t="s">
        <v>65</v>
      </c>
      <c r="K2790" t="s">
        <v>40</v>
      </c>
      <c r="L2790">
        <v>900</v>
      </c>
      <c r="M2790">
        <v>31.111111111111111</v>
      </c>
      <c r="N2790" t="s">
        <v>8</v>
      </c>
      <c r="O2790" t="s">
        <v>984</v>
      </c>
      <c r="P2790" t="s">
        <v>29</v>
      </c>
      <c r="Q2790" t="s">
        <v>30</v>
      </c>
      <c r="R2790" t="s">
        <v>31</v>
      </c>
      <c r="S2790" t="s">
        <v>32</v>
      </c>
      <c r="T2790" t="s">
        <v>985</v>
      </c>
      <c r="U2790" t="s">
        <v>46</v>
      </c>
      <c r="V2790">
        <v>280</v>
      </c>
    </row>
    <row r="2791" spans="1:22" x14ac:dyDescent="0.3">
      <c r="A2791" t="s">
        <v>4248</v>
      </c>
      <c r="B2791" s="2">
        <v>46239</v>
      </c>
      <c r="C2791" t="s">
        <v>4249</v>
      </c>
      <c r="D2791" t="s">
        <v>37</v>
      </c>
      <c r="E2791" t="s">
        <v>190</v>
      </c>
      <c r="F2791">
        <v>1</v>
      </c>
      <c r="G2791">
        <v>0</v>
      </c>
      <c r="H2791">
        <v>4200</v>
      </c>
      <c r="I2791">
        <v>1200</v>
      </c>
      <c r="J2791" t="s">
        <v>65</v>
      </c>
      <c r="K2791" t="s">
        <v>40</v>
      </c>
      <c r="L2791">
        <v>4200</v>
      </c>
      <c r="M2791">
        <v>28.571428571428569</v>
      </c>
      <c r="N2791" t="s">
        <v>8</v>
      </c>
      <c r="O2791" t="s">
        <v>28</v>
      </c>
      <c r="P2791" t="s">
        <v>29</v>
      </c>
      <c r="Q2791" t="s">
        <v>74</v>
      </c>
      <c r="R2791" t="s">
        <v>493</v>
      </c>
      <c r="S2791" t="s">
        <v>494</v>
      </c>
      <c r="T2791" t="s">
        <v>4250</v>
      </c>
      <c r="U2791" t="s">
        <v>105</v>
      </c>
      <c r="V2791">
        <v>1200</v>
      </c>
    </row>
    <row r="2792" spans="1:22" x14ac:dyDescent="0.3">
      <c r="A2792" t="s">
        <v>4251</v>
      </c>
      <c r="B2792" s="2">
        <v>45963</v>
      </c>
      <c r="C2792" t="s">
        <v>1036</v>
      </c>
      <c r="D2792" t="s">
        <v>49</v>
      </c>
      <c r="E2792" t="s">
        <v>50</v>
      </c>
      <c r="F2792">
        <v>1</v>
      </c>
      <c r="G2792">
        <v>0.15</v>
      </c>
      <c r="H2792">
        <v>11050</v>
      </c>
      <c r="I2792">
        <v>-6970.97</v>
      </c>
      <c r="J2792" t="s">
        <v>26</v>
      </c>
      <c r="K2792" t="s">
        <v>80</v>
      </c>
      <c r="L2792">
        <v>11050</v>
      </c>
      <c r="M2792">
        <v>-63.085701357466057</v>
      </c>
      <c r="N2792" t="s">
        <v>81</v>
      </c>
      <c r="O2792" t="s">
        <v>149</v>
      </c>
      <c r="P2792" t="s">
        <v>83</v>
      </c>
      <c r="Q2792" t="s">
        <v>30</v>
      </c>
      <c r="R2792" t="s">
        <v>53</v>
      </c>
      <c r="S2792" t="s">
        <v>54</v>
      </c>
      <c r="T2792" t="s">
        <v>1037</v>
      </c>
      <c r="U2792" t="s">
        <v>46</v>
      </c>
      <c r="V2792">
        <v>-6970.97</v>
      </c>
    </row>
    <row r="2793" spans="1:22" x14ac:dyDescent="0.3">
      <c r="A2793" t="s">
        <v>4252</v>
      </c>
      <c r="B2793" s="2">
        <v>46016</v>
      </c>
      <c r="C2793" t="s">
        <v>617</v>
      </c>
      <c r="D2793" t="s">
        <v>24</v>
      </c>
      <c r="E2793" t="s">
        <v>92</v>
      </c>
      <c r="F2793">
        <v>2</v>
      </c>
      <c r="G2793">
        <v>0.05</v>
      </c>
      <c r="H2793">
        <v>1710</v>
      </c>
      <c r="I2793">
        <v>485.74</v>
      </c>
      <c r="J2793" t="s">
        <v>26</v>
      </c>
      <c r="K2793" t="s">
        <v>40</v>
      </c>
      <c r="L2793">
        <v>855</v>
      </c>
      <c r="M2793">
        <v>28.405847953216369</v>
      </c>
      <c r="N2793" t="s">
        <v>8</v>
      </c>
      <c r="O2793" t="s">
        <v>618</v>
      </c>
      <c r="P2793" t="s">
        <v>83</v>
      </c>
      <c r="Q2793" t="s">
        <v>30</v>
      </c>
      <c r="R2793" t="s">
        <v>98</v>
      </c>
      <c r="S2793" t="s">
        <v>54</v>
      </c>
      <c r="T2793" t="s">
        <v>619</v>
      </c>
      <c r="U2793" t="s">
        <v>100</v>
      </c>
      <c r="V2793">
        <v>242.87</v>
      </c>
    </row>
    <row r="2794" spans="1:22" x14ac:dyDescent="0.3">
      <c r="A2794" t="s">
        <v>4253</v>
      </c>
      <c r="B2794" s="2">
        <v>46012</v>
      </c>
      <c r="C2794" t="s">
        <v>671</v>
      </c>
      <c r="D2794" t="s">
        <v>24</v>
      </c>
      <c r="E2794" t="s">
        <v>242</v>
      </c>
      <c r="F2794">
        <v>3</v>
      </c>
      <c r="G2794">
        <v>0.05</v>
      </c>
      <c r="H2794">
        <v>1282.5</v>
      </c>
      <c r="I2794">
        <v>-183.38</v>
      </c>
      <c r="J2794" t="s">
        <v>39</v>
      </c>
      <c r="K2794" t="s">
        <v>80</v>
      </c>
      <c r="L2794">
        <v>427.5</v>
      </c>
      <c r="M2794">
        <v>-14.298635477582851</v>
      </c>
      <c r="N2794" t="s">
        <v>81</v>
      </c>
      <c r="O2794" t="s">
        <v>582</v>
      </c>
      <c r="P2794" t="s">
        <v>73</v>
      </c>
      <c r="Q2794" t="s">
        <v>30</v>
      </c>
      <c r="R2794" t="s">
        <v>53</v>
      </c>
      <c r="S2794" t="s">
        <v>54</v>
      </c>
      <c r="T2794" t="s">
        <v>672</v>
      </c>
      <c r="U2794" t="s">
        <v>46</v>
      </c>
      <c r="V2794">
        <v>-61.126666666666672</v>
      </c>
    </row>
    <row r="2795" spans="1:22" x14ac:dyDescent="0.3">
      <c r="A2795" t="s">
        <v>4254</v>
      </c>
      <c r="B2795" s="2">
        <v>45873</v>
      </c>
      <c r="C2795" t="s">
        <v>204</v>
      </c>
      <c r="D2795" t="s">
        <v>70</v>
      </c>
      <c r="E2795" t="s">
        <v>165</v>
      </c>
      <c r="F2795">
        <v>1</v>
      </c>
      <c r="G2795">
        <v>0.2</v>
      </c>
      <c r="H2795">
        <v>2000</v>
      </c>
      <c r="I2795">
        <v>497.82</v>
      </c>
      <c r="J2795" t="s">
        <v>26</v>
      </c>
      <c r="K2795" t="s">
        <v>40</v>
      </c>
      <c r="L2795">
        <v>2000</v>
      </c>
      <c r="M2795">
        <v>24.890999999999998</v>
      </c>
      <c r="N2795" t="s">
        <v>8</v>
      </c>
      <c r="O2795" t="s">
        <v>205</v>
      </c>
      <c r="P2795" t="s">
        <v>29</v>
      </c>
      <c r="Q2795" t="s">
        <v>30</v>
      </c>
      <c r="R2795" t="s">
        <v>98</v>
      </c>
      <c r="S2795" t="s">
        <v>54</v>
      </c>
      <c r="T2795" t="s">
        <v>206</v>
      </c>
      <c r="U2795" t="s">
        <v>34</v>
      </c>
      <c r="V2795">
        <v>497.82</v>
      </c>
    </row>
    <row r="2796" spans="1:22" x14ac:dyDescent="0.3">
      <c r="A2796" t="s">
        <v>4255</v>
      </c>
      <c r="B2796" s="2">
        <v>45887</v>
      </c>
      <c r="C2796" t="s">
        <v>1744</v>
      </c>
      <c r="D2796" t="s">
        <v>70</v>
      </c>
      <c r="E2796" t="s">
        <v>71</v>
      </c>
      <c r="F2796">
        <v>2</v>
      </c>
      <c r="G2796">
        <v>0.1</v>
      </c>
      <c r="H2796">
        <v>32400</v>
      </c>
      <c r="I2796">
        <v>4525.46</v>
      </c>
      <c r="J2796" t="s">
        <v>51</v>
      </c>
      <c r="K2796" t="s">
        <v>27</v>
      </c>
      <c r="L2796">
        <v>16200</v>
      </c>
      <c r="M2796">
        <v>13.967469135802469</v>
      </c>
      <c r="N2796" t="s">
        <v>8</v>
      </c>
      <c r="O2796" t="s">
        <v>922</v>
      </c>
      <c r="P2796" t="s">
        <v>29</v>
      </c>
      <c r="Q2796" t="s">
        <v>74</v>
      </c>
      <c r="R2796" t="s">
        <v>237</v>
      </c>
      <c r="S2796" t="s">
        <v>238</v>
      </c>
      <c r="T2796" t="s">
        <v>1745</v>
      </c>
      <c r="U2796" t="s">
        <v>105</v>
      </c>
      <c r="V2796">
        <v>2262.73</v>
      </c>
    </row>
    <row r="2797" spans="1:22" x14ac:dyDescent="0.3">
      <c r="A2797" t="s">
        <v>4256</v>
      </c>
      <c r="B2797" s="2">
        <v>45906</v>
      </c>
      <c r="C2797" t="s">
        <v>2972</v>
      </c>
      <c r="D2797" t="s">
        <v>70</v>
      </c>
      <c r="E2797" t="s">
        <v>108</v>
      </c>
      <c r="F2797">
        <v>5</v>
      </c>
      <c r="G2797">
        <v>0.15</v>
      </c>
      <c r="H2797">
        <v>19125</v>
      </c>
      <c r="I2797">
        <v>5521.56</v>
      </c>
      <c r="J2797" t="s">
        <v>39</v>
      </c>
      <c r="K2797" t="s">
        <v>40</v>
      </c>
      <c r="L2797">
        <v>3825</v>
      </c>
      <c r="M2797">
        <v>28.87090196078432</v>
      </c>
      <c r="N2797" t="s">
        <v>8</v>
      </c>
      <c r="O2797" t="s">
        <v>870</v>
      </c>
      <c r="P2797" t="s">
        <v>83</v>
      </c>
      <c r="Q2797" t="s">
        <v>30</v>
      </c>
      <c r="R2797" t="s">
        <v>60</v>
      </c>
      <c r="S2797" t="s">
        <v>61</v>
      </c>
      <c r="T2797" t="s">
        <v>898</v>
      </c>
      <c r="U2797" t="s">
        <v>34</v>
      </c>
      <c r="V2797">
        <v>1104.3119999999999</v>
      </c>
    </row>
    <row r="2798" spans="1:22" x14ac:dyDescent="0.3">
      <c r="A2798" t="s">
        <v>4257</v>
      </c>
      <c r="B2798" s="2">
        <v>45930</v>
      </c>
      <c r="C2798" t="s">
        <v>189</v>
      </c>
      <c r="D2798" t="s">
        <v>37</v>
      </c>
      <c r="E2798" t="s">
        <v>190</v>
      </c>
      <c r="F2798">
        <v>3</v>
      </c>
      <c r="G2798">
        <v>0</v>
      </c>
      <c r="H2798">
        <v>12600</v>
      </c>
      <c r="I2798">
        <v>3600</v>
      </c>
      <c r="J2798" t="s">
        <v>39</v>
      </c>
      <c r="K2798" t="s">
        <v>40</v>
      </c>
      <c r="L2798">
        <v>4200</v>
      </c>
      <c r="M2798">
        <v>28.571428571428569</v>
      </c>
      <c r="N2798" t="s">
        <v>8</v>
      </c>
      <c r="O2798" t="s">
        <v>191</v>
      </c>
      <c r="P2798" t="s">
        <v>29</v>
      </c>
      <c r="Q2798" t="s">
        <v>30</v>
      </c>
      <c r="R2798" t="s">
        <v>31</v>
      </c>
      <c r="S2798" t="s">
        <v>32</v>
      </c>
      <c r="T2798" t="s">
        <v>192</v>
      </c>
      <c r="U2798" t="s">
        <v>34</v>
      </c>
      <c r="V2798">
        <v>1200</v>
      </c>
    </row>
    <row r="2799" spans="1:22" x14ac:dyDescent="0.3">
      <c r="A2799" t="s">
        <v>4258</v>
      </c>
      <c r="B2799" s="2">
        <v>45885</v>
      </c>
      <c r="C2799" t="s">
        <v>1688</v>
      </c>
      <c r="D2799" t="s">
        <v>70</v>
      </c>
      <c r="E2799" t="s">
        <v>71</v>
      </c>
      <c r="F2799">
        <v>3</v>
      </c>
      <c r="G2799">
        <v>0.1</v>
      </c>
      <c r="H2799">
        <v>48600</v>
      </c>
      <c r="I2799">
        <v>7541.75</v>
      </c>
      <c r="J2799" t="s">
        <v>51</v>
      </c>
      <c r="K2799" t="s">
        <v>40</v>
      </c>
      <c r="L2799">
        <v>16200</v>
      </c>
      <c r="M2799">
        <v>15.51800411522634</v>
      </c>
      <c r="N2799" t="s">
        <v>8</v>
      </c>
      <c r="O2799" t="s">
        <v>883</v>
      </c>
      <c r="P2799" t="s">
        <v>73</v>
      </c>
      <c r="Q2799" t="s">
        <v>30</v>
      </c>
      <c r="R2799" t="s">
        <v>31</v>
      </c>
      <c r="S2799" t="s">
        <v>32</v>
      </c>
      <c r="T2799" t="s">
        <v>575</v>
      </c>
      <c r="U2799" t="s">
        <v>34</v>
      </c>
      <c r="V2799">
        <v>2513.916666666667</v>
      </c>
    </row>
    <row r="2800" spans="1:22" x14ac:dyDescent="0.3">
      <c r="A2800" t="s">
        <v>4259</v>
      </c>
      <c r="B2800" s="2">
        <v>45973</v>
      </c>
      <c r="C2800" t="s">
        <v>904</v>
      </c>
      <c r="D2800" t="s">
        <v>37</v>
      </c>
      <c r="E2800" t="s">
        <v>310</v>
      </c>
      <c r="F2800">
        <v>3</v>
      </c>
      <c r="G2800">
        <v>0.1</v>
      </c>
      <c r="H2800">
        <v>5940</v>
      </c>
      <c r="I2800">
        <v>1938.8</v>
      </c>
      <c r="J2800" t="s">
        <v>51</v>
      </c>
      <c r="K2800" t="s">
        <v>40</v>
      </c>
      <c r="L2800">
        <v>1980</v>
      </c>
      <c r="M2800">
        <v>32.639730639730637</v>
      </c>
      <c r="N2800" t="s">
        <v>8</v>
      </c>
      <c r="O2800" t="s">
        <v>578</v>
      </c>
      <c r="P2800" t="s">
        <v>29</v>
      </c>
      <c r="Q2800" t="s">
        <v>131</v>
      </c>
      <c r="R2800" t="s">
        <v>289</v>
      </c>
      <c r="S2800" t="s">
        <v>290</v>
      </c>
      <c r="T2800" t="s">
        <v>905</v>
      </c>
      <c r="U2800" t="s">
        <v>46</v>
      </c>
      <c r="V2800">
        <v>646.26666666666665</v>
      </c>
    </row>
    <row r="2801" spans="1:22" x14ac:dyDescent="0.3">
      <c r="A2801" t="s">
        <v>4260</v>
      </c>
      <c r="B2801" s="2">
        <v>45926</v>
      </c>
      <c r="C2801" t="s">
        <v>675</v>
      </c>
      <c r="D2801" t="s">
        <v>70</v>
      </c>
      <c r="E2801" t="s">
        <v>108</v>
      </c>
      <c r="F2801">
        <v>1</v>
      </c>
      <c r="G2801">
        <v>0.15</v>
      </c>
      <c r="H2801">
        <v>3825</v>
      </c>
      <c r="I2801">
        <v>943.29</v>
      </c>
      <c r="J2801" t="s">
        <v>65</v>
      </c>
      <c r="K2801" t="s">
        <v>27</v>
      </c>
      <c r="L2801">
        <v>3825</v>
      </c>
      <c r="M2801">
        <v>24.661176470588231</v>
      </c>
      <c r="N2801" t="s">
        <v>8</v>
      </c>
      <c r="O2801" t="s">
        <v>255</v>
      </c>
      <c r="P2801" t="s">
        <v>29</v>
      </c>
      <c r="Q2801" t="s">
        <v>30</v>
      </c>
      <c r="R2801" t="s">
        <v>60</v>
      </c>
      <c r="S2801" t="s">
        <v>61</v>
      </c>
      <c r="T2801" t="s">
        <v>676</v>
      </c>
      <c r="U2801" t="s">
        <v>105</v>
      </c>
      <c r="V2801">
        <v>943.29</v>
      </c>
    </row>
    <row r="2802" spans="1:22" x14ac:dyDescent="0.3">
      <c r="A2802" t="s">
        <v>4261</v>
      </c>
      <c r="B2802" s="2">
        <v>46166</v>
      </c>
      <c r="C2802" t="s">
        <v>671</v>
      </c>
      <c r="D2802" t="s">
        <v>37</v>
      </c>
      <c r="E2802" t="s">
        <v>170</v>
      </c>
      <c r="F2802">
        <v>2</v>
      </c>
      <c r="G2802">
        <v>0.1</v>
      </c>
      <c r="H2802">
        <v>2520</v>
      </c>
      <c r="I2802">
        <v>814.26</v>
      </c>
      <c r="J2802" t="s">
        <v>26</v>
      </c>
      <c r="K2802" t="s">
        <v>40</v>
      </c>
      <c r="L2802">
        <v>1260</v>
      </c>
      <c r="M2802">
        <v>32.311904761904763</v>
      </c>
      <c r="N2802" t="s">
        <v>8</v>
      </c>
      <c r="O2802" t="s">
        <v>582</v>
      </c>
      <c r="P2802" t="s">
        <v>73</v>
      </c>
      <c r="Q2802" t="s">
        <v>30</v>
      </c>
      <c r="R2802" t="s">
        <v>53</v>
      </c>
      <c r="S2802" t="s">
        <v>54</v>
      </c>
      <c r="T2802" t="s">
        <v>672</v>
      </c>
      <c r="U2802" t="s">
        <v>46</v>
      </c>
      <c r="V2802">
        <v>407.13</v>
      </c>
    </row>
    <row r="2803" spans="1:22" x14ac:dyDescent="0.3">
      <c r="A2803" t="s">
        <v>4262</v>
      </c>
      <c r="B2803" s="2">
        <v>46194</v>
      </c>
      <c r="C2803" t="s">
        <v>589</v>
      </c>
      <c r="D2803" t="s">
        <v>37</v>
      </c>
      <c r="E2803" t="s">
        <v>170</v>
      </c>
      <c r="F2803">
        <v>2</v>
      </c>
      <c r="G2803">
        <v>0.05</v>
      </c>
      <c r="H2803">
        <v>2660</v>
      </c>
      <c r="I2803">
        <v>890.13</v>
      </c>
      <c r="J2803" t="s">
        <v>65</v>
      </c>
      <c r="K2803" t="s">
        <v>27</v>
      </c>
      <c r="L2803">
        <v>1330</v>
      </c>
      <c r="M2803">
        <v>33.463533834586471</v>
      </c>
      <c r="N2803" t="s">
        <v>8</v>
      </c>
      <c r="O2803" t="s">
        <v>590</v>
      </c>
      <c r="P2803" t="s">
        <v>83</v>
      </c>
      <c r="Q2803" t="s">
        <v>74</v>
      </c>
      <c r="R2803" t="s">
        <v>493</v>
      </c>
      <c r="S2803" t="s">
        <v>494</v>
      </c>
      <c r="T2803" t="s">
        <v>591</v>
      </c>
      <c r="U2803" t="s">
        <v>100</v>
      </c>
      <c r="V2803">
        <v>445.065</v>
      </c>
    </row>
    <row r="2804" spans="1:22" x14ac:dyDescent="0.3">
      <c r="A2804" t="s">
        <v>4263</v>
      </c>
      <c r="B2804" s="2">
        <v>46046</v>
      </c>
      <c r="C2804" t="s">
        <v>1266</v>
      </c>
      <c r="D2804" t="s">
        <v>70</v>
      </c>
      <c r="E2804" t="s">
        <v>129</v>
      </c>
      <c r="F2804">
        <v>4</v>
      </c>
      <c r="G2804">
        <v>0.1</v>
      </c>
      <c r="H2804">
        <v>198000</v>
      </c>
      <c r="I2804">
        <v>17636.97</v>
      </c>
      <c r="J2804" t="s">
        <v>65</v>
      </c>
      <c r="K2804" t="s">
        <v>27</v>
      </c>
      <c r="L2804">
        <v>49500</v>
      </c>
      <c r="M2804">
        <v>8.9075606060606063</v>
      </c>
      <c r="N2804" t="s">
        <v>8</v>
      </c>
      <c r="O2804" t="s">
        <v>518</v>
      </c>
      <c r="P2804" t="s">
        <v>29</v>
      </c>
      <c r="Q2804" t="s">
        <v>74</v>
      </c>
      <c r="R2804" t="s">
        <v>115</v>
      </c>
      <c r="S2804" t="s">
        <v>115</v>
      </c>
      <c r="T2804" t="s">
        <v>1267</v>
      </c>
      <c r="U2804" t="s">
        <v>100</v>
      </c>
      <c r="V2804">
        <v>4409.2425000000003</v>
      </c>
    </row>
    <row r="2805" spans="1:22" x14ac:dyDescent="0.3">
      <c r="A2805" t="s">
        <v>4264</v>
      </c>
      <c r="B2805" s="2">
        <v>45957</v>
      </c>
      <c r="C2805" t="s">
        <v>685</v>
      </c>
      <c r="D2805" t="s">
        <v>24</v>
      </c>
      <c r="E2805" t="s">
        <v>92</v>
      </c>
      <c r="F2805">
        <v>3</v>
      </c>
      <c r="G2805">
        <v>0.15</v>
      </c>
      <c r="H2805">
        <v>2295</v>
      </c>
      <c r="I2805">
        <v>499.48</v>
      </c>
      <c r="J2805" t="s">
        <v>26</v>
      </c>
      <c r="K2805" t="s">
        <v>40</v>
      </c>
      <c r="L2805">
        <v>765</v>
      </c>
      <c r="M2805">
        <v>21.763834422657951</v>
      </c>
      <c r="N2805" t="s">
        <v>8</v>
      </c>
      <c r="O2805" t="s">
        <v>686</v>
      </c>
      <c r="P2805" t="s">
        <v>29</v>
      </c>
      <c r="Q2805" t="s">
        <v>42</v>
      </c>
      <c r="R2805" t="s">
        <v>121</v>
      </c>
      <c r="S2805" t="s">
        <v>44</v>
      </c>
      <c r="T2805" t="s">
        <v>687</v>
      </c>
      <c r="U2805" t="s">
        <v>105</v>
      </c>
      <c r="V2805">
        <v>166.49333333333331</v>
      </c>
    </row>
    <row r="2806" spans="1:22" x14ac:dyDescent="0.3">
      <c r="A2806" t="s">
        <v>4265</v>
      </c>
      <c r="B2806" s="2">
        <v>46197</v>
      </c>
      <c r="C2806" t="s">
        <v>1860</v>
      </c>
      <c r="D2806" t="s">
        <v>24</v>
      </c>
      <c r="E2806" t="s">
        <v>87</v>
      </c>
      <c r="F2806">
        <v>3</v>
      </c>
      <c r="G2806">
        <v>0.1</v>
      </c>
      <c r="H2806">
        <v>945</v>
      </c>
      <c r="I2806">
        <v>292.7</v>
      </c>
      <c r="J2806" t="s">
        <v>51</v>
      </c>
      <c r="K2806" t="s">
        <v>40</v>
      </c>
      <c r="L2806">
        <v>315</v>
      </c>
      <c r="M2806">
        <v>30.973544973544971</v>
      </c>
      <c r="N2806" t="s">
        <v>8</v>
      </c>
      <c r="O2806" t="s">
        <v>1861</v>
      </c>
      <c r="P2806" t="s">
        <v>83</v>
      </c>
      <c r="Q2806" t="s">
        <v>30</v>
      </c>
      <c r="R2806" t="s">
        <v>98</v>
      </c>
      <c r="S2806" t="s">
        <v>54</v>
      </c>
      <c r="T2806" t="s">
        <v>1862</v>
      </c>
      <c r="U2806" t="s">
        <v>34</v>
      </c>
      <c r="V2806">
        <v>97.566666666666663</v>
      </c>
    </row>
    <row r="2807" spans="1:22" x14ac:dyDescent="0.3">
      <c r="A2807" t="s">
        <v>4266</v>
      </c>
      <c r="B2807" s="2">
        <v>46184</v>
      </c>
      <c r="C2807" t="s">
        <v>1799</v>
      </c>
      <c r="D2807" t="s">
        <v>49</v>
      </c>
      <c r="E2807" t="s">
        <v>50</v>
      </c>
      <c r="F2807">
        <v>1</v>
      </c>
      <c r="G2807">
        <v>0.2</v>
      </c>
      <c r="H2807">
        <v>10400</v>
      </c>
      <c r="I2807">
        <v>1890</v>
      </c>
      <c r="J2807" t="s">
        <v>39</v>
      </c>
      <c r="K2807" t="s">
        <v>40</v>
      </c>
      <c r="L2807">
        <v>10400</v>
      </c>
      <c r="M2807">
        <v>18.17307692307692</v>
      </c>
      <c r="N2807" t="s">
        <v>8</v>
      </c>
      <c r="O2807" t="s">
        <v>1800</v>
      </c>
      <c r="P2807" t="s">
        <v>73</v>
      </c>
      <c r="Q2807" t="s">
        <v>30</v>
      </c>
      <c r="R2807" t="s">
        <v>98</v>
      </c>
      <c r="S2807" t="s">
        <v>54</v>
      </c>
      <c r="T2807" t="s">
        <v>1801</v>
      </c>
      <c r="U2807" t="s">
        <v>100</v>
      </c>
      <c r="V2807">
        <v>1890</v>
      </c>
    </row>
    <row r="2808" spans="1:22" x14ac:dyDescent="0.3">
      <c r="A2808" t="s">
        <v>4267</v>
      </c>
      <c r="B2808" s="2">
        <v>46187</v>
      </c>
      <c r="C2808" t="s">
        <v>696</v>
      </c>
      <c r="D2808" t="s">
        <v>49</v>
      </c>
      <c r="E2808" t="s">
        <v>119</v>
      </c>
      <c r="F2808">
        <v>3</v>
      </c>
      <c r="G2808">
        <v>0.1</v>
      </c>
      <c r="H2808">
        <v>24300</v>
      </c>
      <c r="I2808">
        <v>4757.01</v>
      </c>
      <c r="J2808" t="s">
        <v>26</v>
      </c>
      <c r="K2808" t="s">
        <v>40</v>
      </c>
      <c r="L2808">
        <v>8100</v>
      </c>
      <c r="M2808">
        <v>19.576172839506171</v>
      </c>
      <c r="N2808" t="s">
        <v>8</v>
      </c>
      <c r="O2808" t="s">
        <v>697</v>
      </c>
      <c r="P2808" t="s">
        <v>29</v>
      </c>
      <c r="Q2808" t="s">
        <v>74</v>
      </c>
      <c r="R2808" t="s">
        <v>237</v>
      </c>
      <c r="S2808" t="s">
        <v>238</v>
      </c>
      <c r="T2808" t="s">
        <v>698</v>
      </c>
      <c r="U2808" t="s">
        <v>46</v>
      </c>
      <c r="V2808">
        <v>1585.67</v>
      </c>
    </row>
    <row r="2809" spans="1:22" x14ac:dyDescent="0.3">
      <c r="A2809" t="s">
        <v>4268</v>
      </c>
      <c r="B2809" s="2">
        <v>46137</v>
      </c>
      <c r="C2809" t="s">
        <v>313</v>
      </c>
      <c r="D2809" t="s">
        <v>24</v>
      </c>
      <c r="E2809" t="s">
        <v>25</v>
      </c>
      <c r="F2809">
        <v>10</v>
      </c>
      <c r="G2809">
        <v>0</v>
      </c>
      <c r="H2809">
        <v>140000</v>
      </c>
      <c r="I2809">
        <v>28000</v>
      </c>
      <c r="J2809" t="s">
        <v>39</v>
      </c>
      <c r="K2809" t="s">
        <v>40</v>
      </c>
      <c r="L2809">
        <v>14000</v>
      </c>
      <c r="M2809">
        <v>20</v>
      </c>
      <c r="N2809" t="s">
        <v>8</v>
      </c>
      <c r="O2809" t="s">
        <v>314</v>
      </c>
      <c r="P2809" t="s">
        <v>29</v>
      </c>
      <c r="Q2809" t="s">
        <v>30</v>
      </c>
      <c r="R2809" t="s">
        <v>98</v>
      </c>
      <c r="S2809" t="s">
        <v>54</v>
      </c>
      <c r="T2809" t="s">
        <v>315</v>
      </c>
      <c r="U2809" t="s">
        <v>100</v>
      </c>
      <c r="V2809">
        <v>2800</v>
      </c>
    </row>
    <row r="2810" spans="1:22" x14ac:dyDescent="0.3">
      <c r="A2810" t="s">
        <v>4269</v>
      </c>
      <c r="B2810" s="2">
        <v>45867</v>
      </c>
      <c r="C2810" t="s">
        <v>2673</v>
      </c>
      <c r="D2810" t="s">
        <v>49</v>
      </c>
      <c r="E2810" t="s">
        <v>79</v>
      </c>
      <c r="F2810">
        <v>4</v>
      </c>
      <c r="G2810">
        <v>0.1</v>
      </c>
      <c r="H2810">
        <v>39600</v>
      </c>
      <c r="I2810">
        <v>6773.82</v>
      </c>
      <c r="J2810" t="s">
        <v>65</v>
      </c>
      <c r="K2810" t="s">
        <v>40</v>
      </c>
      <c r="L2810">
        <v>9900</v>
      </c>
      <c r="M2810">
        <v>17.10560606060606</v>
      </c>
      <c r="N2810" t="s">
        <v>8</v>
      </c>
      <c r="O2810" t="s">
        <v>2674</v>
      </c>
      <c r="P2810" t="s">
        <v>73</v>
      </c>
      <c r="Q2810" t="s">
        <v>30</v>
      </c>
      <c r="R2810" t="s">
        <v>98</v>
      </c>
      <c r="S2810" t="s">
        <v>54</v>
      </c>
      <c r="T2810" t="s">
        <v>2675</v>
      </c>
      <c r="U2810" t="s">
        <v>34</v>
      </c>
      <c r="V2810">
        <v>1693.4549999999999</v>
      </c>
    </row>
    <row r="2811" spans="1:22" x14ac:dyDescent="0.3">
      <c r="A2811" t="s">
        <v>4270</v>
      </c>
      <c r="B2811" s="2">
        <v>45920</v>
      </c>
      <c r="C2811" t="s">
        <v>2014</v>
      </c>
      <c r="D2811" t="s">
        <v>70</v>
      </c>
      <c r="E2811" t="s">
        <v>129</v>
      </c>
      <c r="F2811">
        <v>1</v>
      </c>
      <c r="G2811">
        <v>0.1</v>
      </c>
      <c r="H2811">
        <v>49500</v>
      </c>
      <c r="I2811">
        <v>5970.97</v>
      </c>
      <c r="J2811" t="s">
        <v>26</v>
      </c>
      <c r="K2811" t="s">
        <v>40</v>
      </c>
      <c r="L2811">
        <v>49500</v>
      </c>
      <c r="M2811">
        <v>12.06256565656566</v>
      </c>
      <c r="N2811" t="s">
        <v>8</v>
      </c>
      <c r="O2811" t="s">
        <v>911</v>
      </c>
      <c r="P2811" t="s">
        <v>29</v>
      </c>
      <c r="Q2811" t="s">
        <v>42</v>
      </c>
      <c r="R2811" t="s">
        <v>214</v>
      </c>
      <c r="S2811" t="s">
        <v>111</v>
      </c>
      <c r="T2811" t="s">
        <v>2015</v>
      </c>
      <c r="U2811" t="s">
        <v>105</v>
      </c>
      <c r="V2811">
        <v>5970.97</v>
      </c>
    </row>
    <row r="2812" spans="1:22" x14ac:dyDescent="0.3">
      <c r="A2812" t="s">
        <v>4271</v>
      </c>
      <c r="B2812" s="2">
        <v>46151</v>
      </c>
      <c r="C2812" t="s">
        <v>2257</v>
      </c>
      <c r="D2812" t="s">
        <v>37</v>
      </c>
      <c r="E2812" t="s">
        <v>38</v>
      </c>
      <c r="F2812">
        <v>2</v>
      </c>
      <c r="G2812">
        <v>0</v>
      </c>
      <c r="H2812">
        <v>3600</v>
      </c>
      <c r="I2812">
        <v>1300</v>
      </c>
      <c r="J2812" t="s">
        <v>51</v>
      </c>
      <c r="K2812" t="s">
        <v>40</v>
      </c>
      <c r="L2812">
        <v>1800</v>
      </c>
      <c r="M2812">
        <v>36.111111111111107</v>
      </c>
      <c r="N2812" t="s">
        <v>8</v>
      </c>
      <c r="O2812" t="s">
        <v>626</v>
      </c>
      <c r="P2812" t="s">
        <v>29</v>
      </c>
      <c r="Q2812" t="s">
        <v>42</v>
      </c>
      <c r="R2812" t="s">
        <v>110</v>
      </c>
      <c r="S2812" t="s">
        <v>111</v>
      </c>
      <c r="T2812" t="s">
        <v>2258</v>
      </c>
      <c r="U2812" t="s">
        <v>46</v>
      </c>
      <c r="V2812">
        <v>650</v>
      </c>
    </row>
    <row r="2813" spans="1:22" x14ac:dyDescent="0.3">
      <c r="A2813" t="s">
        <v>4272</v>
      </c>
      <c r="B2813" s="2">
        <v>46020</v>
      </c>
      <c r="C2813" t="s">
        <v>417</v>
      </c>
      <c r="D2813" t="s">
        <v>49</v>
      </c>
      <c r="E2813" t="s">
        <v>79</v>
      </c>
      <c r="F2813">
        <v>3</v>
      </c>
      <c r="G2813">
        <v>0</v>
      </c>
      <c r="H2813">
        <v>33000</v>
      </c>
      <c r="I2813">
        <v>7800</v>
      </c>
      <c r="J2813" t="s">
        <v>39</v>
      </c>
      <c r="K2813" t="s">
        <v>40</v>
      </c>
      <c r="L2813">
        <v>11000</v>
      </c>
      <c r="M2813">
        <v>23.63636363636364</v>
      </c>
      <c r="N2813" t="s">
        <v>8</v>
      </c>
      <c r="O2813" t="s">
        <v>418</v>
      </c>
      <c r="P2813" t="s">
        <v>29</v>
      </c>
      <c r="Q2813" t="s">
        <v>30</v>
      </c>
      <c r="R2813" t="s">
        <v>60</v>
      </c>
      <c r="S2813" t="s">
        <v>61</v>
      </c>
      <c r="T2813" t="s">
        <v>419</v>
      </c>
      <c r="U2813" t="s">
        <v>34</v>
      </c>
      <c r="V2813">
        <v>2600</v>
      </c>
    </row>
    <row r="2814" spans="1:22" x14ac:dyDescent="0.3">
      <c r="A2814" t="s">
        <v>4273</v>
      </c>
      <c r="B2814" s="2">
        <v>45879</v>
      </c>
      <c r="C2814" t="s">
        <v>1433</v>
      </c>
      <c r="D2814" t="s">
        <v>70</v>
      </c>
      <c r="E2814" t="s">
        <v>165</v>
      </c>
      <c r="F2814">
        <v>6</v>
      </c>
      <c r="G2814">
        <v>0.1</v>
      </c>
      <c r="H2814">
        <v>13500</v>
      </c>
      <c r="I2814">
        <v>3613.62</v>
      </c>
      <c r="J2814" t="s">
        <v>39</v>
      </c>
      <c r="K2814" t="s">
        <v>40</v>
      </c>
      <c r="L2814">
        <v>2250</v>
      </c>
      <c r="M2814">
        <v>26.76755555555556</v>
      </c>
      <c r="N2814" t="s">
        <v>8</v>
      </c>
      <c r="O2814" t="s">
        <v>318</v>
      </c>
      <c r="P2814" t="s">
        <v>73</v>
      </c>
      <c r="Q2814" t="s">
        <v>30</v>
      </c>
      <c r="R2814" t="s">
        <v>53</v>
      </c>
      <c r="S2814" t="s">
        <v>54</v>
      </c>
      <c r="T2814" t="s">
        <v>1434</v>
      </c>
      <c r="U2814" t="s">
        <v>34</v>
      </c>
      <c r="V2814">
        <v>602.27</v>
      </c>
    </row>
    <row r="2815" spans="1:22" x14ac:dyDescent="0.3">
      <c r="A2815" t="s">
        <v>4274</v>
      </c>
      <c r="B2815" s="2">
        <v>46105</v>
      </c>
      <c r="C2815" t="s">
        <v>1460</v>
      </c>
      <c r="D2815" t="s">
        <v>49</v>
      </c>
      <c r="E2815" t="s">
        <v>58</v>
      </c>
      <c r="F2815">
        <v>1</v>
      </c>
      <c r="G2815">
        <v>0</v>
      </c>
      <c r="H2815">
        <v>15000</v>
      </c>
      <c r="I2815">
        <v>-7610.3</v>
      </c>
      <c r="J2815" t="s">
        <v>26</v>
      </c>
      <c r="K2815" t="s">
        <v>80</v>
      </c>
      <c r="L2815">
        <v>15000</v>
      </c>
      <c r="M2815">
        <v>-50.73533333333333</v>
      </c>
      <c r="N2815" t="s">
        <v>81</v>
      </c>
      <c r="O2815" t="s">
        <v>1461</v>
      </c>
      <c r="P2815" t="s">
        <v>29</v>
      </c>
      <c r="Q2815" t="s">
        <v>42</v>
      </c>
      <c r="R2815" t="s">
        <v>110</v>
      </c>
      <c r="S2815" t="s">
        <v>111</v>
      </c>
      <c r="T2815" t="s">
        <v>1462</v>
      </c>
      <c r="U2815" t="s">
        <v>105</v>
      </c>
      <c r="V2815">
        <v>-7610.3</v>
      </c>
    </row>
    <row r="2816" spans="1:22" x14ac:dyDescent="0.3">
      <c r="A2816" t="s">
        <v>4275</v>
      </c>
      <c r="B2816" s="2">
        <v>46015</v>
      </c>
      <c r="C2816" t="s">
        <v>1410</v>
      </c>
      <c r="D2816" t="s">
        <v>37</v>
      </c>
      <c r="E2816" t="s">
        <v>170</v>
      </c>
      <c r="F2816">
        <v>2</v>
      </c>
      <c r="G2816">
        <v>0.3</v>
      </c>
      <c r="H2816">
        <v>1960</v>
      </c>
      <c r="I2816">
        <v>428.98</v>
      </c>
      <c r="J2816" t="s">
        <v>65</v>
      </c>
      <c r="K2816" t="s">
        <v>40</v>
      </c>
      <c r="L2816">
        <v>980</v>
      </c>
      <c r="M2816">
        <v>21.88673469387755</v>
      </c>
      <c r="N2816" t="s">
        <v>8</v>
      </c>
      <c r="O2816" t="s">
        <v>995</v>
      </c>
      <c r="P2816" t="s">
        <v>73</v>
      </c>
      <c r="Q2816" t="s">
        <v>30</v>
      </c>
      <c r="R2816" t="s">
        <v>60</v>
      </c>
      <c r="S2816" t="s">
        <v>61</v>
      </c>
      <c r="T2816" t="s">
        <v>1411</v>
      </c>
      <c r="U2816" t="s">
        <v>34</v>
      </c>
      <c r="V2816">
        <v>214.49</v>
      </c>
    </row>
    <row r="2817" spans="1:22" x14ac:dyDescent="0.3">
      <c r="A2817" t="s">
        <v>4276</v>
      </c>
      <c r="B2817" s="2">
        <v>46080</v>
      </c>
      <c r="C2817" t="s">
        <v>1955</v>
      </c>
      <c r="D2817" t="s">
        <v>70</v>
      </c>
      <c r="E2817" t="s">
        <v>71</v>
      </c>
      <c r="F2817">
        <v>2</v>
      </c>
      <c r="G2817">
        <v>0.2</v>
      </c>
      <c r="H2817">
        <v>28800</v>
      </c>
      <c r="I2817">
        <v>3434.35</v>
      </c>
      <c r="J2817" t="s">
        <v>65</v>
      </c>
      <c r="K2817" t="s">
        <v>40</v>
      </c>
      <c r="L2817">
        <v>14400</v>
      </c>
      <c r="M2817">
        <v>11.92482638888889</v>
      </c>
      <c r="N2817" t="s">
        <v>8</v>
      </c>
      <c r="O2817" t="s">
        <v>754</v>
      </c>
      <c r="P2817" t="s">
        <v>29</v>
      </c>
      <c r="Q2817" t="s">
        <v>74</v>
      </c>
      <c r="R2817" t="s">
        <v>493</v>
      </c>
      <c r="S2817" t="s">
        <v>494</v>
      </c>
      <c r="T2817" t="s">
        <v>244</v>
      </c>
      <c r="U2817" t="s">
        <v>105</v>
      </c>
      <c r="V2817">
        <v>1717.175</v>
      </c>
    </row>
    <row r="2818" spans="1:22" x14ac:dyDescent="0.3">
      <c r="A2818" t="s">
        <v>4277</v>
      </c>
      <c r="B2818" s="2">
        <v>46190</v>
      </c>
      <c r="C2818" t="s">
        <v>1704</v>
      </c>
      <c r="D2818" t="s">
        <v>49</v>
      </c>
      <c r="E2818" t="s">
        <v>119</v>
      </c>
      <c r="F2818">
        <v>5</v>
      </c>
      <c r="G2818">
        <v>0</v>
      </c>
      <c r="H2818">
        <v>45000</v>
      </c>
      <c r="I2818">
        <v>11500</v>
      </c>
      <c r="J2818" t="s">
        <v>39</v>
      </c>
      <c r="K2818" t="s">
        <v>40</v>
      </c>
      <c r="L2818">
        <v>9000</v>
      </c>
      <c r="M2818">
        <v>25.55555555555555</v>
      </c>
      <c r="N2818" t="s">
        <v>8</v>
      </c>
      <c r="O2818" t="s">
        <v>636</v>
      </c>
      <c r="P2818" t="s">
        <v>29</v>
      </c>
      <c r="Q2818" t="s">
        <v>30</v>
      </c>
      <c r="R2818" t="s">
        <v>53</v>
      </c>
      <c r="S2818" t="s">
        <v>54</v>
      </c>
      <c r="T2818" t="s">
        <v>1705</v>
      </c>
      <c r="U2818" t="s">
        <v>34</v>
      </c>
      <c r="V2818">
        <v>2300</v>
      </c>
    </row>
    <row r="2819" spans="1:22" x14ac:dyDescent="0.3">
      <c r="A2819" t="s">
        <v>4278</v>
      </c>
      <c r="B2819" s="2">
        <v>45933</v>
      </c>
      <c r="C2819" t="s">
        <v>212</v>
      </c>
      <c r="D2819" t="s">
        <v>49</v>
      </c>
      <c r="E2819" t="s">
        <v>79</v>
      </c>
      <c r="F2819">
        <v>1</v>
      </c>
      <c r="G2819">
        <v>0.1</v>
      </c>
      <c r="H2819">
        <v>9900</v>
      </c>
      <c r="I2819">
        <v>1908.4</v>
      </c>
      <c r="J2819" t="s">
        <v>26</v>
      </c>
      <c r="K2819" t="s">
        <v>40</v>
      </c>
      <c r="L2819">
        <v>9900</v>
      </c>
      <c r="M2819">
        <v>19.27676767676768</v>
      </c>
      <c r="N2819" t="s">
        <v>8</v>
      </c>
      <c r="O2819" t="s">
        <v>213</v>
      </c>
      <c r="P2819" t="s">
        <v>29</v>
      </c>
      <c r="Q2819" t="s">
        <v>42</v>
      </c>
      <c r="R2819" t="s">
        <v>214</v>
      </c>
      <c r="S2819" t="s">
        <v>111</v>
      </c>
      <c r="T2819" t="s">
        <v>215</v>
      </c>
      <c r="U2819" t="s">
        <v>105</v>
      </c>
      <c r="V2819">
        <v>1908.4</v>
      </c>
    </row>
    <row r="2820" spans="1:22" x14ac:dyDescent="0.3">
      <c r="A2820" t="s">
        <v>4279</v>
      </c>
      <c r="B2820" s="2">
        <v>46038</v>
      </c>
      <c r="C2820" t="s">
        <v>3893</v>
      </c>
      <c r="D2820" t="s">
        <v>49</v>
      </c>
      <c r="E2820" t="s">
        <v>50</v>
      </c>
      <c r="F2820">
        <v>1</v>
      </c>
      <c r="G2820">
        <v>0.1</v>
      </c>
      <c r="H2820">
        <v>11700</v>
      </c>
      <c r="I2820">
        <v>2611.0500000000002</v>
      </c>
      <c r="J2820" t="s">
        <v>39</v>
      </c>
      <c r="K2820" t="s">
        <v>40</v>
      </c>
      <c r="L2820">
        <v>11700</v>
      </c>
      <c r="M2820">
        <v>22.31666666666667</v>
      </c>
      <c r="N2820" t="s">
        <v>8</v>
      </c>
      <c r="O2820" t="s">
        <v>781</v>
      </c>
      <c r="P2820" t="s">
        <v>29</v>
      </c>
      <c r="Q2820" t="s">
        <v>131</v>
      </c>
      <c r="R2820" t="s">
        <v>289</v>
      </c>
      <c r="S2820" t="s">
        <v>290</v>
      </c>
      <c r="T2820" t="s">
        <v>1476</v>
      </c>
      <c r="U2820" t="s">
        <v>34</v>
      </c>
      <c r="V2820">
        <v>2611.0500000000002</v>
      </c>
    </row>
    <row r="2821" spans="1:22" x14ac:dyDescent="0.3">
      <c r="A2821" t="s">
        <v>4280</v>
      </c>
      <c r="B2821" s="2">
        <v>45988</v>
      </c>
      <c r="C2821" t="s">
        <v>1785</v>
      </c>
      <c r="D2821" t="s">
        <v>49</v>
      </c>
      <c r="E2821" t="s">
        <v>50</v>
      </c>
      <c r="F2821">
        <v>10</v>
      </c>
      <c r="G2821">
        <v>0</v>
      </c>
      <c r="H2821">
        <v>130000</v>
      </c>
      <c r="I2821">
        <v>32000</v>
      </c>
      <c r="J2821" t="s">
        <v>65</v>
      </c>
      <c r="K2821" t="s">
        <v>40</v>
      </c>
      <c r="L2821">
        <v>13000</v>
      </c>
      <c r="M2821">
        <v>24.61538461538462</v>
      </c>
      <c r="N2821" t="s">
        <v>8</v>
      </c>
      <c r="O2821" t="s">
        <v>1786</v>
      </c>
      <c r="P2821" t="s">
        <v>83</v>
      </c>
      <c r="Q2821" t="s">
        <v>30</v>
      </c>
      <c r="R2821" t="s">
        <v>53</v>
      </c>
      <c r="S2821" t="s">
        <v>54</v>
      </c>
      <c r="T2821" t="s">
        <v>227</v>
      </c>
      <c r="U2821" t="s">
        <v>46</v>
      </c>
      <c r="V2821">
        <v>3200</v>
      </c>
    </row>
    <row r="2822" spans="1:22" x14ac:dyDescent="0.3">
      <c r="A2822" t="s">
        <v>4281</v>
      </c>
      <c r="B2822" s="2">
        <v>45994</v>
      </c>
      <c r="C2822" t="s">
        <v>610</v>
      </c>
      <c r="D2822" t="s">
        <v>49</v>
      </c>
      <c r="E2822" t="s">
        <v>58</v>
      </c>
      <c r="F2822">
        <v>3</v>
      </c>
      <c r="G2822">
        <v>0.1</v>
      </c>
      <c r="H2822">
        <v>40500</v>
      </c>
      <c r="I2822">
        <v>7804.96</v>
      </c>
      <c r="J2822" t="s">
        <v>51</v>
      </c>
      <c r="K2822" t="s">
        <v>40</v>
      </c>
      <c r="L2822">
        <v>13500</v>
      </c>
      <c r="M2822">
        <v>19.271506172839501</v>
      </c>
      <c r="N2822" t="s">
        <v>8</v>
      </c>
      <c r="O2822" t="s">
        <v>611</v>
      </c>
      <c r="P2822" t="s">
        <v>83</v>
      </c>
      <c r="Q2822" t="s">
        <v>42</v>
      </c>
      <c r="R2822" t="s">
        <v>110</v>
      </c>
      <c r="S2822" t="s">
        <v>111</v>
      </c>
      <c r="T2822" t="s">
        <v>612</v>
      </c>
      <c r="U2822" t="s">
        <v>34</v>
      </c>
      <c r="V2822">
        <v>2601.6533333333332</v>
      </c>
    </row>
    <row r="2823" spans="1:22" x14ac:dyDescent="0.3">
      <c r="A2823" t="s">
        <v>4282</v>
      </c>
      <c r="B2823" s="2">
        <v>46239</v>
      </c>
      <c r="C2823" t="s">
        <v>1744</v>
      </c>
      <c r="D2823" t="s">
        <v>49</v>
      </c>
      <c r="E2823" t="s">
        <v>50</v>
      </c>
      <c r="F2823">
        <v>1</v>
      </c>
      <c r="G2823">
        <v>0.05</v>
      </c>
      <c r="H2823">
        <v>12350</v>
      </c>
      <c r="I2823">
        <v>2856.72</v>
      </c>
      <c r="J2823" t="s">
        <v>65</v>
      </c>
      <c r="K2823" t="s">
        <v>40</v>
      </c>
      <c r="L2823">
        <v>12350</v>
      </c>
      <c r="M2823">
        <v>23.13133603238866</v>
      </c>
      <c r="N2823" t="s">
        <v>8</v>
      </c>
      <c r="O2823" t="s">
        <v>922</v>
      </c>
      <c r="P2823" t="s">
        <v>29</v>
      </c>
      <c r="Q2823" t="s">
        <v>74</v>
      </c>
      <c r="R2823" t="s">
        <v>237</v>
      </c>
      <c r="S2823" t="s">
        <v>238</v>
      </c>
      <c r="T2823" t="s">
        <v>1745</v>
      </c>
      <c r="U2823" t="s">
        <v>105</v>
      </c>
      <c r="V2823">
        <v>2856.72</v>
      </c>
    </row>
    <row r="2824" spans="1:22" x14ac:dyDescent="0.3">
      <c r="A2824" t="s">
        <v>4283</v>
      </c>
      <c r="B2824" s="2">
        <v>46063</v>
      </c>
      <c r="C2824" t="s">
        <v>381</v>
      </c>
      <c r="D2824" t="s">
        <v>70</v>
      </c>
      <c r="E2824" t="s">
        <v>108</v>
      </c>
      <c r="F2824">
        <v>3</v>
      </c>
      <c r="G2824">
        <v>0.3</v>
      </c>
      <c r="H2824">
        <v>9450</v>
      </c>
      <c r="I2824">
        <v>-2943.06</v>
      </c>
      <c r="J2824" t="s">
        <v>26</v>
      </c>
      <c r="K2824" t="s">
        <v>80</v>
      </c>
      <c r="L2824">
        <v>3150</v>
      </c>
      <c r="M2824">
        <v>-31.143492063492062</v>
      </c>
      <c r="N2824" t="s">
        <v>81</v>
      </c>
      <c r="O2824" t="s">
        <v>382</v>
      </c>
      <c r="P2824" t="s">
        <v>73</v>
      </c>
      <c r="Q2824" t="s">
        <v>30</v>
      </c>
      <c r="R2824" t="s">
        <v>98</v>
      </c>
      <c r="S2824" t="s">
        <v>54</v>
      </c>
      <c r="T2824" t="s">
        <v>383</v>
      </c>
      <c r="U2824" t="s">
        <v>100</v>
      </c>
      <c r="V2824">
        <v>-981.02</v>
      </c>
    </row>
    <row r="2825" spans="1:22" x14ac:dyDescent="0.3">
      <c r="A2825" t="s">
        <v>4284</v>
      </c>
      <c r="B2825" s="2">
        <v>46108</v>
      </c>
      <c r="C2825" t="s">
        <v>2054</v>
      </c>
      <c r="D2825" t="s">
        <v>70</v>
      </c>
      <c r="E2825" t="s">
        <v>108</v>
      </c>
      <c r="F2825">
        <v>10</v>
      </c>
      <c r="G2825">
        <v>0.1</v>
      </c>
      <c r="H2825">
        <v>40500</v>
      </c>
      <c r="I2825">
        <v>12007.12</v>
      </c>
      <c r="J2825" t="s">
        <v>51</v>
      </c>
      <c r="K2825" t="s">
        <v>40</v>
      </c>
      <c r="L2825">
        <v>4050</v>
      </c>
      <c r="M2825">
        <v>29.647209876543211</v>
      </c>
      <c r="N2825" t="s">
        <v>8</v>
      </c>
      <c r="O2825" t="s">
        <v>1383</v>
      </c>
      <c r="P2825" t="s">
        <v>29</v>
      </c>
      <c r="Q2825" t="s">
        <v>74</v>
      </c>
      <c r="R2825" t="s">
        <v>75</v>
      </c>
      <c r="S2825" t="s">
        <v>75</v>
      </c>
      <c r="T2825" t="s">
        <v>2055</v>
      </c>
      <c r="U2825" t="s">
        <v>34</v>
      </c>
      <c r="V2825">
        <v>1200.712</v>
      </c>
    </row>
    <row r="2826" spans="1:22" x14ac:dyDescent="0.3">
      <c r="A2826" t="s">
        <v>4285</v>
      </c>
      <c r="B2826" s="2">
        <v>46265</v>
      </c>
      <c r="C2826" t="s">
        <v>936</v>
      </c>
      <c r="D2826" t="s">
        <v>24</v>
      </c>
      <c r="E2826" t="s">
        <v>87</v>
      </c>
      <c r="F2826">
        <v>5</v>
      </c>
      <c r="G2826">
        <v>0.15</v>
      </c>
      <c r="H2826">
        <v>1487.5</v>
      </c>
      <c r="I2826">
        <v>446.95</v>
      </c>
      <c r="J2826" t="s">
        <v>26</v>
      </c>
      <c r="K2826" t="s">
        <v>27</v>
      </c>
      <c r="L2826">
        <v>297.5</v>
      </c>
      <c r="M2826">
        <v>30.047058823529412</v>
      </c>
      <c r="N2826" t="s">
        <v>8</v>
      </c>
      <c r="O2826" t="s">
        <v>937</v>
      </c>
      <c r="P2826" t="s">
        <v>73</v>
      </c>
      <c r="Q2826" t="s">
        <v>30</v>
      </c>
      <c r="R2826" t="s">
        <v>53</v>
      </c>
      <c r="S2826" t="s">
        <v>54</v>
      </c>
      <c r="T2826" t="s">
        <v>938</v>
      </c>
      <c r="U2826" t="s">
        <v>34</v>
      </c>
      <c r="V2826">
        <v>89.39</v>
      </c>
    </row>
    <row r="2827" spans="1:22" x14ac:dyDescent="0.3">
      <c r="A2827" t="s">
        <v>4286</v>
      </c>
      <c r="B2827" s="2">
        <v>45970</v>
      </c>
      <c r="C2827" t="s">
        <v>1410</v>
      </c>
      <c r="D2827" t="s">
        <v>49</v>
      </c>
      <c r="E2827" t="s">
        <v>79</v>
      </c>
      <c r="F2827">
        <v>1</v>
      </c>
      <c r="G2827">
        <v>0.1</v>
      </c>
      <c r="H2827">
        <v>9900</v>
      </c>
      <c r="I2827">
        <v>-1653.92</v>
      </c>
      <c r="J2827" t="s">
        <v>51</v>
      </c>
      <c r="K2827" t="s">
        <v>80</v>
      </c>
      <c r="L2827">
        <v>9900</v>
      </c>
      <c r="M2827">
        <v>-16.706262626262632</v>
      </c>
      <c r="N2827" t="s">
        <v>81</v>
      </c>
      <c r="O2827" t="s">
        <v>995</v>
      </c>
      <c r="P2827" t="s">
        <v>73</v>
      </c>
      <c r="Q2827" t="s">
        <v>30</v>
      </c>
      <c r="R2827" t="s">
        <v>60</v>
      </c>
      <c r="S2827" t="s">
        <v>61</v>
      </c>
      <c r="T2827" t="s">
        <v>1411</v>
      </c>
      <c r="U2827" t="s">
        <v>34</v>
      </c>
      <c r="V2827">
        <v>-1653.92</v>
      </c>
    </row>
    <row r="2828" spans="1:22" x14ac:dyDescent="0.3">
      <c r="A2828" t="s">
        <v>4287</v>
      </c>
      <c r="B2828" s="2">
        <v>46163</v>
      </c>
      <c r="C2828" t="s">
        <v>2915</v>
      </c>
      <c r="D2828" t="s">
        <v>37</v>
      </c>
      <c r="E2828" t="s">
        <v>38</v>
      </c>
      <c r="F2828">
        <v>1</v>
      </c>
      <c r="G2828">
        <v>0</v>
      </c>
      <c r="H2828">
        <v>1800</v>
      </c>
      <c r="I2828">
        <v>650</v>
      </c>
      <c r="J2828" t="s">
        <v>65</v>
      </c>
      <c r="K2828" t="s">
        <v>40</v>
      </c>
      <c r="L2828">
        <v>1800</v>
      </c>
      <c r="M2828">
        <v>36.111111111111107</v>
      </c>
      <c r="N2828" t="s">
        <v>8</v>
      </c>
      <c r="O2828" t="s">
        <v>2323</v>
      </c>
      <c r="P2828" t="s">
        <v>73</v>
      </c>
      <c r="Q2828" t="s">
        <v>131</v>
      </c>
      <c r="R2828" t="s">
        <v>132</v>
      </c>
      <c r="S2828" t="s">
        <v>133</v>
      </c>
      <c r="T2828" t="s">
        <v>2916</v>
      </c>
      <c r="U2828" t="s">
        <v>34</v>
      </c>
      <c r="V2828">
        <v>650</v>
      </c>
    </row>
    <row r="2829" spans="1:22" x14ac:dyDescent="0.3">
      <c r="A2829" t="s">
        <v>4288</v>
      </c>
      <c r="B2829" s="2">
        <v>45859</v>
      </c>
      <c r="C2829" t="s">
        <v>1273</v>
      </c>
      <c r="D2829" t="s">
        <v>70</v>
      </c>
      <c r="E2829" t="s">
        <v>108</v>
      </c>
      <c r="F2829">
        <v>2</v>
      </c>
      <c r="G2829">
        <v>0.1</v>
      </c>
      <c r="H2829">
        <v>8100</v>
      </c>
      <c r="I2829">
        <v>2263.37</v>
      </c>
      <c r="J2829" t="s">
        <v>65</v>
      </c>
      <c r="K2829" t="s">
        <v>40</v>
      </c>
      <c r="L2829">
        <v>4050</v>
      </c>
      <c r="M2829">
        <v>27.942839506172842</v>
      </c>
      <c r="N2829" t="s">
        <v>8</v>
      </c>
      <c r="O2829" t="s">
        <v>618</v>
      </c>
      <c r="P2829" t="s">
        <v>83</v>
      </c>
      <c r="Q2829" t="s">
        <v>74</v>
      </c>
      <c r="R2829" t="s">
        <v>237</v>
      </c>
      <c r="S2829" t="s">
        <v>238</v>
      </c>
      <c r="T2829" t="s">
        <v>1274</v>
      </c>
      <c r="U2829" t="s">
        <v>100</v>
      </c>
      <c r="V2829">
        <v>1131.6849999999999</v>
      </c>
    </row>
    <row r="2830" spans="1:22" x14ac:dyDescent="0.3">
      <c r="A2830" t="s">
        <v>4289</v>
      </c>
      <c r="B2830" s="2">
        <v>45891</v>
      </c>
      <c r="C2830" t="s">
        <v>2415</v>
      </c>
      <c r="D2830" t="s">
        <v>24</v>
      </c>
      <c r="E2830" t="s">
        <v>242</v>
      </c>
      <c r="F2830">
        <v>4</v>
      </c>
      <c r="G2830">
        <v>0.15</v>
      </c>
      <c r="H2830">
        <v>1530</v>
      </c>
      <c r="I2830">
        <v>277.82</v>
      </c>
      <c r="J2830" t="s">
        <v>39</v>
      </c>
      <c r="K2830" t="s">
        <v>40</v>
      </c>
      <c r="L2830">
        <v>382.5</v>
      </c>
      <c r="M2830">
        <v>18.158169934640519</v>
      </c>
      <c r="N2830" t="s">
        <v>8</v>
      </c>
      <c r="O2830" t="s">
        <v>1098</v>
      </c>
      <c r="P2830" t="s">
        <v>29</v>
      </c>
      <c r="Q2830" t="s">
        <v>30</v>
      </c>
      <c r="R2830" t="s">
        <v>53</v>
      </c>
      <c r="S2830" t="s">
        <v>54</v>
      </c>
      <c r="T2830" t="s">
        <v>2416</v>
      </c>
      <c r="U2830" t="s">
        <v>34</v>
      </c>
      <c r="V2830">
        <v>69.454999999999998</v>
      </c>
    </row>
    <row r="2831" spans="1:22" x14ac:dyDescent="0.3">
      <c r="A2831" t="s">
        <v>4290</v>
      </c>
      <c r="B2831" s="2">
        <v>46157</v>
      </c>
      <c r="C2831" t="s">
        <v>1371</v>
      </c>
      <c r="D2831" t="s">
        <v>70</v>
      </c>
      <c r="E2831" t="s">
        <v>108</v>
      </c>
      <c r="F2831">
        <v>2</v>
      </c>
      <c r="G2831">
        <v>0.15</v>
      </c>
      <c r="H2831">
        <v>7650</v>
      </c>
      <c r="I2831">
        <v>2264.31</v>
      </c>
      <c r="J2831" t="s">
        <v>51</v>
      </c>
      <c r="K2831" t="s">
        <v>27</v>
      </c>
      <c r="L2831">
        <v>3825</v>
      </c>
      <c r="M2831">
        <v>29.598823529411771</v>
      </c>
      <c r="N2831" t="s">
        <v>8</v>
      </c>
      <c r="O2831" t="s">
        <v>641</v>
      </c>
      <c r="P2831" t="s">
        <v>29</v>
      </c>
      <c r="Q2831" t="s">
        <v>131</v>
      </c>
      <c r="R2831" t="s">
        <v>200</v>
      </c>
      <c r="S2831" t="s">
        <v>201</v>
      </c>
      <c r="T2831" t="s">
        <v>1372</v>
      </c>
      <c r="U2831" t="s">
        <v>100</v>
      </c>
      <c r="V2831">
        <v>1132.155</v>
      </c>
    </row>
    <row r="2832" spans="1:22" x14ac:dyDescent="0.3">
      <c r="A2832" t="s">
        <v>4291</v>
      </c>
      <c r="B2832" s="2">
        <v>46255</v>
      </c>
      <c r="C2832" t="s">
        <v>878</v>
      </c>
      <c r="D2832" t="s">
        <v>37</v>
      </c>
      <c r="E2832" t="s">
        <v>190</v>
      </c>
      <c r="F2832">
        <v>1</v>
      </c>
      <c r="G2832">
        <v>0</v>
      </c>
      <c r="H2832">
        <v>4200</v>
      </c>
      <c r="I2832">
        <v>1200</v>
      </c>
      <c r="J2832" t="s">
        <v>26</v>
      </c>
      <c r="K2832" t="s">
        <v>40</v>
      </c>
      <c r="L2832">
        <v>4200</v>
      </c>
      <c r="M2832">
        <v>28.571428571428569</v>
      </c>
      <c r="N2832" t="s">
        <v>8</v>
      </c>
      <c r="O2832" t="s">
        <v>879</v>
      </c>
      <c r="P2832" t="s">
        <v>83</v>
      </c>
      <c r="Q2832" t="s">
        <v>30</v>
      </c>
      <c r="R2832" t="s">
        <v>98</v>
      </c>
      <c r="S2832" t="s">
        <v>54</v>
      </c>
      <c r="T2832" t="s">
        <v>880</v>
      </c>
      <c r="U2832" t="s">
        <v>46</v>
      </c>
      <c r="V2832">
        <v>1200</v>
      </c>
    </row>
    <row r="2833" spans="1:22" x14ac:dyDescent="0.3">
      <c r="A2833" t="s">
        <v>4292</v>
      </c>
      <c r="B2833" s="2">
        <v>46096</v>
      </c>
      <c r="C2833" t="s">
        <v>1782</v>
      </c>
      <c r="D2833" t="s">
        <v>37</v>
      </c>
      <c r="E2833" t="s">
        <v>310</v>
      </c>
      <c r="F2833">
        <v>1</v>
      </c>
      <c r="G2833">
        <v>0.05</v>
      </c>
      <c r="H2833">
        <v>2090</v>
      </c>
      <c r="I2833">
        <v>682.91</v>
      </c>
      <c r="J2833" t="s">
        <v>39</v>
      </c>
      <c r="K2833" t="s">
        <v>27</v>
      </c>
      <c r="L2833">
        <v>2090</v>
      </c>
      <c r="M2833">
        <v>32.67511961722488</v>
      </c>
      <c r="N2833" t="s">
        <v>8</v>
      </c>
      <c r="O2833" t="s">
        <v>682</v>
      </c>
      <c r="P2833" t="s">
        <v>73</v>
      </c>
      <c r="Q2833" t="s">
        <v>131</v>
      </c>
      <c r="R2833" t="s">
        <v>200</v>
      </c>
      <c r="S2833" t="s">
        <v>201</v>
      </c>
      <c r="T2833" t="s">
        <v>295</v>
      </c>
      <c r="U2833" t="s">
        <v>34</v>
      </c>
      <c r="V2833">
        <v>682.91</v>
      </c>
    </row>
    <row r="2834" spans="1:22" x14ac:dyDescent="0.3">
      <c r="A2834" t="s">
        <v>4293</v>
      </c>
      <c r="B2834" s="2">
        <v>46212</v>
      </c>
      <c r="C2834" t="s">
        <v>1056</v>
      </c>
      <c r="D2834" t="s">
        <v>49</v>
      </c>
      <c r="E2834" t="s">
        <v>119</v>
      </c>
      <c r="F2834">
        <v>1</v>
      </c>
      <c r="G2834">
        <v>0</v>
      </c>
      <c r="H2834">
        <v>9000</v>
      </c>
      <c r="I2834">
        <v>2300</v>
      </c>
      <c r="J2834" t="s">
        <v>65</v>
      </c>
      <c r="K2834" t="s">
        <v>40</v>
      </c>
      <c r="L2834">
        <v>9000</v>
      </c>
      <c r="M2834">
        <v>25.55555555555555</v>
      </c>
      <c r="N2834" t="s">
        <v>8</v>
      </c>
      <c r="O2834" t="s">
        <v>1057</v>
      </c>
      <c r="P2834" t="s">
        <v>29</v>
      </c>
      <c r="Q2834" t="s">
        <v>30</v>
      </c>
      <c r="R2834" t="s">
        <v>31</v>
      </c>
      <c r="S2834" t="s">
        <v>32</v>
      </c>
      <c r="T2834" t="s">
        <v>1058</v>
      </c>
      <c r="U2834" t="s">
        <v>34</v>
      </c>
      <c r="V2834">
        <v>2300</v>
      </c>
    </row>
    <row r="2835" spans="1:22" x14ac:dyDescent="0.3">
      <c r="A2835" t="s">
        <v>4294</v>
      </c>
      <c r="B2835" s="2">
        <v>46220</v>
      </c>
      <c r="C2835" t="s">
        <v>3771</v>
      </c>
      <c r="D2835" t="s">
        <v>49</v>
      </c>
      <c r="E2835" t="s">
        <v>50</v>
      </c>
      <c r="F2835">
        <v>1</v>
      </c>
      <c r="G2835">
        <v>0</v>
      </c>
      <c r="H2835">
        <v>13000</v>
      </c>
      <c r="I2835">
        <v>3200</v>
      </c>
      <c r="J2835" t="s">
        <v>26</v>
      </c>
      <c r="K2835" t="s">
        <v>40</v>
      </c>
      <c r="L2835">
        <v>13000</v>
      </c>
      <c r="M2835">
        <v>24.61538461538462</v>
      </c>
      <c r="N2835" t="s">
        <v>8</v>
      </c>
      <c r="O2835" t="s">
        <v>482</v>
      </c>
      <c r="P2835" t="s">
        <v>73</v>
      </c>
      <c r="Q2835" t="s">
        <v>74</v>
      </c>
      <c r="R2835" t="s">
        <v>75</v>
      </c>
      <c r="S2835" t="s">
        <v>75</v>
      </c>
      <c r="T2835" t="s">
        <v>3772</v>
      </c>
      <c r="U2835" t="s">
        <v>34</v>
      </c>
      <c r="V2835">
        <v>3200</v>
      </c>
    </row>
    <row r="2836" spans="1:22" x14ac:dyDescent="0.3">
      <c r="A2836" t="s">
        <v>4295</v>
      </c>
      <c r="B2836" s="2">
        <v>45949</v>
      </c>
      <c r="C2836" t="s">
        <v>1493</v>
      </c>
      <c r="D2836" t="s">
        <v>37</v>
      </c>
      <c r="E2836" t="s">
        <v>170</v>
      </c>
      <c r="F2836">
        <v>5</v>
      </c>
      <c r="G2836">
        <v>0.2</v>
      </c>
      <c r="H2836">
        <v>5600</v>
      </c>
      <c r="I2836">
        <v>1356</v>
      </c>
      <c r="J2836" t="s">
        <v>65</v>
      </c>
      <c r="K2836" t="s">
        <v>40</v>
      </c>
      <c r="L2836">
        <v>1120</v>
      </c>
      <c r="M2836">
        <v>24.214285714285712</v>
      </c>
      <c r="N2836" t="s">
        <v>8</v>
      </c>
      <c r="O2836" t="s">
        <v>1494</v>
      </c>
      <c r="P2836" t="s">
        <v>73</v>
      </c>
      <c r="Q2836" t="s">
        <v>131</v>
      </c>
      <c r="R2836" t="s">
        <v>449</v>
      </c>
      <c r="S2836" t="s">
        <v>450</v>
      </c>
      <c r="T2836" t="s">
        <v>1495</v>
      </c>
      <c r="U2836" t="s">
        <v>34</v>
      </c>
      <c r="V2836">
        <v>271.2</v>
      </c>
    </row>
    <row r="2837" spans="1:22" x14ac:dyDescent="0.3">
      <c r="A2837" t="s">
        <v>4296</v>
      </c>
      <c r="B2837" s="2">
        <v>46054</v>
      </c>
      <c r="C2837" t="s">
        <v>3649</v>
      </c>
      <c r="D2837" t="s">
        <v>24</v>
      </c>
      <c r="E2837" t="s">
        <v>25</v>
      </c>
      <c r="F2837">
        <v>4</v>
      </c>
      <c r="G2837">
        <v>0.1</v>
      </c>
      <c r="H2837">
        <v>50400</v>
      </c>
      <c r="I2837">
        <v>-24368.39</v>
      </c>
      <c r="J2837" t="s">
        <v>51</v>
      </c>
      <c r="K2837" t="s">
        <v>434</v>
      </c>
      <c r="L2837">
        <v>12600</v>
      </c>
      <c r="M2837">
        <v>-48.349980158730162</v>
      </c>
      <c r="N2837" t="s">
        <v>81</v>
      </c>
      <c r="O2837" t="s">
        <v>255</v>
      </c>
      <c r="P2837" t="s">
        <v>29</v>
      </c>
      <c r="Q2837" t="s">
        <v>42</v>
      </c>
      <c r="R2837" t="s">
        <v>110</v>
      </c>
      <c r="S2837" t="s">
        <v>111</v>
      </c>
      <c r="T2837" t="s">
        <v>436</v>
      </c>
      <c r="U2837" t="s">
        <v>46</v>
      </c>
      <c r="V2837">
        <v>-6092.0974999999999</v>
      </c>
    </row>
    <row r="2838" spans="1:22" x14ac:dyDescent="0.3">
      <c r="A2838" t="s">
        <v>4297</v>
      </c>
      <c r="B2838" s="2">
        <v>45924</v>
      </c>
      <c r="C2838" t="s">
        <v>2278</v>
      </c>
      <c r="D2838" t="s">
        <v>70</v>
      </c>
      <c r="E2838" t="s">
        <v>71</v>
      </c>
      <c r="F2838">
        <v>1</v>
      </c>
      <c r="G2838">
        <v>0.1</v>
      </c>
      <c r="H2838">
        <v>16200</v>
      </c>
      <c r="I2838">
        <v>2033.05</v>
      </c>
      <c r="J2838" t="s">
        <v>51</v>
      </c>
      <c r="K2838" t="s">
        <v>40</v>
      </c>
      <c r="L2838">
        <v>16200</v>
      </c>
      <c r="M2838">
        <v>12.54969135802469</v>
      </c>
      <c r="N2838" t="s">
        <v>8</v>
      </c>
      <c r="O2838" t="s">
        <v>470</v>
      </c>
      <c r="P2838" t="s">
        <v>29</v>
      </c>
      <c r="Q2838" t="s">
        <v>30</v>
      </c>
      <c r="R2838" t="s">
        <v>98</v>
      </c>
      <c r="S2838" t="s">
        <v>54</v>
      </c>
      <c r="T2838" t="s">
        <v>2279</v>
      </c>
      <c r="U2838" t="s">
        <v>105</v>
      </c>
      <c r="V2838">
        <v>2033.05</v>
      </c>
    </row>
    <row r="2839" spans="1:22" x14ac:dyDescent="0.3">
      <c r="A2839" t="s">
        <v>4298</v>
      </c>
      <c r="B2839" s="2">
        <v>45963</v>
      </c>
      <c r="C2839" t="s">
        <v>2278</v>
      </c>
      <c r="D2839" t="s">
        <v>37</v>
      </c>
      <c r="E2839" t="s">
        <v>190</v>
      </c>
      <c r="F2839">
        <v>2</v>
      </c>
      <c r="G2839">
        <v>0.15</v>
      </c>
      <c r="H2839">
        <v>7140</v>
      </c>
      <c r="I2839">
        <v>1511.25</v>
      </c>
      <c r="J2839" t="s">
        <v>65</v>
      </c>
      <c r="K2839" t="s">
        <v>40</v>
      </c>
      <c r="L2839">
        <v>3570</v>
      </c>
      <c r="M2839">
        <v>21.165966386554619</v>
      </c>
      <c r="N2839" t="s">
        <v>8</v>
      </c>
      <c r="O2839" t="s">
        <v>470</v>
      </c>
      <c r="P2839" t="s">
        <v>29</v>
      </c>
      <c r="Q2839" t="s">
        <v>30</v>
      </c>
      <c r="R2839" t="s">
        <v>98</v>
      </c>
      <c r="S2839" t="s">
        <v>54</v>
      </c>
      <c r="T2839" t="s">
        <v>2279</v>
      </c>
      <c r="U2839" t="s">
        <v>105</v>
      </c>
      <c r="V2839">
        <v>755.625</v>
      </c>
    </row>
    <row r="2840" spans="1:22" x14ac:dyDescent="0.3">
      <c r="A2840" t="s">
        <v>4299</v>
      </c>
      <c r="B2840" s="2">
        <v>46229</v>
      </c>
      <c r="C2840" t="s">
        <v>1398</v>
      </c>
      <c r="D2840" t="s">
        <v>37</v>
      </c>
      <c r="E2840" t="s">
        <v>310</v>
      </c>
      <c r="F2840">
        <v>2</v>
      </c>
      <c r="G2840">
        <v>0.1</v>
      </c>
      <c r="H2840">
        <v>3960</v>
      </c>
      <c r="I2840">
        <v>-222.27</v>
      </c>
      <c r="J2840" t="s">
        <v>26</v>
      </c>
      <c r="K2840" t="s">
        <v>434</v>
      </c>
      <c r="L2840">
        <v>1980</v>
      </c>
      <c r="M2840">
        <v>-5.6128787878787882</v>
      </c>
      <c r="N2840" t="s">
        <v>81</v>
      </c>
      <c r="O2840" t="s">
        <v>153</v>
      </c>
      <c r="P2840" t="s">
        <v>83</v>
      </c>
      <c r="Q2840" t="s">
        <v>30</v>
      </c>
      <c r="R2840" t="s">
        <v>53</v>
      </c>
      <c r="S2840" t="s">
        <v>54</v>
      </c>
      <c r="T2840" t="s">
        <v>734</v>
      </c>
      <c r="U2840" t="s">
        <v>46</v>
      </c>
      <c r="V2840">
        <v>-111.13500000000001</v>
      </c>
    </row>
    <row r="2841" spans="1:22" x14ac:dyDescent="0.3">
      <c r="A2841" t="s">
        <v>4300</v>
      </c>
      <c r="B2841" s="2">
        <v>45995</v>
      </c>
      <c r="C2841" t="s">
        <v>348</v>
      </c>
      <c r="D2841" t="s">
        <v>70</v>
      </c>
      <c r="E2841" t="s">
        <v>108</v>
      </c>
      <c r="F2841">
        <v>2</v>
      </c>
      <c r="G2841">
        <v>0.1</v>
      </c>
      <c r="H2841">
        <v>8100</v>
      </c>
      <c r="I2841">
        <v>2262.92</v>
      </c>
      <c r="J2841" t="s">
        <v>51</v>
      </c>
      <c r="K2841" t="s">
        <v>40</v>
      </c>
      <c r="L2841">
        <v>4050</v>
      </c>
      <c r="M2841">
        <v>27.937283950617289</v>
      </c>
      <c r="N2841" t="s">
        <v>8</v>
      </c>
      <c r="O2841" t="s">
        <v>349</v>
      </c>
      <c r="P2841" t="s">
        <v>83</v>
      </c>
      <c r="Q2841" t="s">
        <v>30</v>
      </c>
      <c r="R2841" t="s">
        <v>31</v>
      </c>
      <c r="S2841" t="s">
        <v>32</v>
      </c>
      <c r="T2841" t="s">
        <v>307</v>
      </c>
      <c r="U2841" t="s">
        <v>100</v>
      </c>
      <c r="V2841">
        <v>1131.46</v>
      </c>
    </row>
    <row r="2842" spans="1:22" x14ac:dyDescent="0.3">
      <c r="A2842" t="s">
        <v>4301</v>
      </c>
      <c r="B2842" s="2">
        <v>45860</v>
      </c>
      <c r="C2842" t="s">
        <v>1319</v>
      </c>
      <c r="D2842" t="s">
        <v>49</v>
      </c>
      <c r="E2842" t="s">
        <v>119</v>
      </c>
      <c r="F2842">
        <v>5</v>
      </c>
      <c r="G2842">
        <v>0.05</v>
      </c>
      <c r="H2842">
        <v>42750</v>
      </c>
      <c r="I2842">
        <v>9675.18</v>
      </c>
      <c r="J2842" t="s">
        <v>65</v>
      </c>
      <c r="K2842" t="s">
        <v>40</v>
      </c>
      <c r="L2842">
        <v>8550</v>
      </c>
      <c r="M2842">
        <v>22.632000000000001</v>
      </c>
      <c r="N2842" t="s">
        <v>8</v>
      </c>
      <c r="O2842" t="s">
        <v>166</v>
      </c>
      <c r="P2842" t="s">
        <v>83</v>
      </c>
      <c r="Q2842" t="s">
        <v>42</v>
      </c>
      <c r="R2842" t="s">
        <v>110</v>
      </c>
      <c r="S2842" t="s">
        <v>111</v>
      </c>
      <c r="T2842" t="s">
        <v>1320</v>
      </c>
      <c r="U2842" t="s">
        <v>34</v>
      </c>
      <c r="V2842">
        <v>1935.0360000000001</v>
      </c>
    </row>
    <row r="2843" spans="1:22" x14ac:dyDescent="0.3">
      <c r="A2843" t="s">
        <v>4302</v>
      </c>
      <c r="B2843" s="2">
        <v>45932</v>
      </c>
      <c r="C2843" t="s">
        <v>2961</v>
      </c>
      <c r="D2843" t="s">
        <v>37</v>
      </c>
      <c r="E2843" t="s">
        <v>190</v>
      </c>
      <c r="F2843">
        <v>2</v>
      </c>
      <c r="G2843">
        <v>0.05</v>
      </c>
      <c r="H2843">
        <v>7980</v>
      </c>
      <c r="I2843">
        <v>2202.88</v>
      </c>
      <c r="J2843" t="s">
        <v>51</v>
      </c>
      <c r="K2843" t="s">
        <v>40</v>
      </c>
      <c r="L2843">
        <v>3990</v>
      </c>
      <c r="M2843">
        <v>27.60501253132832</v>
      </c>
      <c r="N2843" t="s">
        <v>8</v>
      </c>
      <c r="O2843" t="s">
        <v>2962</v>
      </c>
      <c r="P2843" t="s">
        <v>73</v>
      </c>
      <c r="Q2843" t="s">
        <v>42</v>
      </c>
      <c r="R2843" t="s">
        <v>43</v>
      </c>
      <c r="S2843" t="s">
        <v>44</v>
      </c>
      <c r="T2843" t="s">
        <v>2963</v>
      </c>
      <c r="U2843" t="s">
        <v>46</v>
      </c>
      <c r="V2843">
        <v>1101.44</v>
      </c>
    </row>
    <row r="2844" spans="1:22" x14ac:dyDescent="0.3">
      <c r="A2844" t="s">
        <v>4303</v>
      </c>
      <c r="B2844" s="2">
        <v>45978</v>
      </c>
      <c r="C2844" t="s">
        <v>2154</v>
      </c>
      <c r="D2844" t="s">
        <v>49</v>
      </c>
      <c r="E2844" t="s">
        <v>50</v>
      </c>
      <c r="F2844">
        <v>2</v>
      </c>
      <c r="G2844">
        <v>0</v>
      </c>
      <c r="H2844">
        <v>26000</v>
      </c>
      <c r="I2844">
        <v>6400</v>
      </c>
      <c r="J2844" t="s">
        <v>26</v>
      </c>
      <c r="K2844" t="s">
        <v>40</v>
      </c>
      <c r="L2844">
        <v>13000</v>
      </c>
      <c r="M2844">
        <v>24.61538461538462</v>
      </c>
      <c r="N2844" t="s">
        <v>8</v>
      </c>
      <c r="O2844" t="s">
        <v>1606</v>
      </c>
      <c r="P2844" t="s">
        <v>83</v>
      </c>
      <c r="Q2844" t="s">
        <v>42</v>
      </c>
      <c r="R2844" t="s">
        <v>110</v>
      </c>
      <c r="S2844" t="s">
        <v>111</v>
      </c>
      <c r="T2844" t="s">
        <v>2155</v>
      </c>
      <c r="U2844" t="s">
        <v>34</v>
      </c>
      <c r="V2844">
        <v>3200</v>
      </c>
    </row>
    <row r="2845" spans="1:22" x14ac:dyDescent="0.3">
      <c r="A2845" t="s">
        <v>4304</v>
      </c>
      <c r="B2845" s="2">
        <v>46130</v>
      </c>
      <c r="C2845" t="s">
        <v>2177</v>
      </c>
      <c r="D2845" t="s">
        <v>49</v>
      </c>
      <c r="E2845" t="s">
        <v>119</v>
      </c>
      <c r="F2845">
        <v>2</v>
      </c>
      <c r="G2845">
        <v>0</v>
      </c>
      <c r="H2845">
        <v>18000</v>
      </c>
      <c r="I2845">
        <v>4600</v>
      </c>
      <c r="J2845" t="s">
        <v>65</v>
      </c>
      <c r="K2845" t="s">
        <v>40</v>
      </c>
      <c r="L2845">
        <v>9000</v>
      </c>
      <c r="M2845">
        <v>25.55555555555555</v>
      </c>
      <c r="N2845" t="s">
        <v>8</v>
      </c>
      <c r="O2845" t="s">
        <v>175</v>
      </c>
      <c r="P2845" t="s">
        <v>29</v>
      </c>
      <c r="Q2845" t="s">
        <v>30</v>
      </c>
      <c r="R2845" t="s">
        <v>98</v>
      </c>
      <c r="S2845" t="s">
        <v>54</v>
      </c>
      <c r="T2845" t="s">
        <v>2178</v>
      </c>
      <c r="U2845" t="s">
        <v>46</v>
      </c>
      <c r="V2845">
        <v>2300</v>
      </c>
    </row>
    <row r="2846" spans="1:22" x14ac:dyDescent="0.3">
      <c r="A2846" t="s">
        <v>4305</v>
      </c>
      <c r="B2846" s="2">
        <v>46217</v>
      </c>
      <c r="C2846" t="s">
        <v>525</v>
      </c>
      <c r="D2846" t="s">
        <v>70</v>
      </c>
      <c r="E2846" t="s">
        <v>165</v>
      </c>
      <c r="F2846">
        <v>4</v>
      </c>
      <c r="G2846">
        <v>0.05</v>
      </c>
      <c r="H2846">
        <v>9500</v>
      </c>
      <c r="I2846">
        <v>2893.96</v>
      </c>
      <c r="J2846" t="s">
        <v>65</v>
      </c>
      <c r="K2846" t="s">
        <v>40</v>
      </c>
      <c r="L2846">
        <v>2375</v>
      </c>
      <c r="M2846">
        <v>30.462736842105269</v>
      </c>
      <c r="N2846" t="s">
        <v>8</v>
      </c>
      <c r="O2846" t="s">
        <v>526</v>
      </c>
      <c r="P2846" t="s">
        <v>29</v>
      </c>
      <c r="Q2846" t="s">
        <v>30</v>
      </c>
      <c r="R2846" t="s">
        <v>98</v>
      </c>
      <c r="S2846" t="s">
        <v>54</v>
      </c>
      <c r="T2846" t="s">
        <v>527</v>
      </c>
      <c r="U2846" t="s">
        <v>34</v>
      </c>
      <c r="V2846">
        <v>723.49</v>
      </c>
    </row>
    <row r="2847" spans="1:22" x14ac:dyDescent="0.3">
      <c r="A2847" t="s">
        <v>4306</v>
      </c>
      <c r="B2847" s="2">
        <v>46262</v>
      </c>
      <c r="C2847" t="s">
        <v>1690</v>
      </c>
      <c r="D2847" t="s">
        <v>49</v>
      </c>
      <c r="E2847" t="s">
        <v>58</v>
      </c>
      <c r="F2847">
        <v>3</v>
      </c>
      <c r="G2847">
        <v>0.3</v>
      </c>
      <c r="H2847">
        <v>31500</v>
      </c>
      <c r="I2847">
        <v>-20247.02</v>
      </c>
      <c r="J2847" t="s">
        <v>26</v>
      </c>
      <c r="K2847" t="s">
        <v>80</v>
      </c>
      <c r="L2847">
        <v>10500</v>
      </c>
      <c r="M2847">
        <v>-64.276253968253968</v>
      </c>
      <c r="N2847" t="s">
        <v>81</v>
      </c>
      <c r="O2847" t="s">
        <v>1566</v>
      </c>
      <c r="P2847" t="s">
        <v>73</v>
      </c>
      <c r="Q2847" t="s">
        <v>30</v>
      </c>
      <c r="R2847" t="s">
        <v>53</v>
      </c>
      <c r="S2847" t="s">
        <v>54</v>
      </c>
      <c r="T2847" t="s">
        <v>1691</v>
      </c>
      <c r="U2847" t="s">
        <v>105</v>
      </c>
      <c r="V2847">
        <v>-6749.0066666666671</v>
      </c>
    </row>
    <row r="2848" spans="1:22" x14ac:dyDescent="0.3">
      <c r="A2848" t="s">
        <v>4307</v>
      </c>
      <c r="B2848" s="2">
        <v>46129</v>
      </c>
      <c r="C2848" t="s">
        <v>1767</v>
      </c>
      <c r="D2848" t="s">
        <v>24</v>
      </c>
      <c r="E2848" t="s">
        <v>242</v>
      </c>
      <c r="F2848">
        <v>10</v>
      </c>
      <c r="G2848">
        <v>0</v>
      </c>
      <c r="H2848">
        <v>4500</v>
      </c>
      <c r="I2848">
        <v>-2075.88</v>
      </c>
      <c r="J2848" t="s">
        <v>39</v>
      </c>
      <c r="K2848" t="s">
        <v>80</v>
      </c>
      <c r="L2848">
        <v>450</v>
      </c>
      <c r="M2848">
        <v>-46.13066666666667</v>
      </c>
      <c r="N2848" t="s">
        <v>81</v>
      </c>
      <c r="O2848" t="s">
        <v>1768</v>
      </c>
      <c r="P2848" t="s">
        <v>29</v>
      </c>
      <c r="Q2848" t="s">
        <v>131</v>
      </c>
      <c r="R2848" t="s">
        <v>289</v>
      </c>
      <c r="S2848" t="s">
        <v>290</v>
      </c>
      <c r="T2848" t="s">
        <v>1469</v>
      </c>
      <c r="U2848" t="s">
        <v>100</v>
      </c>
      <c r="V2848">
        <v>-207.58799999999999</v>
      </c>
    </row>
    <row r="2849" spans="1:22" x14ac:dyDescent="0.3">
      <c r="A2849" t="s">
        <v>4308</v>
      </c>
      <c r="B2849" s="2">
        <v>46251</v>
      </c>
      <c r="C2849" t="s">
        <v>1398</v>
      </c>
      <c r="D2849" t="s">
        <v>24</v>
      </c>
      <c r="E2849" t="s">
        <v>242</v>
      </c>
      <c r="F2849">
        <v>1</v>
      </c>
      <c r="G2849">
        <v>0.1</v>
      </c>
      <c r="H2849">
        <v>405</v>
      </c>
      <c r="I2849">
        <v>82.92</v>
      </c>
      <c r="J2849" t="s">
        <v>39</v>
      </c>
      <c r="K2849" t="s">
        <v>40</v>
      </c>
      <c r="L2849">
        <v>405</v>
      </c>
      <c r="M2849">
        <v>20.474074074074071</v>
      </c>
      <c r="N2849" t="s">
        <v>8</v>
      </c>
      <c r="O2849" t="s">
        <v>153</v>
      </c>
      <c r="P2849" t="s">
        <v>83</v>
      </c>
      <c r="Q2849" t="s">
        <v>30</v>
      </c>
      <c r="R2849" t="s">
        <v>53</v>
      </c>
      <c r="S2849" t="s">
        <v>54</v>
      </c>
      <c r="T2849" t="s">
        <v>734</v>
      </c>
      <c r="U2849" t="s">
        <v>46</v>
      </c>
      <c r="V2849">
        <v>82.92</v>
      </c>
    </row>
    <row r="2850" spans="1:22" x14ac:dyDescent="0.3">
      <c r="A2850" t="s">
        <v>4309</v>
      </c>
      <c r="B2850" s="2">
        <v>46136</v>
      </c>
      <c r="C2850" t="s">
        <v>430</v>
      </c>
      <c r="D2850" t="s">
        <v>70</v>
      </c>
      <c r="E2850" t="s">
        <v>71</v>
      </c>
      <c r="F2850">
        <v>6</v>
      </c>
      <c r="G2850">
        <v>0.05</v>
      </c>
      <c r="H2850">
        <v>102600</v>
      </c>
      <c r="I2850">
        <v>16988.54</v>
      </c>
      <c r="J2850" t="s">
        <v>51</v>
      </c>
      <c r="K2850" t="s">
        <v>40</v>
      </c>
      <c r="L2850">
        <v>17100</v>
      </c>
      <c r="M2850">
        <v>16.55803118908382</v>
      </c>
      <c r="N2850" t="s">
        <v>8</v>
      </c>
      <c r="O2850" t="s">
        <v>431</v>
      </c>
      <c r="P2850" t="s">
        <v>29</v>
      </c>
      <c r="Q2850" t="s">
        <v>30</v>
      </c>
      <c r="R2850" t="s">
        <v>53</v>
      </c>
      <c r="S2850" t="s">
        <v>54</v>
      </c>
      <c r="T2850" t="s">
        <v>256</v>
      </c>
      <c r="U2850" t="s">
        <v>46</v>
      </c>
      <c r="V2850">
        <v>2831.4233333333341</v>
      </c>
    </row>
    <row r="2851" spans="1:22" x14ac:dyDescent="0.3">
      <c r="A2851" t="s">
        <v>4310</v>
      </c>
      <c r="B2851" s="2">
        <v>45851</v>
      </c>
      <c r="C2851" t="s">
        <v>887</v>
      </c>
      <c r="D2851" t="s">
        <v>49</v>
      </c>
      <c r="E2851" t="s">
        <v>50</v>
      </c>
      <c r="F2851">
        <v>3</v>
      </c>
      <c r="G2851">
        <v>0.05</v>
      </c>
      <c r="H2851">
        <v>37050</v>
      </c>
      <c r="I2851">
        <v>8273.01</v>
      </c>
      <c r="J2851" t="s">
        <v>39</v>
      </c>
      <c r="K2851" t="s">
        <v>27</v>
      </c>
      <c r="L2851">
        <v>12350</v>
      </c>
      <c r="M2851">
        <v>22.329311740890692</v>
      </c>
      <c r="N2851" t="s">
        <v>8</v>
      </c>
      <c r="O2851" t="s">
        <v>888</v>
      </c>
      <c r="P2851" t="s">
        <v>29</v>
      </c>
      <c r="Q2851" t="s">
        <v>74</v>
      </c>
      <c r="R2851" t="s">
        <v>115</v>
      </c>
      <c r="S2851" t="s">
        <v>115</v>
      </c>
      <c r="T2851" t="s">
        <v>889</v>
      </c>
      <c r="U2851" t="s">
        <v>46</v>
      </c>
      <c r="V2851">
        <v>2757.67</v>
      </c>
    </row>
    <row r="2852" spans="1:22" x14ac:dyDescent="0.3">
      <c r="A2852" t="s">
        <v>4311</v>
      </c>
      <c r="B2852" s="2">
        <v>45899</v>
      </c>
      <c r="C2852" t="s">
        <v>3159</v>
      </c>
      <c r="D2852" t="s">
        <v>24</v>
      </c>
      <c r="E2852" t="s">
        <v>92</v>
      </c>
      <c r="F2852">
        <v>4</v>
      </c>
      <c r="G2852">
        <v>0.1</v>
      </c>
      <c r="H2852">
        <v>3240</v>
      </c>
      <c r="I2852">
        <v>877.7</v>
      </c>
      <c r="J2852" t="s">
        <v>26</v>
      </c>
      <c r="K2852" t="s">
        <v>40</v>
      </c>
      <c r="L2852">
        <v>810</v>
      </c>
      <c r="M2852">
        <v>27.08950617283951</v>
      </c>
      <c r="N2852" t="s">
        <v>8</v>
      </c>
      <c r="O2852" t="s">
        <v>1182</v>
      </c>
      <c r="P2852" t="s">
        <v>73</v>
      </c>
      <c r="Q2852" t="s">
        <v>42</v>
      </c>
      <c r="R2852" t="s">
        <v>110</v>
      </c>
      <c r="S2852" t="s">
        <v>111</v>
      </c>
      <c r="T2852" t="s">
        <v>653</v>
      </c>
      <c r="U2852" t="s">
        <v>105</v>
      </c>
      <c r="V2852">
        <v>219.42500000000001</v>
      </c>
    </row>
    <row r="2853" spans="1:22" x14ac:dyDescent="0.3">
      <c r="A2853" t="s">
        <v>4312</v>
      </c>
      <c r="B2853" s="2">
        <v>46080</v>
      </c>
      <c r="C2853" t="s">
        <v>477</v>
      </c>
      <c r="D2853" t="s">
        <v>70</v>
      </c>
      <c r="E2853" t="s">
        <v>108</v>
      </c>
      <c r="F2853">
        <v>2</v>
      </c>
      <c r="G2853">
        <v>0.2</v>
      </c>
      <c r="H2853">
        <v>7200</v>
      </c>
      <c r="I2853">
        <v>1561.19</v>
      </c>
      <c r="J2853" t="s">
        <v>26</v>
      </c>
      <c r="K2853" t="s">
        <v>27</v>
      </c>
      <c r="L2853">
        <v>3600</v>
      </c>
      <c r="M2853">
        <v>21.68319444444445</v>
      </c>
      <c r="N2853" t="s">
        <v>8</v>
      </c>
      <c r="O2853" t="s">
        <v>478</v>
      </c>
      <c r="P2853" t="s">
        <v>73</v>
      </c>
      <c r="Q2853" t="s">
        <v>131</v>
      </c>
      <c r="R2853" t="s">
        <v>289</v>
      </c>
      <c r="S2853" t="s">
        <v>290</v>
      </c>
      <c r="T2853" t="s">
        <v>479</v>
      </c>
      <c r="U2853" t="s">
        <v>100</v>
      </c>
      <c r="V2853">
        <v>780.59500000000003</v>
      </c>
    </row>
    <row r="2854" spans="1:22" x14ac:dyDescent="0.3">
      <c r="A2854" t="s">
        <v>4313</v>
      </c>
      <c r="B2854" s="2">
        <v>46154</v>
      </c>
      <c r="C2854" t="s">
        <v>1548</v>
      </c>
      <c r="D2854" t="s">
        <v>24</v>
      </c>
      <c r="E2854" t="s">
        <v>25</v>
      </c>
      <c r="F2854">
        <v>2</v>
      </c>
      <c r="G2854">
        <v>0.05</v>
      </c>
      <c r="H2854">
        <v>26600</v>
      </c>
      <c r="I2854">
        <v>4863.1499999999996</v>
      </c>
      <c r="J2854" t="s">
        <v>39</v>
      </c>
      <c r="K2854" t="s">
        <v>27</v>
      </c>
      <c r="L2854">
        <v>13300</v>
      </c>
      <c r="M2854">
        <v>18.282518796992481</v>
      </c>
      <c r="N2854" t="s">
        <v>8</v>
      </c>
      <c r="O2854" t="s">
        <v>825</v>
      </c>
      <c r="P2854" t="s">
        <v>83</v>
      </c>
      <c r="Q2854" t="s">
        <v>30</v>
      </c>
      <c r="R2854" t="s">
        <v>98</v>
      </c>
      <c r="S2854" t="s">
        <v>54</v>
      </c>
      <c r="T2854" t="s">
        <v>1549</v>
      </c>
      <c r="U2854" t="s">
        <v>34</v>
      </c>
      <c r="V2854">
        <v>2431.5749999999998</v>
      </c>
    </row>
    <row r="2855" spans="1:22" x14ac:dyDescent="0.3">
      <c r="A2855" t="s">
        <v>4314</v>
      </c>
      <c r="B2855" s="2">
        <v>46084</v>
      </c>
      <c r="C2855" t="s">
        <v>562</v>
      </c>
      <c r="D2855" t="s">
        <v>49</v>
      </c>
      <c r="E2855" t="s">
        <v>79</v>
      </c>
      <c r="F2855">
        <v>3</v>
      </c>
      <c r="G2855">
        <v>0.2</v>
      </c>
      <c r="H2855">
        <v>26400</v>
      </c>
      <c r="I2855">
        <v>3621.95</v>
      </c>
      <c r="J2855" t="s">
        <v>39</v>
      </c>
      <c r="K2855" t="s">
        <v>40</v>
      </c>
      <c r="L2855">
        <v>8800</v>
      </c>
      <c r="M2855">
        <v>13.71950757575758</v>
      </c>
      <c r="N2855" t="s">
        <v>8</v>
      </c>
      <c r="O2855" t="s">
        <v>563</v>
      </c>
      <c r="P2855" t="s">
        <v>29</v>
      </c>
      <c r="Q2855" t="s">
        <v>30</v>
      </c>
      <c r="R2855" t="s">
        <v>60</v>
      </c>
      <c r="S2855" t="s">
        <v>61</v>
      </c>
      <c r="T2855" t="s">
        <v>564</v>
      </c>
      <c r="U2855" t="s">
        <v>100</v>
      </c>
      <c r="V2855">
        <v>1207.3166666666671</v>
      </c>
    </row>
    <row r="2856" spans="1:22" x14ac:dyDescent="0.3">
      <c r="A2856" t="s">
        <v>4315</v>
      </c>
      <c r="B2856" s="2">
        <v>45970</v>
      </c>
      <c r="C2856" t="s">
        <v>983</v>
      </c>
      <c r="D2856" t="s">
        <v>70</v>
      </c>
      <c r="E2856" t="s">
        <v>71</v>
      </c>
      <c r="F2856">
        <v>2</v>
      </c>
      <c r="G2856">
        <v>0.15</v>
      </c>
      <c r="H2856">
        <v>30600</v>
      </c>
      <c r="I2856">
        <v>3270.99</v>
      </c>
      <c r="J2856" t="s">
        <v>26</v>
      </c>
      <c r="K2856" t="s">
        <v>40</v>
      </c>
      <c r="L2856">
        <v>15300</v>
      </c>
      <c r="M2856">
        <v>10.68950980392157</v>
      </c>
      <c r="N2856" t="s">
        <v>8</v>
      </c>
      <c r="O2856" t="s">
        <v>984</v>
      </c>
      <c r="P2856" t="s">
        <v>29</v>
      </c>
      <c r="Q2856" t="s">
        <v>30</v>
      </c>
      <c r="R2856" t="s">
        <v>31</v>
      </c>
      <c r="S2856" t="s">
        <v>32</v>
      </c>
      <c r="T2856" t="s">
        <v>985</v>
      </c>
      <c r="U2856" t="s">
        <v>46</v>
      </c>
      <c r="V2856">
        <v>1635.4949999999999</v>
      </c>
    </row>
    <row r="2857" spans="1:22" x14ac:dyDescent="0.3">
      <c r="A2857" t="s">
        <v>4316</v>
      </c>
      <c r="B2857" s="2">
        <v>46023</v>
      </c>
      <c r="C2857" t="s">
        <v>766</v>
      </c>
      <c r="D2857" t="s">
        <v>70</v>
      </c>
      <c r="E2857" t="s">
        <v>108</v>
      </c>
      <c r="F2857">
        <v>1</v>
      </c>
      <c r="G2857">
        <v>0.05</v>
      </c>
      <c r="H2857">
        <v>4275</v>
      </c>
      <c r="I2857">
        <v>1359.42</v>
      </c>
      <c r="J2857" t="s">
        <v>65</v>
      </c>
      <c r="K2857" t="s">
        <v>40</v>
      </c>
      <c r="L2857">
        <v>4275</v>
      </c>
      <c r="M2857">
        <v>31.79929824561404</v>
      </c>
      <c r="N2857" t="s">
        <v>8</v>
      </c>
      <c r="O2857" t="s">
        <v>195</v>
      </c>
      <c r="P2857" t="s">
        <v>29</v>
      </c>
      <c r="Q2857" t="s">
        <v>42</v>
      </c>
      <c r="R2857" t="s">
        <v>43</v>
      </c>
      <c r="S2857" t="s">
        <v>44</v>
      </c>
      <c r="T2857" t="s">
        <v>767</v>
      </c>
      <c r="U2857" t="s">
        <v>105</v>
      </c>
      <c r="V2857">
        <v>1359.42</v>
      </c>
    </row>
    <row r="2858" spans="1:22" x14ac:dyDescent="0.3">
      <c r="A2858" t="s">
        <v>4317</v>
      </c>
      <c r="B2858" s="2">
        <v>45879</v>
      </c>
      <c r="C2858" t="s">
        <v>361</v>
      </c>
      <c r="D2858" t="s">
        <v>49</v>
      </c>
      <c r="E2858" t="s">
        <v>79</v>
      </c>
      <c r="F2858">
        <v>3</v>
      </c>
      <c r="G2858">
        <v>0.15</v>
      </c>
      <c r="H2858">
        <v>28050</v>
      </c>
      <c r="I2858">
        <v>4115.3599999999997</v>
      </c>
      <c r="J2858" t="s">
        <v>26</v>
      </c>
      <c r="K2858" t="s">
        <v>40</v>
      </c>
      <c r="L2858">
        <v>9350</v>
      </c>
      <c r="M2858">
        <v>14.67151515151515</v>
      </c>
      <c r="N2858" t="s">
        <v>8</v>
      </c>
      <c r="O2858" t="s">
        <v>362</v>
      </c>
      <c r="P2858" t="s">
        <v>73</v>
      </c>
      <c r="Q2858" t="s">
        <v>42</v>
      </c>
      <c r="R2858" t="s">
        <v>43</v>
      </c>
      <c r="S2858" t="s">
        <v>44</v>
      </c>
      <c r="T2858" t="s">
        <v>363</v>
      </c>
      <c r="U2858" t="s">
        <v>105</v>
      </c>
      <c r="V2858">
        <v>1371.7866666666671</v>
      </c>
    </row>
    <row r="2859" spans="1:22" x14ac:dyDescent="0.3">
      <c r="A2859" t="s">
        <v>4318</v>
      </c>
      <c r="B2859" s="2">
        <v>46041</v>
      </c>
      <c r="C2859" t="s">
        <v>2223</v>
      </c>
      <c r="D2859" t="s">
        <v>49</v>
      </c>
      <c r="E2859" t="s">
        <v>58</v>
      </c>
      <c r="F2859">
        <v>2</v>
      </c>
      <c r="G2859">
        <v>0.15</v>
      </c>
      <c r="H2859">
        <v>25500</v>
      </c>
      <c r="I2859">
        <v>-9755.56</v>
      </c>
      <c r="J2859" t="s">
        <v>51</v>
      </c>
      <c r="K2859" t="s">
        <v>434</v>
      </c>
      <c r="L2859">
        <v>12750</v>
      </c>
      <c r="M2859">
        <v>-38.257098039215677</v>
      </c>
      <c r="N2859" t="s">
        <v>81</v>
      </c>
      <c r="O2859" t="s">
        <v>284</v>
      </c>
      <c r="P2859" t="s">
        <v>73</v>
      </c>
      <c r="Q2859" t="s">
        <v>131</v>
      </c>
      <c r="R2859" t="s">
        <v>132</v>
      </c>
      <c r="S2859" t="s">
        <v>133</v>
      </c>
      <c r="T2859" t="s">
        <v>2224</v>
      </c>
      <c r="U2859" t="s">
        <v>46</v>
      </c>
      <c r="V2859">
        <v>-4877.78</v>
      </c>
    </row>
    <row r="2860" spans="1:22" x14ac:dyDescent="0.3">
      <c r="A2860" t="s">
        <v>4319</v>
      </c>
      <c r="B2860" s="2">
        <v>46069</v>
      </c>
      <c r="C2860" t="s">
        <v>1872</v>
      </c>
      <c r="D2860" t="s">
        <v>70</v>
      </c>
      <c r="E2860" t="s">
        <v>165</v>
      </c>
      <c r="F2860">
        <v>4</v>
      </c>
      <c r="G2860">
        <v>0</v>
      </c>
      <c r="H2860">
        <v>10000</v>
      </c>
      <c r="I2860">
        <v>3200</v>
      </c>
      <c r="J2860" t="s">
        <v>65</v>
      </c>
      <c r="K2860" t="s">
        <v>27</v>
      </c>
      <c r="L2860">
        <v>2500</v>
      </c>
      <c r="M2860">
        <v>32</v>
      </c>
      <c r="N2860" t="s">
        <v>8</v>
      </c>
      <c r="O2860" t="s">
        <v>386</v>
      </c>
      <c r="P2860" t="s">
        <v>73</v>
      </c>
      <c r="Q2860" t="s">
        <v>42</v>
      </c>
      <c r="R2860" t="s">
        <v>110</v>
      </c>
      <c r="S2860" t="s">
        <v>111</v>
      </c>
      <c r="T2860" t="s">
        <v>852</v>
      </c>
      <c r="U2860" t="s">
        <v>34</v>
      </c>
      <c r="V2860">
        <v>800</v>
      </c>
    </row>
    <row r="2861" spans="1:22" x14ac:dyDescent="0.3">
      <c r="A2861" t="s">
        <v>4320</v>
      </c>
      <c r="B2861" s="2">
        <v>46125</v>
      </c>
      <c r="C2861" t="s">
        <v>2092</v>
      </c>
      <c r="D2861" t="s">
        <v>37</v>
      </c>
      <c r="E2861" t="s">
        <v>310</v>
      </c>
      <c r="F2861">
        <v>2</v>
      </c>
      <c r="G2861">
        <v>0.1</v>
      </c>
      <c r="H2861">
        <v>3960</v>
      </c>
      <c r="I2861">
        <v>-1163.73</v>
      </c>
      <c r="J2861" t="s">
        <v>26</v>
      </c>
      <c r="K2861" t="s">
        <v>80</v>
      </c>
      <c r="L2861">
        <v>1980</v>
      </c>
      <c r="M2861">
        <v>-29.387121212121219</v>
      </c>
      <c r="N2861" t="s">
        <v>81</v>
      </c>
      <c r="O2861" t="s">
        <v>2093</v>
      </c>
      <c r="P2861" t="s">
        <v>83</v>
      </c>
      <c r="Q2861" t="s">
        <v>131</v>
      </c>
      <c r="R2861" t="s">
        <v>289</v>
      </c>
      <c r="S2861" t="s">
        <v>290</v>
      </c>
      <c r="T2861" t="s">
        <v>2094</v>
      </c>
      <c r="U2861" t="s">
        <v>34</v>
      </c>
      <c r="V2861">
        <v>-581.86500000000001</v>
      </c>
    </row>
    <row r="2862" spans="1:22" x14ac:dyDescent="0.3">
      <c r="A2862" t="s">
        <v>4321</v>
      </c>
      <c r="B2862" s="2">
        <v>46022</v>
      </c>
      <c r="C2862" t="s">
        <v>667</v>
      </c>
      <c r="D2862" t="s">
        <v>37</v>
      </c>
      <c r="E2862" t="s">
        <v>170</v>
      </c>
      <c r="F2862">
        <v>10</v>
      </c>
      <c r="G2862">
        <v>0.1</v>
      </c>
      <c r="H2862">
        <v>12600</v>
      </c>
      <c r="I2862">
        <v>4146.4799999999996</v>
      </c>
      <c r="J2862" t="s">
        <v>65</v>
      </c>
      <c r="K2862" t="s">
        <v>40</v>
      </c>
      <c r="L2862">
        <v>1260</v>
      </c>
      <c r="M2862">
        <v>32.908571428571427</v>
      </c>
      <c r="N2862" t="s">
        <v>8</v>
      </c>
      <c r="O2862" t="s">
        <v>668</v>
      </c>
      <c r="P2862" t="s">
        <v>29</v>
      </c>
      <c r="Q2862" t="s">
        <v>30</v>
      </c>
      <c r="R2862" t="s">
        <v>31</v>
      </c>
      <c r="S2862" t="s">
        <v>32</v>
      </c>
      <c r="T2862" t="s">
        <v>669</v>
      </c>
      <c r="U2862" t="s">
        <v>46</v>
      </c>
      <c r="V2862">
        <v>414.64800000000002</v>
      </c>
    </row>
    <row r="2863" spans="1:22" x14ac:dyDescent="0.3">
      <c r="A2863" t="s">
        <v>4322</v>
      </c>
      <c r="B2863" s="2">
        <v>46168</v>
      </c>
      <c r="C2863" t="s">
        <v>1852</v>
      </c>
      <c r="D2863" t="s">
        <v>24</v>
      </c>
      <c r="E2863" t="s">
        <v>87</v>
      </c>
      <c r="F2863">
        <v>2</v>
      </c>
      <c r="G2863">
        <v>0.05</v>
      </c>
      <c r="H2863">
        <v>665</v>
      </c>
      <c r="I2863">
        <v>216.99</v>
      </c>
      <c r="J2863" t="s">
        <v>39</v>
      </c>
      <c r="K2863" t="s">
        <v>40</v>
      </c>
      <c r="L2863">
        <v>332.5</v>
      </c>
      <c r="M2863">
        <v>32.630075187969929</v>
      </c>
      <c r="N2863" t="s">
        <v>8</v>
      </c>
      <c r="O2863" t="s">
        <v>1325</v>
      </c>
      <c r="P2863" t="s">
        <v>29</v>
      </c>
      <c r="Q2863" t="s">
        <v>74</v>
      </c>
      <c r="R2863" t="s">
        <v>75</v>
      </c>
      <c r="S2863" t="s">
        <v>75</v>
      </c>
      <c r="T2863" t="s">
        <v>1745</v>
      </c>
      <c r="U2863" t="s">
        <v>100</v>
      </c>
      <c r="V2863">
        <v>108.495</v>
      </c>
    </row>
    <row r="2864" spans="1:22" x14ac:dyDescent="0.3">
      <c r="A2864" t="s">
        <v>4323</v>
      </c>
      <c r="B2864" s="2">
        <v>45957</v>
      </c>
      <c r="C2864" t="s">
        <v>801</v>
      </c>
      <c r="D2864" t="s">
        <v>37</v>
      </c>
      <c r="E2864" t="s">
        <v>190</v>
      </c>
      <c r="F2864">
        <v>3</v>
      </c>
      <c r="G2864">
        <v>0</v>
      </c>
      <c r="H2864">
        <v>12600</v>
      </c>
      <c r="I2864">
        <v>3600</v>
      </c>
      <c r="J2864" t="s">
        <v>65</v>
      </c>
      <c r="K2864" t="s">
        <v>40</v>
      </c>
      <c r="L2864">
        <v>4200</v>
      </c>
      <c r="M2864">
        <v>28.571428571428569</v>
      </c>
      <c r="N2864" t="s">
        <v>8</v>
      </c>
      <c r="O2864" t="s">
        <v>478</v>
      </c>
      <c r="P2864" t="s">
        <v>29</v>
      </c>
      <c r="Q2864" t="s">
        <v>30</v>
      </c>
      <c r="R2864" t="s">
        <v>98</v>
      </c>
      <c r="S2864" t="s">
        <v>54</v>
      </c>
      <c r="T2864" t="s">
        <v>802</v>
      </c>
      <c r="U2864" t="s">
        <v>34</v>
      </c>
      <c r="V2864">
        <v>1200</v>
      </c>
    </row>
    <row r="2865" spans="1:22" x14ac:dyDescent="0.3">
      <c r="A2865" t="s">
        <v>4324</v>
      </c>
      <c r="B2865" s="2">
        <v>45876</v>
      </c>
      <c r="C2865" t="s">
        <v>904</v>
      </c>
      <c r="D2865" t="s">
        <v>24</v>
      </c>
      <c r="E2865" t="s">
        <v>242</v>
      </c>
      <c r="F2865">
        <v>3</v>
      </c>
      <c r="G2865">
        <v>0.1</v>
      </c>
      <c r="H2865">
        <v>1215</v>
      </c>
      <c r="I2865">
        <v>248.7</v>
      </c>
      <c r="J2865" t="s">
        <v>26</v>
      </c>
      <c r="K2865" t="s">
        <v>40</v>
      </c>
      <c r="L2865">
        <v>405</v>
      </c>
      <c r="M2865">
        <v>20.46913580246914</v>
      </c>
      <c r="N2865" t="s">
        <v>8</v>
      </c>
      <c r="O2865" t="s">
        <v>578</v>
      </c>
      <c r="P2865" t="s">
        <v>29</v>
      </c>
      <c r="Q2865" t="s">
        <v>131</v>
      </c>
      <c r="R2865" t="s">
        <v>289</v>
      </c>
      <c r="S2865" t="s">
        <v>290</v>
      </c>
      <c r="T2865" t="s">
        <v>905</v>
      </c>
      <c r="U2865" t="s">
        <v>46</v>
      </c>
      <c r="V2865">
        <v>82.899999999999991</v>
      </c>
    </row>
    <row r="2866" spans="1:22" x14ac:dyDescent="0.3">
      <c r="A2866" t="s">
        <v>4325</v>
      </c>
      <c r="B2866" s="2">
        <v>45851</v>
      </c>
      <c r="C2866" t="s">
        <v>2249</v>
      </c>
      <c r="D2866" t="s">
        <v>49</v>
      </c>
      <c r="E2866" t="s">
        <v>50</v>
      </c>
      <c r="F2866">
        <v>5</v>
      </c>
      <c r="G2866">
        <v>0.2</v>
      </c>
      <c r="H2866">
        <v>52000</v>
      </c>
      <c r="I2866">
        <v>5796.87</v>
      </c>
      <c r="J2866" t="s">
        <v>26</v>
      </c>
      <c r="K2866" t="s">
        <v>40</v>
      </c>
      <c r="L2866">
        <v>10400</v>
      </c>
      <c r="M2866">
        <v>11.14782692307692</v>
      </c>
      <c r="N2866" t="s">
        <v>8</v>
      </c>
      <c r="O2866" t="s">
        <v>1424</v>
      </c>
      <c r="P2866" t="s">
        <v>29</v>
      </c>
      <c r="Q2866" t="s">
        <v>74</v>
      </c>
      <c r="R2866" t="s">
        <v>237</v>
      </c>
      <c r="S2866" t="s">
        <v>238</v>
      </c>
      <c r="T2866" t="s">
        <v>2250</v>
      </c>
      <c r="U2866" t="s">
        <v>105</v>
      </c>
      <c r="V2866">
        <v>1159.374</v>
      </c>
    </row>
    <row r="2867" spans="1:22" x14ac:dyDescent="0.3">
      <c r="A2867" t="s">
        <v>4326</v>
      </c>
      <c r="B2867" s="2">
        <v>46036</v>
      </c>
      <c r="C2867" t="s">
        <v>225</v>
      </c>
      <c r="D2867" t="s">
        <v>24</v>
      </c>
      <c r="E2867" t="s">
        <v>87</v>
      </c>
      <c r="F2867">
        <v>2</v>
      </c>
      <c r="G2867">
        <v>0</v>
      </c>
      <c r="H2867">
        <v>700</v>
      </c>
      <c r="I2867">
        <v>52.95</v>
      </c>
      <c r="J2867" t="s">
        <v>39</v>
      </c>
      <c r="K2867" t="s">
        <v>80</v>
      </c>
      <c r="L2867">
        <v>350</v>
      </c>
      <c r="M2867">
        <v>7.5642857142857149</v>
      </c>
      <c r="N2867" t="s">
        <v>8</v>
      </c>
      <c r="O2867" t="s">
        <v>226</v>
      </c>
      <c r="P2867" t="s">
        <v>29</v>
      </c>
      <c r="Q2867" t="s">
        <v>30</v>
      </c>
      <c r="R2867" t="s">
        <v>31</v>
      </c>
      <c r="S2867" t="s">
        <v>32</v>
      </c>
      <c r="T2867" t="s">
        <v>227</v>
      </c>
      <c r="U2867" t="s">
        <v>100</v>
      </c>
      <c r="V2867">
        <v>26.475000000000001</v>
      </c>
    </row>
    <row r="2868" spans="1:22" x14ac:dyDescent="0.3">
      <c r="A2868" t="s">
        <v>4327</v>
      </c>
      <c r="B2868" s="2">
        <v>46056</v>
      </c>
      <c r="C2868" t="s">
        <v>722</v>
      </c>
      <c r="D2868" t="s">
        <v>37</v>
      </c>
      <c r="E2868" t="s">
        <v>310</v>
      </c>
      <c r="F2868">
        <v>3</v>
      </c>
      <c r="G2868">
        <v>0.1</v>
      </c>
      <c r="H2868">
        <v>5940</v>
      </c>
      <c r="I2868">
        <v>1764.95</v>
      </c>
      <c r="J2868" t="s">
        <v>65</v>
      </c>
      <c r="K2868" t="s">
        <v>40</v>
      </c>
      <c r="L2868">
        <v>1980</v>
      </c>
      <c r="M2868">
        <v>29.712962962962958</v>
      </c>
      <c r="N2868" t="s">
        <v>8</v>
      </c>
      <c r="O2868" t="s">
        <v>723</v>
      </c>
      <c r="P2868" t="s">
        <v>73</v>
      </c>
      <c r="Q2868" t="s">
        <v>42</v>
      </c>
      <c r="R2868" t="s">
        <v>121</v>
      </c>
      <c r="S2868" t="s">
        <v>44</v>
      </c>
      <c r="T2868" t="s">
        <v>138</v>
      </c>
      <c r="U2868" t="s">
        <v>46</v>
      </c>
      <c r="V2868">
        <v>588.31666666666672</v>
      </c>
    </row>
    <row r="2869" spans="1:22" x14ac:dyDescent="0.3">
      <c r="A2869" t="s">
        <v>4328</v>
      </c>
      <c r="B2869" s="2">
        <v>45943</v>
      </c>
      <c r="C2869" t="s">
        <v>1168</v>
      </c>
      <c r="D2869" t="s">
        <v>49</v>
      </c>
      <c r="E2869" t="s">
        <v>119</v>
      </c>
      <c r="F2869">
        <v>2</v>
      </c>
      <c r="G2869">
        <v>0.1</v>
      </c>
      <c r="H2869">
        <v>16200</v>
      </c>
      <c r="I2869">
        <v>3219.88</v>
      </c>
      <c r="J2869" t="s">
        <v>39</v>
      </c>
      <c r="K2869" t="s">
        <v>27</v>
      </c>
      <c r="L2869">
        <v>8100</v>
      </c>
      <c r="M2869">
        <v>19.875802469135799</v>
      </c>
      <c r="N2869" t="s">
        <v>8</v>
      </c>
      <c r="O2869" t="s">
        <v>1169</v>
      </c>
      <c r="P2869" t="s">
        <v>83</v>
      </c>
      <c r="Q2869" t="s">
        <v>131</v>
      </c>
      <c r="R2869" t="s">
        <v>289</v>
      </c>
      <c r="S2869" t="s">
        <v>290</v>
      </c>
      <c r="T2869" t="s">
        <v>1170</v>
      </c>
      <c r="U2869" t="s">
        <v>34</v>
      </c>
      <c r="V2869">
        <v>1609.94</v>
      </c>
    </row>
    <row r="2870" spans="1:22" x14ac:dyDescent="0.3">
      <c r="A2870" t="s">
        <v>4329</v>
      </c>
      <c r="B2870" s="2">
        <v>46202</v>
      </c>
      <c r="C2870" t="s">
        <v>1480</v>
      </c>
      <c r="D2870" t="s">
        <v>37</v>
      </c>
      <c r="E2870" t="s">
        <v>190</v>
      </c>
      <c r="F2870">
        <v>2</v>
      </c>
      <c r="G2870">
        <v>0.05</v>
      </c>
      <c r="H2870">
        <v>7980</v>
      </c>
      <c r="I2870">
        <v>2124.1</v>
      </c>
      <c r="J2870" t="s">
        <v>39</v>
      </c>
      <c r="K2870" t="s">
        <v>40</v>
      </c>
      <c r="L2870">
        <v>3990</v>
      </c>
      <c r="M2870">
        <v>26.617794486215541</v>
      </c>
      <c r="N2870" t="s">
        <v>8</v>
      </c>
      <c r="O2870" t="s">
        <v>66</v>
      </c>
      <c r="P2870" t="s">
        <v>73</v>
      </c>
      <c r="Q2870" t="s">
        <v>30</v>
      </c>
      <c r="R2870" t="s">
        <v>98</v>
      </c>
      <c r="S2870" t="s">
        <v>54</v>
      </c>
      <c r="T2870" t="s">
        <v>1481</v>
      </c>
      <c r="U2870" t="s">
        <v>46</v>
      </c>
      <c r="V2870">
        <v>1062.05</v>
      </c>
    </row>
    <row r="2871" spans="1:22" x14ac:dyDescent="0.3">
      <c r="A2871" t="s">
        <v>4330</v>
      </c>
      <c r="B2871" s="2">
        <v>46033</v>
      </c>
      <c r="C2871" t="s">
        <v>850</v>
      </c>
      <c r="D2871" t="s">
        <v>37</v>
      </c>
      <c r="E2871" t="s">
        <v>310</v>
      </c>
      <c r="F2871">
        <v>1</v>
      </c>
      <c r="G2871">
        <v>0.2</v>
      </c>
      <c r="H2871">
        <v>1760</v>
      </c>
      <c r="I2871">
        <v>543.67999999999995</v>
      </c>
      <c r="J2871" t="s">
        <v>39</v>
      </c>
      <c r="K2871" t="s">
        <v>40</v>
      </c>
      <c r="L2871">
        <v>1760</v>
      </c>
      <c r="M2871">
        <v>30.890909090909091</v>
      </c>
      <c r="N2871" t="s">
        <v>8</v>
      </c>
      <c r="O2871" t="s">
        <v>851</v>
      </c>
      <c r="P2871" t="s">
        <v>29</v>
      </c>
      <c r="Q2871" t="s">
        <v>30</v>
      </c>
      <c r="R2871" t="s">
        <v>60</v>
      </c>
      <c r="S2871" t="s">
        <v>61</v>
      </c>
      <c r="T2871" t="s">
        <v>852</v>
      </c>
      <c r="U2871" t="s">
        <v>46</v>
      </c>
      <c r="V2871">
        <v>543.67999999999995</v>
      </c>
    </row>
    <row r="2872" spans="1:22" x14ac:dyDescent="0.3">
      <c r="A2872" t="s">
        <v>4331</v>
      </c>
      <c r="B2872" s="2">
        <v>45918</v>
      </c>
      <c r="C2872" t="s">
        <v>321</v>
      </c>
      <c r="D2872" t="s">
        <v>49</v>
      </c>
      <c r="E2872" t="s">
        <v>50</v>
      </c>
      <c r="F2872">
        <v>3</v>
      </c>
      <c r="G2872">
        <v>0.1</v>
      </c>
      <c r="H2872">
        <v>35100</v>
      </c>
      <c r="I2872">
        <v>6372.7</v>
      </c>
      <c r="J2872" t="s">
        <v>39</v>
      </c>
      <c r="K2872" t="s">
        <v>40</v>
      </c>
      <c r="L2872">
        <v>11700</v>
      </c>
      <c r="M2872">
        <v>18.155840455840451</v>
      </c>
      <c r="N2872" t="s">
        <v>8</v>
      </c>
      <c r="O2872" t="s">
        <v>322</v>
      </c>
      <c r="P2872" t="s">
        <v>29</v>
      </c>
      <c r="Q2872" t="s">
        <v>30</v>
      </c>
      <c r="R2872" t="s">
        <v>31</v>
      </c>
      <c r="S2872" t="s">
        <v>32</v>
      </c>
      <c r="T2872" t="s">
        <v>323</v>
      </c>
      <c r="U2872" t="s">
        <v>34</v>
      </c>
      <c r="V2872">
        <v>2124.2333333333331</v>
      </c>
    </row>
    <row r="2873" spans="1:22" x14ac:dyDescent="0.3">
      <c r="A2873" t="s">
        <v>4332</v>
      </c>
      <c r="B2873" s="2">
        <v>46119</v>
      </c>
      <c r="C2873" t="s">
        <v>351</v>
      </c>
      <c r="D2873" t="s">
        <v>37</v>
      </c>
      <c r="E2873" t="s">
        <v>38</v>
      </c>
      <c r="F2873">
        <v>2</v>
      </c>
      <c r="G2873">
        <v>0</v>
      </c>
      <c r="H2873">
        <v>3600</v>
      </c>
      <c r="I2873">
        <v>1300</v>
      </c>
      <c r="J2873" t="s">
        <v>51</v>
      </c>
      <c r="K2873" t="s">
        <v>27</v>
      </c>
      <c r="L2873">
        <v>1800</v>
      </c>
      <c r="M2873">
        <v>36.111111111111107</v>
      </c>
      <c r="N2873" t="s">
        <v>8</v>
      </c>
      <c r="O2873" t="s">
        <v>352</v>
      </c>
      <c r="P2873" t="s">
        <v>73</v>
      </c>
      <c r="Q2873" t="s">
        <v>30</v>
      </c>
      <c r="R2873" t="s">
        <v>31</v>
      </c>
      <c r="S2873" t="s">
        <v>32</v>
      </c>
      <c r="T2873" t="s">
        <v>338</v>
      </c>
      <c r="U2873" t="s">
        <v>100</v>
      </c>
      <c r="V2873">
        <v>650</v>
      </c>
    </row>
    <row r="2874" spans="1:22" x14ac:dyDescent="0.3">
      <c r="A2874" t="s">
        <v>4333</v>
      </c>
      <c r="B2874" s="2">
        <v>46243</v>
      </c>
      <c r="C2874" t="s">
        <v>2003</v>
      </c>
      <c r="D2874" t="s">
        <v>49</v>
      </c>
      <c r="E2874" t="s">
        <v>119</v>
      </c>
      <c r="F2874">
        <v>3</v>
      </c>
      <c r="G2874">
        <v>0.2</v>
      </c>
      <c r="H2874">
        <v>21600</v>
      </c>
      <c r="I2874">
        <v>-10130.17</v>
      </c>
      <c r="J2874" t="s">
        <v>51</v>
      </c>
      <c r="K2874" t="s">
        <v>434</v>
      </c>
      <c r="L2874">
        <v>7200</v>
      </c>
      <c r="M2874">
        <v>-46.898935185185188</v>
      </c>
      <c r="N2874" t="s">
        <v>81</v>
      </c>
      <c r="O2874" t="s">
        <v>1494</v>
      </c>
      <c r="P2874" t="s">
        <v>73</v>
      </c>
      <c r="Q2874" t="s">
        <v>74</v>
      </c>
      <c r="R2874" t="s">
        <v>115</v>
      </c>
      <c r="S2874" t="s">
        <v>115</v>
      </c>
      <c r="T2874" t="s">
        <v>2004</v>
      </c>
      <c r="U2874" t="s">
        <v>46</v>
      </c>
      <c r="V2874">
        <v>-3376.7233333333329</v>
      </c>
    </row>
    <row r="2875" spans="1:22" x14ac:dyDescent="0.3">
      <c r="A2875" t="s">
        <v>4334</v>
      </c>
      <c r="B2875" s="2">
        <v>46178</v>
      </c>
      <c r="C2875" t="s">
        <v>691</v>
      </c>
      <c r="D2875" t="s">
        <v>70</v>
      </c>
      <c r="E2875" t="s">
        <v>129</v>
      </c>
      <c r="F2875">
        <v>2</v>
      </c>
      <c r="G2875">
        <v>0</v>
      </c>
      <c r="H2875">
        <v>110000</v>
      </c>
      <c r="I2875">
        <v>18000</v>
      </c>
      <c r="J2875" t="s">
        <v>65</v>
      </c>
      <c r="K2875" t="s">
        <v>27</v>
      </c>
      <c r="L2875">
        <v>55000</v>
      </c>
      <c r="M2875">
        <v>16.36363636363636</v>
      </c>
      <c r="N2875" t="s">
        <v>8</v>
      </c>
      <c r="O2875" t="s">
        <v>692</v>
      </c>
      <c r="P2875" t="s">
        <v>73</v>
      </c>
      <c r="Q2875" t="s">
        <v>131</v>
      </c>
      <c r="R2875" t="s">
        <v>200</v>
      </c>
      <c r="S2875" t="s">
        <v>201</v>
      </c>
      <c r="T2875" t="s">
        <v>693</v>
      </c>
      <c r="U2875" t="s">
        <v>34</v>
      </c>
      <c r="V2875">
        <v>9000</v>
      </c>
    </row>
    <row r="2876" spans="1:22" x14ac:dyDescent="0.3">
      <c r="A2876" t="s">
        <v>4335</v>
      </c>
      <c r="B2876" s="2">
        <v>46018</v>
      </c>
      <c r="C2876" t="s">
        <v>1939</v>
      </c>
      <c r="D2876" t="s">
        <v>37</v>
      </c>
      <c r="E2876" t="s">
        <v>38</v>
      </c>
      <c r="F2876">
        <v>5</v>
      </c>
      <c r="G2876">
        <v>0.1</v>
      </c>
      <c r="H2876">
        <v>8100</v>
      </c>
      <c r="I2876">
        <v>2751.33</v>
      </c>
      <c r="J2876" t="s">
        <v>26</v>
      </c>
      <c r="K2876" t="s">
        <v>27</v>
      </c>
      <c r="L2876">
        <v>1620</v>
      </c>
      <c r="M2876">
        <v>33.967037037037038</v>
      </c>
      <c r="N2876" t="s">
        <v>8</v>
      </c>
      <c r="O2876" t="s">
        <v>1940</v>
      </c>
      <c r="P2876" t="s">
        <v>29</v>
      </c>
      <c r="Q2876" t="s">
        <v>74</v>
      </c>
      <c r="R2876" t="s">
        <v>237</v>
      </c>
      <c r="S2876" t="s">
        <v>238</v>
      </c>
      <c r="T2876" t="s">
        <v>1839</v>
      </c>
      <c r="U2876" t="s">
        <v>46</v>
      </c>
      <c r="V2876">
        <v>550.26599999999996</v>
      </c>
    </row>
    <row r="2877" spans="1:22" x14ac:dyDescent="0.3">
      <c r="A2877" t="s">
        <v>4336</v>
      </c>
      <c r="B2877" s="2">
        <v>46165</v>
      </c>
      <c r="C2877" t="s">
        <v>552</v>
      </c>
      <c r="D2877" t="s">
        <v>24</v>
      </c>
      <c r="E2877" t="s">
        <v>242</v>
      </c>
      <c r="F2877">
        <v>3</v>
      </c>
      <c r="G2877">
        <v>0.3</v>
      </c>
      <c r="H2877">
        <v>945</v>
      </c>
      <c r="I2877">
        <v>-8.49</v>
      </c>
      <c r="J2877" t="s">
        <v>65</v>
      </c>
      <c r="K2877" t="s">
        <v>40</v>
      </c>
      <c r="L2877">
        <v>315</v>
      </c>
      <c r="M2877">
        <v>-0.89841269841269855</v>
      </c>
      <c r="N2877" t="s">
        <v>81</v>
      </c>
      <c r="O2877" t="s">
        <v>553</v>
      </c>
      <c r="P2877" t="s">
        <v>29</v>
      </c>
      <c r="Q2877" t="s">
        <v>74</v>
      </c>
      <c r="R2877" t="s">
        <v>493</v>
      </c>
      <c r="S2877" t="s">
        <v>494</v>
      </c>
      <c r="T2877" t="s">
        <v>554</v>
      </c>
      <c r="U2877" t="s">
        <v>105</v>
      </c>
      <c r="V2877">
        <v>-2.83</v>
      </c>
    </row>
    <row r="2878" spans="1:22" x14ac:dyDescent="0.3">
      <c r="A2878" t="s">
        <v>4337</v>
      </c>
      <c r="B2878" s="2">
        <v>46134</v>
      </c>
      <c r="C2878" t="s">
        <v>2525</v>
      </c>
      <c r="D2878" t="s">
        <v>70</v>
      </c>
      <c r="E2878" t="s">
        <v>108</v>
      </c>
      <c r="F2878">
        <v>5</v>
      </c>
      <c r="G2878">
        <v>0.05</v>
      </c>
      <c r="H2878">
        <v>21375</v>
      </c>
      <c r="I2878">
        <v>6599.74</v>
      </c>
      <c r="J2878" t="s">
        <v>39</v>
      </c>
      <c r="K2878" t="s">
        <v>40</v>
      </c>
      <c r="L2878">
        <v>4275</v>
      </c>
      <c r="M2878">
        <v>30.875976608187131</v>
      </c>
      <c r="N2878" t="s">
        <v>8</v>
      </c>
      <c r="O2878" t="s">
        <v>2526</v>
      </c>
      <c r="P2878" t="s">
        <v>29</v>
      </c>
      <c r="Q2878" t="s">
        <v>74</v>
      </c>
      <c r="R2878" t="s">
        <v>75</v>
      </c>
      <c r="S2878" t="s">
        <v>75</v>
      </c>
      <c r="T2878" t="s">
        <v>2527</v>
      </c>
      <c r="U2878" t="s">
        <v>46</v>
      </c>
      <c r="V2878">
        <v>1319.9480000000001</v>
      </c>
    </row>
    <row r="2879" spans="1:22" x14ac:dyDescent="0.3">
      <c r="A2879" t="s">
        <v>4338</v>
      </c>
      <c r="B2879" s="2">
        <v>46054</v>
      </c>
      <c r="C2879" t="s">
        <v>457</v>
      </c>
      <c r="D2879" t="s">
        <v>37</v>
      </c>
      <c r="E2879" t="s">
        <v>170</v>
      </c>
      <c r="F2879">
        <v>3</v>
      </c>
      <c r="G2879">
        <v>0.15</v>
      </c>
      <c r="H2879">
        <v>3570</v>
      </c>
      <c r="I2879">
        <v>966.27</v>
      </c>
      <c r="J2879" t="s">
        <v>51</v>
      </c>
      <c r="K2879" t="s">
        <v>40</v>
      </c>
      <c r="L2879">
        <v>1190</v>
      </c>
      <c r="M2879">
        <v>27.06638655462185</v>
      </c>
      <c r="N2879" t="s">
        <v>8</v>
      </c>
      <c r="O2879" t="s">
        <v>458</v>
      </c>
      <c r="P2879" t="s">
        <v>73</v>
      </c>
      <c r="Q2879" t="s">
        <v>30</v>
      </c>
      <c r="R2879" t="s">
        <v>60</v>
      </c>
      <c r="S2879" t="s">
        <v>61</v>
      </c>
      <c r="T2879" t="s">
        <v>459</v>
      </c>
      <c r="U2879" t="s">
        <v>34</v>
      </c>
      <c r="V2879">
        <v>322.08999999999997</v>
      </c>
    </row>
    <row r="2880" spans="1:22" x14ac:dyDescent="0.3">
      <c r="A2880" t="s">
        <v>4339</v>
      </c>
      <c r="B2880" s="2">
        <v>46153</v>
      </c>
      <c r="C2880" t="s">
        <v>1331</v>
      </c>
      <c r="D2880" t="s">
        <v>70</v>
      </c>
      <c r="E2880" t="s">
        <v>129</v>
      </c>
      <c r="F2880">
        <v>3</v>
      </c>
      <c r="G2880">
        <v>0.15</v>
      </c>
      <c r="H2880">
        <v>140250</v>
      </c>
      <c r="I2880">
        <v>13389.1</v>
      </c>
      <c r="J2880" t="s">
        <v>65</v>
      </c>
      <c r="K2880" t="s">
        <v>40</v>
      </c>
      <c r="L2880">
        <v>46750</v>
      </c>
      <c r="M2880">
        <v>9.5465953654188951</v>
      </c>
      <c r="N2880" t="s">
        <v>8</v>
      </c>
      <c r="O2880" t="s">
        <v>553</v>
      </c>
      <c r="P2880" t="s">
        <v>29</v>
      </c>
      <c r="Q2880" t="s">
        <v>30</v>
      </c>
      <c r="R2880" t="s">
        <v>31</v>
      </c>
      <c r="S2880" t="s">
        <v>32</v>
      </c>
      <c r="T2880" t="s">
        <v>1332</v>
      </c>
      <c r="U2880" t="s">
        <v>46</v>
      </c>
      <c r="V2880">
        <v>4463.0333333333338</v>
      </c>
    </row>
    <row r="2881" spans="1:22" x14ac:dyDescent="0.3">
      <c r="A2881" t="s">
        <v>4340</v>
      </c>
      <c r="B2881" s="2">
        <v>46042</v>
      </c>
      <c r="C2881" t="s">
        <v>1872</v>
      </c>
      <c r="D2881" t="s">
        <v>37</v>
      </c>
      <c r="E2881" t="s">
        <v>310</v>
      </c>
      <c r="F2881">
        <v>4</v>
      </c>
      <c r="G2881">
        <v>0.1</v>
      </c>
      <c r="H2881">
        <v>7920</v>
      </c>
      <c r="I2881">
        <v>2513.4299999999998</v>
      </c>
      <c r="J2881" t="s">
        <v>26</v>
      </c>
      <c r="K2881" t="s">
        <v>40</v>
      </c>
      <c r="L2881">
        <v>1980</v>
      </c>
      <c r="M2881">
        <v>31.735227272727268</v>
      </c>
      <c r="N2881" t="s">
        <v>8</v>
      </c>
      <c r="O2881" t="s">
        <v>386</v>
      </c>
      <c r="P2881" t="s">
        <v>73</v>
      </c>
      <c r="Q2881" t="s">
        <v>42</v>
      </c>
      <c r="R2881" t="s">
        <v>110</v>
      </c>
      <c r="S2881" t="s">
        <v>111</v>
      </c>
      <c r="T2881" t="s">
        <v>852</v>
      </c>
      <c r="U2881" t="s">
        <v>34</v>
      </c>
      <c r="V2881">
        <v>628.35749999999996</v>
      </c>
    </row>
    <row r="2882" spans="1:22" x14ac:dyDescent="0.3">
      <c r="A2882" t="s">
        <v>4341</v>
      </c>
      <c r="B2882" s="2">
        <v>45981</v>
      </c>
      <c r="C2882" t="s">
        <v>1433</v>
      </c>
      <c r="D2882" t="s">
        <v>24</v>
      </c>
      <c r="E2882" t="s">
        <v>92</v>
      </c>
      <c r="F2882">
        <v>2</v>
      </c>
      <c r="G2882">
        <v>0</v>
      </c>
      <c r="H2882">
        <v>1800</v>
      </c>
      <c r="I2882">
        <v>560</v>
      </c>
      <c r="J2882" t="s">
        <v>51</v>
      </c>
      <c r="K2882" t="s">
        <v>40</v>
      </c>
      <c r="L2882">
        <v>900</v>
      </c>
      <c r="M2882">
        <v>31.111111111111111</v>
      </c>
      <c r="N2882" t="s">
        <v>8</v>
      </c>
      <c r="O2882" t="s">
        <v>318</v>
      </c>
      <c r="P2882" t="s">
        <v>73</v>
      </c>
      <c r="Q2882" t="s">
        <v>30</v>
      </c>
      <c r="R2882" t="s">
        <v>53</v>
      </c>
      <c r="S2882" t="s">
        <v>54</v>
      </c>
      <c r="T2882" t="s">
        <v>1434</v>
      </c>
      <c r="U2882" t="s">
        <v>34</v>
      </c>
      <c r="V2882">
        <v>280</v>
      </c>
    </row>
    <row r="2883" spans="1:22" x14ac:dyDescent="0.3">
      <c r="A2883" t="s">
        <v>4342</v>
      </c>
      <c r="B2883" s="2">
        <v>46049</v>
      </c>
      <c r="C2883" t="s">
        <v>2972</v>
      </c>
      <c r="D2883" t="s">
        <v>24</v>
      </c>
      <c r="E2883" t="s">
        <v>92</v>
      </c>
      <c r="F2883">
        <v>3</v>
      </c>
      <c r="G2883">
        <v>0.15</v>
      </c>
      <c r="H2883">
        <v>2295</v>
      </c>
      <c r="I2883">
        <v>-663.44</v>
      </c>
      <c r="J2883" t="s">
        <v>39</v>
      </c>
      <c r="K2883" t="s">
        <v>434</v>
      </c>
      <c r="L2883">
        <v>765</v>
      </c>
      <c r="M2883">
        <v>-28.908061002178648</v>
      </c>
      <c r="N2883" t="s">
        <v>81</v>
      </c>
      <c r="O2883" t="s">
        <v>870</v>
      </c>
      <c r="P2883" t="s">
        <v>83</v>
      </c>
      <c r="Q2883" t="s">
        <v>30</v>
      </c>
      <c r="R2883" t="s">
        <v>60</v>
      </c>
      <c r="S2883" t="s">
        <v>61</v>
      </c>
      <c r="T2883" t="s">
        <v>898</v>
      </c>
      <c r="U2883" t="s">
        <v>34</v>
      </c>
      <c r="V2883">
        <v>-221.1466666666667</v>
      </c>
    </row>
    <row r="2884" spans="1:22" x14ac:dyDescent="0.3">
      <c r="A2884" t="s">
        <v>4343</v>
      </c>
      <c r="B2884" s="2">
        <v>46077</v>
      </c>
      <c r="C2884" t="s">
        <v>2182</v>
      </c>
      <c r="D2884" t="s">
        <v>49</v>
      </c>
      <c r="E2884" t="s">
        <v>79</v>
      </c>
      <c r="F2884">
        <v>2</v>
      </c>
      <c r="G2884">
        <v>0.05</v>
      </c>
      <c r="H2884">
        <v>20900</v>
      </c>
      <c r="I2884">
        <v>4666.7</v>
      </c>
      <c r="J2884" t="s">
        <v>39</v>
      </c>
      <c r="K2884" t="s">
        <v>40</v>
      </c>
      <c r="L2884">
        <v>10450</v>
      </c>
      <c r="M2884">
        <v>22.32870813397129</v>
      </c>
      <c r="N2884" t="s">
        <v>8</v>
      </c>
      <c r="O2884" t="s">
        <v>2183</v>
      </c>
      <c r="P2884" t="s">
        <v>73</v>
      </c>
      <c r="Q2884" t="s">
        <v>30</v>
      </c>
      <c r="R2884" t="s">
        <v>98</v>
      </c>
      <c r="S2884" t="s">
        <v>54</v>
      </c>
      <c r="T2884" t="s">
        <v>2184</v>
      </c>
      <c r="U2884" t="s">
        <v>105</v>
      </c>
      <c r="V2884">
        <v>2333.35</v>
      </c>
    </row>
    <row r="2885" spans="1:22" x14ac:dyDescent="0.3">
      <c r="A2885" t="s">
        <v>4344</v>
      </c>
      <c r="B2885" s="2">
        <v>46120</v>
      </c>
      <c r="C2885" t="s">
        <v>1712</v>
      </c>
      <c r="D2885" t="s">
        <v>70</v>
      </c>
      <c r="E2885" t="s">
        <v>71</v>
      </c>
      <c r="F2885">
        <v>1</v>
      </c>
      <c r="G2885">
        <v>0.2</v>
      </c>
      <c r="H2885">
        <v>14400</v>
      </c>
      <c r="I2885">
        <v>892</v>
      </c>
      <c r="J2885" t="s">
        <v>39</v>
      </c>
      <c r="K2885" t="s">
        <v>40</v>
      </c>
      <c r="L2885">
        <v>14400</v>
      </c>
      <c r="M2885">
        <v>6.1944444444444446</v>
      </c>
      <c r="N2885" t="s">
        <v>8</v>
      </c>
      <c r="O2885" t="s">
        <v>390</v>
      </c>
      <c r="P2885" t="s">
        <v>29</v>
      </c>
      <c r="Q2885" t="s">
        <v>42</v>
      </c>
      <c r="R2885" t="s">
        <v>43</v>
      </c>
      <c r="S2885" t="s">
        <v>44</v>
      </c>
      <c r="T2885" t="s">
        <v>1713</v>
      </c>
      <c r="U2885" t="s">
        <v>46</v>
      </c>
      <c r="V2885">
        <v>892</v>
      </c>
    </row>
    <row r="2886" spans="1:22" x14ac:dyDescent="0.3">
      <c r="A2886" t="s">
        <v>4345</v>
      </c>
      <c r="B2886" s="2">
        <v>46259</v>
      </c>
      <c r="C2886" t="s">
        <v>921</v>
      </c>
      <c r="D2886" t="s">
        <v>70</v>
      </c>
      <c r="E2886" t="s">
        <v>108</v>
      </c>
      <c r="F2886">
        <v>3</v>
      </c>
      <c r="G2886">
        <v>0.15</v>
      </c>
      <c r="H2886">
        <v>11475</v>
      </c>
      <c r="I2886">
        <v>2932.39</v>
      </c>
      <c r="J2886" t="s">
        <v>39</v>
      </c>
      <c r="K2886" t="s">
        <v>40</v>
      </c>
      <c r="L2886">
        <v>3825</v>
      </c>
      <c r="M2886">
        <v>25.554596949891071</v>
      </c>
      <c r="N2886" t="s">
        <v>8</v>
      </c>
      <c r="O2886" t="s">
        <v>922</v>
      </c>
      <c r="P2886" t="s">
        <v>29</v>
      </c>
      <c r="Q2886" t="s">
        <v>30</v>
      </c>
      <c r="R2886" t="s">
        <v>53</v>
      </c>
      <c r="S2886" t="s">
        <v>54</v>
      </c>
      <c r="T2886" t="s">
        <v>923</v>
      </c>
      <c r="U2886" t="s">
        <v>105</v>
      </c>
      <c r="V2886">
        <v>977.46333333333325</v>
      </c>
    </row>
    <row r="2887" spans="1:22" x14ac:dyDescent="0.3">
      <c r="A2887" t="s">
        <v>4346</v>
      </c>
      <c r="B2887" s="2">
        <v>45910</v>
      </c>
      <c r="C2887" t="s">
        <v>869</v>
      </c>
      <c r="D2887" t="s">
        <v>70</v>
      </c>
      <c r="E2887" t="s">
        <v>108</v>
      </c>
      <c r="F2887">
        <v>1</v>
      </c>
      <c r="G2887">
        <v>0</v>
      </c>
      <c r="H2887">
        <v>4500</v>
      </c>
      <c r="I2887">
        <v>-1680.58</v>
      </c>
      <c r="J2887" t="s">
        <v>51</v>
      </c>
      <c r="K2887" t="s">
        <v>80</v>
      </c>
      <c r="L2887">
        <v>4500</v>
      </c>
      <c r="M2887">
        <v>-37.346222222222217</v>
      </c>
      <c r="N2887" t="s">
        <v>81</v>
      </c>
      <c r="O2887" t="s">
        <v>870</v>
      </c>
      <c r="P2887" t="s">
        <v>73</v>
      </c>
      <c r="Q2887" t="s">
        <v>30</v>
      </c>
      <c r="R2887" t="s">
        <v>98</v>
      </c>
      <c r="S2887" t="s">
        <v>54</v>
      </c>
      <c r="T2887" t="s">
        <v>859</v>
      </c>
      <c r="U2887" t="s">
        <v>34</v>
      </c>
      <c r="V2887">
        <v>-1680.58</v>
      </c>
    </row>
    <row r="2888" spans="1:22" x14ac:dyDescent="0.3">
      <c r="A2888" t="s">
        <v>4347</v>
      </c>
      <c r="B2888" s="2">
        <v>46069</v>
      </c>
      <c r="C2888" t="s">
        <v>2635</v>
      </c>
      <c r="D2888" t="s">
        <v>70</v>
      </c>
      <c r="E2888" t="s">
        <v>71</v>
      </c>
      <c r="F2888">
        <v>2</v>
      </c>
      <c r="G2888">
        <v>0.1</v>
      </c>
      <c r="H2888">
        <v>32400</v>
      </c>
      <c r="I2888">
        <v>4924.04</v>
      </c>
      <c r="J2888" t="s">
        <v>39</v>
      </c>
      <c r="K2888" t="s">
        <v>40</v>
      </c>
      <c r="L2888">
        <v>16200</v>
      </c>
      <c r="M2888">
        <v>15.19765432098766</v>
      </c>
      <c r="N2888" t="s">
        <v>8</v>
      </c>
      <c r="O2888" t="s">
        <v>2636</v>
      </c>
      <c r="P2888" t="s">
        <v>29</v>
      </c>
      <c r="Q2888" t="s">
        <v>42</v>
      </c>
      <c r="R2888" t="s">
        <v>121</v>
      </c>
      <c r="S2888" t="s">
        <v>44</v>
      </c>
      <c r="T2888" t="s">
        <v>252</v>
      </c>
      <c r="U2888" t="s">
        <v>34</v>
      </c>
      <c r="V2888">
        <v>2462.02</v>
      </c>
    </row>
    <row r="2889" spans="1:22" x14ac:dyDescent="0.3">
      <c r="A2889" t="s">
        <v>4348</v>
      </c>
      <c r="B2889" s="2">
        <v>46263</v>
      </c>
      <c r="C2889" t="s">
        <v>1352</v>
      </c>
      <c r="D2889" t="s">
        <v>37</v>
      </c>
      <c r="E2889" t="s">
        <v>170</v>
      </c>
      <c r="F2889">
        <v>5</v>
      </c>
      <c r="G2889">
        <v>0.3</v>
      </c>
      <c r="H2889">
        <v>4900</v>
      </c>
      <c r="I2889">
        <v>-146.66</v>
      </c>
      <c r="J2889" t="s">
        <v>65</v>
      </c>
      <c r="K2889" t="s">
        <v>80</v>
      </c>
      <c r="L2889">
        <v>980</v>
      </c>
      <c r="M2889">
        <v>-2.9930612244897961</v>
      </c>
      <c r="N2889" t="s">
        <v>81</v>
      </c>
      <c r="O2889" t="s">
        <v>1353</v>
      </c>
      <c r="P2889" t="s">
        <v>29</v>
      </c>
      <c r="Q2889" t="s">
        <v>42</v>
      </c>
      <c r="R2889" t="s">
        <v>214</v>
      </c>
      <c r="S2889" t="s">
        <v>111</v>
      </c>
      <c r="T2889" t="s">
        <v>1354</v>
      </c>
      <c r="U2889" t="s">
        <v>34</v>
      </c>
      <c r="V2889">
        <v>-29.332000000000001</v>
      </c>
    </row>
    <row r="2890" spans="1:22" x14ac:dyDescent="0.3">
      <c r="A2890" t="s">
        <v>4349</v>
      </c>
      <c r="B2890" s="2">
        <v>46091</v>
      </c>
      <c r="C2890" t="s">
        <v>174</v>
      </c>
      <c r="D2890" t="s">
        <v>70</v>
      </c>
      <c r="E2890" t="s">
        <v>108</v>
      </c>
      <c r="F2890">
        <v>2</v>
      </c>
      <c r="G2890">
        <v>0.15</v>
      </c>
      <c r="H2890">
        <v>7650</v>
      </c>
      <c r="I2890">
        <v>2252.85</v>
      </c>
      <c r="J2890" t="s">
        <v>65</v>
      </c>
      <c r="K2890" t="s">
        <v>40</v>
      </c>
      <c r="L2890">
        <v>3825</v>
      </c>
      <c r="M2890">
        <v>29.44901960784313</v>
      </c>
      <c r="N2890" t="s">
        <v>8</v>
      </c>
      <c r="O2890" t="s">
        <v>175</v>
      </c>
      <c r="P2890" t="s">
        <v>29</v>
      </c>
      <c r="Q2890" t="s">
        <v>30</v>
      </c>
      <c r="R2890" t="s">
        <v>53</v>
      </c>
      <c r="S2890" t="s">
        <v>54</v>
      </c>
      <c r="T2890" t="s">
        <v>176</v>
      </c>
      <c r="U2890" t="s">
        <v>34</v>
      </c>
      <c r="V2890">
        <v>1126.425</v>
      </c>
    </row>
    <row r="2891" spans="1:22" x14ac:dyDescent="0.3">
      <c r="A2891" t="s">
        <v>4350</v>
      </c>
      <c r="B2891" s="2">
        <v>45937</v>
      </c>
      <c r="C2891" t="s">
        <v>621</v>
      </c>
      <c r="D2891" t="s">
        <v>70</v>
      </c>
      <c r="E2891" t="s">
        <v>71</v>
      </c>
      <c r="F2891">
        <v>1</v>
      </c>
      <c r="G2891">
        <v>0.1</v>
      </c>
      <c r="H2891">
        <v>16200</v>
      </c>
      <c r="I2891">
        <v>-7932.26</v>
      </c>
      <c r="J2891" t="s">
        <v>65</v>
      </c>
      <c r="K2891" t="s">
        <v>434</v>
      </c>
      <c r="L2891">
        <v>16200</v>
      </c>
      <c r="M2891">
        <v>-48.964567901234567</v>
      </c>
      <c r="N2891" t="s">
        <v>81</v>
      </c>
      <c r="O2891" t="s">
        <v>622</v>
      </c>
      <c r="P2891" t="s">
        <v>29</v>
      </c>
      <c r="Q2891" t="s">
        <v>74</v>
      </c>
      <c r="R2891" t="s">
        <v>115</v>
      </c>
      <c r="S2891" t="s">
        <v>115</v>
      </c>
      <c r="T2891" t="s">
        <v>623</v>
      </c>
      <c r="U2891" t="s">
        <v>100</v>
      </c>
      <c r="V2891">
        <v>-7932.26</v>
      </c>
    </row>
    <row r="2892" spans="1:22" x14ac:dyDescent="0.3">
      <c r="A2892" t="s">
        <v>4351</v>
      </c>
      <c r="B2892" s="2">
        <v>46226</v>
      </c>
      <c r="C2892" t="s">
        <v>1637</v>
      </c>
      <c r="D2892" t="s">
        <v>24</v>
      </c>
      <c r="E2892" t="s">
        <v>87</v>
      </c>
      <c r="F2892">
        <v>2</v>
      </c>
      <c r="G2892">
        <v>0.1</v>
      </c>
      <c r="H2892">
        <v>630</v>
      </c>
      <c r="I2892">
        <v>183.22</v>
      </c>
      <c r="J2892" t="s">
        <v>65</v>
      </c>
      <c r="K2892" t="s">
        <v>40</v>
      </c>
      <c r="L2892">
        <v>315</v>
      </c>
      <c r="M2892">
        <v>29.082539682539679</v>
      </c>
      <c r="N2892" t="s">
        <v>8</v>
      </c>
      <c r="O2892" t="s">
        <v>697</v>
      </c>
      <c r="P2892" t="s">
        <v>29</v>
      </c>
      <c r="Q2892" t="s">
        <v>30</v>
      </c>
      <c r="R2892" t="s">
        <v>31</v>
      </c>
      <c r="S2892" t="s">
        <v>32</v>
      </c>
      <c r="T2892" t="s">
        <v>1638</v>
      </c>
      <c r="U2892" t="s">
        <v>46</v>
      </c>
      <c r="V2892">
        <v>91.61</v>
      </c>
    </row>
    <row r="2893" spans="1:22" x14ac:dyDescent="0.3">
      <c r="A2893" t="s">
        <v>4352</v>
      </c>
      <c r="B2893" s="2">
        <v>46056</v>
      </c>
      <c r="C2893" t="s">
        <v>1398</v>
      </c>
      <c r="D2893" t="s">
        <v>49</v>
      </c>
      <c r="E2893" t="s">
        <v>58</v>
      </c>
      <c r="F2893">
        <v>2</v>
      </c>
      <c r="G2893">
        <v>0</v>
      </c>
      <c r="H2893">
        <v>30000</v>
      </c>
      <c r="I2893">
        <v>7000</v>
      </c>
      <c r="J2893" t="s">
        <v>39</v>
      </c>
      <c r="K2893" t="s">
        <v>27</v>
      </c>
      <c r="L2893">
        <v>15000</v>
      </c>
      <c r="M2893">
        <v>23.333333333333329</v>
      </c>
      <c r="N2893" t="s">
        <v>8</v>
      </c>
      <c r="O2893" t="s">
        <v>153</v>
      </c>
      <c r="P2893" t="s">
        <v>83</v>
      </c>
      <c r="Q2893" t="s">
        <v>30</v>
      </c>
      <c r="R2893" t="s">
        <v>53</v>
      </c>
      <c r="S2893" t="s">
        <v>54</v>
      </c>
      <c r="T2893" t="s">
        <v>734</v>
      </c>
      <c r="U2893" t="s">
        <v>46</v>
      </c>
      <c r="V2893">
        <v>3500</v>
      </c>
    </row>
    <row r="2894" spans="1:22" x14ac:dyDescent="0.3">
      <c r="A2894" t="s">
        <v>4353</v>
      </c>
      <c r="B2894" s="2">
        <v>45947</v>
      </c>
      <c r="C2894" t="s">
        <v>279</v>
      </c>
      <c r="D2894" t="s">
        <v>70</v>
      </c>
      <c r="E2894" t="s">
        <v>165</v>
      </c>
      <c r="F2894">
        <v>1</v>
      </c>
      <c r="G2894">
        <v>0.1</v>
      </c>
      <c r="H2894">
        <v>2250</v>
      </c>
      <c r="I2894">
        <v>-66.16</v>
      </c>
      <c r="J2894" t="s">
        <v>51</v>
      </c>
      <c r="K2894" t="s">
        <v>434</v>
      </c>
      <c r="L2894">
        <v>2250</v>
      </c>
      <c r="M2894">
        <v>-2.9404444444444442</v>
      </c>
      <c r="N2894" t="s">
        <v>81</v>
      </c>
      <c r="O2894" t="s">
        <v>280</v>
      </c>
      <c r="P2894" t="s">
        <v>73</v>
      </c>
      <c r="Q2894" t="s">
        <v>30</v>
      </c>
      <c r="R2894" t="s">
        <v>31</v>
      </c>
      <c r="S2894" t="s">
        <v>32</v>
      </c>
      <c r="T2894" t="s">
        <v>281</v>
      </c>
      <c r="U2894" t="s">
        <v>46</v>
      </c>
      <c r="V2894">
        <v>-66.16</v>
      </c>
    </row>
    <row r="2895" spans="1:22" x14ac:dyDescent="0.3">
      <c r="A2895" t="s">
        <v>4354</v>
      </c>
      <c r="B2895" s="2">
        <v>45975</v>
      </c>
      <c r="C2895" t="s">
        <v>3893</v>
      </c>
      <c r="D2895" t="s">
        <v>49</v>
      </c>
      <c r="E2895" t="s">
        <v>50</v>
      </c>
      <c r="F2895">
        <v>5</v>
      </c>
      <c r="G2895">
        <v>0.1</v>
      </c>
      <c r="H2895">
        <v>58500</v>
      </c>
      <c r="I2895">
        <v>11902.27</v>
      </c>
      <c r="J2895" t="s">
        <v>51</v>
      </c>
      <c r="K2895" t="s">
        <v>27</v>
      </c>
      <c r="L2895">
        <v>11700</v>
      </c>
      <c r="M2895">
        <v>20.345760683760691</v>
      </c>
      <c r="N2895" t="s">
        <v>8</v>
      </c>
      <c r="O2895" t="s">
        <v>781</v>
      </c>
      <c r="P2895" t="s">
        <v>29</v>
      </c>
      <c r="Q2895" t="s">
        <v>131</v>
      </c>
      <c r="R2895" t="s">
        <v>289</v>
      </c>
      <c r="S2895" t="s">
        <v>290</v>
      </c>
      <c r="T2895" t="s">
        <v>1476</v>
      </c>
      <c r="U2895" t="s">
        <v>34</v>
      </c>
      <c r="V2895">
        <v>2380.4540000000002</v>
      </c>
    </row>
    <row r="2896" spans="1:22" x14ac:dyDescent="0.3">
      <c r="A2896" t="s">
        <v>4355</v>
      </c>
      <c r="B2896" s="2">
        <v>46089</v>
      </c>
      <c r="C2896" t="s">
        <v>1391</v>
      </c>
      <c r="D2896" t="s">
        <v>24</v>
      </c>
      <c r="E2896" t="s">
        <v>242</v>
      </c>
      <c r="F2896">
        <v>1</v>
      </c>
      <c r="G2896">
        <v>0.05</v>
      </c>
      <c r="H2896">
        <v>427.5</v>
      </c>
      <c r="I2896">
        <v>92.69</v>
      </c>
      <c r="J2896" t="s">
        <v>65</v>
      </c>
      <c r="K2896" t="s">
        <v>40</v>
      </c>
      <c r="L2896">
        <v>427.5</v>
      </c>
      <c r="M2896">
        <v>21.68187134502924</v>
      </c>
      <c r="N2896" t="s">
        <v>8</v>
      </c>
      <c r="O2896" t="s">
        <v>844</v>
      </c>
      <c r="P2896" t="s">
        <v>29</v>
      </c>
      <c r="Q2896" t="s">
        <v>30</v>
      </c>
      <c r="R2896" t="s">
        <v>60</v>
      </c>
      <c r="S2896" t="s">
        <v>61</v>
      </c>
      <c r="T2896" t="s">
        <v>1392</v>
      </c>
      <c r="U2896" t="s">
        <v>34</v>
      </c>
      <c r="V2896">
        <v>92.69</v>
      </c>
    </row>
    <row r="2897" spans="1:22" x14ac:dyDescent="0.3">
      <c r="A2897" t="s">
        <v>4356</v>
      </c>
      <c r="B2897" s="2">
        <v>46034</v>
      </c>
      <c r="C2897" t="s">
        <v>562</v>
      </c>
      <c r="D2897" t="s">
        <v>24</v>
      </c>
      <c r="E2897" t="s">
        <v>92</v>
      </c>
      <c r="F2897">
        <v>4</v>
      </c>
      <c r="G2897">
        <v>0.05</v>
      </c>
      <c r="H2897">
        <v>3420</v>
      </c>
      <c r="I2897">
        <v>1038.26</v>
      </c>
      <c r="J2897" t="s">
        <v>26</v>
      </c>
      <c r="K2897" t="s">
        <v>40</v>
      </c>
      <c r="L2897">
        <v>855</v>
      </c>
      <c r="M2897">
        <v>30.358479532163742</v>
      </c>
      <c r="N2897" t="s">
        <v>8</v>
      </c>
      <c r="O2897" t="s">
        <v>563</v>
      </c>
      <c r="P2897" t="s">
        <v>29</v>
      </c>
      <c r="Q2897" t="s">
        <v>30</v>
      </c>
      <c r="R2897" t="s">
        <v>60</v>
      </c>
      <c r="S2897" t="s">
        <v>61</v>
      </c>
      <c r="T2897" t="s">
        <v>564</v>
      </c>
      <c r="U2897" t="s">
        <v>100</v>
      </c>
      <c r="V2897">
        <v>259.565</v>
      </c>
    </row>
    <row r="2898" spans="1:22" x14ac:dyDescent="0.3">
      <c r="A2898" t="s">
        <v>4357</v>
      </c>
      <c r="B2898" s="2">
        <v>46059</v>
      </c>
      <c r="C2898" t="s">
        <v>293</v>
      </c>
      <c r="D2898" t="s">
        <v>70</v>
      </c>
      <c r="E2898" t="s">
        <v>129</v>
      </c>
      <c r="F2898">
        <v>3</v>
      </c>
      <c r="G2898">
        <v>0.1</v>
      </c>
      <c r="H2898">
        <v>148500</v>
      </c>
      <c r="I2898">
        <v>16950.21</v>
      </c>
      <c r="J2898" t="s">
        <v>39</v>
      </c>
      <c r="K2898" t="s">
        <v>27</v>
      </c>
      <c r="L2898">
        <v>49500</v>
      </c>
      <c r="M2898">
        <v>11.414282828282831</v>
      </c>
      <c r="N2898" t="s">
        <v>8</v>
      </c>
      <c r="O2898" t="s">
        <v>294</v>
      </c>
      <c r="P2898" t="s">
        <v>73</v>
      </c>
      <c r="Q2898" t="s">
        <v>74</v>
      </c>
      <c r="R2898" t="s">
        <v>115</v>
      </c>
      <c r="S2898" t="s">
        <v>115</v>
      </c>
      <c r="T2898" t="s">
        <v>295</v>
      </c>
      <c r="U2898" t="s">
        <v>100</v>
      </c>
      <c r="V2898">
        <v>5650.07</v>
      </c>
    </row>
    <row r="2899" spans="1:22" x14ac:dyDescent="0.3">
      <c r="A2899" t="s">
        <v>4358</v>
      </c>
      <c r="B2899" s="2">
        <v>46064</v>
      </c>
      <c r="C2899" t="s">
        <v>552</v>
      </c>
      <c r="D2899" t="s">
        <v>24</v>
      </c>
      <c r="E2899" t="s">
        <v>25</v>
      </c>
      <c r="F2899">
        <v>6</v>
      </c>
      <c r="G2899">
        <v>0.2</v>
      </c>
      <c r="H2899">
        <v>67200</v>
      </c>
      <c r="I2899">
        <v>9207.43</v>
      </c>
      <c r="J2899" t="s">
        <v>51</v>
      </c>
      <c r="K2899" t="s">
        <v>27</v>
      </c>
      <c r="L2899">
        <v>11200</v>
      </c>
      <c r="M2899">
        <v>13.70153273809524</v>
      </c>
      <c r="N2899" t="s">
        <v>8</v>
      </c>
      <c r="O2899" t="s">
        <v>553</v>
      </c>
      <c r="P2899" t="s">
        <v>29</v>
      </c>
      <c r="Q2899" t="s">
        <v>74</v>
      </c>
      <c r="R2899" t="s">
        <v>493</v>
      </c>
      <c r="S2899" t="s">
        <v>494</v>
      </c>
      <c r="T2899" t="s">
        <v>554</v>
      </c>
      <c r="U2899" t="s">
        <v>105</v>
      </c>
      <c r="V2899">
        <v>1534.5716666666669</v>
      </c>
    </row>
    <row r="2900" spans="1:22" x14ac:dyDescent="0.3">
      <c r="A2900" t="s">
        <v>4359</v>
      </c>
      <c r="B2900" s="2">
        <v>46009</v>
      </c>
      <c r="C2900" t="s">
        <v>1799</v>
      </c>
      <c r="D2900" t="s">
        <v>24</v>
      </c>
      <c r="E2900" t="s">
        <v>92</v>
      </c>
      <c r="F2900">
        <v>2</v>
      </c>
      <c r="G2900">
        <v>0.15</v>
      </c>
      <c r="H2900">
        <v>1530</v>
      </c>
      <c r="I2900">
        <v>358.62</v>
      </c>
      <c r="J2900" t="s">
        <v>65</v>
      </c>
      <c r="K2900" t="s">
        <v>40</v>
      </c>
      <c r="L2900">
        <v>765</v>
      </c>
      <c r="M2900">
        <v>23.439215686274508</v>
      </c>
      <c r="N2900" t="s">
        <v>8</v>
      </c>
      <c r="O2900" t="s">
        <v>1800</v>
      </c>
      <c r="P2900" t="s">
        <v>73</v>
      </c>
      <c r="Q2900" t="s">
        <v>30</v>
      </c>
      <c r="R2900" t="s">
        <v>98</v>
      </c>
      <c r="S2900" t="s">
        <v>54</v>
      </c>
      <c r="T2900" t="s">
        <v>1801</v>
      </c>
      <c r="U2900" t="s">
        <v>100</v>
      </c>
      <c r="V2900">
        <v>179.31</v>
      </c>
    </row>
    <row r="2901" spans="1:22" x14ac:dyDescent="0.3">
      <c r="A2901" t="s">
        <v>4360</v>
      </c>
      <c r="B2901" s="2">
        <v>46196</v>
      </c>
      <c r="C2901" t="s">
        <v>1125</v>
      </c>
      <c r="D2901" t="s">
        <v>70</v>
      </c>
      <c r="E2901" t="s">
        <v>129</v>
      </c>
      <c r="F2901">
        <v>2</v>
      </c>
      <c r="G2901">
        <v>0.05</v>
      </c>
      <c r="H2901">
        <v>104500</v>
      </c>
      <c r="I2901">
        <v>14407.29</v>
      </c>
      <c r="J2901" t="s">
        <v>65</v>
      </c>
      <c r="K2901" t="s">
        <v>40</v>
      </c>
      <c r="L2901">
        <v>52250</v>
      </c>
      <c r="M2901">
        <v>13.78688038277512</v>
      </c>
      <c r="N2901" t="s">
        <v>8</v>
      </c>
      <c r="O2901" t="s">
        <v>754</v>
      </c>
      <c r="P2901" t="s">
        <v>83</v>
      </c>
      <c r="Q2901" t="s">
        <v>74</v>
      </c>
      <c r="R2901" t="s">
        <v>493</v>
      </c>
      <c r="S2901" t="s">
        <v>494</v>
      </c>
      <c r="T2901" t="s">
        <v>822</v>
      </c>
      <c r="U2901" t="s">
        <v>46</v>
      </c>
      <c r="V2901">
        <v>7203.6450000000004</v>
      </c>
    </row>
    <row r="2902" spans="1:22" x14ac:dyDescent="0.3">
      <c r="A2902" t="s">
        <v>4361</v>
      </c>
      <c r="B2902" s="2">
        <v>46029</v>
      </c>
      <c r="C2902" t="s">
        <v>426</v>
      </c>
      <c r="D2902" t="s">
        <v>24</v>
      </c>
      <c r="E2902" t="s">
        <v>92</v>
      </c>
      <c r="F2902">
        <v>1</v>
      </c>
      <c r="G2902">
        <v>0.15</v>
      </c>
      <c r="H2902">
        <v>765</v>
      </c>
      <c r="I2902">
        <v>191.56</v>
      </c>
      <c r="J2902" t="s">
        <v>65</v>
      </c>
      <c r="K2902" t="s">
        <v>40</v>
      </c>
      <c r="L2902">
        <v>765</v>
      </c>
      <c r="M2902">
        <v>25.040522875817</v>
      </c>
      <c r="N2902" t="s">
        <v>8</v>
      </c>
      <c r="O2902" t="s">
        <v>427</v>
      </c>
      <c r="P2902" t="s">
        <v>73</v>
      </c>
      <c r="Q2902" t="s">
        <v>30</v>
      </c>
      <c r="R2902" t="s">
        <v>60</v>
      </c>
      <c r="S2902" t="s">
        <v>61</v>
      </c>
      <c r="T2902" t="s">
        <v>428</v>
      </c>
      <c r="U2902" t="s">
        <v>34</v>
      </c>
      <c r="V2902">
        <v>191.56</v>
      </c>
    </row>
    <row r="2903" spans="1:22" x14ac:dyDescent="0.3">
      <c r="A2903" t="s">
        <v>4362</v>
      </c>
      <c r="B2903" s="2">
        <v>46216</v>
      </c>
      <c r="C2903" t="s">
        <v>1659</v>
      </c>
      <c r="D2903" t="s">
        <v>37</v>
      </c>
      <c r="E2903" t="s">
        <v>170</v>
      </c>
      <c r="F2903">
        <v>4</v>
      </c>
      <c r="G2903">
        <v>0.1</v>
      </c>
      <c r="H2903">
        <v>5040</v>
      </c>
      <c r="I2903">
        <v>1595.99</v>
      </c>
      <c r="J2903" t="s">
        <v>65</v>
      </c>
      <c r="K2903" t="s">
        <v>40</v>
      </c>
      <c r="L2903">
        <v>1260</v>
      </c>
      <c r="M2903">
        <v>31.666468253968251</v>
      </c>
      <c r="N2903" t="s">
        <v>8</v>
      </c>
      <c r="O2903" t="s">
        <v>166</v>
      </c>
      <c r="P2903" t="s">
        <v>83</v>
      </c>
      <c r="Q2903" t="s">
        <v>42</v>
      </c>
      <c r="R2903" t="s">
        <v>121</v>
      </c>
      <c r="S2903" t="s">
        <v>44</v>
      </c>
      <c r="T2903" t="s">
        <v>1660</v>
      </c>
      <c r="U2903" t="s">
        <v>100</v>
      </c>
      <c r="V2903">
        <v>398.9975</v>
      </c>
    </row>
    <row r="2904" spans="1:22" x14ac:dyDescent="0.3">
      <c r="A2904" t="s">
        <v>4363</v>
      </c>
      <c r="B2904" s="2">
        <v>46018</v>
      </c>
      <c r="C2904" t="s">
        <v>1594</v>
      </c>
      <c r="D2904" t="s">
        <v>24</v>
      </c>
      <c r="E2904" t="s">
        <v>25</v>
      </c>
      <c r="F2904">
        <v>1</v>
      </c>
      <c r="G2904">
        <v>0.3</v>
      </c>
      <c r="H2904">
        <v>9800</v>
      </c>
      <c r="I2904">
        <v>-234.49</v>
      </c>
      <c r="J2904" t="s">
        <v>39</v>
      </c>
      <c r="K2904" t="s">
        <v>40</v>
      </c>
      <c r="L2904">
        <v>9800</v>
      </c>
      <c r="M2904">
        <v>-2.392755102040816</v>
      </c>
      <c r="N2904" t="s">
        <v>81</v>
      </c>
      <c r="O2904" t="s">
        <v>523</v>
      </c>
      <c r="P2904" t="s">
        <v>83</v>
      </c>
      <c r="Q2904" t="s">
        <v>30</v>
      </c>
      <c r="R2904" t="s">
        <v>31</v>
      </c>
      <c r="S2904" t="s">
        <v>32</v>
      </c>
      <c r="T2904" t="s">
        <v>767</v>
      </c>
      <c r="U2904" t="s">
        <v>105</v>
      </c>
      <c r="V2904">
        <v>-234.49</v>
      </c>
    </row>
    <row r="2905" spans="1:22" x14ac:dyDescent="0.3">
      <c r="A2905" t="s">
        <v>4364</v>
      </c>
      <c r="B2905" s="2">
        <v>45942</v>
      </c>
      <c r="C2905" t="s">
        <v>2306</v>
      </c>
      <c r="D2905" t="s">
        <v>24</v>
      </c>
      <c r="E2905" t="s">
        <v>92</v>
      </c>
      <c r="F2905">
        <v>3</v>
      </c>
      <c r="G2905">
        <v>0.05</v>
      </c>
      <c r="H2905">
        <v>2565</v>
      </c>
      <c r="I2905">
        <v>755.06</v>
      </c>
      <c r="J2905" t="s">
        <v>65</v>
      </c>
      <c r="K2905" t="s">
        <v>40</v>
      </c>
      <c r="L2905">
        <v>855</v>
      </c>
      <c r="M2905">
        <v>29.43703703703703</v>
      </c>
      <c r="N2905" t="s">
        <v>8</v>
      </c>
      <c r="O2905" t="s">
        <v>711</v>
      </c>
      <c r="P2905" t="s">
        <v>73</v>
      </c>
      <c r="Q2905" t="s">
        <v>42</v>
      </c>
      <c r="R2905" t="s">
        <v>121</v>
      </c>
      <c r="S2905" t="s">
        <v>44</v>
      </c>
      <c r="T2905" t="s">
        <v>964</v>
      </c>
      <c r="U2905" t="s">
        <v>100</v>
      </c>
      <c r="V2905">
        <v>251.68666666666661</v>
      </c>
    </row>
    <row r="2906" spans="1:22" x14ac:dyDescent="0.3">
      <c r="A2906" t="s">
        <v>4365</v>
      </c>
      <c r="B2906" s="2">
        <v>45950</v>
      </c>
      <c r="C2906" t="s">
        <v>1000</v>
      </c>
      <c r="D2906" t="s">
        <v>24</v>
      </c>
      <c r="E2906" t="s">
        <v>87</v>
      </c>
      <c r="F2906">
        <v>3</v>
      </c>
      <c r="G2906">
        <v>0.1</v>
      </c>
      <c r="H2906">
        <v>945</v>
      </c>
      <c r="I2906">
        <v>-98.48</v>
      </c>
      <c r="J2906" t="s">
        <v>39</v>
      </c>
      <c r="K2906" t="s">
        <v>80</v>
      </c>
      <c r="L2906">
        <v>315</v>
      </c>
      <c r="M2906">
        <v>-10.421164021164021</v>
      </c>
      <c r="N2906" t="s">
        <v>81</v>
      </c>
      <c r="O2906" t="s">
        <v>1001</v>
      </c>
      <c r="P2906" t="s">
        <v>29</v>
      </c>
      <c r="Q2906" t="s">
        <v>30</v>
      </c>
      <c r="R2906" t="s">
        <v>60</v>
      </c>
      <c r="S2906" t="s">
        <v>61</v>
      </c>
      <c r="T2906" t="s">
        <v>1002</v>
      </c>
      <c r="U2906" t="s">
        <v>105</v>
      </c>
      <c r="V2906">
        <v>-32.826666666666668</v>
      </c>
    </row>
    <row r="2907" spans="1:22" x14ac:dyDescent="0.3">
      <c r="A2907" t="s">
        <v>4366</v>
      </c>
      <c r="B2907" s="2">
        <v>46148</v>
      </c>
      <c r="C2907" t="s">
        <v>3382</v>
      </c>
      <c r="D2907" t="s">
        <v>49</v>
      </c>
      <c r="E2907" t="s">
        <v>79</v>
      </c>
      <c r="F2907">
        <v>4</v>
      </c>
      <c r="G2907">
        <v>0.2</v>
      </c>
      <c r="H2907">
        <v>35200</v>
      </c>
      <c r="I2907">
        <v>4225.6000000000004</v>
      </c>
      <c r="J2907" t="s">
        <v>51</v>
      </c>
      <c r="K2907" t="s">
        <v>40</v>
      </c>
      <c r="L2907">
        <v>8800</v>
      </c>
      <c r="M2907">
        <v>12.004545454545459</v>
      </c>
      <c r="N2907" t="s">
        <v>8</v>
      </c>
      <c r="O2907" t="s">
        <v>1566</v>
      </c>
      <c r="P2907" t="s">
        <v>29</v>
      </c>
      <c r="Q2907" t="s">
        <v>42</v>
      </c>
      <c r="R2907" t="s">
        <v>121</v>
      </c>
      <c r="S2907" t="s">
        <v>44</v>
      </c>
      <c r="T2907" t="s">
        <v>3383</v>
      </c>
      <c r="U2907" t="s">
        <v>46</v>
      </c>
      <c r="V2907">
        <v>1056.4000000000001</v>
      </c>
    </row>
    <row r="2908" spans="1:22" x14ac:dyDescent="0.3">
      <c r="A2908" t="s">
        <v>4367</v>
      </c>
      <c r="B2908" s="2">
        <v>45864</v>
      </c>
      <c r="C2908" t="s">
        <v>148</v>
      </c>
      <c r="D2908" t="s">
        <v>70</v>
      </c>
      <c r="E2908" t="s">
        <v>71</v>
      </c>
      <c r="F2908">
        <v>1</v>
      </c>
      <c r="G2908">
        <v>0</v>
      </c>
      <c r="H2908">
        <v>18000</v>
      </c>
      <c r="I2908">
        <v>3500</v>
      </c>
      <c r="J2908" t="s">
        <v>51</v>
      </c>
      <c r="K2908" t="s">
        <v>40</v>
      </c>
      <c r="L2908">
        <v>18000</v>
      </c>
      <c r="M2908">
        <v>19.44444444444445</v>
      </c>
      <c r="N2908" t="s">
        <v>8</v>
      </c>
      <c r="O2908" t="s">
        <v>149</v>
      </c>
      <c r="P2908" t="s">
        <v>29</v>
      </c>
      <c r="Q2908" t="s">
        <v>30</v>
      </c>
      <c r="R2908" t="s">
        <v>60</v>
      </c>
      <c r="S2908" t="s">
        <v>61</v>
      </c>
      <c r="T2908" t="s">
        <v>150</v>
      </c>
      <c r="U2908" t="s">
        <v>105</v>
      </c>
      <c r="V2908">
        <v>3500</v>
      </c>
    </row>
    <row r="2909" spans="1:22" x14ac:dyDescent="0.3">
      <c r="A2909" t="s">
        <v>4368</v>
      </c>
      <c r="B2909" s="2">
        <v>46126</v>
      </c>
      <c r="C2909" t="s">
        <v>3440</v>
      </c>
      <c r="D2909" t="s">
        <v>49</v>
      </c>
      <c r="E2909" t="s">
        <v>119</v>
      </c>
      <c r="F2909">
        <v>2</v>
      </c>
      <c r="G2909">
        <v>0</v>
      </c>
      <c r="H2909">
        <v>18000</v>
      </c>
      <c r="I2909">
        <v>4600</v>
      </c>
      <c r="J2909" t="s">
        <v>39</v>
      </c>
      <c r="K2909" t="s">
        <v>40</v>
      </c>
      <c r="L2909">
        <v>9000</v>
      </c>
      <c r="M2909">
        <v>25.55555555555555</v>
      </c>
      <c r="N2909" t="s">
        <v>8</v>
      </c>
      <c r="O2909" t="s">
        <v>847</v>
      </c>
      <c r="P2909" t="s">
        <v>29</v>
      </c>
      <c r="Q2909" t="s">
        <v>42</v>
      </c>
      <c r="R2909" t="s">
        <v>121</v>
      </c>
      <c r="S2909" t="s">
        <v>44</v>
      </c>
      <c r="T2909" t="s">
        <v>3441</v>
      </c>
      <c r="U2909" t="s">
        <v>34</v>
      </c>
      <c r="V2909">
        <v>2300</v>
      </c>
    </row>
    <row r="2910" spans="1:22" x14ac:dyDescent="0.3">
      <c r="A2910" t="s">
        <v>4369</v>
      </c>
      <c r="B2910" s="2">
        <v>45842</v>
      </c>
      <c r="C2910" t="s">
        <v>2472</v>
      </c>
      <c r="D2910" t="s">
        <v>24</v>
      </c>
      <c r="E2910" t="s">
        <v>25</v>
      </c>
      <c r="F2910">
        <v>1</v>
      </c>
      <c r="G2910">
        <v>0.15</v>
      </c>
      <c r="H2910">
        <v>11900</v>
      </c>
      <c r="I2910">
        <v>1630.31</v>
      </c>
      <c r="J2910" t="s">
        <v>39</v>
      </c>
      <c r="K2910" t="s">
        <v>40</v>
      </c>
      <c r="L2910">
        <v>11900</v>
      </c>
      <c r="M2910">
        <v>13.70008403361344</v>
      </c>
      <c r="N2910" t="s">
        <v>8</v>
      </c>
      <c r="O2910" t="s">
        <v>2473</v>
      </c>
      <c r="P2910" t="s">
        <v>73</v>
      </c>
      <c r="Q2910" t="s">
        <v>74</v>
      </c>
      <c r="R2910" t="s">
        <v>115</v>
      </c>
      <c r="S2910" t="s">
        <v>115</v>
      </c>
      <c r="T2910" t="s">
        <v>2474</v>
      </c>
      <c r="U2910" t="s">
        <v>105</v>
      </c>
      <c r="V2910">
        <v>1630.31</v>
      </c>
    </row>
    <row r="2911" spans="1:22" x14ac:dyDescent="0.3">
      <c r="A2911" t="s">
        <v>4370</v>
      </c>
      <c r="B2911" s="2">
        <v>46032</v>
      </c>
      <c r="C2911" t="s">
        <v>1575</v>
      </c>
      <c r="D2911" t="s">
        <v>24</v>
      </c>
      <c r="E2911" t="s">
        <v>87</v>
      </c>
      <c r="F2911">
        <v>2</v>
      </c>
      <c r="G2911">
        <v>0.05</v>
      </c>
      <c r="H2911">
        <v>665</v>
      </c>
      <c r="I2911">
        <v>217.97</v>
      </c>
      <c r="J2911" t="s">
        <v>51</v>
      </c>
      <c r="K2911" t="s">
        <v>40</v>
      </c>
      <c r="L2911">
        <v>332.5</v>
      </c>
      <c r="M2911">
        <v>32.777443609022548</v>
      </c>
      <c r="N2911" t="s">
        <v>8</v>
      </c>
      <c r="O2911" t="s">
        <v>349</v>
      </c>
      <c r="P2911" t="s">
        <v>83</v>
      </c>
      <c r="Q2911" t="s">
        <v>74</v>
      </c>
      <c r="R2911" t="s">
        <v>75</v>
      </c>
      <c r="S2911" t="s">
        <v>75</v>
      </c>
      <c r="T2911" t="s">
        <v>1576</v>
      </c>
      <c r="U2911" t="s">
        <v>34</v>
      </c>
      <c r="V2911">
        <v>108.985</v>
      </c>
    </row>
    <row r="2912" spans="1:22" x14ac:dyDescent="0.3">
      <c r="A2912" t="s">
        <v>4371</v>
      </c>
      <c r="B2912" s="2">
        <v>45879</v>
      </c>
      <c r="C2912" t="s">
        <v>1000</v>
      </c>
      <c r="D2912" t="s">
        <v>70</v>
      </c>
      <c r="E2912" t="s">
        <v>129</v>
      </c>
      <c r="F2912">
        <v>2</v>
      </c>
      <c r="G2912">
        <v>0.1</v>
      </c>
      <c r="H2912">
        <v>99000</v>
      </c>
      <c r="I2912">
        <v>8687.16</v>
      </c>
      <c r="J2912" t="s">
        <v>39</v>
      </c>
      <c r="K2912" t="s">
        <v>40</v>
      </c>
      <c r="L2912">
        <v>49500</v>
      </c>
      <c r="M2912">
        <v>8.774909090909091</v>
      </c>
      <c r="N2912" t="s">
        <v>8</v>
      </c>
      <c r="O2912" t="s">
        <v>1001</v>
      </c>
      <c r="P2912" t="s">
        <v>29</v>
      </c>
      <c r="Q2912" t="s">
        <v>30</v>
      </c>
      <c r="R2912" t="s">
        <v>60</v>
      </c>
      <c r="S2912" t="s">
        <v>61</v>
      </c>
      <c r="T2912" t="s">
        <v>1002</v>
      </c>
      <c r="U2912" t="s">
        <v>105</v>
      </c>
      <c r="V2912">
        <v>4343.58</v>
      </c>
    </row>
    <row r="2913" spans="1:22" x14ac:dyDescent="0.3">
      <c r="A2913" t="s">
        <v>4372</v>
      </c>
      <c r="B2913" s="2">
        <v>46102</v>
      </c>
      <c r="C2913" t="s">
        <v>2261</v>
      </c>
      <c r="D2913" t="s">
        <v>70</v>
      </c>
      <c r="E2913" t="s">
        <v>129</v>
      </c>
      <c r="F2913">
        <v>3</v>
      </c>
      <c r="G2913">
        <v>0.15</v>
      </c>
      <c r="H2913">
        <v>140250</v>
      </c>
      <c r="I2913">
        <v>7235.69</v>
      </c>
      <c r="J2913" t="s">
        <v>39</v>
      </c>
      <c r="K2913" t="s">
        <v>40</v>
      </c>
      <c r="L2913">
        <v>46750</v>
      </c>
      <c r="M2913">
        <v>5.1591372549019603</v>
      </c>
      <c r="N2913" t="s">
        <v>8</v>
      </c>
      <c r="O2913" t="s">
        <v>1237</v>
      </c>
      <c r="P2913" t="s">
        <v>73</v>
      </c>
      <c r="Q2913" t="s">
        <v>74</v>
      </c>
      <c r="R2913" t="s">
        <v>237</v>
      </c>
      <c r="S2913" t="s">
        <v>238</v>
      </c>
      <c r="T2913" t="s">
        <v>2262</v>
      </c>
      <c r="U2913" t="s">
        <v>100</v>
      </c>
      <c r="V2913">
        <v>2411.896666666667</v>
      </c>
    </row>
    <row r="2914" spans="1:22" x14ac:dyDescent="0.3">
      <c r="A2914" t="s">
        <v>4373</v>
      </c>
      <c r="B2914" s="2">
        <v>45920</v>
      </c>
      <c r="C2914" t="s">
        <v>2194</v>
      </c>
      <c r="D2914" t="s">
        <v>49</v>
      </c>
      <c r="E2914" t="s">
        <v>119</v>
      </c>
      <c r="F2914">
        <v>4</v>
      </c>
      <c r="G2914">
        <v>0</v>
      </c>
      <c r="H2914">
        <v>36000</v>
      </c>
      <c r="I2914">
        <v>9200</v>
      </c>
      <c r="J2914" t="s">
        <v>26</v>
      </c>
      <c r="K2914" t="s">
        <v>40</v>
      </c>
      <c r="L2914">
        <v>9000</v>
      </c>
      <c r="M2914">
        <v>25.55555555555555</v>
      </c>
      <c r="N2914" t="s">
        <v>8</v>
      </c>
      <c r="O2914" t="s">
        <v>333</v>
      </c>
      <c r="P2914" t="s">
        <v>29</v>
      </c>
      <c r="Q2914" t="s">
        <v>42</v>
      </c>
      <c r="R2914" t="s">
        <v>43</v>
      </c>
      <c r="S2914" t="s">
        <v>44</v>
      </c>
      <c r="T2914" t="s">
        <v>2004</v>
      </c>
      <c r="U2914" t="s">
        <v>34</v>
      </c>
      <c r="V2914">
        <v>2300</v>
      </c>
    </row>
    <row r="2915" spans="1:22" x14ac:dyDescent="0.3">
      <c r="A2915" t="s">
        <v>4374</v>
      </c>
      <c r="B2915" s="2">
        <v>46098</v>
      </c>
      <c r="C2915" t="s">
        <v>4375</v>
      </c>
      <c r="D2915" t="s">
        <v>24</v>
      </c>
      <c r="E2915" t="s">
        <v>25</v>
      </c>
      <c r="F2915">
        <v>2</v>
      </c>
      <c r="G2915">
        <v>0.15</v>
      </c>
      <c r="H2915">
        <v>23800</v>
      </c>
      <c r="I2915">
        <v>3614.08</v>
      </c>
      <c r="J2915" t="s">
        <v>51</v>
      </c>
      <c r="K2915" t="s">
        <v>40</v>
      </c>
      <c r="L2915">
        <v>11900</v>
      </c>
      <c r="M2915">
        <v>15.18521008403361</v>
      </c>
      <c r="N2915" t="s">
        <v>8</v>
      </c>
      <c r="O2915" t="s">
        <v>1256</v>
      </c>
      <c r="P2915" t="s">
        <v>29</v>
      </c>
      <c r="Q2915" t="s">
        <v>74</v>
      </c>
      <c r="R2915" t="s">
        <v>115</v>
      </c>
      <c r="S2915" t="s">
        <v>115</v>
      </c>
      <c r="T2915" t="s">
        <v>281</v>
      </c>
      <c r="U2915" t="s">
        <v>46</v>
      </c>
      <c r="V2915">
        <v>1807.04</v>
      </c>
    </row>
    <row r="2916" spans="1:22" x14ac:dyDescent="0.3">
      <c r="A2916" t="s">
        <v>4376</v>
      </c>
      <c r="B2916" s="2">
        <v>45928</v>
      </c>
      <c r="C2916" t="s">
        <v>1363</v>
      </c>
      <c r="D2916" t="s">
        <v>70</v>
      </c>
      <c r="E2916" t="s">
        <v>165</v>
      </c>
      <c r="F2916">
        <v>1</v>
      </c>
      <c r="G2916">
        <v>0.15</v>
      </c>
      <c r="H2916">
        <v>2125</v>
      </c>
      <c r="I2916">
        <v>553.66999999999996</v>
      </c>
      <c r="J2916" t="s">
        <v>26</v>
      </c>
      <c r="K2916" t="s">
        <v>40</v>
      </c>
      <c r="L2916">
        <v>2125</v>
      </c>
      <c r="M2916">
        <v>26.055058823529411</v>
      </c>
      <c r="N2916" t="s">
        <v>8</v>
      </c>
      <c r="O2916" t="s">
        <v>1364</v>
      </c>
      <c r="P2916" t="s">
        <v>73</v>
      </c>
      <c r="Q2916" t="s">
        <v>30</v>
      </c>
      <c r="R2916" t="s">
        <v>98</v>
      </c>
      <c r="S2916" t="s">
        <v>54</v>
      </c>
      <c r="T2916" t="s">
        <v>1365</v>
      </c>
      <c r="U2916" t="s">
        <v>105</v>
      </c>
      <c r="V2916">
        <v>553.66999999999996</v>
      </c>
    </row>
    <row r="2917" spans="1:22" x14ac:dyDescent="0.3">
      <c r="A2917" t="s">
        <v>4377</v>
      </c>
      <c r="B2917" s="2">
        <v>45839</v>
      </c>
      <c r="C2917" t="s">
        <v>430</v>
      </c>
      <c r="D2917" t="s">
        <v>70</v>
      </c>
      <c r="E2917" t="s">
        <v>165</v>
      </c>
      <c r="F2917">
        <v>1</v>
      </c>
      <c r="G2917">
        <v>0.15</v>
      </c>
      <c r="H2917">
        <v>2125</v>
      </c>
      <c r="I2917">
        <v>-460.94</v>
      </c>
      <c r="J2917" t="s">
        <v>39</v>
      </c>
      <c r="K2917" t="s">
        <v>80</v>
      </c>
      <c r="L2917">
        <v>2125</v>
      </c>
      <c r="M2917">
        <v>-21.691294117647061</v>
      </c>
      <c r="N2917" t="s">
        <v>81</v>
      </c>
      <c r="O2917" t="s">
        <v>431</v>
      </c>
      <c r="P2917" t="s">
        <v>29</v>
      </c>
      <c r="Q2917" t="s">
        <v>30</v>
      </c>
      <c r="R2917" t="s">
        <v>53</v>
      </c>
      <c r="S2917" t="s">
        <v>54</v>
      </c>
      <c r="T2917" t="s">
        <v>256</v>
      </c>
      <c r="U2917" t="s">
        <v>46</v>
      </c>
      <c r="V2917">
        <v>-460.94</v>
      </c>
    </row>
    <row r="2918" spans="1:22" x14ac:dyDescent="0.3">
      <c r="A2918" t="s">
        <v>4378</v>
      </c>
      <c r="B2918" s="2">
        <v>46212</v>
      </c>
      <c r="C2918" t="s">
        <v>1094</v>
      </c>
      <c r="D2918" t="s">
        <v>49</v>
      </c>
      <c r="E2918" t="s">
        <v>58</v>
      </c>
      <c r="F2918">
        <v>2</v>
      </c>
      <c r="G2918">
        <v>0.05</v>
      </c>
      <c r="H2918">
        <v>28500</v>
      </c>
      <c r="I2918">
        <v>-9163.89</v>
      </c>
      <c r="J2918" t="s">
        <v>39</v>
      </c>
      <c r="K2918" t="s">
        <v>80</v>
      </c>
      <c r="L2918">
        <v>14250</v>
      </c>
      <c r="M2918">
        <v>-32.154000000000003</v>
      </c>
      <c r="N2918" t="s">
        <v>81</v>
      </c>
      <c r="O2918" t="s">
        <v>183</v>
      </c>
      <c r="P2918" t="s">
        <v>73</v>
      </c>
      <c r="Q2918" t="s">
        <v>30</v>
      </c>
      <c r="R2918" t="s">
        <v>31</v>
      </c>
      <c r="S2918" t="s">
        <v>32</v>
      </c>
      <c r="T2918" t="s">
        <v>1095</v>
      </c>
      <c r="U2918" t="s">
        <v>105</v>
      </c>
      <c r="V2918">
        <v>-4581.9449999999997</v>
      </c>
    </row>
    <row r="2919" spans="1:22" x14ac:dyDescent="0.3">
      <c r="A2919" t="s">
        <v>4379</v>
      </c>
      <c r="B2919" s="2">
        <v>46068</v>
      </c>
      <c r="C2919" t="s">
        <v>875</v>
      </c>
      <c r="D2919" t="s">
        <v>49</v>
      </c>
      <c r="E2919" t="s">
        <v>79</v>
      </c>
      <c r="F2919">
        <v>2</v>
      </c>
      <c r="G2919">
        <v>0.05</v>
      </c>
      <c r="H2919">
        <v>20900</v>
      </c>
      <c r="I2919">
        <v>4560.38</v>
      </c>
      <c r="J2919" t="s">
        <v>65</v>
      </c>
      <c r="K2919" t="s">
        <v>40</v>
      </c>
      <c r="L2919">
        <v>10450</v>
      </c>
      <c r="M2919">
        <v>21.82</v>
      </c>
      <c r="N2919" t="s">
        <v>8</v>
      </c>
      <c r="O2919" t="s">
        <v>149</v>
      </c>
      <c r="P2919" t="s">
        <v>73</v>
      </c>
      <c r="Q2919" t="s">
        <v>42</v>
      </c>
      <c r="R2919" t="s">
        <v>214</v>
      </c>
      <c r="S2919" t="s">
        <v>111</v>
      </c>
      <c r="T2919" t="s">
        <v>876</v>
      </c>
      <c r="U2919" t="s">
        <v>100</v>
      </c>
      <c r="V2919">
        <v>2280.19</v>
      </c>
    </row>
    <row r="2920" spans="1:22" x14ac:dyDescent="0.3">
      <c r="A2920" t="s">
        <v>4380</v>
      </c>
      <c r="B2920" s="2">
        <v>46156</v>
      </c>
      <c r="C2920" t="s">
        <v>897</v>
      </c>
      <c r="D2920" t="s">
        <v>37</v>
      </c>
      <c r="E2920" t="s">
        <v>310</v>
      </c>
      <c r="F2920">
        <v>6</v>
      </c>
      <c r="G2920">
        <v>0.2</v>
      </c>
      <c r="H2920">
        <v>10560</v>
      </c>
      <c r="I2920">
        <v>3139.03</v>
      </c>
      <c r="J2920" t="s">
        <v>26</v>
      </c>
      <c r="K2920" t="s">
        <v>40</v>
      </c>
      <c r="L2920">
        <v>1760</v>
      </c>
      <c r="M2920">
        <v>29.72566287878788</v>
      </c>
      <c r="N2920" t="s">
        <v>8</v>
      </c>
      <c r="O2920" t="s">
        <v>607</v>
      </c>
      <c r="P2920" t="s">
        <v>73</v>
      </c>
      <c r="Q2920" t="s">
        <v>30</v>
      </c>
      <c r="R2920" t="s">
        <v>31</v>
      </c>
      <c r="S2920" t="s">
        <v>32</v>
      </c>
      <c r="T2920" t="s">
        <v>898</v>
      </c>
      <c r="U2920" t="s">
        <v>34</v>
      </c>
      <c r="V2920">
        <v>523.17166666666674</v>
      </c>
    </row>
    <row r="2921" spans="1:22" x14ac:dyDescent="0.3">
      <c r="A2921" t="s">
        <v>4381</v>
      </c>
      <c r="B2921" s="2">
        <v>45937</v>
      </c>
      <c r="C2921" t="s">
        <v>1849</v>
      </c>
      <c r="D2921" t="s">
        <v>24</v>
      </c>
      <c r="E2921" t="s">
        <v>242</v>
      </c>
      <c r="F2921">
        <v>1</v>
      </c>
      <c r="G2921">
        <v>0.1</v>
      </c>
      <c r="H2921">
        <v>405</v>
      </c>
      <c r="I2921">
        <v>82.87</v>
      </c>
      <c r="J2921" t="s">
        <v>26</v>
      </c>
      <c r="K2921" t="s">
        <v>27</v>
      </c>
      <c r="L2921">
        <v>405</v>
      </c>
      <c r="M2921">
        <v>20.46172839506173</v>
      </c>
      <c r="N2921" t="s">
        <v>8</v>
      </c>
      <c r="O2921" t="s">
        <v>171</v>
      </c>
      <c r="P2921" t="s">
        <v>83</v>
      </c>
      <c r="Q2921" t="s">
        <v>131</v>
      </c>
      <c r="R2921" t="s">
        <v>289</v>
      </c>
      <c r="S2921" t="s">
        <v>290</v>
      </c>
      <c r="T2921" t="s">
        <v>1850</v>
      </c>
      <c r="U2921" t="s">
        <v>34</v>
      </c>
      <c r="V2921">
        <v>82.87</v>
      </c>
    </row>
    <row r="2922" spans="1:22" x14ac:dyDescent="0.3">
      <c r="A2922" t="s">
        <v>4382</v>
      </c>
      <c r="B2922" s="2">
        <v>46190</v>
      </c>
      <c r="C2922" t="s">
        <v>729</v>
      </c>
      <c r="D2922" t="s">
        <v>37</v>
      </c>
      <c r="E2922" t="s">
        <v>38</v>
      </c>
      <c r="F2922">
        <v>5</v>
      </c>
      <c r="G2922">
        <v>0.15</v>
      </c>
      <c r="H2922">
        <v>7650</v>
      </c>
      <c r="I2922">
        <v>2234.5100000000002</v>
      </c>
      <c r="J2922" t="s">
        <v>26</v>
      </c>
      <c r="K2922" t="s">
        <v>40</v>
      </c>
      <c r="L2922">
        <v>1530</v>
      </c>
      <c r="M2922">
        <v>29.209281045751641</v>
      </c>
      <c r="N2922" t="s">
        <v>8</v>
      </c>
      <c r="O2922" t="s">
        <v>730</v>
      </c>
      <c r="P2922" t="s">
        <v>73</v>
      </c>
      <c r="Q2922" t="s">
        <v>30</v>
      </c>
      <c r="R2922" t="s">
        <v>31</v>
      </c>
      <c r="S2922" t="s">
        <v>32</v>
      </c>
      <c r="T2922" t="s">
        <v>215</v>
      </c>
      <c r="U2922" t="s">
        <v>100</v>
      </c>
      <c r="V2922">
        <v>446.90199999999999</v>
      </c>
    </row>
    <row r="2923" spans="1:22" x14ac:dyDescent="0.3">
      <c r="A2923" t="s">
        <v>4383</v>
      </c>
      <c r="B2923" s="2">
        <v>45943</v>
      </c>
      <c r="C2923" t="s">
        <v>204</v>
      </c>
      <c r="D2923" t="s">
        <v>37</v>
      </c>
      <c r="E2923" t="s">
        <v>38</v>
      </c>
      <c r="F2923">
        <v>4</v>
      </c>
      <c r="G2923">
        <v>0.1</v>
      </c>
      <c r="H2923">
        <v>6480</v>
      </c>
      <c r="I2923">
        <v>-1799.34</v>
      </c>
      <c r="J2923" t="s">
        <v>51</v>
      </c>
      <c r="K2923" t="s">
        <v>434</v>
      </c>
      <c r="L2923">
        <v>1620</v>
      </c>
      <c r="M2923">
        <v>-27.767592592592589</v>
      </c>
      <c r="N2923" t="s">
        <v>81</v>
      </c>
      <c r="O2923" t="s">
        <v>205</v>
      </c>
      <c r="P2923" t="s">
        <v>29</v>
      </c>
      <c r="Q2923" t="s">
        <v>30</v>
      </c>
      <c r="R2923" t="s">
        <v>98</v>
      </c>
      <c r="S2923" t="s">
        <v>54</v>
      </c>
      <c r="T2923" t="s">
        <v>206</v>
      </c>
      <c r="U2923" t="s">
        <v>34</v>
      </c>
      <c r="V2923">
        <v>-449.83499999999998</v>
      </c>
    </row>
    <row r="2924" spans="1:22" x14ac:dyDescent="0.3">
      <c r="A2924" t="s">
        <v>4384</v>
      </c>
      <c r="B2924" s="2">
        <v>46227</v>
      </c>
      <c r="C2924" t="s">
        <v>1356</v>
      </c>
      <c r="D2924" t="s">
        <v>24</v>
      </c>
      <c r="E2924" t="s">
        <v>92</v>
      </c>
      <c r="F2924">
        <v>4</v>
      </c>
      <c r="G2924">
        <v>0.05</v>
      </c>
      <c r="H2924">
        <v>3420</v>
      </c>
      <c r="I2924">
        <v>1011.94</v>
      </c>
      <c r="J2924" t="s">
        <v>65</v>
      </c>
      <c r="K2924" t="s">
        <v>40</v>
      </c>
      <c r="L2924">
        <v>855</v>
      </c>
      <c r="M2924">
        <v>29.588888888888889</v>
      </c>
      <c r="N2924" t="s">
        <v>8</v>
      </c>
      <c r="O2924" t="s">
        <v>1357</v>
      </c>
      <c r="P2924" t="s">
        <v>83</v>
      </c>
      <c r="Q2924" t="s">
        <v>74</v>
      </c>
      <c r="R2924" t="s">
        <v>237</v>
      </c>
      <c r="S2924" t="s">
        <v>238</v>
      </c>
      <c r="T2924" t="s">
        <v>1358</v>
      </c>
      <c r="U2924" t="s">
        <v>46</v>
      </c>
      <c r="V2924">
        <v>252.98500000000001</v>
      </c>
    </row>
    <row r="2925" spans="1:22" x14ac:dyDescent="0.3">
      <c r="A2925" t="s">
        <v>4385</v>
      </c>
      <c r="B2925" s="2">
        <v>45907</v>
      </c>
      <c r="C2925" t="s">
        <v>1939</v>
      </c>
      <c r="D2925" t="s">
        <v>37</v>
      </c>
      <c r="E2925" t="s">
        <v>170</v>
      </c>
      <c r="F2925">
        <v>3</v>
      </c>
      <c r="G2925">
        <v>0.1</v>
      </c>
      <c r="H2925">
        <v>3780</v>
      </c>
      <c r="I2925">
        <v>1216.56</v>
      </c>
      <c r="J2925" t="s">
        <v>26</v>
      </c>
      <c r="K2925" t="s">
        <v>40</v>
      </c>
      <c r="L2925">
        <v>1260</v>
      </c>
      <c r="M2925">
        <v>32.184126984126983</v>
      </c>
      <c r="N2925" t="s">
        <v>8</v>
      </c>
      <c r="O2925" t="s">
        <v>1940</v>
      </c>
      <c r="P2925" t="s">
        <v>29</v>
      </c>
      <c r="Q2925" t="s">
        <v>74</v>
      </c>
      <c r="R2925" t="s">
        <v>237</v>
      </c>
      <c r="S2925" t="s">
        <v>238</v>
      </c>
      <c r="T2925" t="s">
        <v>1839</v>
      </c>
      <c r="U2925" t="s">
        <v>46</v>
      </c>
      <c r="V2925">
        <v>405.52</v>
      </c>
    </row>
    <row r="2926" spans="1:22" x14ac:dyDescent="0.3">
      <c r="A2926" t="s">
        <v>4386</v>
      </c>
      <c r="B2926" s="2">
        <v>46225</v>
      </c>
      <c r="C2926" t="s">
        <v>3640</v>
      </c>
      <c r="D2926" t="s">
        <v>49</v>
      </c>
      <c r="E2926" t="s">
        <v>79</v>
      </c>
      <c r="F2926">
        <v>15</v>
      </c>
      <c r="G2926">
        <v>0.1</v>
      </c>
      <c r="H2926">
        <v>148500</v>
      </c>
      <c r="I2926">
        <v>31008.69</v>
      </c>
      <c r="J2926" t="s">
        <v>39</v>
      </c>
      <c r="K2926" t="s">
        <v>40</v>
      </c>
      <c r="L2926">
        <v>9900</v>
      </c>
      <c r="M2926">
        <v>20.88127272727273</v>
      </c>
      <c r="N2926" t="s">
        <v>8</v>
      </c>
      <c r="O2926" t="s">
        <v>692</v>
      </c>
      <c r="P2926" t="s">
        <v>73</v>
      </c>
      <c r="Q2926" t="s">
        <v>42</v>
      </c>
      <c r="R2926" t="s">
        <v>214</v>
      </c>
      <c r="S2926" t="s">
        <v>111</v>
      </c>
      <c r="T2926" t="s">
        <v>62</v>
      </c>
      <c r="U2926" t="s">
        <v>46</v>
      </c>
      <c r="V2926">
        <v>2067.2460000000001</v>
      </c>
    </row>
    <row r="2927" spans="1:22" x14ac:dyDescent="0.3">
      <c r="A2927" t="s">
        <v>4387</v>
      </c>
      <c r="B2927" s="2">
        <v>45943</v>
      </c>
      <c r="C2927" t="s">
        <v>3593</v>
      </c>
      <c r="D2927" t="s">
        <v>49</v>
      </c>
      <c r="E2927" t="s">
        <v>58</v>
      </c>
      <c r="F2927">
        <v>5</v>
      </c>
      <c r="G2927">
        <v>0.1</v>
      </c>
      <c r="H2927">
        <v>67500</v>
      </c>
      <c r="I2927">
        <v>11480.76</v>
      </c>
      <c r="J2927" t="s">
        <v>65</v>
      </c>
      <c r="K2927" t="s">
        <v>40</v>
      </c>
      <c r="L2927">
        <v>13500</v>
      </c>
      <c r="M2927">
        <v>17.008533333333329</v>
      </c>
      <c r="N2927" t="s">
        <v>8</v>
      </c>
      <c r="O2927" t="s">
        <v>439</v>
      </c>
      <c r="P2927" t="s">
        <v>29</v>
      </c>
      <c r="Q2927" t="s">
        <v>42</v>
      </c>
      <c r="R2927" t="s">
        <v>121</v>
      </c>
      <c r="S2927" t="s">
        <v>44</v>
      </c>
      <c r="T2927" t="s">
        <v>1801</v>
      </c>
      <c r="U2927" t="s">
        <v>46</v>
      </c>
      <c r="V2927">
        <v>2296.152</v>
      </c>
    </row>
    <row r="2928" spans="1:22" x14ac:dyDescent="0.3">
      <c r="A2928" t="s">
        <v>4388</v>
      </c>
      <c r="B2928" s="2">
        <v>46068</v>
      </c>
      <c r="C2928" t="s">
        <v>807</v>
      </c>
      <c r="D2928" t="s">
        <v>70</v>
      </c>
      <c r="E2928" t="s">
        <v>71</v>
      </c>
      <c r="F2928">
        <v>2</v>
      </c>
      <c r="G2928">
        <v>0.2</v>
      </c>
      <c r="H2928">
        <v>28800</v>
      </c>
      <c r="I2928">
        <v>3584.4</v>
      </c>
      <c r="J2928" t="s">
        <v>65</v>
      </c>
      <c r="K2928" t="s">
        <v>40</v>
      </c>
      <c r="L2928">
        <v>14400</v>
      </c>
      <c r="M2928">
        <v>12.445833333333329</v>
      </c>
      <c r="N2928" t="s">
        <v>8</v>
      </c>
      <c r="O2928" t="s">
        <v>545</v>
      </c>
      <c r="P2928" t="s">
        <v>73</v>
      </c>
      <c r="Q2928" t="s">
        <v>30</v>
      </c>
      <c r="R2928" t="s">
        <v>31</v>
      </c>
      <c r="S2928" t="s">
        <v>32</v>
      </c>
      <c r="T2928" t="s">
        <v>808</v>
      </c>
      <c r="U2928" t="s">
        <v>105</v>
      </c>
      <c r="V2928">
        <v>1792.2</v>
      </c>
    </row>
    <row r="2929" spans="1:22" x14ac:dyDescent="0.3">
      <c r="A2929" t="s">
        <v>4389</v>
      </c>
      <c r="B2929" s="2">
        <v>46214</v>
      </c>
      <c r="C2929" t="s">
        <v>3168</v>
      </c>
      <c r="D2929" t="s">
        <v>24</v>
      </c>
      <c r="E2929" t="s">
        <v>242</v>
      </c>
      <c r="F2929">
        <v>1</v>
      </c>
      <c r="G2929">
        <v>0</v>
      </c>
      <c r="H2929">
        <v>450</v>
      </c>
      <c r="I2929">
        <v>-131.62</v>
      </c>
      <c r="J2929" t="s">
        <v>26</v>
      </c>
      <c r="K2929" t="s">
        <v>434</v>
      </c>
      <c r="L2929">
        <v>450</v>
      </c>
      <c r="M2929">
        <v>-29.248888888888889</v>
      </c>
      <c r="N2929" t="s">
        <v>81</v>
      </c>
      <c r="O2929" t="s">
        <v>3169</v>
      </c>
      <c r="P2929" t="s">
        <v>29</v>
      </c>
      <c r="Q2929" t="s">
        <v>74</v>
      </c>
      <c r="R2929" t="s">
        <v>115</v>
      </c>
      <c r="S2929" t="s">
        <v>115</v>
      </c>
      <c r="T2929" t="s">
        <v>2474</v>
      </c>
      <c r="U2929" t="s">
        <v>34</v>
      </c>
      <c r="V2929">
        <v>-131.62</v>
      </c>
    </row>
    <row r="2930" spans="1:22" x14ac:dyDescent="0.3">
      <c r="A2930" t="s">
        <v>4390</v>
      </c>
      <c r="B2930" s="2">
        <v>45993</v>
      </c>
      <c r="C2930" t="s">
        <v>2145</v>
      </c>
      <c r="D2930" t="s">
        <v>49</v>
      </c>
      <c r="E2930" t="s">
        <v>119</v>
      </c>
      <c r="F2930">
        <v>4</v>
      </c>
      <c r="G2930">
        <v>0.05</v>
      </c>
      <c r="H2930">
        <v>34200</v>
      </c>
      <c r="I2930">
        <v>8286.73</v>
      </c>
      <c r="J2930" t="s">
        <v>65</v>
      </c>
      <c r="K2930" t="s">
        <v>40</v>
      </c>
      <c r="L2930">
        <v>8550</v>
      </c>
      <c r="M2930">
        <v>24.230204678362568</v>
      </c>
      <c r="N2930" t="s">
        <v>8</v>
      </c>
      <c r="O2930" t="s">
        <v>302</v>
      </c>
      <c r="P2930" t="s">
        <v>29</v>
      </c>
      <c r="Q2930" t="s">
        <v>30</v>
      </c>
      <c r="R2930" t="s">
        <v>98</v>
      </c>
      <c r="S2930" t="s">
        <v>54</v>
      </c>
      <c r="T2930" t="s">
        <v>601</v>
      </c>
      <c r="U2930" t="s">
        <v>46</v>
      </c>
      <c r="V2930">
        <v>2071.6824999999999</v>
      </c>
    </row>
    <row r="2931" spans="1:22" x14ac:dyDescent="0.3">
      <c r="A2931" t="s">
        <v>4391</v>
      </c>
      <c r="B2931" s="2">
        <v>46046</v>
      </c>
      <c r="C2931" t="s">
        <v>91</v>
      </c>
      <c r="D2931" t="s">
        <v>49</v>
      </c>
      <c r="E2931" t="s">
        <v>119</v>
      </c>
      <c r="F2931">
        <v>1</v>
      </c>
      <c r="G2931">
        <v>0.15</v>
      </c>
      <c r="H2931">
        <v>7650</v>
      </c>
      <c r="I2931">
        <v>1203.28</v>
      </c>
      <c r="J2931" t="s">
        <v>51</v>
      </c>
      <c r="K2931" t="s">
        <v>27</v>
      </c>
      <c r="L2931">
        <v>7650</v>
      </c>
      <c r="M2931">
        <v>15.72915032679739</v>
      </c>
      <c r="N2931" t="s">
        <v>8</v>
      </c>
      <c r="O2931" t="s">
        <v>93</v>
      </c>
      <c r="P2931" t="s">
        <v>73</v>
      </c>
      <c r="Q2931" t="s">
        <v>30</v>
      </c>
      <c r="R2931" t="s">
        <v>60</v>
      </c>
      <c r="S2931" t="s">
        <v>61</v>
      </c>
      <c r="T2931" t="s">
        <v>94</v>
      </c>
      <c r="U2931" t="s">
        <v>34</v>
      </c>
      <c r="V2931">
        <v>1203.28</v>
      </c>
    </row>
    <row r="2932" spans="1:22" x14ac:dyDescent="0.3">
      <c r="A2932" t="s">
        <v>4392</v>
      </c>
      <c r="B2932" s="2">
        <v>46233</v>
      </c>
      <c r="C2932" t="s">
        <v>1173</v>
      </c>
      <c r="D2932" t="s">
        <v>70</v>
      </c>
      <c r="E2932" t="s">
        <v>71</v>
      </c>
      <c r="F2932">
        <v>3</v>
      </c>
      <c r="G2932">
        <v>0</v>
      </c>
      <c r="H2932">
        <v>54000</v>
      </c>
      <c r="I2932">
        <v>10500</v>
      </c>
      <c r="J2932" t="s">
        <v>51</v>
      </c>
      <c r="K2932" t="s">
        <v>27</v>
      </c>
      <c r="L2932">
        <v>18000</v>
      </c>
      <c r="M2932">
        <v>19.44444444444445</v>
      </c>
      <c r="N2932" t="s">
        <v>8</v>
      </c>
      <c r="O2932" t="s">
        <v>406</v>
      </c>
      <c r="P2932" t="s">
        <v>83</v>
      </c>
      <c r="Q2932" t="s">
        <v>131</v>
      </c>
      <c r="R2932" t="s">
        <v>289</v>
      </c>
      <c r="S2932" t="s">
        <v>290</v>
      </c>
      <c r="T2932" t="s">
        <v>1174</v>
      </c>
      <c r="U2932" t="s">
        <v>34</v>
      </c>
      <c r="V2932">
        <v>3500</v>
      </c>
    </row>
    <row r="2933" spans="1:22" x14ac:dyDescent="0.3">
      <c r="A2933" t="s">
        <v>4393</v>
      </c>
      <c r="B2933" s="2">
        <v>46213</v>
      </c>
      <c r="C2933" t="s">
        <v>1988</v>
      </c>
      <c r="D2933" t="s">
        <v>70</v>
      </c>
      <c r="E2933" t="s">
        <v>129</v>
      </c>
      <c r="F2933">
        <v>1</v>
      </c>
      <c r="G2933">
        <v>0.05</v>
      </c>
      <c r="H2933">
        <v>52250</v>
      </c>
      <c r="I2933">
        <v>7640.38</v>
      </c>
      <c r="J2933" t="s">
        <v>39</v>
      </c>
      <c r="K2933" t="s">
        <v>40</v>
      </c>
      <c r="L2933">
        <v>52250</v>
      </c>
      <c r="M2933">
        <v>14.62273684210526</v>
      </c>
      <c r="N2933" t="s">
        <v>8</v>
      </c>
      <c r="O2933" t="s">
        <v>1989</v>
      </c>
      <c r="P2933" t="s">
        <v>29</v>
      </c>
      <c r="Q2933" t="s">
        <v>131</v>
      </c>
      <c r="R2933" t="s">
        <v>289</v>
      </c>
      <c r="S2933" t="s">
        <v>290</v>
      </c>
      <c r="T2933" t="s">
        <v>1990</v>
      </c>
      <c r="U2933" t="s">
        <v>105</v>
      </c>
      <c r="V2933">
        <v>7640.38</v>
      </c>
    </row>
    <row r="2934" spans="1:22" x14ac:dyDescent="0.3">
      <c r="A2934" t="s">
        <v>4394</v>
      </c>
      <c r="B2934" s="2">
        <v>45925</v>
      </c>
      <c r="C2934" t="s">
        <v>2197</v>
      </c>
      <c r="D2934" t="s">
        <v>70</v>
      </c>
      <c r="E2934" t="s">
        <v>71</v>
      </c>
      <c r="F2934">
        <v>1</v>
      </c>
      <c r="G2934">
        <v>0.15</v>
      </c>
      <c r="H2934">
        <v>15300</v>
      </c>
      <c r="I2934">
        <v>2147.61</v>
      </c>
      <c r="J2934" t="s">
        <v>26</v>
      </c>
      <c r="K2934" t="s">
        <v>40</v>
      </c>
      <c r="L2934">
        <v>15300</v>
      </c>
      <c r="M2934">
        <v>14.036666666666671</v>
      </c>
      <c r="N2934" t="s">
        <v>8</v>
      </c>
      <c r="O2934" t="s">
        <v>2027</v>
      </c>
      <c r="P2934" t="s">
        <v>29</v>
      </c>
      <c r="Q2934" t="s">
        <v>74</v>
      </c>
      <c r="R2934" t="s">
        <v>493</v>
      </c>
      <c r="S2934" t="s">
        <v>494</v>
      </c>
      <c r="T2934" t="s">
        <v>2198</v>
      </c>
      <c r="U2934" t="s">
        <v>34</v>
      </c>
      <c r="V2934">
        <v>2147.61</v>
      </c>
    </row>
    <row r="2935" spans="1:22" x14ac:dyDescent="0.3">
      <c r="A2935" t="s">
        <v>4395</v>
      </c>
      <c r="B2935" s="2">
        <v>46156</v>
      </c>
      <c r="C2935" t="s">
        <v>2915</v>
      </c>
      <c r="D2935" t="s">
        <v>70</v>
      </c>
      <c r="E2935" t="s">
        <v>129</v>
      </c>
      <c r="F2935">
        <v>2</v>
      </c>
      <c r="G2935">
        <v>0</v>
      </c>
      <c r="H2935">
        <v>110000</v>
      </c>
      <c r="I2935">
        <v>18000</v>
      </c>
      <c r="J2935" t="s">
        <v>39</v>
      </c>
      <c r="K2935" t="s">
        <v>40</v>
      </c>
      <c r="L2935">
        <v>55000</v>
      </c>
      <c r="M2935">
        <v>16.36363636363636</v>
      </c>
      <c r="N2935" t="s">
        <v>8</v>
      </c>
      <c r="O2935" t="s">
        <v>2323</v>
      </c>
      <c r="P2935" t="s">
        <v>73</v>
      </c>
      <c r="Q2935" t="s">
        <v>131</v>
      </c>
      <c r="R2935" t="s">
        <v>132</v>
      </c>
      <c r="S2935" t="s">
        <v>133</v>
      </c>
      <c r="T2935" t="s">
        <v>2916</v>
      </c>
      <c r="U2935" t="s">
        <v>34</v>
      </c>
      <c r="V2935">
        <v>9000</v>
      </c>
    </row>
    <row r="2936" spans="1:22" x14ac:dyDescent="0.3">
      <c r="A2936" t="s">
        <v>4396</v>
      </c>
      <c r="B2936" s="2">
        <v>45963</v>
      </c>
      <c r="C2936" t="s">
        <v>377</v>
      </c>
      <c r="D2936" t="s">
        <v>70</v>
      </c>
      <c r="E2936" t="s">
        <v>71</v>
      </c>
      <c r="F2936">
        <v>5</v>
      </c>
      <c r="G2936">
        <v>0.1</v>
      </c>
      <c r="H2936">
        <v>81000</v>
      </c>
      <c r="I2936">
        <v>10327.57</v>
      </c>
      <c r="J2936" t="s">
        <v>39</v>
      </c>
      <c r="K2936" t="s">
        <v>40</v>
      </c>
      <c r="L2936">
        <v>16200</v>
      </c>
      <c r="M2936">
        <v>12.750086419753091</v>
      </c>
      <c r="N2936" t="s">
        <v>8</v>
      </c>
      <c r="O2936" t="s">
        <v>378</v>
      </c>
      <c r="P2936" t="s">
        <v>29</v>
      </c>
      <c r="Q2936" t="s">
        <v>30</v>
      </c>
      <c r="R2936" t="s">
        <v>31</v>
      </c>
      <c r="S2936" t="s">
        <v>32</v>
      </c>
      <c r="T2936" t="s">
        <v>379</v>
      </c>
      <c r="U2936" t="s">
        <v>34</v>
      </c>
      <c r="V2936">
        <v>2065.5140000000001</v>
      </c>
    </row>
    <row r="2937" spans="1:22" x14ac:dyDescent="0.3">
      <c r="A2937" t="s">
        <v>4397</v>
      </c>
      <c r="B2937" s="2">
        <v>45958</v>
      </c>
      <c r="C2937" t="s">
        <v>3131</v>
      </c>
      <c r="D2937" t="s">
        <v>70</v>
      </c>
      <c r="E2937" t="s">
        <v>129</v>
      </c>
      <c r="F2937">
        <v>3</v>
      </c>
      <c r="G2937">
        <v>0.15</v>
      </c>
      <c r="H2937">
        <v>140250</v>
      </c>
      <c r="I2937">
        <v>-88427.01</v>
      </c>
      <c r="J2937" t="s">
        <v>39</v>
      </c>
      <c r="K2937" t="s">
        <v>434</v>
      </c>
      <c r="L2937">
        <v>46750</v>
      </c>
      <c r="M2937">
        <v>-63.049561497326202</v>
      </c>
      <c r="N2937" t="s">
        <v>81</v>
      </c>
      <c r="O2937" t="s">
        <v>1466</v>
      </c>
      <c r="P2937" t="s">
        <v>29</v>
      </c>
      <c r="Q2937" t="s">
        <v>42</v>
      </c>
      <c r="R2937" t="s">
        <v>43</v>
      </c>
      <c r="S2937" t="s">
        <v>44</v>
      </c>
      <c r="T2937" t="s">
        <v>3132</v>
      </c>
      <c r="U2937" t="s">
        <v>46</v>
      </c>
      <c r="V2937">
        <v>-29475.67</v>
      </c>
    </row>
    <row r="2938" spans="1:22" x14ac:dyDescent="0.3">
      <c r="A2938" t="s">
        <v>4398</v>
      </c>
      <c r="B2938" s="2">
        <v>46144</v>
      </c>
      <c r="C2938" t="s">
        <v>1293</v>
      </c>
      <c r="D2938" t="s">
        <v>70</v>
      </c>
      <c r="E2938" t="s">
        <v>165</v>
      </c>
      <c r="F2938">
        <v>5</v>
      </c>
      <c r="G2938">
        <v>0.2</v>
      </c>
      <c r="H2938">
        <v>10000</v>
      </c>
      <c r="I2938">
        <v>2289.84</v>
      </c>
      <c r="J2938" t="s">
        <v>26</v>
      </c>
      <c r="K2938" t="s">
        <v>40</v>
      </c>
      <c r="L2938">
        <v>2000</v>
      </c>
      <c r="M2938">
        <v>22.898399999999999</v>
      </c>
      <c r="N2938" t="s">
        <v>8</v>
      </c>
      <c r="O2938" t="s">
        <v>1294</v>
      </c>
      <c r="P2938" t="s">
        <v>83</v>
      </c>
      <c r="Q2938" t="s">
        <v>74</v>
      </c>
      <c r="R2938" t="s">
        <v>115</v>
      </c>
      <c r="S2938" t="s">
        <v>115</v>
      </c>
      <c r="T2938" t="s">
        <v>1295</v>
      </c>
      <c r="U2938" t="s">
        <v>46</v>
      </c>
      <c r="V2938">
        <v>457.96800000000002</v>
      </c>
    </row>
    <row r="2939" spans="1:22" x14ac:dyDescent="0.3">
      <c r="A2939" t="s">
        <v>4399</v>
      </c>
      <c r="B2939" s="2">
        <v>46045</v>
      </c>
      <c r="C2939" t="s">
        <v>2003</v>
      </c>
      <c r="D2939" t="s">
        <v>37</v>
      </c>
      <c r="E2939" t="s">
        <v>170</v>
      </c>
      <c r="F2939">
        <v>1</v>
      </c>
      <c r="G2939">
        <v>0</v>
      </c>
      <c r="H2939">
        <v>1400</v>
      </c>
      <c r="I2939">
        <v>-322.35000000000002</v>
      </c>
      <c r="J2939" t="s">
        <v>26</v>
      </c>
      <c r="K2939" t="s">
        <v>434</v>
      </c>
      <c r="L2939">
        <v>1400</v>
      </c>
      <c r="M2939">
        <v>-23.024999999999999</v>
      </c>
      <c r="N2939" t="s">
        <v>81</v>
      </c>
      <c r="O2939" t="s">
        <v>1494</v>
      </c>
      <c r="P2939" t="s">
        <v>73</v>
      </c>
      <c r="Q2939" t="s">
        <v>74</v>
      </c>
      <c r="R2939" t="s">
        <v>115</v>
      </c>
      <c r="S2939" t="s">
        <v>115</v>
      </c>
      <c r="T2939" t="s">
        <v>2004</v>
      </c>
      <c r="U2939" t="s">
        <v>46</v>
      </c>
      <c r="V2939">
        <v>-322.35000000000002</v>
      </c>
    </row>
    <row r="2940" spans="1:22" x14ac:dyDescent="0.3">
      <c r="A2940" t="s">
        <v>4400</v>
      </c>
      <c r="B2940" s="2">
        <v>45845</v>
      </c>
      <c r="C2940" t="s">
        <v>644</v>
      </c>
      <c r="D2940" t="s">
        <v>49</v>
      </c>
      <c r="E2940" t="s">
        <v>50</v>
      </c>
      <c r="F2940">
        <v>1</v>
      </c>
      <c r="G2940">
        <v>0.1</v>
      </c>
      <c r="H2940">
        <v>11700</v>
      </c>
      <c r="I2940">
        <v>-3767.35</v>
      </c>
      <c r="J2940" t="s">
        <v>51</v>
      </c>
      <c r="K2940" t="s">
        <v>434</v>
      </c>
      <c r="L2940">
        <v>11700</v>
      </c>
      <c r="M2940">
        <v>-32.199572649572652</v>
      </c>
      <c r="N2940" t="s">
        <v>81</v>
      </c>
      <c r="O2940" t="s">
        <v>213</v>
      </c>
      <c r="P2940" t="s">
        <v>29</v>
      </c>
      <c r="Q2940" t="s">
        <v>30</v>
      </c>
      <c r="R2940" t="s">
        <v>31</v>
      </c>
      <c r="S2940" t="s">
        <v>32</v>
      </c>
      <c r="T2940" t="s">
        <v>645</v>
      </c>
      <c r="U2940" t="s">
        <v>46</v>
      </c>
      <c r="V2940">
        <v>-3767.35</v>
      </c>
    </row>
    <row r="2941" spans="1:22" x14ac:dyDescent="0.3">
      <c r="A2941" t="s">
        <v>4401</v>
      </c>
      <c r="B2941" s="2">
        <v>45987</v>
      </c>
      <c r="C2941" t="s">
        <v>2459</v>
      </c>
      <c r="D2941" t="s">
        <v>70</v>
      </c>
      <c r="E2941" t="s">
        <v>108</v>
      </c>
      <c r="F2941">
        <v>3</v>
      </c>
      <c r="G2941">
        <v>0.1</v>
      </c>
      <c r="H2941">
        <v>12150</v>
      </c>
      <c r="I2941">
        <v>-1730.66</v>
      </c>
      <c r="J2941" t="s">
        <v>51</v>
      </c>
      <c r="K2941" t="s">
        <v>80</v>
      </c>
      <c r="L2941">
        <v>4050</v>
      </c>
      <c r="M2941">
        <v>-14.244115226337451</v>
      </c>
      <c r="N2941" t="s">
        <v>81</v>
      </c>
      <c r="O2941" t="s">
        <v>378</v>
      </c>
      <c r="P2941" t="s">
        <v>83</v>
      </c>
      <c r="Q2941" t="s">
        <v>74</v>
      </c>
      <c r="R2941" t="s">
        <v>115</v>
      </c>
      <c r="S2941" t="s">
        <v>115</v>
      </c>
      <c r="T2941" t="s">
        <v>2460</v>
      </c>
      <c r="U2941" t="s">
        <v>105</v>
      </c>
      <c r="V2941">
        <v>-576.88666666666666</v>
      </c>
    </row>
    <row r="2942" spans="1:22" x14ac:dyDescent="0.3">
      <c r="A2942" t="s">
        <v>4402</v>
      </c>
      <c r="B2942" s="2">
        <v>45988</v>
      </c>
      <c r="C2942" t="s">
        <v>1723</v>
      </c>
      <c r="D2942" t="s">
        <v>70</v>
      </c>
      <c r="E2942" t="s">
        <v>71</v>
      </c>
      <c r="F2942">
        <v>15</v>
      </c>
      <c r="G2942">
        <v>0.05</v>
      </c>
      <c r="H2942">
        <v>256500</v>
      </c>
      <c r="I2942">
        <v>41994.11</v>
      </c>
      <c r="J2942" t="s">
        <v>51</v>
      </c>
      <c r="K2942" t="s">
        <v>40</v>
      </c>
      <c r="L2942">
        <v>17100</v>
      </c>
      <c r="M2942">
        <v>16.37197270955166</v>
      </c>
      <c r="N2942" t="s">
        <v>8</v>
      </c>
      <c r="O2942" t="s">
        <v>398</v>
      </c>
      <c r="P2942" t="s">
        <v>83</v>
      </c>
      <c r="Q2942" t="s">
        <v>30</v>
      </c>
      <c r="R2942" t="s">
        <v>98</v>
      </c>
      <c r="S2942" t="s">
        <v>54</v>
      </c>
      <c r="T2942" t="s">
        <v>1724</v>
      </c>
      <c r="U2942" t="s">
        <v>46</v>
      </c>
      <c r="V2942">
        <v>2799.6073333333329</v>
      </c>
    </row>
    <row r="2943" spans="1:22" x14ac:dyDescent="0.3">
      <c r="A2943" t="s">
        <v>4403</v>
      </c>
      <c r="B2943" s="2">
        <v>45923</v>
      </c>
      <c r="C2943" t="s">
        <v>152</v>
      </c>
      <c r="D2943" t="s">
        <v>37</v>
      </c>
      <c r="E2943" t="s">
        <v>170</v>
      </c>
      <c r="F2943">
        <v>1</v>
      </c>
      <c r="G2943">
        <v>0.1</v>
      </c>
      <c r="H2943">
        <v>1260</v>
      </c>
      <c r="I2943">
        <v>-72.459999999999994</v>
      </c>
      <c r="J2943" t="s">
        <v>39</v>
      </c>
      <c r="K2943" t="s">
        <v>80</v>
      </c>
      <c r="L2943">
        <v>1260</v>
      </c>
      <c r="M2943">
        <v>-5.7507936507936499</v>
      </c>
      <c r="N2943" t="s">
        <v>81</v>
      </c>
      <c r="O2943" t="s">
        <v>153</v>
      </c>
      <c r="P2943" t="s">
        <v>83</v>
      </c>
      <c r="Q2943" t="s">
        <v>30</v>
      </c>
      <c r="R2943" t="s">
        <v>53</v>
      </c>
      <c r="S2943" t="s">
        <v>54</v>
      </c>
      <c r="T2943" t="s">
        <v>154</v>
      </c>
      <c r="U2943" t="s">
        <v>100</v>
      </c>
      <c r="V2943">
        <v>-72.459999999999994</v>
      </c>
    </row>
    <row r="2944" spans="1:22" x14ac:dyDescent="0.3">
      <c r="A2944" t="s">
        <v>4404</v>
      </c>
      <c r="B2944" s="2">
        <v>46090</v>
      </c>
      <c r="C2944" t="s">
        <v>2050</v>
      </c>
      <c r="D2944" t="s">
        <v>24</v>
      </c>
      <c r="E2944" t="s">
        <v>25</v>
      </c>
      <c r="F2944">
        <v>2</v>
      </c>
      <c r="G2944">
        <v>0.15</v>
      </c>
      <c r="H2944">
        <v>23800</v>
      </c>
      <c r="I2944">
        <v>2908.2</v>
      </c>
      <c r="J2944" t="s">
        <v>65</v>
      </c>
      <c r="K2944" t="s">
        <v>40</v>
      </c>
      <c r="L2944">
        <v>11900</v>
      </c>
      <c r="M2944">
        <v>12.21932773109244</v>
      </c>
      <c r="N2944" t="s">
        <v>8</v>
      </c>
      <c r="O2944" t="s">
        <v>686</v>
      </c>
      <c r="P2944" t="s">
        <v>29</v>
      </c>
      <c r="Q2944" t="s">
        <v>131</v>
      </c>
      <c r="R2944" t="s">
        <v>132</v>
      </c>
      <c r="S2944" t="s">
        <v>133</v>
      </c>
      <c r="T2944" t="s">
        <v>1490</v>
      </c>
      <c r="U2944" t="s">
        <v>46</v>
      </c>
      <c r="V2944">
        <v>1454.1</v>
      </c>
    </row>
    <row r="2945" spans="1:22" x14ac:dyDescent="0.3">
      <c r="A2945" t="s">
        <v>4405</v>
      </c>
      <c r="B2945" s="2">
        <v>46047</v>
      </c>
      <c r="C2945" t="s">
        <v>978</v>
      </c>
      <c r="D2945" t="s">
        <v>70</v>
      </c>
      <c r="E2945" t="s">
        <v>71</v>
      </c>
      <c r="F2945">
        <v>3</v>
      </c>
      <c r="G2945">
        <v>0.1</v>
      </c>
      <c r="H2945">
        <v>48600</v>
      </c>
      <c r="I2945">
        <v>6837.38</v>
      </c>
      <c r="J2945" t="s">
        <v>26</v>
      </c>
      <c r="K2945" t="s">
        <v>27</v>
      </c>
      <c r="L2945">
        <v>16200</v>
      </c>
      <c r="M2945">
        <v>14.068683127572021</v>
      </c>
      <c r="N2945" t="s">
        <v>8</v>
      </c>
      <c r="O2945" t="s">
        <v>979</v>
      </c>
      <c r="P2945" t="s">
        <v>29</v>
      </c>
      <c r="Q2945" t="s">
        <v>42</v>
      </c>
      <c r="R2945" t="s">
        <v>121</v>
      </c>
      <c r="S2945" t="s">
        <v>44</v>
      </c>
      <c r="T2945" t="s">
        <v>415</v>
      </c>
      <c r="U2945" t="s">
        <v>34</v>
      </c>
      <c r="V2945">
        <v>2279.126666666667</v>
      </c>
    </row>
    <row r="2946" spans="1:22" x14ac:dyDescent="0.3">
      <c r="A2946" t="s">
        <v>4406</v>
      </c>
      <c r="B2946" s="2">
        <v>45948</v>
      </c>
      <c r="C2946" t="s">
        <v>3327</v>
      </c>
      <c r="D2946" t="s">
        <v>70</v>
      </c>
      <c r="E2946" t="s">
        <v>165</v>
      </c>
      <c r="F2946">
        <v>1</v>
      </c>
      <c r="G2946">
        <v>0.15</v>
      </c>
      <c r="H2946">
        <v>2125</v>
      </c>
      <c r="I2946">
        <v>539.32000000000005</v>
      </c>
      <c r="J2946" t="s">
        <v>51</v>
      </c>
      <c r="K2946" t="s">
        <v>27</v>
      </c>
      <c r="L2946">
        <v>2125</v>
      </c>
      <c r="M2946">
        <v>25.379764705882359</v>
      </c>
      <c r="N2946" t="s">
        <v>8</v>
      </c>
      <c r="O2946" t="s">
        <v>3328</v>
      </c>
      <c r="P2946" t="s">
        <v>29</v>
      </c>
      <c r="Q2946" t="s">
        <v>74</v>
      </c>
      <c r="R2946" t="s">
        <v>115</v>
      </c>
      <c r="S2946" t="s">
        <v>115</v>
      </c>
      <c r="T2946" t="s">
        <v>184</v>
      </c>
      <c r="U2946" t="s">
        <v>34</v>
      </c>
      <c r="V2946">
        <v>539.32000000000005</v>
      </c>
    </row>
    <row r="2947" spans="1:22" x14ac:dyDescent="0.3">
      <c r="A2947" t="s">
        <v>4407</v>
      </c>
      <c r="B2947" s="2">
        <v>46180</v>
      </c>
      <c r="C2947" t="s">
        <v>644</v>
      </c>
      <c r="D2947" t="s">
        <v>24</v>
      </c>
      <c r="E2947" t="s">
        <v>92</v>
      </c>
      <c r="F2947">
        <v>1</v>
      </c>
      <c r="G2947">
        <v>0.05</v>
      </c>
      <c r="H2947">
        <v>855</v>
      </c>
      <c r="I2947">
        <v>244.92</v>
      </c>
      <c r="J2947" t="s">
        <v>39</v>
      </c>
      <c r="K2947" t="s">
        <v>27</v>
      </c>
      <c r="L2947">
        <v>855</v>
      </c>
      <c r="M2947">
        <v>28.645614035087721</v>
      </c>
      <c r="N2947" t="s">
        <v>8</v>
      </c>
      <c r="O2947" t="s">
        <v>213</v>
      </c>
      <c r="P2947" t="s">
        <v>29</v>
      </c>
      <c r="Q2947" t="s">
        <v>30</v>
      </c>
      <c r="R2947" t="s">
        <v>31</v>
      </c>
      <c r="S2947" t="s">
        <v>32</v>
      </c>
      <c r="T2947" t="s">
        <v>645</v>
      </c>
      <c r="U2947" t="s">
        <v>46</v>
      </c>
      <c r="V2947">
        <v>244.92</v>
      </c>
    </row>
    <row r="2948" spans="1:22" x14ac:dyDescent="0.3">
      <c r="A2948" t="s">
        <v>4408</v>
      </c>
      <c r="B2948" s="2">
        <v>46192</v>
      </c>
      <c r="C2948" t="s">
        <v>1072</v>
      </c>
      <c r="D2948" t="s">
        <v>37</v>
      </c>
      <c r="E2948" t="s">
        <v>38</v>
      </c>
      <c r="F2948">
        <v>4</v>
      </c>
      <c r="G2948">
        <v>0.15</v>
      </c>
      <c r="H2948">
        <v>6120</v>
      </c>
      <c r="I2948">
        <v>1980.35</v>
      </c>
      <c r="J2948" t="s">
        <v>26</v>
      </c>
      <c r="K2948" t="s">
        <v>40</v>
      </c>
      <c r="L2948">
        <v>1530</v>
      </c>
      <c r="M2948">
        <v>32.358660130718953</v>
      </c>
      <c r="N2948" t="s">
        <v>8</v>
      </c>
      <c r="O2948" t="s">
        <v>1073</v>
      </c>
      <c r="P2948" t="s">
        <v>73</v>
      </c>
      <c r="Q2948" t="s">
        <v>30</v>
      </c>
      <c r="R2948" t="s">
        <v>60</v>
      </c>
      <c r="S2948" t="s">
        <v>61</v>
      </c>
      <c r="T2948" t="s">
        <v>1074</v>
      </c>
      <c r="U2948" t="s">
        <v>34</v>
      </c>
      <c r="V2948">
        <v>495.08749999999998</v>
      </c>
    </row>
    <row r="2949" spans="1:22" x14ac:dyDescent="0.3">
      <c r="A2949" t="s">
        <v>4409</v>
      </c>
      <c r="B2949" s="2">
        <v>46091</v>
      </c>
      <c r="C2949" t="s">
        <v>1414</v>
      </c>
      <c r="D2949" t="s">
        <v>49</v>
      </c>
      <c r="E2949" t="s">
        <v>119</v>
      </c>
      <c r="F2949">
        <v>3</v>
      </c>
      <c r="G2949">
        <v>0.2</v>
      </c>
      <c r="H2949">
        <v>21600</v>
      </c>
      <c r="I2949">
        <v>2903.51</v>
      </c>
      <c r="J2949" t="s">
        <v>26</v>
      </c>
      <c r="K2949" t="s">
        <v>40</v>
      </c>
      <c r="L2949">
        <v>7200</v>
      </c>
      <c r="M2949">
        <v>13.44217592592593</v>
      </c>
      <c r="N2949" t="s">
        <v>8</v>
      </c>
      <c r="O2949" t="s">
        <v>166</v>
      </c>
      <c r="P2949" t="s">
        <v>29</v>
      </c>
      <c r="Q2949" t="s">
        <v>30</v>
      </c>
      <c r="R2949" t="s">
        <v>31</v>
      </c>
      <c r="S2949" t="s">
        <v>32</v>
      </c>
      <c r="T2949" t="s">
        <v>1415</v>
      </c>
      <c r="U2949" t="s">
        <v>46</v>
      </c>
      <c r="V2949">
        <v>967.8366666666667</v>
      </c>
    </row>
    <row r="2950" spans="1:22" x14ac:dyDescent="0.3">
      <c r="A2950" t="s">
        <v>4410</v>
      </c>
      <c r="B2950" s="2">
        <v>46116</v>
      </c>
      <c r="C2950" t="s">
        <v>1285</v>
      </c>
      <c r="D2950" t="s">
        <v>49</v>
      </c>
      <c r="E2950" t="s">
        <v>119</v>
      </c>
      <c r="F2950">
        <v>15</v>
      </c>
      <c r="G2950">
        <v>0.1</v>
      </c>
      <c r="H2950">
        <v>121500</v>
      </c>
      <c r="I2950">
        <v>26579.08</v>
      </c>
      <c r="J2950" t="s">
        <v>39</v>
      </c>
      <c r="K2950" t="s">
        <v>40</v>
      </c>
      <c r="L2950">
        <v>8100</v>
      </c>
      <c r="M2950">
        <v>21.87578600823046</v>
      </c>
      <c r="N2950" t="s">
        <v>8</v>
      </c>
      <c r="O2950" t="s">
        <v>1286</v>
      </c>
      <c r="P2950" t="s">
        <v>29</v>
      </c>
      <c r="Q2950" t="s">
        <v>74</v>
      </c>
      <c r="R2950" t="s">
        <v>493</v>
      </c>
      <c r="S2950" t="s">
        <v>494</v>
      </c>
      <c r="T2950" t="s">
        <v>1287</v>
      </c>
      <c r="U2950" t="s">
        <v>46</v>
      </c>
      <c r="V2950">
        <v>1771.9386666666669</v>
      </c>
    </row>
    <row r="2951" spans="1:22" x14ac:dyDescent="0.3">
      <c r="A2951" t="s">
        <v>4411</v>
      </c>
      <c r="B2951" s="2">
        <v>45944</v>
      </c>
      <c r="C2951" t="s">
        <v>457</v>
      </c>
      <c r="D2951" t="s">
        <v>37</v>
      </c>
      <c r="E2951" t="s">
        <v>310</v>
      </c>
      <c r="F2951">
        <v>1</v>
      </c>
      <c r="G2951">
        <v>0.05</v>
      </c>
      <c r="H2951">
        <v>2090</v>
      </c>
      <c r="I2951">
        <v>696.4</v>
      </c>
      <c r="J2951" t="s">
        <v>65</v>
      </c>
      <c r="K2951" t="s">
        <v>40</v>
      </c>
      <c r="L2951">
        <v>2090</v>
      </c>
      <c r="M2951">
        <v>33.320574162679421</v>
      </c>
      <c r="N2951" t="s">
        <v>8</v>
      </c>
      <c r="O2951" t="s">
        <v>458</v>
      </c>
      <c r="P2951" t="s">
        <v>73</v>
      </c>
      <c r="Q2951" t="s">
        <v>30</v>
      </c>
      <c r="R2951" t="s">
        <v>60</v>
      </c>
      <c r="S2951" t="s">
        <v>61</v>
      </c>
      <c r="T2951" t="s">
        <v>459</v>
      </c>
      <c r="U2951" t="s">
        <v>34</v>
      </c>
      <c r="V2951">
        <v>696.4</v>
      </c>
    </row>
    <row r="2952" spans="1:22" x14ac:dyDescent="0.3">
      <c r="A2952" t="s">
        <v>4412</v>
      </c>
      <c r="B2952" s="2">
        <v>46184</v>
      </c>
      <c r="C2952" t="s">
        <v>962</v>
      </c>
      <c r="D2952" t="s">
        <v>24</v>
      </c>
      <c r="E2952" t="s">
        <v>87</v>
      </c>
      <c r="F2952">
        <v>15</v>
      </c>
      <c r="G2952">
        <v>0</v>
      </c>
      <c r="H2952">
        <v>5250</v>
      </c>
      <c r="I2952">
        <v>1800</v>
      </c>
      <c r="J2952" t="s">
        <v>26</v>
      </c>
      <c r="K2952" t="s">
        <v>40</v>
      </c>
      <c r="L2952">
        <v>350</v>
      </c>
      <c r="M2952">
        <v>34.285714285714278</v>
      </c>
      <c r="N2952" t="s">
        <v>8</v>
      </c>
      <c r="O2952" t="s">
        <v>963</v>
      </c>
      <c r="P2952" t="s">
        <v>29</v>
      </c>
      <c r="Q2952" t="s">
        <v>42</v>
      </c>
      <c r="R2952" t="s">
        <v>214</v>
      </c>
      <c r="S2952" t="s">
        <v>111</v>
      </c>
      <c r="T2952" t="s">
        <v>964</v>
      </c>
      <c r="U2952" t="s">
        <v>100</v>
      </c>
      <c r="V2952">
        <v>120</v>
      </c>
    </row>
    <row r="2953" spans="1:22" x14ac:dyDescent="0.3">
      <c r="A2953" t="s">
        <v>4413</v>
      </c>
      <c r="B2953" s="2">
        <v>46045</v>
      </c>
      <c r="C2953" t="s">
        <v>2610</v>
      </c>
      <c r="D2953" t="s">
        <v>24</v>
      </c>
      <c r="E2953" t="s">
        <v>92</v>
      </c>
      <c r="F2953">
        <v>2</v>
      </c>
      <c r="G2953">
        <v>0.2</v>
      </c>
      <c r="H2953">
        <v>1440</v>
      </c>
      <c r="I2953">
        <v>346.44</v>
      </c>
      <c r="J2953" t="s">
        <v>51</v>
      </c>
      <c r="K2953" t="s">
        <v>40</v>
      </c>
      <c r="L2953">
        <v>720</v>
      </c>
      <c r="M2953">
        <v>24.05833333333333</v>
      </c>
      <c r="N2953" t="s">
        <v>8</v>
      </c>
      <c r="O2953" t="s">
        <v>209</v>
      </c>
      <c r="P2953" t="s">
        <v>29</v>
      </c>
      <c r="Q2953" t="s">
        <v>42</v>
      </c>
      <c r="R2953" t="s">
        <v>110</v>
      </c>
      <c r="S2953" t="s">
        <v>111</v>
      </c>
      <c r="T2953" t="s">
        <v>2611</v>
      </c>
      <c r="U2953" t="s">
        <v>100</v>
      </c>
      <c r="V2953">
        <v>173.22</v>
      </c>
    </row>
    <row r="2954" spans="1:22" x14ac:dyDescent="0.3">
      <c r="A2954" t="s">
        <v>4414</v>
      </c>
      <c r="B2954" s="2">
        <v>45912</v>
      </c>
      <c r="C2954" t="s">
        <v>1185</v>
      </c>
      <c r="D2954" t="s">
        <v>24</v>
      </c>
      <c r="E2954" t="s">
        <v>242</v>
      </c>
      <c r="F2954">
        <v>5</v>
      </c>
      <c r="G2954">
        <v>0.1</v>
      </c>
      <c r="H2954">
        <v>2025</v>
      </c>
      <c r="I2954">
        <v>-561.94000000000005</v>
      </c>
      <c r="J2954" t="s">
        <v>65</v>
      </c>
      <c r="K2954" t="s">
        <v>80</v>
      </c>
      <c r="L2954">
        <v>405</v>
      </c>
      <c r="M2954">
        <v>-27.750123456790131</v>
      </c>
      <c r="N2954" t="s">
        <v>81</v>
      </c>
      <c r="O2954" t="s">
        <v>280</v>
      </c>
      <c r="P2954" t="s">
        <v>83</v>
      </c>
      <c r="Q2954" t="s">
        <v>131</v>
      </c>
      <c r="R2954" t="s">
        <v>200</v>
      </c>
      <c r="S2954" t="s">
        <v>201</v>
      </c>
      <c r="T2954" t="s">
        <v>319</v>
      </c>
      <c r="U2954" t="s">
        <v>46</v>
      </c>
      <c r="V2954">
        <v>-112.38800000000001</v>
      </c>
    </row>
    <row r="2955" spans="1:22" x14ac:dyDescent="0.3">
      <c r="A2955" t="s">
        <v>4415</v>
      </c>
      <c r="B2955" s="2">
        <v>45907</v>
      </c>
      <c r="C2955" t="s">
        <v>2197</v>
      </c>
      <c r="D2955" t="s">
        <v>24</v>
      </c>
      <c r="E2955" t="s">
        <v>25</v>
      </c>
      <c r="F2955">
        <v>3</v>
      </c>
      <c r="G2955">
        <v>0.2</v>
      </c>
      <c r="H2955">
        <v>33600</v>
      </c>
      <c r="I2955">
        <v>-18868.919999999998</v>
      </c>
      <c r="J2955" t="s">
        <v>39</v>
      </c>
      <c r="K2955" t="s">
        <v>80</v>
      </c>
      <c r="L2955">
        <v>11200</v>
      </c>
      <c r="M2955">
        <v>-56.157499999999992</v>
      </c>
      <c r="N2955" t="s">
        <v>81</v>
      </c>
      <c r="O2955" t="s">
        <v>2027</v>
      </c>
      <c r="P2955" t="s">
        <v>29</v>
      </c>
      <c r="Q2955" t="s">
        <v>74</v>
      </c>
      <c r="R2955" t="s">
        <v>493</v>
      </c>
      <c r="S2955" t="s">
        <v>494</v>
      </c>
      <c r="T2955" t="s">
        <v>2198</v>
      </c>
      <c r="U2955" t="s">
        <v>34</v>
      </c>
      <c r="V2955">
        <v>-6289.6399999999994</v>
      </c>
    </row>
    <row r="2956" spans="1:22" x14ac:dyDescent="0.3">
      <c r="A2956" t="s">
        <v>4416</v>
      </c>
      <c r="B2956" s="2">
        <v>46134</v>
      </c>
      <c r="C2956" t="s">
        <v>921</v>
      </c>
      <c r="D2956" t="s">
        <v>49</v>
      </c>
      <c r="E2956" t="s">
        <v>50</v>
      </c>
      <c r="F2956">
        <v>2</v>
      </c>
      <c r="G2956">
        <v>0.3</v>
      </c>
      <c r="H2956">
        <v>18200</v>
      </c>
      <c r="I2956">
        <v>2548.34</v>
      </c>
      <c r="J2956" t="s">
        <v>26</v>
      </c>
      <c r="K2956" t="s">
        <v>27</v>
      </c>
      <c r="L2956">
        <v>9100</v>
      </c>
      <c r="M2956">
        <v>14.001868131868131</v>
      </c>
      <c r="N2956" t="s">
        <v>8</v>
      </c>
      <c r="O2956" t="s">
        <v>922</v>
      </c>
      <c r="P2956" t="s">
        <v>29</v>
      </c>
      <c r="Q2956" t="s">
        <v>30</v>
      </c>
      <c r="R2956" t="s">
        <v>53</v>
      </c>
      <c r="S2956" t="s">
        <v>54</v>
      </c>
      <c r="T2956" t="s">
        <v>923</v>
      </c>
      <c r="U2956" t="s">
        <v>105</v>
      </c>
      <c r="V2956">
        <v>1274.17</v>
      </c>
    </row>
    <row r="2957" spans="1:22" x14ac:dyDescent="0.3">
      <c r="A2957" t="s">
        <v>4417</v>
      </c>
      <c r="B2957" s="2">
        <v>46173</v>
      </c>
      <c r="C2957" t="s">
        <v>433</v>
      </c>
      <c r="D2957" t="s">
        <v>70</v>
      </c>
      <c r="E2957" t="s">
        <v>165</v>
      </c>
      <c r="F2957">
        <v>1</v>
      </c>
      <c r="G2957">
        <v>0.15</v>
      </c>
      <c r="H2957">
        <v>2125</v>
      </c>
      <c r="I2957">
        <v>483.96</v>
      </c>
      <c r="J2957" t="s">
        <v>26</v>
      </c>
      <c r="K2957" t="s">
        <v>40</v>
      </c>
      <c r="L2957">
        <v>2125</v>
      </c>
      <c r="M2957">
        <v>22.774588235294111</v>
      </c>
      <c r="N2957" t="s">
        <v>8</v>
      </c>
      <c r="O2957" t="s">
        <v>435</v>
      </c>
      <c r="P2957" t="s">
        <v>73</v>
      </c>
      <c r="Q2957" t="s">
        <v>42</v>
      </c>
      <c r="R2957" t="s">
        <v>214</v>
      </c>
      <c r="S2957" t="s">
        <v>111</v>
      </c>
      <c r="T2957" t="s">
        <v>436</v>
      </c>
      <c r="U2957" t="s">
        <v>46</v>
      </c>
      <c r="V2957">
        <v>483.96</v>
      </c>
    </row>
    <row r="2958" spans="1:22" x14ac:dyDescent="0.3">
      <c r="A2958" t="s">
        <v>4418</v>
      </c>
      <c r="B2958" s="2">
        <v>46134</v>
      </c>
      <c r="C2958" t="s">
        <v>381</v>
      </c>
      <c r="D2958" t="s">
        <v>37</v>
      </c>
      <c r="E2958" t="s">
        <v>38</v>
      </c>
      <c r="F2958">
        <v>1</v>
      </c>
      <c r="G2958">
        <v>0</v>
      </c>
      <c r="H2958">
        <v>1800</v>
      </c>
      <c r="I2958">
        <v>650</v>
      </c>
      <c r="J2958" t="s">
        <v>39</v>
      </c>
      <c r="K2958" t="s">
        <v>40</v>
      </c>
      <c r="L2958">
        <v>1800</v>
      </c>
      <c r="M2958">
        <v>36.111111111111107</v>
      </c>
      <c r="N2958" t="s">
        <v>8</v>
      </c>
      <c r="O2958" t="s">
        <v>382</v>
      </c>
      <c r="P2958" t="s">
        <v>73</v>
      </c>
      <c r="Q2958" t="s">
        <v>30</v>
      </c>
      <c r="R2958" t="s">
        <v>98</v>
      </c>
      <c r="S2958" t="s">
        <v>54</v>
      </c>
      <c r="T2958" t="s">
        <v>383</v>
      </c>
      <c r="U2958" t="s">
        <v>100</v>
      </c>
      <c r="V2958">
        <v>650</v>
      </c>
    </row>
    <row r="2959" spans="1:22" x14ac:dyDescent="0.3">
      <c r="A2959" t="s">
        <v>4419</v>
      </c>
      <c r="B2959" s="2">
        <v>46163</v>
      </c>
      <c r="C2959" t="s">
        <v>2021</v>
      </c>
      <c r="D2959" t="s">
        <v>24</v>
      </c>
      <c r="E2959" t="s">
        <v>87</v>
      </c>
      <c r="F2959">
        <v>6</v>
      </c>
      <c r="G2959">
        <v>0.1</v>
      </c>
      <c r="H2959">
        <v>1890</v>
      </c>
      <c r="I2959">
        <v>588.21</v>
      </c>
      <c r="J2959" t="s">
        <v>65</v>
      </c>
      <c r="K2959" t="s">
        <v>40</v>
      </c>
      <c r="L2959">
        <v>315</v>
      </c>
      <c r="M2959">
        <v>31.12222222222222</v>
      </c>
      <c r="N2959" t="s">
        <v>8</v>
      </c>
      <c r="O2959" t="s">
        <v>2022</v>
      </c>
      <c r="P2959" t="s">
        <v>83</v>
      </c>
      <c r="Q2959" t="s">
        <v>74</v>
      </c>
      <c r="R2959" t="s">
        <v>75</v>
      </c>
      <c r="S2959" t="s">
        <v>75</v>
      </c>
      <c r="T2959" t="s">
        <v>2023</v>
      </c>
      <c r="U2959" t="s">
        <v>100</v>
      </c>
      <c r="V2959">
        <v>98.035000000000011</v>
      </c>
    </row>
    <row r="2960" spans="1:22" x14ac:dyDescent="0.3">
      <c r="A2960" t="s">
        <v>4420</v>
      </c>
      <c r="B2960" s="2">
        <v>46182</v>
      </c>
      <c r="C2960" t="s">
        <v>625</v>
      </c>
      <c r="D2960" t="s">
        <v>24</v>
      </c>
      <c r="E2960" t="s">
        <v>87</v>
      </c>
      <c r="F2960">
        <v>2</v>
      </c>
      <c r="G2960">
        <v>0.2</v>
      </c>
      <c r="H2960">
        <v>560</v>
      </c>
      <c r="I2960">
        <v>143.21</v>
      </c>
      <c r="J2960" t="s">
        <v>51</v>
      </c>
      <c r="K2960" t="s">
        <v>40</v>
      </c>
      <c r="L2960">
        <v>280</v>
      </c>
      <c r="M2960">
        <v>25.57321428571429</v>
      </c>
      <c r="N2960" t="s">
        <v>8</v>
      </c>
      <c r="O2960" t="s">
        <v>626</v>
      </c>
      <c r="P2960" t="s">
        <v>29</v>
      </c>
      <c r="Q2960" t="s">
        <v>30</v>
      </c>
      <c r="R2960" t="s">
        <v>53</v>
      </c>
      <c r="S2960" t="s">
        <v>54</v>
      </c>
      <c r="T2960" t="s">
        <v>627</v>
      </c>
      <c r="U2960" t="s">
        <v>105</v>
      </c>
      <c r="V2960">
        <v>71.605000000000004</v>
      </c>
    </row>
    <row r="2961" spans="1:22" x14ac:dyDescent="0.3">
      <c r="A2961" t="s">
        <v>4421</v>
      </c>
      <c r="B2961" s="2">
        <v>46113</v>
      </c>
      <c r="C2961" t="s">
        <v>348</v>
      </c>
      <c r="D2961" t="s">
        <v>70</v>
      </c>
      <c r="E2961" t="s">
        <v>165</v>
      </c>
      <c r="F2961">
        <v>3</v>
      </c>
      <c r="G2961">
        <v>0.2</v>
      </c>
      <c r="H2961">
        <v>6000</v>
      </c>
      <c r="I2961">
        <v>-423.74</v>
      </c>
      <c r="J2961" t="s">
        <v>51</v>
      </c>
      <c r="K2961" t="s">
        <v>80</v>
      </c>
      <c r="L2961">
        <v>2000</v>
      </c>
      <c r="M2961">
        <v>-7.0623333333333331</v>
      </c>
      <c r="N2961" t="s">
        <v>81</v>
      </c>
      <c r="O2961" t="s">
        <v>349</v>
      </c>
      <c r="P2961" t="s">
        <v>83</v>
      </c>
      <c r="Q2961" t="s">
        <v>30</v>
      </c>
      <c r="R2961" t="s">
        <v>31</v>
      </c>
      <c r="S2961" t="s">
        <v>32</v>
      </c>
      <c r="T2961" t="s">
        <v>307</v>
      </c>
      <c r="U2961" t="s">
        <v>100</v>
      </c>
      <c r="V2961">
        <v>-141.2466666666667</v>
      </c>
    </row>
    <row r="2962" spans="1:22" x14ac:dyDescent="0.3">
      <c r="A2962" t="s">
        <v>4422</v>
      </c>
      <c r="B2962" s="2">
        <v>46035</v>
      </c>
      <c r="C2962" t="s">
        <v>4423</v>
      </c>
      <c r="D2962" t="s">
        <v>49</v>
      </c>
      <c r="E2962" t="s">
        <v>50</v>
      </c>
      <c r="F2962">
        <v>4</v>
      </c>
      <c r="G2962">
        <v>0.15</v>
      </c>
      <c r="H2962">
        <v>44200</v>
      </c>
      <c r="I2962">
        <v>7306.14</v>
      </c>
      <c r="J2962" t="s">
        <v>39</v>
      </c>
      <c r="K2962" t="s">
        <v>40</v>
      </c>
      <c r="L2962">
        <v>11050</v>
      </c>
      <c r="M2962">
        <v>16.529728506787329</v>
      </c>
      <c r="N2962" t="s">
        <v>8</v>
      </c>
      <c r="O2962" t="s">
        <v>329</v>
      </c>
      <c r="P2962" t="s">
        <v>29</v>
      </c>
      <c r="Q2962" t="s">
        <v>42</v>
      </c>
      <c r="R2962" t="s">
        <v>43</v>
      </c>
      <c r="S2962" t="s">
        <v>44</v>
      </c>
      <c r="T2962" t="s">
        <v>1561</v>
      </c>
      <c r="U2962" t="s">
        <v>105</v>
      </c>
      <c r="V2962">
        <v>1826.5350000000001</v>
      </c>
    </row>
    <row r="2963" spans="1:22" x14ac:dyDescent="0.3">
      <c r="A2963" t="s">
        <v>4424</v>
      </c>
      <c r="B2963" s="2">
        <v>46008</v>
      </c>
      <c r="C2963" t="s">
        <v>3313</v>
      </c>
      <c r="D2963" t="s">
        <v>70</v>
      </c>
      <c r="E2963" t="s">
        <v>108</v>
      </c>
      <c r="F2963">
        <v>1</v>
      </c>
      <c r="G2963">
        <v>0</v>
      </c>
      <c r="H2963">
        <v>4500</v>
      </c>
      <c r="I2963">
        <v>1500</v>
      </c>
      <c r="J2963" t="s">
        <v>26</v>
      </c>
      <c r="K2963" t="s">
        <v>27</v>
      </c>
      <c r="L2963">
        <v>4500</v>
      </c>
      <c r="M2963">
        <v>33.333333333333329</v>
      </c>
      <c r="N2963" t="s">
        <v>8</v>
      </c>
      <c r="O2963" t="s">
        <v>3314</v>
      </c>
      <c r="P2963" t="s">
        <v>29</v>
      </c>
      <c r="Q2963" t="s">
        <v>42</v>
      </c>
      <c r="R2963" t="s">
        <v>121</v>
      </c>
      <c r="S2963" t="s">
        <v>44</v>
      </c>
      <c r="T2963" t="s">
        <v>3315</v>
      </c>
      <c r="U2963" t="s">
        <v>105</v>
      </c>
      <c r="V2963">
        <v>1500</v>
      </c>
    </row>
    <row r="2964" spans="1:22" x14ac:dyDescent="0.3">
      <c r="A2964" t="s">
        <v>4425</v>
      </c>
      <c r="B2964" s="2">
        <v>46194</v>
      </c>
      <c r="C2964" t="s">
        <v>152</v>
      </c>
      <c r="D2964" t="s">
        <v>70</v>
      </c>
      <c r="E2964" t="s">
        <v>108</v>
      </c>
      <c r="F2964">
        <v>3</v>
      </c>
      <c r="G2964">
        <v>0.1</v>
      </c>
      <c r="H2964">
        <v>12150</v>
      </c>
      <c r="I2964">
        <v>3367.65</v>
      </c>
      <c r="J2964" t="s">
        <v>51</v>
      </c>
      <c r="K2964" t="s">
        <v>40</v>
      </c>
      <c r="L2964">
        <v>4050</v>
      </c>
      <c r="M2964">
        <v>27.717283950617279</v>
      </c>
      <c r="N2964" t="s">
        <v>8</v>
      </c>
      <c r="O2964" t="s">
        <v>153</v>
      </c>
      <c r="P2964" t="s">
        <v>83</v>
      </c>
      <c r="Q2964" t="s">
        <v>30</v>
      </c>
      <c r="R2964" t="s">
        <v>53</v>
      </c>
      <c r="S2964" t="s">
        <v>54</v>
      </c>
      <c r="T2964" t="s">
        <v>154</v>
      </c>
      <c r="U2964" t="s">
        <v>100</v>
      </c>
      <c r="V2964">
        <v>1122.55</v>
      </c>
    </row>
    <row r="2965" spans="1:22" x14ac:dyDescent="0.3">
      <c r="A2965" t="s">
        <v>4426</v>
      </c>
      <c r="B2965" s="2">
        <v>46039</v>
      </c>
      <c r="C2965" t="s">
        <v>1210</v>
      </c>
      <c r="D2965" t="s">
        <v>24</v>
      </c>
      <c r="E2965" t="s">
        <v>25</v>
      </c>
      <c r="F2965">
        <v>1</v>
      </c>
      <c r="G2965">
        <v>0.15</v>
      </c>
      <c r="H2965">
        <v>11900</v>
      </c>
      <c r="I2965">
        <v>1673.81</v>
      </c>
      <c r="J2965" t="s">
        <v>39</v>
      </c>
      <c r="K2965" t="s">
        <v>40</v>
      </c>
      <c r="L2965">
        <v>11900</v>
      </c>
      <c r="M2965">
        <v>14.06563025210084</v>
      </c>
      <c r="N2965" t="s">
        <v>8</v>
      </c>
      <c r="O2965" t="s">
        <v>1190</v>
      </c>
      <c r="P2965" t="s">
        <v>73</v>
      </c>
      <c r="Q2965" t="s">
        <v>30</v>
      </c>
      <c r="R2965" t="s">
        <v>31</v>
      </c>
      <c r="S2965" t="s">
        <v>32</v>
      </c>
      <c r="T2965" t="s">
        <v>1211</v>
      </c>
      <c r="U2965" t="s">
        <v>46</v>
      </c>
      <c r="V2965">
        <v>1673.81</v>
      </c>
    </row>
    <row r="2966" spans="1:22" x14ac:dyDescent="0.3">
      <c r="A2966" t="s">
        <v>4427</v>
      </c>
      <c r="B2966" s="2">
        <v>46178</v>
      </c>
      <c r="C2966" t="s">
        <v>1324</v>
      </c>
      <c r="D2966" t="s">
        <v>37</v>
      </c>
      <c r="E2966" t="s">
        <v>310</v>
      </c>
      <c r="F2966">
        <v>2</v>
      </c>
      <c r="G2966">
        <v>0</v>
      </c>
      <c r="H2966">
        <v>4400</v>
      </c>
      <c r="I2966">
        <v>1500</v>
      </c>
      <c r="J2966" t="s">
        <v>39</v>
      </c>
      <c r="K2966" t="s">
        <v>27</v>
      </c>
      <c r="L2966">
        <v>2200</v>
      </c>
      <c r="M2966">
        <v>34.090909090909093</v>
      </c>
      <c r="N2966" t="s">
        <v>8</v>
      </c>
      <c r="O2966" t="s">
        <v>1325</v>
      </c>
      <c r="P2966" t="s">
        <v>83</v>
      </c>
      <c r="Q2966" t="s">
        <v>74</v>
      </c>
      <c r="R2966" t="s">
        <v>115</v>
      </c>
      <c r="S2966" t="s">
        <v>115</v>
      </c>
      <c r="T2966" t="s">
        <v>1326</v>
      </c>
      <c r="U2966" t="s">
        <v>34</v>
      </c>
      <c r="V2966">
        <v>750</v>
      </c>
    </row>
    <row r="2967" spans="1:22" x14ac:dyDescent="0.3">
      <c r="A2967" t="s">
        <v>4428</v>
      </c>
      <c r="B2967" s="2">
        <v>46089</v>
      </c>
      <c r="C2967" t="s">
        <v>174</v>
      </c>
      <c r="D2967" t="s">
        <v>70</v>
      </c>
      <c r="E2967" t="s">
        <v>129</v>
      </c>
      <c r="F2967">
        <v>1</v>
      </c>
      <c r="G2967">
        <v>0.1</v>
      </c>
      <c r="H2967">
        <v>49500</v>
      </c>
      <c r="I2967">
        <v>4644.87</v>
      </c>
      <c r="J2967" t="s">
        <v>51</v>
      </c>
      <c r="K2967" t="s">
        <v>27</v>
      </c>
      <c r="L2967">
        <v>49500</v>
      </c>
      <c r="M2967">
        <v>9.3835757575757572</v>
      </c>
      <c r="N2967" t="s">
        <v>8</v>
      </c>
      <c r="O2967" t="s">
        <v>175</v>
      </c>
      <c r="P2967" t="s">
        <v>29</v>
      </c>
      <c r="Q2967" t="s">
        <v>30</v>
      </c>
      <c r="R2967" t="s">
        <v>53</v>
      </c>
      <c r="S2967" t="s">
        <v>54</v>
      </c>
      <c r="T2967" t="s">
        <v>176</v>
      </c>
      <c r="U2967" t="s">
        <v>34</v>
      </c>
      <c r="V2967">
        <v>4644.87</v>
      </c>
    </row>
    <row r="2968" spans="1:22" x14ac:dyDescent="0.3">
      <c r="A2968" t="s">
        <v>4429</v>
      </c>
      <c r="B2968" s="2">
        <v>45954</v>
      </c>
      <c r="C2968" t="s">
        <v>1417</v>
      </c>
      <c r="D2968" t="s">
        <v>24</v>
      </c>
      <c r="E2968" t="s">
        <v>25</v>
      </c>
      <c r="F2968">
        <v>2</v>
      </c>
      <c r="G2968">
        <v>0.1</v>
      </c>
      <c r="H2968">
        <v>25200</v>
      </c>
      <c r="I2968">
        <v>4038.44</v>
      </c>
      <c r="J2968" t="s">
        <v>26</v>
      </c>
      <c r="K2968" t="s">
        <v>40</v>
      </c>
      <c r="L2968">
        <v>12600</v>
      </c>
      <c r="M2968">
        <v>16.02555555555556</v>
      </c>
      <c r="N2968" t="s">
        <v>8</v>
      </c>
      <c r="O2968" t="s">
        <v>448</v>
      </c>
      <c r="P2968" t="s">
        <v>83</v>
      </c>
      <c r="Q2968" t="s">
        <v>131</v>
      </c>
      <c r="R2968" t="s">
        <v>449</v>
      </c>
      <c r="S2968" t="s">
        <v>450</v>
      </c>
      <c r="T2968" t="s">
        <v>1418</v>
      </c>
      <c r="U2968" t="s">
        <v>34</v>
      </c>
      <c r="V2968">
        <v>2019.22</v>
      </c>
    </row>
    <row r="2969" spans="1:22" x14ac:dyDescent="0.3">
      <c r="A2969" t="s">
        <v>4430</v>
      </c>
      <c r="B2969" s="2">
        <v>46204</v>
      </c>
      <c r="C2969" t="s">
        <v>570</v>
      </c>
      <c r="D2969" t="s">
        <v>24</v>
      </c>
      <c r="E2969" t="s">
        <v>242</v>
      </c>
      <c r="F2969">
        <v>2</v>
      </c>
      <c r="G2969">
        <v>0.05</v>
      </c>
      <c r="H2969">
        <v>855</v>
      </c>
      <c r="I2969">
        <v>184.28</v>
      </c>
      <c r="J2969" t="s">
        <v>39</v>
      </c>
      <c r="K2969" t="s">
        <v>27</v>
      </c>
      <c r="L2969">
        <v>427.5</v>
      </c>
      <c r="M2969">
        <v>21.553216374269009</v>
      </c>
      <c r="N2969" t="s">
        <v>8</v>
      </c>
      <c r="O2969" t="s">
        <v>571</v>
      </c>
      <c r="P2969" t="s">
        <v>29</v>
      </c>
      <c r="Q2969" t="s">
        <v>30</v>
      </c>
      <c r="R2969" t="s">
        <v>31</v>
      </c>
      <c r="S2969" t="s">
        <v>32</v>
      </c>
      <c r="T2969" t="s">
        <v>572</v>
      </c>
      <c r="U2969" t="s">
        <v>100</v>
      </c>
      <c r="V2969">
        <v>92.14</v>
      </c>
    </row>
    <row r="2970" spans="1:22" x14ac:dyDescent="0.3">
      <c r="A2970" t="s">
        <v>4431</v>
      </c>
      <c r="B2970" s="2">
        <v>46101</v>
      </c>
      <c r="C2970" t="s">
        <v>381</v>
      </c>
      <c r="D2970" t="s">
        <v>24</v>
      </c>
      <c r="E2970" t="s">
        <v>92</v>
      </c>
      <c r="F2970">
        <v>10</v>
      </c>
      <c r="G2970">
        <v>0.15</v>
      </c>
      <c r="H2970">
        <v>7650</v>
      </c>
      <c r="I2970">
        <v>2078.36</v>
      </c>
      <c r="J2970" t="s">
        <v>51</v>
      </c>
      <c r="K2970" t="s">
        <v>27</v>
      </c>
      <c r="L2970">
        <v>765</v>
      </c>
      <c r="M2970">
        <v>27.168104575163401</v>
      </c>
      <c r="N2970" t="s">
        <v>8</v>
      </c>
      <c r="O2970" t="s">
        <v>382</v>
      </c>
      <c r="P2970" t="s">
        <v>73</v>
      </c>
      <c r="Q2970" t="s">
        <v>30</v>
      </c>
      <c r="R2970" t="s">
        <v>98</v>
      </c>
      <c r="S2970" t="s">
        <v>54</v>
      </c>
      <c r="T2970" t="s">
        <v>383</v>
      </c>
      <c r="U2970" t="s">
        <v>100</v>
      </c>
      <c r="V2970">
        <v>207.83600000000001</v>
      </c>
    </row>
    <row r="2971" spans="1:22" x14ac:dyDescent="0.3">
      <c r="A2971" t="s">
        <v>4432</v>
      </c>
      <c r="B2971" s="2">
        <v>45880</v>
      </c>
      <c r="C2971" t="s">
        <v>2756</v>
      </c>
      <c r="D2971" t="s">
        <v>49</v>
      </c>
      <c r="E2971" t="s">
        <v>119</v>
      </c>
      <c r="F2971">
        <v>1</v>
      </c>
      <c r="G2971">
        <v>0.05</v>
      </c>
      <c r="H2971">
        <v>8550</v>
      </c>
      <c r="I2971">
        <v>1953.25</v>
      </c>
      <c r="J2971" t="s">
        <v>65</v>
      </c>
      <c r="K2971" t="s">
        <v>40</v>
      </c>
      <c r="L2971">
        <v>8550</v>
      </c>
      <c r="M2971">
        <v>22.845029239766081</v>
      </c>
      <c r="N2971" t="s">
        <v>8</v>
      </c>
      <c r="O2971" t="s">
        <v>213</v>
      </c>
      <c r="P2971" t="s">
        <v>73</v>
      </c>
      <c r="Q2971" t="s">
        <v>42</v>
      </c>
      <c r="R2971" t="s">
        <v>121</v>
      </c>
      <c r="S2971" t="s">
        <v>44</v>
      </c>
      <c r="T2971" t="s">
        <v>2757</v>
      </c>
      <c r="U2971" t="s">
        <v>105</v>
      </c>
      <c r="V2971">
        <v>1953.25</v>
      </c>
    </row>
    <row r="2972" spans="1:22" x14ac:dyDescent="0.3">
      <c r="A2972" t="s">
        <v>4433</v>
      </c>
      <c r="B2972" s="2">
        <v>46100</v>
      </c>
      <c r="C2972" t="s">
        <v>1262</v>
      </c>
      <c r="D2972" t="s">
        <v>70</v>
      </c>
      <c r="E2972" t="s">
        <v>71</v>
      </c>
      <c r="F2972">
        <v>2</v>
      </c>
      <c r="G2972">
        <v>0.15</v>
      </c>
      <c r="H2972">
        <v>30600</v>
      </c>
      <c r="I2972">
        <v>2670.55</v>
      </c>
      <c r="J2972" t="s">
        <v>39</v>
      </c>
      <c r="K2972" t="s">
        <v>40</v>
      </c>
      <c r="L2972">
        <v>15300</v>
      </c>
      <c r="M2972">
        <v>8.7272875816993469</v>
      </c>
      <c r="N2972" t="s">
        <v>8</v>
      </c>
      <c r="O2972" t="s">
        <v>1263</v>
      </c>
      <c r="P2972" t="s">
        <v>83</v>
      </c>
      <c r="Q2972" t="s">
        <v>30</v>
      </c>
      <c r="R2972" t="s">
        <v>53</v>
      </c>
      <c r="S2972" t="s">
        <v>54</v>
      </c>
      <c r="T2972" t="s">
        <v>1264</v>
      </c>
      <c r="U2972" t="s">
        <v>46</v>
      </c>
      <c r="V2972">
        <v>1335.2750000000001</v>
      </c>
    </row>
    <row r="2973" spans="1:22" x14ac:dyDescent="0.3">
      <c r="A2973" t="s">
        <v>4434</v>
      </c>
      <c r="B2973" s="2">
        <v>46211</v>
      </c>
      <c r="C2973" t="s">
        <v>2673</v>
      </c>
      <c r="D2973" t="s">
        <v>49</v>
      </c>
      <c r="E2973" t="s">
        <v>50</v>
      </c>
      <c r="F2973">
        <v>1</v>
      </c>
      <c r="G2973">
        <v>0.1</v>
      </c>
      <c r="H2973">
        <v>11700</v>
      </c>
      <c r="I2973">
        <v>2390.48</v>
      </c>
      <c r="J2973" t="s">
        <v>39</v>
      </c>
      <c r="K2973" t="s">
        <v>40</v>
      </c>
      <c r="L2973">
        <v>11700</v>
      </c>
      <c r="M2973">
        <v>20.431452991452989</v>
      </c>
      <c r="N2973" t="s">
        <v>8</v>
      </c>
      <c r="O2973" t="s">
        <v>2674</v>
      </c>
      <c r="P2973" t="s">
        <v>73</v>
      </c>
      <c r="Q2973" t="s">
        <v>30</v>
      </c>
      <c r="R2973" t="s">
        <v>98</v>
      </c>
      <c r="S2973" t="s">
        <v>54</v>
      </c>
      <c r="T2973" t="s">
        <v>2675</v>
      </c>
      <c r="U2973" t="s">
        <v>34</v>
      </c>
      <c r="V2973">
        <v>2390.48</v>
      </c>
    </row>
    <row r="2974" spans="1:22" x14ac:dyDescent="0.3">
      <c r="A2974" t="s">
        <v>4435</v>
      </c>
      <c r="B2974" s="2">
        <v>45898</v>
      </c>
      <c r="C2974" t="s">
        <v>1143</v>
      </c>
      <c r="D2974" t="s">
        <v>37</v>
      </c>
      <c r="E2974" t="s">
        <v>170</v>
      </c>
      <c r="F2974">
        <v>5</v>
      </c>
      <c r="G2974">
        <v>0.15</v>
      </c>
      <c r="H2974">
        <v>5950</v>
      </c>
      <c r="I2974">
        <v>1904.94</v>
      </c>
      <c r="J2974" t="s">
        <v>39</v>
      </c>
      <c r="K2974" t="s">
        <v>40</v>
      </c>
      <c r="L2974">
        <v>1190</v>
      </c>
      <c r="M2974">
        <v>32.015798319327729</v>
      </c>
      <c r="N2974" t="s">
        <v>8</v>
      </c>
      <c r="O2974" t="s">
        <v>1144</v>
      </c>
      <c r="P2974" t="s">
        <v>29</v>
      </c>
      <c r="Q2974" t="s">
        <v>30</v>
      </c>
      <c r="R2974" t="s">
        <v>31</v>
      </c>
      <c r="S2974" t="s">
        <v>32</v>
      </c>
      <c r="T2974" t="s">
        <v>1145</v>
      </c>
      <c r="U2974" t="s">
        <v>100</v>
      </c>
      <c r="V2974">
        <v>380.988</v>
      </c>
    </row>
    <row r="2975" spans="1:22" x14ac:dyDescent="0.3">
      <c r="A2975" t="s">
        <v>4436</v>
      </c>
      <c r="B2975" s="2">
        <v>46169</v>
      </c>
      <c r="C2975" t="s">
        <v>846</v>
      </c>
      <c r="D2975" t="s">
        <v>37</v>
      </c>
      <c r="E2975" t="s">
        <v>190</v>
      </c>
      <c r="F2975">
        <v>1</v>
      </c>
      <c r="G2975">
        <v>0.15</v>
      </c>
      <c r="H2975">
        <v>3570</v>
      </c>
      <c r="I2975">
        <v>721.04</v>
      </c>
      <c r="J2975" t="s">
        <v>26</v>
      </c>
      <c r="K2975" t="s">
        <v>40</v>
      </c>
      <c r="L2975">
        <v>3570</v>
      </c>
      <c r="M2975">
        <v>20.19719887955182</v>
      </c>
      <c r="N2975" t="s">
        <v>8</v>
      </c>
      <c r="O2975" t="s">
        <v>847</v>
      </c>
      <c r="P2975" t="s">
        <v>29</v>
      </c>
      <c r="Q2975" t="s">
        <v>30</v>
      </c>
      <c r="R2975" t="s">
        <v>53</v>
      </c>
      <c r="S2975" t="s">
        <v>54</v>
      </c>
      <c r="T2975" t="s">
        <v>848</v>
      </c>
      <c r="U2975" t="s">
        <v>34</v>
      </c>
      <c r="V2975">
        <v>721.04</v>
      </c>
    </row>
    <row r="2976" spans="1:22" x14ac:dyDescent="0.3">
      <c r="A2976" t="s">
        <v>4437</v>
      </c>
      <c r="B2976" s="2">
        <v>46013</v>
      </c>
      <c r="C2976" t="s">
        <v>907</v>
      </c>
      <c r="D2976" t="s">
        <v>24</v>
      </c>
      <c r="E2976" t="s">
        <v>242</v>
      </c>
      <c r="F2976">
        <v>4</v>
      </c>
      <c r="G2976">
        <v>0.2</v>
      </c>
      <c r="H2976">
        <v>1440</v>
      </c>
      <c r="I2976">
        <v>239.34</v>
      </c>
      <c r="J2976" t="s">
        <v>65</v>
      </c>
      <c r="K2976" t="s">
        <v>40</v>
      </c>
      <c r="L2976">
        <v>360</v>
      </c>
      <c r="M2976">
        <v>16.62083333333333</v>
      </c>
      <c r="N2976" t="s">
        <v>8</v>
      </c>
      <c r="O2976" t="s">
        <v>908</v>
      </c>
      <c r="P2976" t="s">
        <v>29</v>
      </c>
      <c r="Q2976" t="s">
        <v>30</v>
      </c>
      <c r="R2976" t="s">
        <v>60</v>
      </c>
      <c r="S2976" t="s">
        <v>61</v>
      </c>
      <c r="T2976" t="s">
        <v>486</v>
      </c>
      <c r="U2976" t="s">
        <v>34</v>
      </c>
      <c r="V2976">
        <v>59.835000000000001</v>
      </c>
    </row>
    <row r="2977" spans="1:22" x14ac:dyDescent="0.3">
      <c r="A2977" t="s">
        <v>4438</v>
      </c>
      <c r="B2977" s="2">
        <v>46205</v>
      </c>
      <c r="C2977" t="s">
        <v>430</v>
      </c>
      <c r="D2977" t="s">
        <v>49</v>
      </c>
      <c r="E2977" t="s">
        <v>58</v>
      </c>
      <c r="F2977">
        <v>1</v>
      </c>
      <c r="G2977">
        <v>0.15</v>
      </c>
      <c r="H2977">
        <v>12750</v>
      </c>
      <c r="I2977">
        <v>2250.73</v>
      </c>
      <c r="J2977" t="s">
        <v>51</v>
      </c>
      <c r="K2977" t="s">
        <v>40</v>
      </c>
      <c r="L2977">
        <v>12750</v>
      </c>
      <c r="M2977">
        <v>17.652784313725491</v>
      </c>
      <c r="N2977" t="s">
        <v>8</v>
      </c>
      <c r="O2977" t="s">
        <v>431</v>
      </c>
      <c r="P2977" t="s">
        <v>29</v>
      </c>
      <c r="Q2977" t="s">
        <v>30</v>
      </c>
      <c r="R2977" t="s">
        <v>53</v>
      </c>
      <c r="S2977" t="s">
        <v>54</v>
      </c>
      <c r="T2977" t="s">
        <v>256</v>
      </c>
      <c r="U2977" t="s">
        <v>46</v>
      </c>
      <c r="V2977">
        <v>2250.73</v>
      </c>
    </row>
    <row r="2978" spans="1:22" x14ac:dyDescent="0.3">
      <c r="A2978" t="s">
        <v>4439</v>
      </c>
      <c r="B2978" s="2">
        <v>45949</v>
      </c>
      <c r="C2978" t="s">
        <v>365</v>
      </c>
      <c r="D2978" t="s">
        <v>24</v>
      </c>
      <c r="E2978" t="s">
        <v>92</v>
      </c>
      <c r="F2978">
        <v>3</v>
      </c>
      <c r="G2978">
        <v>0.05</v>
      </c>
      <c r="H2978">
        <v>2565</v>
      </c>
      <c r="I2978">
        <v>762.17</v>
      </c>
      <c r="J2978" t="s">
        <v>51</v>
      </c>
      <c r="K2978" t="s">
        <v>40</v>
      </c>
      <c r="L2978">
        <v>855</v>
      </c>
      <c r="M2978">
        <v>29.714230019493179</v>
      </c>
      <c r="N2978" t="s">
        <v>8</v>
      </c>
      <c r="O2978" t="s">
        <v>318</v>
      </c>
      <c r="P2978" t="s">
        <v>29</v>
      </c>
      <c r="Q2978" t="s">
        <v>30</v>
      </c>
      <c r="R2978" t="s">
        <v>31</v>
      </c>
      <c r="S2978" t="s">
        <v>32</v>
      </c>
      <c r="T2978" t="s">
        <v>366</v>
      </c>
      <c r="U2978" t="s">
        <v>105</v>
      </c>
      <c r="V2978">
        <v>254.05666666666659</v>
      </c>
    </row>
    <row r="2979" spans="1:22" x14ac:dyDescent="0.3">
      <c r="A2979" t="s">
        <v>4440</v>
      </c>
      <c r="B2979" s="2">
        <v>46255</v>
      </c>
      <c r="C2979" t="s">
        <v>2756</v>
      </c>
      <c r="D2979" t="s">
        <v>70</v>
      </c>
      <c r="E2979" t="s">
        <v>129</v>
      </c>
      <c r="F2979">
        <v>5</v>
      </c>
      <c r="G2979">
        <v>0.15</v>
      </c>
      <c r="H2979">
        <v>233750</v>
      </c>
      <c r="I2979">
        <v>22788.85</v>
      </c>
      <c r="J2979" t="s">
        <v>39</v>
      </c>
      <c r="K2979" t="s">
        <v>40</v>
      </c>
      <c r="L2979">
        <v>46750</v>
      </c>
      <c r="M2979">
        <v>9.7492406417112285</v>
      </c>
      <c r="N2979" t="s">
        <v>8</v>
      </c>
      <c r="O2979" t="s">
        <v>213</v>
      </c>
      <c r="P2979" t="s">
        <v>73</v>
      </c>
      <c r="Q2979" t="s">
        <v>42</v>
      </c>
      <c r="R2979" t="s">
        <v>121</v>
      </c>
      <c r="S2979" t="s">
        <v>44</v>
      </c>
      <c r="T2979" t="s">
        <v>2757</v>
      </c>
      <c r="U2979" t="s">
        <v>105</v>
      </c>
      <c r="V2979">
        <v>4557.7700000000004</v>
      </c>
    </row>
    <row r="2980" spans="1:22" x14ac:dyDescent="0.3">
      <c r="A2980" t="s">
        <v>4441</v>
      </c>
      <c r="B2980" s="2">
        <v>45853</v>
      </c>
      <c r="C2980" t="s">
        <v>401</v>
      </c>
      <c r="D2980" t="s">
        <v>49</v>
      </c>
      <c r="E2980" t="s">
        <v>119</v>
      </c>
      <c r="F2980">
        <v>2</v>
      </c>
      <c r="G2980">
        <v>0.1</v>
      </c>
      <c r="H2980">
        <v>16200</v>
      </c>
      <c r="I2980">
        <v>3408.3</v>
      </c>
      <c r="J2980" t="s">
        <v>51</v>
      </c>
      <c r="K2980" t="s">
        <v>40</v>
      </c>
      <c r="L2980">
        <v>8100</v>
      </c>
      <c r="M2980">
        <v>21.038888888888891</v>
      </c>
      <c r="N2980" t="s">
        <v>8</v>
      </c>
      <c r="O2980" t="s">
        <v>402</v>
      </c>
      <c r="P2980" t="s">
        <v>29</v>
      </c>
      <c r="Q2980" t="s">
        <v>30</v>
      </c>
      <c r="R2980" t="s">
        <v>60</v>
      </c>
      <c r="S2980" t="s">
        <v>61</v>
      </c>
      <c r="T2980" t="s">
        <v>403</v>
      </c>
      <c r="U2980" t="s">
        <v>46</v>
      </c>
      <c r="V2980">
        <v>1704.15</v>
      </c>
    </row>
    <row r="2981" spans="1:22" x14ac:dyDescent="0.3">
      <c r="A2981" t="s">
        <v>4442</v>
      </c>
      <c r="B2981" s="2">
        <v>46233</v>
      </c>
      <c r="C2981" t="s">
        <v>2673</v>
      </c>
      <c r="D2981" t="s">
        <v>49</v>
      </c>
      <c r="E2981" t="s">
        <v>79</v>
      </c>
      <c r="F2981">
        <v>5</v>
      </c>
      <c r="G2981">
        <v>0.1</v>
      </c>
      <c r="H2981">
        <v>49500</v>
      </c>
      <c r="I2981">
        <v>10402.52</v>
      </c>
      <c r="J2981" t="s">
        <v>39</v>
      </c>
      <c r="K2981" t="s">
        <v>40</v>
      </c>
      <c r="L2981">
        <v>9900</v>
      </c>
      <c r="M2981">
        <v>21.015191919191921</v>
      </c>
      <c r="N2981" t="s">
        <v>8</v>
      </c>
      <c r="O2981" t="s">
        <v>2674</v>
      </c>
      <c r="P2981" t="s">
        <v>73</v>
      </c>
      <c r="Q2981" t="s">
        <v>30</v>
      </c>
      <c r="R2981" t="s">
        <v>98</v>
      </c>
      <c r="S2981" t="s">
        <v>54</v>
      </c>
      <c r="T2981" t="s">
        <v>2675</v>
      </c>
      <c r="U2981" t="s">
        <v>34</v>
      </c>
      <c r="V2981">
        <v>2080.5039999999999</v>
      </c>
    </row>
    <row r="2982" spans="1:22" x14ac:dyDescent="0.3">
      <c r="A2982" t="s">
        <v>4443</v>
      </c>
      <c r="B2982" s="2">
        <v>46261</v>
      </c>
      <c r="C2982" t="s">
        <v>2472</v>
      </c>
      <c r="D2982" t="s">
        <v>24</v>
      </c>
      <c r="E2982" t="s">
        <v>92</v>
      </c>
      <c r="F2982">
        <v>5</v>
      </c>
      <c r="G2982">
        <v>0.1</v>
      </c>
      <c r="H2982">
        <v>4050</v>
      </c>
      <c r="I2982">
        <v>1095.45</v>
      </c>
      <c r="J2982" t="s">
        <v>39</v>
      </c>
      <c r="K2982" t="s">
        <v>40</v>
      </c>
      <c r="L2982">
        <v>810</v>
      </c>
      <c r="M2982">
        <v>27.048148148148151</v>
      </c>
      <c r="N2982" t="s">
        <v>8</v>
      </c>
      <c r="O2982" t="s">
        <v>2473</v>
      </c>
      <c r="P2982" t="s">
        <v>73</v>
      </c>
      <c r="Q2982" t="s">
        <v>74</v>
      </c>
      <c r="R2982" t="s">
        <v>115</v>
      </c>
      <c r="S2982" t="s">
        <v>115</v>
      </c>
      <c r="T2982" t="s">
        <v>2474</v>
      </c>
      <c r="U2982" t="s">
        <v>105</v>
      </c>
      <c r="V2982">
        <v>219.09</v>
      </c>
    </row>
    <row r="2983" spans="1:22" x14ac:dyDescent="0.3">
      <c r="A2983" t="s">
        <v>4444</v>
      </c>
      <c r="B2983" s="2">
        <v>46236</v>
      </c>
      <c r="C2983" t="s">
        <v>263</v>
      </c>
      <c r="D2983" t="s">
        <v>70</v>
      </c>
      <c r="E2983" t="s">
        <v>71</v>
      </c>
      <c r="F2983">
        <v>5</v>
      </c>
      <c r="G2983">
        <v>0.15</v>
      </c>
      <c r="H2983">
        <v>76500</v>
      </c>
      <c r="I2983">
        <v>11074.55</v>
      </c>
      <c r="J2983" t="s">
        <v>65</v>
      </c>
      <c r="K2983" t="s">
        <v>40</v>
      </c>
      <c r="L2983">
        <v>15300</v>
      </c>
      <c r="M2983">
        <v>14.476535947712421</v>
      </c>
      <c r="N2983" t="s">
        <v>8</v>
      </c>
      <c r="O2983" t="s">
        <v>265</v>
      </c>
      <c r="P2983" t="s">
        <v>73</v>
      </c>
      <c r="Q2983" t="s">
        <v>30</v>
      </c>
      <c r="R2983" t="s">
        <v>31</v>
      </c>
      <c r="S2983" t="s">
        <v>32</v>
      </c>
      <c r="T2983" t="s">
        <v>266</v>
      </c>
      <c r="U2983" t="s">
        <v>46</v>
      </c>
      <c r="V2983">
        <v>2214.91</v>
      </c>
    </row>
    <row r="2984" spans="1:22" x14ac:dyDescent="0.3">
      <c r="A2984" t="s">
        <v>4445</v>
      </c>
      <c r="B2984" s="2">
        <v>46212</v>
      </c>
      <c r="C2984" t="s">
        <v>365</v>
      </c>
      <c r="D2984" t="s">
        <v>37</v>
      </c>
      <c r="E2984" t="s">
        <v>38</v>
      </c>
      <c r="F2984">
        <v>5</v>
      </c>
      <c r="G2984">
        <v>0.05</v>
      </c>
      <c r="H2984">
        <v>8550</v>
      </c>
      <c r="I2984">
        <v>3017.9</v>
      </c>
      <c r="J2984" t="s">
        <v>39</v>
      </c>
      <c r="K2984" t="s">
        <v>40</v>
      </c>
      <c r="L2984">
        <v>1710</v>
      </c>
      <c r="M2984">
        <v>35.297076023391817</v>
      </c>
      <c r="N2984" t="s">
        <v>8</v>
      </c>
      <c r="O2984" t="s">
        <v>318</v>
      </c>
      <c r="P2984" t="s">
        <v>29</v>
      </c>
      <c r="Q2984" t="s">
        <v>30</v>
      </c>
      <c r="R2984" t="s">
        <v>31</v>
      </c>
      <c r="S2984" t="s">
        <v>32</v>
      </c>
      <c r="T2984" t="s">
        <v>366</v>
      </c>
      <c r="U2984" t="s">
        <v>105</v>
      </c>
      <c r="V2984">
        <v>603.58000000000004</v>
      </c>
    </row>
    <row r="2985" spans="1:22" x14ac:dyDescent="0.3">
      <c r="A2985" t="s">
        <v>4446</v>
      </c>
      <c r="B2985" s="2">
        <v>46249</v>
      </c>
      <c r="C2985" t="s">
        <v>1266</v>
      </c>
      <c r="D2985" t="s">
        <v>24</v>
      </c>
      <c r="E2985" t="s">
        <v>25</v>
      </c>
      <c r="F2985">
        <v>5</v>
      </c>
      <c r="G2985">
        <v>0.05</v>
      </c>
      <c r="H2985">
        <v>66500</v>
      </c>
      <c r="I2985">
        <v>11049.17</v>
      </c>
      <c r="J2985" t="s">
        <v>51</v>
      </c>
      <c r="K2985" t="s">
        <v>40</v>
      </c>
      <c r="L2985">
        <v>13300</v>
      </c>
      <c r="M2985">
        <v>16.61529323308271</v>
      </c>
      <c r="N2985" t="s">
        <v>8</v>
      </c>
      <c r="O2985" t="s">
        <v>518</v>
      </c>
      <c r="P2985" t="s">
        <v>29</v>
      </c>
      <c r="Q2985" t="s">
        <v>74</v>
      </c>
      <c r="R2985" t="s">
        <v>115</v>
      </c>
      <c r="S2985" t="s">
        <v>115</v>
      </c>
      <c r="T2985" t="s">
        <v>1267</v>
      </c>
      <c r="U2985" t="s">
        <v>100</v>
      </c>
      <c r="V2985">
        <v>2209.8339999999998</v>
      </c>
    </row>
    <row r="2986" spans="1:22" x14ac:dyDescent="0.3">
      <c r="A2986" t="s">
        <v>4447</v>
      </c>
      <c r="B2986" s="2">
        <v>46144</v>
      </c>
      <c r="C2986" t="s">
        <v>875</v>
      </c>
      <c r="D2986" t="s">
        <v>24</v>
      </c>
      <c r="E2986" t="s">
        <v>87</v>
      </c>
      <c r="F2986">
        <v>2</v>
      </c>
      <c r="G2986">
        <v>0</v>
      </c>
      <c r="H2986">
        <v>700</v>
      </c>
      <c r="I2986">
        <v>240</v>
      </c>
      <c r="J2986" t="s">
        <v>51</v>
      </c>
      <c r="K2986" t="s">
        <v>40</v>
      </c>
      <c r="L2986">
        <v>350</v>
      </c>
      <c r="M2986">
        <v>34.285714285714278</v>
      </c>
      <c r="N2986" t="s">
        <v>8</v>
      </c>
      <c r="O2986" t="s">
        <v>149</v>
      </c>
      <c r="P2986" t="s">
        <v>73</v>
      </c>
      <c r="Q2986" t="s">
        <v>42</v>
      </c>
      <c r="R2986" t="s">
        <v>214</v>
      </c>
      <c r="S2986" t="s">
        <v>111</v>
      </c>
      <c r="T2986" t="s">
        <v>876</v>
      </c>
      <c r="U2986" t="s">
        <v>100</v>
      </c>
      <c r="V2986">
        <v>120</v>
      </c>
    </row>
    <row r="2987" spans="1:22" x14ac:dyDescent="0.3">
      <c r="A2987" t="s">
        <v>4448</v>
      </c>
      <c r="B2987" s="2">
        <v>46062</v>
      </c>
      <c r="C2987" t="s">
        <v>2177</v>
      </c>
      <c r="D2987" t="s">
        <v>24</v>
      </c>
      <c r="E2987" t="s">
        <v>25</v>
      </c>
      <c r="F2987">
        <v>3</v>
      </c>
      <c r="G2987">
        <v>0.1</v>
      </c>
      <c r="H2987">
        <v>37800</v>
      </c>
      <c r="I2987">
        <v>6362.47</v>
      </c>
      <c r="J2987" t="s">
        <v>65</v>
      </c>
      <c r="K2987" t="s">
        <v>27</v>
      </c>
      <c r="L2987">
        <v>12600</v>
      </c>
      <c r="M2987">
        <v>16.831931216931221</v>
      </c>
      <c r="N2987" t="s">
        <v>8</v>
      </c>
      <c r="O2987" t="s">
        <v>175</v>
      </c>
      <c r="P2987" t="s">
        <v>29</v>
      </c>
      <c r="Q2987" t="s">
        <v>30</v>
      </c>
      <c r="R2987" t="s">
        <v>98</v>
      </c>
      <c r="S2987" t="s">
        <v>54</v>
      </c>
      <c r="T2987" t="s">
        <v>2178</v>
      </c>
      <c r="U2987" t="s">
        <v>46</v>
      </c>
      <c r="V2987">
        <v>2120.8233333333328</v>
      </c>
    </row>
    <row r="2988" spans="1:22" x14ac:dyDescent="0.3">
      <c r="A2988" t="s">
        <v>4449</v>
      </c>
      <c r="B2988" s="2">
        <v>46261</v>
      </c>
      <c r="C2988" t="s">
        <v>1391</v>
      </c>
      <c r="D2988" t="s">
        <v>24</v>
      </c>
      <c r="E2988" t="s">
        <v>92</v>
      </c>
      <c r="F2988">
        <v>1</v>
      </c>
      <c r="G2988">
        <v>0.2</v>
      </c>
      <c r="H2988">
        <v>720</v>
      </c>
      <c r="I2988">
        <v>150.57</v>
      </c>
      <c r="J2988" t="s">
        <v>39</v>
      </c>
      <c r="K2988" t="s">
        <v>40</v>
      </c>
      <c r="L2988">
        <v>720</v>
      </c>
      <c r="M2988">
        <v>20.912500000000001</v>
      </c>
      <c r="N2988" t="s">
        <v>8</v>
      </c>
      <c r="O2988" t="s">
        <v>844</v>
      </c>
      <c r="P2988" t="s">
        <v>29</v>
      </c>
      <c r="Q2988" t="s">
        <v>30</v>
      </c>
      <c r="R2988" t="s">
        <v>60</v>
      </c>
      <c r="S2988" t="s">
        <v>61</v>
      </c>
      <c r="T2988" t="s">
        <v>1392</v>
      </c>
      <c r="U2988" t="s">
        <v>34</v>
      </c>
      <c r="V2988">
        <v>150.57</v>
      </c>
    </row>
    <row r="2989" spans="1:22" x14ac:dyDescent="0.3">
      <c r="A2989" t="s">
        <v>4450</v>
      </c>
      <c r="B2989" s="2">
        <v>45964</v>
      </c>
      <c r="C2989" t="s">
        <v>1420</v>
      </c>
      <c r="D2989" t="s">
        <v>49</v>
      </c>
      <c r="E2989" t="s">
        <v>119</v>
      </c>
      <c r="F2989">
        <v>3</v>
      </c>
      <c r="G2989">
        <v>0</v>
      </c>
      <c r="H2989">
        <v>27000</v>
      </c>
      <c r="I2989">
        <v>6900</v>
      </c>
      <c r="J2989" t="s">
        <v>65</v>
      </c>
      <c r="K2989" t="s">
        <v>40</v>
      </c>
      <c r="L2989">
        <v>9000</v>
      </c>
      <c r="M2989">
        <v>25.55555555555555</v>
      </c>
      <c r="N2989" t="s">
        <v>8</v>
      </c>
      <c r="O2989" t="s">
        <v>369</v>
      </c>
      <c r="P2989" t="s">
        <v>73</v>
      </c>
      <c r="Q2989" t="s">
        <v>30</v>
      </c>
      <c r="R2989" t="s">
        <v>98</v>
      </c>
      <c r="S2989" t="s">
        <v>54</v>
      </c>
      <c r="T2989" t="s">
        <v>1421</v>
      </c>
      <c r="U2989" t="s">
        <v>46</v>
      </c>
      <c r="V2989">
        <v>2300</v>
      </c>
    </row>
    <row r="2990" spans="1:22" x14ac:dyDescent="0.3">
      <c r="A2990" t="s">
        <v>4451</v>
      </c>
      <c r="B2990" s="2">
        <v>45932</v>
      </c>
      <c r="C2990" t="s">
        <v>1185</v>
      </c>
      <c r="D2990" t="s">
        <v>37</v>
      </c>
      <c r="E2990" t="s">
        <v>170</v>
      </c>
      <c r="F2990">
        <v>2</v>
      </c>
      <c r="G2990">
        <v>0.1</v>
      </c>
      <c r="H2990">
        <v>2520</v>
      </c>
      <c r="I2990">
        <v>791.42</v>
      </c>
      <c r="J2990" t="s">
        <v>51</v>
      </c>
      <c r="K2990" t="s">
        <v>40</v>
      </c>
      <c r="L2990">
        <v>1260</v>
      </c>
      <c r="M2990">
        <v>31.405555555555551</v>
      </c>
      <c r="N2990" t="s">
        <v>8</v>
      </c>
      <c r="O2990" t="s">
        <v>280</v>
      </c>
      <c r="P2990" t="s">
        <v>83</v>
      </c>
      <c r="Q2990" t="s">
        <v>131</v>
      </c>
      <c r="R2990" t="s">
        <v>200</v>
      </c>
      <c r="S2990" t="s">
        <v>201</v>
      </c>
      <c r="T2990" t="s">
        <v>319</v>
      </c>
      <c r="U2990" t="s">
        <v>46</v>
      </c>
      <c r="V2990">
        <v>395.71</v>
      </c>
    </row>
    <row r="2991" spans="1:22" x14ac:dyDescent="0.3">
      <c r="A2991" t="s">
        <v>4452</v>
      </c>
      <c r="B2991" s="2">
        <v>45844</v>
      </c>
      <c r="C2991" t="s">
        <v>772</v>
      </c>
      <c r="D2991" t="s">
        <v>37</v>
      </c>
      <c r="E2991" t="s">
        <v>170</v>
      </c>
      <c r="F2991">
        <v>4</v>
      </c>
      <c r="G2991">
        <v>0.15</v>
      </c>
      <c r="H2991">
        <v>4760</v>
      </c>
      <c r="I2991">
        <v>1613.02</v>
      </c>
      <c r="J2991" t="s">
        <v>39</v>
      </c>
      <c r="K2991" t="s">
        <v>40</v>
      </c>
      <c r="L2991">
        <v>1190</v>
      </c>
      <c r="M2991">
        <v>33.886974789915961</v>
      </c>
      <c r="N2991" t="s">
        <v>8</v>
      </c>
      <c r="O2991" t="s">
        <v>773</v>
      </c>
      <c r="P2991" t="s">
        <v>29</v>
      </c>
      <c r="Q2991" t="s">
        <v>42</v>
      </c>
      <c r="R2991" t="s">
        <v>121</v>
      </c>
      <c r="S2991" t="s">
        <v>44</v>
      </c>
      <c r="T2991" t="s">
        <v>774</v>
      </c>
      <c r="U2991" t="s">
        <v>34</v>
      </c>
      <c r="V2991">
        <v>403.255</v>
      </c>
    </row>
    <row r="2992" spans="1:22" x14ac:dyDescent="0.3">
      <c r="A2992" t="s">
        <v>4453</v>
      </c>
      <c r="B2992" s="2">
        <v>46170</v>
      </c>
      <c r="C2992" t="s">
        <v>268</v>
      </c>
      <c r="D2992" t="s">
        <v>70</v>
      </c>
      <c r="E2992" t="s">
        <v>129</v>
      </c>
      <c r="F2992">
        <v>3</v>
      </c>
      <c r="G2992">
        <v>0.1</v>
      </c>
      <c r="H2992">
        <v>148500</v>
      </c>
      <c r="I2992">
        <v>13701.93</v>
      </c>
      <c r="J2992" t="s">
        <v>26</v>
      </c>
      <c r="K2992" t="s">
        <v>40</v>
      </c>
      <c r="L2992">
        <v>49500</v>
      </c>
      <c r="M2992">
        <v>9.2268888888888885</v>
      </c>
      <c r="N2992" t="s">
        <v>8</v>
      </c>
      <c r="O2992" t="s">
        <v>269</v>
      </c>
      <c r="P2992" t="s">
        <v>29</v>
      </c>
      <c r="Q2992" t="s">
        <v>30</v>
      </c>
      <c r="R2992" t="s">
        <v>31</v>
      </c>
      <c r="S2992" t="s">
        <v>32</v>
      </c>
      <c r="T2992" t="s">
        <v>270</v>
      </c>
      <c r="U2992" t="s">
        <v>34</v>
      </c>
      <c r="V2992">
        <v>4567.3100000000004</v>
      </c>
    </row>
    <row r="2993" spans="1:22" x14ac:dyDescent="0.3">
      <c r="A2993" t="s">
        <v>4454</v>
      </c>
      <c r="B2993" s="2">
        <v>46260</v>
      </c>
      <c r="C2993" t="s">
        <v>850</v>
      </c>
      <c r="D2993" t="s">
        <v>24</v>
      </c>
      <c r="E2993" t="s">
        <v>87</v>
      </c>
      <c r="F2993">
        <v>6</v>
      </c>
      <c r="G2993">
        <v>0.15</v>
      </c>
      <c r="H2993">
        <v>1785</v>
      </c>
      <c r="I2993">
        <v>560.5</v>
      </c>
      <c r="J2993" t="s">
        <v>65</v>
      </c>
      <c r="K2993" t="s">
        <v>40</v>
      </c>
      <c r="L2993">
        <v>297.5</v>
      </c>
      <c r="M2993">
        <v>31.400560224089631</v>
      </c>
      <c r="N2993" t="s">
        <v>8</v>
      </c>
      <c r="O2993" t="s">
        <v>851</v>
      </c>
      <c r="P2993" t="s">
        <v>29</v>
      </c>
      <c r="Q2993" t="s">
        <v>30</v>
      </c>
      <c r="R2993" t="s">
        <v>60</v>
      </c>
      <c r="S2993" t="s">
        <v>61</v>
      </c>
      <c r="T2993" t="s">
        <v>852</v>
      </c>
      <c r="U2993" t="s">
        <v>46</v>
      </c>
      <c r="V2993">
        <v>93.416666666666671</v>
      </c>
    </row>
    <row r="2994" spans="1:22" x14ac:dyDescent="0.3">
      <c r="A2994" t="s">
        <v>4455</v>
      </c>
      <c r="B2994" s="2">
        <v>45898</v>
      </c>
      <c r="C2994" t="s">
        <v>1420</v>
      </c>
      <c r="D2994" t="s">
        <v>49</v>
      </c>
      <c r="E2994" t="s">
        <v>119</v>
      </c>
      <c r="F2994">
        <v>2</v>
      </c>
      <c r="G2994">
        <v>0.1</v>
      </c>
      <c r="H2994">
        <v>16200</v>
      </c>
      <c r="I2994">
        <v>3663.04</v>
      </c>
      <c r="J2994" t="s">
        <v>26</v>
      </c>
      <c r="K2994" t="s">
        <v>40</v>
      </c>
      <c r="L2994">
        <v>8100</v>
      </c>
      <c r="M2994">
        <v>22.611358024691359</v>
      </c>
      <c r="N2994" t="s">
        <v>8</v>
      </c>
      <c r="O2994" t="s">
        <v>369</v>
      </c>
      <c r="P2994" t="s">
        <v>73</v>
      </c>
      <c r="Q2994" t="s">
        <v>30</v>
      </c>
      <c r="R2994" t="s">
        <v>98</v>
      </c>
      <c r="S2994" t="s">
        <v>54</v>
      </c>
      <c r="T2994" t="s">
        <v>1421</v>
      </c>
      <c r="U2994" t="s">
        <v>46</v>
      </c>
      <c r="V2994">
        <v>1831.52</v>
      </c>
    </row>
    <row r="2995" spans="1:22" x14ac:dyDescent="0.3">
      <c r="A2995" t="s">
        <v>4456</v>
      </c>
      <c r="B2995" s="2">
        <v>45971</v>
      </c>
      <c r="C2995" t="s">
        <v>685</v>
      </c>
      <c r="D2995" t="s">
        <v>70</v>
      </c>
      <c r="E2995" t="s">
        <v>129</v>
      </c>
      <c r="F2995">
        <v>3</v>
      </c>
      <c r="G2995">
        <v>0</v>
      </c>
      <c r="H2995">
        <v>165000</v>
      </c>
      <c r="I2995">
        <v>27000</v>
      </c>
      <c r="J2995" t="s">
        <v>39</v>
      </c>
      <c r="K2995" t="s">
        <v>40</v>
      </c>
      <c r="L2995">
        <v>55000</v>
      </c>
      <c r="M2995">
        <v>16.36363636363636</v>
      </c>
      <c r="N2995" t="s">
        <v>8</v>
      </c>
      <c r="O2995" t="s">
        <v>686</v>
      </c>
      <c r="P2995" t="s">
        <v>29</v>
      </c>
      <c r="Q2995" t="s">
        <v>42</v>
      </c>
      <c r="R2995" t="s">
        <v>121</v>
      </c>
      <c r="S2995" t="s">
        <v>44</v>
      </c>
      <c r="T2995" t="s">
        <v>687</v>
      </c>
      <c r="U2995" t="s">
        <v>105</v>
      </c>
      <c r="V2995">
        <v>9000</v>
      </c>
    </row>
    <row r="2996" spans="1:22" x14ac:dyDescent="0.3">
      <c r="A2996" t="s">
        <v>4457</v>
      </c>
      <c r="B2996" s="2">
        <v>45891</v>
      </c>
      <c r="C2996" t="s">
        <v>797</v>
      </c>
      <c r="D2996" t="s">
        <v>24</v>
      </c>
      <c r="E2996" t="s">
        <v>92</v>
      </c>
      <c r="F2996">
        <v>5</v>
      </c>
      <c r="G2996">
        <v>0.1</v>
      </c>
      <c r="H2996">
        <v>4050</v>
      </c>
      <c r="I2996">
        <v>-789.15</v>
      </c>
      <c r="J2996" t="s">
        <v>65</v>
      </c>
      <c r="K2996" t="s">
        <v>434</v>
      </c>
      <c r="L2996">
        <v>810</v>
      </c>
      <c r="M2996">
        <v>-19.485185185185191</v>
      </c>
      <c r="N2996" t="s">
        <v>81</v>
      </c>
      <c r="O2996" t="s">
        <v>798</v>
      </c>
      <c r="P2996" t="s">
        <v>73</v>
      </c>
      <c r="Q2996" t="s">
        <v>42</v>
      </c>
      <c r="R2996" t="s">
        <v>110</v>
      </c>
      <c r="S2996" t="s">
        <v>111</v>
      </c>
      <c r="T2996" t="s">
        <v>799</v>
      </c>
      <c r="U2996" t="s">
        <v>34</v>
      </c>
      <c r="V2996">
        <v>-157.83000000000001</v>
      </c>
    </row>
    <row r="2997" spans="1:22" x14ac:dyDescent="0.3">
      <c r="A2997" t="s">
        <v>4458</v>
      </c>
      <c r="B2997" s="2">
        <v>46227</v>
      </c>
      <c r="C2997" t="s">
        <v>3593</v>
      </c>
      <c r="D2997" t="s">
        <v>49</v>
      </c>
      <c r="E2997" t="s">
        <v>79</v>
      </c>
      <c r="F2997">
        <v>1</v>
      </c>
      <c r="G2997">
        <v>0.1</v>
      </c>
      <c r="H2997">
        <v>9900</v>
      </c>
      <c r="I2997">
        <v>1924.96</v>
      </c>
      <c r="J2997" t="s">
        <v>65</v>
      </c>
      <c r="K2997" t="s">
        <v>40</v>
      </c>
      <c r="L2997">
        <v>9900</v>
      </c>
      <c r="M2997">
        <v>19.4440404040404</v>
      </c>
      <c r="N2997" t="s">
        <v>8</v>
      </c>
      <c r="O2997" t="s">
        <v>439</v>
      </c>
      <c r="P2997" t="s">
        <v>29</v>
      </c>
      <c r="Q2997" t="s">
        <v>42</v>
      </c>
      <c r="R2997" t="s">
        <v>121</v>
      </c>
      <c r="S2997" t="s">
        <v>44</v>
      </c>
      <c r="T2997" t="s">
        <v>1801</v>
      </c>
      <c r="U2997" t="s">
        <v>46</v>
      </c>
      <c r="V2997">
        <v>1924.96</v>
      </c>
    </row>
    <row r="2998" spans="1:22" x14ac:dyDescent="0.3">
      <c r="A2998" t="s">
        <v>4459</v>
      </c>
      <c r="B2998" s="2">
        <v>45880</v>
      </c>
      <c r="C2998" t="s">
        <v>925</v>
      </c>
      <c r="D2998" t="s">
        <v>70</v>
      </c>
      <c r="E2998" t="s">
        <v>129</v>
      </c>
      <c r="F2998">
        <v>1</v>
      </c>
      <c r="G2998">
        <v>0.2</v>
      </c>
      <c r="H2998">
        <v>44000</v>
      </c>
      <c r="I2998">
        <v>2973.24</v>
      </c>
      <c r="J2998" t="s">
        <v>26</v>
      </c>
      <c r="K2998" t="s">
        <v>40</v>
      </c>
      <c r="L2998">
        <v>44000</v>
      </c>
      <c r="M2998">
        <v>6.7573636363636362</v>
      </c>
      <c r="N2998" t="s">
        <v>8</v>
      </c>
      <c r="O2998" t="s">
        <v>926</v>
      </c>
      <c r="P2998" t="s">
        <v>83</v>
      </c>
      <c r="Q2998" t="s">
        <v>74</v>
      </c>
      <c r="R2998" t="s">
        <v>75</v>
      </c>
      <c r="S2998" t="s">
        <v>75</v>
      </c>
      <c r="T2998" t="s">
        <v>927</v>
      </c>
      <c r="U2998" t="s">
        <v>34</v>
      </c>
      <c r="V2998">
        <v>2973.24</v>
      </c>
    </row>
    <row r="2999" spans="1:22" x14ac:dyDescent="0.3">
      <c r="A2999" t="s">
        <v>4460</v>
      </c>
      <c r="B2999" s="2">
        <v>46081</v>
      </c>
      <c r="C2999" t="s">
        <v>221</v>
      </c>
      <c r="D2999" t="s">
        <v>37</v>
      </c>
      <c r="E2999" t="s">
        <v>38</v>
      </c>
      <c r="F2999">
        <v>3</v>
      </c>
      <c r="G2999">
        <v>0.05</v>
      </c>
      <c r="H2999">
        <v>5130</v>
      </c>
      <c r="I2999">
        <v>1807.95</v>
      </c>
      <c r="J2999" t="s">
        <v>65</v>
      </c>
      <c r="K2999" t="s">
        <v>40</v>
      </c>
      <c r="L2999">
        <v>1710</v>
      </c>
      <c r="M2999">
        <v>35.242690058479532</v>
      </c>
      <c r="N2999" t="s">
        <v>8</v>
      </c>
      <c r="O2999" t="s">
        <v>222</v>
      </c>
      <c r="P2999" t="s">
        <v>29</v>
      </c>
      <c r="Q2999" t="s">
        <v>30</v>
      </c>
      <c r="R2999" t="s">
        <v>53</v>
      </c>
      <c r="S2999" t="s">
        <v>54</v>
      </c>
      <c r="T2999" t="s">
        <v>223</v>
      </c>
      <c r="U2999" t="s">
        <v>100</v>
      </c>
      <c r="V2999">
        <v>602.65</v>
      </c>
    </row>
    <row r="3000" spans="1:22" x14ac:dyDescent="0.3">
      <c r="A3000" t="s">
        <v>4461</v>
      </c>
      <c r="B3000" s="2">
        <v>46214</v>
      </c>
      <c r="C3000" t="s">
        <v>2197</v>
      </c>
      <c r="D3000" t="s">
        <v>49</v>
      </c>
      <c r="E3000" t="s">
        <v>79</v>
      </c>
      <c r="F3000">
        <v>3</v>
      </c>
      <c r="G3000">
        <v>0</v>
      </c>
      <c r="H3000">
        <v>33000</v>
      </c>
      <c r="I3000">
        <v>7800</v>
      </c>
      <c r="J3000" t="s">
        <v>51</v>
      </c>
      <c r="K3000" t="s">
        <v>40</v>
      </c>
      <c r="L3000">
        <v>11000</v>
      </c>
      <c r="M3000">
        <v>23.63636363636364</v>
      </c>
      <c r="N3000" t="s">
        <v>8</v>
      </c>
      <c r="O3000" t="s">
        <v>2027</v>
      </c>
      <c r="P3000" t="s">
        <v>29</v>
      </c>
      <c r="Q3000" t="s">
        <v>74</v>
      </c>
      <c r="R3000" t="s">
        <v>493</v>
      </c>
      <c r="S3000" t="s">
        <v>494</v>
      </c>
      <c r="T3000" t="s">
        <v>2198</v>
      </c>
      <c r="U3000" t="s">
        <v>34</v>
      </c>
      <c r="V3000">
        <v>2600</v>
      </c>
    </row>
    <row r="3001" spans="1:22" x14ac:dyDescent="0.3">
      <c r="A3001" t="s">
        <v>4462</v>
      </c>
      <c r="B3001" s="2">
        <v>45887</v>
      </c>
      <c r="C3001" t="s">
        <v>1091</v>
      </c>
      <c r="D3001" t="s">
        <v>49</v>
      </c>
      <c r="E3001" t="s">
        <v>50</v>
      </c>
      <c r="F3001">
        <v>2</v>
      </c>
      <c r="G3001">
        <v>0.05</v>
      </c>
      <c r="H3001">
        <v>24700</v>
      </c>
      <c r="I3001">
        <v>5442.6</v>
      </c>
      <c r="J3001" t="s">
        <v>39</v>
      </c>
      <c r="K3001" t="s">
        <v>40</v>
      </c>
      <c r="L3001">
        <v>12350</v>
      </c>
      <c r="M3001">
        <v>22.03481781376518</v>
      </c>
      <c r="N3001" t="s">
        <v>8</v>
      </c>
      <c r="O3001" t="s">
        <v>1018</v>
      </c>
      <c r="P3001" t="s">
        <v>83</v>
      </c>
      <c r="Q3001" t="s">
        <v>30</v>
      </c>
      <c r="R3001" t="s">
        <v>31</v>
      </c>
      <c r="S3001" t="s">
        <v>32</v>
      </c>
      <c r="T3001" t="s">
        <v>1092</v>
      </c>
      <c r="U3001" t="s">
        <v>105</v>
      </c>
      <c r="V3001">
        <v>2721.3</v>
      </c>
    </row>
    <row r="3002" spans="1:22" x14ac:dyDescent="0.3">
      <c r="A3002" t="s">
        <v>4463</v>
      </c>
      <c r="B3002" s="2">
        <v>46247</v>
      </c>
      <c r="C3002" t="s">
        <v>2145</v>
      </c>
      <c r="D3002" t="s">
        <v>70</v>
      </c>
      <c r="E3002" t="s">
        <v>71</v>
      </c>
      <c r="F3002">
        <v>2</v>
      </c>
      <c r="G3002">
        <v>0.15</v>
      </c>
      <c r="H3002">
        <v>30600</v>
      </c>
      <c r="I3002">
        <v>4285.9399999999996</v>
      </c>
      <c r="J3002" t="s">
        <v>51</v>
      </c>
      <c r="K3002" t="s">
        <v>40</v>
      </c>
      <c r="L3002">
        <v>15300</v>
      </c>
      <c r="M3002">
        <v>14.006339869281049</v>
      </c>
      <c r="N3002" t="s">
        <v>8</v>
      </c>
      <c r="O3002" t="s">
        <v>302</v>
      </c>
      <c r="P3002" t="s">
        <v>29</v>
      </c>
      <c r="Q3002" t="s">
        <v>30</v>
      </c>
      <c r="R3002" t="s">
        <v>98</v>
      </c>
      <c r="S3002" t="s">
        <v>54</v>
      </c>
      <c r="T3002" t="s">
        <v>601</v>
      </c>
      <c r="U3002" t="s">
        <v>46</v>
      </c>
      <c r="V3002">
        <v>2142.9699999999998</v>
      </c>
    </row>
    <row r="3003" spans="1:22" x14ac:dyDescent="0.3">
      <c r="A3003" t="s">
        <v>4464</v>
      </c>
      <c r="B3003" s="2">
        <v>45961</v>
      </c>
      <c r="C3003" t="s">
        <v>128</v>
      </c>
      <c r="D3003" t="s">
        <v>70</v>
      </c>
      <c r="E3003" t="s">
        <v>71</v>
      </c>
      <c r="F3003">
        <v>2</v>
      </c>
      <c r="G3003">
        <v>0</v>
      </c>
      <c r="H3003">
        <v>36000</v>
      </c>
      <c r="I3003">
        <v>-3249.5</v>
      </c>
      <c r="J3003" t="s">
        <v>51</v>
      </c>
      <c r="K3003" t="s">
        <v>434</v>
      </c>
      <c r="L3003">
        <v>18000</v>
      </c>
      <c r="M3003">
        <v>-9.0263888888888886</v>
      </c>
      <c r="N3003" t="s">
        <v>81</v>
      </c>
      <c r="O3003" t="s">
        <v>130</v>
      </c>
      <c r="P3003" t="s">
        <v>83</v>
      </c>
      <c r="Q3003" t="s">
        <v>131</v>
      </c>
      <c r="R3003" t="s">
        <v>132</v>
      </c>
      <c r="S3003" t="s">
        <v>133</v>
      </c>
      <c r="T3003" t="s">
        <v>134</v>
      </c>
      <c r="U3003" t="s">
        <v>46</v>
      </c>
      <c r="V3003">
        <v>-1624.75</v>
      </c>
    </row>
    <row r="3004" spans="1:22" x14ac:dyDescent="0.3">
      <c r="A3004" t="s">
        <v>4465</v>
      </c>
      <c r="B3004" s="2">
        <v>45903</v>
      </c>
      <c r="C3004" t="s">
        <v>2182</v>
      </c>
      <c r="D3004" t="s">
        <v>49</v>
      </c>
      <c r="E3004" t="s">
        <v>79</v>
      </c>
      <c r="F3004">
        <v>4</v>
      </c>
      <c r="G3004">
        <v>0.3</v>
      </c>
      <c r="H3004">
        <v>30800</v>
      </c>
      <c r="I3004">
        <v>799.52</v>
      </c>
      <c r="J3004" t="s">
        <v>65</v>
      </c>
      <c r="K3004" t="s">
        <v>40</v>
      </c>
      <c r="L3004">
        <v>7700</v>
      </c>
      <c r="M3004">
        <v>2.5958441558441558</v>
      </c>
      <c r="N3004" t="s">
        <v>8</v>
      </c>
      <c r="O3004" t="s">
        <v>2183</v>
      </c>
      <c r="P3004" t="s">
        <v>73</v>
      </c>
      <c r="Q3004" t="s">
        <v>30</v>
      </c>
      <c r="R3004" t="s">
        <v>98</v>
      </c>
      <c r="S3004" t="s">
        <v>54</v>
      </c>
      <c r="T3004" t="s">
        <v>2184</v>
      </c>
      <c r="U3004" t="s">
        <v>105</v>
      </c>
      <c r="V3004">
        <v>199.88</v>
      </c>
    </row>
    <row r="3005" spans="1:22" x14ac:dyDescent="0.3">
      <c r="A3005" t="s">
        <v>4466</v>
      </c>
      <c r="B3005" s="2">
        <v>45977</v>
      </c>
      <c r="C3005" t="s">
        <v>3532</v>
      </c>
      <c r="D3005" t="s">
        <v>49</v>
      </c>
      <c r="E3005" t="s">
        <v>50</v>
      </c>
      <c r="F3005">
        <v>3</v>
      </c>
      <c r="G3005">
        <v>0</v>
      </c>
      <c r="H3005">
        <v>39000</v>
      </c>
      <c r="I3005">
        <v>9600</v>
      </c>
      <c r="J3005" t="s">
        <v>65</v>
      </c>
      <c r="K3005" t="s">
        <v>40</v>
      </c>
      <c r="L3005">
        <v>13000</v>
      </c>
      <c r="M3005">
        <v>24.61538461538462</v>
      </c>
      <c r="N3005" t="s">
        <v>8</v>
      </c>
      <c r="O3005" t="s">
        <v>3533</v>
      </c>
      <c r="P3005" t="s">
        <v>29</v>
      </c>
      <c r="Q3005" t="s">
        <v>131</v>
      </c>
      <c r="R3005" t="s">
        <v>132</v>
      </c>
      <c r="S3005" t="s">
        <v>133</v>
      </c>
      <c r="T3005" t="s">
        <v>3534</v>
      </c>
      <c r="U3005" t="s">
        <v>34</v>
      </c>
      <c r="V3005">
        <v>3200</v>
      </c>
    </row>
    <row r="3006" spans="1:22" x14ac:dyDescent="0.3">
      <c r="A3006" t="s">
        <v>4467</v>
      </c>
      <c r="B3006" s="2">
        <v>45902</v>
      </c>
      <c r="C3006" t="s">
        <v>1676</v>
      </c>
      <c r="D3006" t="s">
        <v>70</v>
      </c>
      <c r="E3006" t="s">
        <v>71</v>
      </c>
      <c r="F3006">
        <v>2</v>
      </c>
      <c r="G3006">
        <v>0.15</v>
      </c>
      <c r="H3006">
        <v>30600</v>
      </c>
      <c r="I3006">
        <v>3279.5</v>
      </c>
      <c r="J3006" t="s">
        <v>39</v>
      </c>
      <c r="K3006" t="s">
        <v>27</v>
      </c>
      <c r="L3006">
        <v>15300</v>
      </c>
      <c r="M3006">
        <v>10.71732026143791</v>
      </c>
      <c r="N3006" t="s">
        <v>8</v>
      </c>
      <c r="O3006" t="s">
        <v>1649</v>
      </c>
      <c r="P3006" t="s">
        <v>73</v>
      </c>
      <c r="Q3006" t="s">
        <v>30</v>
      </c>
      <c r="R3006" t="s">
        <v>31</v>
      </c>
      <c r="S3006" t="s">
        <v>32</v>
      </c>
      <c r="T3006" t="s">
        <v>1677</v>
      </c>
      <c r="U3006" t="s">
        <v>46</v>
      </c>
      <c r="V3006">
        <v>1639.75</v>
      </c>
    </row>
    <row r="3007" spans="1:22" x14ac:dyDescent="0.3">
      <c r="A3007" t="s">
        <v>4468</v>
      </c>
      <c r="B3007" s="2">
        <v>46068</v>
      </c>
      <c r="C3007" t="s">
        <v>566</v>
      </c>
      <c r="D3007" t="s">
        <v>70</v>
      </c>
      <c r="E3007" t="s">
        <v>165</v>
      </c>
      <c r="F3007">
        <v>4</v>
      </c>
      <c r="G3007">
        <v>0.1</v>
      </c>
      <c r="H3007">
        <v>9000</v>
      </c>
      <c r="I3007">
        <v>2408.04</v>
      </c>
      <c r="J3007" t="s">
        <v>51</v>
      </c>
      <c r="K3007" t="s">
        <v>27</v>
      </c>
      <c r="L3007">
        <v>2250</v>
      </c>
      <c r="M3007">
        <v>26.756</v>
      </c>
      <c r="N3007" t="s">
        <v>8</v>
      </c>
      <c r="O3007" t="s">
        <v>567</v>
      </c>
      <c r="P3007" t="s">
        <v>29</v>
      </c>
      <c r="Q3007" t="s">
        <v>131</v>
      </c>
      <c r="R3007" t="s">
        <v>289</v>
      </c>
      <c r="S3007" t="s">
        <v>290</v>
      </c>
      <c r="T3007" t="s">
        <v>568</v>
      </c>
      <c r="U3007" t="s">
        <v>46</v>
      </c>
      <c r="V3007">
        <v>602.01</v>
      </c>
    </row>
    <row r="3008" spans="1:22" x14ac:dyDescent="0.3">
      <c r="A3008" t="s">
        <v>4469</v>
      </c>
      <c r="B3008" s="2">
        <v>46076</v>
      </c>
      <c r="C3008" t="s">
        <v>858</v>
      </c>
      <c r="D3008" t="s">
        <v>49</v>
      </c>
      <c r="E3008" t="s">
        <v>58</v>
      </c>
      <c r="F3008">
        <v>3</v>
      </c>
      <c r="G3008">
        <v>0.15</v>
      </c>
      <c r="H3008">
        <v>38250</v>
      </c>
      <c r="I3008">
        <v>6081.78</v>
      </c>
      <c r="J3008" t="s">
        <v>51</v>
      </c>
      <c r="K3008" t="s">
        <v>40</v>
      </c>
      <c r="L3008">
        <v>12750</v>
      </c>
      <c r="M3008">
        <v>15.900078431372551</v>
      </c>
      <c r="N3008" t="s">
        <v>8</v>
      </c>
      <c r="O3008" t="s">
        <v>406</v>
      </c>
      <c r="P3008" t="s">
        <v>73</v>
      </c>
      <c r="Q3008" t="s">
        <v>30</v>
      </c>
      <c r="R3008" t="s">
        <v>53</v>
      </c>
      <c r="S3008" t="s">
        <v>54</v>
      </c>
      <c r="T3008" t="s">
        <v>859</v>
      </c>
      <c r="U3008" t="s">
        <v>105</v>
      </c>
      <c r="V3008">
        <v>2027.26</v>
      </c>
    </row>
    <row r="3009" spans="1:22" x14ac:dyDescent="0.3">
      <c r="A3009" t="s">
        <v>4470</v>
      </c>
      <c r="B3009" s="2">
        <v>45935</v>
      </c>
      <c r="C3009" t="s">
        <v>3771</v>
      </c>
      <c r="D3009" t="s">
        <v>24</v>
      </c>
      <c r="E3009" t="s">
        <v>92</v>
      </c>
      <c r="F3009">
        <v>2</v>
      </c>
      <c r="G3009">
        <v>0.2</v>
      </c>
      <c r="H3009">
        <v>1440</v>
      </c>
      <c r="I3009">
        <v>327.99</v>
      </c>
      <c r="J3009" t="s">
        <v>51</v>
      </c>
      <c r="K3009" t="s">
        <v>40</v>
      </c>
      <c r="L3009">
        <v>720</v>
      </c>
      <c r="M3009">
        <v>22.77708333333333</v>
      </c>
      <c r="N3009" t="s">
        <v>8</v>
      </c>
      <c r="O3009" t="s">
        <v>482</v>
      </c>
      <c r="P3009" t="s">
        <v>73</v>
      </c>
      <c r="Q3009" t="s">
        <v>74</v>
      </c>
      <c r="R3009" t="s">
        <v>75</v>
      </c>
      <c r="S3009" t="s">
        <v>75</v>
      </c>
      <c r="T3009" t="s">
        <v>3772</v>
      </c>
      <c r="U3009" t="s">
        <v>34</v>
      </c>
      <c r="V3009">
        <v>163.995</v>
      </c>
    </row>
    <row r="3010" spans="1:22" x14ac:dyDescent="0.3">
      <c r="A3010" t="s">
        <v>4471</v>
      </c>
      <c r="B3010" s="2">
        <v>46257</v>
      </c>
      <c r="C3010" t="s">
        <v>1069</v>
      </c>
      <c r="D3010" t="s">
        <v>49</v>
      </c>
      <c r="E3010" t="s">
        <v>50</v>
      </c>
      <c r="F3010">
        <v>3</v>
      </c>
      <c r="G3010">
        <v>0.05</v>
      </c>
      <c r="H3010">
        <v>37050</v>
      </c>
      <c r="I3010">
        <v>8481.67</v>
      </c>
      <c r="J3010" t="s">
        <v>65</v>
      </c>
      <c r="K3010" t="s">
        <v>27</v>
      </c>
      <c r="L3010">
        <v>12350</v>
      </c>
      <c r="M3010">
        <v>22.89249662618084</v>
      </c>
      <c r="N3010" t="s">
        <v>8</v>
      </c>
      <c r="O3010" t="s">
        <v>937</v>
      </c>
      <c r="P3010" t="s">
        <v>29</v>
      </c>
      <c r="Q3010" t="s">
        <v>42</v>
      </c>
      <c r="R3010" t="s">
        <v>121</v>
      </c>
      <c r="S3010" t="s">
        <v>44</v>
      </c>
      <c r="T3010" t="s">
        <v>1070</v>
      </c>
      <c r="U3010" t="s">
        <v>34</v>
      </c>
      <c r="V3010">
        <v>2827.2233333333329</v>
      </c>
    </row>
    <row r="3011" spans="1:22" x14ac:dyDescent="0.3">
      <c r="A3011" t="s">
        <v>4472</v>
      </c>
      <c r="B3011" s="2">
        <v>45991</v>
      </c>
      <c r="C3011" t="s">
        <v>1168</v>
      </c>
      <c r="D3011" t="s">
        <v>24</v>
      </c>
      <c r="E3011" t="s">
        <v>25</v>
      </c>
      <c r="F3011">
        <v>5</v>
      </c>
      <c r="G3011">
        <v>0.15</v>
      </c>
      <c r="H3011">
        <v>59500</v>
      </c>
      <c r="I3011">
        <v>-26598.14</v>
      </c>
      <c r="J3011" t="s">
        <v>26</v>
      </c>
      <c r="K3011" t="s">
        <v>80</v>
      </c>
      <c r="L3011">
        <v>11900</v>
      </c>
      <c r="M3011">
        <v>-44.70275630252101</v>
      </c>
      <c r="N3011" t="s">
        <v>81</v>
      </c>
      <c r="O3011" t="s">
        <v>1169</v>
      </c>
      <c r="P3011" t="s">
        <v>83</v>
      </c>
      <c r="Q3011" t="s">
        <v>131</v>
      </c>
      <c r="R3011" t="s">
        <v>289</v>
      </c>
      <c r="S3011" t="s">
        <v>290</v>
      </c>
      <c r="T3011" t="s">
        <v>1170</v>
      </c>
      <c r="U3011" t="s">
        <v>34</v>
      </c>
      <c r="V3011">
        <v>-5319.6279999999997</v>
      </c>
    </row>
    <row r="3012" spans="1:22" x14ac:dyDescent="0.3">
      <c r="A3012" t="s">
        <v>4473</v>
      </c>
      <c r="B3012" s="2">
        <v>46263</v>
      </c>
      <c r="C3012" t="s">
        <v>354</v>
      </c>
      <c r="D3012" t="s">
        <v>70</v>
      </c>
      <c r="E3012" t="s">
        <v>165</v>
      </c>
      <c r="F3012">
        <v>4</v>
      </c>
      <c r="G3012">
        <v>0</v>
      </c>
      <c r="H3012">
        <v>10000</v>
      </c>
      <c r="I3012">
        <v>3200</v>
      </c>
      <c r="J3012" t="s">
        <v>39</v>
      </c>
      <c r="K3012" t="s">
        <v>27</v>
      </c>
      <c r="L3012">
        <v>2500</v>
      </c>
      <c r="M3012">
        <v>32</v>
      </c>
      <c r="N3012" t="s">
        <v>8</v>
      </c>
      <c r="O3012" t="s">
        <v>355</v>
      </c>
      <c r="P3012" t="s">
        <v>83</v>
      </c>
      <c r="Q3012" t="s">
        <v>131</v>
      </c>
      <c r="R3012" t="s">
        <v>200</v>
      </c>
      <c r="S3012" t="s">
        <v>201</v>
      </c>
      <c r="T3012" t="s">
        <v>356</v>
      </c>
      <c r="U3012" t="s">
        <v>34</v>
      </c>
      <c r="V3012">
        <v>800</v>
      </c>
    </row>
    <row r="3013" spans="1:22" x14ac:dyDescent="0.3">
      <c r="A3013" t="s">
        <v>4474</v>
      </c>
      <c r="B3013" s="2">
        <v>46022</v>
      </c>
      <c r="C3013" t="s">
        <v>933</v>
      </c>
      <c r="D3013" t="s">
        <v>70</v>
      </c>
      <c r="E3013" t="s">
        <v>71</v>
      </c>
      <c r="F3013">
        <v>1</v>
      </c>
      <c r="G3013">
        <v>0.15</v>
      </c>
      <c r="H3013">
        <v>15300</v>
      </c>
      <c r="I3013">
        <v>1362.56</v>
      </c>
      <c r="J3013" t="s">
        <v>51</v>
      </c>
      <c r="K3013" t="s">
        <v>40</v>
      </c>
      <c r="L3013">
        <v>15300</v>
      </c>
      <c r="M3013">
        <v>8.9056209150326797</v>
      </c>
      <c r="N3013" t="s">
        <v>8</v>
      </c>
      <c r="O3013" t="s">
        <v>233</v>
      </c>
      <c r="P3013" t="s">
        <v>29</v>
      </c>
      <c r="Q3013" t="s">
        <v>30</v>
      </c>
      <c r="R3013" t="s">
        <v>31</v>
      </c>
      <c r="S3013" t="s">
        <v>32</v>
      </c>
      <c r="T3013" t="s">
        <v>934</v>
      </c>
      <c r="U3013" t="s">
        <v>34</v>
      </c>
      <c r="V3013">
        <v>1362.56</v>
      </c>
    </row>
    <row r="3014" spans="1:22" x14ac:dyDescent="0.3">
      <c r="A3014" t="s">
        <v>4475</v>
      </c>
      <c r="B3014" s="2">
        <v>45968</v>
      </c>
      <c r="C3014" t="s">
        <v>1480</v>
      </c>
      <c r="D3014" t="s">
        <v>24</v>
      </c>
      <c r="E3014" t="s">
        <v>242</v>
      </c>
      <c r="F3014">
        <v>5</v>
      </c>
      <c r="G3014">
        <v>0</v>
      </c>
      <c r="H3014">
        <v>2250</v>
      </c>
      <c r="I3014">
        <v>550</v>
      </c>
      <c r="J3014" t="s">
        <v>65</v>
      </c>
      <c r="K3014" t="s">
        <v>40</v>
      </c>
      <c r="L3014">
        <v>450</v>
      </c>
      <c r="M3014">
        <v>24.444444444444439</v>
      </c>
      <c r="N3014" t="s">
        <v>8</v>
      </c>
      <c r="O3014" t="s">
        <v>66</v>
      </c>
      <c r="P3014" t="s">
        <v>73</v>
      </c>
      <c r="Q3014" t="s">
        <v>30</v>
      </c>
      <c r="R3014" t="s">
        <v>98</v>
      </c>
      <c r="S3014" t="s">
        <v>54</v>
      </c>
      <c r="T3014" t="s">
        <v>1481</v>
      </c>
      <c r="U3014" t="s">
        <v>46</v>
      </c>
      <c r="V3014">
        <v>110</v>
      </c>
    </row>
    <row r="3015" spans="1:22" x14ac:dyDescent="0.3">
      <c r="A3015" t="s">
        <v>4476</v>
      </c>
      <c r="B3015" s="2">
        <v>46133</v>
      </c>
      <c r="C3015" t="s">
        <v>3382</v>
      </c>
      <c r="D3015" t="s">
        <v>24</v>
      </c>
      <c r="E3015" t="s">
        <v>242</v>
      </c>
      <c r="F3015">
        <v>2</v>
      </c>
      <c r="G3015">
        <v>0</v>
      </c>
      <c r="H3015">
        <v>900</v>
      </c>
      <c r="I3015">
        <v>-322.95999999999998</v>
      </c>
      <c r="J3015" t="s">
        <v>26</v>
      </c>
      <c r="K3015" t="s">
        <v>434</v>
      </c>
      <c r="L3015">
        <v>450</v>
      </c>
      <c r="M3015">
        <v>-35.884444444444441</v>
      </c>
      <c r="N3015" t="s">
        <v>81</v>
      </c>
      <c r="O3015" t="s">
        <v>1566</v>
      </c>
      <c r="P3015" t="s">
        <v>29</v>
      </c>
      <c r="Q3015" t="s">
        <v>42</v>
      </c>
      <c r="R3015" t="s">
        <v>121</v>
      </c>
      <c r="S3015" t="s">
        <v>44</v>
      </c>
      <c r="T3015" t="s">
        <v>3383</v>
      </c>
      <c r="U3015" t="s">
        <v>46</v>
      </c>
      <c r="V3015">
        <v>-161.47999999999999</v>
      </c>
    </row>
    <row r="3016" spans="1:22" x14ac:dyDescent="0.3">
      <c r="A3016" t="s">
        <v>4477</v>
      </c>
      <c r="B3016" s="2">
        <v>45999</v>
      </c>
      <c r="C3016" t="s">
        <v>991</v>
      </c>
      <c r="D3016" t="s">
        <v>70</v>
      </c>
      <c r="E3016" t="s">
        <v>165</v>
      </c>
      <c r="F3016">
        <v>3</v>
      </c>
      <c r="G3016">
        <v>0.1</v>
      </c>
      <c r="H3016">
        <v>6750</v>
      </c>
      <c r="I3016">
        <v>-981.21</v>
      </c>
      <c r="J3016" t="s">
        <v>65</v>
      </c>
      <c r="K3016" t="s">
        <v>80</v>
      </c>
      <c r="L3016">
        <v>2250</v>
      </c>
      <c r="M3016">
        <v>-14.53644444444445</v>
      </c>
      <c r="N3016" t="s">
        <v>81</v>
      </c>
      <c r="O3016" t="s">
        <v>537</v>
      </c>
      <c r="P3016" t="s">
        <v>29</v>
      </c>
      <c r="Q3016" t="s">
        <v>74</v>
      </c>
      <c r="R3016" t="s">
        <v>75</v>
      </c>
      <c r="S3016" t="s">
        <v>75</v>
      </c>
      <c r="T3016" t="s">
        <v>992</v>
      </c>
      <c r="U3016" t="s">
        <v>34</v>
      </c>
      <c r="V3016">
        <v>-327.07</v>
      </c>
    </row>
    <row r="3017" spans="1:22" x14ac:dyDescent="0.3">
      <c r="A3017" t="s">
        <v>4478</v>
      </c>
      <c r="B3017" s="2">
        <v>46201</v>
      </c>
      <c r="C3017" t="s">
        <v>164</v>
      </c>
      <c r="D3017" t="s">
        <v>24</v>
      </c>
      <c r="E3017" t="s">
        <v>25</v>
      </c>
      <c r="F3017">
        <v>1</v>
      </c>
      <c r="G3017">
        <v>0.1</v>
      </c>
      <c r="H3017">
        <v>12600</v>
      </c>
      <c r="I3017">
        <v>1866.39</v>
      </c>
      <c r="J3017" t="s">
        <v>26</v>
      </c>
      <c r="K3017" t="s">
        <v>27</v>
      </c>
      <c r="L3017">
        <v>12600</v>
      </c>
      <c r="M3017">
        <v>14.81261904761905</v>
      </c>
      <c r="N3017" t="s">
        <v>8</v>
      </c>
      <c r="O3017" t="s">
        <v>166</v>
      </c>
      <c r="P3017" t="s">
        <v>73</v>
      </c>
      <c r="Q3017" t="s">
        <v>30</v>
      </c>
      <c r="R3017" t="s">
        <v>53</v>
      </c>
      <c r="S3017" t="s">
        <v>54</v>
      </c>
      <c r="T3017" t="s">
        <v>167</v>
      </c>
      <c r="U3017" t="s">
        <v>46</v>
      </c>
      <c r="V3017">
        <v>1866.39</v>
      </c>
    </row>
    <row r="3018" spans="1:22" x14ac:dyDescent="0.3">
      <c r="A3018" t="s">
        <v>4479</v>
      </c>
      <c r="B3018" s="2">
        <v>46112</v>
      </c>
      <c r="C3018" t="s">
        <v>2116</v>
      </c>
      <c r="D3018" t="s">
        <v>49</v>
      </c>
      <c r="E3018" t="s">
        <v>50</v>
      </c>
      <c r="F3018">
        <v>2</v>
      </c>
      <c r="G3018">
        <v>0</v>
      </c>
      <c r="H3018">
        <v>26000</v>
      </c>
      <c r="I3018">
        <v>-1253.5999999999999</v>
      </c>
      <c r="J3018" t="s">
        <v>39</v>
      </c>
      <c r="K3018" t="s">
        <v>434</v>
      </c>
      <c r="L3018">
        <v>13000</v>
      </c>
      <c r="M3018">
        <v>-4.8215384615384611</v>
      </c>
      <c r="N3018" t="s">
        <v>81</v>
      </c>
      <c r="O3018" t="s">
        <v>1963</v>
      </c>
      <c r="P3018" t="s">
        <v>73</v>
      </c>
      <c r="Q3018" t="s">
        <v>42</v>
      </c>
      <c r="R3018" t="s">
        <v>121</v>
      </c>
      <c r="S3018" t="s">
        <v>44</v>
      </c>
      <c r="T3018" t="s">
        <v>2117</v>
      </c>
      <c r="U3018" t="s">
        <v>34</v>
      </c>
      <c r="V3018">
        <v>-626.79999999999995</v>
      </c>
    </row>
    <row r="3019" spans="1:22" x14ac:dyDescent="0.3">
      <c r="A3019" t="s">
        <v>4480</v>
      </c>
      <c r="B3019" s="2">
        <v>46020</v>
      </c>
      <c r="C3019" t="s">
        <v>933</v>
      </c>
      <c r="D3019" t="s">
        <v>24</v>
      </c>
      <c r="E3019" t="s">
        <v>242</v>
      </c>
      <c r="F3019">
        <v>2</v>
      </c>
      <c r="G3019">
        <v>0.15</v>
      </c>
      <c r="H3019">
        <v>765</v>
      </c>
      <c r="I3019">
        <v>144.88999999999999</v>
      </c>
      <c r="J3019" t="s">
        <v>65</v>
      </c>
      <c r="K3019" t="s">
        <v>40</v>
      </c>
      <c r="L3019">
        <v>382.5</v>
      </c>
      <c r="M3019">
        <v>18.939869281045748</v>
      </c>
      <c r="N3019" t="s">
        <v>8</v>
      </c>
      <c r="O3019" t="s">
        <v>233</v>
      </c>
      <c r="P3019" t="s">
        <v>29</v>
      </c>
      <c r="Q3019" t="s">
        <v>30</v>
      </c>
      <c r="R3019" t="s">
        <v>31</v>
      </c>
      <c r="S3019" t="s">
        <v>32</v>
      </c>
      <c r="T3019" t="s">
        <v>934</v>
      </c>
      <c r="U3019" t="s">
        <v>34</v>
      </c>
      <c r="V3019">
        <v>72.444999999999993</v>
      </c>
    </row>
    <row r="3020" spans="1:22" x14ac:dyDescent="0.3">
      <c r="A3020" t="s">
        <v>4481</v>
      </c>
      <c r="B3020" s="2">
        <v>45886</v>
      </c>
      <c r="C3020" t="s">
        <v>1087</v>
      </c>
      <c r="D3020" t="s">
        <v>37</v>
      </c>
      <c r="E3020" t="s">
        <v>190</v>
      </c>
      <c r="F3020">
        <v>2</v>
      </c>
      <c r="G3020">
        <v>0.2</v>
      </c>
      <c r="H3020">
        <v>6720</v>
      </c>
      <c r="I3020">
        <v>1364.17</v>
      </c>
      <c r="J3020" t="s">
        <v>65</v>
      </c>
      <c r="K3020" t="s">
        <v>40</v>
      </c>
      <c r="L3020">
        <v>3360</v>
      </c>
      <c r="M3020">
        <v>20.300148809523812</v>
      </c>
      <c r="N3020" t="s">
        <v>8</v>
      </c>
      <c r="O3020" t="s">
        <v>1088</v>
      </c>
      <c r="P3020" t="s">
        <v>73</v>
      </c>
      <c r="Q3020" t="s">
        <v>131</v>
      </c>
      <c r="R3020" t="s">
        <v>200</v>
      </c>
      <c r="S3020" t="s">
        <v>201</v>
      </c>
      <c r="T3020" t="s">
        <v>1089</v>
      </c>
      <c r="U3020" t="s">
        <v>46</v>
      </c>
      <c r="V3020">
        <v>682.08500000000004</v>
      </c>
    </row>
    <row r="3021" spans="1:22" x14ac:dyDescent="0.3">
      <c r="A3021" t="s">
        <v>4482</v>
      </c>
      <c r="B3021" s="2">
        <v>46161</v>
      </c>
      <c r="C3021" t="s">
        <v>1078</v>
      </c>
      <c r="D3021" t="s">
        <v>70</v>
      </c>
      <c r="E3021" t="s">
        <v>108</v>
      </c>
      <c r="F3021">
        <v>3</v>
      </c>
      <c r="G3021">
        <v>0</v>
      </c>
      <c r="H3021">
        <v>13500</v>
      </c>
      <c r="I3021">
        <v>4500</v>
      </c>
      <c r="J3021" t="s">
        <v>26</v>
      </c>
      <c r="K3021" t="s">
        <v>40</v>
      </c>
      <c r="L3021">
        <v>4500</v>
      </c>
      <c r="M3021">
        <v>33.333333333333329</v>
      </c>
      <c r="N3021" t="s">
        <v>8</v>
      </c>
      <c r="O3021" t="s">
        <v>1079</v>
      </c>
      <c r="P3021" t="s">
        <v>83</v>
      </c>
      <c r="Q3021" t="s">
        <v>30</v>
      </c>
      <c r="R3021" t="s">
        <v>31</v>
      </c>
      <c r="S3021" t="s">
        <v>32</v>
      </c>
      <c r="T3021" t="s">
        <v>948</v>
      </c>
      <c r="U3021" t="s">
        <v>34</v>
      </c>
      <c r="V3021">
        <v>1500</v>
      </c>
    </row>
    <row r="3022" spans="1:22" x14ac:dyDescent="0.3">
      <c r="A3022" t="s">
        <v>4483</v>
      </c>
      <c r="B3022" s="2">
        <v>45895</v>
      </c>
      <c r="C3022" t="s">
        <v>824</v>
      </c>
      <c r="D3022" t="s">
        <v>37</v>
      </c>
      <c r="E3022" t="s">
        <v>38</v>
      </c>
      <c r="F3022">
        <v>3</v>
      </c>
      <c r="G3022">
        <v>0</v>
      </c>
      <c r="H3022">
        <v>5400</v>
      </c>
      <c r="I3022">
        <v>1950</v>
      </c>
      <c r="J3022" t="s">
        <v>51</v>
      </c>
      <c r="K3022" t="s">
        <v>40</v>
      </c>
      <c r="L3022">
        <v>1800</v>
      </c>
      <c r="M3022">
        <v>36.111111111111107</v>
      </c>
      <c r="N3022" t="s">
        <v>8</v>
      </c>
      <c r="O3022" t="s">
        <v>825</v>
      </c>
      <c r="P3022" t="s">
        <v>29</v>
      </c>
      <c r="Q3022" t="s">
        <v>30</v>
      </c>
      <c r="R3022" t="s">
        <v>53</v>
      </c>
      <c r="S3022" t="s">
        <v>54</v>
      </c>
      <c r="T3022" t="s">
        <v>826</v>
      </c>
      <c r="U3022" t="s">
        <v>105</v>
      </c>
      <c r="V3022">
        <v>650</v>
      </c>
    </row>
    <row r="3023" spans="1:22" x14ac:dyDescent="0.3">
      <c r="A3023" t="s">
        <v>4484</v>
      </c>
      <c r="B3023" s="2">
        <v>46100</v>
      </c>
      <c r="C3023" t="s">
        <v>4485</v>
      </c>
      <c r="D3023" t="s">
        <v>37</v>
      </c>
      <c r="E3023" t="s">
        <v>310</v>
      </c>
      <c r="F3023">
        <v>2</v>
      </c>
      <c r="G3023">
        <v>0.15</v>
      </c>
      <c r="H3023">
        <v>3740</v>
      </c>
      <c r="I3023">
        <v>1100.55</v>
      </c>
      <c r="J3023" t="s">
        <v>26</v>
      </c>
      <c r="K3023" t="s">
        <v>40</v>
      </c>
      <c r="L3023">
        <v>1870</v>
      </c>
      <c r="M3023">
        <v>29.42647058823529</v>
      </c>
      <c r="N3023" t="s">
        <v>8</v>
      </c>
      <c r="O3023" t="s">
        <v>4486</v>
      </c>
      <c r="P3023" t="s">
        <v>83</v>
      </c>
      <c r="Q3023" t="s">
        <v>131</v>
      </c>
      <c r="R3023" t="s">
        <v>132</v>
      </c>
      <c r="S3023" t="s">
        <v>133</v>
      </c>
      <c r="T3023" t="s">
        <v>1850</v>
      </c>
      <c r="U3023" t="s">
        <v>34</v>
      </c>
      <c r="V3023">
        <v>550.27499999999998</v>
      </c>
    </row>
    <row r="3024" spans="1:22" x14ac:dyDescent="0.3">
      <c r="A3024" t="s">
        <v>4487</v>
      </c>
      <c r="B3024" s="2">
        <v>46239</v>
      </c>
      <c r="C3024" t="s">
        <v>671</v>
      </c>
      <c r="D3024" t="s">
        <v>49</v>
      </c>
      <c r="E3024" t="s">
        <v>50</v>
      </c>
      <c r="F3024">
        <v>2</v>
      </c>
      <c r="G3024">
        <v>0.1</v>
      </c>
      <c r="H3024">
        <v>23400</v>
      </c>
      <c r="I3024">
        <v>-1756.27</v>
      </c>
      <c r="J3024" t="s">
        <v>26</v>
      </c>
      <c r="K3024" t="s">
        <v>434</v>
      </c>
      <c r="L3024">
        <v>11700</v>
      </c>
      <c r="M3024">
        <v>-7.5054273504273503</v>
      </c>
      <c r="N3024" t="s">
        <v>81</v>
      </c>
      <c r="O3024" t="s">
        <v>582</v>
      </c>
      <c r="P3024" t="s">
        <v>73</v>
      </c>
      <c r="Q3024" t="s">
        <v>30</v>
      </c>
      <c r="R3024" t="s">
        <v>53</v>
      </c>
      <c r="S3024" t="s">
        <v>54</v>
      </c>
      <c r="T3024" t="s">
        <v>672</v>
      </c>
      <c r="U3024" t="s">
        <v>46</v>
      </c>
      <c r="V3024">
        <v>-878.13499999999999</v>
      </c>
    </row>
    <row r="3025" spans="1:22" x14ac:dyDescent="0.3">
      <c r="A3025" t="s">
        <v>4488</v>
      </c>
      <c r="B3025" s="2">
        <v>45960</v>
      </c>
      <c r="C3025" t="s">
        <v>268</v>
      </c>
      <c r="D3025" t="s">
        <v>37</v>
      </c>
      <c r="E3025" t="s">
        <v>38</v>
      </c>
      <c r="F3025">
        <v>4</v>
      </c>
      <c r="G3025">
        <v>0.15</v>
      </c>
      <c r="H3025">
        <v>6120</v>
      </c>
      <c r="I3025">
        <v>1779.1</v>
      </c>
      <c r="J3025" t="s">
        <v>65</v>
      </c>
      <c r="K3025" t="s">
        <v>40</v>
      </c>
      <c r="L3025">
        <v>1530</v>
      </c>
      <c r="M3025">
        <v>29.070261437908499</v>
      </c>
      <c r="N3025" t="s">
        <v>8</v>
      </c>
      <c r="O3025" t="s">
        <v>269</v>
      </c>
      <c r="P3025" t="s">
        <v>29</v>
      </c>
      <c r="Q3025" t="s">
        <v>30</v>
      </c>
      <c r="R3025" t="s">
        <v>31</v>
      </c>
      <c r="S3025" t="s">
        <v>32</v>
      </c>
      <c r="T3025" t="s">
        <v>270</v>
      </c>
      <c r="U3025" t="s">
        <v>34</v>
      </c>
      <c r="V3025">
        <v>444.77499999999998</v>
      </c>
    </row>
    <row r="3026" spans="1:22" x14ac:dyDescent="0.3">
      <c r="A3026" t="s">
        <v>4489</v>
      </c>
      <c r="B3026" s="2">
        <v>45847</v>
      </c>
      <c r="C3026" t="s">
        <v>1685</v>
      </c>
      <c r="D3026" t="s">
        <v>49</v>
      </c>
      <c r="E3026" t="s">
        <v>50</v>
      </c>
      <c r="F3026">
        <v>3</v>
      </c>
      <c r="G3026">
        <v>0.05</v>
      </c>
      <c r="H3026">
        <v>37050</v>
      </c>
      <c r="I3026">
        <v>8202.25</v>
      </c>
      <c r="J3026" t="s">
        <v>26</v>
      </c>
      <c r="K3026" t="s">
        <v>40</v>
      </c>
      <c r="L3026">
        <v>12350</v>
      </c>
      <c r="M3026">
        <v>22.138326585695001</v>
      </c>
      <c r="N3026" t="s">
        <v>8</v>
      </c>
      <c r="O3026" t="s">
        <v>1215</v>
      </c>
      <c r="P3026" t="s">
        <v>29</v>
      </c>
      <c r="Q3026" t="s">
        <v>131</v>
      </c>
      <c r="R3026" t="s">
        <v>132</v>
      </c>
      <c r="S3026" t="s">
        <v>133</v>
      </c>
      <c r="T3026" t="s">
        <v>1686</v>
      </c>
      <c r="U3026" t="s">
        <v>105</v>
      </c>
      <c r="V3026">
        <v>2734.083333333333</v>
      </c>
    </row>
    <row r="3027" spans="1:22" x14ac:dyDescent="0.3">
      <c r="A3027" t="s">
        <v>4490</v>
      </c>
      <c r="B3027" s="2">
        <v>46252</v>
      </c>
      <c r="C3027" t="s">
        <v>1799</v>
      </c>
      <c r="D3027" t="s">
        <v>24</v>
      </c>
      <c r="E3027" t="s">
        <v>25</v>
      </c>
      <c r="F3027">
        <v>2</v>
      </c>
      <c r="G3027">
        <v>0.15</v>
      </c>
      <c r="H3027">
        <v>23800</v>
      </c>
      <c r="I3027">
        <v>-6690.18</v>
      </c>
      <c r="J3027" t="s">
        <v>39</v>
      </c>
      <c r="K3027" t="s">
        <v>80</v>
      </c>
      <c r="L3027">
        <v>11900</v>
      </c>
      <c r="M3027">
        <v>-28.11</v>
      </c>
      <c r="N3027" t="s">
        <v>81</v>
      </c>
      <c r="O3027" t="s">
        <v>1800</v>
      </c>
      <c r="P3027" t="s">
        <v>73</v>
      </c>
      <c r="Q3027" t="s">
        <v>30</v>
      </c>
      <c r="R3027" t="s">
        <v>98</v>
      </c>
      <c r="S3027" t="s">
        <v>54</v>
      </c>
      <c r="T3027" t="s">
        <v>1801</v>
      </c>
      <c r="U3027" t="s">
        <v>100</v>
      </c>
      <c r="V3027">
        <v>-3345.09</v>
      </c>
    </row>
    <row r="3028" spans="1:22" x14ac:dyDescent="0.3">
      <c r="A3028" t="s">
        <v>4491</v>
      </c>
      <c r="B3028" s="2">
        <v>45860</v>
      </c>
      <c r="C3028" t="s">
        <v>4197</v>
      </c>
      <c r="D3028" t="s">
        <v>49</v>
      </c>
      <c r="E3028" t="s">
        <v>50</v>
      </c>
      <c r="F3028">
        <v>4</v>
      </c>
      <c r="G3028">
        <v>0</v>
      </c>
      <c r="H3028">
        <v>52000</v>
      </c>
      <c r="I3028">
        <v>12800</v>
      </c>
      <c r="J3028" t="s">
        <v>65</v>
      </c>
      <c r="K3028" t="s">
        <v>40</v>
      </c>
      <c r="L3028">
        <v>13000</v>
      </c>
      <c r="M3028">
        <v>24.61538461538462</v>
      </c>
      <c r="N3028" t="s">
        <v>8</v>
      </c>
      <c r="O3028" t="s">
        <v>2267</v>
      </c>
      <c r="P3028" t="s">
        <v>29</v>
      </c>
      <c r="Q3028" t="s">
        <v>131</v>
      </c>
      <c r="R3028" t="s">
        <v>200</v>
      </c>
      <c r="S3028" t="s">
        <v>201</v>
      </c>
      <c r="T3028" t="s">
        <v>4198</v>
      </c>
      <c r="U3028" t="s">
        <v>100</v>
      </c>
      <c r="V3028">
        <v>3200</v>
      </c>
    </row>
    <row r="3029" spans="1:22" x14ac:dyDescent="0.3">
      <c r="A3029" t="s">
        <v>4492</v>
      </c>
      <c r="B3029" s="2">
        <v>46092</v>
      </c>
      <c r="C3029" t="s">
        <v>1533</v>
      </c>
      <c r="D3029" t="s">
        <v>24</v>
      </c>
      <c r="E3029" t="s">
        <v>25</v>
      </c>
      <c r="F3029">
        <v>1</v>
      </c>
      <c r="G3029">
        <v>0.2</v>
      </c>
      <c r="H3029">
        <v>11200</v>
      </c>
      <c r="I3029">
        <v>770.36</v>
      </c>
      <c r="J3029" t="s">
        <v>65</v>
      </c>
      <c r="K3029" t="s">
        <v>40</v>
      </c>
      <c r="L3029">
        <v>11200</v>
      </c>
      <c r="M3029">
        <v>6.8782142857142858</v>
      </c>
      <c r="N3029" t="s">
        <v>8</v>
      </c>
      <c r="O3029" t="s">
        <v>1534</v>
      </c>
      <c r="P3029" t="s">
        <v>83</v>
      </c>
      <c r="Q3029" t="s">
        <v>42</v>
      </c>
      <c r="R3029" t="s">
        <v>110</v>
      </c>
      <c r="S3029" t="s">
        <v>111</v>
      </c>
      <c r="T3029" t="s">
        <v>503</v>
      </c>
      <c r="U3029" t="s">
        <v>46</v>
      </c>
      <c r="V3029">
        <v>770.36</v>
      </c>
    </row>
    <row r="3030" spans="1:22" x14ac:dyDescent="0.3">
      <c r="A3030" t="s">
        <v>4493</v>
      </c>
      <c r="B3030" s="2">
        <v>46230</v>
      </c>
      <c r="C3030" t="s">
        <v>732</v>
      </c>
      <c r="D3030" t="s">
        <v>70</v>
      </c>
      <c r="E3030" t="s">
        <v>108</v>
      </c>
      <c r="F3030">
        <v>5</v>
      </c>
      <c r="G3030">
        <v>0.2</v>
      </c>
      <c r="H3030">
        <v>18000</v>
      </c>
      <c r="I3030">
        <v>5049.38</v>
      </c>
      <c r="J3030" t="s">
        <v>51</v>
      </c>
      <c r="K3030" t="s">
        <v>40</v>
      </c>
      <c r="L3030">
        <v>3600</v>
      </c>
      <c r="M3030">
        <v>28.05211111111111</v>
      </c>
      <c r="N3030" t="s">
        <v>8</v>
      </c>
      <c r="O3030" t="s">
        <v>733</v>
      </c>
      <c r="P3030" t="s">
        <v>29</v>
      </c>
      <c r="Q3030" t="s">
        <v>131</v>
      </c>
      <c r="R3030" t="s">
        <v>449</v>
      </c>
      <c r="S3030" t="s">
        <v>450</v>
      </c>
      <c r="T3030" t="s">
        <v>734</v>
      </c>
      <c r="U3030" t="s">
        <v>34</v>
      </c>
      <c r="V3030">
        <v>1009.876</v>
      </c>
    </row>
    <row r="3031" spans="1:22" x14ac:dyDescent="0.3">
      <c r="A3031" t="s">
        <v>4494</v>
      </c>
      <c r="B3031" s="2">
        <v>45975</v>
      </c>
      <c r="C3031" t="s">
        <v>283</v>
      </c>
      <c r="D3031" t="s">
        <v>49</v>
      </c>
      <c r="E3031" t="s">
        <v>50</v>
      </c>
      <c r="F3031">
        <v>5</v>
      </c>
      <c r="G3031">
        <v>0.15</v>
      </c>
      <c r="H3031">
        <v>55250</v>
      </c>
      <c r="I3031">
        <v>7975.3</v>
      </c>
      <c r="J3031" t="s">
        <v>65</v>
      </c>
      <c r="K3031" t="s">
        <v>40</v>
      </c>
      <c r="L3031">
        <v>11050</v>
      </c>
      <c r="M3031">
        <v>14.434932126696831</v>
      </c>
      <c r="N3031" t="s">
        <v>8</v>
      </c>
      <c r="O3031" t="s">
        <v>284</v>
      </c>
      <c r="P3031" t="s">
        <v>29</v>
      </c>
      <c r="Q3031" t="s">
        <v>30</v>
      </c>
      <c r="R3031" t="s">
        <v>53</v>
      </c>
      <c r="S3031" t="s">
        <v>54</v>
      </c>
      <c r="T3031" t="s">
        <v>285</v>
      </c>
      <c r="U3031" t="s">
        <v>34</v>
      </c>
      <c r="V3031">
        <v>1595.06</v>
      </c>
    </row>
    <row r="3032" spans="1:22" x14ac:dyDescent="0.3">
      <c r="A3032" t="s">
        <v>4495</v>
      </c>
      <c r="B3032" s="2">
        <v>46238</v>
      </c>
      <c r="C3032" t="s">
        <v>854</v>
      </c>
      <c r="D3032" t="s">
        <v>70</v>
      </c>
      <c r="E3032" t="s">
        <v>129</v>
      </c>
      <c r="F3032">
        <v>2</v>
      </c>
      <c r="G3032">
        <v>0.15</v>
      </c>
      <c r="H3032">
        <v>93500</v>
      </c>
      <c r="I3032">
        <v>10395.620000000001</v>
      </c>
      <c r="J3032" t="s">
        <v>39</v>
      </c>
      <c r="K3032" t="s">
        <v>40</v>
      </c>
      <c r="L3032">
        <v>46750</v>
      </c>
      <c r="M3032">
        <v>11.118310160427811</v>
      </c>
      <c r="N3032" t="s">
        <v>8</v>
      </c>
      <c r="O3032" t="s">
        <v>855</v>
      </c>
      <c r="P3032" t="s">
        <v>29</v>
      </c>
      <c r="Q3032" t="s">
        <v>74</v>
      </c>
      <c r="R3032" t="s">
        <v>493</v>
      </c>
      <c r="S3032" t="s">
        <v>494</v>
      </c>
      <c r="T3032" t="s">
        <v>856</v>
      </c>
      <c r="U3032" t="s">
        <v>100</v>
      </c>
      <c r="V3032">
        <v>5197.8100000000004</v>
      </c>
    </row>
    <row r="3033" spans="1:22" x14ac:dyDescent="0.3">
      <c r="A3033" t="s">
        <v>4496</v>
      </c>
      <c r="B3033" s="2">
        <v>46243</v>
      </c>
      <c r="C3033" t="s">
        <v>729</v>
      </c>
      <c r="D3033" t="s">
        <v>24</v>
      </c>
      <c r="E3033" t="s">
        <v>242</v>
      </c>
      <c r="F3033">
        <v>3</v>
      </c>
      <c r="G3033">
        <v>0</v>
      </c>
      <c r="H3033">
        <v>1350</v>
      </c>
      <c r="I3033">
        <v>330</v>
      </c>
      <c r="J3033" t="s">
        <v>51</v>
      </c>
      <c r="K3033" t="s">
        <v>40</v>
      </c>
      <c r="L3033">
        <v>450</v>
      </c>
      <c r="M3033">
        <v>24.444444444444439</v>
      </c>
      <c r="N3033" t="s">
        <v>8</v>
      </c>
      <c r="O3033" t="s">
        <v>730</v>
      </c>
      <c r="P3033" t="s">
        <v>73</v>
      </c>
      <c r="Q3033" t="s">
        <v>30</v>
      </c>
      <c r="R3033" t="s">
        <v>31</v>
      </c>
      <c r="S3033" t="s">
        <v>32</v>
      </c>
      <c r="T3033" t="s">
        <v>215</v>
      </c>
      <c r="U3033" t="s">
        <v>100</v>
      </c>
      <c r="V3033">
        <v>110</v>
      </c>
    </row>
    <row r="3034" spans="1:22" x14ac:dyDescent="0.3">
      <c r="A3034" t="s">
        <v>4497</v>
      </c>
      <c r="B3034" s="2">
        <v>46127</v>
      </c>
      <c r="C3034" t="s">
        <v>729</v>
      </c>
      <c r="D3034" t="s">
        <v>49</v>
      </c>
      <c r="E3034" t="s">
        <v>79</v>
      </c>
      <c r="F3034">
        <v>2</v>
      </c>
      <c r="G3034">
        <v>0.05</v>
      </c>
      <c r="H3034">
        <v>20900</v>
      </c>
      <c r="I3034">
        <v>4390.07</v>
      </c>
      <c r="J3034" t="s">
        <v>26</v>
      </c>
      <c r="K3034" t="s">
        <v>40</v>
      </c>
      <c r="L3034">
        <v>10450</v>
      </c>
      <c r="M3034">
        <v>21.005119617224882</v>
      </c>
      <c r="N3034" t="s">
        <v>8</v>
      </c>
      <c r="O3034" t="s">
        <v>730</v>
      </c>
      <c r="P3034" t="s">
        <v>73</v>
      </c>
      <c r="Q3034" t="s">
        <v>30</v>
      </c>
      <c r="R3034" t="s">
        <v>31</v>
      </c>
      <c r="S3034" t="s">
        <v>32</v>
      </c>
      <c r="T3034" t="s">
        <v>215</v>
      </c>
      <c r="U3034" t="s">
        <v>100</v>
      </c>
      <c r="V3034">
        <v>2195.0349999999999</v>
      </c>
    </row>
    <row r="3035" spans="1:22" x14ac:dyDescent="0.3">
      <c r="A3035" t="s">
        <v>4498</v>
      </c>
      <c r="B3035" s="2">
        <v>46102</v>
      </c>
      <c r="C3035" t="s">
        <v>598</v>
      </c>
      <c r="D3035" t="s">
        <v>24</v>
      </c>
      <c r="E3035" t="s">
        <v>25</v>
      </c>
      <c r="F3035">
        <v>5</v>
      </c>
      <c r="G3035">
        <v>0.15</v>
      </c>
      <c r="H3035">
        <v>59500</v>
      </c>
      <c r="I3035">
        <v>8011.28</v>
      </c>
      <c r="J3035" t="s">
        <v>65</v>
      </c>
      <c r="K3035" t="s">
        <v>27</v>
      </c>
      <c r="L3035">
        <v>11900</v>
      </c>
      <c r="M3035">
        <v>13.464336134453781</v>
      </c>
      <c r="N3035" t="s">
        <v>8</v>
      </c>
      <c r="O3035" t="s">
        <v>599</v>
      </c>
      <c r="P3035" t="s">
        <v>600</v>
      </c>
      <c r="Q3035" t="s">
        <v>131</v>
      </c>
      <c r="R3035" t="s">
        <v>200</v>
      </c>
      <c r="S3035" t="s">
        <v>201</v>
      </c>
      <c r="T3035" t="s">
        <v>601</v>
      </c>
      <c r="U3035" t="s">
        <v>34</v>
      </c>
      <c r="V3035">
        <v>1602.2560000000001</v>
      </c>
    </row>
    <row r="3036" spans="1:22" x14ac:dyDescent="0.3">
      <c r="A3036" t="s">
        <v>4499</v>
      </c>
      <c r="B3036" s="2">
        <v>46160</v>
      </c>
      <c r="C3036" t="s">
        <v>797</v>
      </c>
      <c r="D3036" t="s">
        <v>49</v>
      </c>
      <c r="E3036" t="s">
        <v>119</v>
      </c>
      <c r="F3036">
        <v>6</v>
      </c>
      <c r="G3036">
        <v>0.1</v>
      </c>
      <c r="H3036">
        <v>48600</v>
      </c>
      <c r="I3036">
        <v>10686.95</v>
      </c>
      <c r="J3036" t="s">
        <v>39</v>
      </c>
      <c r="K3036" t="s">
        <v>40</v>
      </c>
      <c r="L3036">
        <v>8100</v>
      </c>
      <c r="M3036">
        <v>21.98960905349794</v>
      </c>
      <c r="N3036" t="s">
        <v>8</v>
      </c>
      <c r="O3036" t="s">
        <v>798</v>
      </c>
      <c r="P3036" t="s">
        <v>73</v>
      </c>
      <c r="Q3036" t="s">
        <v>42</v>
      </c>
      <c r="R3036" t="s">
        <v>110</v>
      </c>
      <c r="S3036" t="s">
        <v>111</v>
      </c>
      <c r="T3036" t="s">
        <v>799</v>
      </c>
      <c r="U3036" t="s">
        <v>34</v>
      </c>
      <c r="V3036">
        <v>1781.158333333334</v>
      </c>
    </row>
    <row r="3037" spans="1:22" x14ac:dyDescent="0.3">
      <c r="A3037" t="s">
        <v>4500</v>
      </c>
      <c r="B3037" s="2">
        <v>46211</v>
      </c>
      <c r="C3037" t="s">
        <v>907</v>
      </c>
      <c r="D3037" t="s">
        <v>24</v>
      </c>
      <c r="E3037" t="s">
        <v>92</v>
      </c>
      <c r="F3037">
        <v>2</v>
      </c>
      <c r="G3037">
        <v>0.15</v>
      </c>
      <c r="H3037">
        <v>1530</v>
      </c>
      <c r="I3037">
        <v>383.23</v>
      </c>
      <c r="J3037" t="s">
        <v>26</v>
      </c>
      <c r="K3037" t="s">
        <v>27</v>
      </c>
      <c r="L3037">
        <v>765</v>
      </c>
      <c r="M3037">
        <v>25.047712418300659</v>
      </c>
      <c r="N3037" t="s">
        <v>8</v>
      </c>
      <c r="O3037" t="s">
        <v>908</v>
      </c>
      <c r="P3037" t="s">
        <v>29</v>
      </c>
      <c r="Q3037" t="s">
        <v>30</v>
      </c>
      <c r="R3037" t="s">
        <v>60</v>
      </c>
      <c r="S3037" t="s">
        <v>61</v>
      </c>
      <c r="T3037" t="s">
        <v>486</v>
      </c>
      <c r="U3037" t="s">
        <v>34</v>
      </c>
      <c r="V3037">
        <v>191.61500000000001</v>
      </c>
    </row>
    <row r="3038" spans="1:22" x14ac:dyDescent="0.3">
      <c r="A3038" t="s">
        <v>4501</v>
      </c>
      <c r="B3038" s="2">
        <v>46037</v>
      </c>
      <c r="C3038" t="s">
        <v>208</v>
      </c>
      <c r="D3038" t="s">
        <v>37</v>
      </c>
      <c r="E3038" t="s">
        <v>190</v>
      </c>
      <c r="F3038">
        <v>2</v>
      </c>
      <c r="G3038">
        <v>0</v>
      </c>
      <c r="H3038">
        <v>8400</v>
      </c>
      <c r="I3038">
        <v>2400</v>
      </c>
      <c r="J3038" t="s">
        <v>65</v>
      </c>
      <c r="K3038" t="s">
        <v>40</v>
      </c>
      <c r="L3038">
        <v>4200</v>
      </c>
      <c r="M3038">
        <v>28.571428571428569</v>
      </c>
      <c r="N3038" t="s">
        <v>8</v>
      </c>
      <c r="O3038" t="s">
        <v>209</v>
      </c>
      <c r="P3038" t="s">
        <v>29</v>
      </c>
      <c r="Q3038" t="s">
        <v>30</v>
      </c>
      <c r="R3038" t="s">
        <v>60</v>
      </c>
      <c r="S3038" t="s">
        <v>61</v>
      </c>
      <c r="T3038" t="s">
        <v>210</v>
      </c>
      <c r="U3038" t="s">
        <v>46</v>
      </c>
      <c r="V3038">
        <v>1200</v>
      </c>
    </row>
    <row r="3039" spans="1:22" x14ac:dyDescent="0.3">
      <c r="A3039" t="s">
        <v>4502</v>
      </c>
      <c r="B3039" s="2">
        <v>46195</v>
      </c>
      <c r="C3039" t="s">
        <v>1951</v>
      </c>
      <c r="D3039" t="s">
        <v>24</v>
      </c>
      <c r="E3039" t="s">
        <v>242</v>
      </c>
      <c r="F3039">
        <v>2</v>
      </c>
      <c r="G3039">
        <v>0.05</v>
      </c>
      <c r="H3039">
        <v>855</v>
      </c>
      <c r="I3039">
        <v>192.8</v>
      </c>
      <c r="J3039" t="s">
        <v>51</v>
      </c>
      <c r="K3039" t="s">
        <v>40</v>
      </c>
      <c r="L3039">
        <v>427.5</v>
      </c>
      <c r="M3039">
        <v>22.549707602339179</v>
      </c>
      <c r="N3039" t="s">
        <v>8</v>
      </c>
      <c r="O3039" t="s">
        <v>1952</v>
      </c>
      <c r="P3039" t="s">
        <v>29</v>
      </c>
      <c r="Q3039" t="s">
        <v>30</v>
      </c>
      <c r="R3039" t="s">
        <v>31</v>
      </c>
      <c r="S3039" t="s">
        <v>32</v>
      </c>
      <c r="T3039" t="s">
        <v>1953</v>
      </c>
      <c r="U3039" t="s">
        <v>34</v>
      </c>
      <c r="V3039">
        <v>96.4</v>
      </c>
    </row>
    <row r="3040" spans="1:22" x14ac:dyDescent="0.3">
      <c r="A3040" t="s">
        <v>4503</v>
      </c>
      <c r="B3040" s="2">
        <v>46250</v>
      </c>
      <c r="C3040" t="s">
        <v>1164</v>
      </c>
      <c r="D3040" t="s">
        <v>24</v>
      </c>
      <c r="E3040" t="s">
        <v>242</v>
      </c>
      <c r="F3040">
        <v>1</v>
      </c>
      <c r="G3040">
        <v>0.1</v>
      </c>
      <c r="H3040">
        <v>405</v>
      </c>
      <c r="I3040">
        <v>-217.21</v>
      </c>
      <c r="J3040" t="s">
        <v>39</v>
      </c>
      <c r="K3040" t="s">
        <v>80</v>
      </c>
      <c r="L3040">
        <v>405</v>
      </c>
      <c r="M3040">
        <v>-53.632098765432097</v>
      </c>
      <c r="N3040" t="s">
        <v>81</v>
      </c>
      <c r="O3040" t="s">
        <v>284</v>
      </c>
      <c r="P3040" t="s">
        <v>29</v>
      </c>
      <c r="Q3040" t="s">
        <v>30</v>
      </c>
      <c r="R3040" t="s">
        <v>98</v>
      </c>
      <c r="S3040" t="s">
        <v>54</v>
      </c>
      <c r="T3040" t="s">
        <v>1165</v>
      </c>
      <c r="U3040" t="s">
        <v>105</v>
      </c>
      <c r="V3040">
        <v>-217.21</v>
      </c>
    </row>
    <row r="3041" spans="1:22" x14ac:dyDescent="0.3">
      <c r="A3041" t="s">
        <v>4504</v>
      </c>
      <c r="B3041" s="2">
        <v>46071</v>
      </c>
      <c r="C3041" t="s">
        <v>279</v>
      </c>
      <c r="D3041" t="s">
        <v>37</v>
      </c>
      <c r="E3041" t="s">
        <v>190</v>
      </c>
      <c r="F3041">
        <v>1</v>
      </c>
      <c r="G3041">
        <v>0.1</v>
      </c>
      <c r="H3041">
        <v>3780</v>
      </c>
      <c r="I3041">
        <v>853.84</v>
      </c>
      <c r="J3041" t="s">
        <v>51</v>
      </c>
      <c r="K3041" t="s">
        <v>40</v>
      </c>
      <c r="L3041">
        <v>3780</v>
      </c>
      <c r="M3041">
        <v>22.588359788359789</v>
      </c>
      <c r="N3041" t="s">
        <v>8</v>
      </c>
      <c r="O3041" t="s">
        <v>280</v>
      </c>
      <c r="P3041" t="s">
        <v>73</v>
      </c>
      <c r="Q3041" t="s">
        <v>30</v>
      </c>
      <c r="R3041" t="s">
        <v>31</v>
      </c>
      <c r="S3041" t="s">
        <v>32</v>
      </c>
      <c r="T3041" t="s">
        <v>281</v>
      </c>
      <c r="U3041" t="s">
        <v>46</v>
      </c>
      <c r="V3041">
        <v>853.84</v>
      </c>
    </row>
    <row r="3042" spans="1:22" x14ac:dyDescent="0.3">
      <c r="A3042" t="s">
        <v>4505</v>
      </c>
      <c r="B3042" s="2">
        <v>45966</v>
      </c>
      <c r="C3042" t="s">
        <v>1605</v>
      </c>
      <c r="D3042" t="s">
        <v>70</v>
      </c>
      <c r="E3042" t="s">
        <v>71</v>
      </c>
      <c r="F3042">
        <v>1</v>
      </c>
      <c r="G3042">
        <v>0</v>
      </c>
      <c r="H3042">
        <v>18000</v>
      </c>
      <c r="I3042">
        <v>3500</v>
      </c>
      <c r="J3042" t="s">
        <v>39</v>
      </c>
      <c r="K3042" t="s">
        <v>40</v>
      </c>
      <c r="L3042">
        <v>18000</v>
      </c>
      <c r="M3042">
        <v>19.44444444444445</v>
      </c>
      <c r="N3042" t="s">
        <v>8</v>
      </c>
      <c r="O3042" t="s">
        <v>1606</v>
      </c>
      <c r="P3042" t="s">
        <v>73</v>
      </c>
      <c r="Q3042" t="s">
        <v>30</v>
      </c>
      <c r="R3042" t="s">
        <v>53</v>
      </c>
      <c r="S3042" t="s">
        <v>54</v>
      </c>
      <c r="T3042" t="s">
        <v>1607</v>
      </c>
      <c r="U3042" t="s">
        <v>34</v>
      </c>
      <c r="V3042">
        <v>3500</v>
      </c>
    </row>
    <row r="3043" spans="1:22" x14ac:dyDescent="0.3">
      <c r="A3043" t="s">
        <v>4506</v>
      </c>
      <c r="B3043" s="2">
        <v>45842</v>
      </c>
      <c r="C3043" t="s">
        <v>525</v>
      </c>
      <c r="D3043" t="s">
        <v>70</v>
      </c>
      <c r="E3043" t="s">
        <v>71</v>
      </c>
      <c r="F3043">
        <v>2</v>
      </c>
      <c r="G3043">
        <v>0.15</v>
      </c>
      <c r="H3043">
        <v>30600</v>
      </c>
      <c r="I3043">
        <v>3775.53</v>
      </c>
      <c r="J3043" t="s">
        <v>26</v>
      </c>
      <c r="K3043" t="s">
        <v>40</v>
      </c>
      <c r="L3043">
        <v>15300</v>
      </c>
      <c r="M3043">
        <v>12.338333333333329</v>
      </c>
      <c r="N3043" t="s">
        <v>8</v>
      </c>
      <c r="O3043" t="s">
        <v>526</v>
      </c>
      <c r="P3043" t="s">
        <v>29</v>
      </c>
      <c r="Q3043" t="s">
        <v>30</v>
      </c>
      <c r="R3043" t="s">
        <v>98</v>
      </c>
      <c r="S3043" t="s">
        <v>54</v>
      </c>
      <c r="T3043" t="s">
        <v>527</v>
      </c>
      <c r="U3043" t="s">
        <v>34</v>
      </c>
      <c r="V3043">
        <v>1887.7650000000001</v>
      </c>
    </row>
    <row r="3044" spans="1:22" x14ac:dyDescent="0.3">
      <c r="A3044" t="s">
        <v>4507</v>
      </c>
      <c r="B3044" s="2">
        <v>46047</v>
      </c>
      <c r="C3044" t="s">
        <v>1433</v>
      </c>
      <c r="D3044" t="s">
        <v>70</v>
      </c>
      <c r="E3044" t="s">
        <v>165</v>
      </c>
      <c r="F3044">
        <v>1</v>
      </c>
      <c r="G3044">
        <v>0</v>
      </c>
      <c r="H3044">
        <v>2500</v>
      </c>
      <c r="I3044">
        <v>800</v>
      </c>
      <c r="J3044" t="s">
        <v>51</v>
      </c>
      <c r="K3044" t="s">
        <v>40</v>
      </c>
      <c r="L3044">
        <v>2500</v>
      </c>
      <c r="M3044">
        <v>32</v>
      </c>
      <c r="N3044" t="s">
        <v>8</v>
      </c>
      <c r="O3044" t="s">
        <v>318</v>
      </c>
      <c r="P3044" t="s">
        <v>73</v>
      </c>
      <c r="Q3044" t="s">
        <v>30</v>
      </c>
      <c r="R3044" t="s">
        <v>53</v>
      </c>
      <c r="S3044" t="s">
        <v>54</v>
      </c>
      <c r="T3044" t="s">
        <v>1434</v>
      </c>
      <c r="U3044" t="s">
        <v>34</v>
      </c>
      <c r="V3044">
        <v>800</v>
      </c>
    </row>
    <row r="3045" spans="1:22" x14ac:dyDescent="0.3">
      <c r="A3045" t="s">
        <v>4508</v>
      </c>
      <c r="B3045" s="2">
        <v>46060</v>
      </c>
      <c r="C3045" t="s">
        <v>3440</v>
      </c>
      <c r="D3045" t="s">
        <v>24</v>
      </c>
      <c r="E3045" t="s">
        <v>242</v>
      </c>
      <c r="F3045">
        <v>2</v>
      </c>
      <c r="G3045">
        <v>0.15</v>
      </c>
      <c r="H3045">
        <v>765</v>
      </c>
      <c r="I3045">
        <v>151.81</v>
      </c>
      <c r="J3045" t="s">
        <v>65</v>
      </c>
      <c r="K3045" t="s">
        <v>40</v>
      </c>
      <c r="L3045">
        <v>382.5</v>
      </c>
      <c r="M3045">
        <v>19.844444444444441</v>
      </c>
      <c r="N3045" t="s">
        <v>8</v>
      </c>
      <c r="O3045" t="s">
        <v>847</v>
      </c>
      <c r="P3045" t="s">
        <v>29</v>
      </c>
      <c r="Q3045" t="s">
        <v>42</v>
      </c>
      <c r="R3045" t="s">
        <v>121</v>
      </c>
      <c r="S3045" t="s">
        <v>44</v>
      </c>
      <c r="T3045" t="s">
        <v>3441</v>
      </c>
      <c r="U3045" t="s">
        <v>34</v>
      </c>
      <c r="V3045">
        <v>75.905000000000001</v>
      </c>
    </row>
    <row r="3046" spans="1:22" x14ac:dyDescent="0.3">
      <c r="A3046" t="s">
        <v>4509</v>
      </c>
      <c r="B3046" s="2">
        <v>45874</v>
      </c>
      <c r="C3046" t="s">
        <v>78</v>
      </c>
      <c r="D3046" t="s">
        <v>24</v>
      </c>
      <c r="E3046" t="s">
        <v>87</v>
      </c>
      <c r="F3046">
        <v>2</v>
      </c>
      <c r="G3046">
        <v>0.15</v>
      </c>
      <c r="H3046">
        <v>595</v>
      </c>
      <c r="I3046">
        <v>176.89</v>
      </c>
      <c r="J3046" t="s">
        <v>65</v>
      </c>
      <c r="K3046" t="s">
        <v>40</v>
      </c>
      <c r="L3046">
        <v>297.5</v>
      </c>
      <c r="M3046">
        <v>29.72941176470588</v>
      </c>
      <c r="N3046" t="s">
        <v>8</v>
      </c>
      <c r="O3046" t="s">
        <v>82</v>
      </c>
      <c r="P3046" t="s">
        <v>83</v>
      </c>
      <c r="Q3046" t="s">
        <v>74</v>
      </c>
      <c r="R3046" t="s">
        <v>75</v>
      </c>
      <c r="S3046" t="s">
        <v>75</v>
      </c>
      <c r="T3046" t="s">
        <v>84</v>
      </c>
      <c r="U3046" t="s">
        <v>34</v>
      </c>
      <c r="V3046">
        <v>88.444999999999993</v>
      </c>
    </row>
    <row r="3047" spans="1:22" x14ac:dyDescent="0.3">
      <c r="A3047" t="s">
        <v>4510</v>
      </c>
      <c r="B3047" s="2">
        <v>45988</v>
      </c>
      <c r="C3047" t="s">
        <v>1812</v>
      </c>
      <c r="D3047" t="s">
        <v>49</v>
      </c>
      <c r="E3047" t="s">
        <v>50</v>
      </c>
      <c r="F3047">
        <v>2</v>
      </c>
      <c r="G3047">
        <v>0.15</v>
      </c>
      <c r="H3047">
        <v>22100</v>
      </c>
      <c r="I3047">
        <v>4461.3999999999996</v>
      </c>
      <c r="J3047" t="s">
        <v>26</v>
      </c>
      <c r="K3047" t="s">
        <v>40</v>
      </c>
      <c r="L3047">
        <v>11050</v>
      </c>
      <c r="M3047">
        <v>20.187330316742081</v>
      </c>
      <c r="N3047" t="s">
        <v>8</v>
      </c>
      <c r="O3047" t="s">
        <v>1813</v>
      </c>
      <c r="P3047" t="s">
        <v>83</v>
      </c>
      <c r="Q3047" t="s">
        <v>30</v>
      </c>
      <c r="R3047" t="s">
        <v>98</v>
      </c>
      <c r="S3047" t="s">
        <v>54</v>
      </c>
      <c r="T3047" t="s">
        <v>1089</v>
      </c>
      <c r="U3047" t="s">
        <v>34</v>
      </c>
      <c r="V3047">
        <v>2230.6999999999998</v>
      </c>
    </row>
    <row r="3048" spans="1:22" x14ac:dyDescent="0.3">
      <c r="A3048" t="s">
        <v>4511</v>
      </c>
      <c r="B3048" s="2">
        <v>46006</v>
      </c>
      <c r="C3048" t="s">
        <v>212</v>
      </c>
      <c r="D3048" t="s">
        <v>49</v>
      </c>
      <c r="E3048" t="s">
        <v>58</v>
      </c>
      <c r="F3048">
        <v>1</v>
      </c>
      <c r="G3048">
        <v>0.05</v>
      </c>
      <c r="H3048">
        <v>14250</v>
      </c>
      <c r="I3048">
        <v>3101.27</v>
      </c>
      <c r="J3048" t="s">
        <v>39</v>
      </c>
      <c r="K3048" t="s">
        <v>40</v>
      </c>
      <c r="L3048">
        <v>14250</v>
      </c>
      <c r="M3048">
        <v>21.763298245614031</v>
      </c>
      <c r="N3048" t="s">
        <v>8</v>
      </c>
      <c r="O3048" t="s">
        <v>213</v>
      </c>
      <c r="P3048" t="s">
        <v>29</v>
      </c>
      <c r="Q3048" t="s">
        <v>42</v>
      </c>
      <c r="R3048" t="s">
        <v>214</v>
      </c>
      <c r="S3048" t="s">
        <v>111</v>
      </c>
      <c r="T3048" t="s">
        <v>215</v>
      </c>
      <c r="U3048" t="s">
        <v>105</v>
      </c>
      <c r="V3048">
        <v>3101.27</v>
      </c>
    </row>
    <row r="3049" spans="1:22" x14ac:dyDescent="0.3">
      <c r="A3049" t="s">
        <v>4512</v>
      </c>
      <c r="B3049" s="2">
        <v>46073</v>
      </c>
      <c r="C3049" t="s">
        <v>2511</v>
      </c>
      <c r="D3049" t="s">
        <v>70</v>
      </c>
      <c r="E3049" t="s">
        <v>108</v>
      </c>
      <c r="F3049">
        <v>2</v>
      </c>
      <c r="G3049">
        <v>0.05</v>
      </c>
      <c r="H3049">
        <v>8550</v>
      </c>
      <c r="I3049">
        <v>2667.99</v>
      </c>
      <c r="J3049" t="s">
        <v>26</v>
      </c>
      <c r="K3049" t="s">
        <v>40</v>
      </c>
      <c r="L3049">
        <v>4275</v>
      </c>
      <c r="M3049">
        <v>31.20456140350877</v>
      </c>
      <c r="N3049" t="s">
        <v>8</v>
      </c>
      <c r="O3049" t="s">
        <v>1695</v>
      </c>
      <c r="P3049" t="s">
        <v>83</v>
      </c>
      <c r="Q3049" t="s">
        <v>30</v>
      </c>
      <c r="R3049" t="s">
        <v>98</v>
      </c>
      <c r="S3049" t="s">
        <v>54</v>
      </c>
      <c r="T3049" t="s">
        <v>2512</v>
      </c>
      <c r="U3049" t="s">
        <v>46</v>
      </c>
      <c r="V3049">
        <v>1333.9949999999999</v>
      </c>
    </row>
    <row r="3050" spans="1:22" x14ac:dyDescent="0.3">
      <c r="A3050" t="s">
        <v>4513</v>
      </c>
      <c r="B3050" s="2">
        <v>45930</v>
      </c>
      <c r="C3050" t="s">
        <v>962</v>
      </c>
      <c r="D3050" t="s">
        <v>70</v>
      </c>
      <c r="E3050" t="s">
        <v>165</v>
      </c>
      <c r="F3050">
        <v>5</v>
      </c>
      <c r="G3050">
        <v>0.15</v>
      </c>
      <c r="H3050">
        <v>10625</v>
      </c>
      <c r="I3050">
        <v>2571.2800000000002</v>
      </c>
      <c r="J3050" t="s">
        <v>26</v>
      </c>
      <c r="K3050" t="s">
        <v>40</v>
      </c>
      <c r="L3050">
        <v>2125</v>
      </c>
      <c r="M3050">
        <v>24.20028235294118</v>
      </c>
      <c r="N3050" t="s">
        <v>8</v>
      </c>
      <c r="O3050" t="s">
        <v>963</v>
      </c>
      <c r="P3050" t="s">
        <v>29</v>
      </c>
      <c r="Q3050" t="s">
        <v>42</v>
      </c>
      <c r="R3050" t="s">
        <v>214</v>
      </c>
      <c r="S3050" t="s">
        <v>111</v>
      </c>
      <c r="T3050" t="s">
        <v>964</v>
      </c>
      <c r="U3050" t="s">
        <v>100</v>
      </c>
      <c r="V3050">
        <v>514.25600000000009</v>
      </c>
    </row>
    <row r="3051" spans="1:22" x14ac:dyDescent="0.3">
      <c r="A3051" t="s">
        <v>4514</v>
      </c>
      <c r="B3051" s="2">
        <v>45946</v>
      </c>
      <c r="C3051" t="s">
        <v>4515</v>
      </c>
      <c r="D3051" t="s">
        <v>37</v>
      </c>
      <c r="E3051" t="s">
        <v>310</v>
      </c>
      <c r="F3051">
        <v>1</v>
      </c>
      <c r="G3051">
        <v>0.3</v>
      </c>
      <c r="H3051">
        <v>1540</v>
      </c>
      <c r="I3051">
        <v>296.89</v>
      </c>
      <c r="J3051" t="s">
        <v>39</v>
      </c>
      <c r="K3051" t="s">
        <v>40</v>
      </c>
      <c r="L3051">
        <v>1540</v>
      </c>
      <c r="M3051">
        <v>19.278571428571428</v>
      </c>
      <c r="N3051" t="s">
        <v>8</v>
      </c>
      <c r="O3051" t="s">
        <v>1251</v>
      </c>
      <c r="P3051" t="s">
        <v>29</v>
      </c>
      <c r="Q3051" t="s">
        <v>131</v>
      </c>
      <c r="R3051" t="s">
        <v>289</v>
      </c>
      <c r="S3051" t="s">
        <v>290</v>
      </c>
      <c r="T3051" t="s">
        <v>2178</v>
      </c>
      <c r="U3051" t="s">
        <v>34</v>
      </c>
      <c r="V3051">
        <v>296.89</v>
      </c>
    </row>
    <row r="3052" spans="1:22" x14ac:dyDescent="0.3">
      <c r="A3052" t="s">
        <v>4516</v>
      </c>
      <c r="B3052" s="2">
        <v>45914</v>
      </c>
      <c r="C3052" t="s">
        <v>897</v>
      </c>
      <c r="D3052" t="s">
        <v>49</v>
      </c>
      <c r="E3052" t="s">
        <v>58</v>
      </c>
      <c r="F3052">
        <v>3</v>
      </c>
      <c r="G3052">
        <v>0</v>
      </c>
      <c r="H3052">
        <v>45000</v>
      </c>
      <c r="I3052">
        <v>10500</v>
      </c>
      <c r="J3052" t="s">
        <v>51</v>
      </c>
      <c r="K3052" t="s">
        <v>40</v>
      </c>
      <c r="L3052">
        <v>15000</v>
      </c>
      <c r="M3052">
        <v>23.333333333333329</v>
      </c>
      <c r="N3052" t="s">
        <v>8</v>
      </c>
      <c r="O3052" t="s">
        <v>607</v>
      </c>
      <c r="P3052" t="s">
        <v>73</v>
      </c>
      <c r="Q3052" t="s">
        <v>30</v>
      </c>
      <c r="R3052" t="s">
        <v>31</v>
      </c>
      <c r="S3052" t="s">
        <v>32</v>
      </c>
      <c r="T3052" t="s">
        <v>898</v>
      </c>
      <c r="U3052" t="s">
        <v>34</v>
      </c>
      <c r="V3052">
        <v>3500</v>
      </c>
    </row>
    <row r="3053" spans="1:22" x14ac:dyDescent="0.3">
      <c r="A3053" t="s">
        <v>4517</v>
      </c>
      <c r="B3053" s="2">
        <v>46156</v>
      </c>
      <c r="C3053" t="s">
        <v>1803</v>
      </c>
      <c r="D3053" t="s">
        <v>37</v>
      </c>
      <c r="E3053" t="s">
        <v>38</v>
      </c>
      <c r="F3053">
        <v>4</v>
      </c>
      <c r="G3053">
        <v>0.1</v>
      </c>
      <c r="H3053">
        <v>6480</v>
      </c>
      <c r="I3053">
        <v>2116.85</v>
      </c>
      <c r="J3053" t="s">
        <v>26</v>
      </c>
      <c r="K3053" t="s">
        <v>40</v>
      </c>
      <c r="L3053">
        <v>1620</v>
      </c>
      <c r="M3053">
        <v>32.667438271604937</v>
      </c>
      <c r="N3053" t="s">
        <v>8</v>
      </c>
      <c r="O3053" t="s">
        <v>1804</v>
      </c>
      <c r="P3053" t="s">
        <v>29</v>
      </c>
      <c r="Q3053" t="s">
        <v>74</v>
      </c>
      <c r="R3053" t="s">
        <v>115</v>
      </c>
      <c r="S3053" t="s">
        <v>115</v>
      </c>
      <c r="T3053" t="s">
        <v>604</v>
      </c>
      <c r="U3053" t="s">
        <v>46</v>
      </c>
      <c r="V3053">
        <v>529.21249999999998</v>
      </c>
    </row>
    <row r="3054" spans="1:22" x14ac:dyDescent="0.3">
      <c r="A3054" t="s">
        <v>4518</v>
      </c>
      <c r="B3054" s="2">
        <v>46130</v>
      </c>
      <c r="C3054" t="s">
        <v>385</v>
      </c>
      <c r="D3054" t="s">
        <v>70</v>
      </c>
      <c r="E3054" t="s">
        <v>165</v>
      </c>
      <c r="F3054">
        <v>1</v>
      </c>
      <c r="G3054">
        <v>0.15</v>
      </c>
      <c r="H3054">
        <v>2125</v>
      </c>
      <c r="I3054">
        <v>541.33000000000004</v>
      </c>
      <c r="J3054" t="s">
        <v>65</v>
      </c>
      <c r="K3054" t="s">
        <v>40</v>
      </c>
      <c r="L3054">
        <v>2125</v>
      </c>
      <c r="M3054">
        <v>25.47435294117647</v>
      </c>
      <c r="N3054" t="s">
        <v>8</v>
      </c>
      <c r="O3054" t="s">
        <v>386</v>
      </c>
      <c r="P3054" t="s">
        <v>29</v>
      </c>
      <c r="Q3054" t="s">
        <v>30</v>
      </c>
      <c r="R3054" t="s">
        <v>60</v>
      </c>
      <c r="S3054" t="s">
        <v>61</v>
      </c>
      <c r="T3054" t="s">
        <v>387</v>
      </c>
      <c r="U3054" t="s">
        <v>100</v>
      </c>
      <c r="V3054">
        <v>541.33000000000004</v>
      </c>
    </row>
    <row r="3055" spans="1:22" x14ac:dyDescent="0.3">
      <c r="A3055" t="s">
        <v>4519</v>
      </c>
      <c r="B3055" s="2">
        <v>46112</v>
      </c>
      <c r="C3055" t="s">
        <v>2472</v>
      </c>
      <c r="D3055" t="s">
        <v>24</v>
      </c>
      <c r="E3055" t="s">
        <v>92</v>
      </c>
      <c r="F3055">
        <v>15</v>
      </c>
      <c r="G3055">
        <v>0.3</v>
      </c>
      <c r="H3055">
        <v>9450</v>
      </c>
      <c r="I3055">
        <v>2012.3</v>
      </c>
      <c r="J3055" t="s">
        <v>65</v>
      </c>
      <c r="K3055" t="s">
        <v>40</v>
      </c>
      <c r="L3055">
        <v>630</v>
      </c>
      <c r="M3055">
        <v>21.294179894179891</v>
      </c>
      <c r="N3055" t="s">
        <v>8</v>
      </c>
      <c r="O3055" t="s">
        <v>2473</v>
      </c>
      <c r="P3055" t="s">
        <v>73</v>
      </c>
      <c r="Q3055" t="s">
        <v>74</v>
      </c>
      <c r="R3055" t="s">
        <v>115</v>
      </c>
      <c r="S3055" t="s">
        <v>115</v>
      </c>
      <c r="T3055" t="s">
        <v>2474</v>
      </c>
      <c r="U3055" t="s">
        <v>105</v>
      </c>
      <c r="V3055">
        <v>134.15333333333331</v>
      </c>
    </row>
    <row r="3056" spans="1:22" x14ac:dyDescent="0.3">
      <c r="A3056" t="s">
        <v>4520</v>
      </c>
      <c r="B3056" s="2">
        <v>46169</v>
      </c>
      <c r="C3056" t="s">
        <v>1300</v>
      </c>
      <c r="D3056" t="s">
        <v>37</v>
      </c>
      <c r="E3056" t="s">
        <v>170</v>
      </c>
      <c r="F3056">
        <v>2</v>
      </c>
      <c r="G3056">
        <v>0.05</v>
      </c>
      <c r="H3056">
        <v>2660</v>
      </c>
      <c r="I3056">
        <v>886.64</v>
      </c>
      <c r="J3056" t="s">
        <v>65</v>
      </c>
      <c r="K3056" t="s">
        <v>40</v>
      </c>
      <c r="L3056">
        <v>1330</v>
      </c>
      <c r="M3056">
        <v>33.332330827067672</v>
      </c>
      <c r="N3056" t="s">
        <v>8</v>
      </c>
      <c r="O3056" t="s">
        <v>1301</v>
      </c>
      <c r="P3056" t="s">
        <v>29</v>
      </c>
      <c r="Q3056" t="s">
        <v>42</v>
      </c>
      <c r="R3056" t="s">
        <v>121</v>
      </c>
      <c r="S3056" t="s">
        <v>44</v>
      </c>
      <c r="T3056" t="s">
        <v>1302</v>
      </c>
      <c r="U3056" t="s">
        <v>100</v>
      </c>
      <c r="V3056">
        <v>443.32</v>
      </c>
    </row>
    <row r="3057" spans="1:22" x14ac:dyDescent="0.3">
      <c r="A3057" t="s">
        <v>4521</v>
      </c>
      <c r="B3057" s="2">
        <v>45873</v>
      </c>
      <c r="C3057" t="s">
        <v>907</v>
      </c>
      <c r="D3057" t="s">
        <v>49</v>
      </c>
      <c r="E3057" t="s">
        <v>119</v>
      </c>
      <c r="F3057">
        <v>2</v>
      </c>
      <c r="G3057">
        <v>0.2</v>
      </c>
      <c r="H3057">
        <v>14400</v>
      </c>
      <c r="I3057">
        <v>2579.11</v>
      </c>
      <c r="J3057" t="s">
        <v>65</v>
      </c>
      <c r="K3057" t="s">
        <v>40</v>
      </c>
      <c r="L3057">
        <v>7200</v>
      </c>
      <c r="M3057">
        <v>17.910486111111108</v>
      </c>
      <c r="N3057" t="s">
        <v>8</v>
      </c>
      <c r="O3057" t="s">
        <v>908</v>
      </c>
      <c r="P3057" t="s">
        <v>29</v>
      </c>
      <c r="Q3057" t="s">
        <v>30</v>
      </c>
      <c r="R3057" t="s">
        <v>60</v>
      </c>
      <c r="S3057" t="s">
        <v>61</v>
      </c>
      <c r="T3057" t="s">
        <v>486</v>
      </c>
      <c r="U3057" t="s">
        <v>34</v>
      </c>
      <c r="V3057">
        <v>1289.5550000000001</v>
      </c>
    </row>
    <row r="3058" spans="1:22" x14ac:dyDescent="0.3">
      <c r="A3058" t="s">
        <v>4522</v>
      </c>
      <c r="B3058" s="2">
        <v>46040</v>
      </c>
      <c r="C3058" t="s">
        <v>124</v>
      </c>
      <c r="D3058" t="s">
        <v>24</v>
      </c>
      <c r="E3058" t="s">
        <v>242</v>
      </c>
      <c r="F3058">
        <v>1</v>
      </c>
      <c r="G3058">
        <v>0</v>
      </c>
      <c r="H3058">
        <v>450</v>
      </c>
      <c r="I3058">
        <v>110</v>
      </c>
      <c r="J3058" t="s">
        <v>26</v>
      </c>
      <c r="K3058" t="s">
        <v>40</v>
      </c>
      <c r="L3058">
        <v>450</v>
      </c>
      <c r="M3058">
        <v>24.444444444444439</v>
      </c>
      <c r="N3058" t="s">
        <v>8</v>
      </c>
      <c r="O3058" t="s">
        <v>125</v>
      </c>
      <c r="P3058" t="s">
        <v>83</v>
      </c>
      <c r="Q3058" t="s">
        <v>74</v>
      </c>
      <c r="R3058" t="s">
        <v>115</v>
      </c>
      <c r="S3058" t="s">
        <v>115</v>
      </c>
      <c r="T3058" t="s">
        <v>126</v>
      </c>
      <c r="U3058" t="s">
        <v>46</v>
      </c>
      <c r="V3058">
        <v>110</v>
      </c>
    </row>
    <row r="3059" spans="1:22" x14ac:dyDescent="0.3">
      <c r="A3059" t="s">
        <v>4523</v>
      </c>
      <c r="B3059" s="2">
        <v>46182</v>
      </c>
      <c r="C3059" t="s">
        <v>351</v>
      </c>
      <c r="D3059" t="s">
        <v>24</v>
      </c>
      <c r="E3059" t="s">
        <v>242</v>
      </c>
      <c r="F3059">
        <v>5</v>
      </c>
      <c r="G3059">
        <v>0.1</v>
      </c>
      <c r="H3059">
        <v>2025</v>
      </c>
      <c r="I3059">
        <v>414.95</v>
      </c>
      <c r="J3059" t="s">
        <v>65</v>
      </c>
      <c r="K3059" t="s">
        <v>40</v>
      </c>
      <c r="L3059">
        <v>405</v>
      </c>
      <c r="M3059">
        <v>20.491358024691358</v>
      </c>
      <c r="N3059" t="s">
        <v>8</v>
      </c>
      <c r="O3059" t="s">
        <v>352</v>
      </c>
      <c r="P3059" t="s">
        <v>73</v>
      </c>
      <c r="Q3059" t="s">
        <v>30</v>
      </c>
      <c r="R3059" t="s">
        <v>31</v>
      </c>
      <c r="S3059" t="s">
        <v>32</v>
      </c>
      <c r="T3059" t="s">
        <v>338</v>
      </c>
      <c r="U3059" t="s">
        <v>100</v>
      </c>
      <c r="V3059">
        <v>82.99</v>
      </c>
    </row>
    <row r="3060" spans="1:22" x14ac:dyDescent="0.3">
      <c r="A3060" t="s">
        <v>4524</v>
      </c>
      <c r="B3060" s="2">
        <v>45982</v>
      </c>
      <c r="C3060" t="s">
        <v>635</v>
      </c>
      <c r="D3060" t="s">
        <v>70</v>
      </c>
      <c r="E3060" t="s">
        <v>129</v>
      </c>
      <c r="F3060">
        <v>6</v>
      </c>
      <c r="G3060">
        <v>0.15</v>
      </c>
      <c r="H3060">
        <v>280500</v>
      </c>
      <c r="I3060">
        <v>23183.18</v>
      </c>
      <c r="J3060" t="s">
        <v>65</v>
      </c>
      <c r="K3060" t="s">
        <v>40</v>
      </c>
      <c r="L3060">
        <v>46750</v>
      </c>
      <c r="M3060">
        <v>8.2649483065953646</v>
      </c>
      <c r="N3060" t="s">
        <v>8</v>
      </c>
      <c r="O3060" t="s">
        <v>636</v>
      </c>
      <c r="P3060" t="s">
        <v>29</v>
      </c>
      <c r="Q3060" t="s">
        <v>42</v>
      </c>
      <c r="R3060" t="s">
        <v>214</v>
      </c>
      <c r="S3060" t="s">
        <v>111</v>
      </c>
      <c r="T3060" t="s">
        <v>637</v>
      </c>
      <c r="U3060" t="s">
        <v>100</v>
      </c>
      <c r="V3060">
        <v>3863.8633333333328</v>
      </c>
    </row>
    <row r="3061" spans="1:22" x14ac:dyDescent="0.3">
      <c r="A3061" t="s">
        <v>4525</v>
      </c>
      <c r="B3061" s="2">
        <v>45951</v>
      </c>
      <c r="C3061" t="s">
        <v>2507</v>
      </c>
      <c r="D3061" t="s">
        <v>49</v>
      </c>
      <c r="E3061" t="s">
        <v>50</v>
      </c>
      <c r="F3061">
        <v>5</v>
      </c>
      <c r="G3061">
        <v>0.1</v>
      </c>
      <c r="H3061">
        <v>58500</v>
      </c>
      <c r="I3061">
        <v>12368.14</v>
      </c>
      <c r="J3061" t="s">
        <v>39</v>
      </c>
      <c r="K3061" t="s">
        <v>40</v>
      </c>
      <c r="L3061">
        <v>11700</v>
      </c>
      <c r="M3061">
        <v>21.142119658119661</v>
      </c>
      <c r="N3061" t="s">
        <v>8</v>
      </c>
      <c r="O3061" t="s">
        <v>754</v>
      </c>
      <c r="P3061" t="s">
        <v>29</v>
      </c>
      <c r="Q3061" t="s">
        <v>42</v>
      </c>
      <c r="R3061" t="s">
        <v>43</v>
      </c>
      <c r="S3061" t="s">
        <v>44</v>
      </c>
      <c r="T3061" t="s">
        <v>1145</v>
      </c>
      <c r="U3061" t="s">
        <v>34</v>
      </c>
      <c r="V3061">
        <v>2473.6280000000002</v>
      </c>
    </row>
    <row r="3062" spans="1:22" x14ac:dyDescent="0.3">
      <c r="A3062" t="s">
        <v>4526</v>
      </c>
      <c r="B3062" s="2">
        <v>46179</v>
      </c>
      <c r="C3062" t="s">
        <v>160</v>
      </c>
      <c r="D3062" t="s">
        <v>37</v>
      </c>
      <c r="E3062" t="s">
        <v>170</v>
      </c>
      <c r="F3062">
        <v>5</v>
      </c>
      <c r="G3062">
        <v>0.3</v>
      </c>
      <c r="H3062">
        <v>4900</v>
      </c>
      <c r="I3062">
        <v>895.21</v>
      </c>
      <c r="J3062" t="s">
        <v>51</v>
      </c>
      <c r="K3062" t="s">
        <v>40</v>
      </c>
      <c r="L3062">
        <v>980</v>
      </c>
      <c r="M3062">
        <v>18.269591836734691</v>
      </c>
      <c r="N3062" t="s">
        <v>8</v>
      </c>
      <c r="O3062" t="s">
        <v>161</v>
      </c>
      <c r="P3062" t="s">
        <v>29</v>
      </c>
      <c r="Q3062" t="s">
        <v>30</v>
      </c>
      <c r="R3062" t="s">
        <v>98</v>
      </c>
      <c r="S3062" t="s">
        <v>54</v>
      </c>
      <c r="T3062" t="s">
        <v>162</v>
      </c>
      <c r="U3062" t="s">
        <v>34</v>
      </c>
      <c r="V3062">
        <v>179.042</v>
      </c>
    </row>
    <row r="3063" spans="1:22" x14ac:dyDescent="0.3">
      <c r="A3063" t="s">
        <v>4527</v>
      </c>
      <c r="B3063" s="2">
        <v>46059</v>
      </c>
      <c r="C3063" t="s">
        <v>2177</v>
      </c>
      <c r="D3063" t="s">
        <v>70</v>
      </c>
      <c r="E3063" t="s">
        <v>108</v>
      </c>
      <c r="F3063">
        <v>2</v>
      </c>
      <c r="G3063">
        <v>0.2</v>
      </c>
      <c r="H3063">
        <v>7200</v>
      </c>
      <c r="I3063">
        <v>2108.06</v>
      </c>
      <c r="J3063" t="s">
        <v>51</v>
      </c>
      <c r="K3063" t="s">
        <v>27</v>
      </c>
      <c r="L3063">
        <v>3600</v>
      </c>
      <c r="M3063">
        <v>29.278611111111111</v>
      </c>
      <c r="N3063" t="s">
        <v>8</v>
      </c>
      <c r="O3063" t="s">
        <v>175</v>
      </c>
      <c r="P3063" t="s">
        <v>29</v>
      </c>
      <c r="Q3063" t="s">
        <v>30</v>
      </c>
      <c r="R3063" t="s">
        <v>98</v>
      </c>
      <c r="S3063" t="s">
        <v>54</v>
      </c>
      <c r="T3063" t="s">
        <v>2178</v>
      </c>
      <c r="U3063" t="s">
        <v>46</v>
      </c>
      <c r="V3063">
        <v>1054.03</v>
      </c>
    </row>
    <row r="3064" spans="1:22" x14ac:dyDescent="0.3">
      <c r="A3064" t="s">
        <v>4528</v>
      </c>
      <c r="B3064" s="2">
        <v>45981</v>
      </c>
      <c r="C3064" t="s">
        <v>632</v>
      </c>
      <c r="D3064" t="s">
        <v>37</v>
      </c>
      <c r="E3064" t="s">
        <v>190</v>
      </c>
      <c r="F3064">
        <v>3</v>
      </c>
      <c r="G3064">
        <v>0</v>
      </c>
      <c r="H3064">
        <v>12600</v>
      </c>
      <c r="I3064">
        <v>3600</v>
      </c>
      <c r="J3064" t="s">
        <v>26</v>
      </c>
      <c r="K3064" t="s">
        <v>40</v>
      </c>
      <c r="L3064">
        <v>4200</v>
      </c>
      <c r="M3064">
        <v>28.571428571428569</v>
      </c>
      <c r="N3064" t="s">
        <v>8</v>
      </c>
      <c r="O3064" t="s">
        <v>427</v>
      </c>
      <c r="P3064" t="s">
        <v>29</v>
      </c>
      <c r="Q3064" t="s">
        <v>42</v>
      </c>
      <c r="R3064" t="s">
        <v>110</v>
      </c>
      <c r="S3064" t="s">
        <v>111</v>
      </c>
      <c r="T3064" t="s">
        <v>633</v>
      </c>
      <c r="U3064" t="s">
        <v>100</v>
      </c>
      <c r="V3064">
        <v>1200</v>
      </c>
    </row>
    <row r="3065" spans="1:22" x14ac:dyDescent="0.3">
      <c r="A3065" t="s">
        <v>4529</v>
      </c>
      <c r="B3065" s="2">
        <v>45847</v>
      </c>
      <c r="C3065" t="s">
        <v>878</v>
      </c>
      <c r="D3065" t="s">
        <v>49</v>
      </c>
      <c r="E3065" t="s">
        <v>50</v>
      </c>
      <c r="F3065">
        <v>1</v>
      </c>
      <c r="G3065">
        <v>0.1</v>
      </c>
      <c r="H3065">
        <v>11700</v>
      </c>
      <c r="I3065">
        <v>2444.54</v>
      </c>
      <c r="J3065" t="s">
        <v>65</v>
      </c>
      <c r="K3065" t="s">
        <v>40</v>
      </c>
      <c r="L3065">
        <v>11700</v>
      </c>
      <c r="M3065">
        <v>20.89350427350427</v>
      </c>
      <c r="N3065" t="s">
        <v>8</v>
      </c>
      <c r="O3065" t="s">
        <v>879</v>
      </c>
      <c r="P3065" t="s">
        <v>83</v>
      </c>
      <c r="Q3065" t="s">
        <v>30</v>
      </c>
      <c r="R3065" t="s">
        <v>98</v>
      </c>
      <c r="S3065" t="s">
        <v>54</v>
      </c>
      <c r="T3065" t="s">
        <v>880</v>
      </c>
      <c r="U3065" t="s">
        <v>46</v>
      </c>
      <c r="V3065">
        <v>2444.54</v>
      </c>
    </row>
    <row r="3066" spans="1:22" x14ac:dyDescent="0.3">
      <c r="A3066" t="s">
        <v>4530</v>
      </c>
      <c r="B3066" s="2">
        <v>46168</v>
      </c>
      <c r="C3066" t="s">
        <v>577</v>
      </c>
      <c r="D3066" t="s">
        <v>24</v>
      </c>
      <c r="E3066" t="s">
        <v>25</v>
      </c>
      <c r="F3066">
        <v>2</v>
      </c>
      <c r="G3066">
        <v>0.15</v>
      </c>
      <c r="H3066">
        <v>23800</v>
      </c>
      <c r="I3066">
        <v>3410.49</v>
      </c>
      <c r="J3066" t="s">
        <v>39</v>
      </c>
      <c r="K3066" t="s">
        <v>27</v>
      </c>
      <c r="L3066">
        <v>11900</v>
      </c>
      <c r="M3066">
        <v>14.32978991596638</v>
      </c>
      <c r="N3066" t="s">
        <v>8</v>
      </c>
      <c r="O3066" t="s">
        <v>578</v>
      </c>
      <c r="P3066" t="s">
        <v>73</v>
      </c>
      <c r="Q3066" t="s">
        <v>30</v>
      </c>
      <c r="R3066" t="s">
        <v>98</v>
      </c>
      <c r="S3066" t="s">
        <v>54</v>
      </c>
      <c r="T3066" t="s">
        <v>579</v>
      </c>
      <c r="U3066" t="s">
        <v>46</v>
      </c>
      <c r="V3066">
        <v>1705.2449999999999</v>
      </c>
    </row>
    <row r="3067" spans="1:22" x14ac:dyDescent="0.3">
      <c r="A3067" t="s">
        <v>4531</v>
      </c>
      <c r="B3067" s="2">
        <v>46210</v>
      </c>
      <c r="C3067" t="s">
        <v>788</v>
      </c>
      <c r="D3067" t="s">
        <v>49</v>
      </c>
      <c r="E3067" t="s">
        <v>50</v>
      </c>
      <c r="F3067">
        <v>2</v>
      </c>
      <c r="G3067">
        <v>0.2</v>
      </c>
      <c r="H3067">
        <v>20800</v>
      </c>
      <c r="I3067">
        <v>2104.4299999999998</v>
      </c>
      <c r="J3067" t="s">
        <v>65</v>
      </c>
      <c r="K3067" t="s">
        <v>40</v>
      </c>
      <c r="L3067">
        <v>10400</v>
      </c>
      <c r="M3067">
        <v>10.117451923076921</v>
      </c>
      <c r="N3067" t="s">
        <v>8</v>
      </c>
      <c r="O3067" t="s">
        <v>789</v>
      </c>
      <c r="P3067" t="s">
        <v>83</v>
      </c>
      <c r="Q3067" t="s">
        <v>74</v>
      </c>
      <c r="R3067" t="s">
        <v>75</v>
      </c>
      <c r="S3067" t="s">
        <v>75</v>
      </c>
      <c r="T3067" t="s">
        <v>790</v>
      </c>
      <c r="U3067" t="s">
        <v>34</v>
      </c>
      <c r="V3067">
        <v>1052.2149999999999</v>
      </c>
    </row>
    <row r="3068" spans="1:22" x14ac:dyDescent="0.3">
      <c r="A3068" t="s">
        <v>4532</v>
      </c>
      <c r="B3068" s="2">
        <v>46018</v>
      </c>
      <c r="C3068" t="s">
        <v>543</v>
      </c>
      <c r="D3068" t="s">
        <v>70</v>
      </c>
      <c r="E3068" t="s">
        <v>71</v>
      </c>
      <c r="F3068">
        <v>4</v>
      </c>
      <c r="G3068">
        <v>0.1</v>
      </c>
      <c r="H3068">
        <v>64800</v>
      </c>
      <c r="I3068">
        <v>8663.91</v>
      </c>
      <c r="J3068" t="s">
        <v>39</v>
      </c>
      <c r="K3068" t="s">
        <v>27</v>
      </c>
      <c r="L3068">
        <v>16200</v>
      </c>
      <c r="M3068">
        <v>13.370231481481481</v>
      </c>
      <c r="N3068" t="s">
        <v>8</v>
      </c>
      <c r="O3068" t="s">
        <v>545</v>
      </c>
      <c r="P3068" t="s">
        <v>83</v>
      </c>
      <c r="Q3068" t="s">
        <v>74</v>
      </c>
      <c r="R3068" t="s">
        <v>75</v>
      </c>
      <c r="S3068" t="s">
        <v>75</v>
      </c>
      <c r="T3068" t="s">
        <v>546</v>
      </c>
      <c r="U3068" t="s">
        <v>34</v>
      </c>
      <c r="V3068">
        <v>2165.9775</v>
      </c>
    </row>
    <row r="3069" spans="1:22" x14ac:dyDescent="0.3">
      <c r="A3069" t="s">
        <v>4533</v>
      </c>
      <c r="B3069" s="2">
        <v>46186</v>
      </c>
      <c r="C3069" t="s">
        <v>2720</v>
      </c>
      <c r="D3069" t="s">
        <v>49</v>
      </c>
      <c r="E3069" t="s">
        <v>50</v>
      </c>
      <c r="F3069">
        <v>2</v>
      </c>
      <c r="G3069">
        <v>0.05</v>
      </c>
      <c r="H3069">
        <v>24700</v>
      </c>
      <c r="I3069">
        <v>5550.37</v>
      </c>
      <c r="J3069" t="s">
        <v>26</v>
      </c>
      <c r="K3069" t="s">
        <v>40</v>
      </c>
      <c r="L3069">
        <v>12350</v>
      </c>
      <c r="M3069">
        <v>22.471133603238869</v>
      </c>
      <c r="N3069" t="s">
        <v>8</v>
      </c>
      <c r="O3069" t="s">
        <v>52</v>
      </c>
      <c r="P3069" t="s">
        <v>73</v>
      </c>
      <c r="Q3069" t="s">
        <v>42</v>
      </c>
      <c r="R3069" t="s">
        <v>110</v>
      </c>
      <c r="S3069" t="s">
        <v>111</v>
      </c>
      <c r="T3069" t="s">
        <v>2721</v>
      </c>
      <c r="U3069" t="s">
        <v>46</v>
      </c>
      <c r="V3069">
        <v>2775.1849999999999</v>
      </c>
    </row>
    <row r="3070" spans="1:22" x14ac:dyDescent="0.3">
      <c r="A3070" t="s">
        <v>4534</v>
      </c>
      <c r="B3070" s="2">
        <v>46201</v>
      </c>
      <c r="C3070" t="s">
        <v>344</v>
      </c>
      <c r="D3070" t="s">
        <v>70</v>
      </c>
      <c r="E3070" t="s">
        <v>108</v>
      </c>
      <c r="F3070">
        <v>15</v>
      </c>
      <c r="G3070">
        <v>0.05</v>
      </c>
      <c r="H3070">
        <v>64125</v>
      </c>
      <c r="I3070">
        <v>19901.03</v>
      </c>
      <c r="J3070" t="s">
        <v>65</v>
      </c>
      <c r="K3070" t="s">
        <v>40</v>
      </c>
      <c r="L3070">
        <v>4275</v>
      </c>
      <c r="M3070">
        <v>31.034744639376221</v>
      </c>
      <c r="N3070" t="s">
        <v>8</v>
      </c>
      <c r="O3070" t="s">
        <v>345</v>
      </c>
      <c r="P3070" t="s">
        <v>29</v>
      </c>
      <c r="Q3070" t="s">
        <v>74</v>
      </c>
      <c r="R3070" t="s">
        <v>115</v>
      </c>
      <c r="S3070" t="s">
        <v>115</v>
      </c>
      <c r="T3070" t="s">
        <v>346</v>
      </c>
      <c r="U3070" t="s">
        <v>46</v>
      </c>
      <c r="V3070">
        <v>1326.7353333333331</v>
      </c>
    </row>
    <row r="3071" spans="1:22" x14ac:dyDescent="0.3">
      <c r="A3071" t="s">
        <v>4535</v>
      </c>
      <c r="B3071" s="2">
        <v>46138</v>
      </c>
      <c r="C3071" t="s">
        <v>936</v>
      </c>
      <c r="D3071" t="s">
        <v>70</v>
      </c>
      <c r="E3071" t="s">
        <v>71</v>
      </c>
      <c r="F3071">
        <v>1</v>
      </c>
      <c r="G3071">
        <v>0.15</v>
      </c>
      <c r="H3071">
        <v>15300</v>
      </c>
      <c r="I3071">
        <v>1342.99</v>
      </c>
      <c r="J3071" t="s">
        <v>65</v>
      </c>
      <c r="K3071" t="s">
        <v>40</v>
      </c>
      <c r="L3071">
        <v>15300</v>
      </c>
      <c r="M3071">
        <v>8.7777124183006539</v>
      </c>
      <c r="N3071" t="s">
        <v>8</v>
      </c>
      <c r="O3071" t="s">
        <v>937</v>
      </c>
      <c r="P3071" t="s">
        <v>73</v>
      </c>
      <c r="Q3071" t="s">
        <v>30</v>
      </c>
      <c r="R3071" t="s">
        <v>53</v>
      </c>
      <c r="S3071" t="s">
        <v>54</v>
      </c>
      <c r="T3071" t="s">
        <v>938</v>
      </c>
      <c r="U3071" t="s">
        <v>34</v>
      </c>
      <c r="V3071">
        <v>1342.99</v>
      </c>
    </row>
    <row r="3072" spans="1:22" x14ac:dyDescent="0.3">
      <c r="A3072" t="s">
        <v>4536</v>
      </c>
      <c r="B3072" s="2">
        <v>45884</v>
      </c>
      <c r="C3072" t="s">
        <v>606</v>
      </c>
      <c r="D3072" t="s">
        <v>24</v>
      </c>
      <c r="E3072" t="s">
        <v>87</v>
      </c>
      <c r="F3072">
        <v>3</v>
      </c>
      <c r="G3072">
        <v>0.2</v>
      </c>
      <c r="H3072">
        <v>840</v>
      </c>
      <c r="I3072">
        <v>190.04</v>
      </c>
      <c r="J3072" t="s">
        <v>39</v>
      </c>
      <c r="K3072" t="s">
        <v>40</v>
      </c>
      <c r="L3072">
        <v>280</v>
      </c>
      <c r="M3072">
        <v>22.62380952380952</v>
      </c>
      <c r="N3072" t="s">
        <v>8</v>
      </c>
      <c r="O3072" t="s">
        <v>607</v>
      </c>
      <c r="P3072" t="s">
        <v>83</v>
      </c>
      <c r="Q3072" t="s">
        <v>74</v>
      </c>
      <c r="R3072" t="s">
        <v>115</v>
      </c>
      <c r="S3072" t="s">
        <v>115</v>
      </c>
      <c r="T3072" t="s">
        <v>608</v>
      </c>
      <c r="U3072" t="s">
        <v>100</v>
      </c>
      <c r="V3072">
        <v>63.346666666666657</v>
      </c>
    </row>
    <row r="3073" spans="1:22" x14ac:dyDescent="0.3">
      <c r="A3073" t="s">
        <v>4537</v>
      </c>
      <c r="B3073" s="2">
        <v>46256</v>
      </c>
      <c r="C3073" t="s">
        <v>204</v>
      </c>
      <c r="D3073" t="s">
        <v>37</v>
      </c>
      <c r="E3073" t="s">
        <v>190</v>
      </c>
      <c r="F3073">
        <v>3</v>
      </c>
      <c r="G3073">
        <v>0.05</v>
      </c>
      <c r="H3073">
        <v>11970</v>
      </c>
      <c r="I3073">
        <v>3236.87</v>
      </c>
      <c r="J3073" t="s">
        <v>26</v>
      </c>
      <c r="K3073" t="s">
        <v>40</v>
      </c>
      <c r="L3073">
        <v>3990</v>
      </c>
      <c r="M3073">
        <v>27.041520467836261</v>
      </c>
      <c r="N3073" t="s">
        <v>8</v>
      </c>
      <c r="O3073" t="s">
        <v>205</v>
      </c>
      <c r="P3073" t="s">
        <v>29</v>
      </c>
      <c r="Q3073" t="s">
        <v>30</v>
      </c>
      <c r="R3073" t="s">
        <v>98</v>
      </c>
      <c r="S3073" t="s">
        <v>54</v>
      </c>
      <c r="T3073" t="s">
        <v>206</v>
      </c>
      <c r="U3073" t="s">
        <v>34</v>
      </c>
      <c r="V3073">
        <v>1078.9566666666669</v>
      </c>
    </row>
    <row r="3074" spans="1:22" x14ac:dyDescent="0.3">
      <c r="A3074" t="s">
        <v>4538</v>
      </c>
      <c r="B3074" s="2">
        <v>46087</v>
      </c>
      <c r="C3074" t="s">
        <v>297</v>
      </c>
      <c r="D3074" t="s">
        <v>37</v>
      </c>
      <c r="E3074" t="s">
        <v>38</v>
      </c>
      <c r="F3074">
        <v>4</v>
      </c>
      <c r="G3074">
        <v>0</v>
      </c>
      <c r="H3074">
        <v>7200</v>
      </c>
      <c r="I3074">
        <v>2600</v>
      </c>
      <c r="J3074" t="s">
        <v>26</v>
      </c>
      <c r="K3074" t="s">
        <v>27</v>
      </c>
      <c r="L3074">
        <v>1800</v>
      </c>
      <c r="M3074">
        <v>36.111111111111107</v>
      </c>
      <c r="N3074" t="s">
        <v>8</v>
      </c>
      <c r="O3074" t="s">
        <v>298</v>
      </c>
      <c r="P3074" t="s">
        <v>83</v>
      </c>
      <c r="Q3074" t="s">
        <v>30</v>
      </c>
      <c r="R3074" t="s">
        <v>60</v>
      </c>
      <c r="S3074" t="s">
        <v>61</v>
      </c>
      <c r="T3074" t="s">
        <v>299</v>
      </c>
      <c r="U3074" t="s">
        <v>46</v>
      </c>
      <c r="V3074">
        <v>650</v>
      </c>
    </row>
    <row r="3075" spans="1:22" x14ac:dyDescent="0.3">
      <c r="A3075" t="s">
        <v>4539</v>
      </c>
      <c r="B3075" s="2">
        <v>46165</v>
      </c>
      <c r="C3075" t="s">
        <v>2021</v>
      </c>
      <c r="D3075" t="s">
        <v>70</v>
      </c>
      <c r="E3075" t="s">
        <v>108</v>
      </c>
      <c r="F3075">
        <v>1</v>
      </c>
      <c r="G3075">
        <v>0.05</v>
      </c>
      <c r="H3075">
        <v>4275</v>
      </c>
      <c r="I3075">
        <v>1330.88</v>
      </c>
      <c r="J3075" t="s">
        <v>65</v>
      </c>
      <c r="K3075" t="s">
        <v>40</v>
      </c>
      <c r="L3075">
        <v>4275</v>
      </c>
      <c r="M3075">
        <v>31.13169590643275</v>
      </c>
      <c r="N3075" t="s">
        <v>8</v>
      </c>
      <c r="O3075" t="s">
        <v>2022</v>
      </c>
      <c r="P3075" t="s">
        <v>83</v>
      </c>
      <c r="Q3075" t="s">
        <v>74</v>
      </c>
      <c r="R3075" t="s">
        <v>75</v>
      </c>
      <c r="S3075" t="s">
        <v>75</v>
      </c>
      <c r="T3075" t="s">
        <v>2023</v>
      </c>
      <c r="U3075" t="s">
        <v>100</v>
      </c>
      <c r="V3075">
        <v>1330.88</v>
      </c>
    </row>
    <row r="3076" spans="1:22" x14ac:dyDescent="0.3">
      <c r="A3076" t="s">
        <v>4540</v>
      </c>
      <c r="B3076" s="2">
        <v>46209</v>
      </c>
      <c r="C3076" t="s">
        <v>1014</v>
      </c>
      <c r="D3076" t="s">
        <v>70</v>
      </c>
      <c r="E3076" t="s">
        <v>108</v>
      </c>
      <c r="F3076">
        <v>2</v>
      </c>
      <c r="G3076">
        <v>0.2</v>
      </c>
      <c r="H3076">
        <v>7200</v>
      </c>
      <c r="I3076">
        <v>1592.29</v>
      </c>
      <c r="J3076" t="s">
        <v>39</v>
      </c>
      <c r="K3076" t="s">
        <v>40</v>
      </c>
      <c r="L3076">
        <v>3600</v>
      </c>
      <c r="M3076">
        <v>22.11513888888889</v>
      </c>
      <c r="N3076" t="s">
        <v>8</v>
      </c>
      <c r="O3076" t="s">
        <v>530</v>
      </c>
      <c r="P3076" t="s">
        <v>73</v>
      </c>
      <c r="Q3076" t="s">
        <v>42</v>
      </c>
      <c r="R3076" t="s">
        <v>121</v>
      </c>
      <c r="S3076" t="s">
        <v>44</v>
      </c>
      <c r="T3076" t="s">
        <v>1015</v>
      </c>
      <c r="U3076" t="s">
        <v>34</v>
      </c>
      <c r="V3076">
        <v>796.14499999999998</v>
      </c>
    </row>
    <row r="3077" spans="1:22" x14ac:dyDescent="0.3">
      <c r="A3077" t="s">
        <v>4541</v>
      </c>
      <c r="B3077" s="2">
        <v>46208</v>
      </c>
      <c r="C3077" t="s">
        <v>536</v>
      </c>
      <c r="D3077" t="s">
        <v>37</v>
      </c>
      <c r="E3077" t="s">
        <v>38</v>
      </c>
      <c r="F3077">
        <v>2</v>
      </c>
      <c r="G3077">
        <v>0</v>
      </c>
      <c r="H3077">
        <v>3600</v>
      </c>
      <c r="I3077">
        <v>1300</v>
      </c>
      <c r="J3077" t="s">
        <v>65</v>
      </c>
      <c r="K3077" t="s">
        <v>40</v>
      </c>
      <c r="L3077">
        <v>1800</v>
      </c>
      <c r="M3077">
        <v>36.111111111111107</v>
      </c>
      <c r="N3077" t="s">
        <v>8</v>
      </c>
      <c r="O3077" t="s">
        <v>537</v>
      </c>
      <c r="P3077" t="s">
        <v>29</v>
      </c>
      <c r="Q3077" t="s">
        <v>74</v>
      </c>
      <c r="R3077" t="s">
        <v>237</v>
      </c>
      <c r="S3077" t="s">
        <v>238</v>
      </c>
      <c r="T3077" t="s">
        <v>538</v>
      </c>
      <c r="U3077" t="s">
        <v>34</v>
      </c>
      <c r="V3077">
        <v>650</v>
      </c>
    </row>
    <row r="3078" spans="1:22" x14ac:dyDescent="0.3">
      <c r="A3078" t="s">
        <v>4542</v>
      </c>
      <c r="B3078" s="2">
        <v>46058</v>
      </c>
      <c r="C3078" t="s">
        <v>2132</v>
      </c>
      <c r="D3078" t="s">
        <v>70</v>
      </c>
      <c r="E3078" t="s">
        <v>129</v>
      </c>
      <c r="F3078">
        <v>3</v>
      </c>
      <c r="G3078">
        <v>0.15</v>
      </c>
      <c r="H3078">
        <v>140250</v>
      </c>
      <c r="I3078">
        <v>7546.89</v>
      </c>
      <c r="J3078" t="s">
        <v>51</v>
      </c>
      <c r="K3078" t="s">
        <v>40</v>
      </c>
      <c r="L3078">
        <v>46750</v>
      </c>
      <c r="M3078">
        <v>5.3810267379679146</v>
      </c>
      <c r="N3078" t="s">
        <v>8</v>
      </c>
      <c r="O3078" t="s">
        <v>930</v>
      </c>
      <c r="P3078" t="s">
        <v>73</v>
      </c>
      <c r="Q3078" t="s">
        <v>74</v>
      </c>
      <c r="R3078" t="s">
        <v>237</v>
      </c>
      <c r="S3078" t="s">
        <v>238</v>
      </c>
      <c r="T3078" t="s">
        <v>167</v>
      </c>
      <c r="U3078" t="s">
        <v>34</v>
      </c>
      <c r="V3078">
        <v>2515.63</v>
      </c>
    </row>
    <row r="3079" spans="1:22" x14ac:dyDescent="0.3">
      <c r="A3079" t="s">
        <v>4543</v>
      </c>
      <c r="B3079" s="2">
        <v>45902</v>
      </c>
      <c r="C3079" t="s">
        <v>473</v>
      </c>
      <c r="D3079" t="s">
        <v>37</v>
      </c>
      <c r="E3079" t="s">
        <v>190</v>
      </c>
      <c r="F3079">
        <v>1</v>
      </c>
      <c r="G3079">
        <v>0.05</v>
      </c>
      <c r="H3079">
        <v>3990</v>
      </c>
      <c r="I3079">
        <v>-1412.7</v>
      </c>
      <c r="J3079" t="s">
        <v>51</v>
      </c>
      <c r="K3079" t="s">
        <v>434</v>
      </c>
      <c r="L3079">
        <v>3990</v>
      </c>
      <c r="M3079">
        <v>-35.406015037593988</v>
      </c>
      <c r="N3079" t="s">
        <v>81</v>
      </c>
      <c r="O3079" t="s">
        <v>474</v>
      </c>
      <c r="P3079" t="s">
        <v>73</v>
      </c>
      <c r="Q3079" t="s">
        <v>131</v>
      </c>
      <c r="R3079" t="s">
        <v>289</v>
      </c>
      <c r="S3079" t="s">
        <v>290</v>
      </c>
      <c r="T3079" t="s">
        <v>475</v>
      </c>
      <c r="U3079" t="s">
        <v>46</v>
      </c>
      <c r="V3079">
        <v>-1412.7</v>
      </c>
    </row>
    <row r="3080" spans="1:22" x14ac:dyDescent="0.3">
      <c r="A3080" t="s">
        <v>4544</v>
      </c>
      <c r="B3080" s="2">
        <v>45871</v>
      </c>
      <c r="C3080" t="s">
        <v>891</v>
      </c>
      <c r="D3080" t="s">
        <v>37</v>
      </c>
      <c r="E3080" t="s">
        <v>38</v>
      </c>
      <c r="F3080">
        <v>3</v>
      </c>
      <c r="G3080">
        <v>0</v>
      </c>
      <c r="H3080">
        <v>5400</v>
      </c>
      <c r="I3080">
        <v>1950</v>
      </c>
      <c r="J3080" t="s">
        <v>51</v>
      </c>
      <c r="K3080" t="s">
        <v>40</v>
      </c>
      <c r="L3080">
        <v>1800</v>
      </c>
      <c r="M3080">
        <v>36.111111111111107</v>
      </c>
      <c r="N3080" t="s">
        <v>8</v>
      </c>
      <c r="O3080" t="s">
        <v>892</v>
      </c>
      <c r="P3080" t="s">
        <v>29</v>
      </c>
      <c r="Q3080" t="s">
        <v>30</v>
      </c>
      <c r="R3080" t="s">
        <v>31</v>
      </c>
      <c r="S3080" t="s">
        <v>32</v>
      </c>
      <c r="T3080" t="s">
        <v>893</v>
      </c>
      <c r="U3080" t="s">
        <v>34</v>
      </c>
      <c r="V3080">
        <v>650</v>
      </c>
    </row>
    <row r="3081" spans="1:22" x14ac:dyDescent="0.3">
      <c r="A3081" t="s">
        <v>4545</v>
      </c>
      <c r="B3081" s="2">
        <v>45856</v>
      </c>
      <c r="C3081" t="s">
        <v>1524</v>
      </c>
      <c r="D3081" t="s">
        <v>24</v>
      </c>
      <c r="E3081" t="s">
        <v>242</v>
      </c>
      <c r="F3081">
        <v>3</v>
      </c>
      <c r="G3081">
        <v>0</v>
      </c>
      <c r="H3081">
        <v>1350</v>
      </c>
      <c r="I3081">
        <v>330</v>
      </c>
      <c r="J3081" t="s">
        <v>65</v>
      </c>
      <c r="K3081" t="s">
        <v>27</v>
      </c>
      <c r="L3081">
        <v>450</v>
      </c>
      <c r="M3081">
        <v>24.444444444444439</v>
      </c>
      <c r="N3081" t="s">
        <v>8</v>
      </c>
      <c r="O3081" t="s">
        <v>243</v>
      </c>
      <c r="P3081" t="s">
        <v>73</v>
      </c>
      <c r="Q3081" t="s">
        <v>74</v>
      </c>
      <c r="R3081" t="s">
        <v>493</v>
      </c>
      <c r="S3081" t="s">
        <v>494</v>
      </c>
      <c r="T3081" t="s">
        <v>1525</v>
      </c>
      <c r="U3081" t="s">
        <v>34</v>
      </c>
      <c r="V3081">
        <v>110</v>
      </c>
    </row>
    <row r="3082" spans="1:22" x14ac:dyDescent="0.3">
      <c r="A3082" t="s">
        <v>4546</v>
      </c>
      <c r="B3082" s="2">
        <v>46034</v>
      </c>
      <c r="C3082" t="s">
        <v>2684</v>
      </c>
      <c r="D3082" t="s">
        <v>37</v>
      </c>
      <c r="E3082" t="s">
        <v>310</v>
      </c>
      <c r="F3082">
        <v>1</v>
      </c>
      <c r="G3082">
        <v>0.1</v>
      </c>
      <c r="H3082">
        <v>1980</v>
      </c>
      <c r="I3082">
        <v>627.66</v>
      </c>
      <c r="J3082" t="s">
        <v>39</v>
      </c>
      <c r="K3082" t="s">
        <v>40</v>
      </c>
      <c r="L3082">
        <v>1980</v>
      </c>
      <c r="M3082">
        <v>31.7</v>
      </c>
      <c r="N3082" t="s">
        <v>8</v>
      </c>
      <c r="O3082" t="s">
        <v>41</v>
      </c>
      <c r="P3082" t="s">
        <v>73</v>
      </c>
      <c r="Q3082" t="s">
        <v>131</v>
      </c>
      <c r="R3082" t="s">
        <v>289</v>
      </c>
      <c r="S3082" t="s">
        <v>290</v>
      </c>
      <c r="T3082" t="s">
        <v>2685</v>
      </c>
      <c r="U3082" t="s">
        <v>46</v>
      </c>
      <c r="V3082">
        <v>627.66</v>
      </c>
    </row>
    <row r="3083" spans="1:22" x14ac:dyDescent="0.3">
      <c r="A3083" t="s">
        <v>4547</v>
      </c>
      <c r="B3083" s="2">
        <v>45975</v>
      </c>
      <c r="C3083" t="s">
        <v>336</v>
      </c>
      <c r="D3083" t="s">
        <v>70</v>
      </c>
      <c r="E3083" t="s">
        <v>165</v>
      </c>
      <c r="F3083">
        <v>5</v>
      </c>
      <c r="G3083">
        <v>0.1</v>
      </c>
      <c r="H3083">
        <v>11250</v>
      </c>
      <c r="I3083">
        <v>3051.56</v>
      </c>
      <c r="J3083" t="s">
        <v>26</v>
      </c>
      <c r="K3083" t="s">
        <v>40</v>
      </c>
      <c r="L3083">
        <v>2250</v>
      </c>
      <c r="M3083">
        <v>27.124977777777779</v>
      </c>
      <c r="N3083" t="s">
        <v>8</v>
      </c>
      <c r="O3083" t="s">
        <v>337</v>
      </c>
      <c r="P3083" t="s">
        <v>83</v>
      </c>
      <c r="Q3083" t="s">
        <v>74</v>
      </c>
      <c r="R3083" t="s">
        <v>237</v>
      </c>
      <c r="S3083" t="s">
        <v>238</v>
      </c>
      <c r="T3083" t="s">
        <v>338</v>
      </c>
      <c r="U3083" t="s">
        <v>34</v>
      </c>
      <c r="V3083">
        <v>610.31200000000001</v>
      </c>
    </row>
    <row r="3084" spans="1:22" x14ac:dyDescent="0.3">
      <c r="A3084" t="s">
        <v>4548</v>
      </c>
      <c r="B3084" s="2">
        <v>46036</v>
      </c>
      <c r="C3084" t="s">
        <v>1091</v>
      </c>
      <c r="D3084" t="s">
        <v>24</v>
      </c>
      <c r="E3084" t="s">
        <v>242</v>
      </c>
      <c r="F3084">
        <v>3</v>
      </c>
      <c r="G3084">
        <v>0.15</v>
      </c>
      <c r="H3084">
        <v>1147.5</v>
      </c>
      <c r="I3084">
        <v>197.94</v>
      </c>
      <c r="J3084" t="s">
        <v>26</v>
      </c>
      <c r="K3084" t="s">
        <v>40</v>
      </c>
      <c r="L3084">
        <v>382.5</v>
      </c>
      <c r="M3084">
        <v>17.249673202614382</v>
      </c>
      <c r="N3084" t="s">
        <v>8</v>
      </c>
      <c r="O3084" t="s">
        <v>1018</v>
      </c>
      <c r="P3084" t="s">
        <v>83</v>
      </c>
      <c r="Q3084" t="s">
        <v>30</v>
      </c>
      <c r="R3084" t="s">
        <v>31</v>
      </c>
      <c r="S3084" t="s">
        <v>32</v>
      </c>
      <c r="T3084" t="s">
        <v>1092</v>
      </c>
      <c r="U3084" t="s">
        <v>105</v>
      </c>
      <c r="V3084">
        <v>65.98</v>
      </c>
    </row>
    <row r="3085" spans="1:22" x14ac:dyDescent="0.3">
      <c r="A3085" t="s">
        <v>4549</v>
      </c>
      <c r="B3085" s="2">
        <v>46133</v>
      </c>
      <c r="C3085" t="s">
        <v>577</v>
      </c>
      <c r="D3085" t="s">
        <v>24</v>
      </c>
      <c r="E3085" t="s">
        <v>87</v>
      </c>
      <c r="F3085">
        <v>2</v>
      </c>
      <c r="G3085">
        <v>0.05</v>
      </c>
      <c r="H3085">
        <v>665</v>
      </c>
      <c r="I3085">
        <v>218.27</v>
      </c>
      <c r="J3085" t="s">
        <v>39</v>
      </c>
      <c r="K3085" t="s">
        <v>40</v>
      </c>
      <c r="L3085">
        <v>332.5</v>
      </c>
      <c r="M3085">
        <v>32.822556390977446</v>
      </c>
      <c r="N3085" t="s">
        <v>8</v>
      </c>
      <c r="O3085" t="s">
        <v>578</v>
      </c>
      <c r="P3085" t="s">
        <v>73</v>
      </c>
      <c r="Q3085" t="s">
        <v>30</v>
      </c>
      <c r="R3085" t="s">
        <v>98</v>
      </c>
      <c r="S3085" t="s">
        <v>54</v>
      </c>
      <c r="T3085" t="s">
        <v>579</v>
      </c>
      <c r="U3085" t="s">
        <v>46</v>
      </c>
      <c r="V3085">
        <v>109.13500000000001</v>
      </c>
    </row>
    <row r="3086" spans="1:22" x14ac:dyDescent="0.3">
      <c r="A3086" t="s">
        <v>4550</v>
      </c>
      <c r="B3086" s="2">
        <v>45874</v>
      </c>
      <c r="C3086" t="s">
        <v>509</v>
      </c>
      <c r="D3086" t="s">
        <v>49</v>
      </c>
      <c r="E3086" t="s">
        <v>79</v>
      </c>
      <c r="F3086">
        <v>4</v>
      </c>
      <c r="G3086">
        <v>0</v>
      </c>
      <c r="H3086">
        <v>44000</v>
      </c>
      <c r="I3086">
        <v>10400</v>
      </c>
      <c r="J3086" t="s">
        <v>51</v>
      </c>
      <c r="K3086" t="s">
        <v>40</v>
      </c>
      <c r="L3086">
        <v>11000</v>
      </c>
      <c r="M3086">
        <v>23.63636363636364</v>
      </c>
      <c r="N3086" t="s">
        <v>8</v>
      </c>
      <c r="O3086" t="s">
        <v>510</v>
      </c>
      <c r="P3086" t="s">
        <v>73</v>
      </c>
      <c r="Q3086" t="s">
        <v>42</v>
      </c>
      <c r="R3086" t="s">
        <v>110</v>
      </c>
      <c r="S3086" t="s">
        <v>111</v>
      </c>
      <c r="T3086" t="s">
        <v>511</v>
      </c>
      <c r="U3086" t="s">
        <v>34</v>
      </c>
      <c r="V3086">
        <v>2600</v>
      </c>
    </row>
    <row r="3087" spans="1:22" x14ac:dyDescent="0.3">
      <c r="A3087" t="s">
        <v>4551</v>
      </c>
      <c r="B3087" s="2">
        <v>46239</v>
      </c>
      <c r="C3087" t="s">
        <v>872</v>
      </c>
      <c r="D3087" t="s">
        <v>70</v>
      </c>
      <c r="E3087" t="s">
        <v>129</v>
      </c>
      <c r="F3087">
        <v>4</v>
      </c>
      <c r="G3087">
        <v>0.1</v>
      </c>
      <c r="H3087">
        <v>198000</v>
      </c>
      <c r="I3087">
        <v>20772.900000000001</v>
      </c>
      <c r="J3087" t="s">
        <v>39</v>
      </c>
      <c r="K3087" t="s">
        <v>40</v>
      </c>
      <c r="L3087">
        <v>49500</v>
      </c>
      <c r="M3087">
        <v>10.491363636363641</v>
      </c>
      <c r="N3087" t="s">
        <v>8</v>
      </c>
      <c r="O3087" t="s">
        <v>492</v>
      </c>
      <c r="P3087" t="s">
        <v>29</v>
      </c>
      <c r="Q3087" t="s">
        <v>42</v>
      </c>
      <c r="R3087" t="s">
        <v>121</v>
      </c>
      <c r="S3087" t="s">
        <v>44</v>
      </c>
      <c r="T3087" t="s">
        <v>873</v>
      </c>
      <c r="U3087" t="s">
        <v>46</v>
      </c>
      <c r="V3087">
        <v>5193.2250000000004</v>
      </c>
    </row>
    <row r="3088" spans="1:22" x14ac:dyDescent="0.3">
      <c r="A3088" t="s">
        <v>4552</v>
      </c>
      <c r="B3088" s="2">
        <v>46158</v>
      </c>
      <c r="C3088" t="s">
        <v>3893</v>
      </c>
      <c r="D3088" t="s">
        <v>49</v>
      </c>
      <c r="E3088" t="s">
        <v>119</v>
      </c>
      <c r="F3088">
        <v>4</v>
      </c>
      <c r="G3088">
        <v>0</v>
      </c>
      <c r="H3088">
        <v>36000</v>
      </c>
      <c r="I3088">
        <v>9200</v>
      </c>
      <c r="J3088" t="s">
        <v>26</v>
      </c>
      <c r="K3088" t="s">
        <v>40</v>
      </c>
      <c r="L3088">
        <v>9000</v>
      </c>
      <c r="M3088">
        <v>25.55555555555555</v>
      </c>
      <c r="N3088" t="s">
        <v>8</v>
      </c>
      <c r="O3088" t="s">
        <v>781</v>
      </c>
      <c r="P3088" t="s">
        <v>29</v>
      </c>
      <c r="Q3088" t="s">
        <v>131</v>
      </c>
      <c r="R3088" t="s">
        <v>289</v>
      </c>
      <c r="S3088" t="s">
        <v>290</v>
      </c>
      <c r="T3088" t="s">
        <v>1476</v>
      </c>
      <c r="U3088" t="s">
        <v>34</v>
      </c>
      <c r="V3088">
        <v>2300</v>
      </c>
    </row>
    <row r="3089" spans="1:22" x14ac:dyDescent="0.3">
      <c r="A3089" t="s">
        <v>4553</v>
      </c>
      <c r="B3089" s="2">
        <v>46016</v>
      </c>
      <c r="C3089" t="s">
        <v>4554</v>
      </c>
      <c r="D3089" t="s">
        <v>37</v>
      </c>
      <c r="E3089" t="s">
        <v>190</v>
      </c>
      <c r="F3089">
        <v>3</v>
      </c>
      <c r="G3089">
        <v>0</v>
      </c>
      <c r="H3089">
        <v>12600</v>
      </c>
      <c r="I3089">
        <v>-6038.47</v>
      </c>
      <c r="J3089" t="s">
        <v>65</v>
      </c>
      <c r="K3089" t="s">
        <v>80</v>
      </c>
      <c r="L3089">
        <v>4200</v>
      </c>
      <c r="M3089">
        <v>-47.924365079365081</v>
      </c>
      <c r="N3089" t="s">
        <v>81</v>
      </c>
      <c r="O3089" t="s">
        <v>3078</v>
      </c>
      <c r="P3089" t="s">
        <v>29</v>
      </c>
      <c r="Q3089" t="s">
        <v>42</v>
      </c>
      <c r="R3089" t="s">
        <v>121</v>
      </c>
      <c r="S3089" t="s">
        <v>44</v>
      </c>
      <c r="T3089" t="s">
        <v>4555</v>
      </c>
      <c r="U3089" t="s">
        <v>34</v>
      </c>
      <c r="V3089">
        <v>-2012.823333333333</v>
      </c>
    </row>
    <row r="3090" spans="1:22" x14ac:dyDescent="0.3">
      <c r="A3090" t="s">
        <v>4556</v>
      </c>
      <c r="B3090" s="2">
        <v>46236</v>
      </c>
      <c r="C3090" t="s">
        <v>2154</v>
      </c>
      <c r="D3090" t="s">
        <v>37</v>
      </c>
      <c r="E3090" t="s">
        <v>190</v>
      </c>
      <c r="F3090">
        <v>6</v>
      </c>
      <c r="G3090">
        <v>0.1</v>
      </c>
      <c r="H3090">
        <v>22680</v>
      </c>
      <c r="I3090">
        <v>5339.69</v>
      </c>
      <c r="J3090" t="s">
        <v>39</v>
      </c>
      <c r="K3090" t="s">
        <v>40</v>
      </c>
      <c r="L3090">
        <v>3780</v>
      </c>
      <c r="M3090">
        <v>23.543606701940039</v>
      </c>
      <c r="N3090" t="s">
        <v>8</v>
      </c>
      <c r="O3090" t="s">
        <v>1606</v>
      </c>
      <c r="P3090" t="s">
        <v>83</v>
      </c>
      <c r="Q3090" t="s">
        <v>42</v>
      </c>
      <c r="R3090" t="s">
        <v>110</v>
      </c>
      <c r="S3090" t="s">
        <v>111</v>
      </c>
      <c r="T3090" t="s">
        <v>2155</v>
      </c>
      <c r="U3090" t="s">
        <v>34</v>
      </c>
      <c r="V3090">
        <v>889.94833333333327</v>
      </c>
    </row>
    <row r="3091" spans="1:22" x14ac:dyDescent="0.3">
      <c r="A3091" t="s">
        <v>4557</v>
      </c>
      <c r="B3091" s="2">
        <v>45958</v>
      </c>
      <c r="C3091" t="s">
        <v>4558</v>
      </c>
      <c r="D3091" t="s">
        <v>70</v>
      </c>
      <c r="E3091" t="s">
        <v>108</v>
      </c>
      <c r="F3091">
        <v>1</v>
      </c>
      <c r="G3091">
        <v>0.1</v>
      </c>
      <c r="H3091">
        <v>4050</v>
      </c>
      <c r="I3091">
        <v>1281.99</v>
      </c>
      <c r="J3091" t="s">
        <v>65</v>
      </c>
      <c r="K3091" t="s">
        <v>40</v>
      </c>
      <c r="L3091">
        <v>4050</v>
      </c>
      <c r="M3091">
        <v>31.654074074074071</v>
      </c>
      <c r="N3091" t="s">
        <v>8</v>
      </c>
      <c r="O3091" t="s">
        <v>851</v>
      </c>
      <c r="P3091" t="s">
        <v>73</v>
      </c>
      <c r="Q3091" t="s">
        <v>42</v>
      </c>
      <c r="R3091" t="s">
        <v>121</v>
      </c>
      <c r="S3091" t="s">
        <v>44</v>
      </c>
      <c r="T3091" t="s">
        <v>4559</v>
      </c>
      <c r="U3091" t="s">
        <v>46</v>
      </c>
      <c r="V3091">
        <v>1281.99</v>
      </c>
    </row>
    <row r="3092" spans="1:22" x14ac:dyDescent="0.3">
      <c r="A3092" t="s">
        <v>4560</v>
      </c>
      <c r="B3092" s="2">
        <v>46090</v>
      </c>
      <c r="C3092" t="s">
        <v>1427</v>
      </c>
      <c r="D3092" t="s">
        <v>24</v>
      </c>
      <c r="E3092" t="s">
        <v>87</v>
      </c>
      <c r="F3092">
        <v>2</v>
      </c>
      <c r="G3092">
        <v>0.1</v>
      </c>
      <c r="H3092">
        <v>630</v>
      </c>
      <c r="I3092">
        <v>201.43</v>
      </c>
      <c r="J3092" t="s">
        <v>51</v>
      </c>
      <c r="K3092" t="s">
        <v>27</v>
      </c>
      <c r="L3092">
        <v>315</v>
      </c>
      <c r="M3092">
        <v>31.973015873015871</v>
      </c>
      <c r="N3092" t="s">
        <v>8</v>
      </c>
      <c r="O3092" t="s">
        <v>1102</v>
      </c>
      <c r="P3092" t="s">
        <v>83</v>
      </c>
      <c r="Q3092" t="s">
        <v>74</v>
      </c>
      <c r="R3092" t="s">
        <v>493</v>
      </c>
      <c r="S3092" t="s">
        <v>494</v>
      </c>
      <c r="T3092" t="s">
        <v>1428</v>
      </c>
      <c r="U3092" t="s">
        <v>46</v>
      </c>
      <c r="V3092">
        <v>100.715</v>
      </c>
    </row>
    <row r="3093" spans="1:22" x14ac:dyDescent="0.3">
      <c r="A3093" t="s">
        <v>4561</v>
      </c>
      <c r="B3093" s="2">
        <v>46074</v>
      </c>
      <c r="C3093" t="s">
        <v>57</v>
      </c>
      <c r="D3093" t="s">
        <v>37</v>
      </c>
      <c r="E3093" t="s">
        <v>190</v>
      </c>
      <c r="F3093">
        <v>5</v>
      </c>
      <c r="G3093">
        <v>0.1</v>
      </c>
      <c r="H3093">
        <v>18900</v>
      </c>
      <c r="I3093">
        <v>4837.53</v>
      </c>
      <c r="J3093" t="s">
        <v>26</v>
      </c>
      <c r="K3093" t="s">
        <v>40</v>
      </c>
      <c r="L3093">
        <v>3780</v>
      </c>
      <c r="M3093">
        <v>25.595396825396829</v>
      </c>
      <c r="N3093" t="s">
        <v>8</v>
      </c>
      <c r="O3093" t="s">
        <v>59</v>
      </c>
      <c r="P3093" t="s">
        <v>29</v>
      </c>
      <c r="Q3093" t="s">
        <v>30</v>
      </c>
      <c r="R3093" t="s">
        <v>60</v>
      </c>
      <c r="S3093" t="s">
        <v>61</v>
      </c>
      <c r="T3093" t="s">
        <v>62</v>
      </c>
      <c r="U3093" t="s">
        <v>34</v>
      </c>
      <c r="V3093">
        <v>967.50599999999997</v>
      </c>
    </row>
    <row r="3094" spans="1:22" x14ac:dyDescent="0.3">
      <c r="A3094" t="s">
        <v>4562</v>
      </c>
      <c r="B3094" s="2">
        <v>45983</v>
      </c>
      <c r="C3094" t="s">
        <v>1694</v>
      </c>
      <c r="D3094" t="s">
        <v>37</v>
      </c>
      <c r="E3094" t="s">
        <v>170</v>
      </c>
      <c r="F3094">
        <v>1</v>
      </c>
      <c r="G3094">
        <v>0.15</v>
      </c>
      <c r="H3094">
        <v>1190</v>
      </c>
      <c r="I3094">
        <v>-542.35</v>
      </c>
      <c r="J3094" t="s">
        <v>39</v>
      </c>
      <c r="K3094" t="s">
        <v>434</v>
      </c>
      <c r="L3094">
        <v>1190</v>
      </c>
      <c r="M3094">
        <v>-45.575630252100837</v>
      </c>
      <c r="N3094" t="s">
        <v>81</v>
      </c>
      <c r="O3094" t="s">
        <v>1695</v>
      </c>
      <c r="P3094" t="s">
        <v>73</v>
      </c>
      <c r="Q3094" t="s">
        <v>30</v>
      </c>
      <c r="R3094" t="s">
        <v>60</v>
      </c>
      <c r="S3094" t="s">
        <v>61</v>
      </c>
      <c r="T3094" t="s">
        <v>1696</v>
      </c>
      <c r="U3094" t="s">
        <v>100</v>
      </c>
      <c r="V3094">
        <v>-542.35</v>
      </c>
    </row>
    <row r="3095" spans="1:22" x14ac:dyDescent="0.3">
      <c r="A3095" t="s">
        <v>4563</v>
      </c>
      <c r="B3095" s="2">
        <v>46157</v>
      </c>
      <c r="C3095" t="s">
        <v>1934</v>
      </c>
      <c r="D3095" t="s">
        <v>49</v>
      </c>
      <c r="E3095" t="s">
        <v>79</v>
      </c>
      <c r="F3095">
        <v>5</v>
      </c>
      <c r="G3095">
        <v>0</v>
      </c>
      <c r="H3095">
        <v>55000</v>
      </c>
      <c r="I3095">
        <v>13000</v>
      </c>
      <c r="J3095" t="s">
        <v>65</v>
      </c>
      <c r="K3095" t="s">
        <v>40</v>
      </c>
      <c r="L3095">
        <v>11000</v>
      </c>
      <c r="M3095">
        <v>23.63636363636364</v>
      </c>
      <c r="N3095" t="s">
        <v>8</v>
      </c>
      <c r="O3095" t="s">
        <v>975</v>
      </c>
      <c r="P3095" t="s">
        <v>73</v>
      </c>
      <c r="Q3095" t="s">
        <v>74</v>
      </c>
      <c r="R3095" t="s">
        <v>75</v>
      </c>
      <c r="S3095" t="s">
        <v>75</v>
      </c>
      <c r="T3095" t="s">
        <v>1425</v>
      </c>
      <c r="U3095" t="s">
        <v>46</v>
      </c>
      <c r="V3095">
        <v>2600</v>
      </c>
    </row>
    <row r="3096" spans="1:22" x14ac:dyDescent="0.3">
      <c r="A3096" t="s">
        <v>4564</v>
      </c>
      <c r="B3096" s="2">
        <v>46039</v>
      </c>
      <c r="C3096" t="s">
        <v>675</v>
      </c>
      <c r="D3096" t="s">
        <v>70</v>
      </c>
      <c r="E3096" t="s">
        <v>129</v>
      </c>
      <c r="F3096">
        <v>1</v>
      </c>
      <c r="G3096">
        <v>0.15</v>
      </c>
      <c r="H3096">
        <v>46750</v>
      </c>
      <c r="I3096">
        <v>4192.53</v>
      </c>
      <c r="J3096" t="s">
        <v>26</v>
      </c>
      <c r="K3096" t="s">
        <v>40</v>
      </c>
      <c r="L3096">
        <v>46750</v>
      </c>
      <c r="M3096">
        <v>8.9679786096256677</v>
      </c>
      <c r="N3096" t="s">
        <v>8</v>
      </c>
      <c r="O3096" t="s">
        <v>255</v>
      </c>
      <c r="P3096" t="s">
        <v>29</v>
      </c>
      <c r="Q3096" t="s">
        <v>30</v>
      </c>
      <c r="R3096" t="s">
        <v>60</v>
      </c>
      <c r="S3096" t="s">
        <v>61</v>
      </c>
      <c r="T3096" t="s">
        <v>676</v>
      </c>
      <c r="U3096" t="s">
        <v>105</v>
      </c>
      <c r="V3096">
        <v>4192.53</v>
      </c>
    </row>
    <row r="3097" spans="1:22" x14ac:dyDescent="0.3">
      <c r="A3097" t="s">
        <v>4565</v>
      </c>
      <c r="B3097" s="2">
        <v>45930</v>
      </c>
      <c r="C3097" t="s">
        <v>882</v>
      </c>
      <c r="D3097" t="s">
        <v>49</v>
      </c>
      <c r="E3097" t="s">
        <v>50</v>
      </c>
      <c r="F3097">
        <v>1</v>
      </c>
      <c r="G3097">
        <v>0</v>
      </c>
      <c r="H3097">
        <v>13000</v>
      </c>
      <c r="I3097">
        <v>3200</v>
      </c>
      <c r="J3097" t="s">
        <v>39</v>
      </c>
      <c r="K3097" t="s">
        <v>40</v>
      </c>
      <c r="L3097">
        <v>13000</v>
      </c>
      <c r="M3097">
        <v>24.61538461538462</v>
      </c>
      <c r="N3097" t="s">
        <v>8</v>
      </c>
      <c r="O3097" t="s">
        <v>883</v>
      </c>
      <c r="P3097" t="s">
        <v>73</v>
      </c>
      <c r="Q3097" t="s">
        <v>74</v>
      </c>
      <c r="R3097" t="s">
        <v>115</v>
      </c>
      <c r="S3097" t="s">
        <v>115</v>
      </c>
      <c r="T3097" t="s">
        <v>884</v>
      </c>
      <c r="U3097" t="s">
        <v>34</v>
      </c>
      <c r="V3097">
        <v>3200</v>
      </c>
    </row>
    <row r="3098" spans="1:22" x14ac:dyDescent="0.3">
      <c r="A3098" t="s">
        <v>4566</v>
      </c>
      <c r="B3098" s="2">
        <v>46036</v>
      </c>
      <c r="C3098" t="s">
        <v>156</v>
      </c>
      <c r="D3098" t="s">
        <v>49</v>
      </c>
      <c r="E3098" t="s">
        <v>119</v>
      </c>
      <c r="F3098">
        <v>3</v>
      </c>
      <c r="G3098">
        <v>0</v>
      </c>
      <c r="H3098">
        <v>27000</v>
      </c>
      <c r="I3098">
        <v>6900</v>
      </c>
      <c r="J3098" t="s">
        <v>26</v>
      </c>
      <c r="K3098" t="s">
        <v>40</v>
      </c>
      <c r="L3098">
        <v>9000</v>
      </c>
      <c r="M3098">
        <v>25.55555555555555</v>
      </c>
      <c r="N3098" t="s">
        <v>8</v>
      </c>
      <c r="O3098" t="s">
        <v>157</v>
      </c>
      <c r="P3098" t="s">
        <v>83</v>
      </c>
      <c r="Q3098" t="s">
        <v>30</v>
      </c>
      <c r="R3098" t="s">
        <v>31</v>
      </c>
      <c r="S3098" t="s">
        <v>32</v>
      </c>
      <c r="T3098" t="s">
        <v>158</v>
      </c>
      <c r="U3098" t="s">
        <v>34</v>
      </c>
      <c r="V3098">
        <v>2300</v>
      </c>
    </row>
    <row r="3099" spans="1:22" x14ac:dyDescent="0.3">
      <c r="A3099" t="s">
        <v>4567</v>
      </c>
      <c r="B3099" s="2">
        <v>46095</v>
      </c>
      <c r="C3099" t="s">
        <v>1585</v>
      </c>
      <c r="D3099" t="s">
        <v>24</v>
      </c>
      <c r="E3099" t="s">
        <v>87</v>
      </c>
      <c r="F3099">
        <v>4</v>
      </c>
      <c r="G3099">
        <v>0.1</v>
      </c>
      <c r="H3099">
        <v>1260</v>
      </c>
      <c r="I3099">
        <v>-382.52</v>
      </c>
      <c r="J3099" t="s">
        <v>26</v>
      </c>
      <c r="K3099" t="s">
        <v>434</v>
      </c>
      <c r="L3099">
        <v>315</v>
      </c>
      <c r="M3099">
        <v>-30.358730158730161</v>
      </c>
      <c r="N3099" t="s">
        <v>81</v>
      </c>
      <c r="O3099" t="s">
        <v>1586</v>
      </c>
      <c r="P3099" t="s">
        <v>29</v>
      </c>
      <c r="Q3099" t="s">
        <v>74</v>
      </c>
      <c r="R3099" t="s">
        <v>493</v>
      </c>
      <c r="S3099" t="s">
        <v>494</v>
      </c>
      <c r="T3099" t="s">
        <v>876</v>
      </c>
      <c r="U3099" t="s">
        <v>34</v>
      </c>
      <c r="V3099">
        <v>-95.63</v>
      </c>
    </row>
    <row r="3100" spans="1:22" x14ac:dyDescent="0.3">
      <c r="A3100" t="s">
        <v>4568</v>
      </c>
      <c r="B3100" s="2">
        <v>46221</v>
      </c>
      <c r="C3100" t="s">
        <v>212</v>
      </c>
      <c r="D3100" t="s">
        <v>49</v>
      </c>
      <c r="E3100" t="s">
        <v>119</v>
      </c>
      <c r="F3100">
        <v>4</v>
      </c>
      <c r="G3100">
        <v>0</v>
      </c>
      <c r="H3100">
        <v>36000</v>
      </c>
      <c r="I3100">
        <v>9200</v>
      </c>
      <c r="J3100" t="s">
        <v>26</v>
      </c>
      <c r="K3100" t="s">
        <v>27</v>
      </c>
      <c r="L3100">
        <v>9000</v>
      </c>
      <c r="M3100">
        <v>25.55555555555555</v>
      </c>
      <c r="N3100" t="s">
        <v>8</v>
      </c>
      <c r="O3100" t="s">
        <v>213</v>
      </c>
      <c r="P3100" t="s">
        <v>29</v>
      </c>
      <c r="Q3100" t="s">
        <v>42</v>
      </c>
      <c r="R3100" t="s">
        <v>214</v>
      </c>
      <c r="S3100" t="s">
        <v>111</v>
      </c>
      <c r="T3100" t="s">
        <v>215</v>
      </c>
      <c r="U3100" t="s">
        <v>105</v>
      </c>
      <c r="V3100">
        <v>2300</v>
      </c>
    </row>
    <row r="3101" spans="1:22" x14ac:dyDescent="0.3">
      <c r="A3101" t="s">
        <v>4569</v>
      </c>
      <c r="B3101" s="2">
        <v>46000</v>
      </c>
      <c r="C3101" t="s">
        <v>3715</v>
      </c>
      <c r="D3101" t="s">
        <v>70</v>
      </c>
      <c r="E3101" t="s">
        <v>71</v>
      </c>
      <c r="F3101">
        <v>2</v>
      </c>
      <c r="G3101">
        <v>0.1</v>
      </c>
      <c r="H3101">
        <v>32400</v>
      </c>
      <c r="I3101">
        <v>4758.6000000000004</v>
      </c>
      <c r="J3101" t="s">
        <v>65</v>
      </c>
      <c r="K3101" t="s">
        <v>40</v>
      </c>
      <c r="L3101">
        <v>16200</v>
      </c>
      <c r="M3101">
        <v>14.68703703703704</v>
      </c>
      <c r="N3101" t="s">
        <v>8</v>
      </c>
      <c r="O3101" t="s">
        <v>1963</v>
      </c>
      <c r="P3101" t="s">
        <v>29</v>
      </c>
      <c r="Q3101" t="s">
        <v>74</v>
      </c>
      <c r="R3101" t="s">
        <v>75</v>
      </c>
      <c r="S3101" t="s">
        <v>75</v>
      </c>
      <c r="T3101" t="s">
        <v>3716</v>
      </c>
      <c r="U3101" t="s">
        <v>34</v>
      </c>
      <c r="V3101">
        <v>2379.3000000000002</v>
      </c>
    </row>
    <row r="3102" spans="1:22" x14ac:dyDescent="0.3">
      <c r="A3102" t="s">
        <v>4570</v>
      </c>
      <c r="B3102" s="2">
        <v>46112</v>
      </c>
      <c r="C3102" t="s">
        <v>1767</v>
      </c>
      <c r="D3102" t="s">
        <v>24</v>
      </c>
      <c r="E3102" t="s">
        <v>92</v>
      </c>
      <c r="F3102">
        <v>2</v>
      </c>
      <c r="G3102">
        <v>0.2</v>
      </c>
      <c r="H3102">
        <v>1440</v>
      </c>
      <c r="I3102">
        <v>378.62</v>
      </c>
      <c r="J3102" t="s">
        <v>65</v>
      </c>
      <c r="K3102" t="s">
        <v>40</v>
      </c>
      <c r="L3102">
        <v>720</v>
      </c>
      <c r="M3102">
        <v>26.293055555555551</v>
      </c>
      <c r="N3102" t="s">
        <v>8</v>
      </c>
      <c r="O3102" t="s">
        <v>1768</v>
      </c>
      <c r="P3102" t="s">
        <v>29</v>
      </c>
      <c r="Q3102" t="s">
        <v>131</v>
      </c>
      <c r="R3102" t="s">
        <v>289</v>
      </c>
      <c r="S3102" t="s">
        <v>290</v>
      </c>
      <c r="T3102" t="s">
        <v>1469</v>
      </c>
      <c r="U3102" t="s">
        <v>100</v>
      </c>
      <c r="V3102">
        <v>189.31</v>
      </c>
    </row>
    <row r="3103" spans="1:22" x14ac:dyDescent="0.3">
      <c r="A3103" t="s">
        <v>4571</v>
      </c>
      <c r="B3103" s="2">
        <v>45882</v>
      </c>
      <c r="C3103" t="s">
        <v>2415</v>
      </c>
      <c r="D3103" t="s">
        <v>70</v>
      </c>
      <c r="E3103" t="s">
        <v>108</v>
      </c>
      <c r="F3103">
        <v>4</v>
      </c>
      <c r="G3103">
        <v>0.2</v>
      </c>
      <c r="H3103">
        <v>14400</v>
      </c>
      <c r="I3103">
        <v>3752.71</v>
      </c>
      <c r="J3103" t="s">
        <v>39</v>
      </c>
      <c r="K3103" t="s">
        <v>40</v>
      </c>
      <c r="L3103">
        <v>3600</v>
      </c>
      <c r="M3103">
        <v>26.060486111111111</v>
      </c>
      <c r="N3103" t="s">
        <v>8</v>
      </c>
      <c r="O3103" t="s">
        <v>1098</v>
      </c>
      <c r="P3103" t="s">
        <v>29</v>
      </c>
      <c r="Q3103" t="s">
        <v>30</v>
      </c>
      <c r="R3103" t="s">
        <v>53</v>
      </c>
      <c r="S3103" t="s">
        <v>54</v>
      </c>
      <c r="T3103" t="s">
        <v>2416</v>
      </c>
      <c r="U3103" t="s">
        <v>34</v>
      </c>
      <c r="V3103">
        <v>938.17750000000001</v>
      </c>
    </row>
    <row r="3104" spans="1:22" x14ac:dyDescent="0.3">
      <c r="A3104" t="s">
        <v>4572</v>
      </c>
      <c r="B3104" s="2">
        <v>45996</v>
      </c>
      <c r="C3104" t="s">
        <v>1193</v>
      </c>
      <c r="D3104" t="s">
        <v>70</v>
      </c>
      <c r="E3104" t="s">
        <v>71</v>
      </c>
      <c r="F3104">
        <v>1</v>
      </c>
      <c r="G3104">
        <v>0</v>
      </c>
      <c r="H3104">
        <v>18000</v>
      </c>
      <c r="I3104">
        <v>3500</v>
      </c>
      <c r="J3104" t="s">
        <v>51</v>
      </c>
      <c r="K3104" t="s">
        <v>40</v>
      </c>
      <c r="L3104">
        <v>18000</v>
      </c>
      <c r="M3104">
        <v>19.44444444444445</v>
      </c>
      <c r="N3104" t="s">
        <v>8</v>
      </c>
      <c r="O3104" t="s">
        <v>781</v>
      </c>
      <c r="P3104" t="s">
        <v>29</v>
      </c>
      <c r="Q3104" t="s">
        <v>30</v>
      </c>
      <c r="R3104" t="s">
        <v>31</v>
      </c>
      <c r="S3104" t="s">
        <v>32</v>
      </c>
      <c r="T3104" t="s">
        <v>1194</v>
      </c>
      <c r="U3104" t="s">
        <v>46</v>
      </c>
      <c r="V3104">
        <v>3500</v>
      </c>
    </row>
    <row r="3105" spans="1:22" x14ac:dyDescent="0.3">
      <c r="A3105" t="s">
        <v>4573</v>
      </c>
      <c r="B3105" s="2">
        <v>45923</v>
      </c>
      <c r="C3105" t="s">
        <v>878</v>
      </c>
      <c r="D3105" t="s">
        <v>70</v>
      </c>
      <c r="E3105" t="s">
        <v>108</v>
      </c>
      <c r="F3105">
        <v>2</v>
      </c>
      <c r="G3105">
        <v>0.15</v>
      </c>
      <c r="H3105">
        <v>7650</v>
      </c>
      <c r="I3105">
        <v>1863</v>
      </c>
      <c r="J3105" t="s">
        <v>65</v>
      </c>
      <c r="K3105" t="s">
        <v>40</v>
      </c>
      <c r="L3105">
        <v>3825</v>
      </c>
      <c r="M3105">
        <v>24.352941176470591</v>
      </c>
      <c r="N3105" t="s">
        <v>8</v>
      </c>
      <c r="O3105" t="s">
        <v>879</v>
      </c>
      <c r="P3105" t="s">
        <v>83</v>
      </c>
      <c r="Q3105" t="s">
        <v>30</v>
      </c>
      <c r="R3105" t="s">
        <v>98</v>
      </c>
      <c r="S3105" t="s">
        <v>54</v>
      </c>
      <c r="T3105" t="s">
        <v>880</v>
      </c>
      <c r="U3105" t="s">
        <v>46</v>
      </c>
      <c r="V3105">
        <v>931.5</v>
      </c>
    </row>
    <row r="3106" spans="1:22" x14ac:dyDescent="0.3">
      <c r="A3106" t="s">
        <v>4574</v>
      </c>
      <c r="B3106" s="2">
        <v>46056</v>
      </c>
      <c r="C3106" t="s">
        <v>1363</v>
      </c>
      <c r="D3106" t="s">
        <v>70</v>
      </c>
      <c r="E3106" t="s">
        <v>71</v>
      </c>
      <c r="F3106">
        <v>1</v>
      </c>
      <c r="G3106">
        <v>0.2</v>
      </c>
      <c r="H3106">
        <v>14400</v>
      </c>
      <c r="I3106">
        <v>1569.67</v>
      </c>
      <c r="J3106" t="s">
        <v>51</v>
      </c>
      <c r="K3106" t="s">
        <v>40</v>
      </c>
      <c r="L3106">
        <v>14400</v>
      </c>
      <c r="M3106">
        <v>10.90048611111111</v>
      </c>
      <c r="N3106" t="s">
        <v>8</v>
      </c>
      <c r="O3106" t="s">
        <v>1364</v>
      </c>
      <c r="P3106" t="s">
        <v>73</v>
      </c>
      <c r="Q3106" t="s">
        <v>30</v>
      </c>
      <c r="R3106" t="s">
        <v>98</v>
      </c>
      <c r="S3106" t="s">
        <v>54</v>
      </c>
      <c r="T3106" t="s">
        <v>1365</v>
      </c>
      <c r="U3106" t="s">
        <v>105</v>
      </c>
      <c r="V3106">
        <v>1569.67</v>
      </c>
    </row>
    <row r="3107" spans="1:22" x14ac:dyDescent="0.3">
      <c r="A3107" t="s">
        <v>4575</v>
      </c>
      <c r="B3107" s="2">
        <v>46197</v>
      </c>
      <c r="C3107" t="s">
        <v>678</v>
      </c>
      <c r="D3107" t="s">
        <v>37</v>
      </c>
      <c r="E3107" t="s">
        <v>170</v>
      </c>
      <c r="F3107">
        <v>3</v>
      </c>
      <c r="G3107">
        <v>0.1</v>
      </c>
      <c r="H3107">
        <v>3780</v>
      </c>
      <c r="I3107">
        <v>1285.8399999999999</v>
      </c>
      <c r="J3107" t="s">
        <v>26</v>
      </c>
      <c r="K3107" t="s">
        <v>40</v>
      </c>
      <c r="L3107">
        <v>1260</v>
      </c>
      <c r="M3107">
        <v>34.016931216931212</v>
      </c>
      <c r="N3107" t="s">
        <v>8</v>
      </c>
      <c r="O3107" t="s">
        <v>657</v>
      </c>
      <c r="P3107" t="s">
        <v>83</v>
      </c>
      <c r="Q3107" t="s">
        <v>30</v>
      </c>
      <c r="R3107" t="s">
        <v>31</v>
      </c>
      <c r="S3107" t="s">
        <v>32</v>
      </c>
      <c r="T3107" t="s">
        <v>679</v>
      </c>
      <c r="U3107" t="s">
        <v>100</v>
      </c>
      <c r="V3107">
        <v>428.61333333333329</v>
      </c>
    </row>
    <row r="3108" spans="1:22" x14ac:dyDescent="0.3">
      <c r="A3108" t="s">
        <v>4576</v>
      </c>
      <c r="B3108" s="2">
        <v>45970</v>
      </c>
      <c r="C3108" t="s">
        <v>3146</v>
      </c>
      <c r="D3108" t="s">
        <v>24</v>
      </c>
      <c r="E3108" t="s">
        <v>242</v>
      </c>
      <c r="F3108">
        <v>1</v>
      </c>
      <c r="G3108">
        <v>0.1</v>
      </c>
      <c r="H3108">
        <v>405</v>
      </c>
      <c r="I3108">
        <v>77.760000000000005</v>
      </c>
      <c r="J3108" t="s">
        <v>65</v>
      </c>
      <c r="K3108" t="s">
        <v>40</v>
      </c>
      <c r="L3108">
        <v>405</v>
      </c>
      <c r="M3108">
        <v>19.2</v>
      </c>
      <c r="N3108" t="s">
        <v>8</v>
      </c>
      <c r="O3108" t="s">
        <v>3147</v>
      </c>
      <c r="P3108" t="s">
        <v>73</v>
      </c>
      <c r="Q3108" t="s">
        <v>42</v>
      </c>
      <c r="R3108" t="s">
        <v>121</v>
      </c>
      <c r="S3108" t="s">
        <v>44</v>
      </c>
      <c r="T3108" t="s">
        <v>2122</v>
      </c>
      <c r="U3108" t="s">
        <v>34</v>
      </c>
      <c r="V3108">
        <v>77.760000000000005</v>
      </c>
    </row>
    <row r="3109" spans="1:22" x14ac:dyDescent="0.3">
      <c r="A3109" t="s">
        <v>4577</v>
      </c>
      <c r="B3109" s="2">
        <v>46221</v>
      </c>
      <c r="C3109" t="s">
        <v>293</v>
      </c>
      <c r="D3109" t="s">
        <v>70</v>
      </c>
      <c r="E3109" t="s">
        <v>165</v>
      </c>
      <c r="F3109">
        <v>2</v>
      </c>
      <c r="G3109">
        <v>0.2</v>
      </c>
      <c r="H3109">
        <v>4000</v>
      </c>
      <c r="I3109">
        <v>-2365.35</v>
      </c>
      <c r="J3109" t="s">
        <v>51</v>
      </c>
      <c r="K3109" t="s">
        <v>80</v>
      </c>
      <c r="L3109">
        <v>2000</v>
      </c>
      <c r="M3109">
        <v>-59.133749999999999</v>
      </c>
      <c r="N3109" t="s">
        <v>81</v>
      </c>
      <c r="O3109" t="s">
        <v>294</v>
      </c>
      <c r="P3109" t="s">
        <v>73</v>
      </c>
      <c r="Q3109" t="s">
        <v>74</v>
      </c>
      <c r="R3109" t="s">
        <v>115</v>
      </c>
      <c r="S3109" t="s">
        <v>115</v>
      </c>
      <c r="T3109" t="s">
        <v>295</v>
      </c>
      <c r="U3109" t="s">
        <v>100</v>
      </c>
      <c r="V3109">
        <v>-1182.675</v>
      </c>
    </row>
    <row r="3110" spans="1:22" x14ac:dyDescent="0.3">
      <c r="A3110" t="s">
        <v>4578</v>
      </c>
      <c r="B3110" s="2">
        <v>45855</v>
      </c>
      <c r="C3110" t="s">
        <v>2311</v>
      </c>
      <c r="D3110" t="s">
        <v>70</v>
      </c>
      <c r="E3110" t="s">
        <v>165</v>
      </c>
      <c r="F3110">
        <v>2</v>
      </c>
      <c r="G3110">
        <v>0.1</v>
      </c>
      <c r="H3110">
        <v>4500</v>
      </c>
      <c r="I3110">
        <v>-259.74</v>
      </c>
      <c r="J3110" t="s">
        <v>26</v>
      </c>
      <c r="K3110" t="s">
        <v>80</v>
      </c>
      <c r="L3110">
        <v>2250</v>
      </c>
      <c r="M3110">
        <v>-5.7720000000000002</v>
      </c>
      <c r="N3110" t="s">
        <v>81</v>
      </c>
      <c r="O3110" t="s">
        <v>2312</v>
      </c>
      <c r="P3110" t="s">
        <v>73</v>
      </c>
      <c r="Q3110" t="s">
        <v>131</v>
      </c>
      <c r="R3110" t="s">
        <v>132</v>
      </c>
      <c r="S3110" t="s">
        <v>133</v>
      </c>
      <c r="T3110" t="s">
        <v>2313</v>
      </c>
      <c r="U3110" t="s">
        <v>46</v>
      </c>
      <c r="V3110">
        <v>-129.87</v>
      </c>
    </row>
    <row r="3111" spans="1:22" x14ac:dyDescent="0.3">
      <c r="A3111" t="s">
        <v>4579</v>
      </c>
      <c r="B3111" s="2">
        <v>45984</v>
      </c>
      <c r="C3111" t="s">
        <v>807</v>
      </c>
      <c r="D3111" t="s">
        <v>24</v>
      </c>
      <c r="E3111" t="s">
        <v>87</v>
      </c>
      <c r="F3111">
        <v>5</v>
      </c>
      <c r="G3111">
        <v>0.1</v>
      </c>
      <c r="H3111">
        <v>1575</v>
      </c>
      <c r="I3111">
        <v>468.44</v>
      </c>
      <c r="J3111" t="s">
        <v>51</v>
      </c>
      <c r="K3111" t="s">
        <v>40</v>
      </c>
      <c r="L3111">
        <v>315</v>
      </c>
      <c r="M3111">
        <v>29.742222222222221</v>
      </c>
      <c r="N3111" t="s">
        <v>8</v>
      </c>
      <c r="O3111" t="s">
        <v>545</v>
      </c>
      <c r="P3111" t="s">
        <v>73</v>
      </c>
      <c r="Q3111" t="s">
        <v>30</v>
      </c>
      <c r="R3111" t="s">
        <v>31</v>
      </c>
      <c r="S3111" t="s">
        <v>32</v>
      </c>
      <c r="T3111" t="s">
        <v>808</v>
      </c>
      <c r="U3111" t="s">
        <v>105</v>
      </c>
      <c r="V3111">
        <v>93.688000000000002</v>
      </c>
    </row>
    <row r="3112" spans="1:22" x14ac:dyDescent="0.3">
      <c r="A3112" t="s">
        <v>4580</v>
      </c>
      <c r="B3112" s="2">
        <v>45974</v>
      </c>
      <c r="C3112" t="s">
        <v>1605</v>
      </c>
      <c r="D3112" t="s">
        <v>49</v>
      </c>
      <c r="E3112" t="s">
        <v>58</v>
      </c>
      <c r="F3112">
        <v>2</v>
      </c>
      <c r="G3112">
        <v>0.3</v>
      </c>
      <c r="H3112">
        <v>21000</v>
      </c>
      <c r="I3112">
        <v>1908.12</v>
      </c>
      <c r="J3112" t="s">
        <v>26</v>
      </c>
      <c r="K3112" t="s">
        <v>40</v>
      </c>
      <c r="L3112">
        <v>10500</v>
      </c>
      <c r="M3112">
        <v>9.0862857142857134</v>
      </c>
      <c r="N3112" t="s">
        <v>8</v>
      </c>
      <c r="O3112" t="s">
        <v>1606</v>
      </c>
      <c r="P3112" t="s">
        <v>73</v>
      </c>
      <c r="Q3112" t="s">
        <v>30</v>
      </c>
      <c r="R3112" t="s">
        <v>53</v>
      </c>
      <c r="S3112" t="s">
        <v>54</v>
      </c>
      <c r="T3112" t="s">
        <v>1607</v>
      </c>
      <c r="U3112" t="s">
        <v>34</v>
      </c>
      <c r="V3112">
        <v>954.06</v>
      </c>
    </row>
    <row r="3113" spans="1:22" x14ac:dyDescent="0.3">
      <c r="A3113" t="s">
        <v>4581</v>
      </c>
      <c r="B3113" s="2">
        <v>45942</v>
      </c>
      <c r="C3113" t="s">
        <v>2034</v>
      </c>
      <c r="D3113" t="s">
        <v>49</v>
      </c>
      <c r="E3113" t="s">
        <v>50</v>
      </c>
      <c r="F3113">
        <v>4</v>
      </c>
      <c r="G3113">
        <v>0</v>
      </c>
      <c r="H3113">
        <v>52000</v>
      </c>
      <c r="I3113">
        <v>12800</v>
      </c>
      <c r="J3113" t="s">
        <v>26</v>
      </c>
      <c r="K3113" t="s">
        <v>40</v>
      </c>
      <c r="L3113">
        <v>13000</v>
      </c>
      <c r="M3113">
        <v>24.61538461538462</v>
      </c>
      <c r="N3113" t="s">
        <v>8</v>
      </c>
      <c r="O3113" t="s">
        <v>502</v>
      </c>
      <c r="P3113" t="s">
        <v>29</v>
      </c>
      <c r="Q3113" t="s">
        <v>30</v>
      </c>
      <c r="R3113" t="s">
        <v>98</v>
      </c>
      <c r="S3113" t="s">
        <v>54</v>
      </c>
      <c r="T3113" t="s">
        <v>2035</v>
      </c>
      <c r="U3113" t="s">
        <v>34</v>
      </c>
      <c r="V3113">
        <v>3200</v>
      </c>
    </row>
    <row r="3114" spans="1:22" x14ac:dyDescent="0.3">
      <c r="A3114" t="s">
        <v>4582</v>
      </c>
      <c r="B3114" s="2">
        <v>46197</v>
      </c>
      <c r="C3114" t="s">
        <v>1377</v>
      </c>
      <c r="D3114" t="s">
        <v>70</v>
      </c>
      <c r="E3114" t="s">
        <v>71</v>
      </c>
      <c r="F3114">
        <v>1</v>
      </c>
      <c r="G3114">
        <v>0.15</v>
      </c>
      <c r="H3114">
        <v>15300</v>
      </c>
      <c r="I3114">
        <v>2006.78</v>
      </c>
      <c r="J3114" t="s">
        <v>39</v>
      </c>
      <c r="K3114" t="s">
        <v>40</v>
      </c>
      <c r="L3114">
        <v>15300</v>
      </c>
      <c r="M3114">
        <v>13.116209150326799</v>
      </c>
      <c r="N3114" t="s">
        <v>8</v>
      </c>
      <c r="O3114" t="s">
        <v>1378</v>
      </c>
      <c r="P3114" t="s">
        <v>29</v>
      </c>
      <c r="Q3114" t="s">
        <v>30</v>
      </c>
      <c r="R3114" t="s">
        <v>53</v>
      </c>
      <c r="S3114" t="s">
        <v>54</v>
      </c>
      <c r="T3114" t="s">
        <v>1379</v>
      </c>
      <c r="U3114" t="s">
        <v>100</v>
      </c>
      <c r="V3114">
        <v>2006.78</v>
      </c>
    </row>
    <row r="3115" spans="1:22" x14ac:dyDescent="0.3">
      <c r="A3115" t="s">
        <v>4583</v>
      </c>
      <c r="B3115" s="2">
        <v>45960</v>
      </c>
      <c r="C3115" t="s">
        <v>340</v>
      </c>
      <c r="D3115" t="s">
        <v>70</v>
      </c>
      <c r="E3115" t="s">
        <v>71</v>
      </c>
      <c r="F3115">
        <v>1</v>
      </c>
      <c r="G3115">
        <v>0.1</v>
      </c>
      <c r="H3115">
        <v>16200</v>
      </c>
      <c r="I3115">
        <v>2432.1</v>
      </c>
      <c r="J3115" t="s">
        <v>39</v>
      </c>
      <c r="K3115" t="s">
        <v>40</v>
      </c>
      <c r="L3115">
        <v>16200</v>
      </c>
      <c r="M3115">
        <v>15.012962962962961</v>
      </c>
      <c r="N3115" t="s">
        <v>8</v>
      </c>
      <c r="O3115" t="s">
        <v>341</v>
      </c>
      <c r="P3115" t="s">
        <v>29</v>
      </c>
      <c r="Q3115" t="s">
        <v>30</v>
      </c>
      <c r="R3115" t="s">
        <v>98</v>
      </c>
      <c r="S3115" t="s">
        <v>54</v>
      </c>
      <c r="T3115" t="s">
        <v>342</v>
      </c>
      <c r="U3115" t="s">
        <v>100</v>
      </c>
      <c r="V3115">
        <v>2432.1</v>
      </c>
    </row>
    <row r="3116" spans="1:22" x14ac:dyDescent="0.3">
      <c r="A3116" t="s">
        <v>4584</v>
      </c>
      <c r="B3116" s="2">
        <v>46070</v>
      </c>
      <c r="C3116" t="s">
        <v>225</v>
      </c>
      <c r="D3116" t="s">
        <v>49</v>
      </c>
      <c r="E3116" t="s">
        <v>79</v>
      </c>
      <c r="F3116">
        <v>1</v>
      </c>
      <c r="G3116">
        <v>0</v>
      </c>
      <c r="H3116">
        <v>11000</v>
      </c>
      <c r="I3116">
        <v>2600</v>
      </c>
      <c r="J3116" t="s">
        <v>65</v>
      </c>
      <c r="K3116" t="s">
        <v>40</v>
      </c>
      <c r="L3116">
        <v>11000</v>
      </c>
      <c r="M3116">
        <v>23.63636363636364</v>
      </c>
      <c r="N3116" t="s">
        <v>8</v>
      </c>
      <c r="O3116" t="s">
        <v>226</v>
      </c>
      <c r="P3116" t="s">
        <v>29</v>
      </c>
      <c r="Q3116" t="s">
        <v>30</v>
      </c>
      <c r="R3116" t="s">
        <v>31</v>
      </c>
      <c r="S3116" t="s">
        <v>32</v>
      </c>
      <c r="T3116" t="s">
        <v>227</v>
      </c>
      <c r="U3116" t="s">
        <v>100</v>
      </c>
      <c r="V3116">
        <v>2600</v>
      </c>
    </row>
    <row r="3117" spans="1:22" x14ac:dyDescent="0.3">
      <c r="A3117" t="s">
        <v>4585</v>
      </c>
      <c r="B3117" s="2">
        <v>46008</v>
      </c>
      <c r="C3117" t="s">
        <v>1433</v>
      </c>
      <c r="D3117" t="s">
        <v>70</v>
      </c>
      <c r="E3117" t="s">
        <v>71</v>
      </c>
      <c r="F3117">
        <v>1</v>
      </c>
      <c r="G3117">
        <v>0.05</v>
      </c>
      <c r="H3117">
        <v>17100</v>
      </c>
      <c r="I3117">
        <v>2869.56</v>
      </c>
      <c r="J3117" t="s">
        <v>65</v>
      </c>
      <c r="K3117" t="s">
        <v>40</v>
      </c>
      <c r="L3117">
        <v>17100</v>
      </c>
      <c r="M3117">
        <v>16.781052631578952</v>
      </c>
      <c r="N3117" t="s">
        <v>8</v>
      </c>
      <c r="O3117" t="s">
        <v>318</v>
      </c>
      <c r="P3117" t="s">
        <v>73</v>
      </c>
      <c r="Q3117" t="s">
        <v>30</v>
      </c>
      <c r="R3117" t="s">
        <v>53</v>
      </c>
      <c r="S3117" t="s">
        <v>54</v>
      </c>
      <c r="T3117" t="s">
        <v>1434</v>
      </c>
      <c r="U3117" t="s">
        <v>34</v>
      </c>
      <c r="V3117">
        <v>2869.56</v>
      </c>
    </row>
    <row r="3118" spans="1:22" x14ac:dyDescent="0.3">
      <c r="A3118" t="s">
        <v>4586</v>
      </c>
      <c r="B3118" s="2">
        <v>45988</v>
      </c>
      <c r="C3118" t="s">
        <v>869</v>
      </c>
      <c r="D3118" t="s">
        <v>49</v>
      </c>
      <c r="E3118" t="s">
        <v>79</v>
      </c>
      <c r="F3118">
        <v>4</v>
      </c>
      <c r="G3118">
        <v>0</v>
      </c>
      <c r="H3118">
        <v>44000</v>
      </c>
      <c r="I3118">
        <v>10400</v>
      </c>
      <c r="J3118" t="s">
        <v>26</v>
      </c>
      <c r="K3118" t="s">
        <v>27</v>
      </c>
      <c r="L3118">
        <v>11000</v>
      </c>
      <c r="M3118">
        <v>23.63636363636364</v>
      </c>
      <c r="N3118" t="s">
        <v>8</v>
      </c>
      <c r="O3118" t="s">
        <v>870</v>
      </c>
      <c r="P3118" t="s">
        <v>73</v>
      </c>
      <c r="Q3118" t="s">
        <v>30</v>
      </c>
      <c r="R3118" t="s">
        <v>98</v>
      </c>
      <c r="S3118" t="s">
        <v>54</v>
      </c>
      <c r="T3118" t="s">
        <v>859</v>
      </c>
      <c r="U3118" t="s">
        <v>34</v>
      </c>
      <c r="V3118">
        <v>2600</v>
      </c>
    </row>
    <row r="3119" spans="1:22" x14ac:dyDescent="0.3">
      <c r="A3119" t="s">
        <v>4587</v>
      </c>
      <c r="B3119" s="2">
        <v>46128</v>
      </c>
      <c r="C3119" t="s">
        <v>4588</v>
      </c>
      <c r="D3119" t="s">
        <v>70</v>
      </c>
      <c r="E3119" t="s">
        <v>165</v>
      </c>
      <c r="F3119">
        <v>10</v>
      </c>
      <c r="G3119">
        <v>0</v>
      </c>
      <c r="H3119">
        <v>25000</v>
      </c>
      <c r="I3119">
        <v>8000</v>
      </c>
      <c r="J3119" t="s">
        <v>39</v>
      </c>
      <c r="K3119" t="s">
        <v>40</v>
      </c>
      <c r="L3119">
        <v>2500</v>
      </c>
      <c r="M3119">
        <v>32</v>
      </c>
      <c r="N3119" t="s">
        <v>8</v>
      </c>
      <c r="O3119" t="s">
        <v>844</v>
      </c>
      <c r="P3119" t="s">
        <v>29</v>
      </c>
      <c r="Q3119" t="s">
        <v>42</v>
      </c>
      <c r="R3119" t="s">
        <v>43</v>
      </c>
      <c r="S3119" t="s">
        <v>44</v>
      </c>
      <c r="T3119" t="s">
        <v>4589</v>
      </c>
      <c r="U3119" t="s">
        <v>46</v>
      </c>
      <c r="V3119">
        <v>800</v>
      </c>
    </row>
    <row r="3120" spans="1:22" x14ac:dyDescent="0.3">
      <c r="A3120" t="s">
        <v>4590</v>
      </c>
      <c r="B3120" s="2">
        <v>46222</v>
      </c>
      <c r="C3120" t="s">
        <v>958</v>
      </c>
      <c r="D3120" t="s">
        <v>70</v>
      </c>
      <c r="E3120" t="s">
        <v>108</v>
      </c>
      <c r="F3120">
        <v>2</v>
      </c>
      <c r="G3120">
        <v>0.2</v>
      </c>
      <c r="H3120">
        <v>7200</v>
      </c>
      <c r="I3120">
        <v>1761.27</v>
      </c>
      <c r="J3120" t="s">
        <v>65</v>
      </c>
      <c r="K3120" t="s">
        <v>40</v>
      </c>
      <c r="L3120">
        <v>3600</v>
      </c>
      <c r="M3120">
        <v>24.462083333333339</v>
      </c>
      <c r="N3120" t="s">
        <v>8</v>
      </c>
      <c r="O3120" t="s">
        <v>959</v>
      </c>
      <c r="P3120" t="s">
        <v>73</v>
      </c>
      <c r="Q3120" t="s">
        <v>42</v>
      </c>
      <c r="R3120" t="s">
        <v>43</v>
      </c>
      <c r="S3120" t="s">
        <v>44</v>
      </c>
      <c r="T3120" t="s">
        <v>960</v>
      </c>
      <c r="U3120" t="s">
        <v>34</v>
      </c>
      <c r="V3120">
        <v>880.63499999999999</v>
      </c>
    </row>
    <row r="3121" spans="1:22" x14ac:dyDescent="0.3">
      <c r="A3121" t="s">
        <v>4591</v>
      </c>
      <c r="B3121" s="2">
        <v>45973</v>
      </c>
      <c r="C3121" t="s">
        <v>2197</v>
      </c>
      <c r="D3121" t="s">
        <v>37</v>
      </c>
      <c r="E3121" t="s">
        <v>170</v>
      </c>
      <c r="F3121">
        <v>1</v>
      </c>
      <c r="G3121">
        <v>0.05</v>
      </c>
      <c r="H3121">
        <v>1330</v>
      </c>
      <c r="I3121">
        <v>463.79</v>
      </c>
      <c r="J3121" t="s">
        <v>39</v>
      </c>
      <c r="K3121" t="s">
        <v>40</v>
      </c>
      <c r="L3121">
        <v>1330</v>
      </c>
      <c r="M3121">
        <v>34.871428571428567</v>
      </c>
      <c r="N3121" t="s">
        <v>8</v>
      </c>
      <c r="O3121" t="s">
        <v>2027</v>
      </c>
      <c r="P3121" t="s">
        <v>29</v>
      </c>
      <c r="Q3121" t="s">
        <v>74</v>
      </c>
      <c r="R3121" t="s">
        <v>493</v>
      </c>
      <c r="S3121" t="s">
        <v>494</v>
      </c>
      <c r="T3121" t="s">
        <v>2198</v>
      </c>
      <c r="U3121" t="s">
        <v>34</v>
      </c>
      <c r="V3121">
        <v>463.79</v>
      </c>
    </row>
    <row r="3122" spans="1:22" x14ac:dyDescent="0.3">
      <c r="A3122" t="s">
        <v>4592</v>
      </c>
      <c r="B3122" s="2">
        <v>46005</v>
      </c>
      <c r="C3122" t="s">
        <v>2720</v>
      </c>
      <c r="D3122" t="s">
        <v>24</v>
      </c>
      <c r="E3122" t="s">
        <v>242</v>
      </c>
      <c r="F3122">
        <v>2</v>
      </c>
      <c r="G3122">
        <v>0.1</v>
      </c>
      <c r="H3122">
        <v>810</v>
      </c>
      <c r="I3122">
        <v>144.94999999999999</v>
      </c>
      <c r="J3122" t="s">
        <v>65</v>
      </c>
      <c r="K3122" t="s">
        <v>40</v>
      </c>
      <c r="L3122">
        <v>405</v>
      </c>
      <c r="M3122">
        <v>17.89506172839506</v>
      </c>
      <c r="N3122" t="s">
        <v>8</v>
      </c>
      <c r="O3122" t="s">
        <v>52</v>
      </c>
      <c r="P3122" t="s">
        <v>73</v>
      </c>
      <c r="Q3122" t="s">
        <v>42</v>
      </c>
      <c r="R3122" t="s">
        <v>110</v>
      </c>
      <c r="S3122" t="s">
        <v>111</v>
      </c>
      <c r="T3122" t="s">
        <v>2721</v>
      </c>
      <c r="U3122" t="s">
        <v>46</v>
      </c>
      <c r="V3122">
        <v>72.474999999999994</v>
      </c>
    </row>
    <row r="3123" spans="1:22" x14ac:dyDescent="0.3">
      <c r="A3123" t="s">
        <v>4593</v>
      </c>
      <c r="B3123" s="2">
        <v>46147</v>
      </c>
      <c r="C3123" t="s">
        <v>1480</v>
      </c>
      <c r="D3123" t="s">
        <v>70</v>
      </c>
      <c r="E3123" t="s">
        <v>129</v>
      </c>
      <c r="F3123">
        <v>1</v>
      </c>
      <c r="G3123">
        <v>0.15</v>
      </c>
      <c r="H3123">
        <v>46750</v>
      </c>
      <c r="I3123">
        <v>2824.18</v>
      </c>
      <c r="J3123" t="s">
        <v>51</v>
      </c>
      <c r="K3123" t="s">
        <v>40</v>
      </c>
      <c r="L3123">
        <v>46750</v>
      </c>
      <c r="M3123">
        <v>6.0410267379679139</v>
      </c>
      <c r="N3123" t="s">
        <v>8</v>
      </c>
      <c r="O3123" t="s">
        <v>66</v>
      </c>
      <c r="P3123" t="s">
        <v>73</v>
      </c>
      <c r="Q3123" t="s">
        <v>30</v>
      </c>
      <c r="R3123" t="s">
        <v>98</v>
      </c>
      <c r="S3123" t="s">
        <v>54</v>
      </c>
      <c r="T3123" t="s">
        <v>1481</v>
      </c>
      <c r="U3123" t="s">
        <v>46</v>
      </c>
      <c r="V3123">
        <v>2824.18</v>
      </c>
    </row>
    <row r="3124" spans="1:22" x14ac:dyDescent="0.3">
      <c r="A3124" t="s">
        <v>4594</v>
      </c>
      <c r="B3124" s="2">
        <v>46170</v>
      </c>
      <c r="C3124" t="s">
        <v>4558</v>
      </c>
      <c r="D3124" t="s">
        <v>24</v>
      </c>
      <c r="E3124" t="s">
        <v>92</v>
      </c>
      <c r="F3124">
        <v>3</v>
      </c>
      <c r="G3124">
        <v>0.15</v>
      </c>
      <c r="H3124">
        <v>2295</v>
      </c>
      <c r="I3124">
        <v>651.01</v>
      </c>
      <c r="J3124" t="s">
        <v>65</v>
      </c>
      <c r="K3124" t="s">
        <v>40</v>
      </c>
      <c r="L3124">
        <v>765</v>
      </c>
      <c r="M3124">
        <v>28.366448801742919</v>
      </c>
      <c r="N3124" t="s">
        <v>8</v>
      </c>
      <c r="O3124" t="s">
        <v>851</v>
      </c>
      <c r="P3124" t="s">
        <v>73</v>
      </c>
      <c r="Q3124" t="s">
        <v>42</v>
      </c>
      <c r="R3124" t="s">
        <v>121</v>
      </c>
      <c r="S3124" t="s">
        <v>44</v>
      </c>
      <c r="T3124" t="s">
        <v>4559</v>
      </c>
      <c r="U3124" t="s">
        <v>46</v>
      </c>
      <c r="V3124">
        <v>217.0033333333333</v>
      </c>
    </row>
    <row r="3125" spans="1:22" x14ac:dyDescent="0.3">
      <c r="A3125" t="s">
        <v>4595</v>
      </c>
      <c r="B3125" s="2">
        <v>46159</v>
      </c>
      <c r="C3125" t="s">
        <v>2972</v>
      </c>
      <c r="D3125" t="s">
        <v>70</v>
      </c>
      <c r="E3125" t="s">
        <v>129</v>
      </c>
      <c r="F3125">
        <v>1</v>
      </c>
      <c r="G3125">
        <v>0.2</v>
      </c>
      <c r="H3125">
        <v>44000</v>
      </c>
      <c r="I3125">
        <v>479.29</v>
      </c>
      <c r="J3125" t="s">
        <v>65</v>
      </c>
      <c r="K3125" t="s">
        <v>40</v>
      </c>
      <c r="L3125">
        <v>44000</v>
      </c>
      <c r="M3125">
        <v>1.089295454545455</v>
      </c>
      <c r="N3125" t="s">
        <v>8</v>
      </c>
      <c r="O3125" t="s">
        <v>870</v>
      </c>
      <c r="P3125" t="s">
        <v>83</v>
      </c>
      <c r="Q3125" t="s">
        <v>30</v>
      </c>
      <c r="R3125" t="s">
        <v>60</v>
      </c>
      <c r="S3125" t="s">
        <v>61</v>
      </c>
      <c r="T3125" t="s">
        <v>898</v>
      </c>
      <c r="U3125" t="s">
        <v>34</v>
      </c>
      <c r="V3125">
        <v>479.29</v>
      </c>
    </row>
    <row r="3126" spans="1:22" x14ac:dyDescent="0.3">
      <c r="A3126" t="s">
        <v>4596</v>
      </c>
      <c r="B3126" s="2">
        <v>46048</v>
      </c>
      <c r="C3126" t="s">
        <v>1712</v>
      </c>
      <c r="D3126" t="s">
        <v>24</v>
      </c>
      <c r="E3126" t="s">
        <v>242</v>
      </c>
      <c r="F3126">
        <v>6</v>
      </c>
      <c r="G3126">
        <v>0.1</v>
      </c>
      <c r="H3126">
        <v>2430</v>
      </c>
      <c r="I3126">
        <v>-1103.79</v>
      </c>
      <c r="J3126" t="s">
        <v>26</v>
      </c>
      <c r="K3126" t="s">
        <v>434</v>
      </c>
      <c r="L3126">
        <v>405</v>
      </c>
      <c r="M3126">
        <v>-45.42345679012346</v>
      </c>
      <c r="N3126" t="s">
        <v>81</v>
      </c>
      <c r="O3126" t="s">
        <v>390</v>
      </c>
      <c r="P3126" t="s">
        <v>29</v>
      </c>
      <c r="Q3126" t="s">
        <v>42</v>
      </c>
      <c r="R3126" t="s">
        <v>43</v>
      </c>
      <c r="S3126" t="s">
        <v>44</v>
      </c>
      <c r="T3126" t="s">
        <v>1713</v>
      </c>
      <c r="U3126" t="s">
        <v>46</v>
      </c>
      <c r="V3126">
        <v>-183.965</v>
      </c>
    </row>
    <row r="3127" spans="1:22" x14ac:dyDescent="0.3">
      <c r="A3127" t="s">
        <v>4597</v>
      </c>
      <c r="B3127" s="2">
        <v>46024</v>
      </c>
      <c r="C3127" t="s">
        <v>1293</v>
      </c>
      <c r="D3127" t="s">
        <v>24</v>
      </c>
      <c r="E3127" t="s">
        <v>92</v>
      </c>
      <c r="F3127">
        <v>2</v>
      </c>
      <c r="G3127">
        <v>0.15</v>
      </c>
      <c r="H3127">
        <v>1530</v>
      </c>
      <c r="I3127">
        <v>-740.17</v>
      </c>
      <c r="J3127" t="s">
        <v>51</v>
      </c>
      <c r="K3127" t="s">
        <v>80</v>
      </c>
      <c r="L3127">
        <v>765</v>
      </c>
      <c r="M3127">
        <v>-48.377124183006529</v>
      </c>
      <c r="N3127" t="s">
        <v>81</v>
      </c>
      <c r="O3127" t="s">
        <v>1294</v>
      </c>
      <c r="P3127" t="s">
        <v>83</v>
      </c>
      <c r="Q3127" t="s">
        <v>74</v>
      </c>
      <c r="R3127" t="s">
        <v>115</v>
      </c>
      <c r="S3127" t="s">
        <v>115</v>
      </c>
      <c r="T3127" t="s">
        <v>1295</v>
      </c>
      <c r="U3127" t="s">
        <v>46</v>
      </c>
      <c r="V3127">
        <v>-370.08499999999998</v>
      </c>
    </row>
    <row r="3128" spans="1:22" x14ac:dyDescent="0.3">
      <c r="A3128" t="s">
        <v>4598</v>
      </c>
      <c r="B3128" s="2">
        <v>45917</v>
      </c>
      <c r="C3128" t="s">
        <v>2021</v>
      </c>
      <c r="D3128" t="s">
        <v>70</v>
      </c>
      <c r="E3128" t="s">
        <v>71</v>
      </c>
      <c r="F3128">
        <v>1</v>
      </c>
      <c r="G3128">
        <v>0.15</v>
      </c>
      <c r="H3128">
        <v>15300</v>
      </c>
      <c r="I3128">
        <v>2242.9899999999998</v>
      </c>
      <c r="J3128" t="s">
        <v>51</v>
      </c>
      <c r="K3128" t="s">
        <v>40</v>
      </c>
      <c r="L3128">
        <v>15300</v>
      </c>
      <c r="M3128">
        <v>14.66006535947712</v>
      </c>
      <c r="N3128" t="s">
        <v>8</v>
      </c>
      <c r="O3128" t="s">
        <v>2022</v>
      </c>
      <c r="P3128" t="s">
        <v>83</v>
      </c>
      <c r="Q3128" t="s">
        <v>74</v>
      </c>
      <c r="R3128" t="s">
        <v>75</v>
      </c>
      <c r="S3128" t="s">
        <v>75</v>
      </c>
      <c r="T3128" t="s">
        <v>2023</v>
      </c>
      <c r="U3128" t="s">
        <v>100</v>
      </c>
      <c r="V3128">
        <v>2242.9899999999998</v>
      </c>
    </row>
    <row r="3129" spans="1:22" x14ac:dyDescent="0.3">
      <c r="A3129" t="s">
        <v>4599</v>
      </c>
      <c r="B3129" s="2">
        <v>46097</v>
      </c>
      <c r="C3129" t="s">
        <v>1060</v>
      </c>
      <c r="D3129" t="s">
        <v>49</v>
      </c>
      <c r="E3129" t="s">
        <v>119</v>
      </c>
      <c r="F3129">
        <v>1</v>
      </c>
      <c r="G3129">
        <v>0.2</v>
      </c>
      <c r="H3129">
        <v>7200</v>
      </c>
      <c r="I3129">
        <v>-2878.98</v>
      </c>
      <c r="J3129" t="s">
        <v>39</v>
      </c>
      <c r="K3129" t="s">
        <v>434</v>
      </c>
      <c r="L3129">
        <v>7200</v>
      </c>
      <c r="M3129">
        <v>-39.985833333333332</v>
      </c>
      <c r="N3129" t="s">
        <v>81</v>
      </c>
      <c r="O3129" t="s">
        <v>1061</v>
      </c>
      <c r="P3129" t="s">
        <v>73</v>
      </c>
      <c r="Q3129" t="s">
        <v>30</v>
      </c>
      <c r="R3129" t="s">
        <v>31</v>
      </c>
      <c r="S3129" t="s">
        <v>32</v>
      </c>
      <c r="T3129" t="s">
        <v>1062</v>
      </c>
      <c r="U3129" t="s">
        <v>46</v>
      </c>
      <c r="V3129">
        <v>-2878.98</v>
      </c>
    </row>
    <row r="3130" spans="1:22" x14ac:dyDescent="0.3">
      <c r="A3130" t="s">
        <v>4600</v>
      </c>
      <c r="B3130" s="2">
        <v>46049</v>
      </c>
      <c r="C3130" t="s">
        <v>1410</v>
      </c>
      <c r="D3130" t="s">
        <v>70</v>
      </c>
      <c r="E3130" t="s">
        <v>129</v>
      </c>
      <c r="F3130">
        <v>2</v>
      </c>
      <c r="G3130">
        <v>0.1</v>
      </c>
      <c r="H3130">
        <v>99000</v>
      </c>
      <c r="I3130">
        <v>11165.99</v>
      </c>
      <c r="J3130" t="s">
        <v>65</v>
      </c>
      <c r="K3130" t="s">
        <v>27</v>
      </c>
      <c r="L3130">
        <v>49500</v>
      </c>
      <c r="M3130">
        <v>11.27877777777778</v>
      </c>
      <c r="N3130" t="s">
        <v>8</v>
      </c>
      <c r="O3130" t="s">
        <v>995</v>
      </c>
      <c r="P3130" t="s">
        <v>73</v>
      </c>
      <c r="Q3130" t="s">
        <v>30</v>
      </c>
      <c r="R3130" t="s">
        <v>60</v>
      </c>
      <c r="S3130" t="s">
        <v>61</v>
      </c>
      <c r="T3130" t="s">
        <v>1411</v>
      </c>
      <c r="U3130" t="s">
        <v>34</v>
      </c>
      <c r="V3130">
        <v>5582.9949999999999</v>
      </c>
    </row>
    <row r="3131" spans="1:22" x14ac:dyDescent="0.3">
      <c r="A3131" t="s">
        <v>4601</v>
      </c>
      <c r="B3131" s="2">
        <v>46176</v>
      </c>
      <c r="C3131" t="s">
        <v>1704</v>
      </c>
      <c r="D3131" t="s">
        <v>49</v>
      </c>
      <c r="E3131" t="s">
        <v>58</v>
      </c>
      <c r="F3131">
        <v>1</v>
      </c>
      <c r="G3131">
        <v>0.05</v>
      </c>
      <c r="H3131">
        <v>14250</v>
      </c>
      <c r="I3131">
        <v>2903.74</v>
      </c>
      <c r="J3131" t="s">
        <v>51</v>
      </c>
      <c r="K3131" t="s">
        <v>40</v>
      </c>
      <c r="L3131">
        <v>14250</v>
      </c>
      <c r="M3131">
        <v>20.377122807017539</v>
      </c>
      <c r="N3131" t="s">
        <v>8</v>
      </c>
      <c r="O3131" t="s">
        <v>636</v>
      </c>
      <c r="P3131" t="s">
        <v>29</v>
      </c>
      <c r="Q3131" t="s">
        <v>30</v>
      </c>
      <c r="R3131" t="s">
        <v>53</v>
      </c>
      <c r="S3131" t="s">
        <v>54</v>
      </c>
      <c r="T3131" t="s">
        <v>1705</v>
      </c>
      <c r="U3131" t="s">
        <v>34</v>
      </c>
      <c r="V3131">
        <v>2903.74</v>
      </c>
    </row>
    <row r="3132" spans="1:22" x14ac:dyDescent="0.3">
      <c r="A3132" t="s">
        <v>4602</v>
      </c>
      <c r="B3132" s="2">
        <v>45844</v>
      </c>
      <c r="C3132" t="s">
        <v>2266</v>
      </c>
      <c r="D3132" t="s">
        <v>49</v>
      </c>
      <c r="E3132" t="s">
        <v>119</v>
      </c>
      <c r="F3132">
        <v>1</v>
      </c>
      <c r="G3132">
        <v>0.1</v>
      </c>
      <c r="H3132">
        <v>8100</v>
      </c>
      <c r="I3132">
        <v>1751.4</v>
      </c>
      <c r="J3132" t="s">
        <v>65</v>
      </c>
      <c r="K3132" t="s">
        <v>40</v>
      </c>
      <c r="L3132">
        <v>8100</v>
      </c>
      <c r="M3132">
        <v>21.62222222222222</v>
      </c>
      <c r="N3132" t="s">
        <v>8</v>
      </c>
      <c r="O3132" t="s">
        <v>2267</v>
      </c>
      <c r="P3132" t="s">
        <v>29</v>
      </c>
      <c r="Q3132" t="s">
        <v>42</v>
      </c>
      <c r="R3132" t="s">
        <v>121</v>
      </c>
      <c r="S3132" t="s">
        <v>44</v>
      </c>
      <c r="T3132" t="s">
        <v>2268</v>
      </c>
      <c r="U3132" t="s">
        <v>46</v>
      </c>
      <c r="V3132">
        <v>1751.4</v>
      </c>
    </row>
    <row r="3133" spans="1:22" x14ac:dyDescent="0.3">
      <c r="A3133" t="s">
        <v>4603</v>
      </c>
      <c r="B3133" s="2">
        <v>45918</v>
      </c>
      <c r="C3133" t="s">
        <v>491</v>
      </c>
      <c r="D3133" t="s">
        <v>24</v>
      </c>
      <c r="E3133" t="s">
        <v>87</v>
      </c>
      <c r="F3133">
        <v>5</v>
      </c>
      <c r="G3133">
        <v>0.1</v>
      </c>
      <c r="H3133">
        <v>1575</v>
      </c>
      <c r="I3133">
        <v>458.73</v>
      </c>
      <c r="J3133" t="s">
        <v>26</v>
      </c>
      <c r="K3133" t="s">
        <v>40</v>
      </c>
      <c r="L3133">
        <v>315</v>
      </c>
      <c r="M3133">
        <v>29.125714285714292</v>
      </c>
      <c r="N3133" t="s">
        <v>8</v>
      </c>
      <c r="O3133" t="s">
        <v>492</v>
      </c>
      <c r="P3133" t="s">
        <v>29</v>
      </c>
      <c r="Q3133" t="s">
        <v>74</v>
      </c>
      <c r="R3133" t="s">
        <v>493</v>
      </c>
      <c r="S3133" t="s">
        <v>494</v>
      </c>
      <c r="T3133" t="s">
        <v>495</v>
      </c>
      <c r="U3133" t="s">
        <v>100</v>
      </c>
      <c r="V3133">
        <v>91.746000000000009</v>
      </c>
    </row>
    <row r="3134" spans="1:22" x14ac:dyDescent="0.3">
      <c r="A3134" t="s">
        <v>4604</v>
      </c>
      <c r="B3134" s="2">
        <v>46096</v>
      </c>
      <c r="C3134" t="s">
        <v>921</v>
      </c>
      <c r="D3134" t="s">
        <v>37</v>
      </c>
      <c r="E3134" t="s">
        <v>170</v>
      </c>
      <c r="F3134">
        <v>3</v>
      </c>
      <c r="G3134">
        <v>0.15</v>
      </c>
      <c r="H3134">
        <v>3570</v>
      </c>
      <c r="I3134">
        <v>1175.9100000000001</v>
      </c>
      <c r="J3134" t="s">
        <v>26</v>
      </c>
      <c r="K3134" t="s">
        <v>27</v>
      </c>
      <c r="L3134">
        <v>1190</v>
      </c>
      <c r="M3134">
        <v>32.938655462184883</v>
      </c>
      <c r="N3134" t="s">
        <v>8</v>
      </c>
      <c r="O3134" t="s">
        <v>922</v>
      </c>
      <c r="P3134" t="s">
        <v>29</v>
      </c>
      <c r="Q3134" t="s">
        <v>30</v>
      </c>
      <c r="R3134" t="s">
        <v>53</v>
      </c>
      <c r="S3134" t="s">
        <v>54</v>
      </c>
      <c r="T3134" t="s">
        <v>923</v>
      </c>
      <c r="U3134" t="s">
        <v>105</v>
      </c>
      <c r="V3134">
        <v>391.97</v>
      </c>
    </row>
    <row r="3135" spans="1:22" x14ac:dyDescent="0.3">
      <c r="A3135" t="s">
        <v>4605</v>
      </c>
      <c r="B3135" s="2">
        <v>46172</v>
      </c>
      <c r="C3135" t="s">
        <v>2690</v>
      </c>
      <c r="D3135" t="s">
        <v>70</v>
      </c>
      <c r="E3135" t="s">
        <v>129</v>
      </c>
      <c r="F3135">
        <v>1</v>
      </c>
      <c r="G3135">
        <v>0</v>
      </c>
      <c r="H3135">
        <v>55000</v>
      </c>
      <c r="I3135">
        <v>9000</v>
      </c>
      <c r="J3135" t="s">
        <v>39</v>
      </c>
      <c r="K3135" t="s">
        <v>40</v>
      </c>
      <c r="L3135">
        <v>55000</v>
      </c>
      <c r="M3135">
        <v>16.36363636363636</v>
      </c>
      <c r="N3135" t="s">
        <v>8</v>
      </c>
      <c r="O3135" t="s">
        <v>1169</v>
      </c>
      <c r="P3135" t="s">
        <v>83</v>
      </c>
      <c r="Q3135" t="s">
        <v>42</v>
      </c>
      <c r="R3135" t="s">
        <v>121</v>
      </c>
      <c r="S3135" t="s">
        <v>44</v>
      </c>
      <c r="T3135" t="s">
        <v>2691</v>
      </c>
      <c r="U3135" t="s">
        <v>46</v>
      </c>
      <c r="V3135">
        <v>9000</v>
      </c>
    </row>
    <row r="3136" spans="1:22" x14ac:dyDescent="0.3">
      <c r="A3136" t="s">
        <v>4606</v>
      </c>
      <c r="B3136" s="2">
        <v>45862</v>
      </c>
      <c r="C3136" t="s">
        <v>2972</v>
      </c>
      <c r="D3136" t="s">
        <v>24</v>
      </c>
      <c r="E3136" t="s">
        <v>92</v>
      </c>
      <c r="F3136">
        <v>2</v>
      </c>
      <c r="G3136">
        <v>0.15</v>
      </c>
      <c r="H3136">
        <v>1530</v>
      </c>
      <c r="I3136">
        <v>-680.75</v>
      </c>
      <c r="J3136" t="s">
        <v>39</v>
      </c>
      <c r="K3136" t="s">
        <v>80</v>
      </c>
      <c r="L3136">
        <v>765</v>
      </c>
      <c r="M3136">
        <v>-44.493464052287578</v>
      </c>
      <c r="N3136" t="s">
        <v>81</v>
      </c>
      <c r="O3136" t="s">
        <v>870</v>
      </c>
      <c r="P3136" t="s">
        <v>83</v>
      </c>
      <c r="Q3136" t="s">
        <v>30</v>
      </c>
      <c r="R3136" t="s">
        <v>60</v>
      </c>
      <c r="S3136" t="s">
        <v>61</v>
      </c>
      <c r="T3136" t="s">
        <v>898</v>
      </c>
      <c r="U3136" t="s">
        <v>34</v>
      </c>
      <c r="V3136">
        <v>-340.375</v>
      </c>
    </row>
    <row r="3137" spans="1:22" x14ac:dyDescent="0.3">
      <c r="A3137" t="s">
        <v>4607</v>
      </c>
      <c r="B3137" s="2">
        <v>46089</v>
      </c>
      <c r="C3137" t="s">
        <v>1806</v>
      </c>
      <c r="D3137" t="s">
        <v>70</v>
      </c>
      <c r="E3137" t="s">
        <v>129</v>
      </c>
      <c r="F3137">
        <v>1</v>
      </c>
      <c r="G3137">
        <v>0</v>
      </c>
      <c r="H3137">
        <v>55000</v>
      </c>
      <c r="I3137">
        <v>9000</v>
      </c>
      <c r="J3137" t="s">
        <v>39</v>
      </c>
      <c r="K3137" t="s">
        <v>40</v>
      </c>
      <c r="L3137">
        <v>55000</v>
      </c>
      <c r="M3137">
        <v>16.36363636363636</v>
      </c>
      <c r="N3137" t="s">
        <v>8</v>
      </c>
      <c r="O3137" t="s">
        <v>1033</v>
      </c>
      <c r="P3137" t="s">
        <v>73</v>
      </c>
      <c r="Q3137" t="s">
        <v>42</v>
      </c>
      <c r="R3137" t="s">
        <v>110</v>
      </c>
      <c r="S3137" t="s">
        <v>111</v>
      </c>
      <c r="T3137" t="s">
        <v>759</v>
      </c>
      <c r="U3137" t="s">
        <v>34</v>
      </c>
      <c r="V3137">
        <v>9000</v>
      </c>
    </row>
    <row r="3138" spans="1:22" x14ac:dyDescent="0.3">
      <c r="A3138" t="s">
        <v>4608</v>
      </c>
      <c r="B3138" s="2">
        <v>45903</v>
      </c>
      <c r="C3138" t="s">
        <v>1447</v>
      </c>
      <c r="D3138" t="s">
        <v>24</v>
      </c>
      <c r="E3138" t="s">
        <v>242</v>
      </c>
      <c r="F3138">
        <v>2</v>
      </c>
      <c r="G3138">
        <v>0</v>
      </c>
      <c r="H3138">
        <v>900</v>
      </c>
      <c r="I3138">
        <v>220</v>
      </c>
      <c r="J3138" t="s">
        <v>65</v>
      </c>
      <c r="K3138" t="s">
        <v>40</v>
      </c>
      <c r="L3138">
        <v>450</v>
      </c>
      <c r="M3138">
        <v>24.444444444444439</v>
      </c>
      <c r="N3138" t="s">
        <v>8</v>
      </c>
      <c r="O3138" t="s">
        <v>636</v>
      </c>
      <c r="P3138" t="s">
        <v>29</v>
      </c>
      <c r="Q3138" t="s">
        <v>74</v>
      </c>
      <c r="R3138" t="s">
        <v>115</v>
      </c>
      <c r="S3138" t="s">
        <v>115</v>
      </c>
      <c r="T3138" t="s">
        <v>1448</v>
      </c>
      <c r="U3138" t="s">
        <v>34</v>
      </c>
      <c r="V3138">
        <v>110</v>
      </c>
    </row>
    <row r="3139" spans="1:22" x14ac:dyDescent="0.3">
      <c r="A3139" t="s">
        <v>4609</v>
      </c>
      <c r="B3139" s="2">
        <v>46082</v>
      </c>
      <c r="C3139" t="s">
        <v>1474</v>
      </c>
      <c r="D3139" t="s">
        <v>24</v>
      </c>
      <c r="E3139" t="s">
        <v>87</v>
      </c>
      <c r="F3139">
        <v>3</v>
      </c>
      <c r="G3139">
        <v>0.15</v>
      </c>
      <c r="H3139">
        <v>892.5</v>
      </c>
      <c r="I3139">
        <v>230.81</v>
      </c>
      <c r="J3139" t="s">
        <v>51</v>
      </c>
      <c r="K3139" t="s">
        <v>40</v>
      </c>
      <c r="L3139">
        <v>297.5</v>
      </c>
      <c r="M3139">
        <v>25.861064425770309</v>
      </c>
      <c r="N3139" t="s">
        <v>8</v>
      </c>
      <c r="O3139" t="s">
        <v>1475</v>
      </c>
      <c r="P3139" t="s">
        <v>73</v>
      </c>
      <c r="Q3139" t="s">
        <v>30</v>
      </c>
      <c r="R3139" t="s">
        <v>98</v>
      </c>
      <c r="S3139" t="s">
        <v>54</v>
      </c>
      <c r="T3139" t="s">
        <v>1476</v>
      </c>
      <c r="U3139" t="s">
        <v>100</v>
      </c>
      <c r="V3139">
        <v>76.936666666666667</v>
      </c>
    </row>
    <row r="3140" spans="1:22" x14ac:dyDescent="0.3">
      <c r="A3140" t="s">
        <v>4610</v>
      </c>
      <c r="B3140" s="2">
        <v>45846</v>
      </c>
      <c r="C3140" t="s">
        <v>263</v>
      </c>
      <c r="D3140" t="s">
        <v>24</v>
      </c>
      <c r="E3140" t="s">
        <v>92</v>
      </c>
      <c r="F3140">
        <v>3</v>
      </c>
      <c r="G3140">
        <v>0.05</v>
      </c>
      <c r="H3140">
        <v>2565</v>
      </c>
      <c r="I3140">
        <v>728.01</v>
      </c>
      <c r="J3140" t="s">
        <v>39</v>
      </c>
      <c r="K3140" t="s">
        <v>40</v>
      </c>
      <c r="L3140">
        <v>855</v>
      </c>
      <c r="M3140">
        <v>28.382456140350879</v>
      </c>
      <c r="N3140" t="s">
        <v>8</v>
      </c>
      <c r="O3140" t="s">
        <v>265</v>
      </c>
      <c r="P3140" t="s">
        <v>73</v>
      </c>
      <c r="Q3140" t="s">
        <v>30</v>
      </c>
      <c r="R3140" t="s">
        <v>31</v>
      </c>
      <c r="S3140" t="s">
        <v>32</v>
      </c>
      <c r="T3140" t="s">
        <v>266</v>
      </c>
      <c r="U3140" t="s">
        <v>46</v>
      </c>
      <c r="V3140">
        <v>242.67</v>
      </c>
    </row>
    <row r="3141" spans="1:22" x14ac:dyDescent="0.3">
      <c r="A3141" t="s">
        <v>4611</v>
      </c>
      <c r="B3141" s="2">
        <v>46008</v>
      </c>
      <c r="C3141" t="s">
        <v>540</v>
      </c>
      <c r="D3141" t="s">
        <v>24</v>
      </c>
      <c r="E3141" t="s">
        <v>87</v>
      </c>
      <c r="F3141">
        <v>2</v>
      </c>
      <c r="G3141">
        <v>0.1</v>
      </c>
      <c r="H3141">
        <v>630</v>
      </c>
      <c r="I3141">
        <v>200.13</v>
      </c>
      <c r="J3141" t="s">
        <v>65</v>
      </c>
      <c r="K3141" t="s">
        <v>40</v>
      </c>
      <c r="L3141">
        <v>315</v>
      </c>
      <c r="M3141">
        <v>31.766666666666669</v>
      </c>
      <c r="N3141" t="s">
        <v>8</v>
      </c>
      <c r="O3141" t="s">
        <v>435</v>
      </c>
      <c r="P3141" t="s">
        <v>83</v>
      </c>
      <c r="Q3141" t="s">
        <v>74</v>
      </c>
      <c r="R3141" t="s">
        <v>237</v>
      </c>
      <c r="S3141" t="s">
        <v>238</v>
      </c>
      <c r="T3141" t="s">
        <v>541</v>
      </c>
      <c r="U3141" t="s">
        <v>100</v>
      </c>
      <c r="V3141">
        <v>100.065</v>
      </c>
    </row>
    <row r="3142" spans="1:22" x14ac:dyDescent="0.3">
      <c r="A3142" t="s">
        <v>4612</v>
      </c>
      <c r="B3142" s="2">
        <v>46163</v>
      </c>
      <c r="C3142" t="s">
        <v>710</v>
      </c>
      <c r="D3142" t="s">
        <v>49</v>
      </c>
      <c r="E3142" t="s">
        <v>79</v>
      </c>
      <c r="F3142">
        <v>6</v>
      </c>
      <c r="G3142">
        <v>0</v>
      </c>
      <c r="H3142">
        <v>66000</v>
      </c>
      <c r="I3142">
        <v>15600</v>
      </c>
      <c r="J3142" t="s">
        <v>65</v>
      </c>
      <c r="K3142" t="s">
        <v>40</v>
      </c>
      <c r="L3142">
        <v>11000</v>
      </c>
      <c r="M3142">
        <v>23.63636363636364</v>
      </c>
      <c r="N3142" t="s">
        <v>8</v>
      </c>
      <c r="O3142" t="s">
        <v>711</v>
      </c>
      <c r="P3142" t="s">
        <v>29</v>
      </c>
      <c r="Q3142" t="s">
        <v>30</v>
      </c>
      <c r="R3142" t="s">
        <v>53</v>
      </c>
      <c r="S3142" t="s">
        <v>54</v>
      </c>
      <c r="T3142" t="s">
        <v>712</v>
      </c>
      <c r="U3142" t="s">
        <v>34</v>
      </c>
      <c r="V3142">
        <v>2600</v>
      </c>
    </row>
    <row r="3143" spans="1:22" x14ac:dyDescent="0.3">
      <c r="A3143" t="s">
        <v>4613</v>
      </c>
      <c r="B3143" s="2">
        <v>46125</v>
      </c>
      <c r="C3143" t="s">
        <v>488</v>
      </c>
      <c r="D3143" t="s">
        <v>24</v>
      </c>
      <c r="E3143" t="s">
        <v>92</v>
      </c>
      <c r="F3143">
        <v>2</v>
      </c>
      <c r="G3143">
        <v>0.15</v>
      </c>
      <c r="H3143">
        <v>1530</v>
      </c>
      <c r="I3143">
        <v>368.94</v>
      </c>
      <c r="J3143" t="s">
        <v>65</v>
      </c>
      <c r="K3143" t="s">
        <v>40</v>
      </c>
      <c r="L3143">
        <v>765</v>
      </c>
      <c r="M3143">
        <v>24.113725490196082</v>
      </c>
      <c r="N3143" t="s">
        <v>8</v>
      </c>
      <c r="O3143" t="s">
        <v>398</v>
      </c>
      <c r="P3143" t="s">
        <v>29</v>
      </c>
      <c r="Q3143" t="s">
        <v>30</v>
      </c>
      <c r="R3143" t="s">
        <v>60</v>
      </c>
      <c r="S3143" t="s">
        <v>61</v>
      </c>
      <c r="T3143" t="s">
        <v>489</v>
      </c>
      <c r="U3143" t="s">
        <v>105</v>
      </c>
      <c r="V3143">
        <v>184.47</v>
      </c>
    </row>
    <row r="3144" spans="1:22" x14ac:dyDescent="0.3">
      <c r="A3144" t="s">
        <v>4614</v>
      </c>
      <c r="B3144" s="2">
        <v>46010</v>
      </c>
      <c r="C3144" t="s">
        <v>48</v>
      </c>
      <c r="D3144" t="s">
        <v>24</v>
      </c>
      <c r="E3144" t="s">
        <v>87</v>
      </c>
      <c r="F3144">
        <v>3</v>
      </c>
      <c r="G3144">
        <v>0.05</v>
      </c>
      <c r="H3144">
        <v>997.5</v>
      </c>
      <c r="I3144">
        <v>322.17</v>
      </c>
      <c r="J3144" t="s">
        <v>51</v>
      </c>
      <c r="K3144" t="s">
        <v>40</v>
      </c>
      <c r="L3144">
        <v>332.5</v>
      </c>
      <c r="M3144">
        <v>32.297744360902257</v>
      </c>
      <c r="N3144" t="s">
        <v>8</v>
      </c>
      <c r="O3144" t="s">
        <v>52</v>
      </c>
      <c r="P3144" t="s">
        <v>29</v>
      </c>
      <c r="Q3144" t="s">
        <v>30</v>
      </c>
      <c r="R3144" t="s">
        <v>53</v>
      </c>
      <c r="S3144" t="s">
        <v>54</v>
      </c>
      <c r="T3144" t="s">
        <v>55</v>
      </c>
      <c r="U3144" t="s">
        <v>34</v>
      </c>
      <c r="V3144">
        <v>107.39</v>
      </c>
    </row>
    <row r="3145" spans="1:22" x14ac:dyDescent="0.3">
      <c r="A3145" t="s">
        <v>4615</v>
      </c>
      <c r="B3145" s="2">
        <v>45876</v>
      </c>
      <c r="C3145" t="s">
        <v>3024</v>
      </c>
      <c r="D3145" t="s">
        <v>49</v>
      </c>
      <c r="E3145" t="s">
        <v>50</v>
      </c>
      <c r="F3145">
        <v>3</v>
      </c>
      <c r="G3145">
        <v>0</v>
      </c>
      <c r="H3145">
        <v>39000</v>
      </c>
      <c r="I3145">
        <v>9600</v>
      </c>
      <c r="J3145" t="s">
        <v>51</v>
      </c>
      <c r="K3145" t="s">
        <v>40</v>
      </c>
      <c r="L3145">
        <v>13000</v>
      </c>
      <c r="M3145">
        <v>24.61538461538462</v>
      </c>
      <c r="N3145" t="s">
        <v>8</v>
      </c>
      <c r="O3145" t="s">
        <v>1466</v>
      </c>
      <c r="P3145" t="s">
        <v>29</v>
      </c>
      <c r="Q3145" t="s">
        <v>42</v>
      </c>
      <c r="R3145" t="s">
        <v>214</v>
      </c>
      <c r="S3145" t="s">
        <v>111</v>
      </c>
      <c r="T3145" t="s">
        <v>2425</v>
      </c>
      <c r="U3145" t="s">
        <v>34</v>
      </c>
      <c r="V3145">
        <v>3200</v>
      </c>
    </row>
    <row r="3146" spans="1:22" x14ac:dyDescent="0.3">
      <c r="A3146" t="s">
        <v>4616</v>
      </c>
      <c r="B3146" s="2">
        <v>46207</v>
      </c>
      <c r="C3146" t="s">
        <v>433</v>
      </c>
      <c r="D3146" t="s">
        <v>24</v>
      </c>
      <c r="E3146" t="s">
        <v>25</v>
      </c>
      <c r="F3146">
        <v>4</v>
      </c>
      <c r="G3146">
        <v>0.2</v>
      </c>
      <c r="H3146">
        <v>44800</v>
      </c>
      <c r="I3146">
        <v>4967.37</v>
      </c>
      <c r="J3146" t="s">
        <v>26</v>
      </c>
      <c r="K3146" t="s">
        <v>40</v>
      </c>
      <c r="L3146">
        <v>11200</v>
      </c>
      <c r="M3146">
        <v>11.087879464285709</v>
      </c>
      <c r="N3146" t="s">
        <v>8</v>
      </c>
      <c r="O3146" t="s">
        <v>435</v>
      </c>
      <c r="P3146" t="s">
        <v>73</v>
      </c>
      <c r="Q3146" t="s">
        <v>42</v>
      </c>
      <c r="R3146" t="s">
        <v>214</v>
      </c>
      <c r="S3146" t="s">
        <v>111</v>
      </c>
      <c r="T3146" t="s">
        <v>436</v>
      </c>
      <c r="U3146" t="s">
        <v>46</v>
      </c>
      <c r="V3146">
        <v>1241.8425</v>
      </c>
    </row>
    <row r="3147" spans="1:22" x14ac:dyDescent="0.3">
      <c r="A3147" t="s">
        <v>4617</v>
      </c>
      <c r="B3147" s="2">
        <v>45845</v>
      </c>
      <c r="C3147" t="s">
        <v>4197</v>
      </c>
      <c r="D3147" t="s">
        <v>37</v>
      </c>
      <c r="E3147" t="s">
        <v>310</v>
      </c>
      <c r="F3147">
        <v>2</v>
      </c>
      <c r="G3147">
        <v>0.1</v>
      </c>
      <c r="H3147">
        <v>3960</v>
      </c>
      <c r="I3147">
        <v>1217.53</v>
      </c>
      <c r="J3147" t="s">
        <v>26</v>
      </c>
      <c r="K3147" t="s">
        <v>40</v>
      </c>
      <c r="L3147">
        <v>1980</v>
      </c>
      <c r="M3147">
        <v>30.74570707070707</v>
      </c>
      <c r="N3147" t="s">
        <v>8</v>
      </c>
      <c r="O3147" t="s">
        <v>2267</v>
      </c>
      <c r="P3147" t="s">
        <v>29</v>
      </c>
      <c r="Q3147" t="s">
        <v>131</v>
      </c>
      <c r="R3147" t="s">
        <v>200</v>
      </c>
      <c r="S3147" t="s">
        <v>201</v>
      </c>
      <c r="T3147" t="s">
        <v>4198</v>
      </c>
      <c r="U3147" t="s">
        <v>100</v>
      </c>
      <c r="V3147">
        <v>608.76499999999999</v>
      </c>
    </row>
    <row r="3148" spans="1:22" x14ac:dyDescent="0.3">
      <c r="A3148" t="s">
        <v>4618</v>
      </c>
      <c r="B3148" s="2">
        <v>46017</v>
      </c>
      <c r="C3148" t="s">
        <v>1289</v>
      </c>
      <c r="D3148" t="s">
        <v>49</v>
      </c>
      <c r="E3148" t="s">
        <v>119</v>
      </c>
      <c r="F3148">
        <v>3</v>
      </c>
      <c r="G3148">
        <v>0</v>
      </c>
      <c r="H3148">
        <v>27000</v>
      </c>
      <c r="I3148">
        <v>6900</v>
      </c>
      <c r="J3148" t="s">
        <v>39</v>
      </c>
      <c r="K3148" t="s">
        <v>40</v>
      </c>
      <c r="L3148">
        <v>9000</v>
      </c>
      <c r="M3148">
        <v>25.55555555555555</v>
      </c>
      <c r="N3148" t="s">
        <v>8</v>
      </c>
      <c r="O3148" t="s">
        <v>879</v>
      </c>
      <c r="P3148" t="s">
        <v>83</v>
      </c>
      <c r="Q3148" t="s">
        <v>30</v>
      </c>
      <c r="R3148" t="s">
        <v>493</v>
      </c>
      <c r="S3148" t="s">
        <v>494</v>
      </c>
      <c r="T3148" t="s">
        <v>1290</v>
      </c>
      <c r="U3148" t="s">
        <v>34</v>
      </c>
      <c r="V3148">
        <v>2300</v>
      </c>
    </row>
    <row r="3149" spans="1:22" x14ac:dyDescent="0.3">
      <c r="A3149" t="s">
        <v>4619</v>
      </c>
      <c r="B3149" s="2">
        <v>45939</v>
      </c>
      <c r="C3149" t="s">
        <v>1168</v>
      </c>
      <c r="D3149" t="s">
        <v>24</v>
      </c>
      <c r="E3149" t="s">
        <v>25</v>
      </c>
      <c r="F3149">
        <v>1</v>
      </c>
      <c r="G3149">
        <v>0.05</v>
      </c>
      <c r="H3149">
        <v>13300</v>
      </c>
      <c r="I3149">
        <v>2259.1</v>
      </c>
      <c r="J3149" t="s">
        <v>65</v>
      </c>
      <c r="K3149" t="s">
        <v>40</v>
      </c>
      <c r="L3149">
        <v>13300</v>
      </c>
      <c r="M3149">
        <v>16.98571428571428</v>
      </c>
      <c r="N3149" t="s">
        <v>8</v>
      </c>
      <c r="O3149" t="s">
        <v>1169</v>
      </c>
      <c r="P3149" t="s">
        <v>83</v>
      </c>
      <c r="Q3149" t="s">
        <v>131</v>
      </c>
      <c r="R3149" t="s">
        <v>289</v>
      </c>
      <c r="S3149" t="s">
        <v>290</v>
      </c>
      <c r="T3149" t="s">
        <v>1170</v>
      </c>
      <c r="U3149" t="s">
        <v>34</v>
      </c>
      <c r="V3149">
        <v>2259.1</v>
      </c>
    </row>
    <row r="3150" spans="1:22" x14ac:dyDescent="0.3">
      <c r="A3150" t="s">
        <v>4620</v>
      </c>
      <c r="B3150" s="2">
        <v>45974</v>
      </c>
      <c r="C3150" t="s">
        <v>1177</v>
      </c>
      <c r="D3150" t="s">
        <v>49</v>
      </c>
      <c r="E3150" t="s">
        <v>58</v>
      </c>
      <c r="F3150">
        <v>2</v>
      </c>
      <c r="G3150">
        <v>0.15</v>
      </c>
      <c r="H3150">
        <v>25500</v>
      </c>
      <c r="I3150">
        <v>3341.14</v>
      </c>
      <c r="J3150" t="s">
        <v>51</v>
      </c>
      <c r="K3150" t="s">
        <v>27</v>
      </c>
      <c r="L3150">
        <v>12750</v>
      </c>
      <c r="M3150">
        <v>13.102509803921571</v>
      </c>
      <c r="N3150" t="s">
        <v>8</v>
      </c>
      <c r="O3150" t="s">
        <v>984</v>
      </c>
      <c r="P3150" t="s">
        <v>29</v>
      </c>
      <c r="Q3150" t="s">
        <v>74</v>
      </c>
      <c r="R3150" t="s">
        <v>237</v>
      </c>
      <c r="S3150" t="s">
        <v>238</v>
      </c>
      <c r="T3150" t="s">
        <v>1178</v>
      </c>
      <c r="U3150" t="s">
        <v>46</v>
      </c>
      <c r="V3150">
        <v>1670.57</v>
      </c>
    </row>
    <row r="3151" spans="1:22" x14ac:dyDescent="0.3">
      <c r="A3151" t="s">
        <v>4621</v>
      </c>
      <c r="B3151" s="2">
        <v>46171</v>
      </c>
      <c r="C3151" t="s">
        <v>57</v>
      </c>
      <c r="D3151" t="s">
        <v>37</v>
      </c>
      <c r="E3151" t="s">
        <v>170</v>
      </c>
      <c r="F3151">
        <v>2</v>
      </c>
      <c r="G3151">
        <v>0</v>
      </c>
      <c r="H3151">
        <v>2800</v>
      </c>
      <c r="I3151">
        <v>-52.85</v>
      </c>
      <c r="J3151" t="s">
        <v>26</v>
      </c>
      <c r="K3151" t="s">
        <v>434</v>
      </c>
      <c r="L3151">
        <v>1400</v>
      </c>
      <c r="M3151">
        <v>-1.8875</v>
      </c>
      <c r="N3151" t="s">
        <v>81</v>
      </c>
      <c r="O3151" t="s">
        <v>59</v>
      </c>
      <c r="P3151" t="s">
        <v>29</v>
      </c>
      <c r="Q3151" t="s">
        <v>30</v>
      </c>
      <c r="R3151" t="s">
        <v>60</v>
      </c>
      <c r="S3151" t="s">
        <v>61</v>
      </c>
      <c r="T3151" t="s">
        <v>62</v>
      </c>
      <c r="U3151" t="s">
        <v>34</v>
      </c>
      <c r="V3151">
        <v>-26.425000000000001</v>
      </c>
    </row>
    <row r="3152" spans="1:22" x14ac:dyDescent="0.3">
      <c r="A3152" t="s">
        <v>4622</v>
      </c>
      <c r="B3152" s="2">
        <v>45965</v>
      </c>
      <c r="C3152" t="s">
        <v>340</v>
      </c>
      <c r="D3152" t="s">
        <v>37</v>
      </c>
      <c r="E3152" t="s">
        <v>310</v>
      </c>
      <c r="F3152">
        <v>1</v>
      </c>
      <c r="G3152">
        <v>0.1</v>
      </c>
      <c r="H3152">
        <v>1980</v>
      </c>
      <c r="I3152">
        <v>-851.18</v>
      </c>
      <c r="J3152" t="s">
        <v>26</v>
      </c>
      <c r="K3152" t="s">
        <v>434</v>
      </c>
      <c r="L3152">
        <v>1980</v>
      </c>
      <c r="M3152">
        <v>-42.988888888888887</v>
      </c>
      <c r="N3152" t="s">
        <v>81</v>
      </c>
      <c r="O3152" t="s">
        <v>341</v>
      </c>
      <c r="P3152" t="s">
        <v>29</v>
      </c>
      <c r="Q3152" t="s">
        <v>30</v>
      </c>
      <c r="R3152" t="s">
        <v>98</v>
      </c>
      <c r="S3152" t="s">
        <v>54</v>
      </c>
      <c r="T3152" t="s">
        <v>342</v>
      </c>
      <c r="U3152" t="s">
        <v>100</v>
      </c>
      <c r="V3152">
        <v>-851.18</v>
      </c>
    </row>
    <row r="3153" spans="1:22" x14ac:dyDescent="0.3">
      <c r="A3153" t="s">
        <v>4623</v>
      </c>
      <c r="B3153" s="2">
        <v>46154</v>
      </c>
      <c r="C3153" t="s">
        <v>1094</v>
      </c>
      <c r="D3153" t="s">
        <v>70</v>
      </c>
      <c r="E3153" t="s">
        <v>165</v>
      </c>
      <c r="F3153">
        <v>6</v>
      </c>
      <c r="G3153">
        <v>0</v>
      </c>
      <c r="H3153">
        <v>15000</v>
      </c>
      <c r="I3153">
        <v>4800</v>
      </c>
      <c r="J3153" t="s">
        <v>51</v>
      </c>
      <c r="K3153" t="s">
        <v>40</v>
      </c>
      <c r="L3153">
        <v>2500</v>
      </c>
      <c r="M3153">
        <v>32</v>
      </c>
      <c r="N3153" t="s">
        <v>8</v>
      </c>
      <c r="O3153" t="s">
        <v>183</v>
      </c>
      <c r="P3153" t="s">
        <v>73</v>
      </c>
      <c r="Q3153" t="s">
        <v>30</v>
      </c>
      <c r="R3153" t="s">
        <v>31</v>
      </c>
      <c r="S3153" t="s">
        <v>32</v>
      </c>
      <c r="T3153" t="s">
        <v>1095</v>
      </c>
      <c r="U3153" t="s">
        <v>105</v>
      </c>
      <c r="V3153">
        <v>800</v>
      </c>
    </row>
    <row r="3154" spans="1:22" x14ac:dyDescent="0.3">
      <c r="A3154" t="s">
        <v>4624</v>
      </c>
      <c r="B3154" s="2">
        <v>45907</v>
      </c>
      <c r="C3154" t="s">
        <v>1270</v>
      </c>
      <c r="D3154" t="s">
        <v>70</v>
      </c>
      <c r="E3154" t="s">
        <v>71</v>
      </c>
      <c r="F3154">
        <v>2</v>
      </c>
      <c r="G3154">
        <v>0</v>
      </c>
      <c r="H3154">
        <v>36000</v>
      </c>
      <c r="I3154">
        <v>7000</v>
      </c>
      <c r="J3154" t="s">
        <v>51</v>
      </c>
      <c r="K3154" t="s">
        <v>40</v>
      </c>
      <c r="L3154">
        <v>18000</v>
      </c>
      <c r="M3154">
        <v>19.44444444444445</v>
      </c>
      <c r="N3154" t="s">
        <v>8</v>
      </c>
      <c r="O3154" t="s">
        <v>306</v>
      </c>
      <c r="P3154" t="s">
        <v>29</v>
      </c>
      <c r="Q3154" t="s">
        <v>74</v>
      </c>
      <c r="R3154" t="s">
        <v>493</v>
      </c>
      <c r="S3154" t="s">
        <v>494</v>
      </c>
      <c r="T3154" t="s">
        <v>1271</v>
      </c>
      <c r="U3154" t="s">
        <v>34</v>
      </c>
      <c r="V3154">
        <v>3500</v>
      </c>
    </row>
    <row r="3155" spans="1:22" x14ac:dyDescent="0.3">
      <c r="A3155" t="s">
        <v>4625</v>
      </c>
      <c r="B3155" s="2">
        <v>46249</v>
      </c>
      <c r="C3155" t="s">
        <v>1024</v>
      </c>
      <c r="D3155" t="s">
        <v>37</v>
      </c>
      <c r="E3155" t="s">
        <v>38</v>
      </c>
      <c r="F3155">
        <v>2</v>
      </c>
      <c r="G3155">
        <v>0</v>
      </c>
      <c r="H3155">
        <v>3600</v>
      </c>
      <c r="I3155">
        <v>1300</v>
      </c>
      <c r="J3155" t="s">
        <v>65</v>
      </c>
      <c r="K3155" t="s">
        <v>40</v>
      </c>
      <c r="L3155">
        <v>1800</v>
      </c>
      <c r="M3155">
        <v>36.111111111111107</v>
      </c>
      <c r="N3155" t="s">
        <v>8</v>
      </c>
      <c r="O3155" t="s">
        <v>1025</v>
      </c>
      <c r="P3155" t="s">
        <v>29</v>
      </c>
      <c r="Q3155" t="s">
        <v>74</v>
      </c>
      <c r="R3155" t="s">
        <v>75</v>
      </c>
      <c r="S3155" t="s">
        <v>75</v>
      </c>
      <c r="T3155" t="s">
        <v>1026</v>
      </c>
      <c r="U3155" t="s">
        <v>46</v>
      </c>
      <c r="V3155">
        <v>650</v>
      </c>
    </row>
    <row r="3156" spans="1:22" x14ac:dyDescent="0.3">
      <c r="A3156" t="s">
        <v>4626</v>
      </c>
      <c r="B3156" s="2">
        <v>45886</v>
      </c>
      <c r="C3156" t="s">
        <v>651</v>
      </c>
      <c r="D3156" t="s">
        <v>49</v>
      </c>
      <c r="E3156" t="s">
        <v>79</v>
      </c>
      <c r="F3156">
        <v>1</v>
      </c>
      <c r="G3156">
        <v>0</v>
      </c>
      <c r="H3156">
        <v>11000</v>
      </c>
      <c r="I3156">
        <v>2600</v>
      </c>
      <c r="J3156" t="s">
        <v>39</v>
      </c>
      <c r="K3156" t="s">
        <v>40</v>
      </c>
      <c r="L3156">
        <v>11000</v>
      </c>
      <c r="M3156">
        <v>23.63636363636364</v>
      </c>
      <c r="N3156" t="s">
        <v>8</v>
      </c>
      <c r="O3156" t="s">
        <v>652</v>
      </c>
      <c r="P3156" t="s">
        <v>83</v>
      </c>
      <c r="Q3156" t="s">
        <v>131</v>
      </c>
      <c r="R3156" t="s">
        <v>200</v>
      </c>
      <c r="S3156" t="s">
        <v>201</v>
      </c>
      <c r="T3156" t="s">
        <v>653</v>
      </c>
      <c r="U3156" t="s">
        <v>34</v>
      </c>
      <c r="V3156">
        <v>2600</v>
      </c>
    </row>
    <row r="3157" spans="1:22" x14ac:dyDescent="0.3">
      <c r="A3157" t="s">
        <v>4627</v>
      </c>
      <c r="B3157" s="2">
        <v>45963</v>
      </c>
      <c r="C3157" t="s">
        <v>843</v>
      </c>
      <c r="D3157" t="s">
        <v>37</v>
      </c>
      <c r="E3157" t="s">
        <v>190</v>
      </c>
      <c r="F3157">
        <v>2</v>
      </c>
      <c r="G3157">
        <v>0</v>
      </c>
      <c r="H3157">
        <v>8400</v>
      </c>
      <c r="I3157">
        <v>-3270.6</v>
      </c>
      <c r="J3157" t="s">
        <v>39</v>
      </c>
      <c r="K3157" t="s">
        <v>80</v>
      </c>
      <c r="L3157">
        <v>4200</v>
      </c>
      <c r="M3157">
        <v>-38.935714285714283</v>
      </c>
      <c r="N3157" t="s">
        <v>81</v>
      </c>
      <c r="O3157" t="s">
        <v>844</v>
      </c>
      <c r="P3157" t="s">
        <v>29</v>
      </c>
      <c r="Q3157" t="s">
        <v>42</v>
      </c>
      <c r="R3157" t="s">
        <v>214</v>
      </c>
      <c r="S3157" t="s">
        <v>111</v>
      </c>
      <c r="T3157" t="s">
        <v>750</v>
      </c>
      <c r="U3157" t="s">
        <v>100</v>
      </c>
      <c r="V3157">
        <v>-1635.3</v>
      </c>
    </row>
    <row r="3158" spans="1:22" x14ac:dyDescent="0.3">
      <c r="A3158" t="s">
        <v>4628</v>
      </c>
      <c r="B3158" s="2">
        <v>45880</v>
      </c>
      <c r="C3158" t="s">
        <v>700</v>
      </c>
      <c r="D3158" t="s">
        <v>49</v>
      </c>
      <c r="E3158" t="s">
        <v>58</v>
      </c>
      <c r="F3158">
        <v>1</v>
      </c>
      <c r="G3158">
        <v>0.05</v>
      </c>
      <c r="H3158">
        <v>14250</v>
      </c>
      <c r="I3158">
        <v>3028.47</v>
      </c>
      <c r="J3158" t="s">
        <v>39</v>
      </c>
      <c r="K3158" t="s">
        <v>27</v>
      </c>
      <c r="L3158">
        <v>14250</v>
      </c>
      <c r="M3158">
        <v>21.252421052631579</v>
      </c>
      <c r="N3158" t="s">
        <v>8</v>
      </c>
      <c r="O3158" t="s">
        <v>701</v>
      </c>
      <c r="P3158" t="s">
        <v>29</v>
      </c>
      <c r="Q3158" t="s">
        <v>30</v>
      </c>
      <c r="R3158" t="s">
        <v>60</v>
      </c>
      <c r="S3158" t="s">
        <v>61</v>
      </c>
      <c r="T3158" t="s">
        <v>702</v>
      </c>
      <c r="U3158" t="s">
        <v>34</v>
      </c>
      <c r="V3158">
        <v>3028.47</v>
      </c>
    </row>
    <row r="3159" spans="1:22" x14ac:dyDescent="0.3">
      <c r="A3159" t="s">
        <v>4629</v>
      </c>
      <c r="B3159" s="2">
        <v>45959</v>
      </c>
      <c r="C3159" t="s">
        <v>1181</v>
      </c>
      <c r="D3159" t="s">
        <v>24</v>
      </c>
      <c r="E3159" t="s">
        <v>87</v>
      </c>
      <c r="F3159">
        <v>1</v>
      </c>
      <c r="G3159">
        <v>0.1</v>
      </c>
      <c r="H3159">
        <v>315</v>
      </c>
      <c r="I3159">
        <v>102.99</v>
      </c>
      <c r="J3159" t="s">
        <v>39</v>
      </c>
      <c r="K3159" t="s">
        <v>27</v>
      </c>
      <c r="L3159">
        <v>315</v>
      </c>
      <c r="M3159">
        <v>32.695238095238103</v>
      </c>
      <c r="N3159" t="s">
        <v>8</v>
      </c>
      <c r="O3159" t="s">
        <v>1182</v>
      </c>
      <c r="P3159" t="s">
        <v>29</v>
      </c>
      <c r="Q3159" t="s">
        <v>30</v>
      </c>
      <c r="R3159" t="s">
        <v>31</v>
      </c>
      <c r="S3159" t="s">
        <v>32</v>
      </c>
      <c r="T3159" t="s">
        <v>206</v>
      </c>
      <c r="U3159" t="s">
        <v>46</v>
      </c>
      <c r="V3159">
        <v>102.99</v>
      </c>
    </row>
    <row r="3160" spans="1:22" x14ac:dyDescent="0.3">
      <c r="A3160" t="s">
        <v>4630</v>
      </c>
      <c r="B3160" s="2">
        <v>45963</v>
      </c>
      <c r="C3160" t="s">
        <v>936</v>
      </c>
      <c r="D3160" t="s">
        <v>49</v>
      </c>
      <c r="E3160" t="s">
        <v>58</v>
      </c>
      <c r="F3160">
        <v>2</v>
      </c>
      <c r="G3160">
        <v>0.05</v>
      </c>
      <c r="H3160">
        <v>28500</v>
      </c>
      <c r="I3160">
        <v>6146.39</v>
      </c>
      <c r="J3160" t="s">
        <v>39</v>
      </c>
      <c r="K3160" t="s">
        <v>40</v>
      </c>
      <c r="L3160">
        <v>14250</v>
      </c>
      <c r="M3160">
        <v>21.56628070175439</v>
      </c>
      <c r="N3160" t="s">
        <v>8</v>
      </c>
      <c r="O3160" t="s">
        <v>937</v>
      </c>
      <c r="P3160" t="s">
        <v>73</v>
      </c>
      <c r="Q3160" t="s">
        <v>30</v>
      </c>
      <c r="R3160" t="s">
        <v>53</v>
      </c>
      <c r="S3160" t="s">
        <v>54</v>
      </c>
      <c r="T3160" t="s">
        <v>938</v>
      </c>
      <c r="U3160" t="s">
        <v>34</v>
      </c>
      <c r="V3160">
        <v>3073.1950000000002</v>
      </c>
    </row>
    <row r="3161" spans="1:22" x14ac:dyDescent="0.3">
      <c r="A3161" t="s">
        <v>4631</v>
      </c>
      <c r="B3161" s="2">
        <v>46194</v>
      </c>
      <c r="C3161" t="s">
        <v>2957</v>
      </c>
      <c r="D3161" t="s">
        <v>70</v>
      </c>
      <c r="E3161" t="s">
        <v>165</v>
      </c>
      <c r="F3161">
        <v>1</v>
      </c>
      <c r="G3161">
        <v>0</v>
      </c>
      <c r="H3161">
        <v>2500</v>
      </c>
      <c r="I3161">
        <v>800</v>
      </c>
      <c r="J3161" t="s">
        <v>65</v>
      </c>
      <c r="K3161" t="s">
        <v>27</v>
      </c>
      <c r="L3161">
        <v>2500</v>
      </c>
      <c r="M3161">
        <v>32</v>
      </c>
      <c r="N3161" t="s">
        <v>8</v>
      </c>
      <c r="O3161" t="s">
        <v>439</v>
      </c>
      <c r="P3161" t="s">
        <v>83</v>
      </c>
      <c r="Q3161" t="s">
        <v>131</v>
      </c>
      <c r="R3161" t="s">
        <v>200</v>
      </c>
      <c r="S3161" t="s">
        <v>201</v>
      </c>
      <c r="T3161" t="s">
        <v>2958</v>
      </c>
      <c r="U3161" t="s">
        <v>46</v>
      </c>
      <c r="V3161">
        <v>800</v>
      </c>
    </row>
    <row r="3162" spans="1:22" x14ac:dyDescent="0.3">
      <c r="A3162" t="s">
        <v>4632</v>
      </c>
      <c r="B3162" s="2">
        <v>46088</v>
      </c>
      <c r="C3162" t="s">
        <v>710</v>
      </c>
      <c r="D3162" t="s">
        <v>49</v>
      </c>
      <c r="E3162" t="s">
        <v>79</v>
      </c>
      <c r="F3162">
        <v>2</v>
      </c>
      <c r="G3162">
        <v>0</v>
      </c>
      <c r="H3162">
        <v>22000</v>
      </c>
      <c r="I3162">
        <v>5200</v>
      </c>
      <c r="J3162" t="s">
        <v>26</v>
      </c>
      <c r="K3162" t="s">
        <v>27</v>
      </c>
      <c r="L3162">
        <v>11000</v>
      </c>
      <c r="M3162">
        <v>23.63636363636364</v>
      </c>
      <c r="N3162" t="s">
        <v>8</v>
      </c>
      <c r="O3162" t="s">
        <v>711</v>
      </c>
      <c r="P3162" t="s">
        <v>29</v>
      </c>
      <c r="Q3162" t="s">
        <v>30</v>
      </c>
      <c r="R3162" t="s">
        <v>53</v>
      </c>
      <c r="S3162" t="s">
        <v>54</v>
      </c>
      <c r="T3162" t="s">
        <v>712</v>
      </c>
      <c r="U3162" t="s">
        <v>34</v>
      </c>
      <c r="V3162">
        <v>2600</v>
      </c>
    </row>
    <row r="3163" spans="1:22" x14ac:dyDescent="0.3">
      <c r="A3163" t="s">
        <v>4633</v>
      </c>
      <c r="B3163" s="2">
        <v>45842</v>
      </c>
      <c r="C3163" t="s">
        <v>2530</v>
      </c>
      <c r="D3163" t="s">
        <v>37</v>
      </c>
      <c r="E3163" t="s">
        <v>38</v>
      </c>
      <c r="F3163">
        <v>4</v>
      </c>
      <c r="G3163">
        <v>0</v>
      </c>
      <c r="H3163">
        <v>7200</v>
      </c>
      <c r="I3163">
        <v>-1067.6400000000001</v>
      </c>
      <c r="J3163" t="s">
        <v>26</v>
      </c>
      <c r="K3163" t="s">
        <v>80</v>
      </c>
      <c r="L3163">
        <v>1800</v>
      </c>
      <c r="M3163">
        <v>-14.82833333333333</v>
      </c>
      <c r="N3163" t="s">
        <v>81</v>
      </c>
      <c r="O3163" t="s">
        <v>2531</v>
      </c>
      <c r="P3163" t="s">
        <v>29</v>
      </c>
      <c r="Q3163" t="s">
        <v>131</v>
      </c>
      <c r="R3163" t="s">
        <v>132</v>
      </c>
      <c r="S3163" t="s">
        <v>133</v>
      </c>
      <c r="T3163" t="s">
        <v>1927</v>
      </c>
      <c r="U3163" t="s">
        <v>105</v>
      </c>
      <c r="V3163">
        <v>-266.91000000000003</v>
      </c>
    </row>
    <row r="3164" spans="1:22" x14ac:dyDescent="0.3">
      <c r="A3164" t="s">
        <v>4634</v>
      </c>
      <c r="B3164" s="2">
        <v>45924</v>
      </c>
      <c r="C3164" t="s">
        <v>1004</v>
      </c>
      <c r="D3164" t="s">
        <v>49</v>
      </c>
      <c r="E3164" t="s">
        <v>119</v>
      </c>
      <c r="F3164">
        <v>10</v>
      </c>
      <c r="G3164">
        <v>0</v>
      </c>
      <c r="H3164">
        <v>90000</v>
      </c>
      <c r="I3164">
        <v>-15768.69</v>
      </c>
      <c r="J3164" t="s">
        <v>65</v>
      </c>
      <c r="K3164" t="s">
        <v>434</v>
      </c>
      <c r="L3164">
        <v>9000</v>
      </c>
      <c r="M3164">
        <v>-17.52076666666667</v>
      </c>
      <c r="N3164" t="s">
        <v>81</v>
      </c>
      <c r="O3164" t="s">
        <v>1005</v>
      </c>
      <c r="P3164" t="s">
        <v>29</v>
      </c>
      <c r="Q3164" t="s">
        <v>30</v>
      </c>
      <c r="R3164" t="s">
        <v>98</v>
      </c>
      <c r="S3164" t="s">
        <v>54</v>
      </c>
      <c r="T3164" t="s">
        <v>1006</v>
      </c>
      <c r="U3164" t="s">
        <v>105</v>
      </c>
      <c r="V3164">
        <v>-1576.8689999999999</v>
      </c>
    </row>
    <row r="3165" spans="1:22" x14ac:dyDescent="0.3">
      <c r="A3165" t="s">
        <v>4635</v>
      </c>
      <c r="B3165" s="2">
        <v>45913</v>
      </c>
      <c r="C3165" t="s">
        <v>2168</v>
      </c>
      <c r="D3165" t="s">
        <v>70</v>
      </c>
      <c r="E3165" t="s">
        <v>129</v>
      </c>
      <c r="F3165">
        <v>2</v>
      </c>
      <c r="G3165">
        <v>0.1</v>
      </c>
      <c r="H3165">
        <v>99000</v>
      </c>
      <c r="I3165">
        <v>9898.4599999999991</v>
      </c>
      <c r="J3165" t="s">
        <v>39</v>
      </c>
      <c r="K3165" t="s">
        <v>40</v>
      </c>
      <c r="L3165">
        <v>49500</v>
      </c>
      <c r="M3165">
        <v>9.9984444444444431</v>
      </c>
      <c r="N3165" t="s">
        <v>8</v>
      </c>
      <c r="O3165" t="s">
        <v>2169</v>
      </c>
      <c r="P3165" t="s">
        <v>29</v>
      </c>
      <c r="Q3165" t="s">
        <v>131</v>
      </c>
      <c r="R3165" t="s">
        <v>289</v>
      </c>
      <c r="S3165" t="s">
        <v>290</v>
      </c>
      <c r="T3165" t="s">
        <v>793</v>
      </c>
      <c r="U3165" t="s">
        <v>34</v>
      </c>
      <c r="V3165">
        <v>4949.2299999999996</v>
      </c>
    </row>
    <row r="3166" spans="1:22" x14ac:dyDescent="0.3">
      <c r="A3166" t="s">
        <v>4636</v>
      </c>
      <c r="B3166" s="2">
        <v>46184</v>
      </c>
      <c r="C3166" t="s">
        <v>2678</v>
      </c>
      <c r="D3166" t="s">
        <v>24</v>
      </c>
      <c r="E3166" t="s">
        <v>25</v>
      </c>
      <c r="F3166">
        <v>1</v>
      </c>
      <c r="G3166">
        <v>0</v>
      </c>
      <c r="H3166">
        <v>14000</v>
      </c>
      <c r="I3166">
        <v>-2895.97</v>
      </c>
      <c r="J3166" t="s">
        <v>51</v>
      </c>
      <c r="K3166" t="s">
        <v>80</v>
      </c>
      <c r="L3166">
        <v>14000</v>
      </c>
      <c r="M3166">
        <v>-20.685500000000001</v>
      </c>
      <c r="N3166" t="s">
        <v>81</v>
      </c>
      <c r="O3166" t="s">
        <v>510</v>
      </c>
      <c r="P3166" t="s">
        <v>29</v>
      </c>
      <c r="Q3166" t="s">
        <v>42</v>
      </c>
      <c r="R3166" t="s">
        <v>43</v>
      </c>
      <c r="S3166" t="s">
        <v>44</v>
      </c>
      <c r="T3166" t="s">
        <v>2679</v>
      </c>
      <c r="U3166" t="s">
        <v>46</v>
      </c>
      <c r="V3166">
        <v>-2895.97</v>
      </c>
    </row>
    <row r="3167" spans="1:22" x14ac:dyDescent="0.3">
      <c r="A3167" t="s">
        <v>4637</v>
      </c>
      <c r="B3167" s="2">
        <v>45860</v>
      </c>
      <c r="C3167" t="s">
        <v>941</v>
      </c>
      <c r="D3167" t="s">
        <v>24</v>
      </c>
      <c r="E3167" t="s">
        <v>92</v>
      </c>
      <c r="F3167">
        <v>2</v>
      </c>
      <c r="G3167">
        <v>0</v>
      </c>
      <c r="H3167">
        <v>1800</v>
      </c>
      <c r="I3167">
        <v>560</v>
      </c>
      <c r="J3167" t="s">
        <v>26</v>
      </c>
      <c r="K3167" t="s">
        <v>40</v>
      </c>
      <c r="L3167">
        <v>900</v>
      </c>
      <c r="M3167">
        <v>31.111111111111111</v>
      </c>
      <c r="N3167" t="s">
        <v>8</v>
      </c>
      <c r="O3167" t="s">
        <v>942</v>
      </c>
      <c r="P3167" t="s">
        <v>73</v>
      </c>
      <c r="Q3167" t="s">
        <v>42</v>
      </c>
      <c r="R3167" t="s">
        <v>110</v>
      </c>
      <c r="S3167" t="s">
        <v>111</v>
      </c>
      <c r="T3167" t="s">
        <v>943</v>
      </c>
      <c r="U3167" t="s">
        <v>46</v>
      </c>
      <c r="V3167">
        <v>280</v>
      </c>
    </row>
    <row r="3168" spans="1:22" x14ac:dyDescent="0.3">
      <c r="A3168" t="s">
        <v>4638</v>
      </c>
      <c r="B3168" s="2">
        <v>46080</v>
      </c>
      <c r="C3168" t="s">
        <v>704</v>
      </c>
      <c r="D3168" t="s">
        <v>49</v>
      </c>
      <c r="E3168" t="s">
        <v>58</v>
      </c>
      <c r="F3168">
        <v>1</v>
      </c>
      <c r="G3168">
        <v>0.1</v>
      </c>
      <c r="H3168">
        <v>13500</v>
      </c>
      <c r="I3168">
        <v>2519.5700000000002</v>
      </c>
      <c r="J3168" t="s">
        <v>26</v>
      </c>
      <c r="K3168" t="s">
        <v>40</v>
      </c>
      <c r="L3168">
        <v>13500</v>
      </c>
      <c r="M3168">
        <v>18.66348148148148</v>
      </c>
      <c r="N3168" t="s">
        <v>8</v>
      </c>
      <c r="O3168" t="s">
        <v>705</v>
      </c>
      <c r="P3168" t="s">
        <v>83</v>
      </c>
      <c r="Q3168" t="s">
        <v>42</v>
      </c>
      <c r="R3168" t="s">
        <v>43</v>
      </c>
      <c r="S3168" t="s">
        <v>44</v>
      </c>
      <c r="T3168" t="s">
        <v>706</v>
      </c>
      <c r="U3168" t="s">
        <v>34</v>
      </c>
      <c r="V3168">
        <v>2519.5700000000002</v>
      </c>
    </row>
    <row r="3169" spans="1:22" x14ac:dyDescent="0.3">
      <c r="A3169" t="s">
        <v>4639</v>
      </c>
      <c r="B3169" s="2">
        <v>46095</v>
      </c>
      <c r="C3169" t="s">
        <v>174</v>
      </c>
      <c r="D3169" t="s">
        <v>24</v>
      </c>
      <c r="E3169" t="s">
        <v>25</v>
      </c>
      <c r="F3169">
        <v>5</v>
      </c>
      <c r="G3169">
        <v>0.2</v>
      </c>
      <c r="H3169">
        <v>56000</v>
      </c>
      <c r="I3169">
        <v>3038.1</v>
      </c>
      <c r="J3169" t="s">
        <v>26</v>
      </c>
      <c r="K3169" t="s">
        <v>40</v>
      </c>
      <c r="L3169">
        <v>11200</v>
      </c>
      <c r="M3169">
        <v>5.425178571428571</v>
      </c>
      <c r="N3169" t="s">
        <v>8</v>
      </c>
      <c r="O3169" t="s">
        <v>175</v>
      </c>
      <c r="P3169" t="s">
        <v>29</v>
      </c>
      <c r="Q3169" t="s">
        <v>30</v>
      </c>
      <c r="R3169" t="s">
        <v>53</v>
      </c>
      <c r="S3169" t="s">
        <v>54</v>
      </c>
      <c r="T3169" t="s">
        <v>176</v>
      </c>
      <c r="U3169" t="s">
        <v>34</v>
      </c>
      <c r="V3169">
        <v>607.62</v>
      </c>
    </row>
    <row r="3170" spans="1:22" x14ac:dyDescent="0.3">
      <c r="A3170" t="s">
        <v>4640</v>
      </c>
      <c r="B3170" s="2">
        <v>46258</v>
      </c>
      <c r="C3170" t="s">
        <v>2154</v>
      </c>
      <c r="D3170" t="s">
        <v>70</v>
      </c>
      <c r="E3170" t="s">
        <v>108</v>
      </c>
      <c r="F3170">
        <v>1</v>
      </c>
      <c r="G3170">
        <v>0.15</v>
      </c>
      <c r="H3170">
        <v>3825</v>
      </c>
      <c r="I3170">
        <v>1172.3900000000001</v>
      </c>
      <c r="J3170" t="s">
        <v>39</v>
      </c>
      <c r="K3170" t="s">
        <v>40</v>
      </c>
      <c r="L3170">
        <v>3825</v>
      </c>
      <c r="M3170">
        <v>30.650718954248369</v>
      </c>
      <c r="N3170" t="s">
        <v>8</v>
      </c>
      <c r="O3170" t="s">
        <v>1606</v>
      </c>
      <c r="P3170" t="s">
        <v>83</v>
      </c>
      <c r="Q3170" t="s">
        <v>42</v>
      </c>
      <c r="R3170" t="s">
        <v>110</v>
      </c>
      <c r="S3170" t="s">
        <v>111</v>
      </c>
      <c r="T3170" t="s">
        <v>2155</v>
      </c>
      <c r="U3170" t="s">
        <v>34</v>
      </c>
      <c r="V3170">
        <v>1172.3900000000001</v>
      </c>
    </row>
    <row r="3171" spans="1:22" x14ac:dyDescent="0.3">
      <c r="A3171" t="s">
        <v>4641</v>
      </c>
      <c r="B3171" s="2">
        <v>46227</v>
      </c>
      <c r="C3171" t="s">
        <v>344</v>
      </c>
      <c r="D3171" t="s">
        <v>37</v>
      </c>
      <c r="E3171" t="s">
        <v>170</v>
      </c>
      <c r="F3171">
        <v>1</v>
      </c>
      <c r="G3171">
        <v>0.15</v>
      </c>
      <c r="H3171">
        <v>1190</v>
      </c>
      <c r="I3171">
        <v>401.9</v>
      </c>
      <c r="J3171" t="s">
        <v>51</v>
      </c>
      <c r="K3171" t="s">
        <v>40</v>
      </c>
      <c r="L3171">
        <v>1190</v>
      </c>
      <c r="M3171">
        <v>33.773109243697483</v>
      </c>
      <c r="N3171" t="s">
        <v>8</v>
      </c>
      <c r="O3171" t="s">
        <v>345</v>
      </c>
      <c r="P3171" t="s">
        <v>29</v>
      </c>
      <c r="Q3171" t="s">
        <v>74</v>
      </c>
      <c r="R3171" t="s">
        <v>115</v>
      </c>
      <c r="S3171" t="s">
        <v>115</v>
      </c>
      <c r="T3171" t="s">
        <v>346</v>
      </c>
      <c r="U3171" t="s">
        <v>46</v>
      </c>
      <c r="V3171">
        <v>401.9</v>
      </c>
    </row>
    <row r="3172" spans="1:22" x14ac:dyDescent="0.3">
      <c r="A3172" t="s">
        <v>4642</v>
      </c>
      <c r="B3172" s="2">
        <v>45946</v>
      </c>
      <c r="C3172" t="s">
        <v>1160</v>
      </c>
      <c r="D3172" t="s">
        <v>49</v>
      </c>
      <c r="E3172" t="s">
        <v>50</v>
      </c>
      <c r="F3172">
        <v>2</v>
      </c>
      <c r="G3172">
        <v>0</v>
      </c>
      <c r="H3172">
        <v>26000</v>
      </c>
      <c r="I3172">
        <v>-6579.05</v>
      </c>
      <c r="J3172" t="s">
        <v>51</v>
      </c>
      <c r="K3172" t="s">
        <v>434</v>
      </c>
      <c r="L3172">
        <v>13000</v>
      </c>
      <c r="M3172">
        <v>-25.304038461538461</v>
      </c>
      <c r="N3172" t="s">
        <v>81</v>
      </c>
      <c r="O3172" t="s">
        <v>269</v>
      </c>
      <c r="P3172" t="s">
        <v>29</v>
      </c>
      <c r="Q3172" t="s">
        <v>74</v>
      </c>
      <c r="R3172" t="s">
        <v>493</v>
      </c>
      <c r="S3172" t="s">
        <v>494</v>
      </c>
      <c r="T3172" t="s">
        <v>1161</v>
      </c>
      <c r="U3172" t="s">
        <v>34</v>
      </c>
      <c r="V3172">
        <v>-3289.5250000000001</v>
      </c>
    </row>
    <row r="3173" spans="1:22" x14ac:dyDescent="0.3">
      <c r="A3173" t="s">
        <v>4643</v>
      </c>
      <c r="B3173" s="2">
        <v>46047</v>
      </c>
      <c r="C3173" t="s">
        <v>593</v>
      </c>
      <c r="D3173" t="s">
        <v>24</v>
      </c>
      <c r="E3173" t="s">
        <v>92</v>
      </c>
      <c r="F3173">
        <v>2</v>
      </c>
      <c r="G3173">
        <v>0.3</v>
      </c>
      <c r="H3173">
        <v>1260</v>
      </c>
      <c r="I3173">
        <v>245.62</v>
      </c>
      <c r="J3173" t="s">
        <v>65</v>
      </c>
      <c r="K3173" t="s">
        <v>40</v>
      </c>
      <c r="L3173">
        <v>630</v>
      </c>
      <c r="M3173">
        <v>19.49365079365079</v>
      </c>
      <c r="N3173" t="s">
        <v>8</v>
      </c>
      <c r="O3173" t="s">
        <v>594</v>
      </c>
      <c r="P3173" t="s">
        <v>83</v>
      </c>
      <c r="Q3173" t="s">
        <v>30</v>
      </c>
      <c r="R3173" t="s">
        <v>31</v>
      </c>
      <c r="S3173" t="s">
        <v>32</v>
      </c>
      <c r="T3173" t="s">
        <v>595</v>
      </c>
      <c r="U3173" t="s">
        <v>46</v>
      </c>
      <c r="V3173">
        <v>122.81</v>
      </c>
    </row>
    <row r="3174" spans="1:22" x14ac:dyDescent="0.3">
      <c r="A3174" t="s">
        <v>4644</v>
      </c>
      <c r="B3174" s="2">
        <v>46180</v>
      </c>
      <c r="C3174" t="s">
        <v>1582</v>
      </c>
      <c r="D3174" t="s">
        <v>70</v>
      </c>
      <c r="E3174" t="s">
        <v>129</v>
      </c>
      <c r="F3174">
        <v>1</v>
      </c>
      <c r="G3174">
        <v>0.05</v>
      </c>
      <c r="H3174">
        <v>52250</v>
      </c>
      <c r="I3174">
        <v>-30592.17</v>
      </c>
      <c r="J3174" t="s">
        <v>65</v>
      </c>
      <c r="K3174" t="s">
        <v>80</v>
      </c>
      <c r="L3174">
        <v>52250</v>
      </c>
      <c r="M3174">
        <v>-58.549607655502392</v>
      </c>
      <c r="N3174" t="s">
        <v>81</v>
      </c>
      <c r="O3174" t="s">
        <v>1583</v>
      </c>
      <c r="P3174" t="s">
        <v>73</v>
      </c>
      <c r="Q3174" t="s">
        <v>30</v>
      </c>
      <c r="R3174" t="s">
        <v>53</v>
      </c>
      <c r="S3174" t="s">
        <v>54</v>
      </c>
      <c r="T3174" t="s">
        <v>370</v>
      </c>
      <c r="U3174" t="s">
        <v>105</v>
      </c>
      <c r="V3174">
        <v>-30592.17</v>
      </c>
    </row>
    <row r="3175" spans="1:22" x14ac:dyDescent="0.3">
      <c r="A3175" t="s">
        <v>4645</v>
      </c>
      <c r="B3175" s="2">
        <v>45878</v>
      </c>
      <c r="C3175" t="s">
        <v>863</v>
      </c>
      <c r="D3175" t="s">
        <v>24</v>
      </c>
      <c r="E3175" t="s">
        <v>87</v>
      </c>
      <c r="F3175">
        <v>4</v>
      </c>
      <c r="G3175">
        <v>0.05</v>
      </c>
      <c r="H3175">
        <v>1330</v>
      </c>
      <c r="I3175">
        <v>435.68</v>
      </c>
      <c r="J3175" t="s">
        <v>51</v>
      </c>
      <c r="K3175" t="s">
        <v>40</v>
      </c>
      <c r="L3175">
        <v>332.5</v>
      </c>
      <c r="M3175">
        <v>32.757894736842111</v>
      </c>
      <c r="N3175" t="s">
        <v>8</v>
      </c>
      <c r="O3175" t="s">
        <v>187</v>
      </c>
      <c r="P3175" t="s">
        <v>73</v>
      </c>
      <c r="Q3175" t="s">
        <v>30</v>
      </c>
      <c r="R3175" t="s">
        <v>53</v>
      </c>
      <c r="S3175" t="s">
        <v>54</v>
      </c>
      <c r="T3175" t="s">
        <v>864</v>
      </c>
      <c r="U3175" t="s">
        <v>34</v>
      </c>
      <c r="V3175">
        <v>108.92</v>
      </c>
    </row>
    <row r="3176" spans="1:22" x14ac:dyDescent="0.3">
      <c r="A3176" t="s">
        <v>4646</v>
      </c>
      <c r="B3176" s="2">
        <v>46025</v>
      </c>
      <c r="C3176" t="s">
        <v>1582</v>
      </c>
      <c r="D3176" t="s">
        <v>70</v>
      </c>
      <c r="E3176" t="s">
        <v>108</v>
      </c>
      <c r="F3176">
        <v>3</v>
      </c>
      <c r="G3176">
        <v>0.1</v>
      </c>
      <c r="H3176">
        <v>12150</v>
      </c>
      <c r="I3176">
        <v>3617.25</v>
      </c>
      <c r="J3176" t="s">
        <v>39</v>
      </c>
      <c r="K3176" t="s">
        <v>27</v>
      </c>
      <c r="L3176">
        <v>4050</v>
      </c>
      <c r="M3176">
        <v>29.771604938271611</v>
      </c>
      <c r="N3176" t="s">
        <v>8</v>
      </c>
      <c r="O3176" t="s">
        <v>1583</v>
      </c>
      <c r="P3176" t="s">
        <v>73</v>
      </c>
      <c r="Q3176" t="s">
        <v>30</v>
      </c>
      <c r="R3176" t="s">
        <v>53</v>
      </c>
      <c r="S3176" t="s">
        <v>54</v>
      </c>
      <c r="T3176" t="s">
        <v>370</v>
      </c>
      <c r="U3176" t="s">
        <v>105</v>
      </c>
      <c r="V3176">
        <v>1205.75</v>
      </c>
    </row>
    <row r="3177" spans="1:22" x14ac:dyDescent="0.3">
      <c r="A3177" t="s">
        <v>4647</v>
      </c>
      <c r="B3177" s="2">
        <v>46210</v>
      </c>
      <c r="C3177" t="s">
        <v>753</v>
      </c>
      <c r="D3177" t="s">
        <v>49</v>
      </c>
      <c r="E3177" t="s">
        <v>79</v>
      </c>
      <c r="F3177">
        <v>5</v>
      </c>
      <c r="G3177">
        <v>0.05</v>
      </c>
      <c r="H3177">
        <v>52250</v>
      </c>
      <c r="I3177">
        <v>10785.39</v>
      </c>
      <c r="J3177" t="s">
        <v>39</v>
      </c>
      <c r="K3177" t="s">
        <v>40</v>
      </c>
      <c r="L3177">
        <v>10450</v>
      </c>
      <c r="M3177">
        <v>20.641894736842101</v>
      </c>
      <c r="N3177" t="s">
        <v>8</v>
      </c>
      <c r="O3177" t="s">
        <v>754</v>
      </c>
      <c r="P3177" t="s">
        <v>83</v>
      </c>
      <c r="Q3177" t="s">
        <v>74</v>
      </c>
      <c r="R3177" t="s">
        <v>237</v>
      </c>
      <c r="S3177" t="s">
        <v>238</v>
      </c>
      <c r="T3177" t="s">
        <v>755</v>
      </c>
      <c r="U3177" t="s">
        <v>46</v>
      </c>
      <c r="V3177">
        <v>2157.078</v>
      </c>
    </row>
    <row r="3178" spans="1:22" x14ac:dyDescent="0.3">
      <c r="A3178" t="s">
        <v>4648</v>
      </c>
      <c r="B3178" s="2">
        <v>45898</v>
      </c>
      <c r="C3178" t="s">
        <v>91</v>
      </c>
      <c r="D3178" t="s">
        <v>24</v>
      </c>
      <c r="E3178" t="s">
        <v>25</v>
      </c>
      <c r="F3178">
        <v>5</v>
      </c>
      <c r="G3178">
        <v>0.3</v>
      </c>
      <c r="H3178">
        <v>49000</v>
      </c>
      <c r="I3178">
        <v>552.65</v>
      </c>
      <c r="J3178" t="s">
        <v>65</v>
      </c>
      <c r="K3178" t="s">
        <v>40</v>
      </c>
      <c r="L3178">
        <v>9800</v>
      </c>
      <c r="M3178">
        <v>1.1278571428571429</v>
      </c>
      <c r="N3178" t="s">
        <v>8</v>
      </c>
      <c r="O3178" t="s">
        <v>93</v>
      </c>
      <c r="P3178" t="s">
        <v>73</v>
      </c>
      <c r="Q3178" t="s">
        <v>30</v>
      </c>
      <c r="R3178" t="s">
        <v>60</v>
      </c>
      <c r="S3178" t="s">
        <v>61</v>
      </c>
      <c r="T3178" t="s">
        <v>94</v>
      </c>
      <c r="U3178" t="s">
        <v>34</v>
      </c>
      <c r="V3178">
        <v>110.53</v>
      </c>
    </row>
    <row r="3179" spans="1:22" x14ac:dyDescent="0.3">
      <c r="A3179" t="s">
        <v>4649</v>
      </c>
      <c r="B3179" s="2">
        <v>45971</v>
      </c>
      <c r="C3179" t="s">
        <v>2881</v>
      </c>
      <c r="D3179" t="s">
        <v>37</v>
      </c>
      <c r="E3179" t="s">
        <v>170</v>
      </c>
      <c r="F3179">
        <v>4</v>
      </c>
      <c r="G3179">
        <v>0.2</v>
      </c>
      <c r="H3179">
        <v>4480</v>
      </c>
      <c r="I3179">
        <v>1228.8399999999999</v>
      </c>
      <c r="J3179" t="s">
        <v>51</v>
      </c>
      <c r="K3179" t="s">
        <v>40</v>
      </c>
      <c r="L3179">
        <v>1120</v>
      </c>
      <c r="M3179">
        <v>27.429464285714278</v>
      </c>
      <c r="N3179" t="s">
        <v>8</v>
      </c>
      <c r="O3179" t="s">
        <v>2301</v>
      </c>
      <c r="P3179" t="s">
        <v>73</v>
      </c>
      <c r="Q3179" t="s">
        <v>42</v>
      </c>
      <c r="R3179" t="s">
        <v>43</v>
      </c>
      <c r="S3179" t="s">
        <v>44</v>
      </c>
      <c r="T3179" t="s">
        <v>2882</v>
      </c>
      <c r="U3179" t="s">
        <v>100</v>
      </c>
      <c r="V3179">
        <v>307.20999999999998</v>
      </c>
    </row>
    <row r="3180" spans="1:22" x14ac:dyDescent="0.3">
      <c r="A3180" t="s">
        <v>4650</v>
      </c>
      <c r="B3180" s="2">
        <v>46240</v>
      </c>
      <c r="C3180" t="s">
        <v>1497</v>
      </c>
      <c r="D3180" t="s">
        <v>24</v>
      </c>
      <c r="E3180" t="s">
        <v>242</v>
      </c>
      <c r="F3180">
        <v>1</v>
      </c>
      <c r="G3180">
        <v>0.1</v>
      </c>
      <c r="H3180">
        <v>405</v>
      </c>
      <c r="I3180">
        <v>73.569999999999993</v>
      </c>
      <c r="J3180" t="s">
        <v>51</v>
      </c>
      <c r="K3180" t="s">
        <v>40</v>
      </c>
      <c r="L3180">
        <v>405</v>
      </c>
      <c r="M3180">
        <v>18.165432098765429</v>
      </c>
      <c r="N3180" t="s">
        <v>8</v>
      </c>
      <c r="O3180" t="s">
        <v>88</v>
      </c>
      <c r="P3180" t="s">
        <v>73</v>
      </c>
      <c r="Q3180" t="s">
        <v>30</v>
      </c>
      <c r="R3180" t="s">
        <v>31</v>
      </c>
      <c r="S3180" t="s">
        <v>32</v>
      </c>
      <c r="T3180" t="s">
        <v>1498</v>
      </c>
      <c r="U3180" t="s">
        <v>46</v>
      </c>
      <c r="V3180">
        <v>73.569999999999993</v>
      </c>
    </row>
    <row r="3181" spans="1:22" x14ac:dyDescent="0.3">
      <c r="A3181" t="s">
        <v>4651</v>
      </c>
      <c r="B3181" s="2">
        <v>45884</v>
      </c>
      <c r="C3181" t="s">
        <v>1812</v>
      </c>
      <c r="D3181" t="s">
        <v>37</v>
      </c>
      <c r="E3181" t="s">
        <v>310</v>
      </c>
      <c r="F3181">
        <v>3</v>
      </c>
      <c r="G3181">
        <v>0.1</v>
      </c>
      <c r="H3181">
        <v>5940</v>
      </c>
      <c r="I3181">
        <v>1823.11</v>
      </c>
      <c r="J3181" t="s">
        <v>39</v>
      </c>
      <c r="K3181" t="s">
        <v>40</v>
      </c>
      <c r="L3181">
        <v>1980</v>
      </c>
      <c r="M3181">
        <v>30.692087542087538</v>
      </c>
      <c r="N3181" t="s">
        <v>8</v>
      </c>
      <c r="O3181" t="s">
        <v>1813</v>
      </c>
      <c r="P3181" t="s">
        <v>83</v>
      </c>
      <c r="Q3181" t="s">
        <v>30</v>
      </c>
      <c r="R3181" t="s">
        <v>98</v>
      </c>
      <c r="S3181" t="s">
        <v>54</v>
      </c>
      <c r="T3181" t="s">
        <v>1089</v>
      </c>
      <c r="U3181" t="s">
        <v>34</v>
      </c>
      <c r="V3181">
        <v>607.70333333333326</v>
      </c>
    </row>
    <row r="3182" spans="1:22" x14ac:dyDescent="0.3">
      <c r="A3182" t="s">
        <v>4652</v>
      </c>
      <c r="B3182" s="2">
        <v>46033</v>
      </c>
      <c r="C3182" t="s">
        <v>916</v>
      </c>
      <c r="D3182" t="s">
        <v>49</v>
      </c>
      <c r="E3182" t="s">
        <v>50</v>
      </c>
      <c r="F3182">
        <v>4</v>
      </c>
      <c r="G3182">
        <v>0.15</v>
      </c>
      <c r="H3182">
        <v>44200</v>
      </c>
      <c r="I3182">
        <v>6783.54</v>
      </c>
      <c r="J3182" t="s">
        <v>26</v>
      </c>
      <c r="K3182" t="s">
        <v>27</v>
      </c>
      <c r="L3182">
        <v>11050</v>
      </c>
      <c r="M3182">
        <v>15.347375565610861</v>
      </c>
      <c r="N3182" t="s">
        <v>8</v>
      </c>
      <c r="O3182" t="s">
        <v>917</v>
      </c>
      <c r="P3182" t="s">
        <v>29</v>
      </c>
      <c r="Q3182" t="s">
        <v>42</v>
      </c>
      <c r="R3182" t="s">
        <v>121</v>
      </c>
      <c r="S3182" t="s">
        <v>44</v>
      </c>
      <c r="T3182" t="s">
        <v>918</v>
      </c>
      <c r="U3182" t="s">
        <v>34</v>
      </c>
      <c r="V3182">
        <v>1695.885</v>
      </c>
    </row>
    <row r="3183" spans="1:22" x14ac:dyDescent="0.3">
      <c r="A3183" t="s">
        <v>4653</v>
      </c>
      <c r="B3183" s="2">
        <v>45968</v>
      </c>
      <c r="C3183" t="s">
        <v>2164</v>
      </c>
      <c r="D3183" t="s">
        <v>70</v>
      </c>
      <c r="E3183" t="s">
        <v>129</v>
      </c>
      <c r="F3183">
        <v>3</v>
      </c>
      <c r="G3183">
        <v>0.2</v>
      </c>
      <c r="H3183">
        <v>132000</v>
      </c>
      <c r="I3183">
        <v>10790.48</v>
      </c>
      <c r="J3183" t="s">
        <v>39</v>
      </c>
      <c r="K3183" t="s">
        <v>40</v>
      </c>
      <c r="L3183">
        <v>44000</v>
      </c>
      <c r="M3183">
        <v>8.1746060606060595</v>
      </c>
      <c r="N3183" t="s">
        <v>8</v>
      </c>
      <c r="O3183" t="s">
        <v>141</v>
      </c>
      <c r="P3183" t="s">
        <v>29</v>
      </c>
      <c r="Q3183" t="s">
        <v>74</v>
      </c>
      <c r="R3183" t="s">
        <v>75</v>
      </c>
      <c r="S3183" t="s">
        <v>75</v>
      </c>
      <c r="T3183" t="s">
        <v>2165</v>
      </c>
      <c r="U3183" t="s">
        <v>105</v>
      </c>
      <c r="V3183">
        <v>3596.8266666666659</v>
      </c>
    </row>
    <row r="3184" spans="1:22" x14ac:dyDescent="0.3">
      <c r="A3184" t="s">
        <v>4654</v>
      </c>
      <c r="B3184" s="2">
        <v>45960</v>
      </c>
      <c r="C3184" t="s">
        <v>1417</v>
      </c>
      <c r="D3184" t="s">
        <v>49</v>
      </c>
      <c r="E3184" t="s">
        <v>119</v>
      </c>
      <c r="F3184">
        <v>2</v>
      </c>
      <c r="G3184">
        <v>0.15</v>
      </c>
      <c r="H3184">
        <v>15300</v>
      </c>
      <c r="I3184">
        <v>3108.49</v>
      </c>
      <c r="J3184" t="s">
        <v>26</v>
      </c>
      <c r="K3184" t="s">
        <v>40</v>
      </c>
      <c r="L3184">
        <v>7650</v>
      </c>
      <c r="M3184">
        <v>20.316928104575162</v>
      </c>
      <c r="N3184" t="s">
        <v>8</v>
      </c>
      <c r="O3184" t="s">
        <v>448</v>
      </c>
      <c r="P3184" t="s">
        <v>83</v>
      </c>
      <c r="Q3184" t="s">
        <v>131</v>
      </c>
      <c r="R3184" t="s">
        <v>449</v>
      </c>
      <c r="S3184" t="s">
        <v>450</v>
      </c>
      <c r="T3184" t="s">
        <v>1418</v>
      </c>
      <c r="U3184" t="s">
        <v>34</v>
      </c>
      <c r="V3184">
        <v>1554.2449999999999</v>
      </c>
    </row>
    <row r="3185" spans="1:22" x14ac:dyDescent="0.3">
      <c r="A3185" t="s">
        <v>4655</v>
      </c>
      <c r="B3185" s="2">
        <v>45936</v>
      </c>
      <c r="C3185" t="s">
        <v>2495</v>
      </c>
      <c r="D3185" t="s">
        <v>70</v>
      </c>
      <c r="E3185" t="s">
        <v>108</v>
      </c>
      <c r="F3185">
        <v>3</v>
      </c>
      <c r="G3185">
        <v>0.2</v>
      </c>
      <c r="H3185">
        <v>10800</v>
      </c>
      <c r="I3185">
        <v>2895.14</v>
      </c>
      <c r="J3185" t="s">
        <v>65</v>
      </c>
      <c r="K3185" t="s">
        <v>40</v>
      </c>
      <c r="L3185">
        <v>3600</v>
      </c>
      <c r="M3185">
        <v>26.806851851851849</v>
      </c>
      <c r="N3185" t="s">
        <v>8</v>
      </c>
      <c r="O3185" t="s">
        <v>1831</v>
      </c>
      <c r="P3185" t="s">
        <v>29</v>
      </c>
      <c r="Q3185" t="s">
        <v>74</v>
      </c>
      <c r="R3185" t="s">
        <v>237</v>
      </c>
      <c r="S3185" t="s">
        <v>238</v>
      </c>
      <c r="T3185" t="s">
        <v>2496</v>
      </c>
      <c r="U3185" t="s">
        <v>46</v>
      </c>
      <c r="V3185">
        <v>965.04666666666662</v>
      </c>
    </row>
    <row r="3186" spans="1:22" x14ac:dyDescent="0.3">
      <c r="A3186" t="s">
        <v>4656</v>
      </c>
      <c r="B3186" s="2">
        <v>45920</v>
      </c>
      <c r="C3186" t="s">
        <v>2396</v>
      </c>
      <c r="D3186" t="s">
        <v>24</v>
      </c>
      <c r="E3186" t="s">
        <v>92</v>
      </c>
      <c r="F3186">
        <v>3</v>
      </c>
      <c r="G3186">
        <v>0</v>
      </c>
      <c r="H3186">
        <v>2700</v>
      </c>
      <c r="I3186">
        <v>840</v>
      </c>
      <c r="J3186" t="s">
        <v>26</v>
      </c>
      <c r="K3186" t="s">
        <v>40</v>
      </c>
      <c r="L3186">
        <v>900</v>
      </c>
      <c r="M3186">
        <v>31.111111111111111</v>
      </c>
      <c r="N3186" t="s">
        <v>8</v>
      </c>
      <c r="O3186" t="s">
        <v>2397</v>
      </c>
      <c r="P3186" t="s">
        <v>73</v>
      </c>
      <c r="Q3186" t="s">
        <v>131</v>
      </c>
      <c r="R3186" t="s">
        <v>132</v>
      </c>
      <c r="S3186" t="s">
        <v>133</v>
      </c>
      <c r="T3186" t="s">
        <v>2398</v>
      </c>
      <c r="U3186" t="s">
        <v>34</v>
      </c>
      <c r="V3186">
        <v>280</v>
      </c>
    </row>
    <row r="3187" spans="1:22" x14ac:dyDescent="0.3">
      <c r="A3187" t="s">
        <v>4657</v>
      </c>
      <c r="B3187" s="2">
        <v>46126</v>
      </c>
      <c r="C3187" t="s">
        <v>1224</v>
      </c>
      <c r="D3187" t="s">
        <v>37</v>
      </c>
      <c r="E3187" t="s">
        <v>38</v>
      </c>
      <c r="F3187">
        <v>1</v>
      </c>
      <c r="G3187">
        <v>0</v>
      </c>
      <c r="H3187">
        <v>1800</v>
      </c>
      <c r="I3187">
        <v>650</v>
      </c>
      <c r="J3187" t="s">
        <v>65</v>
      </c>
      <c r="K3187" t="s">
        <v>40</v>
      </c>
      <c r="L3187">
        <v>1800</v>
      </c>
      <c r="M3187">
        <v>36.111111111111107</v>
      </c>
      <c r="N3187" t="s">
        <v>8</v>
      </c>
      <c r="O3187" t="s">
        <v>1225</v>
      </c>
      <c r="P3187" t="s">
        <v>29</v>
      </c>
      <c r="Q3187" t="s">
        <v>74</v>
      </c>
      <c r="R3187" t="s">
        <v>75</v>
      </c>
      <c r="S3187" t="s">
        <v>75</v>
      </c>
      <c r="T3187" t="s">
        <v>342</v>
      </c>
      <c r="U3187" t="s">
        <v>34</v>
      </c>
      <c r="V3187">
        <v>650</v>
      </c>
    </row>
    <row r="3188" spans="1:22" x14ac:dyDescent="0.3">
      <c r="A3188" t="s">
        <v>4658</v>
      </c>
      <c r="B3188" s="2">
        <v>45841</v>
      </c>
      <c r="C3188" t="s">
        <v>3638</v>
      </c>
      <c r="D3188" t="s">
        <v>37</v>
      </c>
      <c r="E3188" t="s">
        <v>190</v>
      </c>
      <c r="F3188">
        <v>1</v>
      </c>
      <c r="G3188">
        <v>0</v>
      </c>
      <c r="H3188">
        <v>4200</v>
      </c>
      <c r="I3188">
        <v>1200</v>
      </c>
      <c r="J3188" t="s">
        <v>51</v>
      </c>
      <c r="K3188" t="s">
        <v>40</v>
      </c>
      <c r="L3188">
        <v>4200</v>
      </c>
      <c r="M3188">
        <v>28.571428571428569</v>
      </c>
      <c r="N3188" t="s">
        <v>8</v>
      </c>
      <c r="O3188" t="s">
        <v>1768</v>
      </c>
      <c r="P3188" t="s">
        <v>73</v>
      </c>
      <c r="Q3188" t="s">
        <v>74</v>
      </c>
      <c r="R3188" t="s">
        <v>237</v>
      </c>
      <c r="S3188" t="s">
        <v>238</v>
      </c>
      <c r="T3188" t="s">
        <v>1619</v>
      </c>
      <c r="U3188" t="s">
        <v>100</v>
      </c>
      <c r="V3188">
        <v>1200</v>
      </c>
    </row>
    <row r="3189" spans="1:22" x14ac:dyDescent="0.3">
      <c r="A3189" t="s">
        <v>4659</v>
      </c>
      <c r="B3189" s="2">
        <v>46108</v>
      </c>
      <c r="C3189" t="s">
        <v>136</v>
      </c>
      <c r="D3189" t="s">
        <v>49</v>
      </c>
      <c r="E3189" t="s">
        <v>119</v>
      </c>
      <c r="F3189">
        <v>2</v>
      </c>
      <c r="G3189">
        <v>0.05</v>
      </c>
      <c r="H3189">
        <v>17100</v>
      </c>
      <c r="I3189">
        <v>3927.66</v>
      </c>
      <c r="J3189" t="s">
        <v>26</v>
      </c>
      <c r="K3189" t="s">
        <v>40</v>
      </c>
      <c r="L3189">
        <v>8550</v>
      </c>
      <c r="M3189">
        <v>22.968771929824559</v>
      </c>
      <c r="N3189" t="s">
        <v>8</v>
      </c>
      <c r="O3189" t="s">
        <v>137</v>
      </c>
      <c r="P3189" t="s">
        <v>83</v>
      </c>
      <c r="Q3189" t="s">
        <v>42</v>
      </c>
      <c r="R3189" t="s">
        <v>110</v>
      </c>
      <c r="S3189" t="s">
        <v>111</v>
      </c>
      <c r="T3189" t="s">
        <v>138</v>
      </c>
      <c r="U3189" t="s">
        <v>34</v>
      </c>
      <c r="V3189">
        <v>1963.83</v>
      </c>
    </row>
    <row r="3190" spans="1:22" x14ac:dyDescent="0.3">
      <c r="A3190" t="s">
        <v>4660</v>
      </c>
      <c r="B3190" s="2">
        <v>46020</v>
      </c>
      <c r="C3190" t="s">
        <v>164</v>
      </c>
      <c r="D3190" t="s">
        <v>49</v>
      </c>
      <c r="E3190" t="s">
        <v>58</v>
      </c>
      <c r="F3190">
        <v>1</v>
      </c>
      <c r="G3190">
        <v>0.1</v>
      </c>
      <c r="H3190">
        <v>13500</v>
      </c>
      <c r="I3190">
        <v>2813.86</v>
      </c>
      <c r="J3190" t="s">
        <v>65</v>
      </c>
      <c r="K3190" t="s">
        <v>40</v>
      </c>
      <c r="L3190">
        <v>13500</v>
      </c>
      <c r="M3190">
        <v>20.843407407407408</v>
      </c>
      <c r="N3190" t="s">
        <v>8</v>
      </c>
      <c r="O3190" t="s">
        <v>166</v>
      </c>
      <c r="P3190" t="s">
        <v>73</v>
      </c>
      <c r="Q3190" t="s">
        <v>30</v>
      </c>
      <c r="R3190" t="s">
        <v>53</v>
      </c>
      <c r="S3190" t="s">
        <v>54</v>
      </c>
      <c r="T3190" t="s">
        <v>167</v>
      </c>
      <c r="U3190" t="s">
        <v>46</v>
      </c>
      <c r="V3190">
        <v>2813.86</v>
      </c>
    </row>
    <row r="3191" spans="1:22" x14ac:dyDescent="0.3">
      <c r="A3191" t="s">
        <v>4661</v>
      </c>
      <c r="B3191" s="2">
        <v>45895</v>
      </c>
      <c r="C3191" t="s">
        <v>776</v>
      </c>
      <c r="D3191" t="s">
        <v>70</v>
      </c>
      <c r="E3191" t="s">
        <v>129</v>
      </c>
      <c r="F3191">
        <v>5</v>
      </c>
      <c r="G3191">
        <v>0.05</v>
      </c>
      <c r="H3191">
        <v>261250</v>
      </c>
      <c r="I3191">
        <v>34280.769999999997</v>
      </c>
      <c r="J3191" t="s">
        <v>65</v>
      </c>
      <c r="K3191" t="s">
        <v>40</v>
      </c>
      <c r="L3191">
        <v>52250</v>
      </c>
      <c r="M3191">
        <v>13.12182583732057</v>
      </c>
      <c r="N3191" t="s">
        <v>8</v>
      </c>
      <c r="O3191" t="s">
        <v>777</v>
      </c>
      <c r="P3191" t="s">
        <v>29</v>
      </c>
      <c r="Q3191" t="s">
        <v>74</v>
      </c>
      <c r="R3191" t="s">
        <v>493</v>
      </c>
      <c r="S3191" t="s">
        <v>494</v>
      </c>
      <c r="T3191" t="s">
        <v>778</v>
      </c>
      <c r="U3191" t="s">
        <v>100</v>
      </c>
      <c r="V3191">
        <v>6856.1540000000005</v>
      </c>
    </row>
    <row r="3192" spans="1:22" x14ac:dyDescent="0.3">
      <c r="A3192" t="s">
        <v>4662</v>
      </c>
      <c r="B3192" s="2">
        <v>45894</v>
      </c>
      <c r="C3192" t="s">
        <v>501</v>
      </c>
      <c r="D3192" t="s">
        <v>70</v>
      </c>
      <c r="E3192" t="s">
        <v>165</v>
      </c>
      <c r="F3192">
        <v>3</v>
      </c>
      <c r="G3192">
        <v>0.1</v>
      </c>
      <c r="H3192">
        <v>6750</v>
      </c>
      <c r="I3192">
        <v>-3456.67</v>
      </c>
      <c r="J3192" t="s">
        <v>51</v>
      </c>
      <c r="K3192" t="s">
        <v>80</v>
      </c>
      <c r="L3192">
        <v>2250</v>
      </c>
      <c r="M3192">
        <v>-51.209925925925923</v>
      </c>
      <c r="N3192" t="s">
        <v>81</v>
      </c>
      <c r="O3192" t="s">
        <v>502</v>
      </c>
      <c r="P3192" t="s">
        <v>29</v>
      </c>
      <c r="Q3192" t="s">
        <v>30</v>
      </c>
      <c r="R3192" t="s">
        <v>31</v>
      </c>
      <c r="S3192" t="s">
        <v>32</v>
      </c>
      <c r="T3192" t="s">
        <v>503</v>
      </c>
      <c r="U3192" t="s">
        <v>100</v>
      </c>
      <c r="V3192">
        <v>-1152.2233333333329</v>
      </c>
    </row>
    <row r="3193" spans="1:22" x14ac:dyDescent="0.3">
      <c r="A3193" t="s">
        <v>4663</v>
      </c>
      <c r="B3193" s="2">
        <v>45978</v>
      </c>
      <c r="C3193" t="s">
        <v>2673</v>
      </c>
      <c r="D3193" t="s">
        <v>70</v>
      </c>
      <c r="E3193" t="s">
        <v>165</v>
      </c>
      <c r="F3193">
        <v>2</v>
      </c>
      <c r="G3193">
        <v>0.1</v>
      </c>
      <c r="H3193">
        <v>4500</v>
      </c>
      <c r="I3193">
        <v>1315.79</v>
      </c>
      <c r="J3193" t="s">
        <v>51</v>
      </c>
      <c r="K3193" t="s">
        <v>40</v>
      </c>
      <c r="L3193">
        <v>2250</v>
      </c>
      <c r="M3193">
        <v>29.239777777777771</v>
      </c>
      <c r="N3193" t="s">
        <v>8</v>
      </c>
      <c r="O3193" t="s">
        <v>2674</v>
      </c>
      <c r="P3193" t="s">
        <v>73</v>
      </c>
      <c r="Q3193" t="s">
        <v>30</v>
      </c>
      <c r="R3193" t="s">
        <v>98</v>
      </c>
      <c r="S3193" t="s">
        <v>54</v>
      </c>
      <c r="T3193" t="s">
        <v>2675</v>
      </c>
      <c r="U3193" t="s">
        <v>34</v>
      </c>
      <c r="V3193">
        <v>657.89499999999998</v>
      </c>
    </row>
    <row r="3194" spans="1:22" x14ac:dyDescent="0.3">
      <c r="A3194" t="s">
        <v>4664</v>
      </c>
      <c r="B3194" s="2">
        <v>46240</v>
      </c>
      <c r="C3194" t="s">
        <v>204</v>
      </c>
      <c r="D3194" t="s">
        <v>24</v>
      </c>
      <c r="E3194" t="s">
        <v>92</v>
      </c>
      <c r="F3194">
        <v>3</v>
      </c>
      <c r="G3194">
        <v>0.15</v>
      </c>
      <c r="H3194">
        <v>2295</v>
      </c>
      <c r="I3194">
        <v>505.21</v>
      </c>
      <c r="J3194" t="s">
        <v>26</v>
      </c>
      <c r="K3194" t="s">
        <v>40</v>
      </c>
      <c r="L3194">
        <v>765</v>
      </c>
      <c r="M3194">
        <v>22.013507625272329</v>
      </c>
      <c r="N3194" t="s">
        <v>8</v>
      </c>
      <c r="O3194" t="s">
        <v>205</v>
      </c>
      <c r="P3194" t="s">
        <v>29</v>
      </c>
      <c r="Q3194" t="s">
        <v>30</v>
      </c>
      <c r="R3194" t="s">
        <v>98</v>
      </c>
      <c r="S3194" t="s">
        <v>54</v>
      </c>
      <c r="T3194" t="s">
        <v>206</v>
      </c>
      <c r="U3194" t="s">
        <v>34</v>
      </c>
      <c r="V3194">
        <v>168.40333333333331</v>
      </c>
    </row>
    <row r="3195" spans="1:22" x14ac:dyDescent="0.3">
      <c r="A3195" t="s">
        <v>4665</v>
      </c>
      <c r="B3195" s="2">
        <v>46099</v>
      </c>
      <c r="C3195" t="s">
        <v>2311</v>
      </c>
      <c r="D3195" t="s">
        <v>37</v>
      </c>
      <c r="E3195" t="s">
        <v>310</v>
      </c>
      <c r="F3195">
        <v>4</v>
      </c>
      <c r="G3195">
        <v>0.15</v>
      </c>
      <c r="H3195">
        <v>7480</v>
      </c>
      <c r="I3195">
        <v>2088.1799999999998</v>
      </c>
      <c r="J3195" t="s">
        <v>39</v>
      </c>
      <c r="K3195" t="s">
        <v>40</v>
      </c>
      <c r="L3195">
        <v>1870</v>
      </c>
      <c r="M3195">
        <v>27.91684491978609</v>
      </c>
      <c r="N3195" t="s">
        <v>8</v>
      </c>
      <c r="O3195" t="s">
        <v>2312</v>
      </c>
      <c r="P3195" t="s">
        <v>73</v>
      </c>
      <c r="Q3195" t="s">
        <v>131</v>
      </c>
      <c r="R3195" t="s">
        <v>132</v>
      </c>
      <c r="S3195" t="s">
        <v>133</v>
      </c>
      <c r="T3195" t="s">
        <v>2313</v>
      </c>
      <c r="U3195" t="s">
        <v>46</v>
      </c>
      <c r="V3195">
        <v>522.04499999999996</v>
      </c>
    </row>
    <row r="3196" spans="1:22" x14ac:dyDescent="0.3">
      <c r="A3196" t="s">
        <v>4666</v>
      </c>
      <c r="B3196" s="2">
        <v>45885</v>
      </c>
      <c r="C3196" t="s">
        <v>317</v>
      </c>
      <c r="D3196" t="s">
        <v>49</v>
      </c>
      <c r="E3196" t="s">
        <v>58</v>
      </c>
      <c r="F3196">
        <v>2</v>
      </c>
      <c r="G3196">
        <v>0</v>
      </c>
      <c r="H3196">
        <v>30000</v>
      </c>
      <c r="I3196">
        <v>7000</v>
      </c>
      <c r="J3196" t="s">
        <v>51</v>
      </c>
      <c r="K3196" t="s">
        <v>40</v>
      </c>
      <c r="L3196">
        <v>15000</v>
      </c>
      <c r="M3196">
        <v>23.333333333333329</v>
      </c>
      <c r="N3196" t="s">
        <v>8</v>
      </c>
      <c r="O3196" t="s">
        <v>318</v>
      </c>
      <c r="P3196" t="s">
        <v>29</v>
      </c>
      <c r="Q3196" t="s">
        <v>42</v>
      </c>
      <c r="R3196" t="s">
        <v>121</v>
      </c>
      <c r="S3196" t="s">
        <v>44</v>
      </c>
      <c r="T3196" t="s">
        <v>319</v>
      </c>
      <c r="U3196" t="s">
        <v>34</v>
      </c>
      <c r="V3196">
        <v>3500</v>
      </c>
    </row>
    <row r="3197" spans="1:22" x14ac:dyDescent="0.3">
      <c r="A3197" t="s">
        <v>4667</v>
      </c>
      <c r="B3197" s="2">
        <v>46021</v>
      </c>
      <c r="C3197" t="s">
        <v>1748</v>
      </c>
      <c r="D3197" t="s">
        <v>70</v>
      </c>
      <c r="E3197" t="s">
        <v>165</v>
      </c>
      <c r="F3197">
        <v>2</v>
      </c>
      <c r="G3197">
        <v>0.15</v>
      </c>
      <c r="H3197">
        <v>4250</v>
      </c>
      <c r="I3197">
        <v>1153.4000000000001</v>
      </c>
      <c r="J3197" t="s">
        <v>26</v>
      </c>
      <c r="K3197" t="s">
        <v>40</v>
      </c>
      <c r="L3197">
        <v>2125</v>
      </c>
      <c r="M3197">
        <v>27.13882352941177</v>
      </c>
      <c r="N3197" t="s">
        <v>8</v>
      </c>
      <c r="O3197" t="s">
        <v>1749</v>
      </c>
      <c r="P3197" t="s">
        <v>83</v>
      </c>
      <c r="Q3197" t="s">
        <v>42</v>
      </c>
      <c r="R3197" t="s">
        <v>121</v>
      </c>
      <c r="S3197" t="s">
        <v>44</v>
      </c>
      <c r="T3197" t="s">
        <v>1221</v>
      </c>
      <c r="U3197" t="s">
        <v>34</v>
      </c>
      <c r="V3197">
        <v>576.70000000000005</v>
      </c>
    </row>
    <row r="3198" spans="1:22" x14ac:dyDescent="0.3">
      <c r="A3198" t="s">
        <v>4668</v>
      </c>
      <c r="B3198" s="2">
        <v>45922</v>
      </c>
      <c r="C3198" t="s">
        <v>664</v>
      </c>
      <c r="D3198" t="s">
        <v>24</v>
      </c>
      <c r="E3198" t="s">
        <v>25</v>
      </c>
      <c r="F3198">
        <v>2</v>
      </c>
      <c r="G3198">
        <v>0.3</v>
      </c>
      <c r="H3198">
        <v>19600</v>
      </c>
      <c r="I3198">
        <v>809.66</v>
      </c>
      <c r="J3198" t="s">
        <v>65</v>
      </c>
      <c r="K3198" t="s">
        <v>40</v>
      </c>
      <c r="L3198">
        <v>9800</v>
      </c>
      <c r="M3198">
        <v>4.1309183673469381</v>
      </c>
      <c r="N3198" t="s">
        <v>8</v>
      </c>
      <c r="O3198" t="s">
        <v>665</v>
      </c>
      <c r="P3198" t="s">
        <v>29</v>
      </c>
      <c r="Q3198" t="s">
        <v>30</v>
      </c>
      <c r="R3198" t="s">
        <v>31</v>
      </c>
      <c r="S3198" t="s">
        <v>32</v>
      </c>
      <c r="T3198" t="s">
        <v>256</v>
      </c>
      <c r="U3198" t="s">
        <v>34</v>
      </c>
      <c r="V3198">
        <v>404.83</v>
      </c>
    </row>
    <row r="3199" spans="1:22" x14ac:dyDescent="0.3">
      <c r="A3199" t="s">
        <v>4669</v>
      </c>
      <c r="B3199" s="2">
        <v>45874</v>
      </c>
      <c r="C3199" t="s">
        <v>671</v>
      </c>
      <c r="D3199" t="s">
        <v>49</v>
      </c>
      <c r="E3199" t="s">
        <v>119</v>
      </c>
      <c r="F3199">
        <v>1</v>
      </c>
      <c r="G3199">
        <v>0</v>
      </c>
      <c r="H3199">
        <v>9000</v>
      </c>
      <c r="I3199">
        <v>2300</v>
      </c>
      <c r="J3199" t="s">
        <v>39</v>
      </c>
      <c r="K3199" t="s">
        <v>40</v>
      </c>
      <c r="L3199">
        <v>9000</v>
      </c>
      <c r="M3199">
        <v>25.55555555555555</v>
      </c>
      <c r="N3199" t="s">
        <v>8</v>
      </c>
      <c r="O3199" t="s">
        <v>582</v>
      </c>
      <c r="P3199" t="s">
        <v>73</v>
      </c>
      <c r="Q3199" t="s">
        <v>30</v>
      </c>
      <c r="R3199" t="s">
        <v>53</v>
      </c>
      <c r="S3199" t="s">
        <v>54</v>
      </c>
      <c r="T3199" t="s">
        <v>672</v>
      </c>
      <c r="U3199" t="s">
        <v>46</v>
      </c>
      <c r="V3199">
        <v>2300</v>
      </c>
    </row>
    <row r="3200" spans="1:22" x14ac:dyDescent="0.3">
      <c r="A3200" t="s">
        <v>4670</v>
      </c>
      <c r="B3200" s="2">
        <v>46199</v>
      </c>
      <c r="C3200" t="s">
        <v>321</v>
      </c>
      <c r="D3200" t="s">
        <v>24</v>
      </c>
      <c r="E3200" t="s">
        <v>25</v>
      </c>
      <c r="F3200">
        <v>3</v>
      </c>
      <c r="G3200">
        <v>0.05</v>
      </c>
      <c r="H3200">
        <v>39900</v>
      </c>
      <c r="I3200">
        <v>7059.04</v>
      </c>
      <c r="J3200" t="s">
        <v>51</v>
      </c>
      <c r="K3200" t="s">
        <v>40</v>
      </c>
      <c r="L3200">
        <v>13300</v>
      </c>
      <c r="M3200">
        <v>17.691829573934839</v>
      </c>
      <c r="N3200" t="s">
        <v>8</v>
      </c>
      <c r="O3200" t="s">
        <v>322</v>
      </c>
      <c r="P3200" t="s">
        <v>29</v>
      </c>
      <c r="Q3200" t="s">
        <v>30</v>
      </c>
      <c r="R3200" t="s">
        <v>31</v>
      </c>
      <c r="S3200" t="s">
        <v>32</v>
      </c>
      <c r="T3200" t="s">
        <v>323</v>
      </c>
      <c r="U3200" t="s">
        <v>34</v>
      </c>
      <c r="V3200">
        <v>2353.0133333333329</v>
      </c>
    </row>
    <row r="3201" spans="1:22" x14ac:dyDescent="0.3">
      <c r="A3201" t="s">
        <v>4671</v>
      </c>
      <c r="B3201" s="2">
        <v>45929</v>
      </c>
      <c r="C3201" t="s">
        <v>3593</v>
      </c>
      <c r="D3201" t="s">
        <v>37</v>
      </c>
      <c r="E3201" t="s">
        <v>170</v>
      </c>
      <c r="F3201">
        <v>5</v>
      </c>
      <c r="G3201">
        <v>0.15</v>
      </c>
      <c r="H3201">
        <v>5950</v>
      </c>
      <c r="I3201">
        <v>1849.94</v>
      </c>
      <c r="J3201" t="s">
        <v>51</v>
      </c>
      <c r="K3201" t="s">
        <v>40</v>
      </c>
      <c r="L3201">
        <v>1190</v>
      </c>
      <c r="M3201">
        <v>31.091428571428569</v>
      </c>
      <c r="N3201" t="s">
        <v>8</v>
      </c>
      <c r="O3201" t="s">
        <v>439</v>
      </c>
      <c r="P3201" t="s">
        <v>29</v>
      </c>
      <c r="Q3201" t="s">
        <v>42</v>
      </c>
      <c r="R3201" t="s">
        <v>121</v>
      </c>
      <c r="S3201" t="s">
        <v>44</v>
      </c>
      <c r="T3201" t="s">
        <v>1801</v>
      </c>
      <c r="U3201" t="s">
        <v>46</v>
      </c>
      <c r="V3201">
        <v>369.988</v>
      </c>
    </row>
    <row r="3202" spans="1:22" x14ac:dyDescent="0.3">
      <c r="A3202" t="s">
        <v>4672</v>
      </c>
      <c r="B3202" s="2">
        <v>46261</v>
      </c>
      <c r="C3202" t="s">
        <v>1087</v>
      </c>
      <c r="D3202" t="s">
        <v>49</v>
      </c>
      <c r="E3202" t="s">
        <v>58</v>
      </c>
      <c r="F3202">
        <v>2</v>
      </c>
      <c r="G3202">
        <v>0</v>
      </c>
      <c r="H3202">
        <v>30000</v>
      </c>
      <c r="I3202">
        <v>-8116.26</v>
      </c>
      <c r="J3202" t="s">
        <v>65</v>
      </c>
      <c r="K3202" t="s">
        <v>434</v>
      </c>
      <c r="L3202">
        <v>15000</v>
      </c>
      <c r="M3202">
        <v>-27.054200000000002</v>
      </c>
      <c r="N3202" t="s">
        <v>81</v>
      </c>
      <c r="O3202" t="s">
        <v>1088</v>
      </c>
      <c r="P3202" t="s">
        <v>73</v>
      </c>
      <c r="Q3202" t="s">
        <v>131</v>
      </c>
      <c r="R3202" t="s">
        <v>200</v>
      </c>
      <c r="S3202" t="s">
        <v>201</v>
      </c>
      <c r="T3202" t="s">
        <v>1089</v>
      </c>
      <c r="U3202" t="s">
        <v>46</v>
      </c>
      <c r="V3202">
        <v>-4058.13</v>
      </c>
    </row>
    <row r="3203" spans="1:22" x14ac:dyDescent="0.3">
      <c r="A3203" t="s">
        <v>4673</v>
      </c>
      <c r="B3203" s="2">
        <v>46008</v>
      </c>
      <c r="C3203" t="s">
        <v>3889</v>
      </c>
      <c r="D3203" t="s">
        <v>37</v>
      </c>
      <c r="E3203" t="s">
        <v>190</v>
      </c>
      <c r="F3203">
        <v>1</v>
      </c>
      <c r="G3203">
        <v>0</v>
      </c>
      <c r="H3203">
        <v>4200</v>
      </c>
      <c r="I3203">
        <v>1200</v>
      </c>
      <c r="J3203" t="s">
        <v>51</v>
      </c>
      <c r="K3203" t="s">
        <v>40</v>
      </c>
      <c r="L3203">
        <v>4200</v>
      </c>
      <c r="M3203">
        <v>28.571428571428569</v>
      </c>
      <c r="N3203" t="s">
        <v>8</v>
      </c>
      <c r="O3203" t="s">
        <v>1989</v>
      </c>
      <c r="P3203" t="s">
        <v>29</v>
      </c>
      <c r="Q3203" t="s">
        <v>131</v>
      </c>
      <c r="R3203" t="s">
        <v>132</v>
      </c>
      <c r="S3203" t="s">
        <v>133</v>
      </c>
      <c r="T3203" t="s">
        <v>3890</v>
      </c>
      <c r="U3203" t="s">
        <v>100</v>
      </c>
      <c r="V3203">
        <v>1200</v>
      </c>
    </row>
    <row r="3204" spans="1:22" x14ac:dyDescent="0.3">
      <c r="A3204" t="s">
        <v>4674</v>
      </c>
      <c r="B3204" s="2">
        <v>46040</v>
      </c>
      <c r="C3204" t="s">
        <v>810</v>
      </c>
      <c r="D3204" t="s">
        <v>70</v>
      </c>
      <c r="E3204" t="s">
        <v>71</v>
      </c>
      <c r="F3204">
        <v>3</v>
      </c>
      <c r="G3204">
        <v>0</v>
      </c>
      <c r="H3204">
        <v>54000</v>
      </c>
      <c r="I3204">
        <v>10500</v>
      </c>
      <c r="J3204" t="s">
        <v>65</v>
      </c>
      <c r="K3204" t="s">
        <v>40</v>
      </c>
      <c r="L3204">
        <v>18000</v>
      </c>
      <c r="M3204">
        <v>19.44444444444445</v>
      </c>
      <c r="N3204" t="s">
        <v>8</v>
      </c>
      <c r="O3204" t="s">
        <v>811</v>
      </c>
      <c r="P3204" t="s">
        <v>73</v>
      </c>
      <c r="Q3204" t="s">
        <v>30</v>
      </c>
      <c r="R3204" t="s">
        <v>60</v>
      </c>
      <c r="S3204" t="s">
        <v>61</v>
      </c>
      <c r="T3204" t="s">
        <v>812</v>
      </c>
      <c r="U3204" t="s">
        <v>34</v>
      </c>
      <c r="V3204">
        <v>3500</v>
      </c>
    </row>
    <row r="3205" spans="1:22" x14ac:dyDescent="0.3">
      <c r="A3205" t="s">
        <v>4675</v>
      </c>
      <c r="B3205" s="2">
        <v>45888</v>
      </c>
      <c r="C3205" t="s">
        <v>1799</v>
      </c>
      <c r="D3205" t="s">
        <v>70</v>
      </c>
      <c r="E3205" t="s">
        <v>165</v>
      </c>
      <c r="F3205">
        <v>4</v>
      </c>
      <c r="G3205">
        <v>0.1</v>
      </c>
      <c r="H3205">
        <v>9000</v>
      </c>
      <c r="I3205">
        <v>2445.67</v>
      </c>
      <c r="J3205" t="s">
        <v>26</v>
      </c>
      <c r="K3205" t="s">
        <v>40</v>
      </c>
      <c r="L3205">
        <v>2250</v>
      </c>
      <c r="M3205">
        <v>27.17411111111111</v>
      </c>
      <c r="N3205" t="s">
        <v>8</v>
      </c>
      <c r="O3205" t="s">
        <v>1800</v>
      </c>
      <c r="P3205" t="s">
        <v>73</v>
      </c>
      <c r="Q3205" t="s">
        <v>30</v>
      </c>
      <c r="R3205" t="s">
        <v>98</v>
      </c>
      <c r="S3205" t="s">
        <v>54</v>
      </c>
      <c r="T3205" t="s">
        <v>1801</v>
      </c>
      <c r="U3205" t="s">
        <v>100</v>
      </c>
      <c r="V3205">
        <v>611.41750000000002</v>
      </c>
    </row>
    <row r="3206" spans="1:22" x14ac:dyDescent="0.3">
      <c r="A3206" t="s">
        <v>4676</v>
      </c>
      <c r="B3206" s="2">
        <v>46243</v>
      </c>
      <c r="C3206" t="s">
        <v>1906</v>
      </c>
      <c r="D3206" t="s">
        <v>70</v>
      </c>
      <c r="E3206" t="s">
        <v>108</v>
      </c>
      <c r="F3206">
        <v>2</v>
      </c>
      <c r="G3206">
        <v>0.05</v>
      </c>
      <c r="H3206">
        <v>8550</v>
      </c>
      <c r="I3206">
        <v>2669.87</v>
      </c>
      <c r="J3206" t="s">
        <v>39</v>
      </c>
      <c r="K3206" t="s">
        <v>40</v>
      </c>
      <c r="L3206">
        <v>4275</v>
      </c>
      <c r="M3206">
        <v>31.226549707602331</v>
      </c>
      <c r="N3206" t="s">
        <v>8</v>
      </c>
      <c r="O3206" t="s">
        <v>1579</v>
      </c>
      <c r="P3206" t="s">
        <v>29</v>
      </c>
      <c r="Q3206" t="s">
        <v>131</v>
      </c>
      <c r="R3206" t="s">
        <v>449</v>
      </c>
      <c r="S3206" t="s">
        <v>450</v>
      </c>
      <c r="T3206" t="s">
        <v>1907</v>
      </c>
      <c r="U3206" t="s">
        <v>46</v>
      </c>
      <c r="V3206">
        <v>1334.9349999999999</v>
      </c>
    </row>
    <row r="3207" spans="1:22" x14ac:dyDescent="0.3">
      <c r="A3207" t="s">
        <v>4677</v>
      </c>
      <c r="B3207" s="2">
        <v>46136</v>
      </c>
      <c r="C3207" t="s">
        <v>2145</v>
      </c>
      <c r="D3207" t="s">
        <v>49</v>
      </c>
      <c r="E3207" t="s">
        <v>50</v>
      </c>
      <c r="F3207">
        <v>2</v>
      </c>
      <c r="G3207">
        <v>0.05</v>
      </c>
      <c r="H3207">
        <v>24700</v>
      </c>
      <c r="I3207">
        <v>5399.76</v>
      </c>
      <c r="J3207" t="s">
        <v>65</v>
      </c>
      <c r="K3207" t="s">
        <v>27</v>
      </c>
      <c r="L3207">
        <v>12350</v>
      </c>
      <c r="M3207">
        <v>21.861376518218631</v>
      </c>
      <c r="N3207" t="s">
        <v>8</v>
      </c>
      <c r="O3207" t="s">
        <v>302</v>
      </c>
      <c r="P3207" t="s">
        <v>29</v>
      </c>
      <c r="Q3207" t="s">
        <v>30</v>
      </c>
      <c r="R3207" t="s">
        <v>98</v>
      </c>
      <c r="S3207" t="s">
        <v>54</v>
      </c>
      <c r="T3207" t="s">
        <v>601</v>
      </c>
      <c r="U3207" t="s">
        <v>46</v>
      </c>
      <c r="V3207">
        <v>2699.88</v>
      </c>
    </row>
    <row r="3208" spans="1:22" x14ac:dyDescent="0.3">
      <c r="A3208" t="s">
        <v>4678</v>
      </c>
      <c r="B3208" s="2">
        <v>45863</v>
      </c>
      <c r="C3208" t="s">
        <v>2168</v>
      </c>
      <c r="D3208" t="s">
        <v>70</v>
      </c>
      <c r="E3208" t="s">
        <v>108</v>
      </c>
      <c r="F3208">
        <v>1</v>
      </c>
      <c r="G3208">
        <v>0.15</v>
      </c>
      <c r="H3208">
        <v>3825</v>
      </c>
      <c r="I3208">
        <v>993.77</v>
      </c>
      <c r="J3208" t="s">
        <v>65</v>
      </c>
      <c r="K3208" t="s">
        <v>40</v>
      </c>
      <c r="L3208">
        <v>3825</v>
      </c>
      <c r="M3208">
        <v>25.980915032679739</v>
      </c>
      <c r="N3208" t="s">
        <v>8</v>
      </c>
      <c r="O3208" t="s">
        <v>2169</v>
      </c>
      <c r="P3208" t="s">
        <v>29</v>
      </c>
      <c r="Q3208" t="s">
        <v>131</v>
      </c>
      <c r="R3208" t="s">
        <v>289</v>
      </c>
      <c r="S3208" t="s">
        <v>290</v>
      </c>
      <c r="T3208" t="s">
        <v>793</v>
      </c>
      <c r="U3208" t="s">
        <v>34</v>
      </c>
      <c r="V3208">
        <v>993.77</v>
      </c>
    </row>
    <row r="3209" spans="1:22" x14ac:dyDescent="0.3">
      <c r="A3209" t="s">
        <v>4679</v>
      </c>
      <c r="B3209" s="2">
        <v>46262</v>
      </c>
      <c r="C3209" t="s">
        <v>1164</v>
      </c>
      <c r="D3209" t="s">
        <v>70</v>
      </c>
      <c r="E3209" t="s">
        <v>108</v>
      </c>
      <c r="F3209">
        <v>1</v>
      </c>
      <c r="G3209">
        <v>0.1</v>
      </c>
      <c r="H3209">
        <v>4050</v>
      </c>
      <c r="I3209">
        <v>1147.95</v>
      </c>
      <c r="J3209" t="s">
        <v>39</v>
      </c>
      <c r="K3209" t="s">
        <v>40</v>
      </c>
      <c r="L3209">
        <v>4050</v>
      </c>
      <c r="M3209">
        <v>28.344444444444441</v>
      </c>
      <c r="N3209" t="s">
        <v>8</v>
      </c>
      <c r="O3209" t="s">
        <v>284</v>
      </c>
      <c r="P3209" t="s">
        <v>29</v>
      </c>
      <c r="Q3209" t="s">
        <v>30</v>
      </c>
      <c r="R3209" t="s">
        <v>98</v>
      </c>
      <c r="S3209" t="s">
        <v>54</v>
      </c>
      <c r="T3209" t="s">
        <v>1165</v>
      </c>
      <c r="U3209" t="s">
        <v>105</v>
      </c>
      <c r="V3209">
        <v>1147.95</v>
      </c>
    </row>
    <row r="3210" spans="1:22" x14ac:dyDescent="0.3">
      <c r="A3210" t="s">
        <v>4680</v>
      </c>
      <c r="B3210" s="2">
        <v>45873</v>
      </c>
      <c r="C3210" t="s">
        <v>297</v>
      </c>
      <c r="D3210" t="s">
        <v>70</v>
      </c>
      <c r="E3210" t="s">
        <v>129</v>
      </c>
      <c r="F3210">
        <v>2</v>
      </c>
      <c r="G3210">
        <v>0.05</v>
      </c>
      <c r="H3210">
        <v>104500</v>
      </c>
      <c r="I3210">
        <v>13899.59</v>
      </c>
      <c r="J3210" t="s">
        <v>51</v>
      </c>
      <c r="K3210" t="s">
        <v>40</v>
      </c>
      <c r="L3210">
        <v>52250</v>
      </c>
      <c r="M3210">
        <v>13.301043062200961</v>
      </c>
      <c r="N3210" t="s">
        <v>8</v>
      </c>
      <c r="O3210" t="s">
        <v>298</v>
      </c>
      <c r="P3210" t="s">
        <v>83</v>
      </c>
      <c r="Q3210" t="s">
        <v>30</v>
      </c>
      <c r="R3210" t="s">
        <v>60</v>
      </c>
      <c r="S3210" t="s">
        <v>61</v>
      </c>
      <c r="T3210" t="s">
        <v>299</v>
      </c>
      <c r="U3210" t="s">
        <v>46</v>
      </c>
      <c r="V3210">
        <v>6949.7950000000001</v>
      </c>
    </row>
    <row r="3211" spans="1:22" x14ac:dyDescent="0.3">
      <c r="A3211" t="s">
        <v>4681</v>
      </c>
      <c r="B3211" s="2">
        <v>46058</v>
      </c>
      <c r="C3211" t="s">
        <v>413</v>
      </c>
      <c r="D3211" t="s">
        <v>70</v>
      </c>
      <c r="E3211" t="s">
        <v>108</v>
      </c>
      <c r="F3211">
        <v>3</v>
      </c>
      <c r="G3211">
        <v>0.15</v>
      </c>
      <c r="H3211">
        <v>11475</v>
      </c>
      <c r="I3211">
        <v>3581.68</v>
      </c>
      <c r="J3211" t="s">
        <v>65</v>
      </c>
      <c r="K3211" t="s">
        <v>40</v>
      </c>
      <c r="L3211">
        <v>3825</v>
      </c>
      <c r="M3211">
        <v>31.212897603485839</v>
      </c>
      <c r="N3211" t="s">
        <v>8</v>
      </c>
      <c r="O3211" t="s">
        <v>414</v>
      </c>
      <c r="P3211" t="s">
        <v>73</v>
      </c>
      <c r="Q3211" t="s">
        <v>74</v>
      </c>
      <c r="R3211" t="s">
        <v>115</v>
      </c>
      <c r="S3211" t="s">
        <v>115</v>
      </c>
      <c r="T3211" t="s">
        <v>415</v>
      </c>
      <c r="U3211" t="s">
        <v>34</v>
      </c>
      <c r="V3211">
        <v>1193.893333333333</v>
      </c>
    </row>
    <row r="3212" spans="1:22" x14ac:dyDescent="0.3">
      <c r="A3212" t="s">
        <v>4682</v>
      </c>
      <c r="B3212" s="2">
        <v>45998</v>
      </c>
      <c r="C3212" t="s">
        <v>810</v>
      </c>
      <c r="D3212" t="s">
        <v>24</v>
      </c>
      <c r="E3212" t="s">
        <v>25</v>
      </c>
      <c r="F3212">
        <v>4</v>
      </c>
      <c r="G3212">
        <v>0.05</v>
      </c>
      <c r="H3212">
        <v>53200</v>
      </c>
      <c r="I3212">
        <v>9931.4599999999991</v>
      </c>
      <c r="J3212" t="s">
        <v>26</v>
      </c>
      <c r="K3212" t="s">
        <v>40</v>
      </c>
      <c r="L3212">
        <v>13300</v>
      </c>
      <c r="M3212">
        <v>18.66815789473684</v>
      </c>
      <c r="N3212" t="s">
        <v>8</v>
      </c>
      <c r="O3212" t="s">
        <v>811</v>
      </c>
      <c r="P3212" t="s">
        <v>73</v>
      </c>
      <c r="Q3212" t="s">
        <v>30</v>
      </c>
      <c r="R3212" t="s">
        <v>60</v>
      </c>
      <c r="S3212" t="s">
        <v>61</v>
      </c>
      <c r="T3212" t="s">
        <v>812</v>
      </c>
      <c r="U3212" t="s">
        <v>34</v>
      </c>
      <c r="V3212">
        <v>2482.8649999999998</v>
      </c>
    </row>
    <row r="3213" spans="1:22" x14ac:dyDescent="0.3">
      <c r="A3213" t="s">
        <v>4683</v>
      </c>
      <c r="B3213" s="2">
        <v>45982</v>
      </c>
      <c r="C3213" t="s">
        <v>263</v>
      </c>
      <c r="D3213" t="s">
        <v>70</v>
      </c>
      <c r="E3213" t="s">
        <v>165</v>
      </c>
      <c r="F3213">
        <v>4</v>
      </c>
      <c r="G3213">
        <v>0</v>
      </c>
      <c r="H3213">
        <v>10000</v>
      </c>
      <c r="I3213">
        <v>3200</v>
      </c>
      <c r="J3213" t="s">
        <v>26</v>
      </c>
      <c r="K3213" t="s">
        <v>40</v>
      </c>
      <c r="L3213">
        <v>2500</v>
      </c>
      <c r="M3213">
        <v>32</v>
      </c>
      <c r="N3213" t="s">
        <v>8</v>
      </c>
      <c r="O3213" t="s">
        <v>265</v>
      </c>
      <c r="P3213" t="s">
        <v>73</v>
      </c>
      <c r="Q3213" t="s">
        <v>30</v>
      </c>
      <c r="R3213" t="s">
        <v>31</v>
      </c>
      <c r="S3213" t="s">
        <v>32</v>
      </c>
      <c r="T3213" t="s">
        <v>266</v>
      </c>
      <c r="U3213" t="s">
        <v>46</v>
      </c>
      <c r="V3213">
        <v>800</v>
      </c>
    </row>
    <row r="3214" spans="1:22" x14ac:dyDescent="0.3">
      <c r="A3214" t="s">
        <v>4684</v>
      </c>
      <c r="B3214" s="2">
        <v>46038</v>
      </c>
      <c r="C3214" t="s">
        <v>2467</v>
      </c>
      <c r="D3214" t="s">
        <v>70</v>
      </c>
      <c r="E3214" t="s">
        <v>71</v>
      </c>
      <c r="F3214">
        <v>4</v>
      </c>
      <c r="G3214">
        <v>0.1</v>
      </c>
      <c r="H3214">
        <v>64800</v>
      </c>
      <c r="I3214">
        <v>10363.969999999999</v>
      </c>
      <c r="J3214" t="s">
        <v>51</v>
      </c>
      <c r="K3214" t="s">
        <v>40</v>
      </c>
      <c r="L3214">
        <v>16200</v>
      </c>
      <c r="M3214">
        <v>15.993780864197531</v>
      </c>
      <c r="N3214" t="s">
        <v>8</v>
      </c>
      <c r="O3214" t="s">
        <v>213</v>
      </c>
      <c r="P3214" t="s">
        <v>29</v>
      </c>
      <c r="Q3214" t="s">
        <v>42</v>
      </c>
      <c r="R3214" t="s">
        <v>214</v>
      </c>
      <c r="S3214" t="s">
        <v>111</v>
      </c>
      <c r="T3214" t="s">
        <v>1103</v>
      </c>
      <c r="U3214" t="s">
        <v>46</v>
      </c>
      <c r="V3214">
        <v>2590.9924999999998</v>
      </c>
    </row>
    <row r="3215" spans="1:22" x14ac:dyDescent="0.3">
      <c r="A3215" t="s">
        <v>4685</v>
      </c>
      <c r="B3215" s="2">
        <v>45906</v>
      </c>
      <c r="C3215" t="s">
        <v>952</v>
      </c>
      <c r="D3215" t="s">
        <v>70</v>
      </c>
      <c r="E3215" t="s">
        <v>108</v>
      </c>
      <c r="F3215">
        <v>4</v>
      </c>
      <c r="G3215">
        <v>0</v>
      </c>
      <c r="H3215">
        <v>18000</v>
      </c>
      <c r="I3215">
        <v>-2079.08</v>
      </c>
      <c r="J3215" t="s">
        <v>65</v>
      </c>
      <c r="K3215" t="s">
        <v>434</v>
      </c>
      <c r="L3215">
        <v>4500</v>
      </c>
      <c r="M3215">
        <v>-11.550444444444439</v>
      </c>
      <c r="N3215" t="s">
        <v>81</v>
      </c>
      <c r="O3215" t="s">
        <v>953</v>
      </c>
      <c r="P3215" t="s">
        <v>83</v>
      </c>
      <c r="Q3215" t="s">
        <v>42</v>
      </c>
      <c r="R3215" t="s">
        <v>110</v>
      </c>
      <c r="S3215" t="s">
        <v>111</v>
      </c>
      <c r="T3215" t="s">
        <v>954</v>
      </c>
      <c r="U3215" t="s">
        <v>105</v>
      </c>
      <c r="V3215">
        <v>-519.77</v>
      </c>
    </row>
    <row r="3216" spans="1:22" x14ac:dyDescent="0.3">
      <c r="A3216" t="s">
        <v>4686</v>
      </c>
      <c r="B3216" s="2">
        <v>46123</v>
      </c>
      <c r="C3216" t="s">
        <v>78</v>
      </c>
      <c r="D3216" t="s">
        <v>49</v>
      </c>
      <c r="E3216" t="s">
        <v>58</v>
      </c>
      <c r="F3216">
        <v>1</v>
      </c>
      <c r="G3216">
        <v>0</v>
      </c>
      <c r="H3216">
        <v>15000</v>
      </c>
      <c r="I3216">
        <v>3500</v>
      </c>
      <c r="J3216" t="s">
        <v>51</v>
      </c>
      <c r="K3216" t="s">
        <v>27</v>
      </c>
      <c r="L3216">
        <v>15000</v>
      </c>
      <c r="M3216">
        <v>23.333333333333329</v>
      </c>
      <c r="N3216" t="s">
        <v>8</v>
      </c>
      <c r="O3216" t="s">
        <v>82</v>
      </c>
      <c r="P3216" t="s">
        <v>83</v>
      </c>
      <c r="Q3216" t="s">
        <v>74</v>
      </c>
      <c r="R3216" t="s">
        <v>75</v>
      </c>
      <c r="S3216" t="s">
        <v>75</v>
      </c>
      <c r="T3216" t="s">
        <v>84</v>
      </c>
      <c r="U3216" t="s">
        <v>34</v>
      </c>
      <c r="V3216">
        <v>3500</v>
      </c>
    </row>
    <row r="3217" spans="1:22" x14ac:dyDescent="0.3">
      <c r="A3217" t="s">
        <v>4687</v>
      </c>
      <c r="B3217" s="2">
        <v>45920</v>
      </c>
      <c r="C3217" t="s">
        <v>2840</v>
      </c>
      <c r="D3217" t="s">
        <v>24</v>
      </c>
      <c r="E3217" t="s">
        <v>87</v>
      </c>
      <c r="F3217">
        <v>3</v>
      </c>
      <c r="G3217">
        <v>0</v>
      </c>
      <c r="H3217">
        <v>1050</v>
      </c>
      <c r="I3217">
        <v>360</v>
      </c>
      <c r="J3217" t="s">
        <v>65</v>
      </c>
      <c r="K3217" t="s">
        <v>27</v>
      </c>
      <c r="L3217">
        <v>350</v>
      </c>
      <c r="M3217">
        <v>34.285714285714278</v>
      </c>
      <c r="N3217" t="s">
        <v>8</v>
      </c>
      <c r="O3217" t="s">
        <v>1630</v>
      </c>
      <c r="P3217" t="s">
        <v>73</v>
      </c>
      <c r="Q3217" t="s">
        <v>42</v>
      </c>
      <c r="R3217" t="s">
        <v>110</v>
      </c>
      <c r="S3217" t="s">
        <v>111</v>
      </c>
      <c r="T3217" t="s">
        <v>2841</v>
      </c>
      <c r="U3217" t="s">
        <v>34</v>
      </c>
      <c r="V3217">
        <v>120</v>
      </c>
    </row>
    <row r="3218" spans="1:22" x14ac:dyDescent="0.3">
      <c r="A3218" t="s">
        <v>4688</v>
      </c>
      <c r="B3218" s="2">
        <v>45893</v>
      </c>
      <c r="C3218" t="s">
        <v>1334</v>
      </c>
      <c r="D3218" t="s">
        <v>49</v>
      </c>
      <c r="E3218" t="s">
        <v>50</v>
      </c>
      <c r="F3218">
        <v>2</v>
      </c>
      <c r="G3218">
        <v>0.1</v>
      </c>
      <c r="H3218">
        <v>23400</v>
      </c>
      <c r="I3218">
        <v>4505.5600000000004</v>
      </c>
      <c r="J3218" t="s">
        <v>51</v>
      </c>
      <c r="K3218" t="s">
        <v>40</v>
      </c>
      <c r="L3218">
        <v>11700</v>
      </c>
      <c r="M3218">
        <v>19.254529914529918</v>
      </c>
      <c r="N3218" t="s">
        <v>8</v>
      </c>
      <c r="O3218" t="s">
        <v>1335</v>
      </c>
      <c r="P3218" t="s">
        <v>29</v>
      </c>
      <c r="Q3218" t="s">
        <v>131</v>
      </c>
      <c r="R3218" t="s">
        <v>289</v>
      </c>
      <c r="S3218" t="s">
        <v>290</v>
      </c>
      <c r="T3218" t="s">
        <v>1336</v>
      </c>
      <c r="U3218" t="s">
        <v>46</v>
      </c>
      <c r="V3218">
        <v>2252.7800000000002</v>
      </c>
    </row>
    <row r="3219" spans="1:22" x14ac:dyDescent="0.3">
      <c r="A3219" t="s">
        <v>4689</v>
      </c>
      <c r="B3219" s="2">
        <v>46243</v>
      </c>
      <c r="C3219" t="s">
        <v>850</v>
      </c>
      <c r="D3219" t="s">
        <v>37</v>
      </c>
      <c r="E3219" t="s">
        <v>38</v>
      </c>
      <c r="F3219">
        <v>2</v>
      </c>
      <c r="G3219">
        <v>0.05</v>
      </c>
      <c r="H3219">
        <v>3420</v>
      </c>
      <c r="I3219">
        <v>1190.9100000000001</v>
      </c>
      <c r="J3219" t="s">
        <v>39</v>
      </c>
      <c r="K3219" t="s">
        <v>40</v>
      </c>
      <c r="L3219">
        <v>1710</v>
      </c>
      <c r="M3219">
        <v>34.821929824561401</v>
      </c>
      <c r="N3219" t="s">
        <v>8</v>
      </c>
      <c r="O3219" t="s">
        <v>851</v>
      </c>
      <c r="P3219" t="s">
        <v>29</v>
      </c>
      <c r="Q3219" t="s">
        <v>30</v>
      </c>
      <c r="R3219" t="s">
        <v>60</v>
      </c>
      <c r="S3219" t="s">
        <v>61</v>
      </c>
      <c r="T3219" t="s">
        <v>852</v>
      </c>
      <c r="U3219" t="s">
        <v>46</v>
      </c>
      <c r="V3219">
        <v>595.45500000000004</v>
      </c>
    </row>
    <row r="3220" spans="1:22" x14ac:dyDescent="0.3">
      <c r="A3220" t="s">
        <v>4690</v>
      </c>
      <c r="B3220" s="2">
        <v>46089</v>
      </c>
      <c r="C3220" t="s">
        <v>86</v>
      </c>
      <c r="D3220" t="s">
        <v>49</v>
      </c>
      <c r="E3220" t="s">
        <v>119</v>
      </c>
      <c r="F3220">
        <v>10</v>
      </c>
      <c r="G3220">
        <v>0.15</v>
      </c>
      <c r="H3220">
        <v>76500</v>
      </c>
      <c r="I3220">
        <v>15190.17</v>
      </c>
      <c r="J3220" t="s">
        <v>39</v>
      </c>
      <c r="K3220" t="s">
        <v>40</v>
      </c>
      <c r="L3220">
        <v>7650</v>
      </c>
      <c r="M3220">
        <v>19.856431372549022</v>
      </c>
      <c r="N3220" t="s">
        <v>8</v>
      </c>
      <c r="O3220" t="s">
        <v>88</v>
      </c>
      <c r="P3220" t="s">
        <v>29</v>
      </c>
      <c r="Q3220" t="s">
        <v>42</v>
      </c>
      <c r="R3220" t="s">
        <v>43</v>
      </c>
      <c r="S3220" t="s">
        <v>44</v>
      </c>
      <c r="T3220" t="s">
        <v>89</v>
      </c>
      <c r="U3220" t="s">
        <v>34</v>
      </c>
      <c r="V3220">
        <v>1519.0170000000001</v>
      </c>
    </row>
    <row r="3221" spans="1:22" x14ac:dyDescent="0.3">
      <c r="A3221" t="s">
        <v>4691</v>
      </c>
      <c r="B3221" s="2">
        <v>46122</v>
      </c>
      <c r="C3221" t="s">
        <v>2112</v>
      </c>
      <c r="D3221" t="s">
        <v>37</v>
      </c>
      <c r="E3221" t="s">
        <v>38</v>
      </c>
      <c r="F3221">
        <v>1</v>
      </c>
      <c r="G3221">
        <v>0</v>
      </c>
      <c r="H3221">
        <v>1800</v>
      </c>
      <c r="I3221">
        <v>650</v>
      </c>
      <c r="J3221" t="s">
        <v>26</v>
      </c>
      <c r="K3221" t="s">
        <v>40</v>
      </c>
      <c r="L3221">
        <v>1800</v>
      </c>
      <c r="M3221">
        <v>36.111111111111107</v>
      </c>
      <c r="N3221" t="s">
        <v>8</v>
      </c>
      <c r="O3221" t="s">
        <v>2113</v>
      </c>
      <c r="P3221" t="s">
        <v>29</v>
      </c>
      <c r="Q3221" t="s">
        <v>42</v>
      </c>
      <c r="R3221" t="s">
        <v>214</v>
      </c>
      <c r="S3221" t="s">
        <v>111</v>
      </c>
      <c r="T3221" t="s">
        <v>2114</v>
      </c>
      <c r="U3221" t="s">
        <v>34</v>
      </c>
      <c r="V3221">
        <v>650</v>
      </c>
    </row>
    <row r="3222" spans="1:22" x14ac:dyDescent="0.3">
      <c r="A3222" t="s">
        <v>4692</v>
      </c>
      <c r="B3222" s="2">
        <v>46226</v>
      </c>
      <c r="C3222" t="s">
        <v>1700</v>
      </c>
      <c r="D3222" t="s">
        <v>49</v>
      </c>
      <c r="E3222" t="s">
        <v>50</v>
      </c>
      <c r="F3222">
        <v>3</v>
      </c>
      <c r="G3222">
        <v>0.2</v>
      </c>
      <c r="H3222">
        <v>31200</v>
      </c>
      <c r="I3222">
        <v>5602.58</v>
      </c>
      <c r="J3222" t="s">
        <v>26</v>
      </c>
      <c r="K3222" t="s">
        <v>27</v>
      </c>
      <c r="L3222">
        <v>10400</v>
      </c>
      <c r="M3222">
        <v>17.956987179487179</v>
      </c>
      <c r="N3222" t="s">
        <v>8</v>
      </c>
      <c r="O3222" t="s">
        <v>1009</v>
      </c>
      <c r="P3222" t="s">
        <v>73</v>
      </c>
      <c r="Q3222" t="s">
        <v>30</v>
      </c>
      <c r="R3222" t="s">
        <v>53</v>
      </c>
      <c r="S3222" t="s">
        <v>54</v>
      </c>
      <c r="T3222" t="s">
        <v>172</v>
      </c>
      <c r="U3222" t="s">
        <v>34</v>
      </c>
      <c r="V3222">
        <v>1867.5266666666671</v>
      </c>
    </row>
    <row r="3223" spans="1:22" x14ac:dyDescent="0.3">
      <c r="A3223" t="s">
        <v>4693</v>
      </c>
      <c r="B3223" s="2">
        <v>46185</v>
      </c>
      <c r="C3223" t="s">
        <v>140</v>
      </c>
      <c r="D3223" t="s">
        <v>70</v>
      </c>
      <c r="E3223" t="s">
        <v>165</v>
      </c>
      <c r="F3223">
        <v>1</v>
      </c>
      <c r="G3223">
        <v>0.05</v>
      </c>
      <c r="H3223">
        <v>2375</v>
      </c>
      <c r="I3223">
        <v>731.3</v>
      </c>
      <c r="J3223" t="s">
        <v>51</v>
      </c>
      <c r="K3223" t="s">
        <v>40</v>
      </c>
      <c r="L3223">
        <v>2375</v>
      </c>
      <c r="M3223">
        <v>30.791578947368421</v>
      </c>
      <c r="N3223" t="s">
        <v>8</v>
      </c>
      <c r="O3223" t="s">
        <v>141</v>
      </c>
      <c r="P3223" t="s">
        <v>29</v>
      </c>
      <c r="Q3223" t="s">
        <v>30</v>
      </c>
      <c r="R3223" t="s">
        <v>53</v>
      </c>
      <c r="S3223" t="s">
        <v>54</v>
      </c>
      <c r="T3223" t="s">
        <v>142</v>
      </c>
      <c r="U3223" t="s">
        <v>100</v>
      </c>
      <c r="V3223">
        <v>731.3</v>
      </c>
    </row>
    <row r="3224" spans="1:22" x14ac:dyDescent="0.3">
      <c r="A3224" t="s">
        <v>4694</v>
      </c>
      <c r="B3224" s="2">
        <v>45966</v>
      </c>
      <c r="C3224" t="s">
        <v>732</v>
      </c>
      <c r="D3224" t="s">
        <v>37</v>
      </c>
      <c r="E3224" t="s">
        <v>170</v>
      </c>
      <c r="F3224">
        <v>1</v>
      </c>
      <c r="G3224">
        <v>0.1</v>
      </c>
      <c r="H3224">
        <v>1260</v>
      </c>
      <c r="I3224">
        <v>4.79</v>
      </c>
      <c r="J3224" t="s">
        <v>51</v>
      </c>
      <c r="K3224" t="s">
        <v>434</v>
      </c>
      <c r="L3224">
        <v>1260</v>
      </c>
      <c r="M3224">
        <v>0.38015873015873008</v>
      </c>
      <c r="N3224" t="s">
        <v>8</v>
      </c>
      <c r="O3224" t="s">
        <v>733</v>
      </c>
      <c r="P3224" t="s">
        <v>29</v>
      </c>
      <c r="Q3224" t="s">
        <v>131</v>
      </c>
      <c r="R3224" t="s">
        <v>449</v>
      </c>
      <c r="S3224" t="s">
        <v>450</v>
      </c>
      <c r="T3224" t="s">
        <v>734</v>
      </c>
      <c r="U3224" t="s">
        <v>34</v>
      </c>
      <c r="V3224">
        <v>4.79</v>
      </c>
    </row>
    <row r="3225" spans="1:22" x14ac:dyDescent="0.3">
      <c r="A3225" t="s">
        <v>4695</v>
      </c>
      <c r="B3225" s="2">
        <v>46156</v>
      </c>
      <c r="C3225" t="s">
        <v>348</v>
      </c>
      <c r="D3225" t="s">
        <v>49</v>
      </c>
      <c r="E3225" t="s">
        <v>50</v>
      </c>
      <c r="F3225">
        <v>2</v>
      </c>
      <c r="G3225">
        <v>0.2</v>
      </c>
      <c r="H3225">
        <v>20800</v>
      </c>
      <c r="I3225">
        <v>3579.64</v>
      </c>
      <c r="J3225" t="s">
        <v>39</v>
      </c>
      <c r="K3225" t="s">
        <v>27</v>
      </c>
      <c r="L3225">
        <v>10400</v>
      </c>
      <c r="M3225">
        <v>17.209807692307692</v>
      </c>
      <c r="N3225" t="s">
        <v>8</v>
      </c>
      <c r="O3225" t="s">
        <v>349</v>
      </c>
      <c r="P3225" t="s">
        <v>83</v>
      </c>
      <c r="Q3225" t="s">
        <v>30</v>
      </c>
      <c r="R3225" t="s">
        <v>31</v>
      </c>
      <c r="S3225" t="s">
        <v>32</v>
      </c>
      <c r="T3225" t="s">
        <v>307</v>
      </c>
      <c r="U3225" t="s">
        <v>100</v>
      </c>
      <c r="V3225">
        <v>1789.82</v>
      </c>
    </row>
    <row r="3226" spans="1:22" x14ac:dyDescent="0.3">
      <c r="A3226" t="s">
        <v>4696</v>
      </c>
      <c r="B3226" s="2">
        <v>46005</v>
      </c>
      <c r="C3226" t="s">
        <v>1433</v>
      </c>
      <c r="D3226" t="s">
        <v>37</v>
      </c>
      <c r="E3226" t="s">
        <v>310</v>
      </c>
      <c r="F3226">
        <v>3</v>
      </c>
      <c r="G3226">
        <v>0.1</v>
      </c>
      <c r="H3226">
        <v>5940</v>
      </c>
      <c r="I3226">
        <v>1690.15</v>
      </c>
      <c r="J3226" t="s">
        <v>51</v>
      </c>
      <c r="K3226" t="s">
        <v>40</v>
      </c>
      <c r="L3226">
        <v>1980</v>
      </c>
      <c r="M3226">
        <v>28.453703703703699</v>
      </c>
      <c r="N3226" t="s">
        <v>8</v>
      </c>
      <c r="O3226" t="s">
        <v>318</v>
      </c>
      <c r="P3226" t="s">
        <v>73</v>
      </c>
      <c r="Q3226" t="s">
        <v>30</v>
      </c>
      <c r="R3226" t="s">
        <v>53</v>
      </c>
      <c r="S3226" t="s">
        <v>54</v>
      </c>
      <c r="T3226" t="s">
        <v>1434</v>
      </c>
      <c r="U3226" t="s">
        <v>34</v>
      </c>
      <c r="V3226">
        <v>563.38333333333333</v>
      </c>
    </row>
    <row r="3227" spans="1:22" x14ac:dyDescent="0.3">
      <c r="A3227" t="s">
        <v>4697</v>
      </c>
      <c r="B3227" s="2">
        <v>46000</v>
      </c>
      <c r="C3227" t="s">
        <v>1734</v>
      </c>
      <c r="D3227" t="s">
        <v>70</v>
      </c>
      <c r="E3227" t="s">
        <v>129</v>
      </c>
      <c r="F3227">
        <v>2</v>
      </c>
      <c r="G3227">
        <v>0.15</v>
      </c>
      <c r="H3227">
        <v>93500</v>
      </c>
      <c r="I3227">
        <v>-24045.27</v>
      </c>
      <c r="J3227" t="s">
        <v>26</v>
      </c>
      <c r="K3227" t="s">
        <v>80</v>
      </c>
      <c r="L3227">
        <v>46750</v>
      </c>
      <c r="M3227">
        <v>-25.71686631016043</v>
      </c>
      <c r="N3227" t="s">
        <v>81</v>
      </c>
      <c r="O3227" t="s">
        <v>1735</v>
      </c>
      <c r="P3227" t="s">
        <v>29</v>
      </c>
      <c r="Q3227" t="s">
        <v>74</v>
      </c>
      <c r="R3227" t="s">
        <v>237</v>
      </c>
      <c r="S3227" t="s">
        <v>238</v>
      </c>
      <c r="T3227" t="s">
        <v>1736</v>
      </c>
      <c r="U3227" t="s">
        <v>34</v>
      </c>
      <c r="V3227">
        <v>-12022.635</v>
      </c>
    </row>
    <row r="3228" spans="1:22" x14ac:dyDescent="0.3">
      <c r="A3228" t="s">
        <v>4698</v>
      </c>
      <c r="B3228" s="2">
        <v>46142</v>
      </c>
      <c r="C3228" t="s">
        <v>321</v>
      </c>
      <c r="D3228" t="s">
        <v>70</v>
      </c>
      <c r="E3228" t="s">
        <v>165</v>
      </c>
      <c r="F3228">
        <v>5</v>
      </c>
      <c r="G3228">
        <v>0.15</v>
      </c>
      <c r="H3228">
        <v>10625</v>
      </c>
      <c r="I3228">
        <v>2864.93</v>
      </c>
      <c r="J3228" t="s">
        <v>51</v>
      </c>
      <c r="K3228" t="s">
        <v>40</v>
      </c>
      <c r="L3228">
        <v>2125</v>
      </c>
      <c r="M3228">
        <v>26.964047058823521</v>
      </c>
      <c r="N3228" t="s">
        <v>8</v>
      </c>
      <c r="O3228" t="s">
        <v>322</v>
      </c>
      <c r="P3228" t="s">
        <v>29</v>
      </c>
      <c r="Q3228" t="s">
        <v>30</v>
      </c>
      <c r="R3228" t="s">
        <v>31</v>
      </c>
      <c r="S3228" t="s">
        <v>32</v>
      </c>
      <c r="T3228" t="s">
        <v>323</v>
      </c>
      <c r="U3228" t="s">
        <v>34</v>
      </c>
      <c r="V3228">
        <v>572.98599999999999</v>
      </c>
    </row>
    <row r="3229" spans="1:22" x14ac:dyDescent="0.3">
      <c r="A3229" t="s">
        <v>4699</v>
      </c>
      <c r="B3229" s="2">
        <v>46011</v>
      </c>
      <c r="C3229" t="s">
        <v>2483</v>
      </c>
      <c r="D3229" t="s">
        <v>70</v>
      </c>
      <c r="E3229" t="s">
        <v>165</v>
      </c>
      <c r="F3229">
        <v>2</v>
      </c>
      <c r="G3229">
        <v>0</v>
      </c>
      <c r="H3229">
        <v>5000</v>
      </c>
      <c r="I3229">
        <v>1600</v>
      </c>
      <c r="J3229" t="s">
        <v>51</v>
      </c>
      <c r="K3229" t="s">
        <v>27</v>
      </c>
      <c r="L3229">
        <v>2500</v>
      </c>
      <c r="M3229">
        <v>32</v>
      </c>
      <c r="N3229" t="s">
        <v>8</v>
      </c>
      <c r="O3229" t="s">
        <v>1786</v>
      </c>
      <c r="P3229" t="s">
        <v>73</v>
      </c>
      <c r="Q3229" t="s">
        <v>74</v>
      </c>
      <c r="R3229" t="s">
        <v>237</v>
      </c>
      <c r="S3229" t="s">
        <v>238</v>
      </c>
      <c r="T3229" t="s">
        <v>2484</v>
      </c>
      <c r="U3229" t="s">
        <v>46</v>
      </c>
      <c r="V3229">
        <v>800</v>
      </c>
    </row>
    <row r="3230" spans="1:22" x14ac:dyDescent="0.3">
      <c r="A3230" t="s">
        <v>4700</v>
      </c>
      <c r="B3230" s="2">
        <v>46257</v>
      </c>
      <c r="C3230" t="s">
        <v>748</v>
      </c>
      <c r="D3230" t="s">
        <v>70</v>
      </c>
      <c r="E3230" t="s">
        <v>71</v>
      </c>
      <c r="F3230">
        <v>4</v>
      </c>
      <c r="G3230">
        <v>0.2</v>
      </c>
      <c r="H3230">
        <v>57600</v>
      </c>
      <c r="I3230">
        <v>3478.61</v>
      </c>
      <c r="J3230" t="s">
        <v>51</v>
      </c>
      <c r="K3230" t="s">
        <v>40</v>
      </c>
      <c r="L3230">
        <v>14400</v>
      </c>
      <c r="M3230">
        <v>6.0392534722222226</v>
      </c>
      <c r="N3230" t="s">
        <v>8</v>
      </c>
      <c r="O3230" t="s">
        <v>749</v>
      </c>
      <c r="P3230" t="s">
        <v>29</v>
      </c>
      <c r="Q3230" t="s">
        <v>30</v>
      </c>
      <c r="R3230" t="s">
        <v>60</v>
      </c>
      <c r="S3230" t="s">
        <v>61</v>
      </c>
      <c r="T3230" t="s">
        <v>750</v>
      </c>
      <c r="U3230" t="s">
        <v>34</v>
      </c>
      <c r="V3230">
        <v>869.65250000000003</v>
      </c>
    </row>
    <row r="3231" spans="1:22" x14ac:dyDescent="0.3">
      <c r="A3231" t="s">
        <v>4701</v>
      </c>
      <c r="B3231" s="2">
        <v>45839</v>
      </c>
      <c r="C3231" t="s">
        <v>473</v>
      </c>
      <c r="D3231" t="s">
        <v>24</v>
      </c>
      <c r="E3231" t="s">
        <v>87</v>
      </c>
      <c r="F3231">
        <v>4</v>
      </c>
      <c r="G3231">
        <v>0</v>
      </c>
      <c r="H3231">
        <v>1400</v>
      </c>
      <c r="I3231">
        <v>-51.18</v>
      </c>
      <c r="J3231" t="s">
        <v>51</v>
      </c>
      <c r="K3231" t="s">
        <v>434</v>
      </c>
      <c r="L3231">
        <v>350</v>
      </c>
      <c r="M3231">
        <v>-3.6557142857142861</v>
      </c>
      <c r="N3231" t="s">
        <v>81</v>
      </c>
      <c r="O3231" t="s">
        <v>474</v>
      </c>
      <c r="P3231" t="s">
        <v>73</v>
      </c>
      <c r="Q3231" t="s">
        <v>131</v>
      </c>
      <c r="R3231" t="s">
        <v>289</v>
      </c>
      <c r="S3231" t="s">
        <v>290</v>
      </c>
      <c r="T3231" t="s">
        <v>475</v>
      </c>
      <c r="U3231" t="s">
        <v>46</v>
      </c>
      <c r="V3231">
        <v>-12.795</v>
      </c>
    </row>
    <row r="3232" spans="1:22" x14ac:dyDescent="0.3">
      <c r="A3232" t="s">
        <v>4702</v>
      </c>
      <c r="B3232" s="2">
        <v>46082</v>
      </c>
      <c r="C3232" t="s">
        <v>1433</v>
      </c>
      <c r="D3232" t="s">
        <v>70</v>
      </c>
      <c r="E3232" t="s">
        <v>108</v>
      </c>
      <c r="F3232">
        <v>1</v>
      </c>
      <c r="G3232">
        <v>0.15</v>
      </c>
      <c r="H3232">
        <v>3825</v>
      </c>
      <c r="I3232">
        <v>1155</v>
      </c>
      <c r="J3232" t="s">
        <v>26</v>
      </c>
      <c r="K3232" t="s">
        <v>40</v>
      </c>
      <c r="L3232">
        <v>3825</v>
      </c>
      <c r="M3232">
        <v>30.196078431372548</v>
      </c>
      <c r="N3232" t="s">
        <v>8</v>
      </c>
      <c r="O3232" t="s">
        <v>318</v>
      </c>
      <c r="P3232" t="s">
        <v>73</v>
      </c>
      <c r="Q3232" t="s">
        <v>30</v>
      </c>
      <c r="R3232" t="s">
        <v>53</v>
      </c>
      <c r="S3232" t="s">
        <v>54</v>
      </c>
      <c r="T3232" t="s">
        <v>1434</v>
      </c>
      <c r="U3232" t="s">
        <v>34</v>
      </c>
      <c r="V3232">
        <v>1155</v>
      </c>
    </row>
    <row r="3233" spans="1:22" x14ac:dyDescent="0.3">
      <c r="A3233" t="s">
        <v>4703</v>
      </c>
      <c r="B3233" s="2">
        <v>46027</v>
      </c>
      <c r="C3233" t="s">
        <v>1091</v>
      </c>
      <c r="D3233" t="s">
        <v>24</v>
      </c>
      <c r="E3233" t="s">
        <v>25</v>
      </c>
      <c r="F3233">
        <v>2</v>
      </c>
      <c r="G3233">
        <v>0</v>
      </c>
      <c r="H3233">
        <v>28000</v>
      </c>
      <c r="I3233">
        <v>5600</v>
      </c>
      <c r="J3233" t="s">
        <v>65</v>
      </c>
      <c r="K3233" t="s">
        <v>27</v>
      </c>
      <c r="L3233">
        <v>14000</v>
      </c>
      <c r="M3233">
        <v>20</v>
      </c>
      <c r="N3233" t="s">
        <v>8</v>
      </c>
      <c r="O3233" t="s">
        <v>1018</v>
      </c>
      <c r="P3233" t="s">
        <v>83</v>
      </c>
      <c r="Q3233" t="s">
        <v>30</v>
      </c>
      <c r="R3233" t="s">
        <v>31</v>
      </c>
      <c r="S3233" t="s">
        <v>32</v>
      </c>
      <c r="T3233" t="s">
        <v>1092</v>
      </c>
      <c r="U3233" t="s">
        <v>105</v>
      </c>
      <c r="V3233">
        <v>2800</v>
      </c>
    </row>
    <row r="3234" spans="1:22" x14ac:dyDescent="0.3">
      <c r="A3234" t="s">
        <v>4704</v>
      </c>
      <c r="B3234" s="2">
        <v>46151</v>
      </c>
      <c r="C3234" t="s">
        <v>2720</v>
      </c>
      <c r="D3234" t="s">
        <v>24</v>
      </c>
      <c r="E3234" t="s">
        <v>87</v>
      </c>
      <c r="F3234">
        <v>3</v>
      </c>
      <c r="G3234">
        <v>0</v>
      </c>
      <c r="H3234">
        <v>1050</v>
      </c>
      <c r="I3234">
        <v>-404.37</v>
      </c>
      <c r="J3234" t="s">
        <v>51</v>
      </c>
      <c r="K3234" t="s">
        <v>434</v>
      </c>
      <c r="L3234">
        <v>350</v>
      </c>
      <c r="M3234">
        <v>-38.511428571428567</v>
      </c>
      <c r="N3234" t="s">
        <v>81</v>
      </c>
      <c r="O3234" t="s">
        <v>52</v>
      </c>
      <c r="P3234" t="s">
        <v>73</v>
      </c>
      <c r="Q3234" t="s">
        <v>42</v>
      </c>
      <c r="R3234" t="s">
        <v>110</v>
      </c>
      <c r="S3234" t="s">
        <v>111</v>
      </c>
      <c r="T3234" t="s">
        <v>2721</v>
      </c>
      <c r="U3234" t="s">
        <v>46</v>
      </c>
      <c r="V3234">
        <v>-134.79</v>
      </c>
    </row>
    <row r="3235" spans="1:22" x14ac:dyDescent="0.3">
      <c r="A3235" t="s">
        <v>4705</v>
      </c>
      <c r="B3235" s="2">
        <v>45983</v>
      </c>
      <c r="C3235" t="s">
        <v>469</v>
      </c>
      <c r="D3235" t="s">
        <v>70</v>
      </c>
      <c r="E3235" t="s">
        <v>165</v>
      </c>
      <c r="F3235">
        <v>3</v>
      </c>
      <c r="G3235">
        <v>0.1</v>
      </c>
      <c r="H3235">
        <v>6750</v>
      </c>
      <c r="I3235">
        <v>-1825.29</v>
      </c>
      <c r="J3235" t="s">
        <v>39</v>
      </c>
      <c r="K3235" t="s">
        <v>80</v>
      </c>
      <c r="L3235">
        <v>2250</v>
      </c>
      <c r="M3235">
        <v>-27.041333333333331</v>
      </c>
      <c r="N3235" t="s">
        <v>81</v>
      </c>
      <c r="O3235" t="s">
        <v>470</v>
      </c>
      <c r="P3235" t="s">
        <v>83</v>
      </c>
      <c r="Q3235" t="s">
        <v>30</v>
      </c>
      <c r="R3235" t="s">
        <v>31</v>
      </c>
      <c r="S3235" t="s">
        <v>32</v>
      </c>
      <c r="T3235" t="s">
        <v>471</v>
      </c>
      <c r="U3235" t="s">
        <v>100</v>
      </c>
      <c r="V3235">
        <v>-608.42999999999995</v>
      </c>
    </row>
    <row r="3236" spans="1:22" x14ac:dyDescent="0.3">
      <c r="A3236" t="s">
        <v>4706</v>
      </c>
      <c r="B3236" s="2">
        <v>45966</v>
      </c>
      <c r="C3236" t="s">
        <v>258</v>
      </c>
      <c r="D3236" t="s">
        <v>70</v>
      </c>
      <c r="E3236" t="s">
        <v>71</v>
      </c>
      <c r="F3236">
        <v>2</v>
      </c>
      <c r="G3236">
        <v>0</v>
      </c>
      <c r="H3236">
        <v>36000</v>
      </c>
      <c r="I3236">
        <v>7000</v>
      </c>
      <c r="J3236" t="s">
        <v>26</v>
      </c>
      <c r="K3236" t="s">
        <v>40</v>
      </c>
      <c r="L3236">
        <v>18000</v>
      </c>
      <c r="M3236">
        <v>19.44444444444445</v>
      </c>
      <c r="N3236" t="s">
        <v>8</v>
      </c>
      <c r="O3236" t="s">
        <v>259</v>
      </c>
      <c r="P3236" t="s">
        <v>73</v>
      </c>
      <c r="Q3236" t="s">
        <v>30</v>
      </c>
      <c r="R3236" t="s">
        <v>60</v>
      </c>
      <c r="S3236" t="s">
        <v>61</v>
      </c>
      <c r="T3236" t="s">
        <v>260</v>
      </c>
      <c r="U3236" t="s">
        <v>105</v>
      </c>
      <c r="V3236">
        <v>3500</v>
      </c>
    </row>
    <row r="3237" spans="1:22" x14ac:dyDescent="0.3">
      <c r="A3237" t="s">
        <v>4707</v>
      </c>
      <c r="B3237" s="2">
        <v>46248</v>
      </c>
      <c r="C3237" t="s">
        <v>2145</v>
      </c>
      <c r="D3237" t="s">
        <v>70</v>
      </c>
      <c r="E3237" t="s">
        <v>165</v>
      </c>
      <c r="F3237">
        <v>3</v>
      </c>
      <c r="G3237">
        <v>0.1</v>
      </c>
      <c r="H3237">
        <v>6750</v>
      </c>
      <c r="I3237">
        <v>1992.5</v>
      </c>
      <c r="J3237" t="s">
        <v>51</v>
      </c>
      <c r="K3237" t="s">
        <v>27</v>
      </c>
      <c r="L3237">
        <v>2250</v>
      </c>
      <c r="M3237">
        <v>29.518518518518519</v>
      </c>
      <c r="N3237" t="s">
        <v>8</v>
      </c>
      <c r="O3237" t="s">
        <v>302</v>
      </c>
      <c r="P3237" t="s">
        <v>29</v>
      </c>
      <c r="Q3237" t="s">
        <v>30</v>
      </c>
      <c r="R3237" t="s">
        <v>98</v>
      </c>
      <c r="S3237" t="s">
        <v>54</v>
      </c>
      <c r="T3237" t="s">
        <v>601</v>
      </c>
      <c r="U3237" t="s">
        <v>46</v>
      </c>
      <c r="V3237">
        <v>664.16666666666663</v>
      </c>
    </row>
    <row r="3238" spans="1:22" x14ac:dyDescent="0.3">
      <c r="A3238" t="s">
        <v>4708</v>
      </c>
      <c r="B3238" s="2">
        <v>46258</v>
      </c>
      <c r="C3238" t="s">
        <v>1008</v>
      </c>
      <c r="D3238" t="s">
        <v>70</v>
      </c>
      <c r="E3238" t="s">
        <v>108</v>
      </c>
      <c r="F3238">
        <v>2</v>
      </c>
      <c r="G3238">
        <v>0.2</v>
      </c>
      <c r="H3238">
        <v>7200</v>
      </c>
      <c r="I3238">
        <v>-2314.0700000000002</v>
      </c>
      <c r="J3238" t="s">
        <v>51</v>
      </c>
      <c r="K3238" t="s">
        <v>80</v>
      </c>
      <c r="L3238">
        <v>3600</v>
      </c>
      <c r="M3238">
        <v>-32.139861111111109</v>
      </c>
      <c r="N3238" t="s">
        <v>81</v>
      </c>
      <c r="O3238" t="s">
        <v>1009</v>
      </c>
      <c r="P3238" t="s">
        <v>83</v>
      </c>
      <c r="Q3238" t="s">
        <v>42</v>
      </c>
      <c r="R3238" t="s">
        <v>214</v>
      </c>
      <c r="S3238" t="s">
        <v>111</v>
      </c>
      <c r="T3238" t="s">
        <v>848</v>
      </c>
      <c r="U3238" t="s">
        <v>100</v>
      </c>
      <c r="V3238">
        <v>-1157.0350000000001</v>
      </c>
    </row>
    <row r="3239" spans="1:22" x14ac:dyDescent="0.3">
      <c r="A3239" t="s">
        <v>4709</v>
      </c>
      <c r="B3239" s="2">
        <v>46031</v>
      </c>
      <c r="C3239" t="s">
        <v>559</v>
      </c>
      <c r="D3239" t="s">
        <v>49</v>
      </c>
      <c r="E3239" t="s">
        <v>58</v>
      </c>
      <c r="F3239">
        <v>2</v>
      </c>
      <c r="G3239">
        <v>0</v>
      </c>
      <c r="H3239">
        <v>30000</v>
      </c>
      <c r="I3239">
        <v>-1726.86</v>
      </c>
      <c r="J3239" t="s">
        <v>39</v>
      </c>
      <c r="K3239" t="s">
        <v>80</v>
      </c>
      <c r="L3239">
        <v>15000</v>
      </c>
      <c r="M3239">
        <v>-5.7561999999999998</v>
      </c>
      <c r="N3239" t="s">
        <v>81</v>
      </c>
      <c r="O3239" t="s">
        <v>478</v>
      </c>
      <c r="P3239" t="s">
        <v>29</v>
      </c>
      <c r="Q3239" t="s">
        <v>30</v>
      </c>
      <c r="R3239" t="s">
        <v>53</v>
      </c>
      <c r="S3239" t="s">
        <v>54</v>
      </c>
      <c r="T3239" t="s">
        <v>560</v>
      </c>
      <c r="U3239" t="s">
        <v>34</v>
      </c>
      <c r="V3239">
        <v>-863.43</v>
      </c>
    </row>
    <row r="3240" spans="1:22" x14ac:dyDescent="0.3">
      <c r="A3240" t="s">
        <v>4710</v>
      </c>
      <c r="B3240" s="2">
        <v>46027</v>
      </c>
      <c r="C3240" t="s">
        <v>426</v>
      </c>
      <c r="D3240" t="s">
        <v>37</v>
      </c>
      <c r="E3240" t="s">
        <v>190</v>
      </c>
      <c r="F3240">
        <v>6</v>
      </c>
      <c r="G3240">
        <v>0</v>
      </c>
      <c r="H3240">
        <v>25200</v>
      </c>
      <c r="I3240">
        <v>343.54</v>
      </c>
      <c r="J3240" t="s">
        <v>65</v>
      </c>
      <c r="K3240" t="s">
        <v>80</v>
      </c>
      <c r="L3240">
        <v>4200</v>
      </c>
      <c r="M3240">
        <v>1.3632539682539679</v>
      </c>
      <c r="N3240" t="s">
        <v>8</v>
      </c>
      <c r="O3240" t="s">
        <v>427</v>
      </c>
      <c r="P3240" t="s">
        <v>73</v>
      </c>
      <c r="Q3240" t="s">
        <v>30</v>
      </c>
      <c r="R3240" t="s">
        <v>60</v>
      </c>
      <c r="S3240" t="s">
        <v>61</v>
      </c>
      <c r="T3240" t="s">
        <v>428</v>
      </c>
      <c r="U3240" t="s">
        <v>34</v>
      </c>
      <c r="V3240">
        <v>57.256666666666668</v>
      </c>
    </row>
    <row r="3241" spans="1:22" x14ac:dyDescent="0.3">
      <c r="A3241" t="s">
        <v>4711</v>
      </c>
      <c r="B3241" s="2">
        <v>45895</v>
      </c>
      <c r="C3241" t="s">
        <v>710</v>
      </c>
      <c r="D3241" t="s">
        <v>49</v>
      </c>
      <c r="E3241" t="s">
        <v>119</v>
      </c>
      <c r="F3241">
        <v>3</v>
      </c>
      <c r="G3241">
        <v>0.1</v>
      </c>
      <c r="H3241">
        <v>24300</v>
      </c>
      <c r="I3241">
        <v>-14242.28</v>
      </c>
      <c r="J3241" t="s">
        <v>65</v>
      </c>
      <c r="K3241" t="s">
        <v>80</v>
      </c>
      <c r="L3241">
        <v>8100</v>
      </c>
      <c r="M3241">
        <v>-58.610205761316877</v>
      </c>
      <c r="N3241" t="s">
        <v>81</v>
      </c>
      <c r="O3241" t="s">
        <v>711</v>
      </c>
      <c r="P3241" t="s">
        <v>29</v>
      </c>
      <c r="Q3241" t="s">
        <v>30</v>
      </c>
      <c r="R3241" t="s">
        <v>53</v>
      </c>
      <c r="S3241" t="s">
        <v>54</v>
      </c>
      <c r="T3241" t="s">
        <v>712</v>
      </c>
      <c r="U3241" t="s">
        <v>34</v>
      </c>
      <c r="V3241">
        <v>-4747.4266666666672</v>
      </c>
    </row>
    <row r="3242" spans="1:22" x14ac:dyDescent="0.3">
      <c r="A3242" t="s">
        <v>4712</v>
      </c>
      <c r="B3242" s="2">
        <v>46054</v>
      </c>
      <c r="C3242" t="s">
        <v>617</v>
      </c>
      <c r="D3242" t="s">
        <v>70</v>
      </c>
      <c r="E3242" t="s">
        <v>108</v>
      </c>
      <c r="F3242">
        <v>1</v>
      </c>
      <c r="G3242">
        <v>0.3</v>
      </c>
      <c r="H3242">
        <v>3150</v>
      </c>
      <c r="I3242">
        <v>875.71</v>
      </c>
      <c r="J3242" t="s">
        <v>65</v>
      </c>
      <c r="K3242" t="s">
        <v>40</v>
      </c>
      <c r="L3242">
        <v>3150</v>
      </c>
      <c r="M3242">
        <v>27.800317460317469</v>
      </c>
      <c r="N3242" t="s">
        <v>8</v>
      </c>
      <c r="O3242" t="s">
        <v>618</v>
      </c>
      <c r="P3242" t="s">
        <v>83</v>
      </c>
      <c r="Q3242" t="s">
        <v>30</v>
      </c>
      <c r="R3242" t="s">
        <v>98</v>
      </c>
      <c r="S3242" t="s">
        <v>54</v>
      </c>
      <c r="T3242" t="s">
        <v>619</v>
      </c>
      <c r="U3242" t="s">
        <v>100</v>
      </c>
      <c r="V3242">
        <v>875.71</v>
      </c>
    </row>
    <row r="3243" spans="1:22" x14ac:dyDescent="0.3">
      <c r="A3243" t="s">
        <v>4713</v>
      </c>
      <c r="B3243" s="2">
        <v>46182</v>
      </c>
      <c r="C3243" t="s">
        <v>1417</v>
      </c>
      <c r="D3243" t="s">
        <v>70</v>
      </c>
      <c r="E3243" t="s">
        <v>108</v>
      </c>
      <c r="F3243">
        <v>1</v>
      </c>
      <c r="G3243">
        <v>0.1</v>
      </c>
      <c r="H3243">
        <v>4050</v>
      </c>
      <c r="I3243">
        <v>1216.0899999999999</v>
      </c>
      <c r="J3243" t="s">
        <v>39</v>
      </c>
      <c r="K3243" t="s">
        <v>40</v>
      </c>
      <c r="L3243">
        <v>4050</v>
      </c>
      <c r="M3243">
        <v>30.026913580246909</v>
      </c>
      <c r="N3243" t="s">
        <v>8</v>
      </c>
      <c r="O3243" t="s">
        <v>448</v>
      </c>
      <c r="P3243" t="s">
        <v>83</v>
      </c>
      <c r="Q3243" t="s">
        <v>131</v>
      </c>
      <c r="R3243" t="s">
        <v>449</v>
      </c>
      <c r="S3243" t="s">
        <v>450</v>
      </c>
      <c r="T3243" t="s">
        <v>1418</v>
      </c>
      <c r="U3243" t="s">
        <v>34</v>
      </c>
      <c r="V3243">
        <v>1216.0899999999999</v>
      </c>
    </row>
    <row r="3244" spans="1:22" x14ac:dyDescent="0.3">
      <c r="A3244" t="s">
        <v>4714</v>
      </c>
      <c r="B3244" s="2">
        <v>46247</v>
      </c>
      <c r="C3244" t="s">
        <v>1934</v>
      </c>
      <c r="D3244" t="s">
        <v>24</v>
      </c>
      <c r="E3244" t="s">
        <v>242</v>
      </c>
      <c r="F3244">
        <v>1</v>
      </c>
      <c r="G3244">
        <v>0</v>
      </c>
      <c r="H3244">
        <v>450</v>
      </c>
      <c r="I3244">
        <v>110</v>
      </c>
      <c r="J3244" t="s">
        <v>39</v>
      </c>
      <c r="K3244" t="s">
        <v>27</v>
      </c>
      <c r="L3244">
        <v>450</v>
      </c>
      <c r="M3244">
        <v>24.444444444444439</v>
      </c>
      <c r="N3244" t="s">
        <v>8</v>
      </c>
      <c r="O3244" t="s">
        <v>975</v>
      </c>
      <c r="P3244" t="s">
        <v>73</v>
      </c>
      <c r="Q3244" t="s">
        <v>74</v>
      </c>
      <c r="R3244" t="s">
        <v>75</v>
      </c>
      <c r="S3244" t="s">
        <v>75</v>
      </c>
      <c r="T3244" t="s">
        <v>1425</v>
      </c>
      <c r="U3244" t="s">
        <v>46</v>
      </c>
      <c r="V3244">
        <v>110</v>
      </c>
    </row>
    <row r="3245" spans="1:22" x14ac:dyDescent="0.3">
      <c r="A3245" t="s">
        <v>4715</v>
      </c>
      <c r="B3245" s="2">
        <v>45951</v>
      </c>
      <c r="C3245" t="s">
        <v>1497</v>
      </c>
      <c r="D3245" t="s">
        <v>24</v>
      </c>
      <c r="E3245" t="s">
        <v>92</v>
      </c>
      <c r="F3245">
        <v>4</v>
      </c>
      <c r="G3245">
        <v>0.3</v>
      </c>
      <c r="H3245">
        <v>2520</v>
      </c>
      <c r="I3245">
        <v>371.26</v>
      </c>
      <c r="J3245" t="s">
        <v>65</v>
      </c>
      <c r="K3245" t="s">
        <v>40</v>
      </c>
      <c r="L3245">
        <v>630</v>
      </c>
      <c r="M3245">
        <v>14.732539682539681</v>
      </c>
      <c r="N3245" t="s">
        <v>8</v>
      </c>
      <c r="O3245" t="s">
        <v>88</v>
      </c>
      <c r="P3245" t="s">
        <v>73</v>
      </c>
      <c r="Q3245" t="s">
        <v>30</v>
      </c>
      <c r="R3245" t="s">
        <v>31</v>
      </c>
      <c r="S3245" t="s">
        <v>32</v>
      </c>
      <c r="T3245" t="s">
        <v>1498</v>
      </c>
      <c r="U3245" t="s">
        <v>46</v>
      </c>
      <c r="V3245">
        <v>92.814999999999998</v>
      </c>
    </row>
    <row r="3246" spans="1:22" x14ac:dyDescent="0.3">
      <c r="A3246" t="s">
        <v>4716</v>
      </c>
      <c r="B3246" s="2">
        <v>46134</v>
      </c>
      <c r="C3246" t="s">
        <v>313</v>
      </c>
      <c r="D3246" t="s">
        <v>49</v>
      </c>
      <c r="E3246" t="s">
        <v>58</v>
      </c>
      <c r="F3246">
        <v>3</v>
      </c>
      <c r="G3246">
        <v>0.1</v>
      </c>
      <c r="H3246">
        <v>40500</v>
      </c>
      <c r="I3246">
        <v>7376.92</v>
      </c>
      <c r="J3246" t="s">
        <v>26</v>
      </c>
      <c r="K3246" t="s">
        <v>40</v>
      </c>
      <c r="L3246">
        <v>13500</v>
      </c>
      <c r="M3246">
        <v>18.21461728395062</v>
      </c>
      <c r="N3246" t="s">
        <v>8</v>
      </c>
      <c r="O3246" t="s">
        <v>314</v>
      </c>
      <c r="P3246" t="s">
        <v>29</v>
      </c>
      <c r="Q3246" t="s">
        <v>30</v>
      </c>
      <c r="R3246" t="s">
        <v>98</v>
      </c>
      <c r="S3246" t="s">
        <v>54</v>
      </c>
      <c r="T3246" t="s">
        <v>315</v>
      </c>
      <c r="U3246" t="s">
        <v>100</v>
      </c>
      <c r="V3246">
        <v>2458.9733333333329</v>
      </c>
    </row>
    <row r="3247" spans="1:22" x14ac:dyDescent="0.3">
      <c r="A3247" t="s">
        <v>4717</v>
      </c>
      <c r="B3247" s="2">
        <v>46217</v>
      </c>
      <c r="C3247" t="s">
        <v>3196</v>
      </c>
      <c r="D3247" t="s">
        <v>24</v>
      </c>
      <c r="E3247" t="s">
        <v>25</v>
      </c>
      <c r="F3247">
        <v>3</v>
      </c>
      <c r="G3247">
        <v>0.3</v>
      </c>
      <c r="H3247">
        <v>29400</v>
      </c>
      <c r="I3247">
        <v>-21513.99</v>
      </c>
      <c r="J3247" t="s">
        <v>51</v>
      </c>
      <c r="K3247" t="s">
        <v>80</v>
      </c>
      <c r="L3247">
        <v>9800</v>
      </c>
      <c r="M3247">
        <v>-73.176836734693879</v>
      </c>
      <c r="N3247" t="s">
        <v>81</v>
      </c>
      <c r="O3247" t="s">
        <v>563</v>
      </c>
      <c r="P3247" t="s">
        <v>83</v>
      </c>
      <c r="Q3247" t="s">
        <v>131</v>
      </c>
      <c r="R3247" t="s">
        <v>200</v>
      </c>
      <c r="S3247" t="s">
        <v>201</v>
      </c>
      <c r="T3247" t="s">
        <v>3197</v>
      </c>
      <c r="U3247" t="s">
        <v>46</v>
      </c>
      <c r="V3247">
        <v>-7171.3300000000008</v>
      </c>
    </row>
    <row r="3248" spans="1:22" x14ac:dyDescent="0.3">
      <c r="A3248" t="s">
        <v>4718</v>
      </c>
      <c r="B3248" s="2">
        <v>46005</v>
      </c>
      <c r="C3248" t="s">
        <v>2101</v>
      </c>
      <c r="D3248" t="s">
        <v>49</v>
      </c>
      <c r="E3248" t="s">
        <v>79</v>
      </c>
      <c r="F3248">
        <v>4</v>
      </c>
      <c r="G3248">
        <v>0.05</v>
      </c>
      <c r="H3248">
        <v>41800</v>
      </c>
      <c r="I3248">
        <v>8587.9</v>
      </c>
      <c r="J3248" t="s">
        <v>65</v>
      </c>
      <c r="K3248" t="s">
        <v>40</v>
      </c>
      <c r="L3248">
        <v>10450</v>
      </c>
      <c r="M3248">
        <v>20.545215311004782</v>
      </c>
      <c r="N3248" t="s">
        <v>8</v>
      </c>
      <c r="O3248" t="s">
        <v>2102</v>
      </c>
      <c r="P3248" t="s">
        <v>29</v>
      </c>
      <c r="Q3248" t="s">
        <v>131</v>
      </c>
      <c r="R3248" t="s">
        <v>289</v>
      </c>
      <c r="S3248" t="s">
        <v>290</v>
      </c>
      <c r="T3248" t="s">
        <v>2103</v>
      </c>
      <c r="U3248" t="s">
        <v>34</v>
      </c>
      <c r="V3248">
        <v>2146.9749999999999</v>
      </c>
    </row>
    <row r="3249" spans="1:22" x14ac:dyDescent="0.3">
      <c r="A3249" t="s">
        <v>4719</v>
      </c>
      <c r="B3249" s="2">
        <v>46149</v>
      </c>
      <c r="C3249" t="s">
        <v>1273</v>
      </c>
      <c r="D3249" t="s">
        <v>70</v>
      </c>
      <c r="E3249" t="s">
        <v>165</v>
      </c>
      <c r="F3249">
        <v>2</v>
      </c>
      <c r="G3249">
        <v>0.05</v>
      </c>
      <c r="H3249">
        <v>4750</v>
      </c>
      <c r="I3249">
        <v>1470.92</v>
      </c>
      <c r="J3249" t="s">
        <v>65</v>
      </c>
      <c r="K3249" t="s">
        <v>40</v>
      </c>
      <c r="L3249">
        <v>2375</v>
      </c>
      <c r="M3249">
        <v>30.966736842105259</v>
      </c>
      <c r="N3249" t="s">
        <v>8</v>
      </c>
      <c r="O3249" t="s">
        <v>618</v>
      </c>
      <c r="P3249" t="s">
        <v>83</v>
      </c>
      <c r="Q3249" t="s">
        <v>74</v>
      </c>
      <c r="R3249" t="s">
        <v>237</v>
      </c>
      <c r="S3249" t="s">
        <v>238</v>
      </c>
      <c r="T3249" t="s">
        <v>1274</v>
      </c>
      <c r="U3249" t="s">
        <v>100</v>
      </c>
      <c r="V3249">
        <v>735.46</v>
      </c>
    </row>
    <row r="3250" spans="1:22" x14ac:dyDescent="0.3">
      <c r="A3250" t="s">
        <v>4720</v>
      </c>
      <c r="B3250" s="2">
        <v>45865</v>
      </c>
      <c r="C3250" t="s">
        <v>325</v>
      </c>
      <c r="D3250" t="s">
        <v>70</v>
      </c>
      <c r="E3250" t="s">
        <v>71</v>
      </c>
      <c r="F3250">
        <v>1</v>
      </c>
      <c r="G3250">
        <v>0.05</v>
      </c>
      <c r="H3250">
        <v>17100</v>
      </c>
      <c r="I3250">
        <v>3049.86</v>
      </c>
      <c r="J3250" t="s">
        <v>65</v>
      </c>
      <c r="K3250" t="s">
        <v>40</v>
      </c>
      <c r="L3250">
        <v>17100</v>
      </c>
      <c r="M3250">
        <v>17.83543859649123</v>
      </c>
      <c r="N3250" t="s">
        <v>8</v>
      </c>
      <c r="O3250" t="s">
        <v>247</v>
      </c>
      <c r="P3250" t="s">
        <v>83</v>
      </c>
      <c r="Q3250" t="s">
        <v>42</v>
      </c>
      <c r="R3250" t="s">
        <v>43</v>
      </c>
      <c r="S3250" t="s">
        <v>44</v>
      </c>
      <c r="T3250" t="s">
        <v>326</v>
      </c>
      <c r="U3250" t="s">
        <v>46</v>
      </c>
      <c r="V3250">
        <v>3049.86</v>
      </c>
    </row>
    <row r="3251" spans="1:22" x14ac:dyDescent="0.3">
      <c r="A3251" t="s">
        <v>4721</v>
      </c>
      <c r="B3251" s="2">
        <v>45967</v>
      </c>
      <c r="C3251" t="s">
        <v>556</v>
      </c>
      <c r="D3251" t="s">
        <v>70</v>
      </c>
      <c r="E3251" t="s">
        <v>71</v>
      </c>
      <c r="F3251">
        <v>3</v>
      </c>
      <c r="G3251">
        <v>0.15</v>
      </c>
      <c r="H3251">
        <v>45900</v>
      </c>
      <c r="I3251">
        <v>-19756.7</v>
      </c>
      <c r="J3251" t="s">
        <v>51</v>
      </c>
      <c r="K3251" t="s">
        <v>80</v>
      </c>
      <c r="L3251">
        <v>15300</v>
      </c>
      <c r="M3251">
        <v>-43.042919389978209</v>
      </c>
      <c r="N3251" t="s">
        <v>81</v>
      </c>
      <c r="O3251" t="s">
        <v>161</v>
      </c>
      <c r="P3251" t="s">
        <v>29</v>
      </c>
      <c r="Q3251" t="s">
        <v>30</v>
      </c>
      <c r="R3251" t="s">
        <v>53</v>
      </c>
      <c r="S3251" t="s">
        <v>54</v>
      </c>
      <c r="T3251" t="s">
        <v>557</v>
      </c>
      <c r="U3251" t="s">
        <v>34</v>
      </c>
      <c r="V3251">
        <v>-6585.5666666666666</v>
      </c>
    </row>
    <row r="3252" spans="1:22" x14ac:dyDescent="0.3">
      <c r="A3252" t="s">
        <v>4722</v>
      </c>
      <c r="B3252" s="2">
        <v>45853</v>
      </c>
      <c r="C3252" t="s">
        <v>2010</v>
      </c>
      <c r="D3252" t="s">
        <v>37</v>
      </c>
      <c r="E3252" t="s">
        <v>170</v>
      </c>
      <c r="F3252">
        <v>1</v>
      </c>
      <c r="G3252">
        <v>0.1</v>
      </c>
      <c r="H3252">
        <v>1260</v>
      </c>
      <c r="I3252">
        <v>400.03</v>
      </c>
      <c r="J3252" t="s">
        <v>65</v>
      </c>
      <c r="K3252" t="s">
        <v>40</v>
      </c>
      <c r="L3252">
        <v>1260</v>
      </c>
      <c r="M3252">
        <v>31.7484126984127</v>
      </c>
      <c r="N3252" t="s">
        <v>8</v>
      </c>
      <c r="O3252" t="s">
        <v>2011</v>
      </c>
      <c r="P3252" t="s">
        <v>73</v>
      </c>
      <c r="Q3252" t="s">
        <v>74</v>
      </c>
      <c r="R3252" t="s">
        <v>237</v>
      </c>
      <c r="S3252" t="s">
        <v>238</v>
      </c>
      <c r="T3252" t="s">
        <v>2012</v>
      </c>
      <c r="U3252" t="s">
        <v>105</v>
      </c>
      <c r="V3252">
        <v>400.03</v>
      </c>
    </row>
    <row r="3253" spans="1:22" x14ac:dyDescent="0.3">
      <c r="A3253" t="s">
        <v>4723</v>
      </c>
      <c r="B3253" s="2">
        <v>46247</v>
      </c>
      <c r="C3253" t="s">
        <v>4724</v>
      </c>
      <c r="D3253" t="s">
        <v>70</v>
      </c>
      <c r="E3253" t="s">
        <v>108</v>
      </c>
      <c r="F3253">
        <v>15</v>
      </c>
      <c r="G3253">
        <v>0.1</v>
      </c>
      <c r="H3253">
        <v>60750</v>
      </c>
      <c r="I3253">
        <v>18813.93</v>
      </c>
      <c r="J3253" t="s">
        <v>51</v>
      </c>
      <c r="K3253" t="s">
        <v>40</v>
      </c>
      <c r="L3253">
        <v>4050</v>
      </c>
      <c r="M3253">
        <v>30.969432098765431</v>
      </c>
      <c r="N3253" t="s">
        <v>8</v>
      </c>
      <c r="O3253" t="s">
        <v>458</v>
      </c>
      <c r="P3253" t="s">
        <v>29</v>
      </c>
      <c r="Q3253" t="s">
        <v>42</v>
      </c>
      <c r="R3253" t="s">
        <v>43</v>
      </c>
      <c r="S3253" t="s">
        <v>44</v>
      </c>
      <c r="T3253" t="s">
        <v>99</v>
      </c>
      <c r="U3253" t="s">
        <v>34</v>
      </c>
      <c r="V3253">
        <v>1254.2619999999999</v>
      </c>
    </row>
    <row r="3254" spans="1:22" x14ac:dyDescent="0.3">
      <c r="A3254" t="s">
        <v>4725</v>
      </c>
      <c r="B3254" s="2">
        <v>46076</v>
      </c>
      <c r="C3254" t="s">
        <v>1455</v>
      </c>
      <c r="D3254" t="s">
        <v>37</v>
      </c>
      <c r="E3254" t="s">
        <v>310</v>
      </c>
      <c r="F3254">
        <v>1</v>
      </c>
      <c r="G3254">
        <v>0.2</v>
      </c>
      <c r="H3254">
        <v>1760</v>
      </c>
      <c r="I3254">
        <v>524.17999999999995</v>
      </c>
      <c r="J3254" t="s">
        <v>26</v>
      </c>
      <c r="K3254" t="s">
        <v>40</v>
      </c>
      <c r="L3254">
        <v>1760</v>
      </c>
      <c r="M3254">
        <v>29.78295454545454</v>
      </c>
      <c r="N3254" t="s">
        <v>8</v>
      </c>
      <c r="O3254" t="s">
        <v>1009</v>
      </c>
      <c r="P3254" t="s">
        <v>83</v>
      </c>
      <c r="Q3254" t="s">
        <v>74</v>
      </c>
      <c r="R3254" t="s">
        <v>493</v>
      </c>
      <c r="S3254" t="s">
        <v>494</v>
      </c>
      <c r="T3254" t="s">
        <v>273</v>
      </c>
      <c r="U3254" t="s">
        <v>46</v>
      </c>
      <c r="V3254">
        <v>524.17999999999995</v>
      </c>
    </row>
    <row r="3255" spans="1:22" x14ac:dyDescent="0.3">
      <c r="A3255" t="s">
        <v>4726</v>
      </c>
      <c r="B3255" s="2">
        <v>46241</v>
      </c>
      <c r="C3255" t="s">
        <v>1014</v>
      </c>
      <c r="D3255" t="s">
        <v>49</v>
      </c>
      <c r="E3255" t="s">
        <v>119</v>
      </c>
      <c r="F3255">
        <v>2</v>
      </c>
      <c r="G3255">
        <v>0</v>
      </c>
      <c r="H3255">
        <v>18000</v>
      </c>
      <c r="I3255">
        <v>-1088.3</v>
      </c>
      <c r="J3255" t="s">
        <v>51</v>
      </c>
      <c r="K3255" t="s">
        <v>80</v>
      </c>
      <c r="L3255">
        <v>9000</v>
      </c>
      <c r="M3255">
        <v>-6.0461111111111112</v>
      </c>
      <c r="N3255" t="s">
        <v>81</v>
      </c>
      <c r="O3255" t="s">
        <v>530</v>
      </c>
      <c r="P3255" t="s">
        <v>73</v>
      </c>
      <c r="Q3255" t="s">
        <v>42</v>
      </c>
      <c r="R3255" t="s">
        <v>121</v>
      </c>
      <c r="S3255" t="s">
        <v>44</v>
      </c>
      <c r="T3255" t="s">
        <v>1015</v>
      </c>
      <c r="U3255" t="s">
        <v>34</v>
      </c>
      <c r="V3255">
        <v>-544.15</v>
      </c>
    </row>
    <row r="3256" spans="1:22" x14ac:dyDescent="0.3">
      <c r="A3256" t="s">
        <v>4727</v>
      </c>
      <c r="B3256" s="2">
        <v>45873</v>
      </c>
      <c r="C3256" t="s">
        <v>2034</v>
      </c>
      <c r="D3256" t="s">
        <v>49</v>
      </c>
      <c r="E3256" t="s">
        <v>119</v>
      </c>
      <c r="F3256">
        <v>1</v>
      </c>
      <c r="G3256">
        <v>0.1</v>
      </c>
      <c r="H3256">
        <v>8100</v>
      </c>
      <c r="I3256">
        <v>1642.7</v>
      </c>
      <c r="J3256" t="s">
        <v>26</v>
      </c>
      <c r="K3256" t="s">
        <v>40</v>
      </c>
      <c r="L3256">
        <v>8100</v>
      </c>
      <c r="M3256">
        <v>20.28024691358025</v>
      </c>
      <c r="N3256" t="s">
        <v>8</v>
      </c>
      <c r="O3256" t="s">
        <v>502</v>
      </c>
      <c r="P3256" t="s">
        <v>29</v>
      </c>
      <c r="Q3256" t="s">
        <v>30</v>
      </c>
      <c r="R3256" t="s">
        <v>98</v>
      </c>
      <c r="S3256" t="s">
        <v>54</v>
      </c>
      <c r="T3256" t="s">
        <v>2035</v>
      </c>
      <c r="U3256" t="s">
        <v>34</v>
      </c>
      <c r="V3256">
        <v>1642.7</v>
      </c>
    </row>
    <row r="3257" spans="1:22" x14ac:dyDescent="0.3">
      <c r="A3257" t="s">
        <v>4728</v>
      </c>
      <c r="B3257" s="2">
        <v>46129</v>
      </c>
      <c r="C3257" t="s">
        <v>91</v>
      </c>
      <c r="D3257" t="s">
        <v>70</v>
      </c>
      <c r="E3257" t="s">
        <v>108</v>
      </c>
      <c r="F3257">
        <v>10</v>
      </c>
      <c r="G3257">
        <v>0.2</v>
      </c>
      <c r="H3257">
        <v>36000</v>
      </c>
      <c r="I3257">
        <v>10912.28</v>
      </c>
      <c r="J3257" t="s">
        <v>65</v>
      </c>
      <c r="K3257" t="s">
        <v>40</v>
      </c>
      <c r="L3257">
        <v>3600</v>
      </c>
      <c r="M3257">
        <v>30.311888888888891</v>
      </c>
      <c r="N3257" t="s">
        <v>8</v>
      </c>
      <c r="O3257" t="s">
        <v>93</v>
      </c>
      <c r="P3257" t="s">
        <v>73</v>
      </c>
      <c r="Q3257" t="s">
        <v>30</v>
      </c>
      <c r="R3257" t="s">
        <v>60</v>
      </c>
      <c r="S3257" t="s">
        <v>61</v>
      </c>
      <c r="T3257" t="s">
        <v>94</v>
      </c>
      <c r="U3257" t="s">
        <v>34</v>
      </c>
      <c r="V3257">
        <v>1091.2280000000001</v>
      </c>
    </row>
    <row r="3258" spans="1:22" x14ac:dyDescent="0.3">
      <c r="A3258" t="s">
        <v>4729</v>
      </c>
      <c r="B3258" s="2">
        <v>46146</v>
      </c>
      <c r="C3258" t="s">
        <v>1505</v>
      </c>
      <c r="D3258" t="s">
        <v>37</v>
      </c>
      <c r="E3258" t="s">
        <v>310</v>
      </c>
      <c r="F3258">
        <v>4</v>
      </c>
      <c r="G3258">
        <v>0.2</v>
      </c>
      <c r="H3258">
        <v>7040</v>
      </c>
      <c r="I3258">
        <v>2201.0300000000002</v>
      </c>
      <c r="J3258" t="s">
        <v>39</v>
      </c>
      <c r="K3258" t="s">
        <v>40</v>
      </c>
      <c r="L3258">
        <v>1760</v>
      </c>
      <c r="M3258">
        <v>31.264630681818179</v>
      </c>
      <c r="N3258" t="s">
        <v>8</v>
      </c>
      <c r="O3258" t="s">
        <v>382</v>
      </c>
      <c r="P3258" t="s">
        <v>73</v>
      </c>
      <c r="Q3258" t="s">
        <v>131</v>
      </c>
      <c r="R3258" t="s">
        <v>200</v>
      </c>
      <c r="S3258" t="s">
        <v>201</v>
      </c>
      <c r="T3258" t="s">
        <v>1506</v>
      </c>
      <c r="U3258" t="s">
        <v>105</v>
      </c>
      <c r="V3258">
        <v>550.25750000000005</v>
      </c>
    </row>
    <row r="3259" spans="1:22" x14ac:dyDescent="0.3">
      <c r="A3259" t="s">
        <v>4730</v>
      </c>
      <c r="B3259" s="2">
        <v>46098</v>
      </c>
      <c r="C3259" t="s">
        <v>3684</v>
      </c>
      <c r="D3259" t="s">
        <v>49</v>
      </c>
      <c r="E3259" t="s">
        <v>50</v>
      </c>
      <c r="F3259">
        <v>15</v>
      </c>
      <c r="G3259">
        <v>0.1</v>
      </c>
      <c r="H3259">
        <v>175500</v>
      </c>
      <c r="I3259">
        <v>32340.69</v>
      </c>
      <c r="J3259" t="s">
        <v>39</v>
      </c>
      <c r="K3259" t="s">
        <v>40</v>
      </c>
      <c r="L3259">
        <v>11700</v>
      </c>
      <c r="M3259">
        <v>18.427743589743589</v>
      </c>
      <c r="N3259" t="s">
        <v>8</v>
      </c>
      <c r="O3259" t="s">
        <v>730</v>
      </c>
      <c r="P3259" t="s">
        <v>29</v>
      </c>
      <c r="Q3259" t="s">
        <v>131</v>
      </c>
      <c r="R3259" t="s">
        <v>200</v>
      </c>
      <c r="S3259" t="s">
        <v>201</v>
      </c>
      <c r="T3259" t="s">
        <v>3685</v>
      </c>
      <c r="U3259" t="s">
        <v>34</v>
      </c>
      <c r="V3259">
        <v>2156.0459999999998</v>
      </c>
    </row>
    <row r="3260" spans="1:22" x14ac:dyDescent="0.3">
      <c r="A3260" t="s">
        <v>4731</v>
      </c>
      <c r="B3260" s="2">
        <v>46140</v>
      </c>
      <c r="C3260" t="s">
        <v>164</v>
      </c>
      <c r="D3260" t="s">
        <v>37</v>
      </c>
      <c r="E3260" t="s">
        <v>170</v>
      </c>
      <c r="F3260">
        <v>5</v>
      </c>
      <c r="G3260">
        <v>0</v>
      </c>
      <c r="H3260">
        <v>7000</v>
      </c>
      <c r="I3260">
        <v>2500</v>
      </c>
      <c r="J3260" t="s">
        <v>65</v>
      </c>
      <c r="K3260" t="s">
        <v>40</v>
      </c>
      <c r="L3260">
        <v>1400</v>
      </c>
      <c r="M3260">
        <v>35.714285714285722</v>
      </c>
      <c r="N3260" t="s">
        <v>8</v>
      </c>
      <c r="O3260" t="s">
        <v>166</v>
      </c>
      <c r="P3260" t="s">
        <v>73</v>
      </c>
      <c r="Q3260" t="s">
        <v>30</v>
      </c>
      <c r="R3260" t="s">
        <v>53</v>
      </c>
      <c r="S3260" t="s">
        <v>54</v>
      </c>
      <c r="T3260" t="s">
        <v>167</v>
      </c>
      <c r="U3260" t="s">
        <v>46</v>
      </c>
      <c r="V3260">
        <v>500</v>
      </c>
    </row>
    <row r="3261" spans="1:22" x14ac:dyDescent="0.3">
      <c r="A3261" t="s">
        <v>4732</v>
      </c>
      <c r="B3261" s="2">
        <v>46051</v>
      </c>
      <c r="C3261" t="s">
        <v>96</v>
      </c>
      <c r="D3261" t="s">
        <v>24</v>
      </c>
      <c r="E3261" t="s">
        <v>242</v>
      </c>
      <c r="F3261">
        <v>3</v>
      </c>
      <c r="G3261">
        <v>0</v>
      </c>
      <c r="H3261">
        <v>1350</v>
      </c>
      <c r="I3261">
        <v>330</v>
      </c>
      <c r="J3261" t="s">
        <v>39</v>
      </c>
      <c r="K3261" t="s">
        <v>40</v>
      </c>
      <c r="L3261">
        <v>450</v>
      </c>
      <c r="M3261">
        <v>24.444444444444439</v>
      </c>
      <c r="N3261" t="s">
        <v>8</v>
      </c>
      <c r="O3261" t="s">
        <v>97</v>
      </c>
      <c r="P3261" t="s">
        <v>73</v>
      </c>
      <c r="Q3261" t="s">
        <v>30</v>
      </c>
      <c r="R3261" t="s">
        <v>98</v>
      </c>
      <c r="S3261" t="s">
        <v>54</v>
      </c>
      <c r="T3261" t="s">
        <v>99</v>
      </c>
      <c r="U3261" t="s">
        <v>100</v>
      </c>
      <c r="V3261">
        <v>110</v>
      </c>
    </row>
    <row r="3262" spans="1:22" x14ac:dyDescent="0.3">
      <c r="A3262" t="s">
        <v>4733</v>
      </c>
      <c r="B3262" s="2">
        <v>45906</v>
      </c>
      <c r="C3262" t="s">
        <v>3440</v>
      </c>
      <c r="D3262" t="s">
        <v>24</v>
      </c>
      <c r="E3262" t="s">
        <v>242</v>
      </c>
      <c r="F3262">
        <v>3</v>
      </c>
      <c r="G3262">
        <v>0</v>
      </c>
      <c r="H3262">
        <v>1350</v>
      </c>
      <c r="I3262">
        <v>330</v>
      </c>
      <c r="J3262" t="s">
        <v>39</v>
      </c>
      <c r="K3262" t="s">
        <v>40</v>
      </c>
      <c r="L3262">
        <v>450</v>
      </c>
      <c r="M3262">
        <v>24.444444444444439</v>
      </c>
      <c r="N3262" t="s">
        <v>8</v>
      </c>
      <c r="O3262" t="s">
        <v>847</v>
      </c>
      <c r="P3262" t="s">
        <v>29</v>
      </c>
      <c r="Q3262" t="s">
        <v>42</v>
      </c>
      <c r="R3262" t="s">
        <v>121</v>
      </c>
      <c r="S3262" t="s">
        <v>44</v>
      </c>
      <c r="T3262" t="s">
        <v>3441</v>
      </c>
      <c r="U3262" t="s">
        <v>34</v>
      </c>
      <c r="V3262">
        <v>110</v>
      </c>
    </row>
    <row r="3263" spans="1:22" x14ac:dyDescent="0.3">
      <c r="A3263" t="s">
        <v>4734</v>
      </c>
      <c r="B3263" s="2">
        <v>45843</v>
      </c>
      <c r="C3263" t="s">
        <v>351</v>
      </c>
      <c r="D3263" t="s">
        <v>49</v>
      </c>
      <c r="E3263" t="s">
        <v>79</v>
      </c>
      <c r="F3263">
        <v>3</v>
      </c>
      <c r="G3263">
        <v>0.15</v>
      </c>
      <c r="H3263">
        <v>28050</v>
      </c>
      <c r="I3263">
        <v>4585.43</v>
      </c>
      <c r="J3263" t="s">
        <v>51</v>
      </c>
      <c r="K3263" t="s">
        <v>40</v>
      </c>
      <c r="L3263">
        <v>9350</v>
      </c>
      <c r="M3263">
        <v>16.347344028520499</v>
      </c>
      <c r="N3263" t="s">
        <v>8</v>
      </c>
      <c r="O3263" t="s">
        <v>352</v>
      </c>
      <c r="P3263" t="s">
        <v>73</v>
      </c>
      <c r="Q3263" t="s">
        <v>30</v>
      </c>
      <c r="R3263" t="s">
        <v>31</v>
      </c>
      <c r="S3263" t="s">
        <v>32</v>
      </c>
      <c r="T3263" t="s">
        <v>338</v>
      </c>
      <c r="U3263" t="s">
        <v>100</v>
      </c>
      <c r="V3263">
        <v>1528.4766666666669</v>
      </c>
    </row>
    <row r="3264" spans="1:22" x14ac:dyDescent="0.3">
      <c r="A3264" t="s">
        <v>4735</v>
      </c>
      <c r="B3264" s="2">
        <v>46243</v>
      </c>
      <c r="C3264" t="s">
        <v>1824</v>
      </c>
      <c r="D3264" t="s">
        <v>70</v>
      </c>
      <c r="E3264" t="s">
        <v>108</v>
      </c>
      <c r="F3264">
        <v>5</v>
      </c>
      <c r="G3264">
        <v>0.05</v>
      </c>
      <c r="H3264">
        <v>21375</v>
      </c>
      <c r="I3264">
        <v>6710.15</v>
      </c>
      <c r="J3264" t="s">
        <v>65</v>
      </c>
      <c r="K3264" t="s">
        <v>40</v>
      </c>
      <c r="L3264">
        <v>4275</v>
      </c>
      <c r="M3264">
        <v>31.392514619883041</v>
      </c>
      <c r="N3264" t="s">
        <v>8</v>
      </c>
      <c r="O3264" t="s">
        <v>205</v>
      </c>
      <c r="P3264" t="s">
        <v>83</v>
      </c>
      <c r="Q3264" t="s">
        <v>30</v>
      </c>
      <c r="R3264" t="s">
        <v>31</v>
      </c>
      <c r="S3264" t="s">
        <v>32</v>
      </c>
      <c r="T3264" t="s">
        <v>303</v>
      </c>
      <c r="U3264" t="s">
        <v>46</v>
      </c>
      <c r="V3264">
        <v>1342.03</v>
      </c>
    </row>
    <row r="3265" spans="1:22" x14ac:dyDescent="0.3">
      <c r="A3265" t="s">
        <v>4736</v>
      </c>
      <c r="B3265" s="2">
        <v>46002</v>
      </c>
      <c r="C3265" t="s">
        <v>736</v>
      </c>
      <c r="D3265" t="s">
        <v>37</v>
      </c>
      <c r="E3265" t="s">
        <v>190</v>
      </c>
      <c r="F3265">
        <v>2</v>
      </c>
      <c r="G3265">
        <v>0.2</v>
      </c>
      <c r="H3265">
        <v>6720</v>
      </c>
      <c r="I3265">
        <v>1008.88</v>
      </c>
      <c r="J3265" t="s">
        <v>51</v>
      </c>
      <c r="K3265" t="s">
        <v>27</v>
      </c>
      <c r="L3265">
        <v>3360</v>
      </c>
      <c r="M3265">
        <v>15.013095238095239</v>
      </c>
      <c r="N3265" t="s">
        <v>8</v>
      </c>
      <c r="O3265" t="s">
        <v>648</v>
      </c>
      <c r="P3265" t="s">
        <v>29</v>
      </c>
      <c r="Q3265" t="s">
        <v>30</v>
      </c>
      <c r="R3265" t="s">
        <v>60</v>
      </c>
      <c r="S3265" t="s">
        <v>61</v>
      </c>
      <c r="T3265" t="s">
        <v>311</v>
      </c>
      <c r="U3265" t="s">
        <v>34</v>
      </c>
      <c r="V3265">
        <v>504.44</v>
      </c>
    </row>
    <row r="3266" spans="1:22" x14ac:dyDescent="0.3">
      <c r="A3266" t="s">
        <v>4737</v>
      </c>
      <c r="B3266" s="2">
        <v>46124</v>
      </c>
      <c r="C3266" t="s">
        <v>2972</v>
      </c>
      <c r="D3266" t="s">
        <v>37</v>
      </c>
      <c r="E3266" t="s">
        <v>38</v>
      </c>
      <c r="F3266">
        <v>3</v>
      </c>
      <c r="G3266">
        <v>0.1</v>
      </c>
      <c r="H3266">
        <v>4860</v>
      </c>
      <c r="I3266">
        <v>1557.78</v>
      </c>
      <c r="J3266" t="s">
        <v>51</v>
      </c>
      <c r="K3266" t="s">
        <v>40</v>
      </c>
      <c r="L3266">
        <v>1620</v>
      </c>
      <c r="M3266">
        <v>32.053086419753093</v>
      </c>
      <c r="N3266" t="s">
        <v>8</v>
      </c>
      <c r="O3266" t="s">
        <v>870</v>
      </c>
      <c r="P3266" t="s">
        <v>83</v>
      </c>
      <c r="Q3266" t="s">
        <v>30</v>
      </c>
      <c r="R3266" t="s">
        <v>60</v>
      </c>
      <c r="S3266" t="s">
        <v>61</v>
      </c>
      <c r="T3266" t="s">
        <v>898</v>
      </c>
      <c r="U3266" t="s">
        <v>34</v>
      </c>
      <c r="V3266">
        <v>519.26</v>
      </c>
    </row>
    <row r="3267" spans="1:22" x14ac:dyDescent="0.3">
      <c r="A3267" t="s">
        <v>4738</v>
      </c>
      <c r="B3267" s="2">
        <v>46178</v>
      </c>
      <c r="C3267" t="s">
        <v>610</v>
      </c>
      <c r="D3267" t="s">
        <v>24</v>
      </c>
      <c r="E3267" t="s">
        <v>25</v>
      </c>
      <c r="F3267">
        <v>5</v>
      </c>
      <c r="G3267">
        <v>0.05</v>
      </c>
      <c r="H3267">
        <v>66500</v>
      </c>
      <c r="I3267">
        <v>11226.38</v>
      </c>
      <c r="J3267" t="s">
        <v>51</v>
      </c>
      <c r="K3267" t="s">
        <v>27</v>
      </c>
      <c r="L3267">
        <v>13300</v>
      </c>
      <c r="M3267">
        <v>16.881774436090229</v>
      </c>
      <c r="N3267" t="s">
        <v>8</v>
      </c>
      <c r="O3267" t="s">
        <v>611</v>
      </c>
      <c r="P3267" t="s">
        <v>83</v>
      </c>
      <c r="Q3267" t="s">
        <v>42</v>
      </c>
      <c r="R3267" t="s">
        <v>110</v>
      </c>
      <c r="S3267" t="s">
        <v>111</v>
      </c>
      <c r="T3267" t="s">
        <v>612</v>
      </c>
      <c r="U3267" t="s">
        <v>34</v>
      </c>
      <c r="V3267">
        <v>2245.2759999999998</v>
      </c>
    </row>
    <row r="3268" spans="1:22" x14ac:dyDescent="0.3">
      <c r="A3268" t="s">
        <v>4739</v>
      </c>
      <c r="B3268" s="2">
        <v>45865</v>
      </c>
      <c r="C3268" t="s">
        <v>810</v>
      </c>
      <c r="D3268" t="s">
        <v>24</v>
      </c>
      <c r="E3268" t="s">
        <v>92</v>
      </c>
      <c r="F3268">
        <v>4</v>
      </c>
      <c r="G3268">
        <v>0.3</v>
      </c>
      <c r="H3268">
        <v>2520</v>
      </c>
      <c r="I3268">
        <v>327.68</v>
      </c>
      <c r="J3268" t="s">
        <v>39</v>
      </c>
      <c r="K3268" t="s">
        <v>40</v>
      </c>
      <c r="L3268">
        <v>630</v>
      </c>
      <c r="M3268">
        <v>13.0031746031746</v>
      </c>
      <c r="N3268" t="s">
        <v>8</v>
      </c>
      <c r="O3268" t="s">
        <v>811</v>
      </c>
      <c r="P3268" t="s">
        <v>73</v>
      </c>
      <c r="Q3268" t="s">
        <v>30</v>
      </c>
      <c r="R3268" t="s">
        <v>60</v>
      </c>
      <c r="S3268" t="s">
        <v>61</v>
      </c>
      <c r="T3268" t="s">
        <v>812</v>
      </c>
      <c r="U3268" t="s">
        <v>34</v>
      </c>
      <c r="V3268">
        <v>81.92</v>
      </c>
    </row>
    <row r="3269" spans="1:22" x14ac:dyDescent="0.3">
      <c r="A3269" t="s">
        <v>4740</v>
      </c>
      <c r="B3269" s="2">
        <v>45926</v>
      </c>
      <c r="C3269" t="s">
        <v>1087</v>
      </c>
      <c r="D3269" t="s">
        <v>49</v>
      </c>
      <c r="E3269" t="s">
        <v>79</v>
      </c>
      <c r="F3269">
        <v>4</v>
      </c>
      <c r="G3269">
        <v>0.1</v>
      </c>
      <c r="H3269">
        <v>39600</v>
      </c>
      <c r="I3269">
        <v>-6004.89</v>
      </c>
      <c r="J3269" t="s">
        <v>39</v>
      </c>
      <c r="K3269" t="s">
        <v>80</v>
      </c>
      <c r="L3269">
        <v>9900</v>
      </c>
      <c r="M3269">
        <v>-15.16386363636364</v>
      </c>
      <c r="N3269" t="s">
        <v>81</v>
      </c>
      <c r="O3269" t="s">
        <v>1088</v>
      </c>
      <c r="P3269" t="s">
        <v>73</v>
      </c>
      <c r="Q3269" t="s">
        <v>131</v>
      </c>
      <c r="R3269" t="s">
        <v>200</v>
      </c>
      <c r="S3269" t="s">
        <v>201</v>
      </c>
      <c r="T3269" t="s">
        <v>1089</v>
      </c>
      <c r="U3269" t="s">
        <v>46</v>
      </c>
      <c r="V3269">
        <v>-1501.2225000000001</v>
      </c>
    </row>
    <row r="3270" spans="1:22" x14ac:dyDescent="0.3">
      <c r="A3270" t="s">
        <v>4741</v>
      </c>
      <c r="B3270" s="2">
        <v>46229</v>
      </c>
      <c r="C3270" t="s">
        <v>1403</v>
      </c>
      <c r="D3270" t="s">
        <v>24</v>
      </c>
      <c r="E3270" t="s">
        <v>92</v>
      </c>
      <c r="F3270">
        <v>5</v>
      </c>
      <c r="G3270">
        <v>0</v>
      </c>
      <c r="H3270">
        <v>4500</v>
      </c>
      <c r="I3270">
        <v>1400</v>
      </c>
      <c r="J3270" t="s">
        <v>39</v>
      </c>
      <c r="K3270" t="s">
        <v>40</v>
      </c>
      <c r="L3270">
        <v>900</v>
      </c>
      <c r="M3270">
        <v>31.111111111111111</v>
      </c>
      <c r="N3270" t="s">
        <v>8</v>
      </c>
      <c r="O3270" t="s">
        <v>723</v>
      </c>
      <c r="P3270" t="s">
        <v>73</v>
      </c>
      <c r="Q3270" t="s">
        <v>42</v>
      </c>
      <c r="R3270" t="s">
        <v>43</v>
      </c>
      <c r="S3270" t="s">
        <v>44</v>
      </c>
      <c r="T3270" t="s">
        <v>1404</v>
      </c>
      <c r="U3270" t="s">
        <v>46</v>
      </c>
      <c r="V3270">
        <v>280</v>
      </c>
    </row>
    <row r="3271" spans="1:22" x14ac:dyDescent="0.3">
      <c r="A3271" t="s">
        <v>4742</v>
      </c>
      <c r="B3271" s="2">
        <v>46153</v>
      </c>
      <c r="C3271" t="s">
        <v>744</v>
      </c>
      <c r="D3271" t="s">
        <v>49</v>
      </c>
      <c r="E3271" t="s">
        <v>79</v>
      </c>
      <c r="F3271">
        <v>2</v>
      </c>
      <c r="G3271">
        <v>0.05</v>
      </c>
      <c r="H3271">
        <v>20900</v>
      </c>
      <c r="I3271">
        <v>4301.8599999999997</v>
      </c>
      <c r="J3271" t="s">
        <v>51</v>
      </c>
      <c r="K3271" t="s">
        <v>40</v>
      </c>
      <c r="L3271">
        <v>10450</v>
      </c>
      <c r="M3271">
        <v>20.583062200956942</v>
      </c>
      <c r="N3271" t="s">
        <v>8</v>
      </c>
      <c r="O3271" t="s">
        <v>745</v>
      </c>
      <c r="P3271" t="s">
        <v>29</v>
      </c>
      <c r="Q3271" t="s">
        <v>131</v>
      </c>
      <c r="R3271" t="s">
        <v>449</v>
      </c>
      <c r="S3271" t="s">
        <v>450</v>
      </c>
      <c r="T3271" t="s">
        <v>746</v>
      </c>
      <c r="U3271" t="s">
        <v>46</v>
      </c>
      <c r="V3271">
        <v>2150.9299999999998</v>
      </c>
    </row>
    <row r="3272" spans="1:22" x14ac:dyDescent="0.3">
      <c r="A3272" t="s">
        <v>4743</v>
      </c>
      <c r="B3272" s="2">
        <v>45843</v>
      </c>
      <c r="C3272" t="s">
        <v>1224</v>
      </c>
      <c r="D3272" t="s">
        <v>37</v>
      </c>
      <c r="E3272" t="s">
        <v>310</v>
      </c>
      <c r="F3272">
        <v>3</v>
      </c>
      <c r="G3272">
        <v>0</v>
      </c>
      <c r="H3272">
        <v>6600</v>
      </c>
      <c r="I3272">
        <v>2250</v>
      </c>
      <c r="J3272" t="s">
        <v>39</v>
      </c>
      <c r="K3272" t="s">
        <v>27</v>
      </c>
      <c r="L3272">
        <v>2200</v>
      </c>
      <c r="M3272">
        <v>34.090909090909093</v>
      </c>
      <c r="N3272" t="s">
        <v>8</v>
      </c>
      <c r="O3272" t="s">
        <v>1225</v>
      </c>
      <c r="P3272" t="s">
        <v>29</v>
      </c>
      <c r="Q3272" t="s">
        <v>74</v>
      </c>
      <c r="R3272" t="s">
        <v>75</v>
      </c>
      <c r="S3272" t="s">
        <v>75</v>
      </c>
      <c r="T3272" t="s">
        <v>342</v>
      </c>
      <c r="U3272" t="s">
        <v>34</v>
      </c>
      <c r="V3272">
        <v>750</v>
      </c>
    </row>
    <row r="3273" spans="1:22" x14ac:dyDescent="0.3">
      <c r="A3273" t="s">
        <v>4744</v>
      </c>
      <c r="B3273" s="2">
        <v>45971</v>
      </c>
      <c r="C3273" t="s">
        <v>1436</v>
      </c>
      <c r="D3273" t="s">
        <v>37</v>
      </c>
      <c r="E3273" t="s">
        <v>190</v>
      </c>
      <c r="F3273">
        <v>6</v>
      </c>
      <c r="G3273">
        <v>0.05</v>
      </c>
      <c r="H3273">
        <v>23940</v>
      </c>
      <c r="I3273">
        <v>6324.85</v>
      </c>
      <c r="J3273" t="s">
        <v>51</v>
      </c>
      <c r="K3273" t="s">
        <v>40</v>
      </c>
      <c r="L3273">
        <v>3990</v>
      </c>
      <c r="M3273">
        <v>26.419590643274859</v>
      </c>
      <c r="N3273" t="s">
        <v>8</v>
      </c>
      <c r="O3273" t="s">
        <v>697</v>
      </c>
      <c r="P3273" t="s">
        <v>83</v>
      </c>
      <c r="Q3273" t="s">
        <v>30</v>
      </c>
      <c r="R3273" t="s">
        <v>60</v>
      </c>
      <c r="S3273" t="s">
        <v>61</v>
      </c>
      <c r="T3273" t="s">
        <v>1437</v>
      </c>
      <c r="U3273" t="s">
        <v>46</v>
      </c>
      <c r="V3273">
        <v>1054.1416666666671</v>
      </c>
    </row>
    <row r="3274" spans="1:22" x14ac:dyDescent="0.3">
      <c r="A3274" t="s">
        <v>4745</v>
      </c>
      <c r="B3274" s="2">
        <v>45867</v>
      </c>
      <c r="C3274" t="s">
        <v>1906</v>
      </c>
      <c r="D3274" t="s">
        <v>37</v>
      </c>
      <c r="E3274" t="s">
        <v>310</v>
      </c>
      <c r="F3274">
        <v>3</v>
      </c>
      <c r="G3274">
        <v>0.05</v>
      </c>
      <c r="H3274">
        <v>6270</v>
      </c>
      <c r="I3274">
        <v>2067.3000000000002</v>
      </c>
      <c r="J3274" t="s">
        <v>26</v>
      </c>
      <c r="K3274" t="s">
        <v>40</v>
      </c>
      <c r="L3274">
        <v>2090</v>
      </c>
      <c r="M3274">
        <v>32.971291866028707</v>
      </c>
      <c r="N3274" t="s">
        <v>8</v>
      </c>
      <c r="O3274" t="s">
        <v>1579</v>
      </c>
      <c r="P3274" t="s">
        <v>29</v>
      </c>
      <c r="Q3274" t="s">
        <v>131</v>
      </c>
      <c r="R3274" t="s">
        <v>449</v>
      </c>
      <c r="S3274" t="s">
        <v>450</v>
      </c>
      <c r="T3274" t="s">
        <v>1907</v>
      </c>
      <c r="U3274" t="s">
        <v>46</v>
      </c>
      <c r="V3274">
        <v>689.1</v>
      </c>
    </row>
    <row r="3275" spans="1:22" x14ac:dyDescent="0.3">
      <c r="A3275" t="s">
        <v>4746</v>
      </c>
      <c r="B3275" s="2">
        <v>45865</v>
      </c>
      <c r="C3275" t="s">
        <v>365</v>
      </c>
      <c r="D3275" t="s">
        <v>70</v>
      </c>
      <c r="E3275" t="s">
        <v>108</v>
      </c>
      <c r="F3275">
        <v>3</v>
      </c>
      <c r="G3275">
        <v>0.15</v>
      </c>
      <c r="H3275">
        <v>11475</v>
      </c>
      <c r="I3275">
        <v>3320.09</v>
      </c>
      <c r="J3275" t="s">
        <v>26</v>
      </c>
      <c r="K3275" t="s">
        <v>40</v>
      </c>
      <c r="L3275">
        <v>3825</v>
      </c>
      <c r="M3275">
        <v>28.933246187363839</v>
      </c>
      <c r="N3275" t="s">
        <v>8</v>
      </c>
      <c r="O3275" t="s">
        <v>318</v>
      </c>
      <c r="P3275" t="s">
        <v>29</v>
      </c>
      <c r="Q3275" t="s">
        <v>30</v>
      </c>
      <c r="R3275" t="s">
        <v>31</v>
      </c>
      <c r="S3275" t="s">
        <v>32</v>
      </c>
      <c r="T3275" t="s">
        <v>366</v>
      </c>
      <c r="U3275" t="s">
        <v>105</v>
      </c>
      <c r="V3275">
        <v>1106.6966666666669</v>
      </c>
    </row>
    <row r="3276" spans="1:22" x14ac:dyDescent="0.3">
      <c r="A3276" t="s">
        <v>4747</v>
      </c>
      <c r="B3276" s="2">
        <v>46172</v>
      </c>
      <c r="C3276" t="s">
        <v>801</v>
      </c>
      <c r="D3276" t="s">
        <v>70</v>
      </c>
      <c r="E3276" t="s">
        <v>165</v>
      </c>
      <c r="F3276">
        <v>1</v>
      </c>
      <c r="G3276">
        <v>0.1</v>
      </c>
      <c r="H3276">
        <v>2250</v>
      </c>
      <c r="I3276">
        <v>679.67</v>
      </c>
      <c r="J3276" t="s">
        <v>51</v>
      </c>
      <c r="K3276" t="s">
        <v>27</v>
      </c>
      <c r="L3276">
        <v>2250</v>
      </c>
      <c r="M3276">
        <v>30.207555555555551</v>
      </c>
      <c r="N3276" t="s">
        <v>8</v>
      </c>
      <c r="O3276" t="s">
        <v>478</v>
      </c>
      <c r="P3276" t="s">
        <v>29</v>
      </c>
      <c r="Q3276" t="s">
        <v>30</v>
      </c>
      <c r="R3276" t="s">
        <v>98</v>
      </c>
      <c r="S3276" t="s">
        <v>54</v>
      </c>
      <c r="T3276" t="s">
        <v>802</v>
      </c>
      <c r="U3276" t="s">
        <v>34</v>
      </c>
      <c r="V3276">
        <v>679.67</v>
      </c>
    </row>
    <row r="3277" spans="1:22" x14ac:dyDescent="0.3">
      <c r="A3277" t="s">
        <v>4748</v>
      </c>
      <c r="B3277" s="2">
        <v>45913</v>
      </c>
      <c r="C3277" t="s">
        <v>958</v>
      </c>
      <c r="D3277" t="s">
        <v>70</v>
      </c>
      <c r="E3277" t="s">
        <v>71</v>
      </c>
      <c r="F3277">
        <v>3</v>
      </c>
      <c r="G3277">
        <v>0.15</v>
      </c>
      <c r="H3277">
        <v>45900</v>
      </c>
      <c r="I3277">
        <v>4658.5</v>
      </c>
      <c r="J3277" t="s">
        <v>51</v>
      </c>
      <c r="K3277" t="s">
        <v>40</v>
      </c>
      <c r="L3277">
        <v>15300</v>
      </c>
      <c r="M3277">
        <v>10.149237472766879</v>
      </c>
      <c r="N3277" t="s">
        <v>8</v>
      </c>
      <c r="O3277" t="s">
        <v>959</v>
      </c>
      <c r="P3277" t="s">
        <v>73</v>
      </c>
      <c r="Q3277" t="s">
        <v>42</v>
      </c>
      <c r="R3277" t="s">
        <v>43</v>
      </c>
      <c r="S3277" t="s">
        <v>44</v>
      </c>
      <c r="T3277" t="s">
        <v>960</v>
      </c>
      <c r="U3277" t="s">
        <v>34</v>
      </c>
      <c r="V3277">
        <v>1552.833333333333</v>
      </c>
    </row>
    <row r="3278" spans="1:22" x14ac:dyDescent="0.3">
      <c r="A3278" t="s">
        <v>4749</v>
      </c>
      <c r="B3278" s="2">
        <v>45872</v>
      </c>
      <c r="C3278" t="s">
        <v>86</v>
      </c>
      <c r="D3278" t="s">
        <v>70</v>
      </c>
      <c r="E3278" t="s">
        <v>129</v>
      </c>
      <c r="F3278">
        <v>3</v>
      </c>
      <c r="G3278">
        <v>0.1</v>
      </c>
      <c r="H3278">
        <v>148500</v>
      </c>
      <c r="I3278">
        <v>17163.98</v>
      </c>
      <c r="J3278" t="s">
        <v>26</v>
      </c>
      <c r="K3278" t="s">
        <v>40</v>
      </c>
      <c r="L3278">
        <v>49500</v>
      </c>
      <c r="M3278">
        <v>11.558235690235691</v>
      </c>
      <c r="N3278" t="s">
        <v>8</v>
      </c>
      <c r="O3278" t="s">
        <v>88</v>
      </c>
      <c r="P3278" t="s">
        <v>29</v>
      </c>
      <c r="Q3278" t="s">
        <v>42</v>
      </c>
      <c r="R3278" t="s">
        <v>43</v>
      </c>
      <c r="S3278" t="s">
        <v>44</v>
      </c>
      <c r="T3278" t="s">
        <v>89</v>
      </c>
      <c r="U3278" t="s">
        <v>34</v>
      </c>
      <c r="V3278">
        <v>5721.3266666666668</v>
      </c>
    </row>
    <row r="3279" spans="1:22" x14ac:dyDescent="0.3">
      <c r="A3279" t="s">
        <v>4750</v>
      </c>
      <c r="B3279" s="2">
        <v>45858</v>
      </c>
      <c r="C3279" t="s">
        <v>64</v>
      </c>
      <c r="D3279" t="s">
        <v>37</v>
      </c>
      <c r="E3279" t="s">
        <v>310</v>
      </c>
      <c r="F3279">
        <v>15</v>
      </c>
      <c r="G3279">
        <v>0.2</v>
      </c>
      <c r="H3279">
        <v>26400</v>
      </c>
      <c r="I3279">
        <v>6436.11</v>
      </c>
      <c r="J3279" t="s">
        <v>65</v>
      </c>
      <c r="K3279" t="s">
        <v>40</v>
      </c>
      <c r="L3279">
        <v>1760</v>
      </c>
      <c r="M3279">
        <v>24.379204545454549</v>
      </c>
      <c r="N3279" t="s">
        <v>8</v>
      </c>
      <c r="O3279" t="s">
        <v>66</v>
      </c>
      <c r="P3279" t="s">
        <v>29</v>
      </c>
      <c r="Q3279" t="s">
        <v>42</v>
      </c>
      <c r="R3279" t="s">
        <v>43</v>
      </c>
      <c r="S3279" t="s">
        <v>44</v>
      </c>
      <c r="T3279" t="s">
        <v>67</v>
      </c>
      <c r="U3279" t="s">
        <v>34</v>
      </c>
      <c r="V3279">
        <v>429.07400000000001</v>
      </c>
    </row>
    <row r="3280" spans="1:22" x14ac:dyDescent="0.3">
      <c r="A3280" t="s">
        <v>4751</v>
      </c>
      <c r="B3280" s="2">
        <v>45958</v>
      </c>
      <c r="C3280" t="s">
        <v>1939</v>
      </c>
      <c r="D3280" t="s">
        <v>70</v>
      </c>
      <c r="E3280" t="s">
        <v>71</v>
      </c>
      <c r="F3280">
        <v>3</v>
      </c>
      <c r="G3280">
        <v>0.1</v>
      </c>
      <c r="H3280">
        <v>48600</v>
      </c>
      <c r="I3280">
        <v>7749.32</v>
      </c>
      <c r="J3280" t="s">
        <v>26</v>
      </c>
      <c r="K3280" t="s">
        <v>40</v>
      </c>
      <c r="L3280">
        <v>16200</v>
      </c>
      <c r="M3280">
        <v>15.945102880658441</v>
      </c>
      <c r="N3280" t="s">
        <v>8</v>
      </c>
      <c r="O3280" t="s">
        <v>1940</v>
      </c>
      <c r="P3280" t="s">
        <v>29</v>
      </c>
      <c r="Q3280" t="s">
        <v>74</v>
      </c>
      <c r="R3280" t="s">
        <v>237</v>
      </c>
      <c r="S3280" t="s">
        <v>238</v>
      </c>
      <c r="T3280" t="s">
        <v>1839</v>
      </c>
      <c r="U3280" t="s">
        <v>46</v>
      </c>
      <c r="V3280">
        <v>2583.106666666667</v>
      </c>
    </row>
    <row r="3281" spans="1:22" x14ac:dyDescent="0.3">
      <c r="A3281" t="s">
        <v>4752</v>
      </c>
      <c r="B3281" s="2">
        <v>45931</v>
      </c>
      <c r="C3281" t="s">
        <v>2057</v>
      </c>
      <c r="D3281" t="s">
        <v>70</v>
      </c>
      <c r="E3281" t="s">
        <v>165</v>
      </c>
      <c r="F3281">
        <v>1</v>
      </c>
      <c r="G3281">
        <v>0.15</v>
      </c>
      <c r="H3281">
        <v>2125</v>
      </c>
      <c r="I3281">
        <v>505.36</v>
      </c>
      <c r="J3281" t="s">
        <v>39</v>
      </c>
      <c r="K3281" t="s">
        <v>40</v>
      </c>
      <c r="L3281">
        <v>2125</v>
      </c>
      <c r="M3281">
        <v>23.78164705882353</v>
      </c>
      <c r="N3281" t="s">
        <v>8</v>
      </c>
      <c r="O3281" t="s">
        <v>2058</v>
      </c>
      <c r="P3281" t="s">
        <v>29</v>
      </c>
      <c r="Q3281" t="s">
        <v>131</v>
      </c>
      <c r="R3281" t="s">
        <v>449</v>
      </c>
      <c r="S3281" t="s">
        <v>450</v>
      </c>
      <c r="T3281" t="s">
        <v>138</v>
      </c>
      <c r="U3281" t="s">
        <v>34</v>
      </c>
      <c r="V3281">
        <v>505.36</v>
      </c>
    </row>
    <row r="3282" spans="1:22" x14ac:dyDescent="0.3">
      <c r="A3282" t="s">
        <v>4753</v>
      </c>
      <c r="B3282" s="2">
        <v>46194</v>
      </c>
      <c r="C3282" t="s">
        <v>457</v>
      </c>
      <c r="D3282" t="s">
        <v>24</v>
      </c>
      <c r="E3282" t="s">
        <v>242</v>
      </c>
      <c r="F3282">
        <v>1</v>
      </c>
      <c r="G3282">
        <v>0.3</v>
      </c>
      <c r="H3282">
        <v>315</v>
      </c>
      <c r="I3282">
        <v>7.51</v>
      </c>
      <c r="J3282" t="s">
        <v>65</v>
      </c>
      <c r="K3282" t="s">
        <v>40</v>
      </c>
      <c r="L3282">
        <v>315</v>
      </c>
      <c r="M3282">
        <v>2.3841269841269841</v>
      </c>
      <c r="N3282" t="s">
        <v>8</v>
      </c>
      <c r="O3282" t="s">
        <v>458</v>
      </c>
      <c r="P3282" t="s">
        <v>73</v>
      </c>
      <c r="Q3282" t="s">
        <v>30</v>
      </c>
      <c r="R3282" t="s">
        <v>60</v>
      </c>
      <c r="S3282" t="s">
        <v>61</v>
      </c>
      <c r="T3282" t="s">
        <v>459</v>
      </c>
      <c r="U3282" t="s">
        <v>34</v>
      </c>
      <c r="V3282">
        <v>7.51</v>
      </c>
    </row>
    <row r="3283" spans="1:22" x14ac:dyDescent="0.3">
      <c r="A3283" t="s">
        <v>4754</v>
      </c>
      <c r="B3283" s="2">
        <v>46051</v>
      </c>
      <c r="C3283" t="s">
        <v>4079</v>
      </c>
      <c r="D3283" t="s">
        <v>70</v>
      </c>
      <c r="E3283" t="s">
        <v>71</v>
      </c>
      <c r="F3283">
        <v>1</v>
      </c>
      <c r="G3283">
        <v>0.1</v>
      </c>
      <c r="H3283">
        <v>16200</v>
      </c>
      <c r="I3283">
        <v>2294.09</v>
      </c>
      <c r="J3283" t="s">
        <v>39</v>
      </c>
      <c r="K3283" t="s">
        <v>40</v>
      </c>
      <c r="L3283">
        <v>16200</v>
      </c>
      <c r="M3283">
        <v>14.161049382716049</v>
      </c>
      <c r="N3283" t="s">
        <v>8</v>
      </c>
      <c r="O3283" t="s">
        <v>4080</v>
      </c>
      <c r="P3283" t="s">
        <v>83</v>
      </c>
      <c r="Q3283" t="s">
        <v>131</v>
      </c>
      <c r="R3283" t="s">
        <v>289</v>
      </c>
      <c r="S3283" t="s">
        <v>290</v>
      </c>
      <c r="T3283" t="s">
        <v>4081</v>
      </c>
      <c r="U3283" t="s">
        <v>46</v>
      </c>
      <c r="V3283">
        <v>2294.09</v>
      </c>
    </row>
    <row r="3284" spans="1:22" x14ac:dyDescent="0.3">
      <c r="A3284" t="s">
        <v>4755</v>
      </c>
      <c r="B3284" s="2">
        <v>46224</v>
      </c>
      <c r="C3284" t="s">
        <v>772</v>
      </c>
      <c r="D3284" t="s">
        <v>24</v>
      </c>
      <c r="E3284" t="s">
        <v>92</v>
      </c>
      <c r="F3284">
        <v>1</v>
      </c>
      <c r="G3284">
        <v>0.1</v>
      </c>
      <c r="H3284">
        <v>810</v>
      </c>
      <c r="I3284">
        <v>225.36</v>
      </c>
      <c r="J3284" t="s">
        <v>65</v>
      </c>
      <c r="K3284" t="s">
        <v>40</v>
      </c>
      <c r="L3284">
        <v>810</v>
      </c>
      <c r="M3284">
        <v>27.82222222222223</v>
      </c>
      <c r="N3284" t="s">
        <v>8</v>
      </c>
      <c r="O3284" t="s">
        <v>773</v>
      </c>
      <c r="P3284" t="s">
        <v>29</v>
      </c>
      <c r="Q3284" t="s">
        <v>42</v>
      </c>
      <c r="R3284" t="s">
        <v>121</v>
      </c>
      <c r="S3284" t="s">
        <v>44</v>
      </c>
      <c r="T3284" t="s">
        <v>774</v>
      </c>
      <c r="U3284" t="s">
        <v>34</v>
      </c>
      <c r="V3284">
        <v>225.36</v>
      </c>
    </row>
    <row r="3285" spans="1:22" x14ac:dyDescent="0.3">
      <c r="A3285" t="s">
        <v>4756</v>
      </c>
      <c r="B3285" s="2">
        <v>45851</v>
      </c>
      <c r="C3285" t="s">
        <v>2972</v>
      </c>
      <c r="D3285" t="s">
        <v>70</v>
      </c>
      <c r="E3285" t="s">
        <v>108</v>
      </c>
      <c r="F3285">
        <v>3</v>
      </c>
      <c r="G3285">
        <v>0</v>
      </c>
      <c r="H3285">
        <v>13500</v>
      </c>
      <c r="I3285">
        <v>4500</v>
      </c>
      <c r="J3285" t="s">
        <v>65</v>
      </c>
      <c r="K3285" t="s">
        <v>40</v>
      </c>
      <c r="L3285">
        <v>4500</v>
      </c>
      <c r="M3285">
        <v>33.333333333333329</v>
      </c>
      <c r="N3285" t="s">
        <v>8</v>
      </c>
      <c r="O3285" t="s">
        <v>870</v>
      </c>
      <c r="P3285" t="s">
        <v>83</v>
      </c>
      <c r="Q3285" t="s">
        <v>30</v>
      </c>
      <c r="R3285" t="s">
        <v>60</v>
      </c>
      <c r="S3285" t="s">
        <v>61</v>
      </c>
      <c r="T3285" t="s">
        <v>898</v>
      </c>
      <c r="U3285" t="s">
        <v>34</v>
      </c>
      <c r="V3285">
        <v>1500</v>
      </c>
    </row>
    <row r="3286" spans="1:22" x14ac:dyDescent="0.3">
      <c r="A3286" t="s">
        <v>4757</v>
      </c>
      <c r="B3286" s="2">
        <v>46158</v>
      </c>
      <c r="C3286" t="s">
        <v>1560</v>
      </c>
      <c r="D3286" t="s">
        <v>49</v>
      </c>
      <c r="E3286" t="s">
        <v>58</v>
      </c>
      <c r="F3286">
        <v>1</v>
      </c>
      <c r="G3286">
        <v>0.1</v>
      </c>
      <c r="H3286">
        <v>13500</v>
      </c>
      <c r="I3286">
        <v>2535.7199999999998</v>
      </c>
      <c r="J3286" t="s">
        <v>26</v>
      </c>
      <c r="K3286" t="s">
        <v>40</v>
      </c>
      <c r="L3286">
        <v>13500</v>
      </c>
      <c r="M3286">
        <v>18.783111111111111</v>
      </c>
      <c r="N3286" t="s">
        <v>8</v>
      </c>
      <c r="O3286" t="s">
        <v>161</v>
      </c>
      <c r="P3286" t="s">
        <v>29</v>
      </c>
      <c r="Q3286" t="s">
        <v>42</v>
      </c>
      <c r="R3286" t="s">
        <v>110</v>
      </c>
      <c r="S3286" t="s">
        <v>111</v>
      </c>
      <c r="T3286" t="s">
        <v>1561</v>
      </c>
      <c r="U3286" t="s">
        <v>46</v>
      </c>
      <c r="V3286">
        <v>2535.7199999999998</v>
      </c>
    </row>
    <row r="3287" spans="1:22" x14ac:dyDescent="0.3">
      <c r="A3287" t="s">
        <v>4758</v>
      </c>
      <c r="B3287" s="2">
        <v>46179</v>
      </c>
      <c r="C3287" t="s">
        <v>48</v>
      </c>
      <c r="D3287" t="s">
        <v>37</v>
      </c>
      <c r="E3287" t="s">
        <v>38</v>
      </c>
      <c r="F3287">
        <v>2</v>
      </c>
      <c r="G3287">
        <v>0.15</v>
      </c>
      <c r="H3287">
        <v>3060</v>
      </c>
      <c r="I3287">
        <v>942.67</v>
      </c>
      <c r="J3287" t="s">
        <v>26</v>
      </c>
      <c r="K3287" t="s">
        <v>40</v>
      </c>
      <c r="L3287">
        <v>1530</v>
      </c>
      <c r="M3287">
        <v>30.806209150326801</v>
      </c>
      <c r="N3287" t="s">
        <v>8</v>
      </c>
      <c r="O3287" t="s">
        <v>52</v>
      </c>
      <c r="P3287" t="s">
        <v>29</v>
      </c>
      <c r="Q3287" t="s">
        <v>30</v>
      </c>
      <c r="R3287" t="s">
        <v>53</v>
      </c>
      <c r="S3287" t="s">
        <v>54</v>
      </c>
      <c r="T3287" t="s">
        <v>55</v>
      </c>
      <c r="U3287" t="s">
        <v>34</v>
      </c>
      <c r="V3287">
        <v>471.33499999999998</v>
      </c>
    </row>
    <row r="3288" spans="1:22" x14ac:dyDescent="0.3">
      <c r="A3288" t="s">
        <v>4759</v>
      </c>
      <c r="B3288" s="2">
        <v>45897</v>
      </c>
      <c r="C3288" t="s">
        <v>3463</v>
      </c>
      <c r="D3288" t="s">
        <v>24</v>
      </c>
      <c r="E3288" t="s">
        <v>87</v>
      </c>
      <c r="F3288">
        <v>1</v>
      </c>
      <c r="G3288">
        <v>0.1</v>
      </c>
      <c r="H3288">
        <v>315</v>
      </c>
      <c r="I3288">
        <v>93.01</v>
      </c>
      <c r="J3288" t="s">
        <v>51</v>
      </c>
      <c r="K3288" t="s">
        <v>27</v>
      </c>
      <c r="L3288">
        <v>315</v>
      </c>
      <c r="M3288">
        <v>29.526984126984129</v>
      </c>
      <c r="N3288" t="s">
        <v>8</v>
      </c>
      <c r="O3288" t="s">
        <v>692</v>
      </c>
      <c r="P3288" t="s">
        <v>29</v>
      </c>
      <c r="Q3288" t="s">
        <v>42</v>
      </c>
      <c r="R3288" t="s">
        <v>110</v>
      </c>
      <c r="S3288" t="s">
        <v>111</v>
      </c>
      <c r="T3288" t="s">
        <v>1671</v>
      </c>
      <c r="U3288" t="s">
        <v>46</v>
      </c>
      <c r="V3288">
        <v>93.01</v>
      </c>
    </row>
    <row r="3289" spans="1:22" x14ac:dyDescent="0.3">
      <c r="A3289" t="s">
        <v>4760</v>
      </c>
      <c r="B3289" s="2">
        <v>45987</v>
      </c>
      <c r="C3289" t="s">
        <v>1331</v>
      </c>
      <c r="D3289" t="s">
        <v>70</v>
      </c>
      <c r="E3289" t="s">
        <v>165</v>
      </c>
      <c r="F3289">
        <v>2</v>
      </c>
      <c r="G3289">
        <v>0.3</v>
      </c>
      <c r="H3289">
        <v>3500</v>
      </c>
      <c r="I3289">
        <v>441.07</v>
      </c>
      <c r="J3289" t="s">
        <v>26</v>
      </c>
      <c r="K3289" t="s">
        <v>27</v>
      </c>
      <c r="L3289">
        <v>1750</v>
      </c>
      <c r="M3289">
        <v>12.602</v>
      </c>
      <c r="N3289" t="s">
        <v>8</v>
      </c>
      <c r="O3289" t="s">
        <v>553</v>
      </c>
      <c r="P3289" t="s">
        <v>29</v>
      </c>
      <c r="Q3289" t="s">
        <v>30</v>
      </c>
      <c r="R3289" t="s">
        <v>31</v>
      </c>
      <c r="S3289" t="s">
        <v>32</v>
      </c>
      <c r="T3289" t="s">
        <v>1332</v>
      </c>
      <c r="U3289" t="s">
        <v>46</v>
      </c>
      <c r="V3289">
        <v>220.535</v>
      </c>
    </row>
    <row r="3290" spans="1:22" x14ac:dyDescent="0.3">
      <c r="A3290" t="s">
        <v>4761</v>
      </c>
      <c r="B3290" s="2">
        <v>46109</v>
      </c>
      <c r="C3290" t="s">
        <v>556</v>
      </c>
      <c r="D3290" t="s">
        <v>37</v>
      </c>
      <c r="E3290" t="s">
        <v>190</v>
      </c>
      <c r="F3290">
        <v>4</v>
      </c>
      <c r="G3290">
        <v>0</v>
      </c>
      <c r="H3290">
        <v>16800</v>
      </c>
      <c r="I3290">
        <v>4800</v>
      </c>
      <c r="J3290" t="s">
        <v>39</v>
      </c>
      <c r="K3290" t="s">
        <v>40</v>
      </c>
      <c r="L3290">
        <v>4200</v>
      </c>
      <c r="M3290">
        <v>28.571428571428569</v>
      </c>
      <c r="N3290" t="s">
        <v>8</v>
      </c>
      <c r="O3290" t="s">
        <v>161</v>
      </c>
      <c r="P3290" t="s">
        <v>29</v>
      </c>
      <c r="Q3290" t="s">
        <v>30</v>
      </c>
      <c r="R3290" t="s">
        <v>53</v>
      </c>
      <c r="S3290" t="s">
        <v>54</v>
      </c>
      <c r="T3290" t="s">
        <v>557</v>
      </c>
      <c r="U3290" t="s">
        <v>34</v>
      </c>
      <c r="V3290">
        <v>1200</v>
      </c>
    </row>
    <row r="3291" spans="1:22" x14ac:dyDescent="0.3">
      <c r="A3291" t="s">
        <v>4762</v>
      </c>
      <c r="B3291" s="2">
        <v>45939</v>
      </c>
      <c r="C3291" t="s">
        <v>1704</v>
      </c>
      <c r="D3291" t="s">
        <v>70</v>
      </c>
      <c r="E3291" t="s">
        <v>165</v>
      </c>
      <c r="F3291">
        <v>1</v>
      </c>
      <c r="G3291">
        <v>0.05</v>
      </c>
      <c r="H3291">
        <v>2375</v>
      </c>
      <c r="I3291">
        <v>727.09</v>
      </c>
      <c r="J3291" t="s">
        <v>51</v>
      </c>
      <c r="K3291" t="s">
        <v>40</v>
      </c>
      <c r="L3291">
        <v>2375</v>
      </c>
      <c r="M3291">
        <v>30.614315789473679</v>
      </c>
      <c r="N3291" t="s">
        <v>8</v>
      </c>
      <c r="O3291" t="s">
        <v>636</v>
      </c>
      <c r="P3291" t="s">
        <v>29</v>
      </c>
      <c r="Q3291" t="s">
        <v>30</v>
      </c>
      <c r="R3291" t="s">
        <v>53</v>
      </c>
      <c r="S3291" t="s">
        <v>54</v>
      </c>
      <c r="T3291" t="s">
        <v>1705</v>
      </c>
      <c r="U3291" t="s">
        <v>34</v>
      </c>
      <c r="V3291">
        <v>727.09</v>
      </c>
    </row>
    <row r="3292" spans="1:22" x14ac:dyDescent="0.3">
      <c r="A3292" t="s">
        <v>4763</v>
      </c>
      <c r="B3292" s="2">
        <v>45947</v>
      </c>
      <c r="C3292" t="s">
        <v>810</v>
      </c>
      <c r="D3292" t="s">
        <v>37</v>
      </c>
      <c r="E3292" t="s">
        <v>38</v>
      </c>
      <c r="F3292">
        <v>2</v>
      </c>
      <c r="G3292">
        <v>0</v>
      </c>
      <c r="H3292">
        <v>3600</v>
      </c>
      <c r="I3292">
        <v>1300</v>
      </c>
      <c r="J3292" t="s">
        <v>65</v>
      </c>
      <c r="K3292" t="s">
        <v>40</v>
      </c>
      <c r="L3292">
        <v>1800</v>
      </c>
      <c r="M3292">
        <v>36.111111111111107</v>
      </c>
      <c r="N3292" t="s">
        <v>8</v>
      </c>
      <c r="O3292" t="s">
        <v>811</v>
      </c>
      <c r="P3292" t="s">
        <v>73</v>
      </c>
      <c r="Q3292" t="s">
        <v>30</v>
      </c>
      <c r="R3292" t="s">
        <v>60</v>
      </c>
      <c r="S3292" t="s">
        <v>61</v>
      </c>
      <c r="T3292" t="s">
        <v>812</v>
      </c>
      <c r="U3292" t="s">
        <v>34</v>
      </c>
      <c r="V3292">
        <v>650</v>
      </c>
    </row>
    <row r="3293" spans="1:22" x14ac:dyDescent="0.3">
      <c r="A3293" t="s">
        <v>4764</v>
      </c>
      <c r="B3293" s="2">
        <v>46156</v>
      </c>
      <c r="C3293" t="s">
        <v>1229</v>
      </c>
      <c r="D3293" t="s">
        <v>24</v>
      </c>
      <c r="E3293" t="s">
        <v>92</v>
      </c>
      <c r="F3293">
        <v>1</v>
      </c>
      <c r="G3293">
        <v>0</v>
      </c>
      <c r="H3293">
        <v>900</v>
      </c>
      <c r="I3293">
        <v>-34.270000000000003</v>
      </c>
      <c r="J3293" t="s">
        <v>51</v>
      </c>
      <c r="K3293" t="s">
        <v>434</v>
      </c>
      <c r="L3293">
        <v>900</v>
      </c>
      <c r="M3293">
        <v>-3.8077777777777779</v>
      </c>
      <c r="N3293" t="s">
        <v>81</v>
      </c>
      <c r="O3293" t="s">
        <v>1102</v>
      </c>
      <c r="P3293" t="s">
        <v>83</v>
      </c>
      <c r="Q3293" t="s">
        <v>42</v>
      </c>
      <c r="R3293" t="s">
        <v>110</v>
      </c>
      <c r="S3293" t="s">
        <v>111</v>
      </c>
      <c r="T3293" t="s">
        <v>912</v>
      </c>
      <c r="U3293" t="s">
        <v>46</v>
      </c>
      <c r="V3293">
        <v>-34.270000000000003</v>
      </c>
    </row>
    <row r="3294" spans="1:22" x14ac:dyDescent="0.3">
      <c r="A3294" t="s">
        <v>4765</v>
      </c>
      <c r="B3294" s="2">
        <v>46057</v>
      </c>
      <c r="C3294" t="s">
        <v>2353</v>
      </c>
      <c r="D3294" t="s">
        <v>49</v>
      </c>
      <c r="E3294" t="s">
        <v>58</v>
      </c>
      <c r="F3294">
        <v>4</v>
      </c>
      <c r="G3294">
        <v>0.1</v>
      </c>
      <c r="H3294">
        <v>54000</v>
      </c>
      <c r="I3294">
        <v>9822.69</v>
      </c>
      <c r="J3294" t="s">
        <v>65</v>
      </c>
      <c r="K3294" t="s">
        <v>40</v>
      </c>
      <c r="L3294">
        <v>13500</v>
      </c>
      <c r="M3294">
        <v>18.19016666666667</v>
      </c>
      <c r="N3294" t="s">
        <v>8</v>
      </c>
      <c r="O3294" t="s">
        <v>2127</v>
      </c>
      <c r="P3294" t="s">
        <v>29</v>
      </c>
      <c r="Q3294" t="s">
        <v>30</v>
      </c>
      <c r="R3294" t="s">
        <v>31</v>
      </c>
      <c r="S3294" t="s">
        <v>32</v>
      </c>
      <c r="T3294" t="s">
        <v>1283</v>
      </c>
      <c r="U3294" t="s">
        <v>46</v>
      </c>
      <c r="V3294">
        <v>2455.6725000000001</v>
      </c>
    </row>
    <row r="3295" spans="1:22" x14ac:dyDescent="0.3">
      <c r="A3295" t="s">
        <v>4766</v>
      </c>
      <c r="B3295" s="2">
        <v>46200</v>
      </c>
      <c r="C3295" t="s">
        <v>1824</v>
      </c>
      <c r="D3295" t="s">
        <v>24</v>
      </c>
      <c r="E3295" t="s">
        <v>92</v>
      </c>
      <c r="F3295">
        <v>2</v>
      </c>
      <c r="G3295">
        <v>0.1</v>
      </c>
      <c r="H3295">
        <v>1620</v>
      </c>
      <c r="I3295">
        <v>432.51</v>
      </c>
      <c r="J3295" t="s">
        <v>39</v>
      </c>
      <c r="K3295" t="s">
        <v>27</v>
      </c>
      <c r="L3295">
        <v>810</v>
      </c>
      <c r="M3295">
        <v>26.69814814814815</v>
      </c>
      <c r="N3295" t="s">
        <v>8</v>
      </c>
      <c r="O3295" t="s">
        <v>205</v>
      </c>
      <c r="P3295" t="s">
        <v>83</v>
      </c>
      <c r="Q3295" t="s">
        <v>30</v>
      </c>
      <c r="R3295" t="s">
        <v>31</v>
      </c>
      <c r="S3295" t="s">
        <v>32</v>
      </c>
      <c r="T3295" t="s">
        <v>303</v>
      </c>
      <c r="U3295" t="s">
        <v>46</v>
      </c>
      <c r="V3295">
        <v>216.255</v>
      </c>
    </row>
    <row r="3296" spans="1:22" x14ac:dyDescent="0.3">
      <c r="A3296" t="s">
        <v>4767</v>
      </c>
      <c r="B3296" s="2">
        <v>46005</v>
      </c>
      <c r="C3296" t="s">
        <v>869</v>
      </c>
      <c r="D3296" t="s">
        <v>49</v>
      </c>
      <c r="E3296" t="s">
        <v>79</v>
      </c>
      <c r="F3296">
        <v>2</v>
      </c>
      <c r="G3296">
        <v>0.15</v>
      </c>
      <c r="H3296">
        <v>18700</v>
      </c>
      <c r="I3296">
        <v>3614.27</v>
      </c>
      <c r="J3296" t="s">
        <v>26</v>
      </c>
      <c r="K3296" t="s">
        <v>27</v>
      </c>
      <c r="L3296">
        <v>9350</v>
      </c>
      <c r="M3296">
        <v>19.32764705882353</v>
      </c>
      <c r="N3296" t="s">
        <v>8</v>
      </c>
      <c r="O3296" t="s">
        <v>870</v>
      </c>
      <c r="P3296" t="s">
        <v>73</v>
      </c>
      <c r="Q3296" t="s">
        <v>30</v>
      </c>
      <c r="R3296" t="s">
        <v>98</v>
      </c>
      <c r="S3296" t="s">
        <v>54</v>
      </c>
      <c r="T3296" t="s">
        <v>859</v>
      </c>
      <c r="U3296" t="s">
        <v>34</v>
      </c>
      <c r="V3296">
        <v>1807.135</v>
      </c>
    </row>
    <row r="3297" spans="1:22" x14ac:dyDescent="0.3">
      <c r="A3297" t="s">
        <v>4768</v>
      </c>
      <c r="B3297" s="2">
        <v>45950</v>
      </c>
      <c r="C3297" t="s">
        <v>1360</v>
      </c>
      <c r="D3297" t="s">
        <v>24</v>
      </c>
      <c r="E3297" t="s">
        <v>87</v>
      </c>
      <c r="F3297">
        <v>1</v>
      </c>
      <c r="G3297">
        <v>0.15</v>
      </c>
      <c r="H3297">
        <v>297.5</v>
      </c>
      <c r="I3297">
        <v>85.18</v>
      </c>
      <c r="J3297" t="s">
        <v>26</v>
      </c>
      <c r="K3297" t="s">
        <v>40</v>
      </c>
      <c r="L3297">
        <v>297.5</v>
      </c>
      <c r="M3297">
        <v>28.631932773109249</v>
      </c>
      <c r="N3297" t="s">
        <v>8</v>
      </c>
      <c r="O3297" t="s">
        <v>553</v>
      </c>
      <c r="P3297" t="s">
        <v>83</v>
      </c>
      <c r="Q3297" t="s">
        <v>30</v>
      </c>
      <c r="R3297" t="s">
        <v>31</v>
      </c>
      <c r="S3297" t="s">
        <v>32</v>
      </c>
      <c r="T3297" t="s">
        <v>1361</v>
      </c>
      <c r="U3297" t="s">
        <v>34</v>
      </c>
      <c r="V3297">
        <v>85.18</v>
      </c>
    </row>
    <row r="3298" spans="1:22" x14ac:dyDescent="0.3">
      <c r="A3298" t="s">
        <v>4769</v>
      </c>
      <c r="B3298" s="2">
        <v>45918</v>
      </c>
      <c r="C3298" t="s">
        <v>1433</v>
      </c>
      <c r="D3298" t="s">
        <v>24</v>
      </c>
      <c r="E3298" t="s">
        <v>92</v>
      </c>
      <c r="F3298">
        <v>3</v>
      </c>
      <c r="G3298">
        <v>0.1</v>
      </c>
      <c r="H3298">
        <v>2430</v>
      </c>
      <c r="I3298">
        <v>623.51</v>
      </c>
      <c r="J3298" t="s">
        <v>39</v>
      </c>
      <c r="K3298" t="s">
        <v>40</v>
      </c>
      <c r="L3298">
        <v>810</v>
      </c>
      <c r="M3298">
        <v>25.658847736625511</v>
      </c>
      <c r="N3298" t="s">
        <v>8</v>
      </c>
      <c r="O3298" t="s">
        <v>318</v>
      </c>
      <c r="P3298" t="s">
        <v>73</v>
      </c>
      <c r="Q3298" t="s">
        <v>30</v>
      </c>
      <c r="R3298" t="s">
        <v>53</v>
      </c>
      <c r="S3298" t="s">
        <v>54</v>
      </c>
      <c r="T3298" t="s">
        <v>1434</v>
      </c>
      <c r="U3298" t="s">
        <v>34</v>
      </c>
      <c r="V3298">
        <v>207.8366666666667</v>
      </c>
    </row>
    <row r="3299" spans="1:22" x14ac:dyDescent="0.3">
      <c r="A3299" t="s">
        <v>4770</v>
      </c>
      <c r="B3299" s="2">
        <v>46222</v>
      </c>
      <c r="C3299" t="s">
        <v>1537</v>
      </c>
      <c r="D3299" t="s">
        <v>24</v>
      </c>
      <c r="E3299" t="s">
        <v>242</v>
      </c>
      <c r="F3299">
        <v>6</v>
      </c>
      <c r="G3299">
        <v>0.05</v>
      </c>
      <c r="H3299">
        <v>2565</v>
      </c>
      <c r="I3299">
        <v>552.52</v>
      </c>
      <c r="J3299" t="s">
        <v>65</v>
      </c>
      <c r="K3299" t="s">
        <v>27</v>
      </c>
      <c r="L3299">
        <v>427.5</v>
      </c>
      <c r="M3299">
        <v>21.540740740740741</v>
      </c>
      <c r="N3299" t="s">
        <v>8</v>
      </c>
      <c r="O3299" t="s">
        <v>1538</v>
      </c>
      <c r="P3299" t="s">
        <v>73</v>
      </c>
      <c r="Q3299" t="s">
        <v>131</v>
      </c>
      <c r="R3299" t="s">
        <v>289</v>
      </c>
      <c r="S3299" t="s">
        <v>290</v>
      </c>
      <c r="T3299" t="s">
        <v>1539</v>
      </c>
      <c r="U3299" t="s">
        <v>34</v>
      </c>
      <c r="V3299">
        <v>92.086666666666659</v>
      </c>
    </row>
    <row r="3300" spans="1:22" x14ac:dyDescent="0.3">
      <c r="A3300" t="s">
        <v>4771</v>
      </c>
      <c r="B3300" s="2">
        <v>46039</v>
      </c>
      <c r="C3300" t="s">
        <v>241</v>
      </c>
      <c r="D3300" t="s">
        <v>70</v>
      </c>
      <c r="E3300" t="s">
        <v>71</v>
      </c>
      <c r="F3300">
        <v>2</v>
      </c>
      <c r="G3300">
        <v>0.15</v>
      </c>
      <c r="H3300">
        <v>30600</v>
      </c>
      <c r="I3300">
        <v>3607.37</v>
      </c>
      <c r="J3300" t="s">
        <v>26</v>
      </c>
      <c r="K3300" t="s">
        <v>40</v>
      </c>
      <c r="L3300">
        <v>15300</v>
      </c>
      <c r="M3300">
        <v>11.7887908496732</v>
      </c>
      <c r="N3300" t="s">
        <v>8</v>
      </c>
      <c r="O3300" t="s">
        <v>243</v>
      </c>
      <c r="P3300" t="s">
        <v>73</v>
      </c>
      <c r="Q3300" t="s">
        <v>74</v>
      </c>
      <c r="R3300" t="s">
        <v>75</v>
      </c>
      <c r="S3300" t="s">
        <v>75</v>
      </c>
      <c r="T3300" t="s">
        <v>244</v>
      </c>
      <c r="U3300" t="s">
        <v>34</v>
      </c>
      <c r="V3300">
        <v>1803.6849999999999</v>
      </c>
    </row>
    <row r="3301" spans="1:22" x14ac:dyDescent="0.3">
      <c r="A3301" t="s">
        <v>4772</v>
      </c>
      <c r="B3301" s="2">
        <v>46161</v>
      </c>
      <c r="C3301" t="s">
        <v>4773</v>
      </c>
      <c r="D3301" t="s">
        <v>70</v>
      </c>
      <c r="E3301" t="s">
        <v>108</v>
      </c>
      <c r="F3301">
        <v>2</v>
      </c>
      <c r="G3301">
        <v>0</v>
      </c>
      <c r="H3301">
        <v>9000</v>
      </c>
      <c r="I3301">
        <v>-3807.74</v>
      </c>
      <c r="J3301" t="s">
        <v>65</v>
      </c>
      <c r="K3301" t="s">
        <v>80</v>
      </c>
      <c r="L3301">
        <v>4500</v>
      </c>
      <c r="M3301">
        <v>-42.30822222222222</v>
      </c>
      <c r="N3301" t="s">
        <v>81</v>
      </c>
      <c r="O3301" t="s">
        <v>549</v>
      </c>
      <c r="P3301" t="s">
        <v>29</v>
      </c>
      <c r="Q3301" t="s">
        <v>42</v>
      </c>
      <c r="R3301" t="s">
        <v>110</v>
      </c>
      <c r="S3301" t="s">
        <v>111</v>
      </c>
      <c r="T3301" t="s">
        <v>1437</v>
      </c>
      <c r="U3301" t="s">
        <v>105</v>
      </c>
      <c r="V3301">
        <v>-1903.87</v>
      </c>
    </row>
    <row r="3302" spans="1:22" x14ac:dyDescent="0.3">
      <c r="A3302" t="s">
        <v>4774</v>
      </c>
      <c r="B3302" s="2">
        <v>46171</v>
      </c>
      <c r="C3302" t="s">
        <v>2266</v>
      </c>
      <c r="D3302" t="s">
        <v>49</v>
      </c>
      <c r="E3302" t="s">
        <v>79</v>
      </c>
      <c r="F3302">
        <v>1</v>
      </c>
      <c r="G3302">
        <v>0.05</v>
      </c>
      <c r="H3302">
        <v>10450</v>
      </c>
      <c r="I3302">
        <v>2201.02</v>
      </c>
      <c r="J3302" t="s">
        <v>39</v>
      </c>
      <c r="K3302" t="s">
        <v>40</v>
      </c>
      <c r="L3302">
        <v>10450</v>
      </c>
      <c r="M3302">
        <v>21.06239234449761</v>
      </c>
      <c r="N3302" t="s">
        <v>8</v>
      </c>
      <c r="O3302" t="s">
        <v>2267</v>
      </c>
      <c r="P3302" t="s">
        <v>29</v>
      </c>
      <c r="Q3302" t="s">
        <v>42</v>
      </c>
      <c r="R3302" t="s">
        <v>121</v>
      </c>
      <c r="S3302" t="s">
        <v>44</v>
      </c>
      <c r="T3302" t="s">
        <v>2268</v>
      </c>
      <c r="U3302" t="s">
        <v>46</v>
      </c>
      <c r="V3302">
        <v>2201.02</v>
      </c>
    </row>
    <row r="3303" spans="1:22" x14ac:dyDescent="0.3">
      <c r="A3303" t="s">
        <v>4775</v>
      </c>
      <c r="B3303" s="2">
        <v>45960</v>
      </c>
      <c r="C3303" t="s">
        <v>897</v>
      </c>
      <c r="D3303" t="s">
        <v>70</v>
      </c>
      <c r="E3303" t="s">
        <v>165</v>
      </c>
      <c r="F3303">
        <v>1</v>
      </c>
      <c r="G3303">
        <v>0.15</v>
      </c>
      <c r="H3303">
        <v>2125</v>
      </c>
      <c r="I3303">
        <v>620.86</v>
      </c>
      <c r="J3303" t="s">
        <v>39</v>
      </c>
      <c r="K3303" t="s">
        <v>40</v>
      </c>
      <c r="L3303">
        <v>2125</v>
      </c>
      <c r="M3303">
        <v>29.216941176470591</v>
      </c>
      <c r="N3303" t="s">
        <v>8</v>
      </c>
      <c r="O3303" t="s">
        <v>607</v>
      </c>
      <c r="P3303" t="s">
        <v>73</v>
      </c>
      <c r="Q3303" t="s">
        <v>30</v>
      </c>
      <c r="R3303" t="s">
        <v>31</v>
      </c>
      <c r="S3303" t="s">
        <v>32</v>
      </c>
      <c r="T3303" t="s">
        <v>898</v>
      </c>
      <c r="U3303" t="s">
        <v>34</v>
      </c>
      <c r="V3303">
        <v>620.86</v>
      </c>
    </row>
    <row r="3304" spans="1:22" x14ac:dyDescent="0.3">
      <c r="A3304" t="s">
        <v>4776</v>
      </c>
      <c r="B3304" s="2">
        <v>46137</v>
      </c>
      <c r="C3304" t="s">
        <v>829</v>
      </c>
      <c r="D3304" t="s">
        <v>70</v>
      </c>
      <c r="E3304" t="s">
        <v>129</v>
      </c>
      <c r="F3304">
        <v>2</v>
      </c>
      <c r="G3304">
        <v>0.1</v>
      </c>
      <c r="H3304">
        <v>99000</v>
      </c>
      <c r="I3304">
        <v>9422.9699999999993</v>
      </c>
      <c r="J3304" t="s">
        <v>51</v>
      </c>
      <c r="K3304" t="s">
        <v>27</v>
      </c>
      <c r="L3304">
        <v>49500</v>
      </c>
      <c r="M3304">
        <v>9.5181515151515139</v>
      </c>
      <c r="N3304" t="s">
        <v>8</v>
      </c>
      <c r="O3304" t="s">
        <v>830</v>
      </c>
      <c r="P3304" t="s">
        <v>29</v>
      </c>
      <c r="Q3304" t="s">
        <v>74</v>
      </c>
      <c r="R3304" t="s">
        <v>115</v>
      </c>
      <c r="S3304" t="s">
        <v>115</v>
      </c>
      <c r="T3304" t="s">
        <v>831</v>
      </c>
      <c r="U3304" t="s">
        <v>46</v>
      </c>
      <c r="V3304">
        <v>4711.4849999999997</v>
      </c>
    </row>
    <row r="3305" spans="1:22" x14ac:dyDescent="0.3">
      <c r="A3305" t="s">
        <v>4777</v>
      </c>
      <c r="B3305" s="2">
        <v>46047</v>
      </c>
      <c r="C3305" t="s">
        <v>1110</v>
      </c>
      <c r="D3305" t="s">
        <v>70</v>
      </c>
      <c r="E3305" t="s">
        <v>108</v>
      </c>
      <c r="F3305">
        <v>4</v>
      </c>
      <c r="G3305">
        <v>0.1</v>
      </c>
      <c r="H3305">
        <v>16200</v>
      </c>
      <c r="I3305">
        <v>4503.74</v>
      </c>
      <c r="J3305" t="s">
        <v>65</v>
      </c>
      <c r="K3305" t="s">
        <v>27</v>
      </c>
      <c r="L3305">
        <v>4050</v>
      </c>
      <c r="M3305">
        <v>27.80086419753086</v>
      </c>
      <c r="N3305" t="s">
        <v>8</v>
      </c>
      <c r="O3305" t="s">
        <v>1111</v>
      </c>
      <c r="P3305" t="s">
        <v>29</v>
      </c>
      <c r="Q3305" t="s">
        <v>42</v>
      </c>
      <c r="R3305" t="s">
        <v>110</v>
      </c>
      <c r="S3305" t="s">
        <v>111</v>
      </c>
      <c r="T3305" t="s">
        <v>1112</v>
      </c>
      <c r="U3305" t="s">
        <v>34</v>
      </c>
      <c r="V3305">
        <v>1125.9349999999999</v>
      </c>
    </row>
    <row r="3306" spans="1:22" x14ac:dyDescent="0.3">
      <c r="A3306" t="s">
        <v>4778</v>
      </c>
      <c r="B3306" s="2">
        <v>45947</v>
      </c>
      <c r="C3306" t="s">
        <v>1300</v>
      </c>
      <c r="D3306" t="s">
        <v>70</v>
      </c>
      <c r="E3306" t="s">
        <v>165</v>
      </c>
      <c r="F3306">
        <v>2</v>
      </c>
      <c r="G3306">
        <v>0.15</v>
      </c>
      <c r="H3306">
        <v>4250</v>
      </c>
      <c r="I3306">
        <v>979.76</v>
      </c>
      <c r="J3306" t="s">
        <v>51</v>
      </c>
      <c r="K3306" t="s">
        <v>40</v>
      </c>
      <c r="L3306">
        <v>2125</v>
      </c>
      <c r="M3306">
        <v>23.05317647058823</v>
      </c>
      <c r="N3306" t="s">
        <v>8</v>
      </c>
      <c r="O3306" t="s">
        <v>1301</v>
      </c>
      <c r="P3306" t="s">
        <v>29</v>
      </c>
      <c r="Q3306" t="s">
        <v>42</v>
      </c>
      <c r="R3306" t="s">
        <v>121</v>
      </c>
      <c r="S3306" t="s">
        <v>44</v>
      </c>
      <c r="T3306" t="s">
        <v>1302</v>
      </c>
      <c r="U3306" t="s">
        <v>100</v>
      </c>
      <c r="V3306">
        <v>489.88</v>
      </c>
    </row>
    <row r="3307" spans="1:22" x14ac:dyDescent="0.3">
      <c r="A3307" t="s">
        <v>4779</v>
      </c>
      <c r="B3307" s="2">
        <v>45895</v>
      </c>
      <c r="C3307" t="s">
        <v>863</v>
      </c>
      <c r="D3307" t="s">
        <v>24</v>
      </c>
      <c r="E3307" t="s">
        <v>25</v>
      </c>
      <c r="F3307">
        <v>3</v>
      </c>
      <c r="G3307">
        <v>0</v>
      </c>
      <c r="H3307">
        <v>42000</v>
      </c>
      <c r="I3307">
        <v>8400</v>
      </c>
      <c r="J3307" t="s">
        <v>39</v>
      </c>
      <c r="K3307" t="s">
        <v>40</v>
      </c>
      <c r="L3307">
        <v>14000</v>
      </c>
      <c r="M3307">
        <v>20</v>
      </c>
      <c r="N3307" t="s">
        <v>8</v>
      </c>
      <c r="O3307" t="s">
        <v>187</v>
      </c>
      <c r="P3307" t="s">
        <v>73</v>
      </c>
      <c r="Q3307" t="s">
        <v>30</v>
      </c>
      <c r="R3307" t="s">
        <v>53</v>
      </c>
      <c r="S3307" t="s">
        <v>54</v>
      </c>
      <c r="T3307" t="s">
        <v>864</v>
      </c>
      <c r="U3307" t="s">
        <v>34</v>
      </c>
      <c r="V3307">
        <v>2800</v>
      </c>
    </row>
    <row r="3308" spans="1:22" x14ac:dyDescent="0.3">
      <c r="A3308" t="s">
        <v>4780</v>
      </c>
      <c r="B3308" s="2">
        <v>46175</v>
      </c>
      <c r="C3308" t="s">
        <v>457</v>
      </c>
      <c r="D3308" t="s">
        <v>49</v>
      </c>
      <c r="E3308" t="s">
        <v>58</v>
      </c>
      <c r="F3308">
        <v>3</v>
      </c>
      <c r="G3308">
        <v>0.2</v>
      </c>
      <c r="H3308">
        <v>36000</v>
      </c>
      <c r="I3308">
        <v>4526.05</v>
      </c>
      <c r="J3308" t="s">
        <v>26</v>
      </c>
      <c r="K3308" t="s">
        <v>40</v>
      </c>
      <c r="L3308">
        <v>12000</v>
      </c>
      <c r="M3308">
        <v>12.57236111111111</v>
      </c>
      <c r="N3308" t="s">
        <v>8</v>
      </c>
      <c r="O3308" t="s">
        <v>458</v>
      </c>
      <c r="P3308" t="s">
        <v>73</v>
      </c>
      <c r="Q3308" t="s">
        <v>30</v>
      </c>
      <c r="R3308" t="s">
        <v>60</v>
      </c>
      <c r="S3308" t="s">
        <v>61</v>
      </c>
      <c r="T3308" t="s">
        <v>459</v>
      </c>
      <c r="U3308" t="s">
        <v>34</v>
      </c>
      <c r="V3308">
        <v>1508.6833333333329</v>
      </c>
    </row>
    <row r="3309" spans="1:22" x14ac:dyDescent="0.3">
      <c r="A3309" t="s">
        <v>4781</v>
      </c>
      <c r="B3309" s="2">
        <v>45958</v>
      </c>
      <c r="C3309" t="s">
        <v>417</v>
      </c>
      <c r="D3309" t="s">
        <v>70</v>
      </c>
      <c r="E3309" t="s">
        <v>108</v>
      </c>
      <c r="F3309">
        <v>5</v>
      </c>
      <c r="G3309">
        <v>0.1</v>
      </c>
      <c r="H3309">
        <v>20250</v>
      </c>
      <c r="I3309">
        <v>5945.65</v>
      </c>
      <c r="J3309" t="s">
        <v>26</v>
      </c>
      <c r="K3309" t="s">
        <v>40</v>
      </c>
      <c r="L3309">
        <v>4050</v>
      </c>
      <c r="M3309">
        <v>29.361234567901231</v>
      </c>
      <c r="N3309" t="s">
        <v>8</v>
      </c>
      <c r="O3309" t="s">
        <v>418</v>
      </c>
      <c r="P3309" t="s">
        <v>29</v>
      </c>
      <c r="Q3309" t="s">
        <v>30</v>
      </c>
      <c r="R3309" t="s">
        <v>60</v>
      </c>
      <c r="S3309" t="s">
        <v>61</v>
      </c>
      <c r="T3309" t="s">
        <v>419</v>
      </c>
      <c r="U3309" t="s">
        <v>34</v>
      </c>
      <c r="V3309">
        <v>1189.1300000000001</v>
      </c>
    </row>
    <row r="3310" spans="1:22" x14ac:dyDescent="0.3">
      <c r="A3310" t="s">
        <v>4782</v>
      </c>
      <c r="B3310" s="2">
        <v>46085</v>
      </c>
      <c r="C3310" t="s">
        <v>2327</v>
      </c>
      <c r="D3310" t="s">
        <v>24</v>
      </c>
      <c r="E3310" t="s">
        <v>25</v>
      </c>
      <c r="F3310">
        <v>4</v>
      </c>
      <c r="G3310">
        <v>0.1</v>
      </c>
      <c r="H3310">
        <v>50400</v>
      </c>
      <c r="I3310">
        <v>8033.65</v>
      </c>
      <c r="J3310" t="s">
        <v>65</v>
      </c>
      <c r="K3310" t="s">
        <v>40</v>
      </c>
      <c r="L3310">
        <v>12600</v>
      </c>
      <c r="M3310">
        <v>15.939781746031739</v>
      </c>
      <c r="N3310" t="s">
        <v>8</v>
      </c>
      <c r="O3310" t="s">
        <v>825</v>
      </c>
      <c r="P3310" t="s">
        <v>73</v>
      </c>
      <c r="Q3310" t="s">
        <v>30</v>
      </c>
      <c r="R3310" t="s">
        <v>31</v>
      </c>
      <c r="S3310" t="s">
        <v>32</v>
      </c>
      <c r="T3310" t="s">
        <v>55</v>
      </c>
      <c r="U3310" t="s">
        <v>46</v>
      </c>
      <c r="V3310">
        <v>2008.4124999999999</v>
      </c>
    </row>
    <row r="3311" spans="1:22" x14ac:dyDescent="0.3">
      <c r="A3311" t="s">
        <v>4783</v>
      </c>
      <c r="B3311" s="2">
        <v>46181</v>
      </c>
      <c r="C3311" t="s">
        <v>1723</v>
      </c>
      <c r="D3311" t="s">
        <v>70</v>
      </c>
      <c r="E3311" t="s">
        <v>129</v>
      </c>
      <c r="F3311">
        <v>1</v>
      </c>
      <c r="G3311">
        <v>0.3</v>
      </c>
      <c r="H3311">
        <v>38500</v>
      </c>
      <c r="I3311">
        <v>1137.45</v>
      </c>
      <c r="J3311" t="s">
        <v>51</v>
      </c>
      <c r="K3311" t="s">
        <v>27</v>
      </c>
      <c r="L3311">
        <v>38500</v>
      </c>
      <c r="M3311">
        <v>2.9544155844155839</v>
      </c>
      <c r="N3311" t="s">
        <v>8</v>
      </c>
      <c r="O3311" t="s">
        <v>398</v>
      </c>
      <c r="P3311" t="s">
        <v>83</v>
      </c>
      <c r="Q3311" t="s">
        <v>30</v>
      </c>
      <c r="R3311" t="s">
        <v>98</v>
      </c>
      <c r="S3311" t="s">
        <v>54</v>
      </c>
      <c r="T3311" t="s">
        <v>1724</v>
      </c>
      <c r="U3311" t="s">
        <v>46</v>
      </c>
      <c r="V3311">
        <v>1137.45</v>
      </c>
    </row>
    <row r="3312" spans="1:22" x14ac:dyDescent="0.3">
      <c r="A3312" t="s">
        <v>4784</v>
      </c>
      <c r="B3312" s="2">
        <v>46244</v>
      </c>
      <c r="C3312" t="s">
        <v>1069</v>
      </c>
      <c r="D3312" t="s">
        <v>70</v>
      </c>
      <c r="E3312" t="s">
        <v>71</v>
      </c>
      <c r="F3312">
        <v>3</v>
      </c>
      <c r="G3312">
        <v>0.2</v>
      </c>
      <c r="H3312">
        <v>43200</v>
      </c>
      <c r="I3312">
        <v>-21759.64</v>
      </c>
      <c r="J3312" t="s">
        <v>39</v>
      </c>
      <c r="K3312" t="s">
        <v>80</v>
      </c>
      <c r="L3312">
        <v>14400</v>
      </c>
      <c r="M3312">
        <v>-50.369537037037027</v>
      </c>
      <c r="N3312" t="s">
        <v>81</v>
      </c>
      <c r="O3312" t="s">
        <v>937</v>
      </c>
      <c r="P3312" t="s">
        <v>29</v>
      </c>
      <c r="Q3312" t="s">
        <v>42</v>
      </c>
      <c r="R3312" t="s">
        <v>121</v>
      </c>
      <c r="S3312" t="s">
        <v>44</v>
      </c>
      <c r="T3312" t="s">
        <v>1070</v>
      </c>
      <c r="U3312" t="s">
        <v>34</v>
      </c>
      <c r="V3312">
        <v>-7253.2133333333331</v>
      </c>
    </row>
    <row r="3313" spans="1:22" x14ac:dyDescent="0.3">
      <c r="A3313" t="s">
        <v>4785</v>
      </c>
      <c r="B3313" s="2">
        <v>45965</v>
      </c>
      <c r="C3313" t="s">
        <v>1060</v>
      </c>
      <c r="D3313" t="s">
        <v>37</v>
      </c>
      <c r="E3313" t="s">
        <v>190</v>
      </c>
      <c r="F3313">
        <v>3</v>
      </c>
      <c r="G3313">
        <v>0.1</v>
      </c>
      <c r="H3313">
        <v>11340</v>
      </c>
      <c r="I3313">
        <v>2917.31</v>
      </c>
      <c r="J3313" t="s">
        <v>26</v>
      </c>
      <c r="K3313" t="s">
        <v>40</v>
      </c>
      <c r="L3313">
        <v>3780</v>
      </c>
      <c r="M3313">
        <v>25.72583774250441</v>
      </c>
      <c r="N3313" t="s">
        <v>8</v>
      </c>
      <c r="O3313" t="s">
        <v>1061</v>
      </c>
      <c r="P3313" t="s">
        <v>73</v>
      </c>
      <c r="Q3313" t="s">
        <v>30</v>
      </c>
      <c r="R3313" t="s">
        <v>31</v>
      </c>
      <c r="S3313" t="s">
        <v>32</v>
      </c>
      <c r="T3313" t="s">
        <v>1062</v>
      </c>
      <c r="U3313" t="s">
        <v>46</v>
      </c>
      <c r="V3313">
        <v>972.43666666666661</v>
      </c>
    </row>
    <row r="3314" spans="1:22" x14ac:dyDescent="0.3">
      <c r="A3314" t="s">
        <v>4786</v>
      </c>
      <c r="B3314" s="2">
        <v>45917</v>
      </c>
      <c r="C3314" t="s">
        <v>381</v>
      </c>
      <c r="D3314" t="s">
        <v>49</v>
      </c>
      <c r="E3314" t="s">
        <v>50</v>
      </c>
      <c r="F3314">
        <v>2</v>
      </c>
      <c r="G3314">
        <v>0.1</v>
      </c>
      <c r="H3314">
        <v>23400</v>
      </c>
      <c r="I3314">
        <v>4208.83</v>
      </c>
      <c r="J3314" t="s">
        <v>39</v>
      </c>
      <c r="K3314" t="s">
        <v>40</v>
      </c>
      <c r="L3314">
        <v>11700</v>
      </c>
      <c r="M3314">
        <v>17.986452991452989</v>
      </c>
      <c r="N3314" t="s">
        <v>8</v>
      </c>
      <c r="O3314" t="s">
        <v>382</v>
      </c>
      <c r="P3314" t="s">
        <v>73</v>
      </c>
      <c r="Q3314" t="s">
        <v>30</v>
      </c>
      <c r="R3314" t="s">
        <v>98</v>
      </c>
      <c r="S3314" t="s">
        <v>54</v>
      </c>
      <c r="T3314" t="s">
        <v>383</v>
      </c>
      <c r="U3314" t="s">
        <v>100</v>
      </c>
      <c r="V3314">
        <v>2104.415</v>
      </c>
    </row>
    <row r="3315" spans="1:22" x14ac:dyDescent="0.3">
      <c r="A3315" t="s">
        <v>4787</v>
      </c>
      <c r="B3315" s="2">
        <v>46073</v>
      </c>
      <c r="C3315" t="s">
        <v>377</v>
      </c>
      <c r="D3315" t="s">
        <v>49</v>
      </c>
      <c r="E3315" t="s">
        <v>50</v>
      </c>
      <c r="F3315">
        <v>2</v>
      </c>
      <c r="G3315">
        <v>0.2</v>
      </c>
      <c r="H3315">
        <v>20800</v>
      </c>
      <c r="I3315">
        <v>3777.68</v>
      </c>
      <c r="J3315" t="s">
        <v>65</v>
      </c>
      <c r="K3315" t="s">
        <v>40</v>
      </c>
      <c r="L3315">
        <v>10400</v>
      </c>
      <c r="M3315">
        <v>18.16192307692307</v>
      </c>
      <c r="N3315" t="s">
        <v>8</v>
      </c>
      <c r="O3315" t="s">
        <v>378</v>
      </c>
      <c r="P3315" t="s">
        <v>29</v>
      </c>
      <c r="Q3315" t="s">
        <v>30</v>
      </c>
      <c r="R3315" t="s">
        <v>31</v>
      </c>
      <c r="S3315" t="s">
        <v>32</v>
      </c>
      <c r="T3315" t="s">
        <v>379</v>
      </c>
      <c r="U3315" t="s">
        <v>34</v>
      </c>
      <c r="V3315">
        <v>1888.84</v>
      </c>
    </row>
    <row r="3316" spans="1:22" x14ac:dyDescent="0.3">
      <c r="A3316" t="s">
        <v>4788</v>
      </c>
      <c r="B3316" s="2">
        <v>45870</v>
      </c>
      <c r="C3316" t="s">
        <v>1202</v>
      </c>
      <c r="D3316" t="s">
        <v>70</v>
      </c>
      <c r="E3316" t="s">
        <v>71</v>
      </c>
      <c r="F3316">
        <v>4</v>
      </c>
      <c r="G3316">
        <v>0.05</v>
      </c>
      <c r="H3316">
        <v>68400</v>
      </c>
      <c r="I3316">
        <v>11774.76</v>
      </c>
      <c r="J3316" t="s">
        <v>26</v>
      </c>
      <c r="K3316" t="s">
        <v>40</v>
      </c>
      <c r="L3316">
        <v>17100</v>
      </c>
      <c r="M3316">
        <v>17.214561403508771</v>
      </c>
      <c r="N3316" t="s">
        <v>8</v>
      </c>
      <c r="O3316" t="s">
        <v>251</v>
      </c>
      <c r="P3316" t="s">
        <v>29</v>
      </c>
      <c r="Q3316" t="s">
        <v>131</v>
      </c>
      <c r="R3316" t="s">
        <v>132</v>
      </c>
      <c r="S3316" t="s">
        <v>133</v>
      </c>
      <c r="T3316" t="s">
        <v>1203</v>
      </c>
      <c r="U3316" t="s">
        <v>34</v>
      </c>
      <c r="V3316">
        <v>2943.69</v>
      </c>
    </row>
    <row r="3317" spans="1:22" x14ac:dyDescent="0.3">
      <c r="A3317" t="s">
        <v>4789</v>
      </c>
      <c r="B3317" s="2">
        <v>46058</v>
      </c>
      <c r="C3317" t="s">
        <v>2078</v>
      </c>
      <c r="D3317" t="s">
        <v>70</v>
      </c>
      <c r="E3317" t="s">
        <v>129</v>
      </c>
      <c r="F3317">
        <v>1</v>
      </c>
      <c r="G3317">
        <v>0.05</v>
      </c>
      <c r="H3317">
        <v>52250</v>
      </c>
      <c r="I3317">
        <v>7257.93</v>
      </c>
      <c r="J3317" t="s">
        <v>26</v>
      </c>
      <c r="K3317" t="s">
        <v>40</v>
      </c>
      <c r="L3317">
        <v>52250</v>
      </c>
      <c r="M3317">
        <v>13.890775119617221</v>
      </c>
      <c r="N3317" t="s">
        <v>8</v>
      </c>
      <c r="O3317" t="s">
        <v>2079</v>
      </c>
      <c r="P3317" t="s">
        <v>73</v>
      </c>
      <c r="Q3317" t="s">
        <v>74</v>
      </c>
      <c r="R3317" t="s">
        <v>237</v>
      </c>
      <c r="S3317" t="s">
        <v>238</v>
      </c>
      <c r="T3317" t="s">
        <v>2080</v>
      </c>
      <c r="U3317" t="s">
        <v>34</v>
      </c>
      <c r="V3317">
        <v>7257.93</v>
      </c>
    </row>
    <row r="3318" spans="1:22" x14ac:dyDescent="0.3">
      <c r="A3318" t="s">
        <v>4790</v>
      </c>
      <c r="B3318" s="2">
        <v>45880</v>
      </c>
      <c r="C3318" t="s">
        <v>208</v>
      </c>
      <c r="D3318" t="s">
        <v>70</v>
      </c>
      <c r="E3318" t="s">
        <v>129</v>
      </c>
      <c r="F3318">
        <v>5</v>
      </c>
      <c r="G3318">
        <v>0.2</v>
      </c>
      <c r="H3318">
        <v>220000</v>
      </c>
      <c r="I3318">
        <v>10699.64</v>
      </c>
      <c r="J3318" t="s">
        <v>39</v>
      </c>
      <c r="K3318" t="s">
        <v>27</v>
      </c>
      <c r="L3318">
        <v>44000</v>
      </c>
      <c r="M3318">
        <v>4.8634727272727263</v>
      </c>
      <c r="N3318" t="s">
        <v>8</v>
      </c>
      <c r="O3318" t="s">
        <v>209</v>
      </c>
      <c r="P3318" t="s">
        <v>29</v>
      </c>
      <c r="Q3318" t="s">
        <v>30</v>
      </c>
      <c r="R3318" t="s">
        <v>60</v>
      </c>
      <c r="S3318" t="s">
        <v>61</v>
      </c>
      <c r="T3318" t="s">
        <v>210</v>
      </c>
      <c r="U3318" t="s">
        <v>46</v>
      </c>
      <c r="V3318">
        <v>2139.9279999999999</v>
      </c>
    </row>
    <row r="3319" spans="1:22" x14ac:dyDescent="0.3">
      <c r="A3319" t="s">
        <v>4791</v>
      </c>
      <c r="B3319" s="2">
        <v>45903</v>
      </c>
      <c r="C3319" t="s">
        <v>974</v>
      </c>
      <c r="D3319" t="s">
        <v>70</v>
      </c>
      <c r="E3319" t="s">
        <v>129</v>
      </c>
      <c r="F3319">
        <v>2</v>
      </c>
      <c r="G3319">
        <v>0.05</v>
      </c>
      <c r="H3319">
        <v>104500</v>
      </c>
      <c r="I3319">
        <v>15282.14</v>
      </c>
      <c r="J3319" t="s">
        <v>51</v>
      </c>
      <c r="K3319" t="s">
        <v>40</v>
      </c>
      <c r="L3319">
        <v>52250</v>
      </c>
      <c r="M3319">
        <v>14.62405741626794</v>
      </c>
      <c r="N3319" t="s">
        <v>8</v>
      </c>
      <c r="O3319" t="s">
        <v>975</v>
      </c>
      <c r="P3319" t="s">
        <v>73</v>
      </c>
      <c r="Q3319" t="s">
        <v>42</v>
      </c>
      <c r="R3319" t="s">
        <v>43</v>
      </c>
      <c r="S3319" t="s">
        <v>44</v>
      </c>
      <c r="T3319" t="s">
        <v>976</v>
      </c>
      <c r="U3319" t="s">
        <v>100</v>
      </c>
      <c r="V3319">
        <v>7641.07</v>
      </c>
    </row>
    <row r="3320" spans="1:22" x14ac:dyDescent="0.3">
      <c r="A3320" t="s">
        <v>4792</v>
      </c>
      <c r="B3320" s="2">
        <v>46193</v>
      </c>
      <c r="C3320" t="s">
        <v>2154</v>
      </c>
      <c r="D3320" t="s">
        <v>49</v>
      </c>
      <c r="E3320" t="s">
        <v>119</v>
      </c>
      <c r="F3320">
        <v>1</v>
      </c>
      <c r="G3320">
        <v>0.2</v>
      </c>
      <c r="H3320">
        <v>7200</v>
      </c>
      <c r="I3320">
        <v>851.96</v>
      </c>
      <c r="J3320" t="s">
        <v>39</v>
      </c>
      <c r="K3320" t="s">
        <v>40</v>
      </c>
      <c r="L3320">
        <v>7200</v>
      </c>
      <c r="M3320">
        <v>11.83277777777778</v>
      </c>
      <c r="N3320" t="s">
        <v>8</v>
      </c>
      <c r="O3320" t="s">
        <v>1606</v>
      </c>
      <c r="P3320" t="s">
        <v>83</v>
      </c>
      <c r="Q3320" t="s">
        <v>42</v>
      </c>
      <c r="R3320" t="s">
        <v>110</v>
      </c>
      <c r="S3320" t="s">
        <v>111</v>
      </c>
      <c r="T3320" t="s">
        <v>2155</v>
      </c>
      <c r="U3320" t="s">
        <v>34</v>
      </c>
      <c r="V3320">
        <v>851.96</v>
      </c>
    </row>
    <row r="3321" spans="1:22" x14ac:dyDescent="0.3">
      <c r="A3321" t="s">
        <v>4793</v>
      </c>
      <c r="B3321" s="2">
        <v>45844</v>
      </c>
      <c r="C3321" t="s">
        <v>933</v>
      </c>
      <c r="D3321" t="s">
        <v>37</v>
      </c>
      <c r="E3321" t="s">
        <v>38</v>
      </c>
      <c r="F3321">
        <v>2</v>
      </c>
      <c r="G3321">
        <v>0.2</v>
      </c>
      <c r="H3321">
        <v>2880</v>
      </c>
      <c r="I3321">
        <v>955.71</v>
      </c>
      <c r="J3321" t="s">
        <v>51</v>
      </c>
      <c r="K3321" t="s">
        <v>40</v>
      </c>
      <c r="L3321">
        <v>1440</v>
      </c>
      <c r="M3321">
        <v>33.184375000000003</v>
      </c>
      <c r="N3321" t="s">
        <v>8</v>
      </c>
      <c r="O3321" t="s">
        <v>233</v>
      </c>
      <c r="P3321" t="s">
        <v>29</v>
      </c>
      <c r="Q3321" t="s">
        <v>30</v>
      </c>
      <c r="R3321" t="s">
        <v>31</v>
      </c>
      <c r="S3321" t="s">
        <v>32</v>
      </c>
      <c r="T3321" t="s">
        <v>934</v>
      </c>
      <c r="U3321" t="s">
        <v>34</v>
      </c>
      <c r="V3321">
        <v>477.85500000000002</v>
      </c>
    </row>
    <row r="3322" spans="1:22" x14ac:dyDescent="0.3">
      <c r="A3322" t="s">
        <v>4794</v>
      </c>
      <c r="B3322" s="2">
        <v>46076</v>
      </c>
      <c r="C3322" t="s">
        <v>644</v>
      </c>
      <c r="D3322" t="s">
        <v>70</v>
      </c>
      <c r="E3322" t="s">
        <v>71</v>
      </c>
      <c r="F3322">
        <v>2</v>
      </c>
      <c r="G3322">
        <v>0.1</v>
      </c>
      <c r="H3322">
        <v>32400</v>
      </c>
      <c r="I3322">
        <v>4907.33</v>
      </c>
      <c r="J3322" t="s">
        <v>26</v>
      </c>
      <c r="K3322" t="s">
        <v>40</v>
      </c>
      <c r="L3322">
        <v>16200</v>
      </c>
      <c r="M3322">
        <v>15.146080246913581</v>
      </c>
      <c r="N3322" t="s">
        <v>8</v>
      </c>
      <c r="O3322" t="s">
        <v>213</v>
      </c>
      <c r="P3322" t="s">
        <v>29</v>
      </c>
      <c r="Q3322" t="s">
        <v>30</v>
      </c>
      <c r="R3322" t="s">
        <v>31</v>
      </c>
      <c r="S3322" t="s">
        <v>32</v>
      </c>
      <c r="T3322" t="s">
        <v>645</v>
      </c>
      <c r="U3322" t="s">
        <v>46</v>
      </c>
      <c r="V3322">
        <v>2453.665</v>
      </c>
    </row>
    <row r="3323" spans="1:22" x14ac:dyDescent="0.3">
      <c r="A3323" t="s">
        <v>4795</v>
      </c>
      <c r="B3323" s="2">
        <v>46242</v>
      </c>
      <c r="C3323" t="s">
        <v>124</v>
      </c>
      <c r="D3323" t="s">
        <v>49</v>
      </c>
      <c r="E3323" t="s">
        <v>58</v>
      </c>
      <c r="F3323">
        <v>2</v>
      </c>
      <c r="G3323">
        <v>0.2</v>
      </c>
      <c r="H3323">
        <v>24000</v>
      </c>
      <c r="I3323">
        <v>3645.57</v>
      </c>
      <c r="J3323" t="s">
        <v>26</v>
      </c>
      <c r="K3323" t="s">
        <v>40</v>
      </c>
      <c r="L3323">
        <v>12000</v>
      </c>
      <c r="M3323">
        <v>15.189875000000001</v>
      </c>
      <c r="N3323" t="s">
        <v>8</v>
      </c>
      <c r="O3323" t="s">
        <v>125</v>
      </c>
      <c r="P3323" t="s">
        <v>83</v>
      </c>
      <c r="Q3323" t="s">
        <v>74</v>
      </c>
      <c r="R3323" t="s">
        <v>115</v>
      </c>
      <c r="S3323" t="s">
        <v>115</v>
      </c>
      <c r="T3323" t="s">
        <v>126</v>
      </c>
      <c r="U3323" t="s">
        <v>46</v>
      </c>
      <c r="V3323">
        <v>1822.7850000000001</v>
      </c>
    </row>
    <row r="3324" spans="1:22" x14ac:dyDescent="0.3">
      <c r="A3324" t="s">
        <v>4796</v>
      </c>
      <c r="B3324" s="2">
        <v>46017</v>
      </c>
      <c r="C3324" t="s">
        <v>1962</v>
      </c>
      <c r="D3324" t="s">
        <v>70</v>
      </c>
      <c r="E3324" t="s">
        <v>165</v>
      </c>
      <c r="F3324">
        <v>1</v>
      </c>
      <c r="G3324">
        <v>0.1</v>
      </c>
      <c r="H3324">
        <v>2250</v>
      </c>
      <c r="I3324">
        <v>643.87</v>
      </c>
      <c r="J3324" t="s">
        <v>26</v>
      </c>
      <c r="K3324" t="s">
        <v>40</v>
      </c>
      <c r="L3324">
        <v>2250</v>
      </c>
      <c r="M3324">
        <v>28.61644444444444</v>
      </c>
      <c r="N3324" t="s">
        <v>8</v>
      </c>
      <c r="O3324" t="s">
        <v>1963</v>
      </c>
      <c r="P3324" t="s">
        <v>29</v>
      </c>
      <c r="Q3324" t="s">
        <v>131</v>
      </c>
      <c r="R3324" t="s">
        <v>200</v>
      </c>
      <c r="S3324" t="s">
        <v>201</v>
      </c>
      <c r="T3324" t="s">
        <v>637</v>
      </c>
      <c r="U3324" t="s">
        <v>34</v>
      </c>
      <c r="V3324">
        <v>643.87</v>
      </c>
    </row>
    <row r="3325" spans="1:22" x14ac:dyDescent="0.3">
      <c r="A3325" t="s">
        <v>4797</v>
      </c>
      <c r="B3325" s="2">
        <v>46130</v>
      </c>
      <c r="C3325" t="s">
        <v>1255</v>
      </c>
      <c r="D3325" t="s">
        <v>24</v>
      </c>
      <c r="E3325" t="s">
        <v>87</v>
      </c>
      <c r="F3325">
        <v>3</v>
      </c>
      <c r="G3325">
        <v>0.1</v>
      </c>
      <c r="H3325">
        <v>945</v>
      </c>
      <c r="I3325">
        <v>2.2000000000000002</v>
      </c>
      <c r="J3325" t="s">
        <v>65</v>
      </c>
      <c r="K3325" t="s">
        <v>434</v>
      </c>
      <c r="L3325">
        <v>315</v>
      </c>
      <c r="M3325">
        <v>0.23280423280423279</v>
      </c>
      <c r="N3325" t="s">
        <v>8</v>
      </c>
      <c r="O3325" t="s">
        <v>1256</v>
      </c>
      <c r="P3325" t="s">
        <v>73</v>
      </c>
      <c r="Q3325" t="s">
        <v>131</v>
      </c>
      <c r="R3325" t="s">
        <v>289</v>
      </c>
      <c r="S3325" t="s">
        <v>290</v>
      </c>
      <c r="T3325" t="s">
        <v>1257</v>
      </c>
      <c r="U3325" t="s">
        <v>105</v>
      </c>
      <c r="V3325">
        <v>0.73333333333333339</v>
      </c>
    </row>
    <row r="3326" spans="1:22" x14ac:dyDescent="0.3">
      <c r="A3326" t="s">
        <v>4798</v>
      </c>
      <c r="B3326" s="2">
        <v>46168</v>
      </c>
      <c r="C3326" t="s">
        <v>2869</v>
      </c>
      <c r="D3326" t="s">
        <v>70</v>
      </c>
      <c r="E3326" t="s">
        <v>71</v>
      </c>
      <c r="F3326">
        <v>1</v>
      </c>
      <c r="G3326">
        <v>0</v>
      </c>
      <c r="H3326">
        <v>18000</v>
      </c>
      <c r="I3326">
        <v>3500</v>
      </c>
      <c r="J3326" t="s">
        <v>26</v>
      </c>
      <c r="K3326" t="s">
        <v>40</v>
      </c>
      <c r="L3326">
        <v>18000</v>
      </c>
      <c r="M3326">
        <v>19.44444444444445</v>
      </c>
      <c r="N3326" t="s">
        <v>8</v>
      </c>
      <c r="O3326" t="s">
        <v>2870</v>
      </c>
      <c r="P3326" t="s">
        <v>29</v>
      </c>
      <c r="Q3326" t="s">
        <v>42</v>
      </c>
      <c r="R3326" t="s">
        <v>121</v>
      </c>
      <c r="S3326" t="s">
        <v>44</v>
      </c>
      <c r="T3326" t="s">
        <v>2080</v>
      </c>
      <c r="U3326" t="s">
        <v>100</v>
      </c>
      <c r="V3326">
        <v>3500</v>
      </c>
    </row>
    <row r="3327" spans="1:22" x14ac:dyDescent="0.3">
      <c r="A3327" t="s">
        <v>4799</v>
      </c>
      <c r="B3327" s="2">
        <v>46230</v>
      </c>
      <c r="C3327" t="s">
        <v>4773</v>
      </c>
      <c r="D3327" t="s">
        <v>70</v>
      </c>
      <c r="E3327" t="s">
        <v>108</v>
      </c>
      <c r="F3327">
        <v>2</v>
      </c>
      <c r="G3327">
        <v>0.2</v>
      </c>
      <c r="H3327">
        <v>7200</v>
      </c>
      <c r="I3327">
        <v>-2115.1799999999998</v>
      </c>
      <c r="J3327" t="s">
        <v>26</v>
      </c>
      <c r="K3327" t="s">
        <v>80</v>
      </c>
      <c r="L3327">
        <v>3600</v>
      </c>
      <c r="M3327">
        <v>-29.377499999999991</v>
      </c>
      <c r="N3327" t="s">
        <v>81</v>
      </c>
      <c r="O3327" t="s">
        <v>549</v>
      </c>
      <c r="P3327" t="s">
        <v>29</v>
      </c>
      <c r="Q3327" t="s">
        <v>42</v>
      </c>
      <c r="R3327" t="s">
        <v>110</v>
      </c>
      <c r="S3327" t="s">
        <v>111</v>
      </c>
      <c r="T3327" t="s">
        <v>1437</v>
      </c>
      <c r="U3327" t="s">
        <v>105</v>
      </c>
      <c r="V3327">
        <v>-1057.5899999999999</v>
      </c>
    </row>
    <row r="3328" spans="1:22" x14ac:dyDescent="0.3">
      <c r="A3328" t="s">
        <v>4800</v>
      </c>
      <c r="B3328" s="2">
        <v>46234</v>
      </c>
      <c r="C3328" t="s">
        <v>263</v>
      </c>
      <c r="D3328" t="s">
        <v>70</v>
      </c>
      <c r="E3328" t="s">
        <v>71</v>
      </c>
      <c r="F3328">
        <v>1</v>
      </c>
      <c r="G3328">
        <v>0.1</v>
      </c>
      <c r="H3328">
        <v>16200</v>
      </c>
      <c r="I3328">
        <v>2644.68</v>
      </c>
      <c r="J3328" t="s">
        <v>26</v>
      </c>
      <c r="K3328" t="s">
        <v>40</v>
      </c>
      <c r="L3328">
        <v>16200</v>
      </c>
      <c r="M3328">
        <v>16.32518518518518</v>
      </c>
      <c r="N3328" t="s">
        <v>8</v>
      </c>
      <c r="O3328" t="s">
        <v>265</v>
      </c>
      <c r="P3328" t="s">
        <v>73</v>
      </c>
      <c r="Q3328" t="s">
        <v>30</v>
      </c>
      <c r="R3328" t="s">
        <v>31</v>
      </c>
      <c r="S3328" t="s">
        <v>32</v>
      </c>
      <c r="T3328" t="s">
        <v>266</v>
      </c>
      <c r="U3328" t="s">
        <v>46</v>
      </c>
      <c r="V3328">
        <v>2644.68</v>
      </c>
    </row>
    <row r="3329" spans="1:22" x14ac:dyDescent="0.3">
      <c r="A3329" t="s">
        <v>4801</v>
      </c>
      <c r="B3329" s="2">
        <v>46065</v>
      </c>
      <c r="C3329" t="s">
        <v>1568</v>
      </c>
      <c r="D3329" t="s">
        <v>70</v>
      </c>
      <c r="E3329" t="s">
        <v>71</v>
      </c>
      <c r="F3329">
        <v>1</v>
      </c>
      <c r="G3329">
        <v>0</v>
      </c>
      <c r="H3329">
        <v>18000</v>
      </c>
      <c r="I3329">
        <v>3500</v>
      </c>
      <c r="J3329" t="s">
        <v>39</v>
      </c>
      <c r="K3329" t="s">
        <v>40</v>
      </c>
      <c r="L3329">
        <v>18000</v>
      </c>
      <c r="M3329">
        <v>19.44444444444445</v>
      </c>
      <c r="N3329" t="s">
        <v>8</v>
      </c>
      <c r="O3329" t="s">
        <v>1569</v>
      </c>
      <c r="P3329" t="s">
        <v>83</v>
      </c>
      <c r="Q3329" t="s">
        <v>42</v>
      </c>
      <c r="R3329" t="s">
        <v>121</v>
      </c>
      <c r="S3329" t="s">
        <v>44</v>
      </c>
      <c r="T3329" t="s">
        <v>1570</v>
      </c>
      <c r="U3329" t="s">
        <v>46</v>
      </c>
      <c r="V3329">
        <v>3500</v>
      </c>
    </row>
    <row r="3330" spans="1:22" x14ac:dyDescent="0.3">
      <c r="A3330" t="s">
        <v>4802</v>
      </c>
      <c r="B3330" s="2">
        <v>45976</v>
      </c>
      <c r="C3330" t="s">
        <v>1582</v>
      </c>
      <c r="D3330" t="s">
        <v>49</v>
      </c>
      <c r="E3330" t="s">
        <v>119</v>
      </c>
      <c r="F3330">
        <v>4</v>
      </c>
      <c r="G3330">
        <v>0.1</v>
      </c>
      <c r="H3330">
        <v>32400</v>
      </c>
      <c r="I3330">
        <v>6743.84</v>
      </c>
      <c r="J3330" t="s">
        <v>51</v>
      </c>
      <c r="K3330" t="s">
        <v>40</v>
      </c>
      <c r="L3330">
        <v>8100</v>
      </c>
      <c r="M3330">
        <v>20.81432098765432</v>
      </c>
      <c r="N3330" t="s">
        <v>8</v>
      </c>
      <c r="O3330" t="s">
        <v>1583</v>
      </c>
      <c r="P3330" t="s">
        <v>73</v>
      </c>
      <c r="Q3330" t="s">
        <v>30</v>
      </c>
      <c r="R3330" t="s">
        <v>53</v>
      </c>
      <c r="S3330" t="s">
        <v>54</v>
      </c>
      <c r="T3330" t="s">
        <v>370</v>
      </c>
      <c r="U3330" t="s">
        <v>105</v>
      </c>
      <c r="V3330">
        <v>1685.96</v>
      </c>
    </row>
    <row r="3331" spans="1:22" x14ac:dyDescent="0.3">
      <c r="A3331" t="s">
        <v>4803</v>
      </c>
      <c r="B3331" s="2">
        <v>45879</v>
      </c>
      <c r="C3331" t="s">
        <v>225</v>
      </c>
      <c r="D3331" t="s">
        <v>24</v>
      </c>
      <c r="E3331" t="s">
        <v>25</v>
      </c>
      <c r="F3331">
        <v>3</v>
      </c>
      <c r="G3331">
        <v>0.15</v>
      </c>
      <c r="H3331">
        <v>35700</v>
      </c>
      <c r="I3331">
        <v>3304.26</v>
      </c>
      <c r="J3331" t="s">
        <v>51</v>
      </c>
      <c r="K3331" t="s">
        <v>40</v>
      </c>
      <c r="L3331">
        <v>11900</v>
      </c>
      <c r="M3331">
        <v>9.2556302521008416</v>
      </c>
      <c r="N3331" t="s">
        <v>8</v>
      </c>
      <c r="O3331" t="s">
        <v>226</v>
      </c>
      <c r="P3331" t="s">
        <v>29</v>
      </c>
      <c r="Q3331" t="s">
        <v>30</v>
      </c>
      <c r="R3331" t="s">
        <v>31</v>
      </c>
      <c r="S3331" t="s">
        <v>32</v>
      </c>
      <c r="T3331" t="s">
        <v>227</v>
      </c>
      <c r="U3331" t="s">
        <v>100</v>
      </c>
      <c r="V3331">
        <v>1101.42</v>
      </c>
    </row>
    <row r="3332" spans="1:22" x14ac:dyDescent="0.3">
      <c r="A3332" t="s">
        <v>4804</v>
      </c>
      <c r="B3332" s="2">
        <v>46074</v>
      </c>
      <c r="C3332" t="s">
        <v>1266</v>
      </c>
      <c r="D3332" t="s">
        <v>37</v>
      </c>
      <c r="E3332" t="s">
        <v>310</v>
      </c>
      <c r="F3332">
        <v>3</v>
      </c>
      <c r="G3332">
        <v>0.1</v>
      </c>
      <c r="H3332">
        <v>5940</v>
      </c>
      <c r="I3332">
        <v>1733.3</v>
      </c>
      <c r="J3332" t="s">
        <v>51</v>
      </c>
      <c r="K3332" t="s">
        <v>40</v>
      </c>
      <c r="L3332">
        <v>1980</v>
      </c>
      <c r="M3332">
        <v>29.180134680134682</v>
      </c>
      <c r="N3332" t="s">
        <v>8</v>
      </c>
      <c r="O3332" t="s">
        <v>518</v>
      </c>
      <c r="P3332" t="s">
        <v>29</v>
      </c>
      <c r="Q3332" t="s">
        <v>74</v>
      </c>
      <c r="R3332" t="s">
        <v>115</v>
      </c>
      <c r="S3332" t="s">
        <v>115</v>
      </c>
      <c r="T3332" t="s">
        <v>1267</v>
      </c>
      <c r="U3332" t="s">
        <v>100</v>
      </c>
      <c r="V3332">
        <v>577.76666666666665</v>
      </c>
    </row>
    <row r="3333" spans="1:22" x14ac:dyDescent="0.3">
      <c r="A3333" t="s">
        <v>4805</v>
      </c>
      <c r="B3333" s="2">
        <v>45851</v>
      </c>
      <c r="C3333" t="s">
        <v>321</v>
      </c>
      <c r="D3333" t="s">
        <v>70</v>
      </c>
      <c r="E3333" t="s">
        <v>129</v>
      </c>
      <c r="F3333">
        <v>6</v>
      </c>
      <c r="G3333">
        <v>0.1</v>
      </c>
      <c r="H3333">
        <v>297000</v>
      </c>
      <c r="I3333">
        <v>-79927.11</v>
      </c>
      <c r="J3333" t="s">
        <v>51</v>
      </c>
      <c r="K3333" t="s">
        <v>80</v>
      </c>
      <c r="L3333">
        <v>49500</v>
      </c>
      <c r="M3333">
        <v>-26.91148484848485</v>
      </c>
      <c r="N3333" t="s">
        <v>81</v>
      </c>
      <c r="O3333" t="s">
        <v>322</v>
      </c>
      <c r="P3333" t="s">
        <v>29</v>
      </c>
      <c r="Q3333" t="s">
        <v>30</v>
      </c>
      <c r="R3333" t="s">
        <v>31</v>
      </c>
      <c r="S3333" t="s">
        <v>32</v>
      </c>
      <c r="T3333" t="s">
        <v>323</v>
      </c>
      <c r="U3333" t="s">
        <v>34</v>
      </c>
      <c r="V3333">
        <v>-13321.184999999999</v>
      </c>
    </row>
    <row r="3334" spans="1:22" x14ac:dyDescent="0.3">
      <c r="A3334" t="s">
        <v>4806</v>
      </c>
      <c r="B3334" s="2">
        <v>46058</v>
      </c>
      <c r="C3334" t="s">
        <v>1193</v>
      </c>
      <c r="D3334" t="s">
        <v>70</v>
      </c>
      <c r="E3334" t="s">
        <v>108</v>
      </c>
      <c r="F3334">
        <v>3</v>
      </c>
      <c r="G3334">
        <v>0</v>
      </c>
      <c r="H3334">
        <v>13500</v>
      </c>
      <c r="I3334">
        <v>4500</v>
      </c>
      <c r="J3334" t="s">
        <v>65</v>
      </c>
      <c r="K3334" t="s">
        <v>40</v>
      </c>
      <c r="L3334">
        <v>4500</v>
      </c>
      <c r="M3334">
        <v>33.333333333333329</v>
      </c>
      <c r="N3334" t="s">
        <v>8</v>
      </c>
      <c r="O3334" t="s">
        <v>781</v>
      </c>
      <c r="P3334" t="s">
        <v>29</v>
      </c>
      <c r="Q3334" t="s">
        <v>30</v>
      </c>
      <c r="R3334" t="s">
        <v>31</v>
      </c>
      <c r="S3334" t="s">
        <v>32</v>
      </c>
      <c r="T3334" t="s">
        <v>1194</v>
      </c>
      <c r="U3334" t="s">
        <v>46</v>
      </c>
      <c r="V3334">
        <v>1500</v>
      </c>
    </row>
    <row r="3335" spans="1:22" x14ac:dyDescent="0.3">
      <c r="A3335" t="s">
        <v>4807</v>
      </c>
      <c r="B3335" s="2">
        <v>46038</v>
      </c>
      <c r="C3335" t="s">
        <v>297</v>
      </c>
      <c r="D3335" t="s">
        <v>49</v>
      </c>
      <c r="E3335" t="s">
        <v>79</v>
      </c>
      <c r="F3335">
        <v>1</v>
      </c>
      <c r="G3335">
        <v>0</v>
      </c>
      <c r="H3335">
        <v>11000</v>
      </c>
      <c r="I3335">
        <v>2600</v>
      </c>
      <c r="J3335" t="s">
        <v>51</v>
      </c>
      <c r="K3335" t="s">
        <v>40</v>
      </c>
      <c r="L3335">
        <v>11000</v>
      </c>
      <c r="M3335">
        <v>23.63636363636364</v>
      </c>
      <c r="N3335" t="s">
        <v>8</v>
      </c>
      <c r="O3335" t="s">
        <v>298</v>
      </c>
      <c r="P3335" t="s">
        <v>83</v>
      </c>
      <c r="Q3335" t="s">
        <v>30</v>
      </c>
      <c r="R3335" t="s">
        <v>60</v>
      </c>
      <c r="S3335" t="s">
        <v>61</v>
      </c>
      <c r="T3335" t="s">
        <v>299</v>
      </c>
      <c r="U3335" t="s">
        <v>46</v>
      </c>
      <c r="V3335">
        <v>2600</v>
      </c>
    </row>
    <row r="3336" spans="1:22" x14ac:dyDescent="0.3">
      <c r="A3336" t="s">
        <v>4808</v>
      </c>
      <c r="B3336" s="2">
        <v>46193</v>
      </c>
      <c r="C3336" t="s">
        <v>1676</v>
      </c>
      <c r="D3336" t="s">
        <v>70</v>
      </c>
      <c r="E3336" t="s">
        <v>129</v>
      </c>
      <c r="F3336">
        <v>1</v>
      </c>
      <c r="G3336">
        <v>0.15</v>
      </c>
      <c r="H3336">
        <v>46750</v>
      </c>
      <c r="I3336">
        <v>-21365.03</v>
      </c>
      <c r="J3336" t="s">
        <v>39</v>
      </c>
      <c r="K3336" t="s">
        <v>434</v>
      </c>
      <c r="L3336">
        <v>46750</v>
      </c>
      <c r="M3336">
        <v>-45.700598930481277</v>
      </c>
      <c r="N3336" t="s">
        <v>81</v>
      </c>
      <c r="O3336" t="s">
        <v>1649</v>
      </c>
      <c r="P3336" t="s">
        <v>73</v>
      </c>
      <c r="Q3336" t="s">
        <v>30</v>
      </c>
      <c r="R3336" t="s">
        <v>31</v>
      </c>
      <c r="S3336" t="s">
        <v>32</v>
      </c>
      <c r="T3336" t="s">
        <v>1677</v>
      </c>
      <c r="U3336" t="s">
        <v>46</v>
      </c>
      <c r="V3336">
        <v>-21365.03</v>
      </c>
    </row>
    <row r="3337" spans="1:22" x14ac:dyDescent="0.3">
      <c r="A3337" t="s">
        <v>4809</v>
      </c>
      <c r="B3337" s="2">
        <v>45942</v>
      </c>
      <c r="C3337" t="s">
        <v>1331</v>
      </c>
      <c r="D3337" t="s">
        <v>37</v>
      </c>
      <c r="E3337" t="s">
        <v>190</v>
      </c>
      <c r="F3337">
        <v>3</v>
      </c>
      <c r="G3337">
        <v>0</v>
      </c>
      <c r="H3337">
        <v>12600</v>
      </c>
      <c r="I3337">
        <v>3600</v>
      </c>
      <c r="J3337" t="s">
        <v>39</v>
      </c>
      <c r="K3337" t="s">
        <v>40</v>
      </c>
      <c r="L3337">
        <v>4200</v>
      </c>
      <c r="M3337">
        <v>28.571428571428569</v>
      </c>
      <c r="N3337" t="s">
        <v>8</v>
      </c>
      <c r="O3337" t="s">
        <v>553</v>
      </c>
      <c r="P3337" t="s">
        <v>29</v>
      </c>
      <c r="Q3337" t="s">
        <v>30</v>
      </c>
      <c r="R3337" t="s">
        <v>31</v>
      </c>
      <c r="S3337" t="s">
        <v>32</v>
      </c>
      <c r="T3337" t="s">
        <v>1332</v>
      </c>
      <c r="U3337" t="s">
        <v>46</v>
      </c>
      <c r="V3337">
        <v>1200</v>
      </c>
    </row>
    <row r="3338" spans="1:22" x14ac:dyDescent="0.3">
      <c r="A3338" t="s">
        <v>4810</v>
      </c>
      <c r="B3338" s="2">
        <v>46012</v>
      </c>
      <c r="C3338" t="s">
        <v>325</v>
      </c>
      <c r="D3338" t="s">
        <v>49</v>
      </c>
      <c r="E3338" t="s">
        <v>79</v>
      </c>
      <c r="F3338">
        <v>1</v>
      </c>
      <c r="G3338">
        <v>0.15</v>
      </c>
      <c r="H3338">
        <v>9350</v>
      </c>
      <c r="I3338">
        <v>-5088.1499999999996</v>
      </c>
      <c r="J3338" t="s">
        <v>51</v>
      </c>
      <c r="K3338" t="s">
        <v>80</v>
      </c>
      <c r="L3338">
        <v>9350</v>
      </c>
      <c r="M3338">
        <v>-54.418716577540103</v>
      </c>
      <c r="N3338" t="s">
        <v>81</v>
      </c>
      <c r="O3338" t="s">
        <v>247</v>
      </c>
      <c r="P3338" t="s">
        <v>83</v>
      </c>
      <c r="Q3338" t="s">
        <v>42</v>
      </c>
      <c r="R3338" t="s">
        <v>43</v>
      </c>
      <c r="S3338" t="s">
        <v>44</v>
      </c>
      <c r="T3338" t="s">
        <v>326</v>
      </c>
      <c r="U3338" t="s">
        <v>46</v>
      </c>
      <c r="V3338">
        <v>-5088.1499999999996</v>
      </c>
    </row>
    <row r="3339" spans="1:22" x14ac:dyDescent="0.3">
      <c r="A3339" t="s">
        <v>4811</v>
      </c>
      <c r="B3339" s="2">
        <v>46057</v>
      </c>
      <c r="C3339" t="s">
        <v>736</v>
      </c>
      <c r="D3339" t="s">
        <v>24</v>
      </c>
      <c r="E3339" t="s">
        <v>87</v>
      </c>
      <c r="F3339">
        <v>4</v>
      </c>
      <c r="G3339">
        <v>0.15</v>
      </c>
      <c r="H3339">
        <v>1190</v>
      </c>
      <c r="I3339">
        <v>304.47000000000003</v>
      </c>
      <c r="J3339" t="s">
        <v>65</v>
      </c>
      <c r="K3339" t="s">
        <v>40</v>
      </c>
      <c r="L3339">
        <v>297.5</v>
      </c>
      <c r="M3339">
        <v>25.585714285714289</v>
      </c>
      <c r="N3339" t="s">
        <v>8</v>
      </c>
      <c r="O3339" t="s">
        <v>648</v>
      </c>
      <c r="P3339" t="s">
        <v>29</v>
      </c>
      <c r="Q3339" t="s">
        <v>30</v>
      </c>
      <c r="R3339" t="s">
        <v>60</v>
      </c>
      <c r="S3339" t="s">
        <v>61</v>
      </c>
      <c r="T3339" t="s">
        <v>311</v>
      </c>
      <c r="U3339" t="s">
        <v>34</v>
      </c>
      <c r="V3339">
        <v>76.117500000000007</v>
      </c>
    </row>
    <row r="3340" spans="1:22" x14ac:dyDescent="0.3">
      <c r="A3340" t="s">
        <v>4812</v>
      </c>
      <c r="B3340" s="2">
        <v>46088</v>
      </c>
      <c r="C3340" t="s">
        <v>152</v>
      </c>
      <c r="D3340" t="s">
        <v>49</v>
      </c>
      <c r="E3340" t="s">
        <v>58</v>
      </c>
      <c r="F3340">
        <v>2</v>
      </c>
      <c r="G3340">
        <v>0</v>
      </c>
      <c r="H3340">
        <v>30000</v>
      </c>
      <c r="I3340">
        <v>7000</v>
      </c>
      <c r="J3340" t="s">
        <v>51</v>
      </c>
      <c r="K3340" t="s">
        <v>27</v>
      </c>
      <c r="L3340">
        <v>15000</v>
      </c>
      <c r="M3340">
        <v>23.333333333333329</v>
      </c>
      <c r="N3340" t="s">
        <v>8</v>
      </c>
      <c r="O3340" t="s">
        <v>153</v>
      </c>
      <c r="P3340" t="s">
        <v>83</v>
      </c>
      <c r="Q3340" t="s">
        <v>30</v>
      </c>
      <c r="R3340" t="s">
        <v>53</v>
      </c>
      <c r="S3340" t="s">
        <v>54</v>
      </c>
      <c r="T3340" t="s">
        <v>154</v>
      </c>
      <c r="U3340" t="s">
        <v>100</v>
      </c>
      <c r="V3340">
        <v>3500</v>
      </c>
    </row>
    <row r="3341" spans="1:22" x14ac:dyDescent="0.3">
      <c r="A3341" t="s">
        <v>4813</v>
      </c>
      <c r="B3341" s="2">
        <v>46053</v>
      </c>
      <c r="C3341" t="s">
        <v>1313</v>
      </c>
      <c r="D3341" t="s">
        <v>49</v>
      </c>
      <c r="E3341" t="s">
        <v>119</v>
      </c>
      <c r="F3341">
        <v>2</v>
      </c>
      <c r="G3341">
        <v>0.05</v>
      </c>
      <c r="H3341">
        <v>17100</v>
      </c>
      <c r="I3341">
        <v>3899.61</v>
      </c>
      <c r="J3341" t="s">
        <v>65</v>
      </c>
      <c r="K3341" t="s">
        <v>40</v>
      </c>
      <c r="L3341">
        <v>8550</v>
      </c>
      <c r="M3341">
        <v>22.80473684210526</v>
      </c>
      <c r="N3341" t="s">
        <v>8</v>
      </c>
      <c r="O3341" t="s">
        <v>1314</v>
      </c>
      <c r="P3341" t="s">
        <v>73</v>
      </c>
      <c r="Q3341" t="s">
        <v>131</v>
      </c>
      <c r="R3341" t="s">
        <v>289</v>
      </c>
      <c r="S3341" t="s">
        <v>290</v>
      </c>
      <c r="T3341" t="s">
        <v>1161</v>
      </c>
      <c r="U3341" t="s">
        <v>105</v>
      </c>
      <c r="V3341">
        <v>1949.8050000000001</v>
      </c>
    </row>
    <row r="3342" spans="1:22" x14ac:dyDescent="0.3">
      <c r="A3342" t="s">
        <v>4814</v>
      </c>
      <c r="B3342" s="2">
        <v>46111</v>
      </c>
      <c r="C3342" t="s">
        <v>351</v>
      </c>
      <c r="D3342" t="s">
        <v>24</v>
      </c>
      <c r="E3342" t="s">
        <v>92</v>
      </c>
      <c r="F3342">
        <v>3</v>
      </c>
      <c r="G3342">
        <v>0.15</v>
      </c>
      <c r="H3342">
        <v>2295</v>
      </c>
      <c r="I3342">
        <v>622.5</v>
      </c>
      <c r="J3342" t="s">
        <v>51</v>
      </c>
      <c r="K3342" t="s">
        <v>40</v>
      </c>
      <c r="L3342">
        <v>765</v>
      </c>
      <c r="M3342">
        <v>27.124183006535951</v>
      </c>
      <c r="N3342" t="s">
        <v>8</v>
      </c>
      <c r="O3342" t="s">
        <v>352</v>
      </c>
      <c r="P3342" t="s">
        <v>73</v>
      </c>
      <c r="Q3342" t="s">
        <v>30</v>
      </c>
      <c r="R3342" t="s">
        <v>31</v>
      </c>
      <c r="S3342" t="s">
        <v>32</v>
      </c>
      <c r="T3342" t="s">
        <v>338</v>
      </c>
      <c r="U3342" t="s">
        <v>100</v>
      </c>
      <c r="V3342">
        <v>207.5</v>
      </c>
    </row>
    <row r="3343" spans="1:22" x14ac:dyDescent="0.3">
      <c r="A3343" t="s">
        <v>4815</v>
      </c>
      <c r="B3343" s="2">
        <v>46202</v>
      </c>
      <c r="C3343" t="s">
        <v>1533</v>
      </c>
      <c r="D3343" t="s">
        <v>70</v>
      </c>
      <c r="E3343" t="s">
        <v>108</v>
      </c>
      <c r="F3343">
        <v>2</v>
      </c>
      <c r="G3343">
        <v>0</v>
      </c>
      <c r="H3343">
        <v>9000</v>
      </c>
      <c r="I3343">
        <v>3000</v>
      </c>
      <c r="J3343" t="s">
        <v>51</v>
      </c>
      <c r="K3343" t="s">
        <v>27</v>
      </c>
      <c r="L3343">
        <v>4500</v>
      </c>
      <c r="M3343">
        <v>33.333333333333329</v>
      </c>
      <c r="N3343" t="s">
        <v>8</v>
      </c>
      <c r="O3343" t="s">
        <v>1534</v>
      </c>
      <c r="P3343" t="s">
        <v>83</v>
      </c>
      <c r="Q3343" t="s">
        <v>42</v>
      </c>
      <c r="R3343" t="s">
        <v>110</v>
      </c>
      <c r="S3343" t="s">
        <v>111</v>
      </c>
      <c r="T3343" t="s">
        <v>503</v>
      </c>
      <c r="U3343" t="s">
        <v>46</v>
      </c>
      <c r="V3343">
        <v>1500</v>
      </c>
    </row>
    <row r="3344" spans="1:22" x14ac:dyDescent="0.3">
      <c r="A3344" t="s">
        <v>4816</v>
      </c>
      <c r="B3344" s="2">
        <v>46043</v>
      </c>
      <c r="C3344" t="s">
        <v>814</v>
      </c>
      <c r="D3344" t="s">
        <v>37</v>
      </c>
      <c r="E3344" t="s">
        <v>310</v>
      </c>
      <c r="F3344">
        <v>10</v>
      </c>
      <c r="G3344">
        <v>0.1</v>
      </c>
      <c r="H3344">
        <v>19800</v>
      </c>
      <c r="I3344">
        <v>6103.36</v>
      </c>
      <c r="J3344" t="s">
        <v>51</v>
      </c>
      <c r="K3344" t="s">
        <v>40</v>
      </c>
      <c r="L3344">
        <v>1980</v>
      </c>
      <c r="M3344">
        <v>30.825050505050509</v>
      </c>
      <c r="N3344" t="s">
        <v>8</v>
      </c>
      <c r="O3344" t="s">
        <v>815</v>
      </c>
      <c r="P3344" t="s">
        <v>73</v>
      </c>
      <c r="Q3344" t="s">
        <v>42</v>
      </c>
      <c r="R3344" t="s">
        <v>121</v>
      </c>
      <c r="S3344" t="s">
        <v>44</v>
      </c>
      <c r="T3344" t="s">
        <v>816</v>
      </c>
      <c r="U3344" t="s">
        <v>46</v>
      </c>
      <c r="V3344">
        <v>610.33600000000001</v>
      </c>
    </row>
    <row r="3345" spans="1:22" x14ac:dyDescent="0.3">
      <c r="A3345" t="s">
        <v>4817</v>
      </c>
      <c r="B3345" s="2">
        <v>46000</v>
      </c>
      <c r="C3345" t="s">
        <v>457</v>
      </c>
      <c r="D3345" t="s">
        <v>70</v>
      </c>
      <c r="E3345" t="s">
        <v>108</v>
      </c>
      <c r="F3345">
        <v>3</v>
      </c>
      <c r="G3345">
        <v>0</v>
      </c>
      <c r="H3345">
        <v>13500</v>
      </c>
      <c r="I3345">
        <v>-856.26</v>
      </c>
      <c r="J3345" t="s">
        <v>51</v>
      </c>
      <c r="K3345" t="s">
        <v>434</v>
      </c>
      <c r="L3345">
        <v>4500</v>
      </c>
      <c r="M3345">
        <v>-6.3426666666666671</v>
      </c>
      <c r="N3345" t="s">
        <v>81</v>
      </c>
      <c r="O3345" t="s">
        <v>458</v>
      </c>
      <c r="P3345" t="s">
        <v>73</v>
      </c>
      <c r="Q3345" t="s">
        <v>30</v>
      </c>
      <c r="R3345" t="s">
        <v>60</v>
      </c>
      <c r="S3345" t="s">
        <v>61</v>
      </c>
      <c r="T3345" t="s">
        <v>459</v>
      </c>
      <c r="U3345" t="s">
        <v>34</v>
      </c>
      <c r="V3345">
        <v>-285.42</v>
      </c>
    </row>
    <row r="3346" spans="1:22" x14ac:dyDescent="0.3">
      <c r="A3346" t="s">
        <v>4818</v>
      </c>
      <c r="B3346" s="2">
        <v>46200</v>
      </c>
      <c r="C3346" t="s">
        <v>810</v>
      </c>
      <c r="D3346" t="s">
        <v>49</v>
      </c>
      <c r="E3346" t="s">
        <v>50</v>
      </c>
      <c r="F3346">
        <v>1</v>
      </c>
      <c r="G3346">
        <v>0</v>
      </c>
      <c r="H3346">
        <v>13000</v>
      </c>
      <c r="I3346">
        <v>3200</v>
      </c>
      <c r="J3346" t="s">
        <v>51</v>
      </c>
      <c r="K3346" t="s">
        <v>40</v>
      </c>
      <c r="L3346">
        <v>13000</v>
      </c>
      <c r="M3346">
        <v>24.61538461538462</v>
      </c>
      <c r="N3346" t="s">
        <v>8</v>
      </c>
      <c r="O3346" t="s">
        <v>811</v>
      </c>
      <c r="P3346" t="s">
        <v>73</v>
      </c>
      <c r="Q3346" t="s">
        <v>30</v>
      </c>
      <c r="R3346" t="s">
        <v>60</v>
      </c>
      <c r="S3346" t="s">
        <v>61</v>
      </c>
      <c r="T3346" t="s">
        <v>812</v>
      </c>
      <c r="U3346" t="s">
        <v>34</v>
      </c>
      <c r="V3346">
        <v>3200</v>
      </c>
    </row>
    <row r="3347" spans="1:22" x14ac:dyDescent="0.3">
      <c r="A3347" t="s">
        <v>4819</v>
      </c>
      <c r="B3347" s="2">
        <v>46062</v>
      </c>
      <c r="C3347" t="s">
        <v>204</v>
      </c>
      <c r="D3347" t="s">
        <v>49</v>
      </c>
      <c r="E3347" t="s">
        <v>119</v>
      </c>
      <c r="F3347">
        <v>15</v>
      </c>
      <c r="G3347">
        <v>0.1</v>
      </c>
      <c r="H3347">
        <v>121500</v>
      </c>
      <c r="I3347">
        <v>27148.1</v>
      </c>
      <c r="J3347" t="s">
        <v>51</v>
      </c>
      <c r="K3347" t="s">
        <v>40</v>
      </c>
      <c r="L3347">
        <v>8100</v>
      </c>
      <c r="M3347">
        <v>22.344115226337451</v>
      </c>
      <c r="N3347" t="s">
        <v>8</v>
      </c>
      <c r="O3347" t="s">
        <v>205</v>
      </c>
      <c r="P3347" t="s">
        <v>29</v>
      </c>
      <c r="Q3347" t="s">
        <v>30</v>
      </c>
      <c r="R3347" t="s">
        <v>98</v>
      </c>
      <c r="S3347" t="s">
        <v>54</v>
      </c>
      <c r="T3347" t="s">
        <v>206</v>
      </c>
      <c r="U3347" t="s">
        <v>34</v>
      </c>
      <c r="V3347">
        <v>1809.873333333333</v>
      </c>
    </row>
    <row r="3348" spans="1:22" x14ac:dyDescent="0.3">
      <c r="A3348" t="s">
        <v>4820</v>
      </c>
      <c r="B3348" s="2">
        <v>46136</v>
      </c>
      <c r="C3348" t="s">
        <v>1605</v>
      </c>
      <c r="D3348" t="s">
        <v>24</v>
      </c>
      <c r="E3348" t="s">
        <v>92</v>
      </c>
      <c r="F3348">
        <v>2</v>
      </c>
      <c r="G3348">
        <v>0.15</v>
      </c>
      <c r="H3348">
        <v>1530</v>
      </c>
      <c r="I3348">
        <v>332.58</v>
      </c>
      <c r="J3348" t="s">
        <v>39</v>
      </c>
      <c r="K3348" t="s">
        <v>40</v>
      </c>
      <c r="L3348">
        <v>765</v>
      </c>
      <c r="M3348">
        <v>21.737254901960789</v>
      </c>
      <c r="N3348" t="s">
        <v>8</v>
      </c>
      <c r="O3348" t="s">
        <v>1606</v>
      </c>
      <c r="P3348" t="s">
        <v>73</v>
      </c>
      <c r="Q3348" t="s">
        <v>30</v>
      </c>
      <c r="R3348" t="s">
        <v>53</v>
      </c>
      <c r="S3348" t="s">
        <v>54</v>
      </c>
      <c r="T3348" t="s">
        <v>1607</v>
      </c>
      <c r="U3348" t="s">
        <v>34</v>
      </c>
      <c r="V3348">
        <v>166.29</v>
      </c>
    </row>
    <row r="3349" spans="1:22" x14ac:dyDescent="0.3">
      <c r="A3349" t="s">
        <v>4821</v>
      </c>
      <c r="B3349" s="2">
        <v>46028</v>
      </c>
      <c r="C3349" t="s">
        <v>2972</v>
      </c>
      <c r="D3349" t="s">
        <v>49</v>
      </c>
      <c r="E3349" t="s">
        <v>50</v>
      </c>
      <c r="F3349">
        <v>2</v>
      </c>
      <c r="G3349">
        <v>0</v>
      </c>
      <c r="H3349">
        <v>26000</v>
      </c>
      <c r="I3349">
        <v>6400</v>
      </c>
      <c r="J3349" t="s">
        <v>26</v>
      </c>
      <c r="K3349" t="s">
        <v>40</v>
      </c>
      <c r="L3349">
        <v>13000</v>
      </c>
      <c r="M3349">
        <v>24.61538461538462</v>
      </c>
      <c r="N3349" t="s">
        <v>8</v>
      </c>
      <c r="O3349" t="s">
        <v>870</v>
      </c>
      <c r="P3349" t="s">
        <v>83</v>
      </c>
      <c r="Q3349" t="s">
        <v>30</v>
      </c>
      <c r="R3349" t="s">
        <v>60</v>
      </c>
      <c r="S3349" t="s">
        <v>61</v>
      </c>
      <c r="T3349" t="s">
        <v>898</v>
      </c>
      <c r="U3349" t="s">
        <v>34</v>
      </c>
      <c r="V3349">
        <v>3200</v>
      </c>
    </row>
    <row r="3350" spans="1:22" x14ac:dyDescent="0.3">
      <c r="A3350" t="s">
        <v>4822</v>
      </c>
      <c r="B3350" s="2">
        <v>45874</v>
      </c>
      <c r="C3350" t="s">
        <v>313</v>
      </c>
      <c r="D3350" t="s">
        <v>24</v>
      </c>
      <c r="E3350" t="s">
        <v>242</v>
      </c>
      <c r="F3350">
        <v>3</v>
      </c>
      <c r="G3350">
        <v>0.1</v>
      </c>
      <c r="H3350">
        <v>1215</v>
      </c>
      <c r="I3350">
        <v>220.76</v>
      </c>
      <c r="J3350" t="s">
        <v>26</v>
      </c>
      <c r="K3350" t="s">
        <v>27</v>
      </c>
      <c r="L3350">
        <v>405</v>
      </c>
      <c r="M3350">
        <v>18.169547325102879</v>
      </c>
      <c r="N3350" t="s">
        <v>8</v>
      </c>
      <c r="O3350" t="s">
        <v>314</v>
      </c>
      <c r="P3350" t="s">
        <v>29</v>
      </c>
      <c r="Q3350" t="s">
        <v>30</v>
      </c>
      <c r="R3350" t="s">
        <v>98</v>
      </c>
      <c r="S3350" t="s">
        <v>54</v>
      </c>
      <c r="T3350" t="s">
        <v>315</v>
      </c>
      <c r="U3350" t="s">
        <v>100</v>
      </c>
      <c r="V3350">
        <v>73.586666666666659</v>
      </c>
    </row>
    <row r="3351" spans="1:22" x14ac:dyDescent="0.3">
      <c r="A3351" t="s">
        <v>4823</v>
      </c>
      <c r="B3351" s="2">
        <v>45945</v>
      </c>
      <c r="C3351" t="s">
        <v>533</v>
      </c>
      <c r="D3351" t="s">
        <v>70</v>
      </c>
      <c r="E3351" t="s">
        <v>108</v>
      </c>
      <c r="F3351">
        <v>3</v>
      </c>
      <c r="G3351">
        <v>0.05</v>
      </c>
      <c r="H3351">
        <v>12825</v>
      </c>
      <c r="I3351">
        <v>4149.68</v>
      </c>
      <c r="J3351" t="s">
        <v>65</v>
      </c>
      <c r="K3351" t="s">
        <v>40</v>
      </c>
      <c r="L3351">
        <v>4275</v>
      </c>
      <c r="M3351">
        <v>32.356179337231971</v>
      </c>
      <c r="N3351" t="s">
        <v>8</v>
      </c>
      <c r="O3351" t="s">
        <v>306</v>
      </c>
      <c r="P3351" t="s">
        <v>83</v>
      </c>
      <c r="Q3351" t="s">
        <v>131</v>
      </c>
      <c r="R3351" t="s">
        <v>132</v>
      </c>
      <c r="S3351" t="s">
        <v>133</v>
      </c>
      <c r="T3351" t="s">
        <v>534</v>
      </c>
      <c r="U3351" t="s">
        <v>46</v>
      </c>
      <c r="V3351">
        <v>1383.2266666666669</v>
      </c>
    </row>
    <row r="3352" spans="1:22" x14ac:dyDescent="0.3">
      <c r="A3352" t="s">
        <v>4824</v>
      </c>
      <c r="B3352" s="2">
        <v>46077</v>
      </c>
      <c r="C3352" t="s">
        <v>610</v>
      </c>
      <c r="D3352" t="s">
        <v>49</v>
      </c>
      <c r="E3352" t="s">
        <v>50</v>
      </c>
      <c r="F3352">
        <v>4</v>
      </c>
      <c r="G3352">
        <v>0.1</v>
      </c>
      <c r="H3352">
        <v>46800</v>
      </c>
      <c r="I3352">
        <v>-6681.07</v>
      </c>
      <c r="J3352" t="s">
        <v>26</v>
      </c>
      <c r="K3352" t="s">
        <v>80</v>
      </c>
      <c r="L3352">
        <v>11700</v>
      </c>
      <c r="M3352">
        <v>-14.2757905982906</v>
      </c>
      <c r="N3352" t="s">
        <v>81</v>
      </c>
      <c r="O3352" t="s">
        <v>611</v>
      </c>
      <c r="P3352" t="s">
        <v>83</v>
      </c>
      <c r="Q3352" t="s">
        <v>42</v>
      </c>
      <c r="R3352" t="s">
        <v>110</v>
      </c>
      <c r="S3352" t="s">
        <v>111</v>
      </c>
      <c r="T3352" t="s">
        <v>612</v>
      </c>
      <c r="U3352" t="s">
        <v>34</v>
      </c>
      <c r="V3352">
        <v>-1670.2674999999999</v>
      </c>
    </row>
    <row r="3353" spans="1:22" x14ac:dyDescent="0.3">
      <c r="A3353" t="s">
        <v>4825</v>
      </c>
      <c r="B3353" s="2">
        <v>46061</v>
      </c>
      <c r="C3353" t="s">
        <v>1767</v>
      </c>
      <c r="D3353" t="s">
        <v>37</v>
      </c>
      <c r="E3353" t="s">
        <v>38</v>
      </c>
      <c r="F3353">
        <v>6</v>
      </c>
      <c r="G3353">
        <v>0.05</v>
      </c>
      <c r="H3353">
        <v>10260</v>
      </c>
      <c r="I3353">
        <v>-3161.5</v>
      </c>
      <c r="J3353" t="s">
        <v>65</v>
      </c>
      <c r="K3353" t="s">
        <v>80</v>
      </c>
      <c r="L3353">
        <v>1710</v>
      </c>
      <c r="M3353">
        <v>-30.813840155945421</v>
      </c>
      <c r="N3353" t="s">
        <v>81</v>
      </c>
      <c r="O3353" t="s">
        <v>1768</v>
      </c>
      <c r="P3353" t="s">
        <v>29</v>
      </c>
      <c r="Q3353" t="s">
        <v>131</v>
      </c>
      <c r="R3353" t="s">
        <v>289</v>
      </c>
      <c r="S3353" t="s">
        <v>290</v>
      </c>
      <c r="T3353" t="s">
        <v>1469</v>
      </c>
      <c r="U3353" t="s">
        <v>100</v>
      </c>
      <c r="V3353">
        <v>-526.91666666666663</v>
      </c>
    </row>
    <row r="3354" spans="1:22" x14ac:dyDescent="0.3">
      <c r="A3354" t="s">
        <v>4826</v>
      </c>
      <c r="B3354" s="2">
        <v>45925</v>
      </c>
      <c r="C3354" t="s">
        <v>1637</v>
      </c>
      <c r="D3354" t="s">
        <v>49</v>
      </c>
      <c r="E3354" t="s">
        <v>58</v>
      </c>
      <c r="F3354">
        <v>2</v>
      </c>
      <c r="G3354">
        <v>0.1</v>
      </c>
      <c r="H3354">
        <v>27000</v>
      </c>
      <c r="I3354">
        <v>5317.05</v>
      </c>
      <c r="J3354" t="s">
        <v>26</v>
      </c>
      <c r="K3354" t="s">
        <v>27</v>
      </c>
      <c r="L3354">
        <v>13500</v>
      </c>
      <c r="M3354">
        <v>19.692777777777781</v>
      </c>
      <c r="N3354" t="s">
        <v>8</v>
      </c>
      <c r="O3354" t="s">
        <v>697</v>
      </c>
      <c r="P3354" t="s">
        <v>29</v>
      </c>
      <c r="Q3354" t="s">
        <v>30</v>
      </c>
      <c r="R3354" t="s">
        <v>31</v>
      </c>
      <c r="S3354" t="s">
        <v>32</v>
      </c>
      <c r="T3354" t="s">
        <v>1638</v>
      </c>
      <c r="U3354" t="s">
        <v>46</v>
      </c>
      <c r="V3354">
        <v>2658.5250000000001</v>
      </c>
    </row>
    <row r="3355" spans="1:22" x14ac:dyDescent="0.3">
      <c r="A3355" t="s">
        <v>4827</v>
      </c>
      <c r="B3355" s="2">
        <v>46084</v>
      </c>
      <c r="C3355" t="s">
        <v>1533</v>
      </c>
      <c r="D3355" t="s">
        <v>24</v>
      </c>
      <c r="E3355" t="s">
        <v>242</v>
      </c>
      <c r="F3355">
        <v>4</v>
      </c>
      <c r="G3355">
        <v>0</v>
      </c>
      <c r="H3355">
        <v>1800</v>
      </c>
      <c r="I3355">
        <v>-40.33</v>
      </c>
      <c r="J3355" t="s">
        <v>39</v>
      </c>
      <c r="K3355" t="s">
        <v>434</v>
      </c>
      <c r="L3355">
        <v>450</v>
      </c>
      <c r="M3355">
        <v>-2.240555555555555</v>
      </c>
      <c r="N3355" t="s">
        <v>81</v>
      </c>
      <c r="O3355" t="s">
        <v>1534</v>
      </c>
      <c r="P3355" t="s">
        <v>83</v>
      </c>
      <c r="Q3355" t="s">
        <v>42</v>
      </c>
      <c r="R3355" t="s">
        <v>110</v>
      </c>
      <c r="S3355" t="s">
        <v>111</v>
      </c>
      <c r="T3355" t="s">
        <v>503</v>
      </c>
      <c r="U3355" t="s">
        <v>46</v>
      </c>
      <c r="V3355">
        <v>-10.0825</v>
      </c>
    </row>
    <row r="3356" spans="1:22" x14ac:dyDescent="0.3">
      <c r="A3356" t="s">
        <v>4828</v>
      </c>
      <c r="B3356" s="2">
        <v>45880</v>
      </c>
      <c r="C3356" t="s">
        <v>241</v>
      </c>
      <c r="D3356" t="s">
        <v>24</v>
      </c>
      <c r="E3356" t="s">
        <v>92</v>
      </c>
      <c r="F3356">
        <v>2</v>
      </c>
      <c r="G3356">
        <v>0.05</v>
      </c>
      <c r="H3356">
        <v>1710</v>
      </c>
      <c r="I3356">
        <v>489.25</v>
      </c>
      <c r="J3356" t="s">
        <v>39</v>
      </c>
      <c r="K3356" t="s">
        <v>40</v>
      </c>
      <c r="L3356">
        <v>855</v>
      </c>
      <c r="M3356">
        <v>28.611111111111111</v>
      </c>
      <c r="N3356" t="s">
        <v>8</v>
      </c>
      <c r="O3356" t="s">
        <v>243</v>
      </c>
      <c r="P3356" t="s">
        <v>73</v>
      </c>
      <c r="Q3356" t="s">
        <v>74</v>
      </c>
      <c r="R3356" t="s">
        <v>75</v>
      </c>
      <c r="S3356" t="s">
        <v>75</v>
      </c>
      <c r="T3356" t="s">
        <v>244</v>
      </c>
      <c r="U3356" t="s">
        <v>34</v>
      </c>
      <c r="V3356">
        <v>244.625</v>
      </c>
    </row>
    <row r="3357" spans="1:22" x14ac:dyDescent="0.3">
      <c r="A3357" t="s">
        <v>4829</v>
      </c>
      <c r="B3357" s="2">
        <v>46009</v>
      </c>
      <c r="C3357" t="s">
        <v>1493</v>
      </c>
      <c r="D3357" t="s">
        <v>37</v>
      </c>
      <c r="E3357" t="s">
        <v>190</v>
      </c>
      <c r="F3357">
        <v>4</v>
      </c>
      <c r="G3357">
        <v>0.05</v>
      </c>
      <c r="H3357">
        <v>15960</v>
      </c>
      <c r="I3357">
        <v>-8247.91</v>
      </c>
      <c r="J3357" t="s">
        <v>51</v>
      </c>
      <c r="K3357" t="s">
        <v>80</v>
      </c>
      <c r="L3357">
        <v>3990</v>
      </c>
      <c r="M3357">
        <v>-51.678634085213027</v>
      </c>
      <c r="N3357" t="s">
        <v>81</v>
      </c>
      <c r="O3357" t="s">
        <v>1494</v>
      </c>
      <c r="P3357" t="s">
        <v>73</v>
      </c>
      <c r="Q3357" t="s">
        <v>131</v>
      </c>
      <c r="R3357" t="s">
        <v>449</v>
      </c>
      <c r="S3357" t="s">
        <v>450</v>
      </c>
      <c r="T3357" t="s">
        <v>1495</v>
      </c>
      <c r="U3357" t="s">
        <v>34</v>
      </c>
      <c r="V3357">
        <v>-2061.9775</v>
      </c>
    </row>
    <row r="3358" spans="1:22" x14ac:dyDescent="0.3">
      <c r="A3358" t="s">
        <v>4830</v>
      </c>
      <c r="B3358" s="2">
        <v>45954</v>
      </c>
      <c r="C3358" t="s">
        <v>2177</v>
      </c>
      <c r="D3358" t="s">
        <v>37</v>
      </c>
      <c r="E3358" t="s">
        <v>310</v>
      </c>
      <c r="F3358">
        <v>4</v>
      </c>
      <c r="G3358">
        <v>0</v>
      </c>
      <c r="H3358">
        <v>8800</v>
      </c>
      <c r="I3358">
        <v>3000</v>
      </c>
      <c r="J3358" t="s">
        <v>39</v>
      </c>
      <c r="K3358" t="s">
        <v>40</v>
      </c>
      <c r="L3358">
        <v>2200</v>
      </c>
      <c r="M3358">
        <v>34.090909090909093</v>
      </c>
      <c r="N3358" t="s">
        <v>8</v>
      </c>
      <c r="O3358" t="s">
        <v>175</v>
      </c>
      <c r="P3358" t="s">
        <v>29</v>
      </c>
      <c r="Q3358" t="s">
        <v>30</v>
      </c>
      <c r="R3358" t="s">
        <v>98</v>
      </c>
      <c r="S3358" t="s">
        <v>54</v>
      </c>
      <c r="T3358" t="s">
        <v>2178</v>
      </c>
      <c r="U3358" t="s">
        <v>46</v>
      </c>
      <c r="V3358">
        <v>750</v>
      </c>
    </row>
    <row r="3359" spans="1:22" x14ac:dyDescent="0.3">
      <c r="A3359" t="s">
        <v>4831</v>
      </c>
      <c r="B3359" s="2">
        <v>45996</v>
      </c>
      <c r="C3359" t="s">
        <v>430</v>
      </c>
      <c r="D3359" t="s">
        <v>49</v>
      </c>
      <c r="E3359" t="s">
        <v>58</v>
      </c>
      <c r="F3359">
        <v>2</v>
      </c>
      <c r="G3359">
        <v>0.1</v>
      </c>
      <c r="H3359">
        <v>27000</v>
      </c>
      <c r="I3359">
        <v>4689.29</v>
      </c>
      <c r="J3359" t="s">
        <v>39</v>
      </c>
      <c r="K3359" t="s">
        <v>40</v>
      </c>
      <c r="L3359">
        <v>13500</v>
      </c>
      <c r="M3359">
        <v>17.367740740740739</v>
      </c>
      <c r="N3359" t="s">
        <v>8</v>
      </c>
      <c r="O3359" t="s">
        <v>431</v>
      </c>
      <c r="P3359" t="s">
        <v>29</v>
      </c>
      <c r="Q3359" t="s">
        <v>30</v>
      </c>
      <c r="R3359" t="s">
        <v>53</v>
      </c>
      <c r="S3359" t="s">
        <v>54</v>
      </c>
      <c r="T3359" t="s">
        <v>256</v>
      </c>
      <c r="U3359" t="s">
        <v>46</v>
      </c>
      <c r="V3359">
        <v>2344.645</v>
      </c>
    </row>
    <row r="3360" spans="1:22" x14ac:dyDescent="0.3">
      <c r="A3360" t="s">
        <v>4832</v>
      </c>
      <c r="B3360" s="2">
        <v>46013</v>
      </c>
      <c r="C3360" t="s">
        <v>3146</v>
      </c>
      <c r="D3360" t="s">
        <v>49</v>
      </c>
      <c r="E3360" t="s">
        <v>79</v>
      </c>
      <c r="F3360">
        <v>2</v>
      </c>
      <c r="G3360">
        <v>0.3</v>
      </c>
      <c r="H3360">
        <v>15400</v>
      </c>
      <c r="I3360">
        <v>2070.16</v>
      </c>
      <c r="J3360" t="s">
        <v>51</v>
      </c>
      <c r="K3360" t="s">
        <v>27</v>
      </c>
      <c r="L3360">
        <v>7700</v>
      </c>
      <c r="M3360">
        <v>13.4425974025974</v>
      </c>
      <c r="N3360" t="s">
        <v>8</v>
      </c>
      <c r="O3360" t="s">
        <v>3147</v>
      </c>
      <c r="P3360" t="s">
        <v>73</v>
      </c>
      <c r="Q3360" t="s">
        <v>42</v>
      </c>
      <c r="R3360" t="s">
        <v>121</v>
      </c>
      <c r="S3360" t="s">
        <v>44</v>
      </c>
      <c r="T3360" t="s">
        <v>2122</v>
      </c>
      <c r="U3360" t="s">
        <v>34</v>
      </c>
      <c r="V3360">
        <v>1035.08</v>
      </c>
    </row>
    <row r="3361" spans="1:22" x14ac:dyDescent="0.3">
      <c r="A3361" t="s">
        <v>4833</v>
      </c>
      <c r="B3361" s="2">
        <v>46201</v>
      </c>
      <c r="C3361" t="s">
        <v>1377</v>
      </c>
      <c r="D3361" t="s">
        <v>49</v>
      </c>
      <c r="E3361" t="s">
        <v>119</v>
      </c>
      <c r="F3361">
        <v>3</v>
      </c>
      <c r="G3361">
        <v>0.2</v>
      </c>
      <c r="H3361">
        <v>21600</v>
      </c>
      <c r="I3361">
        <v>4348.6499999999996</v>
      </c>
      <c r="J3361" t="s">
        <v>39</v>
      </c>
      <c r="K3361" t="s">
        <v>40</v>
      </c>
      <c r="L3361">
        <v>7200</v>
      </c>
      <c r="M3361">
        <v>20.132638888888891</v>
      </c>
      <c r="N3361" t="s">
        <v>8</v>
      </c>
      <c r="O3361" t="s">
        <v>1378</v>
      </c>
      <c r="P3361" t="s">
        <v>29</v>
      </c>
      <c r="Q3361" t="s">
        <v>30</v>
      </c>
      <c r="R3361" t="s">
        <v>53</v>
      </c>
      <c r="S3361" t="s">
        <v>54</v>
      </c>
      <c r="T3361" t="s">
        <v>1379</v>
      </c>
      <c r="U3361" t="s">
        <v>100</v>
      </c>
      <c r="V3361">
        <v>1449.55</v>
      </c>
    </row>
    <row r="3362" spans="1:22" x14ac:dyDescent="0.3">
      <c r="A3362" t="s">
        <v>4834</v>
      </c>
      <c r="B3362" s="2">
        <v>46131</v>
      </c>
      <c r="C3362" t="s">
        <v>1568</v>
      </c>
      <c r="D3362" t="s">
        <v>49</v>
      </c>
      <c r="E3362" t="s">
        <v>119</v>
      </c>
      <c r="F3362">
        <v>3</v>
      </c>
      <c r="G3362">
        <v>0</v>
      </c>
      <c r="H3362">
        <v>27000</v>
      </c>
      <c r="I3362">
        <v>6900</v>
      </c>
      <c r="J3362" t="s">
        <v>65</v>
      </c>
      <c r="K3362" t="s">
        <v>40</v>
      </c>
      <c r="L3362">
        <v>9000</v>
      </c>
      <c r="M3362">
        <v>25.55555555555555</v>
      </c>
      <c r="N3362" t="s">
        <v>8</v>
      </c>
      <c r="O3362" t="s">
        <v>1569</v>
      </c>
      <c r="P3362" t="s">
        <v>83</v>
      </c>
      <c r="Q3362" t="s">
        <v>42</v>
      </c>
      <c r="R3362" t="s">
        <v>121</v>
      </c>
      <c r="S3362" t="s">
        <v>44</v>
      </c>
      <c r="T3362" t="s">
        <v>1570</v>
      </c>
      <c r="U3362" t="s">
        <v>46</v>
      </c>
      <c r="V3362">
        <v>2300</v>
      </c>
    </row>
    <row r="3363" spans="1:22" x14ac:dyDescent="0.3">
      <c r="A3363" t="s">
        <v>4835</v>
      </c>
      <c r="B3363" s="2">
        <v>46065</v>
      </c>
      <c r="C3363" t="s">
        <v>970</v>
      </c>
      <c r="D3363" t="s">
        <v>37</v>
      </c>
      <c r="E3363" t="s">
        <v>38</v>
      </c>
      <c r="F3363">
        <v>6</v>
      </c>
      <c r="G3363">
        <v>0.15</v>
      </c>
      <c r="H3363">
        <v>9180</v>
      </c>
      <c r="I3363">
        <v>2896.11</v>
      </c>
      <c r="J3363" t="s">
        <v>51</v>
      </c>
      <c r="K3363" t="s">
        <v>40</v>
      </c>
      <c r="L3363">
        <v>1530</v>
      </c>
      <c r="M3363">
        <v>31.54803921568627</v>
      </c>
      <c r="N3363" t="s">
        <v>8</v>
      </c>
      <c r="O3363" t="s">
        <v>971</v>
      </c>
      <c r="P3363" t="s">
        <v>83</v>
      </c>
      <c r="Q3363" t="s">
        <v>30</v>
      </c>
      <c r="R3363" t="s">
        <v>31</v>
      </c>
      <c r="S3363" t="s">
        <v>32</v>
      </c>
      <c r="T3363" t="s">
        <v>972</v>
      </c>
      <c r="U3363" t="s">
        <v>34</v>
      </c>
      <c r="V3363">
        <v>482.685</v>
      </c>
    </row>
    <row r="3364" spans="1:22" x14ac:dyDescent="0.3">
      <c r="A3364" t="s">
        <v>4836</v>
      </c>
      <c r="B3364" s="2">
        <v>45955</v>
      </c>
      <c r="C3364" t="s">
        <v>585</v>
      </c>
      <c r="D3364" t="s">
        <v>24</v>
      </c>
      <c r="E3364" t="s">
        <v>87</v>
      </c>
      <c r="F3364">
        <v>2</v>
      </c>
      <c r="G3364">
        <v>0</v>
      </c>
      <c r="H3364">
        <v>700</v>
      </c>
      <c r="I3364">
        <v>240</v>
      </c>
      <c r="J3364" t="s">
        <v>39</v>
      </c>
      <c r="K3364" t="s">
        <v>40</v>
      </c>
      <c r="L3364">
        <v>350</v>
      </c>
      <c r="M3364">
        <v>34.285714285714278</v>
      </c>
      <c r="N3364" t="s">
        <v>8</v>
      </c>
      <c r="O3364" t="s">
        <v>586</v>
      </c>
      <c r="P3364" t="s">
        <v>73</v>
      </c>
      <c r="Q3364" t="s">
        <v>30</v>
      </c>
      <c r="R3364" t="s">
        <v>98</v>
      </c>
      <c r="S3364" t="s">
        <v>54</v>
      </c>
      <c r="T3364" t="s">
        <v>587</v>
      </c>
      <c r="U3364" t="s">
        <v>46</v>
      </c>
      <c r="V3364">
        <v>120</v>
      </c>
    </row>
    <row r="3365" spans="1:22" x14ac:dyDescent="0.3">
      <c r="A3365" t="s">
        <v>4837</v>
      </c>
      <c r="B3365" s="2">
        <v>45907</v>
      </c>
      <c r="C3365" t="s">
        <v>198</v>
      </c>
      <c r="D3365" t="s">
        <v>70</v>
      </c>
      <c r="E3365" t="s">
        <v>165</v>
      </c>
      <c r="F3365">
        <v>4</v>
      </c>
      <c r="G3365">
        <v>0</v>
      </c>
      <c r="H3365">
        <v>10000</v>
      </c>
      <c r="I3365">
        <v>3200</v>
      </c>
      <c r="J3365" t="s">
        <v>39</v>
      </c>
      <c r="K3365" t="s">
        <v>27</v>
      </c>
      <c r="L3365">
        <v>2500</v>
      </c>
      <c r="M3365">
        <v>32</v>
      </c>
      <c r="N3365" t="s">
        <v>8</v>
      </c>
      <c r="O3365" t="s">
        <v>199</v>
      </c>
      <c r="P3365" t="s">
        <v>83</v>
      </c>
      <c r="Q3365" t="s">
        <v>131</v>
      </c>
      <c r="R3365" t="s">
        <v>200</v>
      </c>
      <c r="S3365" t="s">
        <v>201</v>
      </c>
      <c r="T3365" t="s">
        <v>202</v>
      </c>
      <c r="U3365" t="s">
        <v>46</v>
      </c>
      <c r="V3365">
        <v>800</v>
      </c>
    </row>
    <row r="3366" spans="1:22" x14ac:dyDescent="0.3">
      <c r="A3366" t="s">
        <v>4838</v>
      </c>
      <c r="B3366" s="2">
        <v>45998</v>
      </c>
      <c r="C3366" t="s">
        <v>1036</v>
      </c>
      <c r="D3366" t="s">
        <v>70</v>
      </c>
      <c r="E3366" t="s">
        <v>129</v>
      </c>
      <c r="F3366">
        <v>6</v>
      </c>
      <c r="G3366">
        <v>0</v>
      </c>
      <c r="H3366">
        <v>330000</v>
      </c>
      <c r="I3366">
        <v>-89540.67</v>
      </c>
      <c r="J3366" t="s">
        <v>39</v>
      </c>
      <c r="K3366" t="s">
        <v>80</v>
      </c>
      <c r="L3366">
        <v>55000</v>
      </c>
      <c r="M3366">
        <v>-27.13353636363636</v>
      </c>
      <c r="N3366" t="s">
        <v>81</v>
      </c>
      <c r="O3366" t="s">
        <v>149</v>
      </c>
      <c r="P3366" t="s">
        <v>83</v>
      </c>
      <c r="Q3366" t="s">
        <v>30</v>
      </c>
      <c r="R3366" t="s">
        <v>53</v>
      </c>
      <c r="S3366" t="s">
        <v>54</v>
      </c>
      <c r="T3366" t="s">
        <v>1037</v>
      </c>
      <c r="U3366" t="s">
        <v>46</v>
      </c>
      <c r="V3366">
        <v>-14923.445</v>
      </c>
    </row>
    <row r="3367" spans="1:22" x14ac:dyDescent="0.3">
      <c r="A3367" t="s">
        <v>4839</v>
      </c>
      <c r="B3367" s="2">
        <v>45953</v>
      </c>
      <c r="C3367" t="s">
        <v>2300</v>
      </c>
      <c r="D3367" t="s">
        <v>24</v>
      </c>
      <c r="E3367" t="s">
        <v>242</v>
      </c>
      <c r="F3367">
        <v>3</v>
      </c>
      <c r="G3367">
        <v>0.05</v>
      </c>
      <c r="H3367">
        <v>1282.5</v>
      </c>
      <c r="I3367">
        <v>281.68</v>
      </c>
      <c r="J3367" t="s">
        <v>65</v>
      </c>
      <c r="K3367" t="s">
        <v>40</v>
      </c>
      <c r="L3367">
        <v>427.5</v>
      </c>
      <c r="M3367">
        <v>21.963352826510722</v>
      </c>
      <c r="N3367" t="s">
        <v>8</v>
      </c>
      <c r="O3367" t="s">
        <v>2301</v>
      </c>
      <c r="P3367" t="s">
        <v>29</v>
      </c>
      <c r="Q3367" t="s">
        <v>42</v>
      </c>
      <c r="R3367" t="s">
        <v>214</v>
      </c>
      <c r="S3367" t="s">
        <v>111</v>
      </c>
      <c r="T3367" t="s">
        <v>2302</v>
      </c>
      <c r="U3367" t="s">
        <v>100</v>
      </c>
      <c r="V3367">
        <v>93.893333333333331</v>
      </c>
    </row>
    <row r="3368" spans="1:22" x14ac:dyDescent="0.3">
      <c r="A3368" t="s">
        <v>4840</v>
      </c>
      <c r="B3368" s="2">
        <v>46144</v>
      </c>
      <c r="C3368" t="s">
        <v>574</v>
      </c>
      <c r="D3368" t="s">
        <v>24</v>
      </c>
      <c r="E3368" t="s">
        <v>25</v>
      </c>
      <c r="F3368">
        <v>2</v>
      </c>
      <c r="G3368">
        <v>0.2</v>
      </c>
      <c r="H3368">
        <v>22400</v>
      </c>
      <c r="I3368">
        <v>1149.0899999999999</v>
      </c>
      <c r="J3368" t="s">
        <v>39</v>
      </c>
      <c r="K3368" t="s">
        <v>40</v>
      </c>
      <c r="L3368">
        <v>11200</v>
      </c>
      <c r="M3368">
        <v>5.1298660714285713</v>
      </c>
      <c r="N3368" t="s">
        <v>8</v>
      </c>
      <c r="O3368" t="s">
        <v>510</v>
      </c>
      <c r="P3368" t="s">
        <v>73</v>
      </c>
      <c r="Q3368" t="s">
        <v>74</v>
      </c>
      <c r="R3368" t="s">
        <v>75</v>
      </c>
      <c r="S3368" t="s">
        <v>75</v>
      </c>
      <c r="T3368" t="s">
        <v>575</v>
      </c>
      <c r="U3368" t="s">
        <v>100</v>
      </c>
      <c r="V3368">
        <v>574.54499999999996</v>
      </c>
    </row>
    <row r="3369" spans="1:22" x14ac:dyDescent="0.3">
      <c r="A3369" t="s">
        <v>4841</v>
      </c>
      <c r="B3369" s="2">
        <v>45840</v>
      </c>
      <c r="C3369" t="s">
        <v>1529</v>
      </c>
      <c r="D3369" t="s">
        <v>70</v>
      </c>
      <c r="E3369" t="s">
        <v>71</v>
      </c>
      <c r="F3369">
        <v>5</v>
      </c>
      <c r="G3369">
        <v>0.1</v>
      </c>
      <c r="H3369">
        <v>81000</v>
      </c>
      <c r="I3369">
        <v>-34496.300000000003</v>
      </c>
      <c r="J3369" t="s">
        <v>39</v>
      </c>
      <c r="K3369" t="s">
        <v>80</v>
      </c>
      <c r="L3369">
        <v>16200</v>
      </c>
      <c r="M3369">
        <v>-42.588024691358029</v>
      </c>
      <c r="N3369" t="s">
        <v>81</v>
      </c>
      <c r="O3369" t="s">
        <v>717</v>
      </c>
      <c r="P3369" t="s">
        <v>73</v>
      </c>
      <c r="Q3369" t="s">
        <v>131</v>
      </c>
      <c r="R3369" t="s">
        <v>132</v>
      </c>
      <c r="S3369" t="s">
        <v>133</v>
      </c>
      <c r="T3369" t="s">
        <v>1530</v>
      </c>
      <c r="U3369" t="s">
        <v>46</v>
      </c>
      <c r="V3369">
        <v>-6899.26</v>
      </c>
    </row>
    <row r="3370" spans="1:22" x14ac:dyDescent="0.3">
      <c r="A3370" t="s">
        <v>4842</v>
      </c>
      <c r="B3370" s="2">
        <v>46065</v>
      </c>
      <c r="C3370" t="s">
        <v>2972</v>
      </c>
      <c r="D3370" t="s">
        <v>49</v>
      </c>
      <c r="E3370" t="s">
        <v>58</v>
      </c>
      <c r="F3370">
        <v>1</v>
      </c>
      <c r="G3370">
        <v>0</v>
      </c>
      <c r="H3370">
        <v>15000</v>
      </c>
      <c r="I3370">
        <v>3500</v>
      </c>
      <c r="J3370" t="s">
        <v>39</v>
      </c>
      <c r="K3370" t="s">
        <v>27</v>
      </c>
      <c r="L3370">
        <v>15000</v>
      </c>
      <c r="M3370">
        <v>23.333333333333329</v>
      </c>
      <c r="N3370" t="s">
        <v>8</v>
      </c>
      <c r="O3370" t="s">
        <v>870</v>
      </c>
      <c r="P3370" t="s">
        <v>83</v>
      </c>
      <c r="Q3370" t="s">
        <v>30</v>
      </c>
      <c r="R3370" t="s">
        <v>60</v>
      </c>
      <c r="S3370" t="s">
        <v>61</v>
      </c>
      <c r="T3370" t="s">
        <v>898</v>
      </c>
      <c r="U3370" t="s">
        <v>34</v>
      </c>
      <c r="V3370">
        <v>3500</v>
      </c>
    </row>
    <row r="3371" spans="1:22" x14ac:dyDescent="0.3">
      <c r="A3371" t="s">
        <v>4843</v>
      </c>
      <c r="B3371" s="2">
        <v>46020</v>
      </c>
      <c r="C3371" t="s">
        <v>1480</v>
      </c>
      <c r="D3371" t="s">
        <v>70</v>
      </c>
      <c r="E3371" t="s">
        <v>165</v>
      </c>
      <c r="F3371">
        <v>3</v>
      </c>
      <c r="G3371">
        <v>0.1</v>
      </c>
      <c r="H3371">
        <v>6750</v>
      </c>
      <c r="I3371">
        <v>1980.73</v>
      </c>
      <c r="J3371" t="s">
        <v>51</v>
      </c>
      <c r="K3371" t="s">
        <v>27</v>
      </c>
      <c r="L3371">
        <v>2250</v>
      </c>
      <c r="M3371">
        <v>29.34414814814815</v>
      </c>
      <c r="N3371" t="s">
        <v>8</v>
      </c>
      <c r="O3371" t="s">
        <v>66</v>
      </c>
      <c r="P3371" t="s">
        <v>73</v>
      </c>
      <c r="Q3371" t="s">
        <v>30</v>
      </c>
      <c r="R3371" t="s">
        <v>98</v>
      </c>
      <c r="S3371" t="s">
        <v>54</v>
      </c>
      <c r="T3371" t="s">
        <v>1481</v>
      </c>
      <c r="U3371" t="s">
        <v>46</v>
      </c>
      <c r="V3371">
        <v>660.24333333333334</v>
      </c>
    </row>
    <row r="3372" spans="1:22" x14ac:dyDescent="0.3">
      <c r="A3372" t="s">
        <v>4844</v>
      </c>
      <c r="B3372" s="2">
        <v>45913</v>
      </c>
      <c r="C3372" t="s">
        <v>1548</v>
      </c>
      <c r="D3372" t="s">
        <v>24</v>
      </c>
      <c r="E3372" t="s">
        <v>92</v>
      </c>
      <c r="F3372">
        <v>1</v>
      </c>
      <c r="G3372">
        <v>0.05</v>
      </c>
      <c r="H3372">
        <v>855</v>
      </c>
      <c r="I3372">
        <v>242</v>
      </c>
      <c r="J3372" t="s">
        <v>39</v>
      </c>
      <c r="K3372" t="s">
        <v>40</v>
      </c>
      <c r="L3372">
        <v>855</v>
      </c>
      <c r="M3372">
        <v>28.30409356725146</v>
      </c>
      <c r="N3372" t="s">
        <v>8</v>
      </c>
      <c r="O3372" t="s">
        <v>825</v>
      </c>
      <c r="P3372" t="s">
        <v>83</v>
      </c>
      <c r="Q3372" t="s">
        <v>30</v>
      </c>
      <c r="R3372" t="s">
        <v>98</v>
      </c>
      <c r="S3372" t="s">
        <v>54</v>
      </c>
      <c r="T3372" t="s">
        <v>1549</v>
      </c>
      <c r="U3372" t="s">
        <v>34</v>
      </c>
      <c r="V3372">
        <v>242</v>
      </c>
    </row>
    <row r="3373" spans="1:22" x14ac:dyDescent="0.3">
      <c r="A3373" t="s">
        <v>4845</v>
      </c>
      <c r="B3373" s="2">
        <v>45873</v>
      </c>
      <c r="C3373" t="s">
        <v>1460</v>
      </c>
      <c r="D3373" t="s">
        <v>24</v>
      </c>
      <c r="E3373" t="s">
        <v>25</v>
      </c>
      <c r="F3373">
        <v>6</v>
      </c>
      <c r="G3373">
        <v>0.1</v>
      </c>
      <c r="H3373">
        <v>75600</v>
      </c>
      <c r="I3373">
        <v>11835.02</v>
      </c>
      <c r="J3373" t="s">
        <v>51</v>
      </c>
      <c r="K3373" t="s">
        <v>40</v>
      </c>
      <c r="L3373">
        <v>12600</v>
      </c>
      <c r="M3373">
        <v>15.654788359788361</v>
      </c>
      <c r="N3373" t="s">
        <v>8</v>
      </c>
      <c r="O3373" t="s">
        <v>1461</v>
      </c>
      <c r="P3373" t="s">
        <v>29</v>
      </c>
      <c r="Q3373" t="s">
        <v>42</v>
      </c>
      <c r="R3373" t="s">
        <v>110</v>
      </c>
      <c r="S3373" t="s">
        <v>111</v>
      </c>
      <c r="T3373" t="s">
        <v>1462</v>
      </c>
      <c r="U3373" t="s">
        <v>105</v>
      </c>
      <c r="V3373">
        <v>1972.5033333333331</v>
      </c>
    </row>
    <row r="3374" spans="1:22" x14ac:dyDescent="0.3">
      <c r="A3374" t="s">
        <v>4846</v>
      </c>
      <c r="B3374" s="2">
        <v>45842</v>
      </c>
      <c r="C3374" t="s">
        <v>667</v>
      </c>
      <c r="D3374" t="s">
        <v>24</v>
      </c>
      <c r="E3374" t="s">
        <v>92</v>
      </c>
      <c r="F3374">
        <v>1</v>
      </c>
      <c r="G3374">
        <v>0.1</v>
      </c>
      <c r="H3374">
        <v>810</v>
      </c>
      <c r="I3374">
        <v>227.95</v>
      </c>
      <c r="J3374" t="s">
        <v>65</v>
      </c>
      <c r="K3374" t="s">
        <v>40</v>
      </c>
      <c r="L3374">
        <v>810</v>
      </c>
      <c r="M3374">
        <v>28.141975308641971</v>
      </c>
      <c r="N3374" t="s">
        <v>8</v>
      </c>
      <c r="O3374" t="s">
        <v>668</v>
      </c>
      <c r="P3374" t="s">
        <v>29</v>
      </c>
      <c r="Q3374" t="s">
        <v>30</v>
      </c>
      <c r="R3374" t="s">
        <v>31</v>
      </c>
      <c r="S3374" t="s">
        <v>32</v>
      </c>
      <c r="T3374" t="s">
        <v>669</v>
      </c>
      <c r="U3374" t="s">
        <v>46</v>
      </c>
      <c r="V3374">
        <v>227.95</v>
      </c>
    </row>
    <row r="3375" spans="1:22" x14ac:dyDescent="0.3">
      <c r="A3375" t="s">
        <v>4847</v>
      </c>
      <c r="B3375" s="2">
        <v>45986</v>
      </c>
      <c r="C3375" t="s">
        <v>962</v>
      </c>
      <c r="D3375" t="s">
        <v>70</v>
      </c>
      <c r="E3375" t="s">
        <v>108</v>
      </c>
      <c r="F3375">
        <v>5</v>
      </c>
      <c r="G3375">
        <v>0.3</v>
      </c>
      <c r="H3375">
        <v>15750</v>
      </c>
      <c r="I3375">
        <v>4389.18</v>
      </c>
      <c r="J3375" t="s">
        <v>65</v>
      </c>
      <c r="K3375" t="s">
        <v>40</v>
      </c>
      <c r="L3375">
        <v>3150</v>
      </c>
      <c r="M3375">
        <v>27.86780952380953</v>
      </c>
      <c r="N3375" t="s">
        <v>8</v>
      </c>
      <c r="O3375" t="s">
        <v>963</v>
      </c>
      <c r="P3375" t="s">
        <v>29</v>
      </c>
      <c r="Q3375" t="s">
        <v>42</v>
      </c>
      <c r="R3375" t="s">
        <v>214</v>
      </c>
      <c r="S3375" t="s">
        <v>111</v>
      </c>
      <c r="T3375" t="s">
        <v>964</v>
      </c>
      <c r="U3375" t="s">
        <v>100</v>
      </c>
      <c r="V3375">
        <v>877.83600000000001</v>
      </c>
    </row>
    <row r="3376" spans="1:22" x14ac:dyDescent="0.3">
      <c r="A3376" t="s">
        <v>4848</v>
      </c>
      <c r="B3376" s="2">
        <v>46140</v>
      </c>
      <c r="C3376" t="s">
        <v>102</v>
      </c>
      <c r="D3376" t="s">
        <v>37</v>
      </c>
      <c r="E3376" t="s">
        <v>190</v>
      </c>
      <c r="F3376">
        <v>1</v>
      </c>
      <c r="G3376">
        <v>0.05</v>
      </c>
      <c r="H3376">
        <v>3990</v>
      </c>
      <c r="I3376">
        <v>1055.99</v>
      </c>
      <c r="J3376" t="s">
        <v>51</v>
      </c>
      <c r="K3376" t="s">
        <v>40</v>
      </c>
      <c r="L3376">
        <v>3990</v>
      </c>
      <c r="M3376">
        <v>26.465914786967421</v>
      </c>
      <c r="N3376" t="s">
        <v>8</v>
      </c>
      <c r="O3376" t="s">
        <v>103</v>
      </c>
      <c r="P3376" t="s">
        <v>29</v>
      </c>
      <c r="Q3376" t="s">
        <v>30</v>
      </c>
      <c r="R3376" t="s">
        <v>98</v>
      </c>
      <c r="S3376" t="s">
        <v>54</v>
      </c>
      <c r="T3376" t="s">
        <v>104</v>
      </c>
      <c r="U3376" t="s">
        <v>105</v>
      </c>
      <c r="V3376">
        <v>1055.99</v>
      </c>
    </row>
    <row r="3377" spans="1:22" x14ac:dyDescent="0.3">
      <c r="A3377" t="s">
        <v>4849</v>
      </c>
      <c r="B3377" s="2">
        <v>46248</v>
      </c>
      <c r="C3377" t="s">
        <v>1229</v>
      </c>
      <c r="D3377" t="s">
        <v>49</v>
      </c>
      <c r="E3377" t="s">
        <v>50</v>
      </c>
      <c r="F3377">
        <v>3</v>
      </c>
      <c r="G3377">
        <v>0.1</v>
      </c>
      <c r="H3377">
        <v>35100</v>
      </c>
      <c r="I3377">
        <v>6423.68</v>
      </c>
      <c r="J3377" t="s">
        <v>39</v>
      </c>
      <c r="K3377" t="s">
        <v>40</v>
      </c>
      <c r="L3377">
        <v>11700</v>
      </c>
      <c r="M3377">
        <v>18.301082621082621</v>
      </c>
      <c r="N3377" t="s">
        <v>8</v>
      </c>
      <c r="O3377" t="s">
        <v>1102</v>
      </c>
      <c r="P3377" t="s">
        <v>83</v>
      </c>
      <c r="Q3377" t="s">
        <v>42</v>
      </c>
      <c r="R3377" t="s">
        <v>110</v>
      </c>
      <c r="S3377" t="s">
        <v>111</v>
      </c>
      <c r="T3377" t="s">
        <v>912</v>
      </c>
      <c r="U3377" t="s">
        <v>46</v>
      </c>
      <c r="V3377">
        <v>2141.2266666666669</v>
      </c>
    </row>
    <row r="3378" spans="1:22" x14ac:dyDescent="0.3">
      <c r="A3378" t="s">
        <v>4850</v>
      </c>
      <c r="B3378" s="2">
        <v>46121</v>
      </c>
      <c r="C3378" t="s">
        <v>313</v>
      </c>
      <c r="D3378" t="s">
        <v>70</v>
      </c>
      <c r="E3378" t="s">
        <v>165</v>
      </c>
      <c r="F3378">
        <v>2</v>
      </c>
      <c r="G3378">
        <v>0</v>
      </c>
      <c r="H3378">
        <v>5000</v>
      </c>
      <c r="I3378">
        <v>-1567.49</v>
      </c>
      <c r="J3378" t="s">
        <v>26</v>
      </c>
      <c r="K3378" t="s">
        <v>434</v>
      </c>
      <c r="L3378">
        <v>2500</v>
      </c>
      <c r="M3378">
        <v>-31.349799999999998</v>
      </c>
      <c r="N3378" t="s">
        <v>81</v>
      </c>
      <c r="O3378" t="s">
        <v>314</v>
      </c>
      <c r="P3378" t="s">
        <v>29</v>
      </c>
      <c r="Q3378" t="s">
        <v>30</v>
      </c>
      <c r="R3378" t="s">
        <v>98</v>
      </c>
      <c r="S3378" t="s">
        <v>54</v>
      </c>
      <c r="T3378" t="s">
        <v>315</v>
      </c>
      <c r="U3378" t="s">
        <v>100</v>
      </c>
      <c r="V3378">
        <v>-783.745</v>
      </c>
    </row>
    <row r="3379" spans="1:22" x14ac:dyDescent="0.3">
      <c r="A3379" t="s">
        <v>4851</v>
      </c>
      <c r="B3379" s="2">
        <v>46080</v>
      </c>
      <c r="C3379" t="s">
        <v>78</v>
      </c>
      <c r="D3379" t="s">
        <v>70</v>
      </c>
      <c r="E3379" t="s">
        <v>129</v>
      </c>
      <c r="F3379">
        <v>1</v>
      </c>
      <c r="G3379">
        <v>0</v>
      </c>
      <c r="H3379">
        <v>55000</v>
      </c>
      <c r="I3379">
        <v>9000</v>
      </c>
      <c r="J3379" t="s">
        <v>39</v>
      </c>
      <c r="K3379" t="s">
        <v>40</v>
      </c>
      <c r="L3379">
        <v>55000</v>
      </c>
      <c r="M3379">
        <v>16.36363636363636</v>
      </c>
      <c r="N3379" t="s">
        <v>8</v>
      </c>
      <c r="O3379" t="s">
        <v>82</v>
      </c>
      <c r="P3379" t="s">
        <v>83</v>
      </c>
      <c r="Q3379" t="s">
        <v>74</v>
      </c>
      <c r="R3379" t="s">
        <v>75</v>
      </c>
      <c r="S3379" t="s">
        <v>75</v>
      </c>
      <c r="T3379" t="s">
        <v>84</v>
      </c>
      <c r="U3379" t="s">
        <v>34</v>
      </c>
      <c r="V3379">
        <v>9000</v>
      </c>
    </row>
    <row r="3380" spans="1:22" x14ac:dyDescent="0.3">
      <c r="A3380" t="s">
        <v>4852</v>
      </c>
      <c r="B3380" s="2">
        <v>45885</v>
      </c>
      <c r="C3380" t="s">
        <v>2217</v>
      </c>
      <c r="D3380" t="s">
        <v>37</v>
      </c>
      <c r="E3380" t="s">
        <v>310</v>
      </c>
      <c r="F3380">
        <v>2</v>
      </c>
      <c r="G3380">
        <v>0.15</v>
      </c>
      <c r="H3380">
        <v>3740</v>
      </c>
      <c r="I3380">
        <v>-1305.51</v>
      </c>
      <c r="J3380" t="s">
        <v>26</v>
      </c>
      <c r="K3380" t="s">
        <v>434</v>
      </c>
      <c r="L3380">
        <v>1870</v>
      </c>
      <c r="M3380">
        <v>-34.906684491978609</v>
      </c>
      <c r="N3380" t="s">
        <v>81</v>
      </c>
      <c r="O3380" t="s">
        <v>636</v>
      </c>
      <c r="P3380" t="s">
        <v>29</v>
      </c>
      <c r="Q3380" t="s">
        <v>42</v>
      </c>
      <c r="R3380" t="s">
        <v>110</v>
      </c>
      <c r="S3380" t="s">
        <v>111</v>
      </c>
      <c r="T3380" t="s">
        <v>2218</v>
      </c>
      <c r="U3380" t="s">
        <v>46</v>
      </c>
      <c r="V3380">
        <v>-652.755</v>
      </c>
    </row>
    <row r="3381" spans="1:22" x14ac:dyDescent="0.3">
      <c r="A3381" t="s">
        <v>4853</v>
      </c>
      <c r="B3381" s="2">
        <v>46207</v>
      </c>
      <c r="C3381" t="s">
        <v>983</v>
      </c>
      <c r="D3381" t="s">
        <v>49</v>
      </c>
      <c r="E3381" t="s">
        <v>58</v>
      </c>
      <c r="F3381">
        <v>2</v>
      </c>
      <c r="G3381">
        <v>0.05</v>
      </c>
      <c r="H3381">
        <v>28500</v>
      </c>
      <c r="I3381">
        <v>5984.62</v>
      </c>
      <c r="J3381" t="s">
        <v>51</v>
      </c>
      <c r="K3381" t="s">
        <v>40</v>
      </c>
      <c r="L3381">
        <v>14250</v>
      </c>
      <c r="M3381">
        <v>20.998666666666669</v>
      </c>
      <c r="N3381" t="s">
        <v>8</v>
      </c>
      <c r="O3381" t="s">
        <v>984</v>
      </c>
      <c r="P3381" t="s">
        <v>29</v>
      </c>
      <c r="Q3381" t="s">
        <v>30</v>
      </c>
      <c r="R3381" t="s">
        <v>31</v>
      </c>
      <c r="S3381" t="s">
        <v>32</v>
      </c>
      <c r="T3381" t="s">
        <v>985</v>
      </c>
      <c r="U3381" t="s">
        <v>46</v>
      </c>
      <c r="V3381">
        <v>2992.31</v>
      </c>
    </row>
    <row r="3382" spans="1:22" x14ac:dyDescent="0.3">
      <c r="A3382" t="s">
        <v>4854</v>
      </c>
      <c r="B3382" s="2">
        <v>45917</v>
      </c>
      <c r="C3382" t="s">
        <v>543</v>
      </c>
      <c r="D3382" t="s">
        <v>37</v>
      </c>
      <c r="E3382" t="s">
        <v>38</v>
      </c>
      <c r="F3382">
        <v>4</v>
      </c>
      <c r="G3382">
        <v>0.2</v>
      </c>
      <c r="H3382">
        <v>5760</v>
      </c>
      <c r="I3382">
        <v>1725.97</v>
      </c>
      <c r="J3382" t="s">
        <v>39</v>
      </c>
      <c r="K3382" t="s">
        <v>27</v>
      </c>
      <c r="L3382">
        <v>1440</v>
      </c>
      <c r="M3382">
        <v>29.964756944444439</v>
      </c>
      <c r="N3382" t="s">
        <v>8</v>
      </c>
      <c r="O3382" t="s">
        <v>545</v>
      </c>
      <c r="P3382" t="s">
        <v>83</v>
      </c>
      <c r="Q3382" t="s">
        <v>74</v>
      </c>
      <c r="R3382" t="s">
        <v>75</v>
      </c>
      <c r="S3382" t="s">
        <v>75</v>
      </c>
      <c r="T3382" t="s">
        <v>546</v>
      </c>
      <c r="U3382" t="s">
        <v>34</v>
      </c>
      <c r="V3382">
        <v>431.49250000000001</v>
      </c>
    </row>
    <row r="3383" spans="1:22" x14ac:dyDescent="0.3">
      <c r="A3383" t="s">
        <v>4855</v>
      </c>
      <c r="B3383" s="2">
        <v>45917</v>
      </c>
      <c r="C3383" t="s">
        <v>517</v>
      </c>
      <c r="D3383" t="s">
        <v>49</v>
      </c>
      <c r="E3383" t="s">
        <v>50</v>
      </c>
      <c r="F3383">
        <v>3</v>
      </c>
      <c r="G3383">
        <v>0.05</v>
      </c>
      <c r="H3383">
        <v>37050</v>
      </c>
      <c r="I3383">
        <v>8194.67</v>
      </c>
      <c r="J3383" t="s">
        <v>65</v>
      </c>
      <c r="K3383" t="s">
        <v>40</v>
      </c>
      <c r="L3383">
        <v>12350</v>
      </c>
      <c r="M3383">
        <v>22.117867746288798</v>
      </c>
      <c r="N3383" t="s">
        <v>8</v>
      </c>
      <c r="O3383" t="s">
        <v>518</v>
      </c>
      <c r="P3383" t="s">
        <v>29</v>
      </c>
      <c r="Q3383" t="s">
        <v>131</v>
      </c>
      <c r="R3383" t="s">
        <v>200</v>
      </c>
      <c r="S3383" t="s">
        <v>201</v>
      </c>
      <c r="T3383" t="s">
        <v>519</v>
      </c>
      <c r="U3383" t="s">
        <v>100</v>
      </c>
      <c r="V3383">
        <v>2731.5566666666668</v>
      </c>
    </row>
    <row r="3384" spans="1:22" x14ac:dyDescent="0.3">
      <c r="A3384" t="s">
        <v>4856</v>
      </c>
      <c r="B3384" s="2">
        <v>45923</v>
      </c>
      <c r="C3384" t="s">
        <v>225</v>
      </c>
      <c r="D3384" t="s">
        <v>70</v>
      </c>
      <c r="E3384" t="s">
        <v>71</v>
      </c>
      <c r="F3384">
        <v>1</v>
      </c>
      <c r="G3384">
        <v>0.15</v>
      </c>
      <c r="H3384">
        <v>15300</v>
      </c>
      <c r="I3384">
        <v>2211.31</v>
      </c>
      <c r="J3384" t="s">
        <v>65</v>
      </c>
      <c r="K3384" t="s">
        <v>27</v>
      </c>
      <c r="L3384">
        <v>15300</v>
      </c>
      <c r="M3384">
        <v>14.45300653594771</v>
      </c>
      <c r="N3384" t="s">
        <v>8</v>
      </c>
      <c r="O3384" t="s">
        <v>226</v>
      </c>
      <c r="P3384" t="s">
        <v>29</v>
      </c>
      <c r="Q3384" t="s">
        <v>30</v>
      </c>
      <c r="R3384" t="s">
        <v>31</v>
      </c>
      <c r="S3384" t="s">
        <v>32</v>
      </c>
      <c r="T3384" t="s">
        <v>227</v>
      </c>
      <c r="U3384" t="s">
        <v>100</v>
      </c>
      <c r="V3384">
        <v>2211.31</v>
      </c>
    </row>
    <row r="3385" spans="1:22" x14ac:dyDescent="0.3">
      <c r="A3385" t="s">
        <v>4857</v>
      </c>
      <c r="B3385" s="2">
        <v>46090</v>
      </c>
      <c r="C3385" t="s">
        <v>1444</v>
      </c>
      <c r="D3385" t="s">
        <v>49</v>
      </c>
      <c r="E3385" t="s">
        <v>58</v>
      </c>
      <c r="F3385">
        <v>6</v>
      </c>
      <c r="G3385">
        <v>0</v>
      </c>
      <c r="H3385">
        <v>90000</v>
      </c>
      <c r="I3385">
        <v>21000</v>
      </c>
      <c r="J3385" t="s">
        <v>65</v>
      </c>
      <c r="K3385" t="s">
        <v>40</v>
      </c>
      <c r="L3385">
        <v>15000</v>
      </c>
      <c r="M3385">
        <v>23.333333333333329</v>
      </c>
      <c r="N3385" t="s">
        <v>8</v>
      </c>
      <c r="O3385" t="s">
        <v>839</v>
      </c>
      <c r="P3385" t="s">
        <v>29</v>
      </c>
      <c r="Q3385" t="s">
        <v>42</v>
      </c>
      <c r="R3385" t="s">
        <v>121</v>
      </c>
      <c r="S3385" t="s">
        <v>44</v>
      </c>
      <c r="T3385" t="s">
        <v>1445</v>
      </c>
      <c r="U3385" t="s">
        <v>34</v>
      </c>
      <c r="V3385">
        <v>3500</v>
      </c>
    </row>
    <row r="3386" spans="1:22" x14ac:dyDescent="0.3">
      <c r="A3386" t="s">
        <v>4858</v>
      </c>
      <c r="B3386" s="2">
        <v>46135</v>
      </c>
      <c r="C3386" t="s">
        <v>1367</v>
      </c>
      <c r="D3386" t="s">
        <v>49</v>
      </c>
      <c r="E3386" t="s">
        <v>79</v>
      </c>
      <c r="F3386">
        <v>1</v>
      </c>
      <c r="G3386">
        <v>0.1</v>
      </c>
      <c r="H3386">
        <v>9900</v>
      </c>
      <c r="I3386">
        <v>1953.37</v>
      </c>
      <c r="J3386" t="s">
        <v>51</v>
      </c>
      <c r="K3386" t="s">
        <v>40</v>
      </c>
      <c r="L3386">
        <v>9900</v>
      </c>
      <c r="M3386">
        <v>19.731010101010099</v>
      </c>
      <c r="N3386" t="s">
        <v>8</v>
      </c>
      <c r="O3386" t="s">
        <v>1329</v>
      </c>
      <c r="P3386" t="s">
        <v>29</v>
      </c>
      <c r="Q3386" t="s">
        <v>131</v>
      </c>
      <c r="R3386" t="s">
        <v>132</v>
      </c>
      <c r="S3386" t="s">
        <v>133</v>
      </c>
      <c r="T3386" t="s">
        <v>1368</v>
      </c>
      <c r="U3386" t="s">
        <v>34</v>
      </c>
      <c r="V3386">
        <v>1953.37</v>
      </c>
    </row>
    <row r="3387" spans="1:22" x14ac:dyDescent="0.3">
      <c r="A3387" t="s">
        <v>4859</v>
      </c>
      <c r="B3387" s="2">
        <v>45921</v>
      </c>
      <c r="C3387" t="s">
        <v>2511</v>
      </c>
      <c r="D3387" t="s">
        <v>37</v>
      </c>
      <c r="E3387" t="s">
        <v>38</v>
      </c>
      <c r="F3387">
        <v>3</v>
      </c>
      <c r="G3387">
        <v>0</v>
      </c>
      <c r="H3387">
        <v>5400</v>
      </c>
      <c r="I3387">
        <v>1950</v>
      </c>
      <c r="J3387" t="s">
        <v>51</v>
      </c>
      <c r="K3387" t="s">
        <v>40</v>
      </c>
      <c r="L3387">
        <v>1800</v>
      </c>
      <c r="M3387">
        <v>36.111111111111107</v>
      </c>
      <c r="N3387" t="s">
        <v>8</v>
      </c>
      <c r="O3387" t="s">
        <v>1695</v>
      </c>
      <c r="P3387" t="s">
        <v>83</v>
      </c>
      <c r="Q3387" t="s">
        <v>30</v>
      </c>
      <c r="R3387" t="s">
        <v>98</v>
      </c>
      <c r="S3387" t="s">
        <v>54</v>
      </c>
      <c r="T3387" t="s">
        <v>2512</v>
      </c>
      <c r="U3387" t="s">
        <v>46</v>
      </c>
      <c r="V3387">
        <v>650</v>
      </c>
    </row>
    <row r="3388" spans="1:22" x14ac:dyDescent="0.3">
      <c r="A3388" t="s">
        <v>4860</v>
      </c>
      <c r="B3388" s="2">
        <v>46145</v>
      </c>
      <c r="C3388" t="s">
        <v>570</v>
      </c>
      <c r="D3388" t="s">
        <v>37</v>
      </c>
      <c r="E3388" t="s">
        <v>38</v>
      </c>
      <c r="F3388">
        <v>1</v>
      </c>
      <c r="G3388">
        <v>0.2</v>
      </c>
      <c r="H3388">
        <v>1440</v>
      </c>
      <c r="I3388">
        <v>344.46</v>
      </c>
      <c r="J3388" t="s">
        <v>51</v>
      </c>
      <c r="K3388" t="s">
        <v>40</v>
      </c>
      <c r="L3388">
        <v>1440</v>
      </c>
      <c r="M3388">
        <v>23.920833333333331</v>
      </c>
      <c r="N3388" t="s">
        <v>8</v>
      </c>
      <c r="O3388" t="s">
        <v>571</v>
      </c>
      <c r="P3388" t="s">
        <v>29</v>
      </c>
      <c r="Q3388" t="s">
        <v>30</v>
      </c>
      <c r="R3388" t="s">
        <v>31</v>
      </c>
      <c r="S3388" t="s">
        <v>32</v>
      </c>
      <c r="T3388" t="s">
        <v>572</v>
      </c>
      <c r="U3388" t="s">
        <v>100</v>
      </c>
      <c r="V3388">
        <v>344.46</v>
      </c>
    </row>
    <row r="3389" spans="1:22" x14ac:dyDescent="0.3">
      <c r="A3389" t="s">
        <v>4861</v>
      </c>
      <c r="B3389" s="2">
        <v>46012</v>
      </c>
      <c r="C3389" t="s">
        <v>933</v>
      </c>
      <c r="D3389" t="s">
        <v>70</v>
      </c>
      <c r="E3389" t="s">
        <v>129</v>
      </c>
      <c r="F3389">
        <v>4</v>
      </c>
      <c r="G3389">
        <v>0.1</v>
      </c>
      <c r="H3389">
        <v>198000</v>
      </c>
      <c r="I3389">
        <v>24900.02</v>
      </c>
      <c r="J3389" t="s">
        <v>39</v>
      </c>
      <c r="K3389" t="s">
        <v>27</v>
      </c>
      <c r="L3389">
        <v>49500</v>
      </c>
      <c r="M3389">
        <v>12.575767676767679</v>
      </c>
      <c r="N3389" t="s">
        <v>8</v>
      </c>
      <c r="O3389" t="s">
        <v>233</v>
      </c>
      <c r="P3389" t="s">
        <v>29</v>
      </c>
      <c r="Q3389" t="s">
        <v>30</v>
      </c>
      <c r="R3389" t="s">
        <v>31</v>
      </c>
      <c r="S3389" t="s">
        <v>32</v>
      </c>
      <c r="T3389" t="s">
        <v>934</v>
      </c>
      <c r="U3389" t="s">
        <v>34</v>
      </c>
      <c r="V3389">
        <v>6225.0050000000001</v>
      </c>
    </row>
    <row r="3390" spans="1:22" x14ac:dyDescent="0.3">
      <c r="A3390" t="s">
        <v>4862</v>
      </c>
      <c r="B3390" s="2">
        <v>45963</v>
      </c>
      <c r="C3390" t="s">
        <v>4554</v>
      </c>
      <c r="D3390" t="s">
        <v>49</v>
      </c>
      <c r="E3390" t="s">
        <v>79</v>
      </c>
      <c r="F3390">
        <v>2</v>
      </c>
      <c r="G3390">
        <v>0</v>
      </c>
      <c r="H3390">
        <v>22000</v>
      </c>
      <c r="I3390">
        <v>5200</v>
      </c>
      <c r="J3390" t="s">
        <v>39</v>
      </c>
      <c r="K3390" t="s">
        <v>40</v>
      </c>
      <c r="L3390">
        <v>11000</v>
      </c>
      <c r="M3390">
        <v>23.63636363636364</v>
      </c>
      <c r="N3390" t="s">
        <v>8</v>
      </c>
      <c r="O3390" t="s">
        <v>3078</v>
      </c>
      <c r="P3390" t="s">
        <v>29</v>
      </c>
      <c r="Q3390" t="s">
        <v>42</v>
      </c>
      <c r="R3390" t="s">
        <v>121</v>
      </c>
      <c r="S3390" t="s">
        <v>44</v>
      </c>
      <c r="T3390" t="s">
        <v>4555</v>
      </c>
      <c r="U3390" t="s">
        <v>34</v>
      </c>
      <c r="V3390">
        <v>2600</v>
      </c>
    </row>
    <row r="3391" spans="1:22" x14ac:dyDescent="0.3">
      <c r="A3391" t="s">
        <v>4863</v>
      </c>
      <c r="B3391" s="2">
        <v>45938</v>
      </c>
      <c r="C3391" t="s">
        <v>2308</v>
      </c>
      <c r="D3391" t="s">
        <v>70</v>
      </c>
      <c r="E3391" t="s">
        <v>108</v>
      </c>
      <c r="F3391">
        <v>2</v>
      </c>
      <c r="G3391">
        <v>0</v>
      </c>
      <c r="H3391">
        <v>9000</v>
      </c>
      <c r="I3391">
        <v>3000</v>
      </c>
      <c r="J3391" t="s">
        <v>39</v>
      </c>
      <c r="K3391" t="s">
        <v>40</v>
      </c>
      <c r="L3391">
        <v>4500</v>
      </c>
      <c r="M3391">
        <v>33.333333333333329</v>
      </c>
      <c r="N3391" t="s">
        <v>8</v>
      </c>
      <c r="O3391" t="s">
        <v>2211</v>
      </c>
      <c r="P3391" t="s">
        <v>29</v>
      </c>
      <c r="Q3391" t="s">
        <v>42</v>
      </c>
      <c r="R3391" t="s">
        <v>121</v>
      </c>
      <c r="S3391" t="s">
        <v>44</v>
      </c>
      <c r="T3391" t="s">
        <v>763</v>
      </c>
      <c r="U3391" t="s">
        <v>46</v>
      </c>
      <c r="V3391">
        <v>1500</v>
      </c>
    </row>
    <row r="3392" spans="1:22" x14ac:dyDescent="0.3">
      <c r="A3392" t="s">
        <v>4864</v>
      </c>
      <c r="B3392" s="2">
        <v>45975</v>
      </c>
      <c r="C3392" t="s">
        <v>4865</v>
      </c>
      <c r="D3392" t="s">
        <v>70</v>
      </c>
      <c r="E3392" t="s">
        <v>165</v>
      </c>
      <c r="F3392">
        <v>1</v>
      </c>
      <c r="G3392">
        <v>0.1</v>
      </c>
      <c r="H3392">
        <v>2250</v>
      </c>
      <c r="I3392">
        <v>686.78</v>
      </c>
      <c r="J3392" t="s">
        <v>39</v>
      </c>
      <c r="K3392" t="s">
        <v>40</v>
      </c>
      <c r="L3392">
        <v>2250</v>
      </c>
      <c r="M3392">
        <v>30.52355555555555</v>
      </c>
      <c r="N3392" t="s">
        <v>8</v>
      </c>
      <c r="O3392" t="s">
        <v>4866</v>
      </c>
      <c r="P3392" t="s">
        <v>29</v>
      </c>
      <c r="Q3392" t="s">
        <v>131</v>
      </c>
      <c r="R3392" t="s">
        <v>289</v>
      </c>
      <c r="S3392" t="s">
        <v>290</v>
      </c>
      <c r="T3392" t="s">
        <v>1801</v>
      </c>
      <c r="U3392" t="s">
        <v>100</v>
      </c>
      <c r="V3392">
        <v>686.78</v>
      </c>
    </row>
    <row r="3393" spans="1:22" x14ac:dyDescent="0.3">
      <c r="A3393" t="s">
        <v>4867</v>
      </c>
      <c r="B3393" s="2">
        <v>46192</v>
      </c>
      <c r="C3393" t="s">
        <v>882</v>
      </c>
      <c r="D3393" t="s">
        <v>70</v>
      </c>
      <c r="E3393" t="s">
        <v>71</v>
      </c>
      <c r="F3393">
        <v>6</v>
      </c>
      <c r="G3393">
        <v>0</v>
      </c>
      <c r="H3393">
        <v>108000</v>
      </c>
      <c r="I3393">
        <v>-41364.589999999997</v>
      </c>
      <c r="J3393" t="s">
        <v>65</v>
      </c>
      <c r="K3393" t="s">
        <v>434</v>
      </c>
      <c r="L3393">
        <v>18000</v>
      </c>
      <c r="M3393">
        <v>-38.300546296296297</v>
      </c>
      <c r="N3393" t="s">
        <v>81</v>
      </c>
      <c r="O3393" t="s">
        <v>883</v>
      </c>
      <c r="P3393" t="s">
        <v>73</v>
      </c>
      <c r="Q3393" t="s">
        <v>74</v>
      </c>
      <c r="R3393" t="s">
        <v>115</v>
      </c>
      <c r="S3393" t="s">
        <v>115</v>
      </c>
      <c r="T3393" t="s">
        <v>884</v>
      </c>
      <c r="U3393" t="s">
        <v>34</v>
      </c>
      <c r="V3393">
        <v>-6894.0983333333324</v>
      </c>
    </row>
    <row r="3394" spans="1:22" x14ac:dyDescent="0.3">
      <c r="A3394" t="s">
        <v>4868</v>
      </c>
      <c r="B3394" s="2">
        <v>45933</v>
      </c>
      <c r="C3394" t="s">
        <v>1158</v>
      </c>
      <c r="D3394" t="s">
        <v>24</v>
      </c>
      <c r="E3394" t="s">
        <v>92</v>
      </c>
      <c r="F3394">
        <v>4</v>
      </c>
      <c r="G3394">
        <v>0.15</v>
      </c>
      <c r="H3394">
        <v>3060</v>
      </c>
      <c r="I3394">
        <v>813.91</v>
      </c>
      <c r="J3394" t="s">
        <v>26</v>
      </c>
      <c r="K3394" t="s">
        <v>40</v>
      </c>
      <c r="L3394">
        <v>765</v>
      </c>
      <c r="M3394">
        <v>26.5983660130719</v>
      </c>
      <c r="N3394" t="s">
        <v>8</v>
      </c>
      <c r="O3394" t="s">
        <v>844</v>
      </c>
      <c r="P3394" t="s">
        <v>29</v>
      </c>
      <c r="Q3394" t="s">
        <v>42</v>
      </c>
      <c r="R3394" t="s">
        <v>121</v>
      </c>
      <c r="S3394" t="s">
        <v>44</v>
      </c>
      <c r="T3394" t="s">
        <v>134</v>
      </c>
      <c r="U3394" t="s">
        <v>100</v>
      </c>
      <c r="V3394">
        <v>203.47749999999999</v>
      </c>
    </row>
    <row r="3395" spans="1:22" x14ac:dyDescent="0.3">
      <c r="A3395" t="s">
        <v>4869</v>
      </c>
      <c r="B3395" s="2">
        <v>45924</v>
      </c>
      <c r="C3395" t="s">
        <v>3136</v>
      </c>
      <c r="D3395" t="s">
        <v>49</v>
      </c>
      <c r="E3395" t="s">
        <v>119</v>
      </c>
      <c r="F3395">
        <v>1</v>
      </c>
      <c r="G3395">
        <v>0.1</v>
      </c>
      <c r="H3395">
        <v>8100</v>
      </c>
      <c r="I3395">
        <v>1875.46</v>
      </c>
      <c r="J3395" t="s">
        <v>65</v>
      </c>
      <c r="K3395" t="s">
        <v>40</v>
      </c>
      <c r="L3395">
        <v>8100</v>
      </c>
      <c r="M3395">
        <v>23.153827160493829</v>
      </c>
      <c r="N3395" t="s">
        <v>8</v>
      </c>
      <c r="O3395" t="s">
        <v>3137</v>
      </c>
      <c r="P3395" t="s">
        <v>29</v>
      </c>
      <c r="Q3395" t="s">
        <v>42</v>
      </c>
      <c r="R3395" t="s">
        <v>110</v>
      </c>
      <c r="S3395" t="s">
        <v>111</v>
      </c>
      <c r="T3395" t="s">
        <v>3138</v>
      </c>
      <c r="U3395" t="s">
        <v>34</v>
      </c>
      <c r="V3395">
        <v>1875.46</v>
      </c>
    </row>
    <row r="3396" spans="1:22" x14ac:dyDescent="0.3">
      <c r="A3396" t="s">
        <v>4870</v>
      </c>
      <c r="B3396" s="2">
        <v>46227</v>
      </c>
      <c r="C3396" t="s">
        <v>732</v>
      </c>
      <c r="D3396" t="s">
        <v>49</v>
      </c>
      <c r="E3396" t="s">
        <v>50</v>
      </c>
      <c r="F3396">
        <v>6</v>
      </c>
      <c r="G3396">
        <v>0.05</v>
      </c>
      <c r="H3396">
        <v>74100</v>
      </c>
      <c r="I3396">
        <v>16030.96</v>
      </c>
      <c r="J3396" t="s">
        <v>51</v>
      </c>
      <c r="K3396" t="s">
        <v>40</v>
      </c>
      <c r="L3396">
        <v>12350</v>
      </c>
      <c r="M3396">
        <v>21.634224021592441</v>
      </c>
      <c r="N3396" t="s">
        <v>8</v>
      </c>
      <c r="O3396" t="s">
        <v>733</v>
      </c>
      <c r="P3396" t="s">
        <v>29</v>
      </c>
      <c r="Q3396" t="s">
        <v>131</v>
      </c>
      <c r="R3396" t="s">
        <v>449</v>
      </c>
      <c r="S3396" t="s">
        <v>450</v>
      </c>
      <c r="T3396" t="s">
        <v>734</v>
      </c>
      <c r="U3396" t="s">
        <v>34</v>
      </c>
      <c r="V3396">
        <v>2671.8266666666659</v>
      </c>
    </row>
    <row r="3397" spans="1:22" x14ac:dyDescent="0.3">
      <c r="A3397" t="s">
        <v>4871</v>
      </c>
      <c r="B3397" s="2">
        <v>46196</v>
      </c>
      <c r="C3397" t="s">
        <v>229</v>
      </c>
      <c r="D3397" t="s">
        <v>49</v>
      </c>
      <c r="E3397" t="s">
        <v>58</v>
      </c>
      <c r="F3397">
        <v>1</v>
      </c>
      <c r="G3397">
        <v>0</v>
      </c>
      <c r="H3397">
        <v>15000</v>
      </c>
      <c r="I3397">
        <v>3500</v>
      </c>
      <c r="J3397" t="s">
        <v>51</v>
      </c>
      <c r="K3397" t="s">
        <v>40</v>
      </c>
      <c r="L3397">
        <v>15000</v>
      </c>
      <c r="M3397">
        <v>23.333333333333329</v>
      </c>
      <c r="N3397" t="s">
        <v>8</v>
      </c>
      <c r="O3397" t="s">
        <v>103</v>
      </c>
      <c r="P3397" t="s">
        <v>29</v>
      </c>
      <c r="Q3397" t="s">
        <v>30</v>
      </c>
      <c r="R3397" t="s">
        <v>60</v>
      </c>
      <c r="S3397" t="s">
        <v>61</v>
      </c>
      <c r="T3397" t="s">
        <v>230</v>
      </c>
      <c r="U3397" t="s">
        <v>105</v>
      </c>
      <c r="V3397">
        <v>3500</v>
      </c>
    </row>
    <row r="3398" spans="1:22" x14ac:dyDescent="0.3">
      <c r="A3398" t="s">
        <v>4872</v>
      </c>
      <c r="B3398" s="2">
        <v>46243</v>
      </c>
      <c r="C3398" t="s">
        <v>1854</v>
      </c>
      <c r="D3398" t="s">
        <v>37</v>
      </c>
      <c r="E3398" t="s">
        <v>38</v>
      </c>
      <c r="F3398">
        <v>3</v>
      </c>
      <c r="G3398">
        <v>0.1</v>
      </c>
      <c r="H3398">
        <v>4860</v>
      </c>
      <c r="I3398">
        <v>1550.05</v>
      </c>
      <c r="J3398" t="s">
        <v>26</v>
      </c>
      <c r="K3398" t="s">
        <v>40</v>
      </c>
      <c r="L3398">
        <v>1620</v>
      </c>
      <c r="M3398">
        <v>31.894032921810702</v>
      </c>
      <c r="N3398" t="s">
        <v>8</v>
      </c>
      <c r="O3398" t="s">
        <v>773</v>
      </c>
      <c r="P3398" t="s">
        <v>83</v>
      </c>
      <c r="Q3398" t="s">
        <v>74</v>
      </c>
      <c r="R3398" t="s">
        <v>115</v>
      </c>
      <c r="S3398" t="s">
        <v>115</v>
      </c>
      <c r="T3398" t="s">
        <v>1855</v>
      </c>
      <c r="U3398" t="s">
        <v>34</v>
      </c>
      <c r="V3398">
        <v>516.68333333333328</v>
      </c>
    </row>
    <row r="3399" spans="1:22" x14ac:dyDescent="0.3">
      <c r="A3399" t="s">
        <v>4873</v>
      </c>
      <c r="B3399" s="2">
        <v>46088</v>
      </c>
      <c r="C3399" t="s">
        <v>1346</v>
      </c>
      <c r="D3399" t="s">
        <v>49</v>
      </c>
      <c r="E3399" t="s">
        <v>58</v>
      </c>
      <c r="F3399">
        <v>4</v>
      </c>
      <c r="G3399">
        <v>0</v>
      </c>
      <c r="H3399">
        <v>60000</v>
      </c>
      <c r="I3399">
        <v>14000</v>
      </c>
      <c r="J3399" t="s">
        <v>26</v>
      </c>
      <c r="K3399" t="s">
        <v>40</v>
      </c>
      <c r="L3399">
        <v>15000</v>
      </c>
      <c r="M3399">
        <v>23.333333333333329</v>
      </c>
      <c r="N3399" t="s">
        <v>8</v>
      </c>
      <c r="O3399" t="s">
        <v>825</v>
      </c>
      <c r="P3399" t="s">
        <v>73</v>
      </c>
      <c r="Q3399" t="s">
        <v>30</v>
      </c>
      <c r="R3399" t="s">
        <v>98</v>
      </c>
      <c r="S3399" t="s">
        <v>54</v>
      </c>
      <c r="T3399" t="s">
        <v>1347</v>
      </c>
      <c r="U3399" t="s">
        <v>34</v>
      </c>
      <c r="V3399">
        <v>3500</v>
      </c>
    </row>
    <row r="3400" spans="1:22" x14ac:dyDescent="0.3">
      <c r="A3400" t="s">
        <v>4874</v>
      </c>
      <c r="B3400" s="2">
        <v>45927</v>
      </c>
      <c r="C3400" t="s">
        <v>469</v>
      </c>
      <c r="D3400" t="s">
        <v>49</v>
      </c>
      <c r="E3400" t="s">
        <v>50</v>
      </c>
      <c r="F3400">
        <v>2</v>
      </c>
      <c r="G3400">
        <v>0.15</v>
      </c>
      <c r="H3400">
        <v>22100</v>
      </c>
      <c r="I3400">
        <v>3503.75</v>
      </c>
      <c r="J3400" t="s">
        <v>26</v>
      </c>
      <c r="K3400" t="s">
        <v>40</v>
      </c>
      <c r="L3400">
        <v>11050</v>
      </c>
      <c r="M3400">
        <v>15.85407239819004</v>
      </c>
      <c r="N3400" t="s">
        <v>8</v>
      </c>
      <c r="O3400" t="s">
        <v>470</v>
      </c>
      <c r="P3400" t="s">
        <v>83</v>
      </c>
      <c r="Q3400" t="s">
        <v>30</v>
      </c>
      <c r="R3400" t="s">
        <v>31</v>
      </c>
      <c r="S3400" t="s">
        <v>32</v>
      </c>
      <c r="T3400" t="s">
        <v>471</v>
      </c>
      <c r="U3400" t="s">
        <v>100</v>
      </c>
      <c r="V3400">
        <v>1751.875</v>
      </c>
    </row>
    <row r="3401" spans="1:22" x14ac:dyDescent="0.3">
      <c r="A3401" t="s">
        <v>4875</v>
      </c>
      <c r="B3401" s="2">
        <v>46217</v>
      </c>
      <c r="C3401" t="s">
        <v>925</v>
      </c>
      <c r="D3401" t="s">
        <v>70</v>
      </c>
      <c r="E3401" t="s">
        <v>129</v>
      </c>
      <c r="F3401">
        <v>3</v>
      </c>
      <c r="G3401">
        <v>0</v>
      </c>
      <c r="H3401">
        <v>165000</v>
      </c>
      <c r="I3401">
        <v>27000</v>
      </c>
      <c r="J3401" t="s">
        <v>51</v>
      </c>
      <c r="K3401" t="s">
        <v>40</v>
      </c>
      <c r="L3401">
        <v>55000</v>
      </c>
      <c r="M3401">
        <v>16.36363636363636</v>
      </c>
      <c r="N3401" t="s">
        <v>8</v>
      </c>
      <c r="O3401" t="s">
        <v>926</v>
      </c>
      <c r="P3401" t="s">
        <v>83</v>
      </c>
      <c r="Q3401" t="s">
        <v>74</v>
      </c>
      <c r="R3401" t="s">
        <v>75</v>
      </c>
      <c r="S3401" t="s">
        <v>75</v>
      </c>
      <c r="T3401" t="s">
        <v>927</v>
      </c>
      <c r="U3401" t="s">
        <v>34</v>
      </c>
      <c r="V3401">
        <v>9000</v>
      </c>
    </row>
    <row r="3402" spans="1:22" x14ac:dyDescent="0.3">
      <c r="A3402" t="s">
        <v>4876</v>
      </c>
      <c r="B3402" s="2">
        <v>45978</v>
      </c>
      <c r="C3402" t="s">
        <v>824</v>
      </c>
      <c r="D3402" t="s">
        <v>70</v>
      </c>
      <c r="E3402" t="s">
        <v>165</v>
      </c>
      <c r="F3402">
        <v>3</v>
      </c>
      <c r="G3402">
        <v>0.1</v>
      </c>
      <c r="H3402">
        <v>6750</v>
      </c>
      <c r="I3402">
        <v>1777.58</v>
      </c>
      <c r="J3402" t="s">
        <v>51</v>
      </c>
      <c r="K3402" t="s">
        <v>40</v>
      </c>
      <c r="L3402">
        <v>2250</v>
      </c>
      <c r="M3402">
        <v>26.334518518518522</v>
      </c>
      <c r="N3402" t="s">
        <v>8</v>
      </c>
      <c r="O3402" t="s">
        <v>825</v>
      </c>
      <c r="P3402" t="s">
        <v>29</v>
      </c>
      <c r="Q3402" t="s">
        <v>30</v>
      </c>
      <c r="R3402" t="s">
        <v>53</v>
      </c>
      <c r="S3402" t="s">
        <v>54</v>
      </c>
      <c r="T3402" t="s">
        <v>826</v>
      </c>
      <c r="U3402" t="s">
        <v>105</v>
      </c>
      <c r="V3402">
        <v>592.52666666666664</v>
      </c>
    </row>
    <row r="3403" spans="1:22" x14ac:dyDescent="0.3">
      <c r="A3403" t="s">
        <v>4877</v>
      </c>
      <c r="B3403" s="2">
        <v>46186</v>
      </c>
      <c r="C3403" t="s">
        <v>3771</v>
      </c>
      <c r="D3403" t="s">
        <v>37</v>
      </c>
      <c r="E3403" t="s">
        <v>38</v>
      </c>
      <c r="F3403">
        <v>3</v>
      </c>
      <c r="G3403">
        <v>0.05</v>
      </c>
      <c r="H3403">
        <v>5130</v>
      </c>
      <c r="I3403">
        <v>1764.06</v>
      </c>
      <c r="J3403" t="s">
        <v>39</v>
      </c>
      <c r="K3403" t="s">
        <v>40</v>
      </c>
      <c r="L3403">
        <v>1710</v>
      </c>
      <c r="M3403">
        <v>34.387134502923978</v>
      </c>
      <c r="N3403" t="s">
        <v>8</v>
      </c>
      <c r="O3403" t="s">
        <v>482</v>
      </c>
      <c r="P3403" t="s">
        <v>73</v>
      </c>
      <c r="Q3403" t="s">
        <v>74</v>
      </c>
      <c r="R3403" t="s">
        <v>75</v>
      </c>
      <c r="S3403" t="s">
        <v>75</v>
      </c>
      <c r="T3403" t="s">
        <v>3772</v>
      </c>
      <c r="U3403" t="s">
        <v>34</v>
      </c>
      <c r="V3403">
        <v>588.02</v>
      </c>
    </row>
    <row r="3404" spans="1:22" x14ac:dyDescent="0.3">
      <c r="A3404" t="s">
        <v>4878</v>
      </c>
      <c r="B3404" s="2">
        <v>46184</v>
      </c>
      <c r="C3404" t="s">
        <v>910</v>
      </c>
      <c r="D3404" t="s">
        <v>49</v>
      </c>
      <c r="E3404" t="s">
        <v>119</v>
      </c>
      <c r="F3404">
        <v>3</v>
      </c>
      <c r="G3404">
        <v>0</v>
      </c>
      <c r="H3404">
        <v>27000</v>
      </c>
      <c r="I3404">
        <v>6900</v>
      </c>
      <c r="J3404" t="s">
        <v>65</v>
      </c>
      <c r="K3404" t="s">
        <v>40</v>
      </c>
      <c r="L3404">
        <v>9000</v>
      </c>
      <c r="M3404">
        <v>25.55555555555555</v>
      </c>
      <c r="N3404" t="s">
        <v>8</v>
      </c>
      <c r="O3404" t="s">
        <v>911</v>
      </c>
      <c r="P3404" t="s">
        <v>29</v>
      </c>
      <c r="Q3404" t="s">
        <v>30</v>
      </c>
      <c r="R3404" t="s">
        <v>31</v>
      </c>
      <c r="S3404" t="s">
        <v>32</v>
      </c>
      <c r="T3404" t="s">
        <v>912</v>
      </c>
      <c r="U3404" t="s">
        <v>34</v>
      </c>
      <c r="V3404">
        <v>2300</v>
      </c>
    </row>
    <row r="3405" spans="1:22" x14ac:dyDescent="0.3">
      <c r="A3405" t="s">
        <v>4879</v>
      </c>
      <c r="B3405" s="2">
        <v>45934</v>
      </c>
      <c r="C3405" t="s">
        <v>1120</v>
      </c>
      <c r="D3405" t="s">
        <v>49</v>
      </c>
      <c r="E3405" t="s">
        <v>119</v>
      </c>
      <c r="F3405">
        <v>1</v>
      </c>
      <c r="G3405">
        <v>0.1</v>
      </c>
      <c r="H3405">
        <v>8100</v>
      </c>
      <c r="I3405">
        <v>1820.81</v>
      </c>
      <c r="J3405" t="s">
        <v>65</v>
      </c>
      <c r="K3405" t="s">
        <v>40</v>
      </c>
      <c r="L3405">
        <v>8100</v>
      </c>
      <c r="M3405">
        <v>22.479135802469131</v>
      </c>
      <c r="N3405" t="s">
        <v>8</v>
      </c>
      <c r="O3405" t="s">
        <v>1121</v>
      </c>
      <c r="P3405" t="s">
        <v>73</v>
      </c>
      <c r="Q3405" t="s">
        <v>74</v>
      </c>
      <c r="R3405" t="s">
        <v>493</v>
      </c>
      <c r="S3405" t="s">
        <v>494</v>
      </c>
      <c r="T3405" t="s">
        <v>1122</v>
      </c>
      <c r="U3405" t="s">
        <v>34</v>
      </c>
      <c r="V3405">
        <v>1820.81</v>
      </c>
    </row>
    <row r="3406" spans="1:22" x14ac:dyDescent="0.3">
      <c r="A3406" t="s">
        <v>4880</v>
      </c>
      <c r="B3406" s="2">
        <v>46152</v>
      </c>
      <c r="C3406" t="s">
        <v>1433</v>
      </c>
      <c r="D3406" t="s">
        <v>24</v>
      </c>
      <c r="E3406" t="s">
        <v>25</v>
      </c>
      <c r="F3406">
        <v>4</v>
      </c>
      <c r="G3406">
        <v>0.2</v>
      </c>
      <c r="H3406">
        <v>44800</v>
      </c>
      <c r="I3406">
        <v>3146.61</v>
      </c>
      <c r="J3406" t="s">
        <v>65</v>
      </c>
      <c r="K3406" t="s">
        <v>40</v>
      </c>
      <c r="L3406">
        <v>11200</v>
      </c>
      <c r="M3406">
        <v>7.0236830357142859</v>
      </c>
      <c r="N3406" t="s">
        <v>8</v>
      </c>
      <c r="O3406" t="s">
        <v>318</v>
      </c>
      <c r="P3406" t="s">
        <v>73</v>
      </c>
      <c r="Q3406" t="s">
        <v>30</v>
      </c>
      <c r="R3406" t="s">
        <v>53</v>
      </c>
      <c r="S3406" t="s">
        <v>54</v>
      </c>
      <c r="T3406" t="s">
        <v>1434</v>
      </c>
      <c r="U3406" t="s">
        <v>34</v>
      </c>
      <c r="V3406">
        <v>786.65250000000003</v>
      </c>
    </row>
    <row r="3407" spans="1:22" x14ac:dyDescent="0.3">
      <c r="A3407" t="s">
        <v>4881</v>
      </c>
      <c r="B3407" s="2">
        <v>46183</v>
      </c>
      <c r="C3407" t="s">
        <v>3002</v>
      </c>
      <c r="D3407" t="s">
        <v>24</v>
      </c>
      <c r="E3407" t="s">
        <v>92</v>
      </c>
      <c r="F3407">
        <v>3</v>
      </c>
      <c r="G3407">
        <v>0</v>
      </c>
      <c r="H3407">
        <v>2700</v>
      </c>
      <c r="I3407">
        <v>840</v>
      </c>
      <c r="J3407" t="s">
        <v>51</v>
      </c>
      <c r="K3407" t="s">
        <v>27</v>
      </c>
      <c r="L3407">
        <v>900</v>
      </c>
      <c r="M3407">
        <v>31.111111111111111</v>
      </c>
      <c r="N3407" t="s">
        <v>8</v>
      </c>
      <c r="O3407" t="s">
        <v>3003</v>
      </c>
      <c r="P3407" t="s">
        <v>83</v>
      </c>
      <c r="Q3407" t="s">
        <v>42</v>
      </c>
      <c r="R3407" t="s">
        <v>121</v>
      </c>
      <c r="S3407" t="s">
        <v>44</v>
      </c>
      <c r="T3407" t="s">
        <v>3004</v>
      </c>
      <c r="U3407" t="s">
        <v>34</v>
      </c>
      <c r="V3407">
        <v>280</v>
      </c>
    </row>
    <row r="3408" spans="1:22" x14ac:dyDescent="0.3">
      <c r="A3408" t="s">
        <v>4882</v>
      </c>
      <c r="B3408" s="2">
        <v>45925</v>
      </c>
      <c r="C3408" t="s">
        <v>1854</v>
      </c>
      <c r="D3408" t="s">
        <v>24</v>
      </c>
      <c r="E3408" t="s">
        <v>87</v>
      </c>
      <c r="F3408">
        <v>1</v>
      </c>
      <c r="G3408">
        <v>0.15</v>
      </c>
      <c r="H3408">
        <v>297.5</v>
      </c>
      <c r="I3408">
        <v>91.59</v>
      </c>
      <c r="J3408" t="s">
        <v>26</v>
      </c>
      <c r="K3408" t="s">
        <v>40</v>
      </c>
      <c r="L3408">
        <v>297.5</v>
      </c>
      <c r="M3408">
        <v>30.78655462184874</v>
      </c>
      <c r="N3408" t="s">
        <v>8</v>
      </c>
      <c r="O3408" t="s">
        <v>773</v>
      </c>
      <c r="P3408" t="s">
        <v>83</v>
      </c>
      <c r="Q3408" t="s">
        <v>74</v>
      </c>
      <c r="R3408" t="s">
        <v>115</v>
      </c>
      <c r="S3408" t="s">
        <v>115</v>
      </c>
      <c r="T3408" t="s">
        <v>1855</v>
      </c>
      <c r="U3408" t="s">
        <v>34</v>
      </c>
      <c r="V3408">
        <v>91.59</v>
      </c>
    </row>
    <row r="3409" spans="1:22" x14ac:dyDescent="0.3">
      <c r="A3409" t="s">
        <v>4883</v>
      </c>
      <c r="B3409" s="2">
        <v>46191</v>
      </c>
      <c r="C3409" t="s">
        <v>2353</v>
      </c>
      <c r="D3409" t="s">
        <v>37</v>
      </c>
      <c r="E3409" t="s">
        <v>38</v>
      </c>
      <c r="F3409">
        <v>1</v>
      </c>
      <c r="G3409">
        <v>0.1</v>
      </c>
      <c r="H3409">
        <v>1620</v>
      </c>
      <c r="I3409">
        <v>548.28</v>
      </c>
      <c r="J3409" t="s">
        <v>39</v>
      </c>
      <c r="K3409" t="s">
        <v>40</v>
      </c>
      <c r="L3409">
        <v>1620</v>
      </c>
      <c r="M3409">
        <v>33.844444444444441</v>
      </c>
      <c r="N3409" t="s">
        <v>8</v>
      </c>
      <c r="O3409" t="s">
        <v>2127</v>
      </c>
      <c r="P3409" t="s">
        <v>29</v>
      </c>
      <c r="Q3409" t="s">
        <v>30</v>
      </c>
      <c r="R3409" t="s">
        <v>31</v>
      </c>
      <c r="S3409" t="s">
        <v>32</v>
      </c>
      <c r="T3409" t="s">
        <v>1283</v>
      </c>
      <c r="U3409" t="s">
        <v>46</v>
      </c>
      <c r="V3409">
        <v>548.28</v>
      </c>
    </row>
    <row r="3410" spans="1:22" x14ac:dyDescent="0.3">
      <c r="A3410" t="s">
        <v>4884</v>
      </c>
      <c r="B3410" s="2">
        <v>46125</v>
      </c>
      <c r="C3410" t="s">
        <v>96</v>
      </c>
      <c r="D3410" t="s">
        <v>70</v>
      </c>
      <c r="E3410" t="s">
        <v>129</v>
      </c>
      <c r="F3410">
        <v>5</v>
      </c>
      <c r="G3410">
        <v>0.15</v>
      </c>
      <c r="H3410">
        <v>233750</v>
      </c>
      <c r="I3410">
        <v>11104.97</v>
      </c>
      <c r="J3410" t="s">
        <v>51</v>
      </c>
      <c r="K3410" t="s">
        <v>40</v>
      </c>
      <c r="L3410">
        <v>46750</v>
      </c>
      <c r="M3410">
        <v>4.7507893048128338</v>
      </c>
      <c r="N3410" t="s">
        <v>8</v>
      </c>
      <c r="O3410" t="s">
        <v>97</v>
      </c>
      <c r="P3410" t="s">
        <v>73</v>
      </c>
      <c r="Q3410" t="s">
        <v>30</v>
      </c>
      <c r="R3410" t="s">
        <v>98</v>
      </c>
      <c r="S3410" t="s">
        <v>54</v>
      </c>
      <c r="T3410" t="s">
        <v>99</v>
      </c>
      <c r="U3410" t="s">
        <v>100</v>
      </c>
      <c r="V3410">
        <v>2220.9940000000001</v>
      </c>
    </row>
    <row r="3411" spans="1:22" x14ac:dyDescent="0.3">
      <c r="A3411" t="s">
        <v>4885</v>
      </c>
      <c r="B3411" s="2">
        <v>46202</v>
      </c>
      <c r="C3411" t="s">
        <v>401</v>
      </c>
      <c r="D3411" t="s">
        <v>49</v>
      </c>
      <c r="E3411" t="s">
        <v>119</v>
      </c>
      <c r="F3411">
        <v>3</v>
      </c>
      <c r="G3411">
        <v>0.1</v>
      </c>
      <c r="H3411">
        <v>24300</v>
      </c>
      <c r="I3411">
        <v>4980.75</v>
      </c>
      <c r="J3411" t="s">
        <v>65</v>
      </c>
      <c r="K3411" t="s">
        <v>27</v>
      </c>
      <c r="L3411">
        <v>8100</v>
      </c>
      <c r="M3411">
        <v>20.496913580246911</v>
      </c>
      <c r="N3411" t="s">
        <v>8</v>
      </c>
      <c r="O3411" t="s">
        <v>402</v>
      </c>
      <c r="P3411" t="s">
        <v>29</v>
      </c>
      <c r="Q3411" t="s">
        <v>30</v>
      </c>
      <c r="R3411" t="s">
        <v>60</v>
      </c>
      <c r="S3411" t="s">
        <v>61</v>
      </c>
      <c r="T3411" t="s">
        <v>403</v>
      </c>
      <c r="U3411" t="s">
        <v>46</v>
      </c>
      <c r="V3411">
        <v>1660.25</v>
      </c>
    </row>
    <row r="3412" spans="1:22" x14ac:dyDescent="0.3">
      <c r="A3412" t="s">
        <v>4886</v>
      </c>
      <c r="B3412" s="2">
        <v>46248</v>
      </c>
      <c r="C3412" t="s">
        <v>850</v>
      </c>
      <c r="D3412" t="s">
        <v>70</v>
      </c>
      <c r="E3412" t="s">
        <v>71</v>
      </c>
      <c r="F3412">
        <v>4</v>
      </c>
      <c r="G3412">
        <v>0</v>
      </c>
      <c r="H3412">
        <v>72000</v>
      </c>
      <c r="I3412">
        <v>14000</v>
      </c>
      <c r="J3412" t="s">
        <v>26</v>
      </c>
      <c r="K3412" t="s">
        <v>40</v>
      </c>
      <c r="L3412">
        <v>18000</v>
      </c>
      <c r="M3412">
        <v>19.44444444444445</v>
      </c>
      <c r="N3412" t="s">
        <v>8</v>
      </c>
      <c r="O3412" t="s">
        <v>851</v>
      </c>
      <c r="P3412" t="s">
        <v>29</v>
      </c>
      <c r="Q3412" t="s">
        <v>30</v>
      </c>
      <c r="R3412" t="s">
        <v>60</v>
      </c>
      <c r="S3412" t="s">
        <v>61</v>
      </c>
      <c r="T3412" t="s">
        <v>852</v>
      </c>
      <c r="U3412" t="s">
        <v>46</v>
      </c>
      <c r="V3412">
        <v>3500</v>
      </c>
    </row>
    <row r="3413" spans="1:22" x14ac:dyDescent="0.3">
      <c r="A3413" t="s">
        <v>4887</v>
      </c>
      <c r="B3413" s="2">
        <v>46206</v>
      </c>
      <c r="C3413" t="s">
        <v>4515</v>
      </c>
      <c r="D3413" t="s">
        <v>24</v>
      </c>
      <c r="E3413" t="s">
        <v>242</v>
      </c>
      <c r="F3413">
        <v>1</v>
      </c>
      <c r="G3413">
        <v>0.2</v>
      </c>
      <c r="H3413">
        <v>360</v>
      </c>
      <c r="I3413">
        <v>36.6</v>
      </c>
      <c r="J3413" t="s">
        <v>65</v>
      </c>
      <c r="K3413" t="s">
        <v>40</v>
      </c>
      <c r="L3413">
        <v>360</v>
      </c>
      <c r="M3413">
        <v>10.16666666666667</v>
      </c>
      <c r="N3413" t="s">
        <v>8</v>
      </c>
      <c r="O3413" t="s">
        <v>1251</v>
      </c>
      <c r="P3413" t="s">
        <v>29</v>
      </c>
      <c r="Q3413" t="s">
        <v>131</v>
      </c>
      <c r="R3413" t="s">
        <v>289</v>
      </c>
      <c r="S3413" t="s">
        <v>290</v>
      </c>
      <c r="T3413" t="s">
        <v>2178</v>
      </c>
      <c r="U3413" t="s">
        <v>34</v>
      </c>
      <c r="V3413">
        <v>36.6</v>
      </c>
    </row>
    <row r="3414" spans="1:22" x14ac:dyDescent="0.3">
      <c r="A3414" t="s">
        <v>4888</v>
      </c>
      <c r="B3414" s="2">
        <v>46011</v>
      </c>
      <c r="C3414" t="s">
        <v>1704</v>
      </c>
      <c r="D3414" t="s">
        <v>70</v>
      </c>
      <c r="E3414" t="s">
        <v>71</v>
      </c>
      <c r="F3414">
        <v>6</v>
      </c>
      <c r="G3414">
        <v>0.3</v>
      </c>
      <c r="H3414">
        <v>75600</v>
      </c>
      <c r="I3414">
        <v>-521.07000000000005</v>
      </c>
      <c r="J3414" t="s">
        <v>26</v>
      </c>
      <c r="K3414" t="s">
        <v>27</v>
      </c>
      <c r="L3414">
        <v>12600</v>
      </c>
      <c r="M3414">
        <v>-0.68924603174603183</v>
      </c>
      <c r="N3414" t="s">
        <v>81</v>
      </c>
      <c r="O3414" t="s">
        <v>636</v>
      </c>
      <c r="P3414" t="s">
        <v>29</v>
      </c>
      <c r="Q3414" t="s">
        <v>30</v>
      </c>
      <c r="R3414" t="s">
        <v>53</v>
      </c>
      <c r="S3414" t="s">
        <v>54</v>
      </c>
      <c r="T3414" t="s">
        <v>1705</v>
      </c>
      <c r="U3414" t="s">
        <v>34</v>
      </c>
      <c r="V3414">
        <v>-86.845000000000013</v>
      </c>
    </row>
    <row r="3415" spans="1:22" x14ac:dyDescent="0.3">
      <c r="A3415" t="s">
        <v>4889</v>
      </c>
      <c r="B3415" s="2">
        <v>45865</v>
      </c>
      <c r="C3415" t="s">
        <v>2530</v>
      </c>
      <c r="D3415" t="s">
        <v>70</v>
      </c>
      <c r="E3415" t="s">
        <v>165</v>
      </c>
      <c r="F3415">
        <v>2</v>
      </c>
      <c r="G3415">
        <v>0.15</v>
      </c>
      <c r="H3415">
        <v>4250</v>
      </c>
      <c r="I3415">
        <v>-129.66999999999999</v>
      </c>
      <c r="J3415" t="s">
        <v>26</v>
      </c>
      <c r="K3415" t="s">
        <v>434</v>
      </c>
      <c r="L3415">
        <v>2125</v>
      </c>
      <c r="M3415">
        <v>-3.051058823529412</v>
      </c>
      <c r="N3415" t="s">
        <v>81</v>
      </c>
      <c r="O3415" t="s">
        <v>2531</v>
      </c>
      <c r="P3415" t="s">
        <v>29</v>
      </c>
      <c r="Q3415" t="s">
        <v>131</v>
      </c>
      <c r="R3415" t="s">
        <v>132</v>
      </c>
      <c r="S3415" t="s">
        <v>133</v>
      </c>
      <c r="T3415" t="s">
        <v>1927</v>
      </c>
      <c r="U3415" t="s">
        <v>105</v>
      </c>
      <c r="V3415">
        <v>-64.834999999999994</v>
      </c>
    </row>
    <row r="3416" spans="1:22" x14ac:dyDescent="0.3">
      <c r="A3416" t="s">
        <v>4890</v>
      </c>
      <c r="B3416" s="2">
        <v>45930</v>
      </c>
      <c r="C3416" t="s">
        <v>570</v>
      </c>
      <c r="D3416" t="s">
        <v>49</v>
      </c>
      <c r="E3416" t="s">
        <v>58</v>
      </c>
      <c r="F3416">
        <v>2</v>
      </c>
      <c r="G3416">
        <v>0.2</v>
      </c>
      <c r="H3416">
        <v>24000</v>
      </c>
      <c r="I3416">
        <v>3773.87</v>
      </c>
      <c r="J3416" t="s">
        <v>26</v>
      </c>
      <c r="K3416" t="s">
        <v>40</v>
      </c>
      <c r="L3416">
        <v>12000</v>
      </c>
      <c r="M3416">
        <v>15.724458333333329</v>
      </c>
      <c r="N3416" t="s">
        <v>8</v>
      </c>
      <c r="O3416" t="s">
        <v>571</v>
      </c>
      <c r="P3416" t="s">
        <v>29</v>
      </c>
      <c r="Q3416" t="s">
        <v>30</v>
      </c>
      <c r="R3416" t="s">
        <v>31</v>
      </c>
      <c r="S3416" t="s">
        <v>32</v>
      </c>
      <c r="T3416" t="s">
        <v>572</v>
      </c>
      <c r="U3416" t="s">
        <v>100</v>
      </c>
      <c r="V3416">
        <v>1886.9349999999999</v>
      </c>
    </row>
    <row r="3417" spans="1:22" x14ac:dyDescent="0.3">
      <c r="A3417" t="s">
        <v>4891</v>
      </c>
      <c r="B3417" s="2">
        <v>46102</v>
      </c>
      <c r="C3417" t="s">
        <v>1087</v>
      </c>
      <c r="D3417" t="s">
        <v>24</v>
      </c>
      <c r="E3417" t="s">
        <v>87</v>
      </c>
      <c r="F3417">
        <v>4</v>
      </c>
      <c r="G3417">
        <v>0.15</v>
      </c>
      <c r="H3417">
        <v>1190</v>
      </c>
      <c r="I3417">
        <v>353.6</v>
      </c>
      <c r="J3417" t="s">
        <v>51</v>
      </c>
      <c r="K3417" t="s">
        <v>27</v>
      </c>
      <c r="L3417">
        <v>297.5</v>
      </c>
      <c r="M3417">
        <v>29.714285714285719</v>
      </c>
      <c r="N3417" t="s">
        <v>8</v>
      </c>
      <c r="O3417" t="s">
        <v>1088</v>
      </c>
      <c r="P3417" t="s">
        <v>73</v>
      </c>
      <c r="Q3417" t="s">
        <v>131</v>
      </c>
      <c r="R3417" t="s">
        <v>200</v>
      </c>
      <c r="S3417" t="s">
        <v>201</v>
      </c>
      <c r="T3417" t="s">
        <v>1089</v>
      </c>
      <c r="U3417" t="s">
        <v>46</v>
      </c>
      <c r="V3417">
        <v>88.4</v>
      </c>
    </row>
    <row r="3418" spans="1:22" x14ac:dyDescent="0.3">
      <c r="A3418" t="s">
        <v>4892</v>
      </c>
      <c r="B3418" s="2">
        <v>45890</v>
      </c>
      <c r="C3418" t="s">
        <v>3684</v>
      </c>
      <c r="D3418" t="s">
        <v>49</v>
      </c>
      <c r="E3418" t="s">
        <v>58</v>
      </c>
      <c r="F3418">
        <v>1</v>
      </c>
      <c r="G3418">
        <v>0</v>
      </c>
      <c r="H3418">
        <v>15000</v>
      </c>
      <c r="I3418">
        <v>3500</v>
      </c>
      <c r="J3418" t="s">
        <v>51</v>
      </c>
      <c r="K3418" t="s">
        <v>40</v>
      </c>
      <c r="L3418">
        <v>15000</v>
      </c>
      <c r="M3418">
        <v>23.333333333333329</v>
      </c>
      <c r="N3418" t="s">
        <v>8</v>
      </c>
      <c r="O3418" t="s">
        <v>730</v>
      </c>
      <c r="P3418" t="s">
        <v>29</v>
      </c>
      <c r="Q3418" t="s">
        <v>131</v>
      </c>
      <c r="R3418" t="s">
        <v>200</v>
      </c>
      <c r="S3418" t="s">
        <v>201</v>
      </c>
      <c r="T3418" t="s">
        <v>3685</v>
      </c>
      <c r="U3418" t="s">
        <v>34</v>
      </c>
      <c r="V3418">
        <v>3500</v>
      </c>
    </row>
    <row r="3419" spans="1:22" x14ac:dyDescent="0.3">
      <c r="A3419" t="s">
        <v>4893</v>
      </c>
      <c r="B3419" s="2">
        <v>46207</v>
      </c>
      <c r="C3419" t="s">
        <v>1519</v>
      </c>
      <c r="D3419" t="s">
        <v>49</v>
      </c>
      <c r="E3419" t="s">
        <v>119</v>
      </c>
      <c r="F3419">
        <v>2</v>
      </c>
      <c r="G3419">
        <v>0.1</v>
      </c>
      <c r="H3419">
        <v>16200</v>
      </c>
      <c r="I3419">
        <v>3747.26</v>
      </c>
      <c r="J3419" t="s">
        <v>65</v>
      </c>
      <c r="K3419" t="s">
        <v>40</v>
      </c>
      <c r="L3419">
        <v>8100</v>
      </c>
      <c r="M3419">
        <v>23.131234567901231</v>
      </c>
      <c r="N3419" t="s">
        <v>8</v>
      </c>
      <c r="O3419" t="s">
        <v>1520</v>
      </c>
      <c r="P3419" t="s">
        <v>83</v>
      </c>
      <c r="Q3419" t="s">
        <v>30</v>
      </c>
      <c r="R3419" t="s">
        <v>31</v>
      </c>
      <c r="S3419" t="s">
        <v>32</v>
      </c>
      <c r="T3419" t="s">
        <v>1521</v>
      </c>
      <c r="U3419" t="s">
        <v>105</v>
      </c>
      <c r="V3419">
        <v>1873.63</v>
      </c>
    </row>
    <row r="3420" spans="1:22" x14ac:dyDescent="0.3">
      <c r="A3420" t="s">
        <v>4894</v>
      </c>
      <c r="B3420" s="2">
        <v>45989</v>
      </c>
      <c r="C3420" t="s">
        <v>1700</v>
      </c>
      <c r="D3420" t="s">
        <v>49</v>
      </c>
      <c r="E3420" t="s">
        <v>58</v>
      </c>
      <c r="F3420">
        <v>3</v>
      </c>
      <c r="G3420">
        <v>0.2</v>
      </c>
      <c r="H3420">
        <v>36000</v>
      </c>
      <c r="I3420">
        <v>4692.79</v>
      </c>
      <c r="J3420" t="s">
        <v>65</v>
      </c>
      <c r="K3420" t="s">
        <v>40</v>
      </c>
      <c r="L3420">
        <v>12000</v>
      </c>
      <c r="M3420">
        <v>13.03552777777778</v>
      </c>
      <c r="N3420" t="s">
        <v>8</v>
      </c>
      <c r="O3420" t="s">
        <v>1009</v>
      </c>
      <c r="P3420" t="s">
        <v>73</v>
      </c>
      <c r="Q3420" t="s">
        <v>30</v>
      </c>
      <c r="R3420" t="s">
        <v>53</v>
      </c>
      <c r="S3420" t="s">
        <v>54</v>
      </c>
      <c r="T3420" t="s">
        <v>172</v>
      </c>
      <c r="U3420" t="s">
        <v>34</v>
      </c>
      <c r="V3420">
        <v>1564.2633333333331</v>
      </c>
    </row>
    <row r="3421" spans="1:22" x14ac:dyDescent="0.3">
      <c r="A3421" t="s">
        <v>4895</v>
      </c>
      <c r="B3421" s="2">
        <v>45967</v>
      </c>
      <c r="C3421" t="s">
        <v>1356</v>
      </c>
      <c r="D3421" t="s">
        <v>70</v>
      </c>
      <c r="E3421" t="s">
        <v>71</v>
      </c>
      <c r="F3421">
        <v>6</v>
      </c>
      <c r="G3421">
        <v>0</v>
      </c>
      <c r="H3421">
        <v>108000</v>
      </c>
      <c r="I3421">
        <v>-9139.43</v>
      </c>
      <c r="J3421" t="s">
        <v>39</v>
      </c>
      <c r="K3421" t="s">
        <v>434</v>
      </c>
      <c r="L3421">
        <v>18000</v>
      </c>
      <c r="M3421">
        <v>-8.4624351851851856</v>
      </c>
      <c r="N3421" t="s">
        <v>81</v>
      </c>
      <c r="O3421" t="s">
        <v>1357</v>
      </c>
      <c r="P3421" t="s">
        <v>83</v>
      </c>
      <c r="Q3421" t="s">
        <v>74</v>
      </c>
      <c r="R3421" t="s">
        <v>237</v>
      </c>
      <c r="S3421" t="s">
        <v>238</v>
      </c>
      <c r="T3421" t="s">
        <v>1358</v>
      </c>
      <c r="U3421" t="s">
        <v>46</v>
      </c>
      <c r="V3421">
        <v>-1523.238333333333</v>
      </c>
    </row>
    <row r="3422" spans="1:22" x14ac:dyDescent="0.3">
      <c r="A3422" t="s">
        <v>4896</v>
      </c>
      <c r="B3422" s="2">
        <v>45950</v>
      </c>
      <c r="C3422" t="s">
        <v>1324</v>
      </c>
      <c r="D3422" t="s">
        <v>49</v>
      </c>
      <c r="E3422" t="s">
        <v>50</v>
      </c>
      <c r="F3422">
        <v>3</v>
      </c>
      <c r="G3422">
        <v>0.1</v>
      </c>
      <c r="H3422">
        <v>35100</v>
      </c>
      <c r="I3422">
        <v>7406.89</v>
      </c>
      <c r="J3422" t="s">
        <v>51</v>
      </c>
      <c r="K3422" t="s">
        <v>40</v>
      </c>
      <c r="L3422">
        <v>11700</v>
      </c>
      <c r="M3422">
        <v>21.102250712250719</v>
      </c>
      <c r="N3422" t="s">
        <v>8</v>
      </c>
      <c r="O3422" t="s">
        <v>1325</v>
      </c>
      <c r="P3422" t="s">
        <v>83</v>
      </c>
      <c r="Q3422" t="s">
        <v>74</v>
      </c>
      <c r="R3422" t="s">
        <v>115</v>
      </c>
      <c r="S3422" t="s">
        <v>115</v>
      </c>
      <c r="T3422" t="s">
        <v>1326</v>
      </c>
      <c r="U3422" t="s">
        <v>34</v>
      </c>
      <c r="V3422">
        <v>2468.963333333334</v>
      </c>
    </row>
    <row r="3423" spans="1:22" x14ac:dyDescent="0.3">
      <c r="A3423" t="s">
        <v>4897</v>
      </c>
      <c r="B3423" s="2">
        <v>46220</v>
      </c>
      <c r="C3423" t="s">
        <v>1300</v>
      </c>
      <c r="D3423" t="s">
        <v>24</v>
      </c>
      <c r="E3423" t="s">
        <v>25</v>
      </c>
      <c r="F3423">
        <v>2</v>
      </c>
      <c r="G3423">
        <v>0.1</v>
      </c>
      <c r="H3423">
        <v>25200</v>
      </c>
      <c r="I3423">
        <v>-5408.27</v>
      </c>
      <c r="J3423" t="s">
        <v>65</v>
      </c>
      <c r="K3423" t="s">
        <v>80</v>
      </c>
      <c r="L3423">
        <v>12600</v>
      </c>
      <c r="M3423">
        <v>-21.461388888888891</v>
      </c>
      <c r="N3423" t="s">
        <v>81</v>
      </c>
      <c r="O3423" t="s">
        <v>1301</v>
      </c>
      <c r="P3423" t="s">
        <v>29</v>
      </c>
      <c r="Q3423" t="s">
        <v>42</v>
      </c>
      <c r="R3423" t="s">
        <v>121</v>
      </c>
      <c r="S3423" t="s">
        <v>44</v>
      </c>
      <c r="T3423" t="s">
        <v>1302</v>
      </c>
      <c r="U3423" t="s">
        <v>100</v>
      </c>
      <c r="V3423">
        <v>-2704.1350000000002</v>
      </c>
    </row>
    <row r="3424" spans="1:22" x14ac:dyDescent="0.3">
      <c r="A3424" t="s">
        <v>4898</v>
      </c>
      <c r="B3424" s="2">
        <v>46014</v>
      </c>
      <c r="C3424" t="s">
        <v>1468</v>
      </c>
      <c r="D3424" t="s">
        <v>70</v>
      </c>
      <c r="E3424" t="s">
        <v>129</v>
      </c>
      <c r="F3424">
        <v>1</v>
      </c>
      <c r="G3424">
        <v>0</v>
      </c>
      <c r="H3424">
        <v>55000</v>
      </c>
      <c r="I3424">
        <v>9000</v>
      </c>
      <c r="J3424" t="s">
        <v>51</v>
      </c>
      <c r="K3424" t="s">
        <v>40</v>
      </c>
      <c r="L3424">
        <v>55000</v>
      </c>
      <c r="M3424">
        <v>16.36363636363636</v>
      </c>
      <c r="N3424" t="s">
        <v>8</v>
      </c>
      <c r="O3424" t="s">
        <v>345</v>
      </c>
      <c r="P3424" t="s">
        <v>83</v>
      </c>
      <c r="Q3424" t="s">
        <v>30</v>
      </c>
      <c r="R3424" t="s">
        <v>98</v>
      </c>
      <c r="S3424" t="s">
        <v>54</v>
      </c>
      <c r="T3424" t="s">
        <v>1469</v>
      </c>
      <c r="U3424" t="s">
        <v>34</v>
      </c>
      <c r="V3424">
        <v>9000</v>
      </c>
    </row>
    <row r="3425" spans="1:22" x14ac:dyDescent="0.3">
      <c r="A3425" t="s">
        <v>4899</v>
      </c>
      <c r="B3425" s="2">
        <v>46240</v>
      </c>
      <c r="C3425" t="s">
        <v>1091</v>
      </c>
      <c r="D3425" t="s">
        <v>70</v>
      </c>
      <c r="E3425" t="s">
        <v>108</v>
      </c>
      <c r="F3425">
        <v>3</v>
      </c>
      <c r="G3425">
        <v>0</v>
      </c>
      <c r="H3425">
        <v>13500</v>
      </c>
      <c r="I3425">
        <v>4500</v>
      </c>
      <c r="J3425" t="s">
        <v>51</v>
      </c>
      <c r="K3425" t="s">
        <v>40</v>
      </c>
      <c r="L3425">
        <v>4500</v>
      </c>
      <c r="M3425">
        <v>33.333333333333329</v>
      </c>
      <c r="N3425" t="s">
        <v>8</v>
      </c>
      <c r="O3425" t="s">
        <v>1018</v>
      </c>
      <c r="P3425" t="s">
        <v>83</v>
      </c>
      <c r="Q3425" t="s">
        <v>30</v>
      </c>
      <c r="R3425" t="s">
        <v>31</v>
      </c>
      <c r="S3425" t="s">
        <v>32</v>
      </c>
      <c r="T3425" t="s">
        <v>1092</v>
      </c>
      <c r="U3425" t="s">
        <v>105</v>
      </c>
      <c r="V3425">
        <v>1500</v>
      </c>
    </row>
    <row r="3426" spans="1:22" x14ac:dyDescent="0.3">
      <c r="A3426" t="s">
        <v>4900</v>
      </c>
      <c r="B3426" s="2">
        <v>46161</v>
      </c>
      <c r="C3426" t="s">
        <v>2261</v>
      </c>
      <c r="D3426" t="s">
        <v>37</v>
      </c>
      <c r="E3426" t="s">
        <v>38</v>
      </c>
      <c r="F3426">
        <v>1</v>
      </c>
      <c r="G3426">
        <v>0</v>
      </c>
      <c r="H3426">
        <v>1800</v>
      </c>
      <c r="I3426">
        <v>650</v>
      </c>
      <c r="J3426" t="s">
        <v>65</v>
      </c>
      <c r="K3426" t="s">
        <v>27</v>
      </c>
      <c r="L3426">
        <v>1800</v>
      </c>
      <c r="M3426">
        <v>36.111111111111107</v>
      </c>
      <c r="N3426" t="s">
        <v>8</v>
      </c>
      <c r="O3426" t="s">
        <v>1237</v>
      </c>
      <c r="P3426" t="s">
        <v>73</v>
      </c>
      <c r="Q3426" t="s">
        <v>74</v>
      </c>
      <c r="R3426" t="s">
        <v>237</v>
      </c>
      <c r="S3426" t="s">
        <v>238</v>
      </c>
      <c r="T3426" t="s">
        <v>2262</v>
      </c>
      <c r="U3426" t="s">
        <v>100</v>
      </c>
      <c r="V3426">
        <v>650</v>
      </c>
    </row>
    <row r="3427" spans="1:22" x14ac:dyDescent="0.3">
      <c r="A3427" t="s">
        <v>4901</v>
      </c>
      <c r="B3427" s="2">
        <v>45994</v>
      </c>
      <c r="C3427" t="s">
        <v>1377</v>
      </c>
      <c r="D3427" t="s">
        <v>70</v>
      </c>
      <c r="E3427" t="s">
        <v>129</v>
      </c>
      <c r="F3427">
        <v>2</v>
      </c>
      <c r="G3427">
        <v>0.05</v>
      </c>
      <c r="H3427">
        <v>104500</v>
      </c>
      <c r="I3427">
        <v>14430.2</v>
      </c>
      <c r="J3427" t="s">
        <v>26</v>
      </c>
      <c r="K3427" t="s">
        <v>40</v>
      </c>
      <c r="L3427">
        <v>52250</v>
      </c>
      <c r="M3427">
        <v>13.8088038277512</v>
      </c>
      <c r="N3427" t="s">
        <v>8</v>
      </c>
      <c r="O3427" t="s">
        <v>1378</v>
      </c>
      <c r="P3427" t="s">
        <v>29</v>
      </c>
      <c r="Q3427" t="s">
        <v>30</v>
      </c>
      <c r="R3427" t="s">
        <v>53</v>
      </c>
      <c r="S3427" t="s">
        <v>54</v>
      </c>
      <c r="T3427" t="s">
        <v>1379</v>
      </c>
      <c r="U3427" t="s">
        <v>100</v>
      </c>
      <c r="V3427">
        <v>7215.1</v>
      </c>
    </row>
    <row r="3428" spans="1:22" x14ac:dyDescent="0.3">
      <c r="A3428" t="s">
        <v>4902</v>
      </c>
      <c r="B3428" s="2">
        <v>45975</v>
      </c>
      <c r="C3428" t="s">
        <v>559</v>
      </c>
      <c r="D3428" t="s">
        <v>49</v>
      </c>
      <c r="E3428" t="s">
        <v>50</v>
      </c>
      <c r="F3428">
        <v>3</v>
      </c>
      <c r="G3428">
        <v>0.2</v>
      </c>
      <c r="H3428">
        <v>31200</v>
      </c>
      <c r="I3428">
        <v>3701.97</v>
      </c>
      <c r="J3428" t="s">
        <v>39</v>
      </c>
      <c r="K3428" t="s">
        <v>40</v>
      </c>
      <c r="L3428">
        <v>10400</v>
      </c>
      <c r="M3428">
        <v>11.86528846153846</v>
      </c>
      <c r="N3428" t="s">
        <v>8</v>
      </c>
      <c r="O3428" t="s">
        <v>478</v>
      </c>
      <c r="P3428" t="s">
        <v>29</v>
      </c>
      <c r="Q3428" t="s">
        <v>30</v>
      </c>
      <c r="R3428" t="s">
        <v>53</v>
      </c>
      <c r="S3428" t="s">
        <v>54</v>
      </c>
      <c r="T3428" t="s">
        <v>560</v>
      </c>
      <c r="U3428" t="s">
        <v>34</v>
      </c>
      <c r="V3428">
        <v>1233.99</v>
      </c>
    </row>
    <row r="3429" spans="1:22" x14ac:dyDescent="0.3">
      <c r="A3429" t="s">
        <v>4903</v>
      </c>
      <c r="B3429" s="2">
        <v>45949</v>
      </c>
      <c r="C3429" t="s">
        <v>997</v>
      </c>
      <c r="D3429" t="s">
        <v>70</v>
      </c>
      <c r="E3429" t="s">
        <v>71</v>
      </c>
      <c r="F3429">
        <v>2</v>
      </c>
      <c r="G3429">
        <v>0.05</v>
      </c>
      <c r="H3429">
        <v>34200</v>
      </c>
      <c r="I3429">
        <v>6150.25</v>
      </c>
      <c r="J3429" t="s">
        <v>65</v>
      </c>
      <c r="K3429" t="s">
        <v>40</v>
      </c>
      <c r="L3429">
        <v>17100</v>
      </c>
      <c r="M3429">
        <v>17.98318713450292</v>
      </c>
      <c r="N3429" t="s">
        <v>8</v>
      </c>
      <c r="O3429" t="s">
        <v>166</v>
      </c>
      <c r="P3429" t="s">
        <v>73</v>
      </c>
      <c r="Q3429" t="s">
        <v>131</v>
      </c>
      <c r="R3429" t="s">
        <v>449</v>
      </c>
      <c r="S3429" t="s">
        <v>450</v>
      </c>
      <c r="T3429" t="s">
        <v>515</v>
      </c>
      <c r="U3429" t="s">
        <v>46</v>
      </c>
      <c r="V3429">
        <v>3075.125</v>
      </c>
    </row>
    <row r="3430" spans="1:22" x14ac:dyDescent="0.3">
      <c r="A3430" t="s">
        <v>4904</v>
      </c>
      <c r="B3430" s="2">
        <v>46236</v>
      </c>
      <c r="C3430" t="s">
        <v>891</v>
      </c>
      <c r="D3430" t="s">
        <v>49</v>
      </c>
      <c r="E3430" t="s">
        <v>50</v>
      </c>
      <c r="F3430">
        <v>1</v>
      </c>
      <c r="G3430">
        <v>0</v>
      </c>
      <c r="H3430">
        <v>13000</v>
      </c>
      <c r="I3430">
        <v>3200</v>
      </c>
      <c r="J3430" t="s">
        <v>26</v>
      </c>
      <c r="K3430" t="s">
        <v>40</v>
      </c>
      <c r="L3430">
        <v>13000</v>
      </c>
      <c r="M3430">
        <v>24.61538461538462</v>
      </c>
      <c r="N3430" t="s">
        <v>8</v>
      </c>
      <c r="O3430" t="s">
        <v>892</v>
      </c>
      <c r="P3430" t="s">
        <v>29</v>
      </c>
      <c r="Q3430" t="s">
        <v>30</v>
      </c>
      <c r="R3430" t="s">
        <v>31</v>
      </c>
      <c r="S3430" t="s">
        <v>32</v>
      </c>
      <c r="T3430" t="s">
        <v>893</v>
      </c>
      <c r="U3430" t="s">
        <v>34</v>
      </c>
      <c r="V3430">
        <v>3200</v>
      </c>
    </row>
    <row r="3431" spans="1:22" x14ac:dyDescent="0.3">
      <c r="A3431" t="s">
        <v>4905</v>
      </c>
      <c r="B3431" s="2">
        <v>45978</v>
      </c>
      <c r="C3431" t="s">
        <v>4906</v>
      </c>
      <c r="D3431" t="s">
        <v>70</v>
      </c>
      <c r="E3431" t="s">
        <v>108</v>
      </c>
      <c r="F3431">
        <v>3</v>
      </c>
      <c r="G3431">
        <v>0.1</v>
      </c>
      <c r="H3431">
        <v>12150</v>
      </c>
      <c r="I3431">
        <v>3531.81</v>
      </c>
      <c r="J3431" t="s">
        <v>26</v>
      </c>
      <c r="K3431" t="s">
        <v>27</v>
      </c>
      <c r="L3431">
        <v>4050</v>
      </c>
      <c r="M3431">
        <v>29.068395061728399</v>
      </c>
      <c r="N3431" t="s">
        <v>8</v>
      </c>
      <c r="O3431" t="s">
        <v>1695</v>
      </c>
      <c r="P3431" t="s">
        <v>83</v>
      </c>
      <c r="Q3431" t="s">
        <v>74</v>
      </c>
      <c r="R3431" t="s">
        <v>493</v>
      </c>
      <c r="S3431" t="s">
        <v>494</v>
      </c>
      <c r="T3431" t="s">
        <v>4907</v>
      </c>
      <c r="U3431" t="s">
        <v>46</v>
      </c>
      <c r="V3431">
        <v>1177.27</v>
      </c>
    </row>
    <row r="3432" spans="1:22" x14ac:dyDescent="0.3">
      <c r="A3432" t="s">
        <v>4908</v>
      </c>
      <c r="B3432" s="2">
        <v>45890</v>
      </c>
      <c r="C3432" t="s">
        <v>983</v>
      </c>
      <c r="D3432" t="s">
        <v>24</v>
      </c>
      <c r="E3432" t="s">
        <v>25</v>
      </c>
      <c r="F3432">
        <v>1</v>
      </c>
      <c r="G3432">
        <v>0.3</v>
      </c>
      <c r="H3432">
        <v>9800</v>
      </c>
      <c r="I3432">
        <v>-497.55</v>
      </c>
      <c r="J3432" t="s">
        <v>26</v>
      </c>
      <c r="K3432" t="s">
        <v>40</v>
      </c>
      <c r="L3432">
        <v>9800</v>
      </c>
      <c r="M3432">
        <v>-5.077040816326531</v>
      </c>
      <c r="N3432" t="s">
        <v>81</v>
      </c>
      <c r="O3432" t="s">
        <v>984</v>
      </c>
      <c r="P3432" t="s">
        <v>29</v>
      </c>
      <c r="Q3432" t="s">
        <v>30</v>
      </c>
      <c r="R3432" t="s">
        <v>31</v>
      </c>
      <c r="S3432" t="s">
        <v>32</v>
      </c>
      <c r="T3432" t="s">
        <v>985</v>
      </c>
      <c r="U3432" t="s">
        <v>46</v>
      </c>
      <c r="V3432">
        <v>-497.55</v>
      </c>
    </row>
    <row r="3433" spans="1:22" x14ac:dyDescent="0.3">
      <c r="A3433" t="s">
        <v>4909</v>
      </c>
      <c r="B3433" s="2">
        <v>46012</v>
      </c>
      <c r="C3433" t="s">
        <v>2101</v>
      </c>
      <c r="D3433" t="s">
        <v>49</v>
      </c>
      <c r="E3433" t="s">
        <v>119</v>
      </c>
      <c r="F3433">
        <v>3</v>
      </c>
      <c r="G3433">
        <v>0.2</v>
      </c>
      <c r="H3433">
        <v>21600</v>
      </c>
      <c r="I3433">
        <v>3167.77</v>
      </c>
      <c r="J3433" t="s">
        <v>26</v>
      </c>
      <c r="K3433" t="s">
        <v>27</v>
      </c>
      <c r="L3433">
        <v>7200</v>
      </c>
      <c r="M3433">
        <v>14.66560185185185</v>
      </c>
      <c r="N3433" t="s">
        <v>8</v>
      </c>
      <c r="O3433" t="s">
        <v>2102</v>
      </c>
      <c r="P3433" t="s">
        <v>29</v>
      </c>
      <c r="Q3433" t="s">
        <v>131</v>
      </c>
      <c r="R3433" t="s">
        <v>289</v>
      </c>
      <c r="S3433" t="s">
        <v>290</v>
      </c>
      <c r="T3433" t="s">
        <v>2103</v>
      </c>
      <c r="U3433" t="s">
        <v>34</v>
      </c>
      <c r="V3433">
        <v>1055.9233333333329</v>
      </c>
    </row>
    <row r="3434" spans="1:22" x14ac:dyDescent="0.3">
      <c r="A3434" t="s">
        <v>4910</v>
      </c>
      <c r="B3434" s="2">
        <v>45997</v>
      </c>
      <c r="C3434" t="s">
        <v>667</v>
      </c>
      <c r="D3434" t="s">
        <v>49</v>
      </c>
      <c r="E3434" t="s">
        <v>119</v>
      </c>
      <c r="F3434">
        <v>3</v>
      </c>
      <c r="G3434">
        <v>0.05</v>
      </c>
      <c r="H3434">
        <v>25650</v>
      </c>
      <c r="I3434">
        <v>5981.62</v>
      </c>
      <c r="J3434" t="s">
        <v>39</v>
      </c>
      <c r="K3434" t="s">
        <v>27</v>
      </c>
      <c r="L3434">
        <v>8550</v>
      </c>
      <c r="M3434">
        <v>23.320155945419099</v>
      </c>
      <c r="N3434" t="s">
        <v>8</v>
      </c>
      <c r="O3434" t="s">
        <v>668</v>
      </c>
      <c r="P3434" t="s">
        <v>29</v>
      </c>
      <c r="Q3434" t="s">
        <v>30</v>
      </c>
      <c r="R3434" t="s">
        <v>31</v>
      </c>
      <c r="S3434" t="s">
        <v>32</v>
      </c>
      <c r="T3434" t="s">
        <v>669</v>
      </c>
      <c r="U3434" t="s">
        <v>46</v>
      </c>
      <c r="V3434">
        <v>1993.873333333333</v>
      </c>
    </row>
    <row r="3435" spans="1:22" x14ac:dyDescent="0.3">
      <c r="A3435" t="s">
        <v>4911</v>
      </c>
      <c r="B3435" s="2">
        <v>46015</v>
      </c>
      <c r="C3435" t="s">
        <v>1860</v>
      </c>
      <c r="D3435" t="s">
        <v>70</v>
      </c>
      <c r="E3435" t="s">
        <v>71</v>
      </c>
      <c r="F3435">
        <v>1</v>
      </c>
      <c r="G3435">
        <v>0</v>
      </c>
      <c r="H3435">
        <v>18000</v>
      </c>
      <c r="I3435">
        <v>3500</v>
      </c>
      <c r="J3435" t="s">
        <v>51</v>
      </c>
      <c r="K3435" t="s">
        <v>27</v>
      </c>
      <c r="L3435">
        <v>18000</v>
      </c>
      <c r="M3435">
        <v>19.44444444444445</v>
      </c>
      <c r="N3435" t="s">
        <v>8</v>
      </c>
      <c r="O3435" t="s">
        <v>1861</v>
      </c>
      <c r="P3435" t="s">
        <v>83</v>
      </c>
      <c r="Q3435" t="s">
        <v>30</v>
      </c>
      <c r="R3435" t="s">
        <v>98</v>
      </c>
      <c r="S3435" t="s">
        <v>54</v>
      </c>
      <c r="T3435" t="s">
        <v>1862</v>
      </c>
      <c r="U3435" t="s">
        <v>34</v>
      </c>
      <c r="V3435">
        <v>3500</v>
      </c>
    </row>
    <row r="3436" spans="1:22" x14ac:dyDescent="0.3">
      <c r="A3436" t="s">
        <v>4912</v>
      </c>
      <c r="B3436" s="2">
        <v>46182</v>
      </c>
      <c r="C3436" t="s">
        <v>4515</v>
      </c>
      <c r="D3436" t="s">
        <v>70</v>
      </c>
      <c r="E3436" t="s">
        <v>108</v>
      </c>
      <c r="F3436">
        <v>2</v>
      </c>
      <c r="G3436">
        <v>0</v>
      </c>
      <c r="H3436">
        <v>9000</v>
      </c>
      <c r="I3436">
        <v>3000</v>
      </c>
      <c r="J3436" t="s">
        <v>51</v>
      </c>
      <c r="K3436" t="s">
        <v>40</v>
      </c>
      <c r="L3436">
        <v>4500</v>
      </c>
      <c r="M3436">
        <v>33.333333333333329</v>
      </c>
      <c r="N3436" t="s">
        <v>8</v>
      </c>
      <c r="O3436" t="s">
        <v>1251</v>
      </c>
      <c r="P3436" t="s">
        <v>29</v>
      </c>
      <c r="Q3436" t="s">
        <v>131</v>
      </c>
      <c r="R3436" t="s">
        <v>289</v>
      </c>
      <c r="S3436" t="s">
        <v>290</v>
      </c>
      <c r="T3436" t="s">
        <v>2178</v>
      </c>
      <c r="U3436" t="s">
        <v>34</v>
      </c>
      <c r="V3436">
        <v>1500</v>
      </c>
    </row>
    <row r="3437" spans="1:22" x14ac:dyDescent="0.3">
      <c r="A3437" t="s">
        <v>4913</v>
      </c>
      <c r="B3437" s="2">
        <v>45980</v>
      </c>
      <c r="C3437" t="s">
        <v>974</v>
      </c>
      <c r="D3437" t="s">
        <v>37</v>
      </c>
      <c r="E3437" t="s">
        <v>190</v>
      </c>
      <c r="F3437">
        <v>2</v>
      </c>
      <c r="G3437">
        <v>0.1</v>
      </c>
      <c r="H3437">
        <v>7560</v>
      </c>
      <c r="I3437">
        <v>1901.23</v>
      </c>
      <c r="J3437" t="s">
        <v>39</v>
      </c>
      <c r="K3437" t="s">
        <v>27</v>
      </c>
      <c r="L3437">
        <v>3780</v>
      </c>
      <c r="M3437">
        <v>25.148544973544968</v>
      </c>
      <c r="N3437" t="s">
        <v>8</v>
      </c>
      <c r="O3437" t="s">
        <v>975</v>
      </c>
      <c r="P3437" t="s">
        <v>73</v>
      </c>
      <c r="Q3437" t="s">
        <v>42</v>
      </c>
      <c r="R3437" t="s">
        <v>43</v>
      </c>
      <c r="S3437" t="s">
        <v>44</v>
      </c>
      <c r="T3437" t="s">
        <v>976</v>
      </c>
      <c r="U3437" t="s">
        <v>100</v>
      </c>
      <c r="V3437">
        <v>950.61500000000001</v>
      </c>
    </row>
    <row r="3438" spans="1:22" x14ac:dyDescent="0.3">
      <c r="A3438" t="s">
        <v>4914</v>
      </c>
      <c r="B3438" s="2">
        <v>45850</v>
      </c>
      <c r="C3438" t="s">
        <v>69</v>
      </c>
      <c r="D3438" t="s">
        <v>49</v>
      </c>
      <c r="E3438" t="s">
        <v>50</v>
      </c>
      <c r="F3438">
        <v>2</v>
      </c>
      <c r="G3438">
        <v>0.1</v>
      </c>
      <c r="H3438">
        <v>23400</v>
      </c>
      <c r="I3438">
        <v>4434.8900000000003</v>
      </c>
      <c r="J3438" t="s">
        <v>39</v>
      </c>
      <c r="K3438" t="s">
        <v>40</v>
      </c>
      <c r="L3438">
        <v>11700</v>
      </c>
      <c r="M3438">
        <v>18.952521367521371</v>
      </c>
      <c r="N3438" t="s">
        <v>8</v>
      </c>
      <c r="O3438" t="s">
        <v>72</v>
      </c>
      <c r="P3438" t="s">
        <v>73</v>
      </c>
      <c r="Q3438" t="s">
        <v>74</v>
      </c>
      <c r="R3438" t="s">
        <v>75</v>
      </c>
      <c r="S3438" t="s">
        <v>75</v>
      </c>
      <c r="T3438" t="s">
        <v>76</v>
      </c>
      <c r="U3438" t="s">
        <v>34</v>
      </c>
      <c r="V3438">
        <v>2217.4450000000002</v>
      </c>
    </row>
    <row r="3439" spans="1:22" x14ac:dyDescent="0.3">
      <c r="A3439" t="s">
        <v>4915</v>
      </c>
      <c r="B3439" s="2">
        <v>46088</v>
      </c>
      <c r="C3439" t="s">
        <v>1148</v>
      </c>
      <c r="D3439" t="s">
        <v>49</v>
      </c>
      <c r="E3439" t="s">
        <v>58</v>
      </c>
      <c r="F3439">
        <v>2</v>
      </c>
      <c r="G3439">
        <v>0.2</v>
      </c>
      <c r="H3439">
        <v>24000</v>
      </c>
      <c r="I3439">
        <v>-7864.8</v>
      </c>
      <c r="J3439" t="s">
        <v>26</v>
      </c>
      <c r="K3439" t="s">
        <v>434</v>
      </c>
      <c r="L3439">
        <v>12000</v>
      </c>
      <c r="M3439">
        <v>-32.770000000000003</v>
      </c>
      <c r="N3439" t="s">
        <v>81</v>
      </c>
      <c r="O3439" t="s">
        <v>302</v>
      </c>
      <c r="P3439" t="s">
        <v>73</v>
      </c>
      <c r="Q3439" t="s">
        <v>42</v>
      </c>
      <c r="R3439" t="s">
        <v>214</v>
      </c>
      <c r="S3439" t="s">
        <v>111</v>
      </c>
      <c r="T3439" t="s">
        <v>1149</v>
      </c>
      <c r="U3439" t="s">
        <v>34</v>
      </c>
      <c r="V3439">
        <v>-3932.4</v>
      </c>
    </row>
    <row r="3440" spans="1:22" x14ac:dyDescent="0.3">
      <c r="A3440" t="s">
        <v>4916</v>
      </c>
      <c r="B3440" s="2">
        <v>45998</v>
      </c>
      <c r="C3440" t="s">
        <v>1293</v>
      </c>
      <c r="D3440" t="s">
        <v>37</v>
      </c>
      <c r="E3440" t="s">
        <v>170</v>
      </c>
      <c r="F3440">
        <v>3</v>
      </c>
      <c r="G3440">
        <v>0.05</v>
      </c>
      <c r="H3440">
        <v>3990</v>
      </c>
      <c r="I3440">
        <v>-1262.79</v>
      </c>
      <c r="J3440" t="s">
        <v>51</v>
      </c>
      <c r="K3440" t="s">
        <v>80</v>
      </c>
      <c r="L3440">
        <v>1330</v>
      </c>
      <c r="M3440">
        <v>-31.648872180451129</v>
      </c>
      <c r="N3440" t="s">
        <v>81</v>
      </c>
      <c r="O3440" t="s">
        <v>1294</v>
      </c>
      <c r="P3440" t="s">
        <v>83</v>
      </c>
      <c r="Q3440" t="s">
        <v>74</v>
      </c>
      <c r="R3440" t="s">
        <v>115</v>
      </c>
      <c r="S3440" t="s">
        <v>115</v>
      </c>
      <c r="T3440" t="s">
        <v>1295</v>
      </c>
      <c r="U3440" t="s">
        <v>46</v>
      </c>
      <c r="V3440">
        <v>-420.93</v>
      </c>
    </row>
    <row r="3441" spans="1:22" x14ac:dyDescent="0.3">
      <c r="A3441" t="s">
        <v>4917</v>
      </c>
      <c r="B3441" s="2">
        <v>46149</v>
      </c>
      <c r="C3441" t="s">
        <v>1497</v>
      </c>
      <c r="D3441" t="s">
        <v>70</v>
      </c>
      <c r="E3441" t="s">
        <v>71</v>
      </c>
      <c r="F3441">
        <v>4</v>
      </c>
      <c r="G3441">
        <v>0</v>
      </c>
      <c r="H3441">
        <v>72000</v>
      </c>
      <c r="I3441">
        <v>14000</v>
      </c>
      <c r="J3441" t="s">
        <v>26</v>
      </c>
      <c r="K3441" t="s">
        <v>40</v>
      </c>
      <c r="L3441">
        <v>18000</v>
      </c>
      <c r="M3441">
        <v>19.44444444444445</v>
      </c>
      <c r="N3441" t="s">
        <v>8</v>
      </c>
      <c r="O3441" t="s">
        <v>88</v>
      </c>
      <c r="P3441" t="s">
        <v>73</v>
      </c>
      <c r="Q3441" t="s">
        <v>30</v>
      </c>
      <c r="R3441" t="s">
        <v>31</v>
      </c>
      <c r="S3441" t="s">
        <v>32</v>
      </c>
      <c r="T3441" t="s">
        <v>1498</v>
      </c>
      <c r="U3441" t="s">
        <v>46</v>
      </c>
      <c r="V3441">
        <v>3500</v>
      </c>
    </row>
    <row r="3442" spans="1:22" x14ac:dyDescent="0.3">
      <c r="A3442" t="s">
        <v>4918</v>
      </c>
      <c r="B3442" s="2">
        <v>46135</v>
      </c>
      <c r="C3442" t="s">
        <v>1594</v>
      </c>
      <c r="D3442" t="s">
        <v>49</v>
      </c>
      <c r="E3442" t="s">
        <v>50</v>
      </c>
      <c r="F3442">
        <v>2</v>
      </c>
      <c r="G3442">
        <v>0</v>
      </c>
      <c r="H3442">
        <v>26000</v>
      </c>
      <c r="I3442">
        <v>6400</v>
      </c>
      <c r="J3442" t="s">
        <v>39</v>
      </c>
      <c r="K3442" t="s">
        <v>40</v>
      </c>
      <c r="L3442">
        <v>13000</v>
      </c>
      <c r="M3442">
        <v>24.61538461538462</v>
      </c>
      <c r="N3442" t="s">
        <v>8</v>
      </c>
      <c r="O3442" t="s">
        <v>523</v>
      </c>
      <c r="P3442" t="s">
        <v>83</v>
      </c>
      <c r="Q3442" t="s">
        <v>30</v>
      </c>
      <c r="R3442" t="s">
        <v>31</v>
      </c>
      <c r="S3442" t="s">
        <v>32</v>
      </c>
      <c r="T3442" t="s">
        <v>767</v>
      </c>
      <c r="U3442" t="s">
        <v>105</v>
      </c>
      <c r="V3442">
        <v>3200</v>
      </c>
    </row>
    <row r="3443" spans="1:22" x14ac:dyDescent="0.3">
      <c r="A3443" t="s">
        <v>4919</v>
      </c>
      <c r="B3443" s="2">
        <v>46239</v>
      </c>
      <c r="C3443" t="s">
        <v>2957</v>
      </c>
      <c r="D3443" t="s">
        <v>70</v>
      </c>
      <c r="E3443" t="s">
        <v>129</v>
      </c>
      <c r="F3443">
        <v>5</v>
      </c>
      <c r="G3443">
        <v>0.1</v>
      </c>
      <c r="H3443">
        <v>247500</v>
      </c>
      <c r="I3443">
        <v>31282.74</v>
      </c>
      <c r="J3443" t="s">
        <v>39</v>
      </c>
      <c r="K3443" t="s">
        <v>40</v>
      </c>
      <c r="L3443">
        <v>49500</v>
      </c>
      <c r="M3443">
        <v>12.63949090909091</v>
      </c>
      <c r="N3443" t="s">
        <v>8</v>
      </c>
      <c r="O3443" t="s">
        <v>439</v>
      </c>
      <c r="P3443" t="s">
        <v>83</v>
      </c>
      <c r="Q3443" t="s">
        <v>131</v>
      </c>
      <c r="R3443" t="s">
        <v>200</v>
      </c>
      <c r="S3443" t="s">
        <v>201</v>
      </c>
      <c r="T3443" t="s">
        <v>2958</v>
      </c>
      <c r="U3443" t="s">
        <v>46</v>
      </c>
      <c r="V3443">
        <v>6256.5480000000007</v>
      </c>
    </row>
    <row r="3444" spans="1:22" x14ac:dyDescent="0.3">
      <c r="A3444" t="s">
        <v>4920</v>
      </c>
      <c r="B3444" s="2">
        <v>46069</v>
      </c>
      <c r="C3444" t="s">
        <v>279</v>
      </c>
      <c r="D3444" t="s">
        <v>37</v>
      </c>
      <c r="E3444" t="s">
        <v>190</v>
      </c>
      <c r="F3444">
        <v>1</v>
      </c>
      <c r="G3444">
        <v>0.3</v>
      </c>
      <c r="H3444">
        <v>2940</v>
      </c>
      <c r="I3444">
        <v>-809.95</v>
      </c>
      <c r="J3444" t="s">
        <v>51</v>
      </c>
      <c r="K3444" t="s">
        <v>80</v>
      </c>
      <c r="L3444">
        <v>2940</v>
      </c>
      <c r="M3444">
        <v>-27.549319727891159</v>
      </c>
      <c r="N3444" t="s">
        <v>81</v>
      </c>
      <c r="O3444" t="s">
        <v>280</v>
      </c>
      <c r="P3444" t="s">
        <v>73</v>
      </c>
      <c r="Q3444" t="s">
        <v>30</v>
      </c>
      <c r="R3444" t="s">
        <v>31</v>
      </c>
      <c r="S3444" t="s">
        <v>32</v>
      </c>
      <c r="T3444" t="s">
        <v>281</v>
      </c>
      <c r="U3444" t="s">
        <v>46</v>
      </c>
      <c r="V3444">
        <v>-809.95</v>
      </c>
    </row>
    <row r="3445" spans="1:22" x14ac:dyDescent="0.3">
      <c r="A3445" t="s">
        <v>4921</v>
      </c>
      <c r="B3445" s="2">
        <v>46149</v>
      </c>
      <c r="C3445" t="s">
        <v>1196</v>
      </c>
      <c r="D3445" t="s">
        <v>37</v>
      </c>
      <c r="E3445" t="s">
        <v>170</v>
      </c>
      <c r="F3445">
        <v>3</v>
      </c>
      <c r="G3445">
        <v>0.1</v>
      </c>
      <c r="H3445">
        <v>3780</v>
      </c>
      <c r="I3445">
        <v>1184.5899999999999</v>
      </c>
      <c r="J3445" t="s">
        <v>65</v>
      </c>
      <c r="K3445" t="s">
        <v>40</v>
      </c>
      <c r="L3445">
        <v>1260</v>
      </c>
      <c r="M3445">
        <v>31.338359788359789</v>
      </c>
      <c r="N3445" t="s">
        <v>8</v>
      </c>
      <c r="O3445" t="s">
        <v>686</v>
      </c>
      <c r="P3445" t="s">
        <v>73</v>
      </c>
      <c r="Q3445" t="s">
        <v>30</v>
      </c>
      <c r="R3445" t="s">
        <v>53</v>
      </c>
      <c r="S3445" t="s">
        <v>54</v>
      </c>
      <c r="T3445" t="s">
        <v>1197</v>
      </c>
      <c r="U3445" t="s">
        <v>100</v>
      </c>
      <c r="V3445">
        <v>394.86333333333329</v>
      </c>
    </row>
    <row r="3446" spans="1:22" x14ac:dyDescent="0.3">
      <c r="A3446" t="s">
        <v>4922</v>
      </c>
      <c r="B3446" s="2">
        <v>45881</v>
      </c>
      <c r="C3446" t="s">
        <v>2233</v>
      </c>
      <c r="D3446" t="s">
        <v>70</v>
      </c>
      <c r="E3446" t="s">
        <v>108</v>
      </c>
      <c r="F3446">
        <v>4</v>
      </c>
      <c r="G3446">
        <v>0.05</v>
      </c>
      <c r="H3446">
        <v>17100</v>
      </c>
      <c r="I3446">
        <v>5426.93</v>
      </c>
      <c r="J3446" t="s">
        <v>51</v>
      </c>
      <c r="K3446" t="s">
        <v>40</v>
      </c>
      <c r="L3446">
        <v>4275</v>
      </c>
      <c r="M3446">
        <v>31.736432748538011</v>
      </c>
      <c r="N3446" t="s">
        <v>8</v>
      </c>
      <c r="O3446" t="s">
        <v>398</v>
      </c>
      <c r="P3446" t="s">
        <v>73</v>
      </c>
      <c r="Q3446" t="s">
        <v>74</v>
      </c>
      <c r="R3446" t="s">
        <v>75</v>
      </c>
      <c r="S3446" t="s">
        <v>75</v>
      </c>
      <c r="T3446" t="s">
        <v>391</v>
      </c>
      <c r="U3446" t="s">
        <v>46</v>
      </c>
      <c r="V3446">
        <v>1356.7325000000001</v>
      </c>
    </row>
    <row r="3447" spans="1:22" x14ac:dyDescent="0.3">
      <c r="A3447" t="s">
        <v>4923</v>
      </c>
      <c r="B3447" s="2">
        <v>45977</v>
      </c>
      <c r="C3447" t="s">
        <v>1860</v>
      </c>
      <c r="D3447" t="s">
        <v>49</v>
      </c>
      <c r="E3447" t="s">
        <v>58</v>
      </c>
      <c r="F3447">
        <v>4</v>
      </c>
      <c r="G3447">
        <v>0.05</v>
      </c>
      <c r="H3447">
        <v>57000</v>
      </c>
      <c r="I3447">
        <v>11566.01</v>
      </c>
      <c r="J3447" t="s">
        <v>65</v>
      </c>
      <c r="K3447" t="s">
        <v>40</v>
      </c>
      <c r="L3447">
        <v>14250</v>
      </c>
      <c r="M3447">
        <v>20.291245614035091</v>
      </c>
      <c r="N3447" t="s">
        <v>8</v>
      </c>
      <c r="O3447" t="s">
        <v>1861</v>
      </c>
      <c r="P3447" t="s">
        <v>83</v>
      </c>
      <c r="Q3447" t="s">
        <v>30</v>
      </c>
      <c r="R3447" t="s">
        <v>98</v>
      </c>
      <c r="S3447" t="s">
        <v>54</v>
      </c>
      <c r="T3447" t="s">
        <v>1862</v>
      </c>
      <c r="U3447" t="s">
        <v>34</v>
      </c>
      <c r="V3447">
        <v>2891.5025000000001</v>
      </c>
    </row>
    <row r="3448" spans="1:22" x14ac:dyDescent="0.3">
      <c r="A3448" t="s">
        <v>4924</v>
      </c>
      <c r="B3448" s="2">
        <v>46025</v>
      </c>
      <c r="C3448" t="s">
        <v>710</v>
      </c>
      <c r="D3448" t="s">
        <v>37</v>
      </c>
      <c r="E3448" t="s">
        <v>38</v>
      </c>
      <c r="F3448">
        <v>5</v>
      </c>
      <c r="G3448">
        <v>0.1</v>
      </c>
      <c r="H3448">
        <v>8100</v>
      </c>
      <c r="I3448">
        <v>2726.23</v>
      </c>
      <c r="J3448" t="s">
        <v>26</v>
      </c>
      <c r="K3448" t="s">
        <v>40</v>
      </c>
      <c r="L3448">
        <v>1620</v>
      </c>
      <c r="M3448">
        <v>33.657160493827163</v>
      </c>
      <c r="N3448" t="s">
        <v>8</v>
      </c>
      <c r="O3448" t="s">
        <v>711</v>
      </c>
      <c r="P3448" t="s">
        <v>29</v>
      </c>
      <c r="Q3448" t="s">
        <v>30</v>
      </c>
      <c r="R3448" t="s">
        <v>53</v>
      </c>
      <c r="S3448" t="s">
        <v>54</v>
      </c>
      <c r="T3448" t="s">
        <v>712</v>
      </c>
      <c r="U3448" t="s">
        <v>34</v>
      </c>
      <c r="V3448">
        <v>545.24599999999998</v>
      </c>
    </row>
    <row r="3449" spans="1:22" x14ac:dyDescent="0.3">
      <c r="A3449" t="s">
        <v>4925</v>
      </c>
      <c r="B3449" s="2">
        <v>45965</v>
      </c>
      <c r="C3449" t="s">
        <v>1700</v>
      </c>
      <c r="D3449" t="s">
        <v>49</v>
      </c>
      <c r="E3449" t="s">
        <v>79</v>
      </c>
      <c r="F3449">
        <v>3</v>
      </c>
      <c r="G3449">
        <v>0</v>
      </c>
      <c r="H3449">
        <v>33000</v>
      </c>
      <c r="I3449">
        <v>7800</v>
      </c>
      <c r="J3449" t="s">
        <v>39</v>
      </c>
      <c r="K3449" t="s">
        <v>40</v>
      </c>
      <c r="L3449">
        <v>11000</v>
      </c>
      <c r="M3449">
        <v>23.63636363636364</v>
      </c>
      <c r="N3449" t="s">
        <v>8</v>
      </c>
      <c r="O3449" t="s">
        <v>1009</v>
      </c>
      <c r="P3449" t="s">
        <v>73</v>
      </c>
      <c r="Q3449" t="s">
        <v>30</v>
      </c>
      <c r="R3449" t="s">
        <v>53</v>
      </c>
      <c r="S3449" t="s">
        <v>54</v>
      </c>
      <c r="T3449" t="s">
        <v>172</v>
      </c>
      <c r="U3449" t="s">
        <v>34</v>
      </c>
      <c r="V3449">
        <v>2600</v>
      </c>
    </row>
    <row r="3450" spans="1:22" x14ac:dyDescent="0.3">
      <c r="A3450" t="s">
        <v>4926</v>
      </c>
      <c r="B3450" s="2">
        <v>46219</v>
      </c>
      <c r="C3450" t="s">
        <v>1767</v>
      </c>
      <c r="D3450" t="s">
        <v>24</v>
      </c>
      <c r="E3450" t="s">
        <v>25</v>
      </c>
      <c r="F3450">
        <v>5</v>
      </c>
      <c r="G3450">
        <v>0.1</v>
      </c>
      <c r="H3450">
        <v>63000</v>
      </c>
      <c r="I3450">
        <v>9886.58</v>
      </c>
      <c r="J3450" t="s">
        <v>65</v>
      </c>
      <c r="K3450" t="s">
        <v>40</v>
      </c>
      <c r="L3450">
        <v>12600</v>
      </c>
      <c r="M3450">
        <v>15.692984126984131</v>
      </c>
      <c r="N3450" t="s">
        <v>8</v>
      </c>
      <c r="O3450" t="s">
        <v>1768</v>
      </c>
      <c r="P3450" t="s">
        <v>29</v>
      </c>
      <c r="Q3450" t="s">
        <v>131</v>
      </c>
      <c r="R3450" t="s">
        <v>289</v>
      </c>
      <c r="S3450" t="s">
        <v>290</v>
      </c>
      <c r="T3450" t="s">
        <v>1469</v>
      </c>
      <c r="U3450" t="s">
        <v>100</v>
      </c>
      <c r="V3450">
        <v>1977.316</v>
      </c>
    </row>
    <row r="3451" spans="1:22" x14ac:dyDescent="0.3">
      <c r="A3451" t="s">
        <v>4927</v>
      </c>
      <c r="B3451" s="2">
        <v>45890</v>
      </c>
      <c r="C3451" t="s">
        <v>263</v>
      </c>
      <c r="D3451" t="s">
        <v>37</v>
      </c>
      <c r="E3451" t="s">
        <v>190</v>
      </c>
      <c r="F3451">
        <v>2</v>
      </c>
      <c r="G3451">
        <v>0.1</v>
      </c>
      <c r="H3451">
        <v>7560</v>
      </c>
      <c r="I3451">
        <v>-2087.88</v>
      </c>
      <c r="J3451" t="s">
        <v>65</v>
      </c>
      <c r="K3451" t="s">
        <v>434</v>
      </c>
      <c r="L3451">
        <v>3780</v>
      </c>
      <c r="M3451">
        <v>-27.617460317460321</v>
      </c>
      <c r="N3451" t="s">
        <v>81</v>
      </c>
      <c r="O3451" t="s">
        <v>265</v>
      </c>
      <c r="P3451" t="s">
        <v>73</v>
      </c>
      <c r="Q3451" t="s">
        <v>30</v>
      </c>
      <c r="R3451" t="s">
        <v>31</v>
      </c>
      <c r="S3451" t="s">
        <v>32</v>
      </c>
      <c r="T3451" t="s">
        <v>266</v>
      </c>
      <c r="U3451" t="s">
        <v>46</v>
      </c>
      <c r="V3451">
        <v>-1043.94</v>
      </c>
    </row>
    <row r="3452" spans="1:22" x14ac:dyDescent="0.3">
      <c r="A3452" t="s">
        <v>4928</v>
      </c>
      <c r="B3452" s="2">
        <v>46214</v>
      </c>
      <c r="C3452" t="s">
        <v>275</v>
      </c>
      <c r="D3452" t="s">
        <v>49</v>
      </c>
      <c r="E3452" t="s">
        <v>58</v>
      </c>
      <c r="F3452">
        <v>1</v>
      </c>
      <c r="G3452">
        <v>0.1</v>
      </c>
      <c r="H3452">
        <v>13500</v>
      </c>
      <c r="I3452">
        <v>2720.55</v>
      </c>
      <c r="J3452" t="s">
        <v>65</v>
      </c>
      <c r="K3452" t="s">
        <v>40</v>
      </c>
      <c r="L3452">
        <v>13500</v>
      </c>
      <c r="M3452">
        <v>20.152222222222221</v>
      </c>
      <c r="N3452" t="s">
        <v>8</v>
      </c>
      <c r="O3452" t="s">
        <v>276</v>
      </c>
      <c r="P3452" t="s">
        <v>83</v>
      </c>
      <c r="Q3452" t="s">
        <v>30</v>
      </c>
      <c r="R3452" t="s">
        <v>53</v>
      </c>
      <c r="S3452" t="s">
        <v>54</v>
      </c>
      <c r="T3452" t="s">
        <v>277</v>
      </c>
      <c r="U3452" t="s">
        <v>100</v>
      </c>
      <c r="V3452">
        <v>2720.55</v>
      </c>
    </row>
    <row r="3453" spans="1:22" x14ac:dyDescent="0.3">
      <c r="A3453" t="s">
        <v>4929</v>
      </c>
      <c r="B3453" s="2">
        <v>45954</v>
      </c>
      <c r="C3453" t="s">
        <v>1000</v>
      </c>
      <c r="D3453" t="s">
        <v>37</v>
      </c>
      <c r="E3453" t="s">
        <v>38</v>
      </c>
      <c r="F3453">
        <v>2</v>
      </c>
      <c r="G3453">
        <v>0.1</v>
      </c>
      <c r="H3453">
        <v>3240</v>
      </c>
      <c r="I3453">
        <v>1121.43</v>
      </c>
      <c r="J3453" t="s">
        <v>65</v>
      </c>
      <c r="K3453" t="s">
        <v>27</v>
      </c>
      <c r="L3453">
        <v>1620</v>
      </c>
      <c r="M3453">
        <v>34.612037037037041</v>
      </c>
      <c r="N3453" t="s">
        <v>8</v>
      </c>
      <c r="O3453" t="s">
        <v>1001</v>
      </c>
      <c r="P3453" t="s">
        <v>29</v>
      </c>
      <c r="Q3453" t="s">
        <v>30</v>
      </c>
      <c r="R3453" t="s">
        <v>60</v>
      </c>
      <c r="S3453" t="s">
        <v>61</v>
      </c>
      <c r="T3453" t="s">
        <v>1002</v>
      </c>
      <c r="U3453" t="s">
        <v>105</v>
      </c>
      <c r="V3453">
        <v>560.71500000000003</v>
      </c>
    </row>
    <row r="3454" spans="1:22" x14ac:dyDescent="0.3">
      <c r="A3454" t="s">
        <v>4930</v>
      </c>
      <c r="B3454" s="2">
        <v>46117</v>
      </c>
      <c r="C3454" t="s">
        <v>659</v>
      </c>
      <c r="D3454" t="s">
        <v>49</v>
      </c>
      <c r="E3454" t="s">
        <v>79</v>
      </c>
      <c r="F3454">
        <v>1</v>
      </c>
      <c r="G3454">
        <v>0.1</v>
      </c>
      <c r="H3454">
        <v>9900</v>
      </c>
      <c r="I3454">
        <v>1736.45</v>
      </c>
      <c r="J3454" t="s">
        <v>65</v>
      </c>
      <c r="K3454" t="s">
        <v>27</v>
      </c>
      <c r="L3454">
        <v>9900</v>
      </c>
      <c r="M3454">
        <v>17.53989898989899</v>
      </c>
      <c r="N3454" t="s">
        <v>8</v>
      </c>
      <c r="O3454" t="s">
        <v>660</v>
      </c>
      <c r="P3454" t="s">
        <v>83</v>
      </c>
      <c r="Q3454" t="s">
        <v>30</v>
      </c>
      <c r="R3454" t="s">
        <v>60</v>
      </c>
      <c r="S3454" t="s">
        <v>61</v>
      </c>
      <c r="T3454" t="s">
        <v>475</v>
      </c>
      <c r="U3454" t="s">
        <v>46</v>
      </c>
      <c r="V3454">
        <v>1736.45</v>
      </c>
    </row>
    <row r="3455" spans="1:22" x14ac:dyDescent="0.3">
      <c r="A3455" t="s">
        <v>4931</v>
      </c>
      <c r="B3455" s="2">
        <v>45879</v>
      </c>
      <c r="C3455" t="s">
        <v>1185</v>
      </c>
      <c r="D3455" t="s">
        <v>37</v>
      </c>
      <c r="E3455" t="s">
        <v>310</v>
      </c>
      <c r="F3455">
        <v>4</v>
      </c>
      <c r="G3455">
        <v>0.1</v>
      </c>
      <c r="H3455">
        <v>7920</v>
      </c>
      <c r="I3455">
        <v>-3159.12</v>
      </c>
      <c r="J3455" t="s">
        <v>65</v>
      </c>
      <c r="K3455" t="s">
        <v>434</v>
      </c>
      <c r="L3455">
        <v>1980</v>
      </c>
      <c r="M3455">
        <v>-39.88787878787879</v>
      </c>
      <c r="N3455" t="s">
        <v>81</v>
      </c>
      <c r="O3455" t="s">
        <v>280</v>
      </c>
      <c r="P3455" t="s">
        <v>83</v>
      </c>
      <c r="Q3455" t="s">
        <v>131</v>
      </c>
      <c r="R3455" t="s">
        <v>200</v>
      </c>
      <c r="S3455" t="s">
        <v>201</v>
      </c>
      <c r="T3455" t="s">
        <v>319</v>
      </c>
      <c r="U3455" t="s">
        <v>46</v>
      </c>
      <c r="V3455">
        <v>-789.78</v>
      </c>
    </row>
    <row r="3456" spans="1:22" x14ac:dyDescent="0.3">
      <c r="A3456" t="s">
        <v>4932</v>
      </c>
      <c r="B3456" s="2">
        <v>45859</v>
      </c>
      <c r="C3456" t="s">
        <v>1537</v>
      </c>
      <c r="D3456" t="s">
        <v>70</v>
      </c>
      <c r="E3456" t="s">
        <v>71</v>
      </c>
      <c r="F3456">
        <v>2</v>
      </c>
      <c r="G3456">
        <v>0.05</v>
      </c>
      <c r="H3456">
        <v>34200</v>
      </c>
      <c r="I3456">
        <v>5912.58</v>
      </c>
      <c r="J3456" t="s">
        <v>26</v>
      </c>
      <c r="K3456" t="s">
        <v>40</v>
      </c>
      <c r="L3456">
        <v>17100</v>
      </c>
      <c r="M3456">
        <v>17.288245614035091</v>
      </c>
      <c r="N3456" t="s">
        <v>8</v>
      </c>
      <c r="O3456" t="s">
        <v>1538</v>
      </c>
      <c r="P3456" t="s">
        <v>73</v>
      </c>
      <c r="Q3456" t="s">
        <v>131</v>
      </c>
      <c r="R3456" t="s">
        <v>289</v>
      </c>
      <c r="S3456" t="s">
        <v>290</v>
      </c>
      <c r="T3456" t="s">
        <v>1539</v>
      </c>
      <c r="U3456" t="s">
        <v>34</v>
      </c>
      <c r="V3456">
        <v>2956.29</v>
      </c>
    </row>
    <row r="3457" spans="1:22" x14ac:dyDescent="0.3">
      <c r="A3457" t="s">
        <v>4933</v>
      </c>
      <c r="B3457" s="2">
        <v>45923</v>
      </c>
      <c r="C3457" t="s">
        <v>246</v>
      </c>
      <c r="D3457" t="s">
        <v>24</v>
      </c>
      <c r="E3457" t="s">
        <v>87</v>
      </c>
      <c r="F3457">
        <v>1</v>
      </c>
      <c r="G3457">
        <v>0</v>
      </c>
      <c r="H3457">
        <v>350</v>
      </c>
      <c r="I3457">
        <v>120</v>
      </c>
      <c r="J3457" t="s">
        <v>51</v>
      </c>
      <c r="K3457" t="s">
        <v>40</v>
      </c>
      <c r="L3457">
        <v>350</v>
      </c>
      <c r="M3457">
        <v>34.285714285714278</v>
      </c>
      <c r="N3457" t="s">
        <v>8</v>
      </c>
      <c r="O3457" t="s">
        <v>247</v>
      </c>
      <c r="P3457" t="s">
        <v>73</v>
      </c>
      <c r="Q3457" t="s">
        <v>30</v>
      </c>
      <c r="R3457" t="s">
        <v>53</v>
      </c>
      <c r="S3457" t="s">
        <v>54</v>
      </c>
      <c r="T3457" t="s">
        <v>248</v>
      </c>
      <c r="U3457" t="s">
        <v>100</v>
      </c>
      <c r="V3457">
        <v>120</v>
      </c>
    </row>
    <row r="3458" spans="1:22" x14ac:dyDescent="0.3">
      <c r="A3458" t="s">
        <v>4934</v>
      </c>
      <c r="B3458" s="2">
        <v>45886</v>
      </c>
      <c r="C3458" t="s">
        <v>2415</v>
      </c>
      <c r="D3458" t="s">
        <v>37</v>
      </c>
      <c r="E3458" t="s">
        <v>190</v>
      </c>
      <c r="F3458">
        <v>5</v>
      </c>
      <c r="G3458">
        <v>0.05</v>
      </c>
      <c r="H3458">
        <v>19950</v>
      </c>
      <c r="I3458">
        <v>5140.41</v>
      </c>
      <c r="J3458" t="s">
        <v>39</v>
      </c>
      <c r="K3458" t="s">
        <v>40</v>
      </c>
      <c r="L3458">
        <v>3990</v>
      </c>
      <c r="M3458">
        <v>25.766466165413529</v>
      </c>
      <c r="N3458" t="s">
        <v>8</v>
      </c>
      <c r="O3458" t="s">
        <v>1098</v>
      </c>
      <c r="P3458" t="s">
        <v>29</v>
      </c>
      <c r="Q3458" t="s">
        <v>30</v>
      </c>
      <c r="R3458" t="s">
        <v>53</v>
      </c>
      <c r="S3458" t="s">
        <v>54</v>
      </c>
      <c r="T3458" t="s">
        <v>2416</v>
      </c>
      <c r="U3458" t="s">
        <v>34</v>
      </c>
      <c r="V3458">
        <v>1028.0820000000001</v>
      </c>
    </row>
    <row r="3459" spans="1:22" x14ac:dyDescent="0.3">
      <c r="A3459" t="s">
        <v>4935</v>
      </c>
      <c r="B3459" s="2">
        <v>45861</v>
      </c>
      <c r="C3459" t="s">
        <v>1293</v>
      </c>
      <c r="D3459" t="s">
        <v>49</v>
      </c>
      <c r="E3459" t="s">
        <v>58</v>
      </c>
      <c r="F3459">
        <v>2</v>
      </c>
      <c r="G3459">
        <v>0.1</v>
      </c>
      <c r="H3459">
        <v>27000</v>
      </c>
      <c r="I3459">
        <v>4920.12</v>
      </c>
      <c r="J3459" t="s">
        <v>39</v>
      </c>
      <c r="K3459" t="s">
        <v>40</v>
      </c>
      <c r="L3459">
        <v>13500</v>
      </c>
      <c r="M3459">
        <v>18.222666666666669</v>
      </c>
      <c r="N3459" t="s">
        <v>8</v>
      </c>
      <c r="O3459" t="s">
        <v>1294</v>
      </c>
      <c r="P3459" t="s">
        <v>83</v>
      </c>
      <c r="Q3459" t="s">
        <v>74</v>
      </c>
      <c r="R3459" t="s">
        <v>115</v>
      </c>
      <c r="S3459" t="s">
        <v>115</v>
      </c>
      <c r="T3459" t="s">
        <v>1295</v>
      </c>
      <c r="U3459" t="s">
        <v>46</v>
      </c>
      <c r="V3459">
        <v>2460.06</v>
      </c>
    </row>
    <row r="3460" spans="1:22" x14ac:dyDescent="0.3">
      <c r="A3460" t="s">
        <v>4936</v>
      </c>
      <c r="B3460" s="2">
        <v>45922</v>
      </c>
      <c r="C3460" t="s">
        <v>2690</v>
      </c>
      <c r="D3460" t="s">
        <v>70</v>
      </c>
      <c r="E3460" t="s">
        <v>165</v>
      </c>
      <c r="F3460">
        <v>5</v>
      </c>
      <c r="G3460">
        <v>0.1</v>
      </c>
      <c r="H3460">
        <v>11250</v>
      </c>
      <c r="I3460">
        <v>3298.01</v>
      </c>
      <c r="J3460" t="s">
        <v>26</v>
      </c>
      <c r="K3460" t="s">
        <v>40</v>
      </c>
      <c r="L3460">
        <v>2250</v>
      </c>
      <c r="M3460">
        <v>29.315644444444441</v>
      </c>
      <c r="N3460" t="s">
        <v>8</v>
      </c>
      <c r="O3460" t="s">
        <v>1169</v>
      </c>
      <c r="P3460" t="s">
        <v>83</v>
      </c>
      <c r="Q3460" t="s">
        <v>42</v>
      </c>
      <c r="R3460" t="s">
        <v>121</v>
      </c>
      <c r="S3460" t="s">
        <v>44</v>
      </c>
      <c r="T3460" t="s">
        <v>2691</v>
      </c>
      <c r="U3460" t="s">
        <v>46</v>
      </c>
      <c r="V3460">
        <v>659.60200000000009</v>
      </c>
    </row>
    <row r="3461" spans="1:22" x14ac:dyDescent="0.3">
      <c r="A3461" t="s">
        <v>4937</v>
      </c>
      <c r="B3461" s="2">
        <v>45895</v>
      </c>
      <c r="C3461" t="s">
        <v>664</v>
      </c>
      <c r="D3461" t="s">
        <v>70</v>
      </c>
      <c r="E3461" t="s">
        <v>129</v>
      </c>
      <c r="F3461">
        <v>4</v>
      </c>
      <c r="G3461">
        <v>0.05</v>
      </c>
      <c r="H3461">
        <v>209000</v>
      </c>
      <c r="I3461">
        <v>26917.77</v>
      </c>
      <c r="J3461" t="s">
        <v>39</v>
      </c>
      <c r="K3461" t="s">
        <v>40</v>
      </c>
      <c r="L3461">
        <v>52250</v>
      </c>
      <c r="M3461">
        <v>12.879315789473679</v>
      </c>
      <c r="N3461" t="s">
        <v>8</v>
      </c>
      <c r="O3461" t="s">
        <v>665</v>
      </c>
      <c r="P3461" t="s">
        <v>29</v>
      </c>
      <c r="Q3461" t="s">
        <v>30</v>
      </c>
      <c r="R3461" t="s">
        <v>31</v>
      </c>
      <c r="S3461" t="s">
        <v>32</v>
      </c>
      <c r="T3461" t="s">
        <v>256</v>
      </c>
      <c r="U3461" t="s">
        <v>34</v>
      </c>
      <c r="V3461">
        <v>6729.4425000000001</v>
      </c>
    </row>
    <row r="3462" spans="1:22" x14ac:dyDescent="0.3">
      <c r="A3462" t="s">
        <v>4938</v>
      </c>
      <c r="B3462" s="2">
        <v>45975</v>
      </c>
      <c r="C3462" t="s">
        <v>807</v>
      </c>
      <c r="D3462" t="s">
        <v>49</v>
      </c>
      <c r="E3462" t="s">
        <v>119</v>
      </c>
      <c r="F3462">
        <v>5</v>
      </c>
      <c r="G3462">
        <v>0.1</v>
      </c>
      <c r="H3462">
        <v>40500</v>
      </c>
      <c r="I3462">
        <v>8924.9500000000007</v>
      </c>
      <c r="J3462" t="s">
        <v>26</v>
      </c>
      <c r="K3462" t="s">
        <v>40</v>
      </c>
      <c r="L3462">
        <v>8100</v>
      </c>
      <c r="M3462">
        <v>22.03691358024691</v>
      </c>
      <c r="N3462" t="s">
        <v>8</v>
      </c>
      <c r="O3462" t="s">
        <v>545</v>
      </c>
      <c r="P3462" t="s">
        <v>73</v>
      </c>
      <c r="Q3462" t="s">
        <v>30</v>
      </c>
      <c r="R3462" t="s">
        <v>31</v>
      </c>
      <c r="S3462" t="s">
        <v>32</v>
      </c>
      <c r="T3462" t="s">
        <v>808</v>
      </c>
      <c r="U3462" t="s">
        <v>105</v>
      </c>
      <c r="V3462">
        <v>1784.99</v>
      </c>
    </row>
    <row r="3463" spans="1:22" x14ac:dyDescent="0.3">
      <c r="A3463" t="s">
        <v>4939</v>
      </c>
      <c r="B3463" s="2">
        <v>45948</v>
      </c>
      <c r="C3463" t="s">
        <v>1480</v>
      </c>
      <c r="D3463" t="s">
        <v>24</v>
      </c>
      <c r="E3463" t="s">
        <v>92</v>
      </c>
      <c r="F3463">
        <v>3</v>
      </c>
      <c r="G3463">
        <v>0.1</v>
      </c>
      <c r="H3463">
        <v>2430</v>
      </c>
      <c r="I3463">
        <v>-327.62</v>
      </c>
      <c r="J3463" t="s">
        <v>51</v>
      </c>
      <c r="K3463" t="s">
        <v>434</v>
      </c>
      <c r="L3463">
        <v>810</v>
      </c>
      <c r="M3463">
        <v>-13.482304526748971</v>
      </c>
      <c r="N3463" t="s">
        <v>81</v>
      </c>
      <c r="O3463" t="s">
        <v>66</v>
      </c>
      <c r="P3463" t="s">
        <v>73</v>
      </c>
      <c r="Q3463" t="s">
        <v>30</v>
      </c>
      <c r="R3463" t="s">
        <v>98</v>
      </c>
      <c r="S3463" t="s">
        <v>54</v>
      </c>
      <c r="T3463" t="s">
        <v>1481</v>
      </c>
      <c r="U3463" t="s">
        <v>46</v>
      </c>
      <c r="V3463">
        <v>-109.20666666666671</v>
      </c>
    </row>
    <row r="3464" spans="1:22" x14ac:dyDescent="0.3">
      <c r="A3464" t="s">
        <v>4940</v>
      </c>
      <c r="B3464" s="2">
        <v>45895</v>
      </c>
      <c r="C3464" t="s">
        <v>2500</v>
      </c>
      <c r="D3464" t="s">
        <v>70</v>
      </c>
      <c r="E3464" t="s">
        <v>71</v>
      </c>
      <c r="F3464">
        <v>4</v>
      </c>
      <c r="G3464">
        <v>0.1</v>
      </c>
      <c r="H3464">
        <v>64800</v>
      </c>
      <c r="I3464">
        <v>9373.7000000000007</v>
      </c>
      <c r="J3464" t="s">
        <v>51</v>
      </c>
      <c r="K3464" t="s">
        <v>40</v>
      </c>
      <c r="L3464">
        <v>16200</v>
      </c>
      <c r="M3464">
        <v>14.465586419753089</v>
      </c>
      <c r="N3464" t="s">
        <v>8</v>
      </c>
      <c r="O3464" t="s">
        <v>1169</v>
      </c>
      <c r="P3464" t="s">
        <v>29</v>
      </c>
      <c r="Q3464" t="s">
        <v>131</v>
      </c>
      <c r="R3464" t="s">
        <v>289</v>
      </c>
      <c r="S3464" t="s">
        <v>290</v>
      </c>
      <c r="T3464" t="s">
        <v>2501</v>
      </c>
      <c r="U3464" t="s">
        <v>105</v>
      </c>
      <c r="V3464">
        <v>2343.4250000000002</v>
      </c>
    </row>
    <row r="3465" spans="1:22" x14ac:dyDescent="0.3">
      <c r="A3465" t="s">
        <v>4941</v>
      </c>
      <c r="B3465" s="2">
        <v>46194</v>
      </c>
      <c r="C3465" t="s">
        <v>287</v>
      </c>
      <c r="D3465" t="s">
        <v>49</v>
      </c>
      <c r="E3465" t="s">
        <v>58</v>
      </c>
      <c r="F3465">
        <v>3</v>
      </c>
      <c r="G3465">
        <v>0</v>
      </c>
      <c r="H3465">
        <v>45000</v>
      </c>
      <c r="I3465">
        <v>10500</v>
      </c>
      <c r="J3465" t="s">
        <v>26</v>
      </c>
      <c r="K3465" t="s">
        <v>40</v>
      </c>
      <c r="L3465">
        <v>15000</v>
      </c>
      <c r="M3465">
        <v>23.333333333333329</v>
      </c>
      <c r="N3465" t="s">
        <v>8</v>
      </c>
      <c r="O3465" t="s">
        <v>288</v>
      </c>
      <c r="P3465" t="s">
        <v>83</v>
      </c>
      <c r="Q3465" t="s">
        <v>131</v>
      </c>
      <c r="R3465" t="s">
        <v>289</v>
      </c>
      <c r="S3465" t="s">
        <v>290</v>
      </c>
      <c r="T3465" t="s">
        <v>291</v>
      </c>
      <c r="U3465" t="s">
        <v>105</v>
      </c>
      <c r="V3465">
        <v>3500</v>
      </c>
    </row>
    <row r="3466" spans="1:22" x14ac:dyDescent="0.3">
      <c r="A3466" t="s">
        <v>4942</v>
      </c>
      <c r="B3466" s="2">
        <v>46097</v>
      </c>
      <c r="C3466" t="s">
        <v>863</v>
      </c>
      <c r="D3466" t="s">
        <v>70</v>
      </c>
      <c r="E3466" t="s">
        <v>165</v>
      </c>
      <c r="F3466">
        <v>2</v>
      </c>
      <c r="G3466">
        <v>0</v>
      </c>
      <c r="H3466">
        <v>5000</v>
      </c>
      <c r="I3466">
        <v>1600</v>
      </c>
      <c r="J3466" t="s">
        <v>26</v>
      </c>
      <c r="K3466" t="s">
        <v>40</v>
      </c>
      <c r="L3466">
        <v>2500</v>
      </c>
      <c r="M3466">
        <v>32</v>
      </c>
      <c r="N3466" t="s">
        <v>8</v>
      </c>
      <c r="O3466" t="s">
        <v>187</v>
      </c>
      <c r="P3466" t="s">
        <v>73</v>
      </c>
      <c r="Q3466" t="s">
        <v>30</v>
      </c>
      <c r="R3466" t="s">
        <v>53</v>
      </c>
      <c r="S3466" t="s">
        <v>54</v>
      </c>
      <c r="T3466" t="s">
        <v>864</v>
      </c>
      <c r="U3466" t="s">
        <v>34</v>
      </c>
      <c r="V3466">
        <v>800</v>
      </c>
    </row>
    <row r="3467" spans="1:22" x14ac:dyDescent="0.3">
      <c r="A3467" t="s">
        <v>4943</v>
      </c>
      <c r="B3467" s="2">
        <v>46036</v>
      </c>
      <c r="C3467" t="s">
        <v>340</v>
      </c>
      <c r="D3467" t="s">
        <v>37</v>
      </c>
      <c r="E3467" t="s">
        <v>310</v>
      </c>
      <c r="F3467">
        <v>1</v>
      </c>
      <c r="G3467">
        <v>0</v>
      </c>
      <c r="H3467">
        <v>2200</v>
      </c>
      <c r="I3467">
        <v>-308.88</v>
      </c>
      <c r="J3467" t="s">
        <v>51</v>
      </c>
      <c r="K3467" t="s">
        <v>434</v>
      </c>
      <c r="L3467">
        <v>2200</v>
      </c>
      <c r="M3467">
        <v>-14.04</v>
      </c>
      <c r="N3467" t="s">
        <v>81</v>
      </c>
      <c r="O3467" t="s">
        <v>341</v>
      </c>
      <c r="P3467" t="s">
        <v>29</v>
      </c>
      <c r="Q3467" t="s">
        <v>30</v>
      </c>
      <c r="R3467" t="s">
        <v>98</v>
      </c>
      <c r="S3467" t="s">
        <v>54</v>
      </c>
      <c r="T3467" t="s">
        <v>342</v>
      </c>
      <c r="U3467" t="s">
        <v>100</v>
      </c>
      <c r="V3467">
        <v>-308.88</v>
      </c>
    </row>
    <row r="3468" spans="1:22" x14ac:dyDescent="0.3">
      <c r="A3468" t="s">
        <v>4944</v>
      </c>
      <c r="B3468" s="2">
        <v>46012</v>
      </c>
      <c r="C3468" t="s">
        <v>664</v>
      </c>
      <c r="D3468" t="s">
        <v>49</v>
      </c>
      <c r="E3468" t="s">
        <v>50</v>
      </c>
      <c r="F3468">
        <v>2</v>
      </c>
      <c r="G3468">
        <v>0</v>
      </c>
      <c r="H3468">
        <v>26000</v>
      </c>
      <c r="I3468">
        <v>6400</v>
      </c>
      <c r="J3468" t="s">
        <v>65</v>
      </c>
      <c r="K3468" t="s">
        <v>27</v>
      </c>
      <c r="L3468">
        <v>13000</v>
      </c>
      <c r="M3468">
        <v>24.61538461538462</v>
      </c>
      <c r="N3468" t="s">
        <v>8</v>
      </c>
      <c r="O3468" t="s">
        <v>665</v>
      </c>
      <c r="P3468" t="s">
        <v>29</v>
      </c>
      <c r="Q3468" t="s">
        <v>30</v>
      </c>
      <c r="R3468" t="s">
        <v>31</v>
      </c>
      <c r="S3468" t="s">
        <v>32</v>
      </c>
      <c r="T3468" t="s">
        <v>256</v>
      </c>
      <c r="U3468" t="s">
        <v>34</v>
      </c>
      <c r="V3468">
        <v>3200</v>
      </c>
    </row>
    <row r="3469" spans="1:22" x14ac:dyDescent="0.3">
      <c r="A3469" t="s">
        <v>4945</v>
      </c>
      <c r="B3469" s="2">
        <v>46003</v>
      </c>
      <c r="C3469" t="s">
        <v>543</v>
      </c>
      <c r="D3469" t="s">
        <v>49</v>
      </c>
      <c r="E3469" t="s">
        <v>79</v>
      </c>
      <c r="F3469">
        <v>4</v>
      </c>
      <c r="G3469">
        <v>0.1</v>
      </c>
      <c r="H3469">
        <v>39600</v>
      </c>
      <c r="I3469">
        <v>7564.53</v>
      </c>
      <c r="J3469" t="s">
        <v>26</v>
      </c>
      <c r="K3469" t="s">
        <v>40</v>
      </c>
      <c r="L3469">
        <v>9900</v>
      </c>
      <c r="M3469">
        <v>19.102348484848481</v>
      </c>
      <c r="N3469" t="s">
        <v>8</v>
      </c>
      <c r="O3469" t="s">
        <v>545</v>
      </c>
      <c r="P3469" t="s">
        <v>83</v>
      </c>
      <c r="Q3469" t="s">
        <v>74</v>
      </c>
      <c r="R3469" t="s">
        <v>75</v>
      </c>
      <c r="S3469" t="s">
        <v>75</v>
      </c>
      <c r="T3469" t="s">
        <v>546</v>
      </c>
      <c r="U3469" t="s">
        <v>34</v>
      </c>
      <c r="V3469">
        <v>1891.1324999999999</v>
      </c>
    </row>
    <row r="3470" spans="1:22" x14ac:dyDescent="0.3">
      <c r="A3470" t="s">
        <v>4946</v>
      </c>
      <c r="B3470" s="2">
        <v>46131</v>
      </c>
      <c r="C3470" t="s">
        <v>907</v>
      </c>
      <c r="D3470" t="s">
        <v>49</v>
      </c>
      <c r="E3470" t="s">
        <v>79</v>
      </c>
      <c r="F3470">
        <v>2</v>
      </c>
      <c r="G3470">
        <v>0.1</v>
      </c>
      <c r="H3470">
        <v>19800</v>
      </c>
      <c r="I3470">
        <v>3924.22</v>
      </c>
      <c r="J3470" t="s">
        <v>65</v>
      </c>
      <c r="K3470" t="s">
        <v>40</v>
      </c>
      <c r="L3470">
        <v>9900</v>
      </c>
      <c r="M3470">
        <v>19.819292929292931</v>
      </c>
      <c r="N3470" t="s">
        <v>8</v>
      </c>
      <c r="O3470" t="s">
        <v>908</v>
      </c>
      <c r="P3470" t="s">
        <v>29</v>
      </c>
      <c r="Q3470" t="s">
        <v>30</v>
      </c>
      <c r="R3470" t="s">
        <v>60</v>
      </c>
      <c r="S3470" t="s">
        <v>61</v>
      </c>
      <c r="T3470" t="s">
        <v>486</v>
      </c>
      <c r="U3470" t="s">
        <v>34</v>
      </c>
      <c r="V3470">
        <v>1962.11</v>
      </c>
    </row>
    <row r="3471" spans="1:22" x14ac:dyDescent="0.3">
      <c r="A3471" t="s">
        <v>4947</v>
      </c>
      <c r="B3471" s="2">
        <v>46011</v>
      </c>
      <c r="C3471" t="s">
        <v>536</v>
      </c>
      <c r="D3471" t="s">
        <v>24</v>
      </c>
      <c r="E3471" t="s">
        <v>92</v>
      </c>
      <c r="F3471">
        <v>3</v>
      </c>
      <c r="G3471">
        <v>0.2</v>
      </c>
      <c r="H3471">
        <v>2160</v>
      </c>
      <c r="I3471">
        <v>-1266.1099999999999</v>
      </c>
      <c r="J3471" t="s">
        <v>39</v>
      </c>
      <c r="K3471" t="s">
        <v>80</v>
      </c>
      <c r="L3471">
        <v>720</v>
      </c>
      <c r="M3471">
        <v>-58.616203703703697</v>
      </c>
      <c r="N3471" t="s">
        <v>81</v>
      </c>
      <c r="O3471" t="s">
        <v>537</v>
      </c>
      <c r="P3471" t="s">
        <v>29</v>
      </c>
      <c r="Q3471" t="s">
        <v>74</v>
      </c>
      <c r="R3471" t="s">
        <v>237</v>
      </c>
      <c r="S3471" t="s">
        <v>238</v>
      </c>
      <c r="T3471" t="s">
        <v>538</v>
      </c>
      <c r="U3471" t="s">
        <v>34</v>
      </c>
      <c r="V3471">
        <v>-422.03666666666658</v>
      </c>
    </row>
    <row r="3472" spans="1:22" x14ac:dyDescent="0.3">
      <c r="A3472" t="s">
        <v>4948</v>
      </c>
      <c r="B3472" s="2">
        <v>45979</v>
      </c>
      <c r="C3472" t="s">
        <v>263</v>
      </c>
      <c r="D3472" t="s">
        <v>37</v>
      </c>
      <c r="E3472" t="s">
        <v>170</v>
      </c>
      <c r="F3472">
        <v>2</v>
      </c>
      <c r="G3472">
        <v>0.15</v>
      </c>
      <c r="H3472">
        <v>2380</v>
      </c>
      <c r="I3472">
        <v>784.78</v>
      </c>
      <c r="J3472" t="s">
        <v>65</v>
      </c>
      <c r="K3472" t="s">
        <v>27</v>
      </c>
      <c r="L3472">
        <v>1190</v>
      </c>
      <c r="M3472">
        <v>32.973949579831931</v>
      </c>
      <c r="N3472" t="s">
        <v>8</v>
      </c>
      <c r="O3472" t="s">
        <v>265</v>
      </c>
      <c r="P3472" t="s">
        <v>73</v>
      </c>
      <c r="Q3472" t="s">
        <v>30</v>
      </c>
      <c r="R3472" t="s">
        <v>31</v>
      </c>
      <c r="S3472" t="s">
        <v>32</v>
      </c>
      <c r="T3472" t="s">
        <v>266</v>
      </c>
      <c r="U3472" t="s">
        <v>46</v>
      </c>
      <c r="V3472">
        <v>392.39</v>
      </c>
    </row>
    <row r="3473" spans="1:22" x14ac:dyDescent="0.3">
      <c r="A3473" t="s">
        <v>4949</v>
      </c>
      <c r="B3473" s="2">
        <v>46092</v>
      </c>
      <c r="C3473" t="s">
        <v>1480</v>
      </c>
      <c r="D3473" t="s">
        <v>24</v>
      </c>
      <c r="E3473" t="s">
        <v>92</v>
      </c>
      <c r="F3473">
        <v>1</v>
      </c>
      <c r="G3473">
        <v>0.2</v>
      </c>
      <c r="H3473">
        <v>720</v>
      </c>
      <c r="I3473">
        <v>162.55000000000001</v>
      </c>
      <c r="J3473" t="s">
        <v>39</v>
      </c>
      <c r="K3473" t="s">
        <v>40</v>
      </c>
      <c r="L3473">
        <v>720</v>
      </c>
      <c r="M3473">
        <v>22.576388888888889</v>
      </c>
      <c r="N3473" t="s">
        <v>8</v>
      </c>
      <c r="O3473" t="s">
        <v>66</v>
      </c>
      <c r="P3473" t="s">
        <v>73</v>
      </c>
      <c r="Q3473" t="s">
        <v>30</v>
      </c>
      <c r="R3473" t="s">
        <v>98</v>
      </c>
      <c r="S3473" t="s">
        <v>54</v>
      </c>
      <c r="T3473" t="s">
        <v>1481</v>
      </c>
      <c r="U3473" t="s">
        <v>46</v>
      </c>
      <c r="V3473">
        <v>162.55000000000001</v>
      </c>
    </row>
    <row r="3474" spans="1:22" x14ac:dyDescent="0.3">
      <c r="A3474" t="s">
        <v>4950</v>
      </c>
      <c r="B3474" s="2">
        <v>45842</v>
      </c>
      <c r="C3474" t="s">
        <v>4375</v>
      </c>
      <c r="D3474" t="s">
        <v>70</v>
      </c>
      <c r="E3474" t="s">
        <v>129</v>
      </c>
      <c r="F3474">
        <v>4</v>
      </c>
      <c r="G3474">
        <v>0.05</v>
      </c>
      <c r="H3474">
        <v>209000</v>
      </c>
      <c r="I3474">
        <v>-22567.37</v>
      </c>
      <c r="J3474" t="s">
        <v>26</v>
      </c>
      <c r="K3474" t="s">
        <v>80</v>
      </c>
      <c r="L3474">
        <v>52250</v>
      </c>
      <c r="M3474">
        <v>-10.797784688995209</v>
      </c>
      <c r="N3474" t="s">
        <v>81</v>
      </c>
      <c r="O3474" t="s">
        <v>1256</v>
      </c>
      <c r="P3474" t="s">
        <v>29</v>
      </c>
      <c r="Q3474" t="s">
        <v>74</v>
      </c>
      <c r="R3474" t="s">
        <v>115</v>
      </c>
      <c r="S3474" t="s">
        <v>115</v>
      </c>
      <c r="T3474" t="s">
        <v>281</v>
      </c>
      <c r="U3474" t="s">
        <v>46</v>
      </c>
      <c r="V3474">
        <v>-5641.8424999999997</v>
      </c>
    </row>
    <row r="3475" spans="1:22" x14ac:dyDescent="0.3">
      <c r="A3475" t="s">
        <v>4951</v>
      </c>
      <c r="B3475" s="2">
        <v>46078</v>
      </c>
      <c r="C3475" t="s">
        <v>3532</v>
      </c>
      <c r="D3475" t="s">
        <v>49</v>
      </c>
      <c r="E3475" t="s">
        <v>79</v>
      </c>
      <c r="F3475">
        <v>10</v>
      </c>
      <c r="G3475">
        <v>0</v>
      </c>
      <c r="H3475">
        <v>110000</v>
      </c>
      <c r="I3475">
        <v>26000</v>
      </c>
      <c r="J3475" t="s">
        <v>51</v>
      </c>
      <c r="K3475" t="s">
        <v>27</v>
      </c>
      <c r="L3475">
        <v>11000</v>
      </c>
      <c r="M3475">
        <v>23.63636363636364</v>
      </c>
      <c r="N3475" t="s">
        <v>8</v>
      </c>
      <c r="O3475" t="s">
        <v>3533</v>
      </c>
      <c r="P3475" t="s">
        <v>29</v>
      </c>
      <c r="Q3475" t="s">
        <v>131</v>
      </c>
      <c r="R3475" t="s">
        <v>132</v>
      </c>
      <c r="S3475" t="s">
        <v>133</v>
      </c>
      <c r="T3475" t="s">
        <v>3534</v>
      </c>
      <c r="U3475" t="s">
        <v>34</v>
      </c>
      <c r="V3475">
        <v>2600</v>
      </c>
    </row>
    <row r="3476" spans="1:22" x14ac:dyDescent="0.3">
      <c r="A3476" t="s">
        <v>4952</v>
      </c>
      <c r="B3476" s="2">
        <v>46017</v>
      </c>
      <c r="C3476" t="s">
        <v>258</v>
      </c>
      <c r="D3476" t="s">
        <v>37</v>
      </c>
      <c r="E3476" t="s">
        <v>38</v>
      </c>
      <c r="F3476">
        <v>2</v>
      </c>
      <c r="G3476">
        <v>0.15</v>
      </c>
      <c r="H3476">
        <v>3060</v>
      </c>
      <c r="I3476">
        <v>939.39</v>
      </c>
      <c r="J3476" t="s">
        <v>65</v>
      </c>
      <c r="K3476" t="s">
        <v>40</v>
      </c>
      <c r="L3476">
        <v>1530</v>
      </c>
      <c r="M3476">
        <v>30.699019607843141</v>
      </c>
      <c r="N3476" t="s">
        <v>8</v>
      </c>
      <c r="O3476" t="s">
        <v>259</v>
      </c>
      <c r="P3476" t="s">
        <v>73</v>
      </c>
      <c r="Q3476" t="s">
        <v>30</v>
      </c>
      <c r="R3476" t="s">
        <v>60</v>
      </c>
      <c r="S3476" t="s">
        <v>61</v>
      </c>
      <c r="T3476" t="s">
        <v>260</v>
      </c>
      <c r="U3476" t="s">
        <v>105</v>
      </c>
      <c r="V3476">
        <v>469.69499999999999</v>
      </c>
    </row>
    <row r="3477" spans="1:22" x14ac:dyDescent="0.3">
      <c r="A3477" t="s">
        <v>4953</v>
      </c>
      <c r="B3477" s="2">
        <v>46034</v>
      </c>
      <c r="C3477" t="s">
        <v>1168</v>
      </c>
      <c r="D3477" t="s">
        <v>70</v>
      </c>
      <c r="E3477" t="s">
        <v>108</v>
      </c>
      <c r="F3477">
        <v>1</v>
      </c>
      <c r="G3477">
        <v>0.2</v>
      </c>
      <c r="H3477">
        <v>3600</v>
      </c>
      <c r="I3477">
        <v>892.81</v>
      </c>
      <c r="J3477" t="s">
        <v>26</v>
      </c>
      <c r="K3477" t="s">
        <v>40</v>
      </c>
      <c r="L3477">
        <v>3600</v>
      </c>
      <c r="M3477">
        <v>24.800277777777779</v>
      </c>
      <c r="N3477" t="s">
        <v>8</v>
      </c>
      <c r="O3477" t="s">
        <v>1169</v>
      </c>
      <c r="P3477" t="s">
        <v>83</v>
      </c>
      <c r="Q3477" t="s">
        <v>131</v>
      </c>
      <c r="R3477" t="s">
        <v>289</v>
      </c>
      <c r="S3477" t="s">
        <v>290</v>
      </c>
      <c r="T3477" t="s">
        <v>1170</v>
      </c>
      <c r="U3477" t="s">
        <v>34</v>
      </c>
      <c r="V3477">
        <v>892.81</v>
      </c>
    </row>
    <row r="3478" spans="1:22" x14ac:dyDescent="0.3">
      <c r="A3478" t="s">
        <v>4954</v>
      </c>
      <c r="B3478" s="2">
        <v>46031</v>
      </c>
      <c r="C3478" t="s">
        <v>372</v>
      </c>
      <c r="D3478" t="s">
        <v>37</v>
      </c>
      <c r="E3478" t="s">
        <v>170</v>
      </c>
      <c r="F3478">
        <v>2</v>
      </c>
      <c r="G3478">
        <v>0.1</v>
      </c>
      <c r="H3478">
        <v>2520</v>
      </c>
      <c r="I3478">
        <v>779.33</v>
      </c>
      <c r="J3478" t="s">
        <v>65</v>
      </c>
      <c r="K3478" t="s">
        <v>40</v>
      </c>
      <c r="L3478">
        <v>1260</v>
      </c>
      <c r="M3478">
        <v>30.925793650793651</v>
      </c>
      <c r="N3478" t="s">
        <v>8</v>
      </c>
      <c r="O3478" t="s">
        <v>374</v>
      </c>
      <c r="P3478" t="s">
        <v>73</v>
      </c>
      <c r="Q3478" t="s">
        <v>30</v>
      </c>
      <c r="R3478" t="s">
        <v>53</v>
      </c>
      <c r="S3478" t="s">
        <v>54</v>
      </c>
      <c r="T3478" t="s">
        <v>375</v>
      </c>
      <c r="U3478" t="s">
        <v>105</v>
      </c>
      <c r="V3478">
        <v>389.66500000000002</v>
      </c>
    </row>
    <row r="3479" spans="1:22" x14ac:dyDescent="0.3">
      <c r="A3479" t="s">
        <v>4955</v>
      </c>
      <c r="B3479" s="2">
        <v>46109</v>
      </c>
      <c r="C3479" t="s">
        <v>2495</v>
      </c>
      <c r="D3479" t="s">
        <v>49</v>
      </c>
      <c r="E3479" t="s">
        <v>50</v>
      </c>
      <c r="F3479">
        <v>3</v>
      </c>
      <c r="G3479">
        <v>0.1</v>
      </c>
      <c r="H3479">
        <v>35100</v>
      </c>
      <c r="I3479">
        <v>7138.44</v>
      </c>
      <c r="J3479" t="s">
        <v>65</v>
      </c>
      <c r="K3479" t="s">
        <v>40</v>
      </c>
      <c r="L3479">
        <v>11700</v>
      </c>
      <c r="M3479">
        <v>20.337435897435899</v>
      </c>
      <c r="N3479" t="s">
        <v>8</v>
      </c>
      <c r="O3479" t="s">
        <v>1831</v>
      </c>
      <c r="P3479" t="s">
        <v>29</v>
      </c>
      <c r="Q3479" t="s">
        <v>74</v>
      </c>
      <c r="R3479" t="s">
        <v>237</v>
      </c>
      <c r="S3479" t="s">
        <v>238</v>
      </c>
      <c r="T3479" t="s">
        <v>2496</v>
      </c>
      <c r="U3479" t="s">
        <v>46</v>
      </c>
      <c r="V3479">
        <v>2379.48</v>
      </c>
    </row>
    <row r="3480" spans="1:22" x14ac:dyDescent="0.3">
      <c r="A3480" t="s">
        <v>4956</v>
      </c>
      <c r="B3480" s="2">
        <v>46026</v>
      </c>
      <c r="C3480" t="s">
        <v>1196</v>
      </c>
      <c r="D3480" t="s">
        <v>24</v>
      </c>
      <c r="E3480" t="s">
        <v>242</v>
      </c>
      <c r="F3480">
        <v>1</v>
      </c>
      <c r="G3480">
        <v>0.15</v>
      </c>
      <c r="H3480">
        <v>382.5</v>
      </c>
      <c r="I3480">
        <v>53.62</v>
      </c>
      <c r="J3480" t="s">
        <v>51</v>
      </c>
      <c r="K3480" t="s">
        <v>40</v>
      </c>
      <c r="L3480">
        <v>382.5</v>
      </c>
      <c r="M3480">
        <v>14.018300653594769</v>
      </c>
      <c r="N3480" t="s">
        <v>8</v>
      </c>
      <c r="O3480" t="s">
        <v>686</v>
      </c>
      <c r="P3480" t="s">
        <v>73</v>
      </c>
      <c r="Q3480" t="s">
        <v>30</v>
      </c>
      <c r="R3480" t="s">
        <v>53</v>
      </c>
      <c r="S3480" t="s">
        <v>54</v>
      </c>
      <c r="T3480" t="s">
        <v>1197</v>
      </c>
      <c r="U3480" t="s">
        <v>100</v>
      </c>
      <c r="V3480">
        <v>53.62</v>
      </c>
    </row>
    <row r="3481" spans="1:22" x14ac:dyDescent="0.3">
      <c r="A3481" t="s">
        <v>4957</v>
      </c>
      <c r="B3481" s="2">
        <v>45999</v>
      </c>
      <c r="C3481" t="s">
        <v>313</v>
      </c>
      <c r="D3481" t="s">
        <v>24</v>
      </c>
      <c r="E3481" t="s">
        <v>87</v>
      </c>
      <c r="F3481">
        <v>1</v>
      </c>
      <c r="G3481">
        <v>0.3</v>
      </c>
      <c r="H3481">
        <v>245</v>
      </c>
      <c r="I3481">
        <v>46.66</v>
      </c>
      <c r="J3481" t="s">
        <v>39</v>
      </c>
      <c r="K3481" t="s">
        <v>40</v>
      </c>
      <c r="L3481">
        <v>245</v>
      </c>
      <c r="M3481">
        <v>19.044897959183668</v>
      </c>
      <c r="N3481" t="s">
        <v>8</v>
      </c>
      <c r="O3481" t="s">
        <v>314</v>
      </c>
      <c r="P3481" t="s">
        <v>29</v>
      </c>
      <c r="Q3481" t="s">
        <v>30</v>
      </c>
      <c r="R3481" t="s">
        <v>98</v>
      </c>
      <c r="S3481" t="s">
        <v>54</v>
      </c>
      <c r="T3481" t="s">
        <v>315</v>
      </c>
      <c r="U3481" t="s">
        <v>100</v>
      </c>
      <c r="V3481">
        <v>46.66</v>
      </c>
    </row>
    <row r="3482" spans="1:22" x14ac:dyDescent="0.3">
      <c r="A3482" t="s">
        <v>4958</v>
      </c>
      <c r="B3482" s="2">
        <v>45999</v>
      </c>
      <c r="C3482" t="s">
        <v>2177</v>
      </c>
      <c r="D3482" t="s">
        <v>70</v>
      </c>
      <c r="E3482" t="s">
        <v>71</v>
      </c>
      <c r="F3482">
        <v>3</v>
      </c>
      <c r="G3482">
        <v>0.1</v>
      </c>
      <c r="H3482">
        <v>48600</v>
      </c>
      <c r="I3482">
        <v>6897.7</v>
      </c>
      <c r="J3482" t="s">
        <v>26</v>
      </c>
      <c r="K3482" t="s">
        <v>40</v>
      </c>
      <c r="L3482">
        <v>16200</v>
      </c>
      <c r="M3482">
        <v>14.19279835390946</v>
      </c>
      <c r="N3482" t="s">
        <v>8</v>
      </c>
      <c r="O3482" t="s">
        <v>175</v>
      </c>
      <c r="P3482" t="s">
        <v>29</v>
      </c>
      <c r="Q3482" t="s">
        <v>30</v>
      </c>
      <c r="R3482" t="s">
        <v>98</v>
      </c>
      <c r="S3482" t="s">
        <v>54</v>
      </c>
      <c r="T3482" t="s">
        <v>2178</v>
      </c>
      <c r="U3482" t="s">
        <v>46</v>
      </c>
      <c r="V3482">
        <v>2299.2333333333331</v>
      </c>
    </row>
    <row r="3483" spans="1:22" x14ac:dyDescent="0.3">
      <c r="A3483" t="s">
        <v>4959</v>
      </c>
      <c r="B3483" s="2">
        <v>45888</v>
      </c>
      <c r="C3483" t="s">
        <v>1056</v>
      </c>
      <c r="D3483" t="s">
        <v>49</v>
      </c>
      <c r="E3483" t="s">
        <v>58</v>
      </c>
      <c r="F3483">
        <v>1</v>
      </c>
      <c r="G3483">
        <v>0</v>
      </c>
      <c r="H3483">
        <v>15000</v>
      </c>
      <c r="I3483">
        <v>3500</v>
      </c>
      <c r="J3483" t="s">
        <v>39</v>
      </c>
      <c r="K3483" t="s">
        <v>40</v>
      </c>
      <c r="L3483">
        <v>15000</v>
      </c>
      <c r="M3483">
        <v>23.333333333333329</v>
      </c>
      <c r="N3483" t="s">
        <v>8</v>
      </c>
      <c r="O3483" t="s">
        <v>1057</v>
      </c>
      <c r="P3483" t="s">
        <v>29</v>
      </c>
      <c r="Q3483" t="s">
        <v>30</v>
      </c>
      <c r="R3483" t="s">
        <v>31</v>
      </c>
      <c r="S3483" t="s">
        <v>32</v>
      </c>
      <c r="T3483" t="s">
        <v>1058</v>
      </c>
      <c r="U3483" t="s">
        <v>34</v>
      </c>
      <c r="V3483">
        <v>3500</v>
      </c>
    </row>
    <row r="3484" spans="1:22" x14ac:dyDescent="0.3">
      <c r="A3484" t="s">
        <v>4960</v>
      </c>
      <c r="B3484" s="2">
        <v>45984</v>
      </c>
      <c r="C3484" t="s">
        <v>983</v>
      </c>
      <c r="D3484" t="s">
        <v>70</v>
      </c>
      <c r="E3484" t="s">
        <v>108</v>
      </c>
      <c r="F3484">
        <v>1</v>
      </c>
      <c r="G3484">
        <v>0</v>
      </c>
      <c r="H3484">
        <v>4500</v>
      </c>
      <c r="I3484">
        <v>1500</v>
      </c>
      <c r="J3484" t="s">
        <v>51</v>
      </c>
      <c r="K3484" t="s">
        <v>40</v>
      </c>
      <c r="L3484">
        <v>4500</v>
      </c>
      <c r="M3484">
        <v>33.333333333333329</v>
      </c>
      <c r="N3484" t="s">
        <v>8</v>
      </c>
      <c r="O3484" t="s">
        <v>984</v>
      </c>
      <c r="P3484" t="s">
        <v>29</v>
      </c>
      <c r="Q3484" t="s">
        <v>30</v>
      </c>
      <c r="R3484" t="s">
        <v>31</v>
      </c>
      <c r="S3484" t="s">
        <v>32</v>
      </c>
      <c r="T3484" t="s">
        <v>985</v>
      </c>
      <c r="U3484" t="s">
        <v>46</v>
      </c>
      <c r="V3484">
        <v>1500</v>
      </c>
    </row>
    <row r="3485" spans="1:22" x14ac:dyDescent="0.3">
      <c r="A3485" t="s">
        <v>4961</v>
      </c>
      <c r="B3485" s="2">
        <v>45913</v>
      </c>
      <c r="C3485" t="s">
        <v>246</v>
      </c>
      <c r="D3485" t="s">
        <v>24</v>
      </c>
      <c r="E3485" t="s">
        <v>92</v>
      </c>
      <c r="F3485">
        <v>1</v>
      </c>
      <c r="G3485">
        <v>0.1</v>
      </c>
      <c r="H3485">
        <v>810</v>
      </c>
      <c r="I3485">
        <v>-7.89</v>
      </c>
      <c r="J3485" t="s">
        <v>65</v>
      </c>
      <c r="K3485" t="s">
        <v>434</v>
      </c>
      <c r="L3485">
        <v>810</v>
      </c>
      <c r="M3485">
        <v>-0.97407407407407409</v>
      </c>
      <c r="N3485" t="s">
        <v>81</v>
      </c>
      <c r="O3485" t="s">
        <v>247</v>
      </c>
      <c r="P3485" t="s">
        <v>73</v>
      </c>
      <c r="Q3485" t="s">
        <v>30</v>
      </c>
      <c r="R3485" t="s">
        <v>53</v>
      </c>
      <c r="S3485" t="s">
        <v>54</v>
      </c>
      <c r="T3485" t="s">
        <v>248</v>
      </c>
      <c r="U3485" t="s">
        <v>100</v>
      </c>
      <c r="V3485">
        <v>-7.89</v>
      </c>
    </row>
    <row r="3486" spans="1:22" x14ac:dyDescent="0.3">
      <c r="A3486" t="s">
        <v>4962</v>
      </c>
      <c r="B3486" s="2">
        <v>45852</v>
      </c>
      <c r="C3486" t="s">
        <v>1519</v>
      </c>
      <c r="D3486" t="s">
        <v>70</v>
      </c>
      <c r="E3486" t="s">
        <v>165</v>
      </c>
      <c r="F3486">
        <v>2</v>
      </c>
      <c r="G3486">
        <v>0</v>
      </c>
      <c r="H3486">
        <v>5000</v>
      </c>
      <c r="I3486">
        <v>1600</v>
      </c>
      <c r="J3486" t="s">
        <v>65</v>
      </c>
      <c r="K3486" t="s">
        <v>40</v>
      </c>
      <c r="L3486">
        <v>2500</v>
      </c>
      <c r="M3486">
        <v>32</v>
      </c>
      <c r="N3486" t="s">
        <v>8</v>
      </c>
      <c r="O3486" t="s">
        <v>1520</v>
      </c>
      <c r="P3486" t="s">
        <v>83</v>
      </c>
      <c r="Q3486" t="s">
        <v>30</v>
      </c>
      <c r="R3486" t="s">
        <v>31</v>
      </c>
      <c r="S3486" t="s">
        <v>32</v>
      </c>
      <c r="T3486" t="s">
        <v>1521</v>
      </c>
      <c r="U3486" t="s">
        <v>105</v>
      </c>
      <c r="V3486">
        <v>800</v>
      </c>
    </row>
    <row r="3487" spans="1:22" x14ac:dyDescent="0.3">
      <c r="A3487" t="s">
        <v>4963</v>
      </c>
      <c r="B3487" s="2">
        <v>45942</v>
      </c>
      <c r="C3487" t="s">
        <v>4249</v>
      </c>
      <c r="D3487" t="s">
        <v>49</v>
      </c>
      <c r="E3487" t="s">
        <v>50</v>
      </c>
      <c r="F3487">
        <v>1</v>
      </c>
      <c r="G3487">
        <v>0.2</v>
      </c>
      <c r="H3487">
        <v>10400</v>
      </c>
      <c r="I3487">
        <v>1101.3699999999999</v>
      </c>
      <c r="J3487" t="s">
        <v>51</v>
      </c>
      <c r="K3487" t="s">
        <v>40</v>
      </c>
      <c r="L3487">
        <v>10400</v>
      </c>
      <c r="M3487">
        <v>10.590096153846151</v>
      </c>
      <c r="N3487" t="s">
        <v>8</v>
      </c>
      <c r="O3487" t="s">
        <v>28</v>
      </c>
      <c r="P3487" t="s">
        <v>29</v>
      </c>
      <c r="Q3487" t="s">
        <v>74</v>
      </c>
      <c r="R3487" t="s">
        <v>493</v>
      </c>
      <c r="S3487" t="s">
        <v>494</v>
      </c>
      <c r="T3487" t="s">
        <v>4250</v>
      </c>
      <c r="U3487" t="s">
        <v>105</v>
      </c>
      <c r="V3487">
        <v>1101.3699999999999</v>
      </c>
    </row>
    <row r="3488" spans="1:22" x14ac:dyDescent="0.3">
      <c r="A3488" t="s">
        <v>4964</v>
      </c>
      <c r="B3488" s="2">
        <v>46210</v>
      </c>
      <c r="C3488" t="s">
        <v>1594</v>
      </c>
      <c r="D3488" t="s">
        <v>70</v>
      </c>
      <c r="E3488" t="s">
        <v>165</v>
      </c>
      <c r="F3488">
        <v>3</v>
      </c>
      <c r="G3488">
        <v>0.1</v>
      </c>
      <c r="H3488">
        <v>6750</v>
      </c>
      <c r="I3488">
        <v>-1970.92</v>
      </c>
      <c r="J3488" t="s">
        <v>51</v>
      </c>
      <c r="K3488" t="s">
        <v>434</v>
      </c>
      <c r="L3488">
        <v>2250</v>
      </c>
      <c r="M3488">
        <v>-29.198814814814821</v>
      </c>
      <c r="N3488" t="s">
        <v>81</v>
      </c>
      <c r="O3488" t="s">
        <v>523</v>
      </c>
      <c r="P3488" t="s">
        <v>83</v>
      </c>
      <c r="Q3488" t="s">
        <v>30</v>
      </c>
      <c r="R3488" t="s">
        <v>31</v>
      </c>
      <c r="S3488" t="s">
        <v>32</v>
      </c>
      <c r="T3488" t="s">
        <v>767</v>
      </c>
      <c r="U3488" t="s">
        <v>105</v>
      </c>
      <c r="V3488">
        <v>-656.97333333333336</v>
      </c>
    </row>
    <row r="3489" spans="1:22" x14ac:dyDescent="0.3">
      <c r="A3489" t="s">
        <v>4965</v>
      </c>
      <c r="B3489" s="2">
        <v>46250</v>
      </c>
      <c r="C3489" t="s">
        <v>3480</v>
      </c>
      <c r="D3489" t="s">
        <v>49</v>
      </c>
      <c r="E3489" t="s">
        <v>58</v>
      </c>
      <c r="F3489">
        <v>5</v>
      </c>
      <c r="G3489">
        <v>0.1</v>
      </c>
      <c r="H3489">
        <v>67500</v>
      </c>
      <c r="I3489">
        <v>12772.73</v>
      </c>
      <c r="J3489" t="s">
        <v>39</v>
      </c>
      <c r="K3489" t="s">
        <v>40</v>
      </c>
      <c r="L3489">
        <v>13500</v>
      </c>
      <c r="M3489">
        <v>18.92256296296296</v>
      </c>
      <c r="N3489" t="s">
        <v>8</v>
      </c>
      <c r="O3489" t="s">
        <v>2183</v>
      </c>
      <c r="P3489" t="s">
        <v>73</v>
      </c>
      <c r="Q3489" t="s">
        <v>131</v>
      </c>
      <c r="R3489" t="s">
        <v>200</v>
      </c>
      <c r="S3489" t="s">
        <v>201</v>
      </c>
      <c r="T3489" t="s">
        <v>3481</v>
      </c>
      <c r="U3489" t="s">
        <v>105</v>
      </c>
      <c r="V3489">
        <v>2554.5459999999998</v>
      </c>
    </row>
    <row r="3490" spans="1:22" x14ac:dyDescent="0.3">
      <c r="A3490" t="s">
        <v>4966</v>
      </c>
      <c r="B3490" s="2">
        <v>46005</v>
      </c>
      <c r="C3490" t="s">
        <v>2150</v>
      </c>
      <c r="D3490" t="s">
        <v>49</v>
      </c>
      <c r="E3490" t="s">
        <v>119</v>
      </c>
      <c r="F3490">
        <v>5</v>
      </c>
      <c r="G3490">
        <v>0.05</v>
      </c>
      <c r="H3490">
        <v>42750</v>
      </c>
      <c r="I3490">
        <v>9690.9699999999993</v>
      </c>
      <c r="J3490" t="s">
        <v>39</v>
      </c>
      <c r="K3490" t="s">
        <v>40</v>
      </c>
      <c r="L3490">
        <v>8550</v>
      </c>
      <c r="M3490">
        <v>22.668935672514621</v>
      </c>
      <c r="N3490" t="s">
        <v>8</v>
      </c>
      <c r="O3490" t="s">
        <v>149</v>
      </c>
      <c r="P3490" t="s">
        <v>83</v>
      </c>
      <c r="Q3490" t="s">
        <v>74</v>
      </c>
      <c r="R3490" t="s">
        <v>75</v>
      </c>
      <c r="S3490" t="s">
        <v>75</v>
      </c>
      <c r="T3490" t="s">
        <v>1862</v>
      </c>
      <c r="U3490" t="s">
        <v>105</v>
      </c>
      <c r="V3490">
        <v>1938.194</v>
      </c>
    </row>
    <row r="3491" spans="1:22" x14ac:dyDescent="0.3">
      <c r="A3491" t="s">
        <v>4967</v>
      </c>
      <c r="B3491" s="2">
        <v>45968</v>
      </c>
      <c r="C3491" t="s">
        <v>297</v>
      </c>
      <c r="D3491" t="s">
        <v>70</v>
      </c>
      <c r="E3491" t="s">
        <v>71</v>
      </c>
      <c r="F3491">
        <v>1</v>
      </c>
      <c r="G3491">
        <v>0.05</v>
      </c>
      <c r="H3491">
        <v>17100</v>
      </c>
      <c r="I3491">
        <v>2840.57</v>
      </c>
      <c r="J3491" t="s">
        <v>26</v>
      </c>
      <c r="K3491" t="s">
        <v>40</v>
      </c>
      <c r="L3491">
        <v>17100</v>
      </c>
      <c r="M3491">
        <v>16.611520467836261</v>
      </c>
      <c r="N3491" t="s">
        <v>8</v>
      </c>
      <c r="O3491" t="s">
        <v>298</v>
      </c>
      <c r="P3491" t="s">
        <v>83</v>
      </c>
      <c r="Q3491" t="s">
        <v>30</v>
      </c>
      <c r="R3491" t="s">
        <v>60</v>
      </c>
      <c r="S3491" t="s">
        <v>61</v>
      </c>
      <c r="T3491" t="s">
        <v>299</v>
      </c>
      <c r="U3491" t="s">
        <v>46</v>
      </c>
      <c r="V3491">
        <v>2840.57</v>
      </c>
    </row>
    <row r="3492" spans="1:22" x14ac:dyDescent="0.3">
      <c r="A3492" t="s">
        <v>4968</v>
      </c>
      <c r="B3492" s="2">
        <v>45852</v>
      </c>
      <c r="C3492" t="s">
        <v>1024</v>
      </c>
      <c r="D3492" t="s">
        <v>24</v>
      </c>
      <c r="E3492" t="s">
        <v>242</v>
      </c>
      <c r="F3492">
        <v>2</v>
      </c>
      <c r="G3492">
        <v>0.15</v>
      </c>
      <c r="H3492">
        <v>765</v>
      </c>
      <c r="I3492">
        <v>-336.99</v>
      </c>
      <c r="J3492" t="s">
        <v>65</v>
      </c>
      <c r="K3492" t="s">
        <v>80</v>
      </c>
      <c r="L3492">
        <v>382.5</v>
      </c>
      <c r="M3492">
        <v>-44.050980392156873</v>
      </c>
      <c r="N3492" t="s">
        <v>81</v>
      </c>
      <c r="O3492" t="s">
        <v>1025</v>
      </c>
      <c r="P3492" t="s">
        <v>29</v>
      </c>
      <c r="Q3492" t="s">
        <v>74</v>
      </c>
      <c r="R3492" t="s">
        <v>75</v>
      </c>
      <c r="S3492" t="s">
        <v>75</v>
      </c>
      <c r="T3492" t="s">
        <v>1026</v>
      </c>
      <c r="U3492" t="s">
        <v>46</v>
      </c>
      <c r="V3492">
        <v>-168.495</v>
      </c>
    </row>
    <row r="3493" spans="1:22" x14ac:dyDescent="0.3">
      <c r="A3493" t="s">
        <v>4969</v>
      </c>
      <c r="B3493" s="2">
        <v>46218</v>
      </c>
      <c r="C3493" t="s">
        <v>169</v>
      </c>
      <c r="D3493" t="s">
        <v>49</v>
      </c>
      <c r="E3493" t="s">
        <v>79</v>
      </c>
      <c r="F3493">
        <v>1</v>
      </c>
      <c r="G3493">
        <v>0.2</v>
      </c>
      <c r="H3493">
        <v>8800</v>
      </c>
      <c r="I3493">
        <v>1133.05</v>
      </c>
      <c r="J3493" t="s">
        <v>65</v>
      </c>
      <c r="K3493" t="s">
        <v>40</v>
      </c>
      <c r="L3493">
        <v>8800</v>
      </c>
      <c r="M3493">
        <v>12.87556818181818</v>
      </c>
      <c r="N3493" t="s">
        <v>8</v>
      </c>
      <c r="O3493" t="s">
        <v>171</v>
      </c>
      <c r="P3493" t="s">
        <v>29</v>
      </c>
      <c r="Q3493" t="s">
        <v>42</v>
      </c>
      <c r="R3493" t="s">
        <v>121</v>
      </c>
      <c r="S3493" t="s">
        <v>44</v>
      </c>
      <c r="T3493" t="s">
        <v>172</v>
      </c>
      <c r="U3493" t="s">
        <v>46</v>
      </c>
      <c r="V3493">
        <v>1133.05</v>
      </c>
    </row>
    <row r="3494" spans="1:22" x14ac:dyDescent="0.3">
      <c r="A3494" t="s">
        <v>4970</v>
      </c>
      <c r="B3494" s="2">
        <v>46175</v>
      </c>
      <c r="C3494" t="s">
        <v>3002</v>
      </c>
      <c r="D3494" t="s">
        <v>37</v>
      </c>
      <c r="E3494" t="s">
        <v>310</v>
      </c>
      <c r="F3494">
        <v>2</v>
      </c>
      <c r="G3494">
        <v>0.1</v>
      </c>
      <c r="H3494">
        <v>3960</v>
      </c>
      <c r="I3494">
        <v>1224.55</v>
      </c>
      <c r="J3494" t="s">
        <v>65</v>
      </c>
      <c r="K3494" t="s">
        <v>40</v>
      </c>
      <c r="L3494">
        <v>1980</v>
      </c>
      <c r="M3494">
        <v>30.922979797979799</v>
      </c>
      <c r="N3494" t="s">
        <v>8</v>
      </c>
      <c r="O3494" t="s">
        <v>3003</v>
      </c>
      <c r="P3494" t="s">
        <v>83</v>
      </c>
      <c r="Q3494" t="s">
        <v>42</v>
      </c>
      <c r="R3494" t="s">
        <v>121</v>
      </c>
      <c r="S3494" t="s">
        <v>44</v>
      </c>
      <c r="T3494" t="s">
        <v>3004</v>
      </c>
      <c r="U3494" t="s">
        <v>34</v>
      </c>
      <c r="V3494">
        <v>612.27499999999998</v>
      </c>
    </row>
    <row r="3495" spans="1:22" x14ac:dyDescent="0.3">
      <c r="A3495" t="s">
        <v>4971</v>
      </c>
      <c r="B3495" s="2">
        <v>45859</v>
      </c>
      <c r="C3495" t="s">
        <v>2495</v>
      </c>
      <c r="D3495" t="s">
        <v>49</v>
      </c>
      <c r="E3495" t="s">
        <v>58</v>
      </c>
      <c r="F3495">
        <v>1</v>
      </c>
      <c r="G3495">
        <v>0.1</v>
      </c>
      <c r="H3495">
        <v>13500</v>
      </c>
      <c r="I3495">
        <v>-6748.31</v>
      </c>
      <c r="J3495" t="s">
        <v>65</v>
      </c>
      <c r="K3495" t="s">
        <v>80</v>
      </c>
      <c r="L3495">
        <v>13500</v>
      </c>
      <c r="M3495">
        <v>-49.987481481481481</v>
      </c>
      <c r="N3495" t="s">
        <v>81</v>
      </c>
      <c r="O3495" t="s">
        <v>1831</v>
      </c>
      <c r="P3495" t="s">
        <v>29</v>
      </c>
      <c r="Q3495" t="s">
        <v>74</v>
      </c>
      <c r="R3495" t="s">
        <v>237</v>
      </c>
      <c r="S3495" t="s">
        <v>238</v>
      </c>
      <c r="T3495" t="s">
        <v>2496</v>
      </c>
      <c r="U3495" t="s">
        <v>46</v>
      </c>
      <c r="V3495">
        <v>-6748.31</v>
      </c>
    </row>
    <row r="3496" spans="1:22" x14ac:dyDescent="0.3">
      <c r="A3496" t="s">
        <v>4972</v>
      </c>
      <c r="B3496" s="2">
        <v>46215</v>
      </c>
      <c r="C3496" t="s">
        <v>644</v>
      </c>
      <c r="D3496" t="s">
        <v>70</v>
      </c>
      <c r="E3496" t="s">
        <v>71</v>
      </c>
      <c r="F3496">
        <v>3</v>
      </c>
      <c r="G3496">
        <v>0.15</v>
      </c>
      <c r="H3496">
        <v>45900</v>
      </c>
      <c r="I3496">
        <v>3631.46</v>
      </c>
      <c r="J3496" t="s">
        <v>26</v>
      </c>
      <c r="K3496" t="s">
        <v>40</v>
      </c>
      <c r="L3496">
        <v>15300</v>
      </c>
      <c r="M3496">
        <v>7.9116775599128539</v>
      </c>
      <c r="N3496" t="s">
        <v>8</v>
      </c>
      <c r="O3496" t="s">
        <v>213</v>
      </c>
      <c r="P3496" t="s">
        <v>29</v>
      </c>
      <c r="Q3496" t="s">
        <v>30</v>
      </c>
      <c r="R3496" t="s">
        <v>31</v>
      </c>
      <c r="S3496" t="s">
        <v>32</v>
      </c>
      <c r="T3496" t="s">
        <v>645</v>
      </c>
      <c r="U3496" t="s">
        <v>46</v>
      </c>
      <c r="V3496">
        <v>1210.4866666666669</v>
      </c>
    </row>
    <row r="3497" spans="1:22" x14ac:dyDescent="0.3">
      <c r="A3497" t="s">
        <v>4973</v>
      </c>
      <c r="B3497" s="2">
        <v>46015</v>
      </c>
      <c r="C3497" t="s">
        <v>3480</v>
      </c>
      <c r="D3497" t="s">
        <v>24</v>
      </c>
      <c r="E3497" t="s">
        <v>87</v>
      </c>
      <c r="F3497">
        <v>1</v>
      </c>
      <c r="G3497">
        <v>0.05</v>
      </c>
      <c r="H3497">
        <v>332.5</v>
      </c>
      <c r="I3497">
        <v>106.96</v>
      </c>
      <c r="J3497" t="s">
        <v>39</v>
      </c>
      <c r="K3497" t="s">
        <v>40</v>
      </c>
      <c r="L3497">
        <v>332.5</v>
      </c>
      <c r="M3497">
        <v>32.168421052631579</v>
      </c>
      <c r="N3497" t="s">
        <v>8</v>
      </c>
      <c r="O3497" t="s">
        <v>2183</v>
      </c>
      <c r="P3497" t="s">
        <v>73</v>
      </c>
      <c r="Q3497" t="s">
        <v>131</v>
      </c>
      <c r="R3497" t="s">
        <v>200</v>
      </c>
      <c r="S3497" t="s">
        <v>201</v>
      </c>
      <c r="T3497" t="s">
        <v>3481</v>
      </c>
      <c r="U3497" t="s">
        <v>105</v>
      </c>
      <c r="V3497">
        <v>106.96</v>
      </c>
    </row>
    <row r="3498" spans="1:22" x14ac:dyDescent="0.3">
      <c r="A3498" t="s">
        <v>4974</v>
      </c>
      <c r="B3498" s="2">
        <v>46137</v>
      </c>
      <c r="C3498" t="s">
        <v>1785</v>
      </c>
      <c r="D3498" t="s">
        <v>24</v>
      </c>
      <c r="E3498" t="s">
        <v>25</v>
      </c>
      <c r="F3498">
        <v>4</v>
      </c>
      <c r="G3498">
        <v>0.1</v>
      </c>
      <c r="H3498">
        <v>50400</v>
      </c>
      <c r="I3498">
        <v>8016.48</v>
      </c>
      <c r="J3498" t="s">
        <v>39</v>
      </c>
      <c r="K3498" t="s">
        <v>40</v>
      </c>
      <c r="L3498">
        <v>12600</v>
      </c>
      <c r="M3498">
        <v>15.90571428571428</v>
      </c>
      <c r="N3498" t="s">
        <v>8</v>
      </c>
      <c r="O3498" t="s">
        <v>1786</v>
      </c>
      <c r="P3498" t="s">
        <v>83</v>
      </c>
      <c r="Q3498" t="s">
        <v>30</v>
      </c>
      <c r="R3498" t="s">
        <v>53</v>
      </c>
      <c r="S3498" t="s">
        <v>54</v>
      </c>
      <c r="T3498" t="s">
        <v>227</v>
      </c>
      <c r="U3498" t="s">
        <v>46</v>
      </c>
      <c r="V3498">
        <v>2004.12</v>
      </c>
    </row>
    <row r="3499" spans="1:22" x14ac:dyDescent="0.3">
      <c r="A3499" t="s">
        <v>4975</v>
      </c>
      <c r="B3499" s="2">
        <v>45892</v>
      </c>
      <c r="C3499" t="s">
        <v>114</v>
      </c>
      <c r="D3499" t="s">
        <v>70</v>
      </c>
      <c r="E3499" t="s">
        <v>71</v>
      </c>
      <c r="F3499">
        <v>1</v>
      </c>
      <c r="G3499">
        <v>0.15</v>
      </c>
      <c r="H3499">
        <v>15300</v>
      </c>
      <c r="I3499">
        <v>1470.13</v>
      </c>
      <c r="J3499" t="s">
        <v>65</v>
      </c>
      <c r="K3499" t="s">
        <v>40</v>
      </c>
      <c r="L3499">
        <v>15300</v>
      </c>
      <c r="M3499">
        <v>9.6086928104575176</v>
      </c>
      <c r="N3499" t="s">
        <v>8</v>
      </c>
      <c r="O3499" t="s">
        <v>88</v>
      </c>
      <c r="P3499" t="s">
        <v>29</v>
      </c>
      <c r="Q3499" t="s">
        <v>74</v>
      </c>
      <c r="R3499" t="s">
        <v>115</v>
      </c>
      <c r="S3499" t="s">
        <v>115</v>
      </c>
      <c r="T3499" t="s">
        <v>116</v>
      </c>
      <c r="U3499" t="s">
        <v>46</v>
      </c>
      <c r="V3499">
        <v>1470.13</v>
      </c>
    </row>
    <row r="3500" spans="1:22" x14ac:dyDescent="0.3">
      <c r="A3500" t="s">
        <v>4976</v>
      </c>
      <c r="B3500" s="2">
        <v>45934</v>
      </c>
      <c r="C3500" t="s">
        <v>1799</v>
      </c>
      <c r="D3500" t="s">
        <v>70</v>
      </c>
      <c r="E3500" t="s">
        <v>129</v>
      </c>
      <c r="F3500">
        <v>3</v>
      </c>
      <c r="G3500">
        <v>0.05</v>
      </c>
      <c r="H3500">
        <v>156750</v>
      </c>
      <c r="I3500">
        <v>-67614.33</v>
      </c>
      <c r="J3500" t="s">
        <v>39</v>
      </c>
      <c r="K3500" t="s">
        <v>434</v>
      </c>
      <c r="L3500">
        <v>52250</v>
      </c>
      <c r="M3500">
        <v>-43.135138755980861</v>
      </c>
      <c r="N3500" t="s">
        <v>81</v>
      </c>
      <c r="O3500" t="s">
        <v>1800</v>
      </c>
      <c r="P3500" t="s">
        <v>73</v>
      </c>
      <c r="Q3500" t="s">
        <v>30</v>
      </c>
      <c r="R3500" t="s">
        <v>98</v>
      </c>
      <c r="S3500" t="s">
        <v>54</v>
      </c>
      <c r="T3500" t="s">
        <v>1801</v>
      </c>
      <c r="U3500" t="s">
        <v>100</v>
      </c>
      <c r="V3500">
        <v>-22538.11</v>
      </c>
    </row>
    <row r="3501" spans="1:22" x14ac:dyDescent="0.3">
      <c r="A3501" t="s">
        <v>4977</v>
      </c>
      <c r="B3501" s="2">
        <v>46091</v>
      </c>
      <c r="C3501" t="s">
        <v>102</v>
      </c>
      <c r="D3501" t="s">
        <v>49</v>
      </c>
      <c r="E3501" t="s">
        <v>58</v>
      </c>
      <c r="F3501">
        <v>5</v>
      </c>
      <c r="G3501">
        <v>0.2</v>
      </c>
      <c r="H3501">
        <v>60000</v>
      </c>
      <c r="I3501">
        <v>9165.89</v>
      </c>
      <c r="J3501" t="s">
        <v>26</v>
      </c>
      <c r="K3501" t="s">
        <v>40</v>
      </c>
      <c r="L3501">
        <v>12000</v>
      </c>
      <c r="M3501">
        <v>15.27648333333333</v>
      </c>
      <c r="N3501" t="s">
        <v>8</v>
      </c>
      <c r="O3501" t="s">
        <v>103</v>
      </c>
      <c r="P3501" t="s">
        <v>29</v>
      </c>
      <c r="Q3501" t="s">
        <v>30</v>
      </c>
      <c r="R3501" t="s">
        <v>98</v>
      </c>
      <c r="S3501" t="s">
        <v>54</v>
      </c>
      <c r="T3501" t="s">
        <v>104</v>
      </c>
      <c r="U3501" t="s">
        <v>105</v>
      </c>
      <c r="V3501">
        <v>1833.1780000000001</v>
      </c>
    </row>
    <row r="3502" spans="1:22" x14ac:dyDescent="0.3">
      <c r="A3502" t="s">
        <v>4978</v>
      </c>
      <c r="B3502" s="2">
        <v>46017</v>
      </c>
      <c r="C3502" t="s">
        <v>863</v>
      </c>
      <c r="D3502" t="s">
        <v>70</v>
      </c>
      <c r="E3502" t="s">
        <v>165</v>
      </c>
      <c r="F3502">
        <v>2</v>
      </c>
      <c r="G3502">
        <v>0.05</v>
      </c>
      <c r="H3502">
        <v>4750</v>
      </c>
      <c r="I3502">
        <v>1442.5</v>
      </c>
      <c r="J3502" t="s">
        <v>26</v>
      </c>
      <c r="K3502" t="s">
        <v>40</v>
      </c>
      <c r="L3502">
        <v>2375</v>
      </c>
      <c r="M3502">
        <v>30.368421052631579</v>
      </c>
      <c r="N3502" t="s">
        <v>8</v>
      </c>
      <c r="O3502" t="s">
        <v>187</v>
      </c>
      <c r="P3502" t="s">
        <v>73</v>
      </c>
      <c r="Q3502" t="s">
        <v>30</v>
      </c>
      <c r="R3502" t="s">
        <v>53</v>
      </c>
      <c r="S3502" t="s">
        <v>54</v>
      </c>
      <c r="T3502" t="s">
        <v>864</v>
      </c>
      <c r="U3502" t="s">
        <v>34</v>
      </c>
      <c r="V3502">
        <v>721.25</v>
      </c>
    </row>
    <row r="3503" spans="1:22" x14ac:dyDescent="0.3">
      <c r="A3503" t="s">
        <v>4979</v>
      </c>
      <c r="B3503" s="2">
        <v>46217</v>
      </c>
      <c r="C3503" t="s">
        <v>250</v>
      </c>
      <c r="D3503" t="s">
        <v>49</v>
      </c>
      <c r="E3503" t="s">
        <v>58</v>
      </c>
      <c r="F3503">
        <v>4</v>
      </c>
      <c r="G3503">
        <v>0.15</v>
      </c>
      <c r="H3503">
        <v>51000</v>
      </c>
      <c r="I3503">
        <v>9506.43</v>
      </c>
      <c r="J3503" t="s">
        <v>65</v>
      </c>
      <c r="K3503" t="s">
        <v>40</v>
      </c>
      <c r="L3503">
        <v>12750</v>
      </c>
      <c r="M3503">
        <v>18.640058823529412</v>
      </c>
      <c r="N3503" t="s">
        <v>8</v>
      </c>
      <c r="O3503" t="s">
        <v>251</v>
      </c>
      <c r="P3503" t="s">
        <v>29</v>
      </c>
      <c r="Q3503" t="s">
        <v>74</v>
      </c>
      <c r="R3503" t="s">
        <v>115</v>
      </c>
      <c r="S3503" t="s">
        <v>115</v>
      </c>
      <c r="T3503" t="s">
        <v>252</v>
      </c>
      <c r="U3503" t="s">
        <v>34</v>
      </c>
      <c r="V3503">
        <v>2376.6075000000001</v>
      </c>
    </row>
    <row r="3504" spans="1:22" x14ac:dyDescent="0.3">
      <c r="A3504" t="s">
        <v>4980</v>
      </c>
      <c r="B3504" s="2">
        <v>46126</v>
      </c>
      <c r="C3504" t="s">
        <v>2500</v>
      </c>
      <c r="D3504" t="s">
        <v>49</v>
      </c>
      <c r="E3504" t="s">
        <v>119</v>
      </c>
      <c r="F3504">
        <v>1</v>
      </c>
      <c r="G3504">
        <v>0</v>
      </c>
      <c r="H3504">
        <v>9000</v>
      </c>
      <c r="I3504">
        <v>2300</v>
      </c>
      <c r="J3504" t="s">
        <v>51</v>
      </c>
      <c r="K3504" t="s">
        <v>40</v>
      </c>
      <c r="L3504">
        <v>9000</v>
      </c>
      <c r="M3504">
        <v>25.55555555555555</v>
      </c>
      <c r="N3504" t="s">
        <v>8</v>
      </c>
      <c r="O3504" t="s">
        <v>1169</v>
      </c>
      <c r="P3504" t="s">
        <v>29</v>
      </c>
      <c r="Q3504" t="s">
        <v>131</v>
      </c>
      <c r="R3504" t="s">
        <v>289</v>
      </c>
      <c r="S3504" t="s">
        <v>290</v>
      </c>
      <c r="T3504" t="s">
        <v>2501</v>
      </c>
      <c r="U3504" t="s">
        <v>105</v>
      </c>
      <c r="V3504">
        <v>2300</v>
      </c>
    </row>
    <row r="3505" spans="1:22" x14ac:dyDescent="0.3">
      <c r="A3505" t="s">
        <v>4981</v>
      </c>
      <c r="B3505" s="2">
        <v>46163</v>
      </c>
      <c r="C3505" t="s">
        <v>1014</v>
      </c>
      <c r="D3505" t="s">
        <v>24</v>
      </c>
      <c r="E3505" t="s">
        <v>242</v>
      </c>
      <c r="F3505">
        <v>1</v>
      </c>
      <c r="G3505">
        <v>0.1</v>
      </c>
      <c r="H3505">
        <v>405</v>
      </c>
      <c r="I3505">
        <v>73.59</v>
      </c>
      <c r="J3505" t="s">
        <v>39</v>
      </c>
      <c r="K3505" t="s">
        <v>40</v>
      </c>
      <c r="L3505">
        <v>405</v>
      </c>
      <c r="M3505">
        <v>18.170370370370371</v>
      </c>
      <c r="N3505" t="s">
        <v>8</v>
      </c>
      <c r="O3505" t="s">
        <v>530</v>
      </c>
      <c r="P3505" t="s">
        <v>73</v>
      </c>
      <c r="Q3505" t="s">
        <v>42</v>
      </c>
      <c r="R3505" t="s">
        <v>121</v>
      </c>
      <c r="S3505" t="s">
        <v>44</v>
      </c>
      <c r="T3505" t="s">
        <v>1015</v>
      </c>
      <c r="U3505" t="s">
        <v>34</v>
      </c>
      <c r="V3505">
        <v>73.59</v>
      </c>
    </row>
    <row r="3506" spans="1:22" x14ac:dyDescent="0.3">
      <c r="A3506" t="s">
        <v>4982</v>
      </c>
      <c r="B3506" s="2">
        <v>45946</v>
      </c>
      <c r="C3506" t="s">
        <v>174</v>
      </c>
      <c r="D3506" t="s">
        <v>70</v>
      </c>
      <c r="E3506" t="s">
        <v>165</v>
      </c>
      <c r="F3506">
        <v>3</v>
      </c>
      <c r="G3506">
        <v>0.05</v>
      </c>
      <c r="H3506">
        <v>7125</v>
      </c>
      <c r="I3506">
        <v>2174.9899999999998</v>
      </c>
      <c r="J3506" t="s">
        <v>65</v>
      </c>
      <c r="K3506" t="s">
        <v>40</v>
      </c>
      <c r="L3506">
        <v>2375</v>
      </c>
      <c r="M3506">
        <v>30.526175438596489</v>
      </c>
      <c r="N3506" t="s">
        <v>8</v>
      </c>
      <c r="O3506" t="s">
        <v>175</v>
      </c>
      <c r="P3506" t="s">
        <v>29</v>
      </c>
      <c r="Q3506" t="s">
        <v>30</v>
      </c>
      <c r="R3506" t="s">
        <v>53</v>
      </c>
      <c r="S3506" t="s">
        <v>54</v>
      </c>
      <c r="T3506" t="s">
        <v>176</v>
      </c>
      <c r="U3506" t="s">
        <v>34</v>
      </c>
      <c r="V3506">
        <v>724.99666666666656</v>
      </c>
    </row>
    <row r="3507" spans="1:22" x14ac:dyDescent="0.3">
      <c r="A3507" t="s">
        <v>4983</v>
      </c>
      <c r="B3507" s="2">
        <v>45971</v>
      </c>
      <c r="C3507" t="s">
        <v>736</v>
      </c>
      <c r="D3507" t="s">
        <v>70</v>
      </c>
      <c r="E3507" t="s">
        <v>71</v>
      </c>
      <c r="F3507">
        <v>2</v>
      </c>
      <c r="G3507">
        <v>0.1</v>
      </c>
      <c r="H3507">
        <v>32400</v>
      </c>
      <c r="I3507">
        <v>-16331.98</v>
      </c>
      <c r="J3507" t="s">
        <v>26</v>
      </c>
      <c r="K3507" t="s">
        <v>434</v>
      </c>
      <c r="L3507">
        <v>16200</v>
      </c>
      <c r="M3507">
        <v>-50.407345679012352</v>
      </c>
      <c r="N3507" t="s">
        <v>81</v>
      </c>
      <c r="O3507" t="s">
        <v>648</v>
      </c>
      <c r="P3507" t="s">
        <v>29</v>
      </c>
      <c r="Q3507" t="s">
        <v>30</v>
      </c>
      <c r="R3507" t="s">
        <v>60</v>
      </c>
      <c r="S3507" t="s">
        <v>61</v>
      </c>
      <c r="T3507" t="s">
        <v>311</v>
      </c>
      <c r="U3507" t="s">
        <v>34</v>
      </c>
      <c r="V3507">
        <v>-8165.99</v>
      </c>
    </row>
    <row r="3508" spans="1:22" x14ac:dyDescent="0.3">
      <c r="A3508" t="s">
        <v>4984</v>
      </c>
      <c r="B3508" s="2">
        <v>45853</v>
      </c>
      <c r="C3508" t="s">
        <v>1136</v>
      </c>
      <c r="D3508" t="s">
        <v>49</v>
      </c>
      <c r="E3508" t="s">
        <v>119</v>
      </c>
      <c r="F3508">
        <v>3</v>
      </c>
      <c r="G3508">
        <v>0.1</v>
      </c>
      <c r="H3508">
        <v>24300</v>
      </c>
      <c r="I3508">
        <v>5607.19</v>
      </c>
      <c r="J3508" t="s">
        <v>26</v>
      </c>
      <c r="K3508" t="s">
        <v>40</v>
      </c>
      <c r="L3508">
        <v>8100</v>
      </c>
      <c r="M3508">
        <v>23.074855967078189</v>
      </c>
      <c r="N3508" t="s">
        <v>8</v>
      </c>
      <c r="O3508" t="s">
        <v>1137</v>
      </c>
      <c r="P3508" t="s">
        <v>73</v>
      </c>
      <c r="Q3508" t="s">
        <v>74</v>
      </c>
      <c r="R3508" t="s">
        <v>75</v>
      </c>
      <c r="S3508" t="s">
        <v>75</v>
      </c>
      <c r="T3508" t="s">
        <v>1138</v>
      </c>
      <c r="U3508" t="s">
        <v>46</v>
      </c>
      <c r="V3508">
        <v>1869.063333333333</v>
      </c>
    </row>
    <row r="3509" spans="1:22" x14ac:dyDescent="0.3">
      <c r="A3509" t="s">
        <v>4985</v>
      </c>
      <c r="B3509" s="2">
        <v>46203</v>
      </c>
      <c r="C3509" t="s">
        <v>878</v>
      </c>
      <c r="D3509" t="s">
        <v>24</v>
      </c>
      <c r="E3509" t="s">
        <v>25</v>
      </c>
      <c r="F3509">
        <v>3</v>
      </c>
      <c r="G3509">
        <v>0.2</v>
      </c>
      <c r="H3509">
        <v>33600</v>
      </c>
      <c r="I3509">
        <v>2272.5100000000002</v>
      </c>
      <c r="J3509" t="s">
        <v>39</v>
      </c>
      <c r="K3509" t="s">
        <v>40</v>
      </c>
      <c r="L3509">
        <v>11200</v>
      </c>
      <c r="M3509">
        <v>6.7634226190476197</v>
      </c>
      <c r="N3509" t="s">
        <v>8</v>
      </c>
      <c r="O3509" t="s">
        <v>879</v>
      </c>
      <c r="P3509" t="s">
        <v>83</v>
      </c>
      <c r="Q3509" t="s">
        <v>30</v>
      </c>
      <c r="R3509" t="s">
        <v>98</v>
      </c>
      <c r="S3509" t="s">
        <v>54</v>
      </c>
      <c r="T3509" t="s">
        <v>880</v>
      </c>
      <c r="U3509" t="s">
        <v>46</v>
      </c>
      <c r="V3509">
        <v>757.50333333333344</v>
      </c>
    </row>
    <row r="3510" spans="1:22" x14ac:dyDescent="0.3">
      <c r="A3510" t="s">
        <v>4986</v>
      </c>
      <c r="B3510" s="2">
        <v>46196</v>
      </c>
      <c r="C3510" t="s">
        <v>1872</v>
      </c>
      <c r="D3510" t="s">
        <v>70</v>
      </c>
      <c r="E3510" t="s">
        <v>108</v>
      </c>
      <c r="F3510">
        <v>3</v>
      </c>
      <c r="G3510">
        <v>0.1</v>
      </c>
      <c r="H3510">
        <v>12150</v>
      </c>
      <c r="I3510">
        <v>3600.57</v>
      </c>
      <c r="J3510" t="s">
        <v>51</v>
      </c>
      <c r="K3510" t="s">
        <v>40</v>
      </c>
      <c r="L3510">
        <v>4050</v>
      </c>
      <c r="M3510">
        <v>29.63432098765432</v>
      </c>
      <c r="N3510" t="s">
        <v>8</v>
      </c>
      <c r="O3510" t="s">
        <v>386</v>
      </c>
      <c r="P3510" t="s">
        <v>73</v>
      </c>
      <c r="Q3510" t="s">
        <v>42</v>
      </c>
      <c r="R3510" t="s">
        <v>110</v>
      </c>
      <c r="S3510" t="s">
        <v>111</v>
      </c>
      <c r="T3510" t="s">
        <v>852</v>
      </c>
      <c r="U3510" t="s">
        <v>34</v>
      </c>
      <c r="V3510">
        <v>1200.19</v>
      </c>
    </row>
    <row r="3511" spans="1:22" x14ac:dyDescent="0.3">
      <c r="A3511" t="s">
        <v>4987</v>
      </c>
      <c r="B3511" s="2">
        <v>46039</v>
      </c>
      <c r="C3511" t="s">
        <v>287</v>
      </c>
      <c r="D3511" t="s">
        <v>24</v>
      </c>
      <c r="E3511" t="s">
        <v>242</v>
      </c>
      <c r="F3511">
        <v>1</v>
      </c>
      <c r="G3511">
        <v>0.1</v>
      </c>
      <c r="H3511">
        <v>405</v>
      </c>
      <c r="I3511">
        <v>86.93</v>
      </c>
      <c r="J3511" t="s">
        <v>39</v>
      </c>
      <c r="K3511" t="s">
        <v>27</v>
      </c>
      <c r="L3511">
        <v>405</v>
      </c>
      <c r="M3511">
        <v>21.464197530864201</v>
      </c>
      <c r="N3511" t="s">
        <v>8</v>
      </c>
      <c r="O3511" t="s">
        <v>288</v>
      </c>
      <c r="P3511" t="s">
        <v>83</v>
      </c>
      <c r="Q3511" t="s">
        <v>131</v>
      </c>
      <c r="R3511" t="s">
        <v>289</v>
      </c>
      <c r="S3511" t="s">
        <v>290</v>
      </c>
      <c r="T3511" t="s">
        <v>291</v>
      </c>
      <c r="U3511" t="s">
        <v>105</v>
      </c>
      <c r="V3511">
        <v>86.93</v>
      </c>
    </row>
    <row r="3512" spans="1:22" x14ac:dyDescent="0.3">
      <c r="A3512" t="s">
        <v>4988</v>
      </c>
      <c r="B3512" s="2">
        <v>46190</v>
      </c>
      <c r="C3512" t="s">
        <v>1024</v>
      </c>
      <c r="D3512" t="s">
        <v>70</v>
      </c>
      <c r="E3512" t="s">
        <v>108</v>
      </c>
      <c r="F3512">
        <v>1</v>
      </c>
      <c r="G3512">
        <v>0</v>
      </c>
      <c r="H3512">
        <v>4500</v>
      </c>
      <c r="I3512">
        <v>-1930.23</v>
      </c>
      <c r="J3512" t="s">
        <v>51</v>
      </c>
      <c r="K3512" t="s">
        <v>80</v>
      </c>
      <c r="L3512">
        <v>4500</v>
      </c>
      <c r="M3512">
        <v>-42.893999999999998</v>
      </c>
      <c r="N3512" t="s">
        <v>81</v>
      </c>
      <c r="O3512" t="s">
        <v>1025</v>
      </c>
      <c r="P3512" t="s">
        <v>29</v>
      </c>
      <c r="Q3512" t="s">
        <v>74</v>
      </c>
      <c r="R3512" t="s">
        <v>75</v>
      </c>
      <c r="S3512" t="s">
        <v>75</v>
      </c>
      <c r="T3512" t="s">
        <v>1026</v>
      </c>
      <c r="U3512" t="s">
        <v>46</v>
      </c>
      <c r="V3512">
        <v>-1930.23</v>
      </c>
    </row>
    <row r="3513" spans="1:22" x14ac:dyDescent="0.3">
      <c r="A3513" t="s">
        <v>4989</v>
      </c>
      <c r="B3513" s="2">
        <v>45888</v>
      </c>
      <c r="C3513" t="s">
        <v>1414</v>
      </c>
      <c r="D3513" t="s">
        <v>37</v>
      </c>
      <c r="E3513" t="s">
        <v>170</v>
      </c>
      <c r="F3513">
        <v>5</v>
      </c>
      <c r="G3513">
        <v>0</v>
      </c>
      <c r="H3513">
        <v>7000</v>
      </c>
      <c r="I3513">
        <v>715.23</v>
      </c>
      <c r="J3513" t="s">
        <v>39</v>
      </c>
      <c r="K3513" t="s">
        <v>434</v>
      </c>
      <c r="L3513">
        <v>1400</v>
      </c>
      <c r="M3513">
        <v>10.21757142857143</v>
      </c>
      <c r="N3513" t="s">
        <v>8</v>
      </c>
      <c r="O3513" t="s">
        <v>166</v>
      </c>
      <c r="P3513" t="s">
        <v>29</v>
      </c>
      <c r="Q3513" t="s">
        <v>30</v>
      </c>
      <c r="R3513" t="s">
        <v>31</v>
      </c>
      <c r="S3513" t="s">
        <v>32</v>
      </c>
      <c r="T3513" t="s">
        <v>1415</v>
      </c>
      <c r="U3513" t="s">
        <v>46</v>
      </c>
      <c r="V3513">
        <v>143.04599999999999</v>
      </c>
    </row>
    <row r="3514" spans="1:22" x14ac:dyDescent="0.3">
      <c r="A3514" t="s">
        <v>4990</v>
      </c>
      <c r="B3514" s="2">
        <v>46210</v>
      </c>
      <c r="C3514" t="s">
        <v>2459</v>
      </c>
      <c r="D3514" t="s">
        <v>49</v>
      </c>
      <c r="E3514" t="s">
        <v>58</v>
      </c>
      <c r="F3514">
        <v>1</v>
      </c>
      <c r="G3514">
        <v>0.15</v>
      </c>
      <c r="H3514">
        <v>12750</v>
      </c>
      <c r="I3514">
        <v>1712.44</v>
      </c>
      <c r="J3514" t="s">
        <v>65</v>
      </c>
      <c r="K3514" t="s">
        <v>40</v>
      </c>
      <c r="L3514">
        <v>12750</v>
      </c>
      <c r="M3514">
        <v>13.430901960784309</v>
      </c>
      <c r="N3514" t="s">
        <v>8</v>
      </c>
      <c r="O3514" t="s">
        <v>378</v>
      </c>
      <c r="P3514" t="s">
        <v>83</v>
      </c>
      <c r="Q3514" t="s">
        <v>74</v>
      </c>
      <c r="R3514" t="s">
        <v>115</v>
      </c>
      <c r="S3514" t="s">
        <v>115</v>
      </c>
      <c r="T3514" t="s">
        <v>2460</v>
      </c>
      <c r="U3514" t="s">
        <v>105</v>
      </c>
      <c r="V3514">
        <v>1712.44</v>
      </c>
    </row>
    <row r="3515" spans="1:22" x14ac:dyDescent="0.3">
      <c r="A3515" t="s">
        <v>4991</v>
      </c>
      <c r="B3515" s="2">
        <v>46137</v>
      </c>
      <c r="C3515" t="s">
        <v>2327</v>
      </c>
      <c r="D3515" t="s">
        <v>70</v>
      </c>
      <c r="E3515" t="s">
        <v>129</v>
      </c>
      <c r="F3515">
        <v>10</v>
      </c>
      <c r="G3515">
        <v>0</v>
      </c>
      <c r="H3515">
        <v>550000</v>
      </c>
      <c r="I3515">
        <v>90000</v>
      </c>
      <c r="J3515" t="s">
        <v>39</v>
      </c>
      <c r="K3515" t="s">
        <v>40</v>
      </c>
      <c r="L3515">
        <v>55000</v>
      </c>
      <c r="M3515">
        <v>16.36363636363636</v>
      </c>
      <c r="N3515" t="s">
        <v>8</v>
      </c>
      <c r="O3515" t="s">
        <v>825</v>
      </c>
      <c r="P3515" t="s">
        <v>73</v>
      </c>
      <c r="Q3515" t="s">
        <v>30</v>
      </c>
      <c r="R3515" t="s">
        <v>31</v>
      </c>
      <c r="S3515" t="s">
        <v>32</v>
      </c>
      <c r="T3515" t="s">
        <v>55</v>
      </c>
      <c r="U3515" t="s">
        <v>46</v>
      </c>
      <c r="V3515">
        <v>9000</v>
      </c>
    </row>
    <row r="3516" spans="1:22" x14ac:dyDescent="0.3">
      <c r="A3516" t="s">
        <v>4992</v>
      </c>
      <c r="B3516" s="2">
        <v>46205</v>
      </c>
      <c r="C3516" t="s">
        <v>1818</v>
      </c>
      <c r="D3516" t="s">
        <v>24</v>
      </c>
      <c r="E3516" t="s">
        <v>25</v>
      </c>
      <c r="F3516">
        <v>4</v>
      </c>
      <c r="G3516">
        <v>0.1</v>
      </c>
      <c r="H3516">
        <v>50400</v>
      </c>
      <c r="I3516">
        <v>7973.28</v>
      </c>
      <c r="J3516" t="s">
        <v>51</v>
      </c>
      <c r="K3516" t="s">
        <v>40</v>
      </c>
      <c r="L3516">
        <v>12600</v>
      </c>
      <c r="M3516">
        <v>15.82</v>
      </c>
      <c r="N3516" t="s">
        <v>8</v>
      </c>
      <c r="O3516" t="s">
        <v>243</v>
      </c>
      <c r="P3516" t="s">
        <v>29</v>
      </c>
      <c r="Q3516" t="s">
        <v>131</v>
      </c>
      <c r="R3516" t="s">
        <v>449</v>
      </c>
      <c r="S3516" t="s">
        <v>450</v>
      </c>
      <c r="T3516" t="s">
        <v>1819</v>
      </c>
      <c r="U3516" t="s">
        <v>100</v>
      </c>
      <c r="V3516">
        <v>1993.32</v>
      </c>
    </row>
    <row r="3517" spans="1:22" x14ac:dyDescent="0.3">
      <c r="A3517" t="s">
        <v>4993</v>
      </c>
      <c r="B3517" s="2">
        <v>46147</v>
      </c>
      <c r="C3517" t="s">
        <v>2050</v>
      </c>
      <c r="D3517" t="s">
        <v>70</v>
      </c>
      <c r="E3517" t="s">
        <v>129</v>
      </c>
      <c r="F3517">
        <v>2</v>
      </c>
      <c r="G3517">
        <v>0.1</v>
      </c>
      <c r="H3517">
        <v>99000</v>
      </c>
      <c r="I3517">
        <v>10131.950000000001</v>
      </c>
      <c r="J3517" t="s">
        <v>26</v>
      </c>
      <c r="K3517" t="s">
        <v>40</v>
      </c>
      <c r="L3517">
        <v>49500</v>
      </c>
      <c r="M3517">
        <v>10.234292929292931</v>
      </c>
      <c r="N3517" t="s">
        <v>8</v>
      </c>
      <c r="O3517" t="s">
        <v>686</v>
      </c>
      <c r="P3517" t="s">
        <v>29</v>
      </c>
      <c r="Q3517" t="s">
        <v>131</v>
      </c>
      <c r="R3517" t="s">
        <v>132</v>
      </c>
      <c r="S3517" t="s">
        <v>133</v>
      </c>
      <c r="T3517" t="s">
        <v>1490</v>
      </c>
      <c r="U3517" t="s">
        <v>46</v>
      </c>
      <c r="V3517">
        <v>5065.9750000000004</v>
      </c>
    </row>
    <row r="3518" spans="1:22" x14ac:dyDescent="0.3">
      <c r="A3518" t="s">
        <v>4994</v>
      </c>
      <c r="B3518" s="2">
        <v>46079</v>
      </c>
      <c r="C3518" t="s">
        <v>625</v>
      </c>
      <c r="D3518" t="s">
        <v>70</v>
      </c>
      <c r="E3518" t="s">
        <v>71</v>
      </c>
      <c r="F3518">
        <v>4</v>
      </c>
      <c r="G3518">
        <v>0.2</v>
      </c>
      <c r="H3518">
        <v>57600</v>
      </c>
      <c r="I3518">
        <v>4338.16</v>
      </c>
      <c r="J3518" t="s">
        <v>26</v>
      </c>
      <c r="K3518" t="s">
        <v>40</v>
      </c>
      <c r="L3518">
        <v>14400</v>
      </c>
      <c r="M3518">
        <v>7.5315277777777769</v>
      </c>
      <c r="N3518" t="s">
        <v>8</v>
      </c>
      <c r="O3518" t="s">
        <v>626</v>
      </c>
      <c r="P3518" t="s">
        <v>29</v>
      </c>
      <c r="Q3518" t="s">
        <v>30</v>
      </c>
      <c r="R3518" t="s">
        <v>53</v>
      </c>
      <c r="S3518" t="s">
        <v>54</v>
      </c>
      <c r="T3518" t="s">
        <v>627</v>
      </c>
      <c r="U3518" t="s">
        <v>105</v>
      </c>
      <c r="V3518">
        <v>1084.54</v>
      </c>
    </row>
    <row r="3519" spans="1:22" x14ac:dyDescent="0.3">
      <c r="A3519" t="s">
        <v>4995</v>
      </c>
      <c r="B3519" s="2">
        <v>46053</v>
      </c>
      <c r="C3519" t="s">
        <v>617</v>
      </c>
      <c r="D3519" t="s">
        <v>70</v>
      </c>
      <c r="E3519" t="s">
        <v>165</v>
      </c>
      <c r="F3519">
        <v>5</v>
      </c>
      <c r="G3519">
        <v>0.1</v>
      </c>
      <c r="H3519">
        <v>11250</v>
      </c>
      <c r="I3519">
        <v>3243.21</v>
      </c>
      <c r="J3519" t="s">
        <v>39</v>
      </c>
      <c r="K3519" t="s">
        <v>40</v>
      </c>
      <c r="L3519">
        <v>2250</v>
      </c>
      <c r="M3519">
        <v>28.828533333333329</v>
      </c>
      <c r="N3519" t="s">
        <v>8</v>
      </c>
      <c r="O3519" t="s">
        <v>618</v>
      </c>
      <c r="P3519" t="s">
        <v>83</v>
      </c>
      <c r="Q3519" t="s">
        <v>30</v>
      </c>
      <c r="R3519" t="s">
        <v>98</v>
      </c>
      <c r="S3519" t="s">
        <v>54</v>
      </c>
      <c r="T3519" t="s">
        <v>619</v>
      </c>
      <c r="U3519" t="s">
        <v>100</v>
      </c>
      <c r="V3519">
        <v>648.64200000000005</v>
      </c>
    </row>
    <row r="3520" spans="1:22" x14ac:dyDescent="0.3">
      <c r="A3520" t="s">
        <v>4996</v>
      </c>
      <c r="B3520" s="2">
        <v>46243</v>
      </c>
      <c r="C3520" t="s">
        <v>625</v>
      </c>
      <c r="D3520" t="s">
        <v>24</v>
      </c>
      <c r="E3520" t="s">
        <v>92</v>
      </c>
      <c r="F3520">
        <v>6</v>
      </c>
      <c r="G3520">
        <v>0</v>
      </c>
      <c r="H3520">
        <v>5400</v>
      </c>
      <c r="I3520">
        <v>1680</v>
      </c>
      <c r="J3520" t="s">
        <v>65</v>
      </c>
      <c r="K3520" t="s">
        <v>40</v>
      </c>
      <c r="L3520">
        <v>900</v>
      </c>
      <c r="M3520">
        <v>31.111111111111111</v>
      </c>
      <c r="N3520" t="s">
        <v>8</v>
      </c>
      <c r="O3520" t="s">
        <v>626</v>
      </c>
      <c r="P3520" t="s">
        <v>29</v>
      </c>
      <c r="Q3520" t="s">
        <v>30</v>
      </c>
      <c r="R3520" t="s">
        <v>53</v>
      </c>
      <c r="S3520" t="s">
        <v>54</v>
      </c>
      <c r="T3520" t="s">
        <v>627</v>
      </c>
      <c r="U3520" t="s">
        <v>105</v>
      </c>
      <c r="V3520">
        <v>280</v>
      </c>
    </row>
    <row r="3521" spans="1:22" x14ac:dyDescent="0.3">
      <c r="A3521" t="s">
        <v>4997</v>
      </c>
      <c r="B3521" s="2">
        <v>46082</v>
      </c>
      <c r="C3521" t="s">
        <v>900</v>
      </c>
      <c r="D3521" t="s">
        <v>70</v>
      </c>
      <c r="E3521" t="s">
        <v>108</v>
      </c>
      <c r="F3521">
        <v>2</v>
      </c>
      <c r="G3521">
        <v>0.15</v>
      </c>
      <c r="H3521">
        <v>7650</v>
      </c>
      <c r="I3521">
        <v>2171.11</v>
      </c>
      <c r="J3521" t="s">
        <v>65</v>
      </c>
      <c r="K3521" t="s">
        <v>40</v>
      </c>
      <c r="L3521">
        <v>3825</v>
      </c>
      <c r="M3521">
        <v>28.38052287581699</v>
      </c>
      <c r="N3521" t="s">
        <v>8</v>
      </c>
      <c r="O3521" t="s">
        <v>901</v>
      </c>
      <c r="P3521" t="s">
        <v>29</v>
      </c>
      <c r="Q3521" t="s">
        <v>30</v>
      </c>
      <c r="R3521" t="s">
        <v>31</v>
      </c>
      <c r="S3521" t="s">
        <v>32</v>
      </c>
      <c r="T3521" t="s">
        <v>902</v>
      </c>
      <c r="U3521" t="s">
        <v>34</v>
      </c>
      <c r="V3521">
        <v>1085.5550000000001</v>
      </c>
    </row>
    <row r="3522" spans="1:22" x14ac:dyDescent="0.3">
      <c r="A3522" t="s">
        <v>4998</v>
      </c>
      <c r="B3522" s="2">
        <v>45989</v>
      </c>
      <c r="C3522" t="s">
        <v>983</v>
      </c>
      <c r="D3522" t="s">
        <v>49</v>
      </c>
      <c r="E3522" t="s">
        <v>79</v>
      </c>
      <c r="F3522">
        <v>3</v>
      </c>
      <c r="G3522">
        <v>0.3</v>
      </c>
      <c r="H3522">
        <v>23100</v>
      </c>
      <c r="I3522">
        <v>1432.72</v>
      </c>
      <c r="J3522" t="s">
        <v>26</v>
      </c>
      <c r="K3522" t="s">
        <v>27</v>
      </c>
      <c r="L3522">
        <v>7700</v>
      </c>
      <c r="M3522">
        <v>6.2022510822510828</v>
      </c>
      <c r="N3522" t="s">
        <v>8</v>
      </c>
      <c r="O3522" t="s">
        <v>984</v>
      </c>
      <c r="P3522" t="s">
        <v>29</v>
      </c>
      <c r="Q3522" t="s">
        <v>30</v>
      </c>
      <c r="R3522" t="s">
        <v>31</v>
      </c>
      <c r="S3522" t="s">
        <v>32</v>
      </c>
      <c r="T3522" t="s">
        <v>985</v>
      </c>
      <c r="U3522" t="s">
        <v>46</v>
      </c>
      <c r="V3522">
        <v>477.57333333333332</v>
      </c>
    </row>
    <row r="3523" spans="1:22" x14ac:dyDescent="0.3">
      <c r="A3523" t="s">
        <v>4999</v>
      </c>
      <c r="B3523" s="2">
        <v>45861</v>
      </c>
      <c r="C3523" t="s">
        <v>772</v>
      </c>
      <c r="D3523" t="s">
        <v>70</v>
      </c>
      <c r="E3523" t="s">
        <v>165</v>
      </c>
      <c r="F3523">
        <v>5</v>
      </c>
      <c r="G3523">
        <v>0</v>
      </c>
      <c r="H3523">
        <v>12500</v>
      </c>
      <c r="I3523">
        <v>-2682.48</v>
      </c>
      <c r="J3523" t="s">
        <v>51</v>
      </c>
      <c r="K3523" t="s">
        <v>80</v>
      </c>
      <c r="L3523">
        <v>2500</v>
      </c>
      <c r="M3523">
        <v>-21.45984</v>
      </c>
      <c r="N3523" t="s">
        <v>81</v>
      </c>
      <c r="O3523" t="s">
        <v>773</v>
      </c>
      <c r="P3523" t="s">
        <v>29</v>
      </c>
      <c r="Q3523" t="s">
        <v>42</v>
      </c>
      <c r="R3523" t="s">
        <v>121</v>
      </c>
      <c r="S3523" t="s">
        <v>44</v>
      </c>
      <c r="T3523" t="s">
        <v>774</v>
      </c>
      <c r="U3523" t="s">
        <v>34</v>
      </c>
      <c r="V3523">
        <v>-536.49599999999998</v>
      </c>
    </row>
    <row r="3524" spans="1:22" x14ac:dyDescent="0.3">
      <c r="A3524" t="s">
        <v>5000</v>
      </c>
      <c r="B3524" s="2">
        <v>45999</v>
      </c>
      <c r="C3524" t="s">
        <v>2386</v>
      </c>
      <c r="D3524" t="s">
        <v>37</v>
      </c>
      <c r="E3524" t="s">
        <v>170</v>
      </c>
      <c r="F3524">
        <v>4</v>
      </c>
      <c r="G3524">
        <v>0</v>
      </c>
      <c r="H3524">
        <v>5600</v>
      </c>
      <c r="I3524">
        <v>2000</v>
      </c>
      <c r="J3524" t="s">
        <v>26</v>
      </c>
      <c r="K3524" t="s">
        <v>40</v>
      </c>
      <c r="L3524">
        <v>1400</v>
      </c>
      <c r="M3524">
        <v>35.714285714285722</v>
      </c>
      <c r="N3524" t="s">
        <v>8</v>
      </c>
      <c r="O3524" t="s">
        <v>1364</v>
      </c>
      <c r="P3524" t="s">
        <v>29</v>
      </c>
      <c r="Q3524" t="s">
        <v>131</v>
      </c>
      <c r="R3524" t="s">
        <v>289</v>
      </c>
      <c r="S3524" t="s">
        <v>290</v>
      </c>
      <c r="T3524" t="s">
        <v>1203</v>
      </c>
      <c r="U3524" t="s">
        <v>46</v>
      </c>
      <c r="V3524">
        <v>500</v>
      </c>
    </row>
    <row r="3525" spans="1:22" x14ac:dyDescent="0.3">
      <c r="A3525" t="s">
        <v>5001</v>
      </c>
      <c r="B3525" s="2">
        <v>46034</v>
      </c>
      <c r="C3525" t="s">
        <v>136</v>
      </c>
      <c r="D3525" t="s">
        <v>37</v>
      </c>
      <c r="E3525" t="s">
        <v>170</v>
      </c>
      <c r="F3525">
        <v>2</v>
      </c>
      <c r="G3525">
        <v>0.2</v>
      </c>
      <c r="H3525">
        <v>2240</v>
      </c>
      <c r="I3525">
        <v>46.85</v>
      </c>
      <c r="J3525" t="s">
        <v>39</v>
      </c>
      <c r="K3525" t="s">
        <v>80</v>
      </c>
      <c r="L3525">
        <v>1120</v>
      </c>
      <c r="M3525">
        <v>2.0915178571428572</v>
      </c>
      <c r="N3525" t="s">
        <v>8</v>
      </c>
      <c r="O3525" t="s">
        <v>137</v>
      </c>
      <c r="P3525" t="s">
        <v>83</v>
      </c>
      <c r="Q3525" t="s">
        <v>42</v>
      </c>
      <c r="R3525" t="s">
        <v>110</v>
      </c>
      <c r="S3525" t="s">
        <v>111</v>
      </c>
      <c r="T3525" t="s">
        <v>138</v>
      </c>
      <c r="U3525" t="s">
        <v>34</v>
      </c>
      <c r="V3525">
        <v>23.425000000000001</v>
      </c>
    </row>
    <row r="3526" spans="1:22" x14ac:dyDescent="0.3">
      <c r="A3526" t="s">
        <v>5002</v>
      </c>
      <c r="B3526" s="2">
        <v>45884</v>
      </c>
      <c r="C3526" t="s">
        <v>861</v>
      </c>
      <c r="D3526" t="s">
        <v>37</v>
      </c>
      <c r="E3526" t="s">
        <v>190</v>
      </c>
      <c r="F3526">
        <v>6</v>
      </c>
      <c r="G3526">
        <v>0.05</v>
      </c>
      <c r="H3526">
        <v>23940</v>
      </c>
      <c r="I3526">
        <v>6373.14</v>
      </c>
      <c r="J3526" t="s">
        <v>65</v>
      </c>
      <c r="K3526" t="s">
        <v>27</v>
      </c>
      <c r="L3526">
        <v>3990</v>
      </c>
      <c r="M3526">
        <v>26.62130325814536</v>
      </c>
      <c r="N3526" t="s">
        <v>8</v>
      </c>
      <c r="O3526" t="s">
        <v>369</v>
      </c>
      <c r="P3526" t="s">
        <v>29</v>
      </c>
      <c r="Q3526" t="s">
        <v>74</v>
      </c>
      <c r="R3526" t="s">
        <v>237</v>
      </c>
      <c r="S3526" t="s">
        <v>238</v>
      </c>
      <c r="T3526" t="s">
        <v>750</v>
      </c>
      <c r="U3526" t="s">
        <v>105</v>
      </c>
      <c r="V3526">
        <v>1062.19</v>
      </c>
    </row>
    <row r="3527" spans="1:22" x14ac:dyDescent="0.3">
      <c r="A3527" t="s">
        <v>5003</v>
      </c>
      <c r="B3527" s="2">
        <v>46145</v>
      </c>
      <c r="C3527" t="s">
        <v>124</v>
      </c>
      <c r="D3527" t="s">
        <v>24</v>
      </c>
      <c r="E3527" t="s">
        <v>92</v>
      </c>
      <c r="F3527">
        <v>10</v>
      </c>
      <c r="G3527">
        <v>0.1</v>
      </c>
      <c r="H3527">
        <v>8100</v>
      </c>
      <c r="I3527">
        <v>2089.21</v>
      </c>
      <c r="J3527" t="s">
        <v>65</v>
      </c>
      <c r="K3527" t="s">
        <v>40</v>
      </c>
      <c r="L3527">
        <v>810</v>
      </c>
      <c r="M3527">
        <v>25.792716049382719</v>
      </c>
      <c r="N3527" t="s">
        <v>8</v>
      </c>
      <c r="O3527" t="s">
        <v>125</v>
      </c>
      <c r="P3527" t="s">
        <v>83</v>
      </c>
      <c r="Q3527" t="s">
        <v>74</v>
      </c>
      <c r="R3527" t="s">
        <v>115</v>
      </c>
      <c r="S3527" t="s">
        <v>115</v>
      </c>
      <c r="T3527" t="s">
        <v>126</v>
      </c>
      <c r="U3527" t="s">
        <v>46</v>
      </c>
      <c r="V3527">
        <v>208.92099999999999</v>
      </c>
    </row>
    <row r="3528" spans="1:22" x14ac:dyDescent="0.3">
      <c r="A3528" t="s">
        <v>5004</v>
      </c>
      <c r="B3528" s="2">
        <v>45954</v>
      </c>
      <c r="C3528" t="s">
        <v>2116</v>
      </c>
      <c r="D3528" t="s">
        <v>70</v>
      </c>
      <c r="E3528" t="s">
        <v>71</v>
      </c>
      <c r="F3528">
        <v>1</v>
      </c>
      <c r="G3528">
        <v>0.15</v>
      </c>
      <c r="H3528">
        <v>15300</v>
      </c>
      <c r="I3528">
        <v>2181.94</v>
      </c>
      <c r="J3528" t="s">
        <v>39</v>
      </c>
      <c r="K3528" t="s">
        <v>40</v>
      </c>
      <c r="L3528">
        <v>15300</v>
      </c>
      <c r="M3528">
        <v>14.26104575163399</v>
      </c>
      <c r="N3528" t="s">
        <v>8</v>
      </c>
      <c r="O3528" t="s">
        <v>1963</v>
      </c>
      <c r="P3528" t="s">
        <v>73</v>
      </c>
      <c r="Q3528" t="s">
        <v>42</v>
      </c>
      <c r="R3528" t="s">
        <v>121</v>
      </c>
      <c r="S3528" t="s">
        <v>44</v>
      </c>
      <c r="T3528" t="s">
        <v>2117</v>
      </c>
      <c r="U3528" t="s">
        <v>34</v>
      </c>
      <c r="V3528">
        <v>2181.94</v>
      </c>
    </row>
    <row r="3529" spans="1:22" x14ac:dyDescent="0.3">
      <c r="A3529" t="s">
        <v>5005</v>
      </c>
      <c r="B3529" s="2">
        <v>46077</v>
      </c>
      <c r="C3529" t="s">
        <v>2014</v>
      </c>
      <c r="D3529" t="s">
        <v>70</v>
      </c>
      <c r="E3529" t="s">
        <v>165</v>
      </c>
      <c r="F3529">
        <v>3</v>
      </c>
      <c r="G3529">
        <v>0.05</v>
      </c>
      <c r="H3529">
        <v>7125</v>
      </c>
      <c r="I3529">
        <v>2230.15</v>
      </c>
      <c r="J3529" t="s">
        <v>51</v>
      </c>
      <c r="K3529" t="s">
        <v>40</v>
      </c>
      <c r="L3529">
        <v>2375</v>
      </c>
      <c r="M3529">
        <v>31.300350877192979</v>
      </c>
      <c r="N3529" t="s">
        <v>8</v>
      </c>
      <c r="O3529" t="s">
        <v>911</v>
      </c>
      <c r="P3529" t="s">
        <v>29</v>
      </c>
      <c r="Q3529" t="s">
        <v>42</v>
      </c>
      <c r="R3529" t="s">
        <v>214</v>
      </c>
      <c r="S3529" t="s">
        <v>111</v>
      </c>
      <c r="T3529" t="s">
        <v>2015</v>
      </c>
      <c r="U3529" t="s">
        <v>105</v>
      </c>
      <c r="V3529">
        <v>743.38333333333333</v>
      </c>
    </row>
    <row r="3530" spans="1:22" x14ac:dyDescent="0.3">
      <c r="A3530" t="s">
        <v>5006</v>
      </c>
      <c r="B3530" s="2">
        <v>46037</v>
      </c>
      <c r="C3530" t="s">
        <v>1417</v>
      </c>
      <c r="D3530" t="s">
        <v>49</v>
      </c>
      <c r="E3530" t="s">
        <v>119</v>
      </c>
      <c r="F3530">
        <v>2</v>
      </c>
      <c r="G3530">
        <v>0.15</v>
      </c>
      <c r="H3530">
        <v>15300</v>
      </c>
      <c r="I3530">
        <v>2481.37</v>
      </c>
      <c r="J3530" t="s">
        <v>26</v>
      </c>
      <c r="K3530" t="s">
        <v>40</v>
      </c>
      <c r="L3530">
        <v>7650</v>
      </c>
      <c r="M3530">
        <v>16.218104575163402</v>
      </c>
      <c r="N3530" t="s">
        <v>8</v>
      </c>
      <c r="O3530" t="s">
        <v>448</v>
      </c>
      <c r="P3530" t="s">
        <v>83</v>
      </c>
      <c r="Q3530" t="s">
        <v>131</v>
      </c>
      <c r="R3530" t="s">
        <v>449</v>
      </c>
      <c r="S3530" t="s">
        <v>450</v>
      </c>
      <c r="T3530" t="s">
        <v>1418</v>
      </c>
      <c r="U3530" t="s">
        <v>34</v>
      </c>
      <c r="V3530">
        <v>1240.6849999999999</v>
      </c>
    </row>
    <row r="3531" spans="1:22" x14ac:dyDescent="0.3">
      <c r="A3531" t="s">
        <v>5007</v>
      </c>
      <c r="B3531" s="2">
        <v>45866</v>
      </c>
      <c r="C3531" t="s">
        <v>3512</v>
      </c>
      <c r="D3531" t="s">
        <v>70</v>
      </c>
      <c r="E3531" t="s">
        <v>108</v>
      </c>
      <c r="F3531">
        <v>2</v>
      </c>
      <c r="G3531">
        <v>0.05</v>
      </c>
      <c r="H3531">
        <v>8550</v>
      </c>
      <c r="I3531">
        <v>-1916.84</v>
      </c>
      <c r="J3531" t="s">
        <v>51</v>
      </c>
      <c r="K3531" t="s">
        <v>434</v>
      </c>
      <c r="L3531">
        <v>4275</v>
      </c>
      <c r="M3531">
        <v>-22.419181286549701</v>
      </c>
      <c r="N3531" t="s">
        <v>81</v>
      </c>
      <c r="O3531" t="s">
        <v>648</v>
      </c>
      <c r="P3531" t="s">
        <v>83</v>
      </c>
      <c r="Q3531" t="s">
        <v>74</v>
      </c>
      <c r="R3531" t="s">
        <v>115</v>
      </c>
      <c r="S3531" t="s">
        <v>115</v>
      </c>
      <c r="T3531" t="s">
        <v>3513</v>
      </c>
      <c r="U3531" t="s">
        <v>34</v>
      </c>
      <c r="V3531">
        <v>-958.42</v>
      </c>
    </row>
    <row r="3532" spans="1:22" x14ac:dyDescent="0.3">
      <c r="A3532" t="s">
        <v>5008</v>
      </c>
      <c r="B3532" s="2">
        <v>46042</v>
      </c>
      <c r="C3532" t="s">
        <v>974</v>
      </c>
      <c r="D3532" t="s">
        <v>49</v>
      </c>
      <c r="E3532" t="s">
        <v>50</v>
      </c>
      <c r="F3532">
        <v>1</v>
      </c>
      <c r="G3532">
        <v>0.1</v>
      </c>
      <c r="H3532">
        <v>11700</v>
      </c>
      <c r="I3532">
        <v>2458.0500000000002</v>
      </c>
      <c r="J3532" t="s">
        <v>65</v>
      </c>
      <c r="K3532" t="s">
        <v>27</v>
      </c>
      <c r="L3532">
        <v>11700</v>
      </c>
      <c r="M3532">
        <v>21.00897435897436</v>
      </c>
      <c r="N3532" t="s">
        <v>8</v>
      </c>
      <c r="O3532" t="s">
        <v>975</v>
      </c>
      <c r="P3532" t="s">
        <v>73</v>
      </c>
      <c r="Q3532" t="s">
        <v>42</v>
      </c>
      <c r="R3532" t="s">
        <v>43</v>
      </c>
      <c r="S3532" t="s">
        <v>44</v>
      </c>
      <c r="T3532" t="s">
        <v>976</v>
      </c>
      <c r="U3532" t="s">
        <v>100</v>
      </c>
      <c r="V3532">
        <v>2458.0500000000002</v>
      </c>
    </row>
    <row r="3533" spans="1:22" x14ac:dyDescent="0.3">
      <c r="A3533" t="s">
        <v>5009</v>
      </c>
      <c r="B3533" s="2">
        <v>46079</v>
      </c>
      <c r="C3533" t="s">
        <v>3440</v>
      </c>
      <c r="D3533" t="s">
        <v>24</v>
      </c>
      <c r="E3533" t="s">
        <v>25</v>
      </c>
      <c r="F3533">
        <v>1</v>
      </c>
      <c r="G3533">
        <v>0.05</v>
      </c>
      <c r="H3533">
        <v>13300</v>
      </c>
      <c r="I3533">
        <v>2239.5300000000002</v>
      </c>
      <c r="J3533" t="s">
        <v>65</v>
      </c>
      <c r="K3533" t="s">
        <v>40</v>
      </c>
      <c r="L3533">
        <v>13300</v>
      </c>
      <c r="M3533">
        <v>16.838571428571431</v>
      </c>
      <c r="N3533" t="s">
        <v>8</v>
      </c>
      <c r="O3533" t="s">
        <v>847</v>
      </c>
      <c r="P3533" t="s">
        <v>29</v>
      </c>
      <c r="Q3533" t="s">
        <v>42</v>
      </c>
      <c r="R3533" t="s">
        <v>121</v>
      </c>
      <c r="S3533" t="s">
        <v>44</v>
      </c>
      <c r="T3533" t="s">
        <v>3441</v>
      </c>
      <c r="U3533" t="s">
        <v>34</v>
      </c>
      <c r="V3533">
        <v>2239.5300000000002</v>
      </c>
    </row>
    <row r="3534" spans="1:22" x14ac:dyDescent="0.3">
      <c r="A3534" t="s">
        <v>5010</v>
      </c>
      <c r="B3534" s="2">
        <v>45930</v>
      </c>
      <c r="C3534" t="s">
        <v>325</v>
      </c>
      <c r="D3534" t="s">
        <v>49</v>
      </c>
      <c r="E3534" t="s">
        <v>119</v>
      </c>
      <c r="F3534">
        <v>3</v>
      </c>
      <c r="G3534">
        <v>0.05</v>
      </c>
      <c r="H3534">
        <v>25650</v>
      </c>
      <c r="I3534">
        <v>6230.51</v>
      </c>
      <c r="J3534" t="s">
        <v>26</v>
      </c>
      <c r="K3534" t="s">
        <v>40</v>
      </c>
      <c r="L3534">
        <v>8550</v>
      </c>
      <c r="M3534">
        <v>24.290487329434701</v>
      </c>
      <c r="N3534" t="s">
        <v>8</v>
      </c>
      <c r="O3534" t="s">
        <v>247</v>
      </c>
      <c r="P3534" t="s">
        <v>83</v>
      </c>
      <c r="Q3534" t="s">
        <v>42</v>
      </c>
      <c r="R3534" t="s">
        <v>43</v>
      </c>
      <c r="S3534" t="s">
        <v>44</v>
      </c>
      <c r="T3534" t="s">
        <v>326</v>
      </c>
      <c r="U3534" t="s">
        <v>46</v>
      </c>
      <c r="V3534">
        <v>2076.836666666667</v>
      </c>
    </row>
    <row r="3535" spans="1:22" x14ac:dyDescent="0.3">
      <c r="A3535" t="s">
        <v>5011</v>
      </c>
      <c r="B3535" s="2">
        <v>46093</v>
      </c>
      <c r="C3535" t="s">
        <v>921</v>
      </c>
      <c r="D3535" t="s">
        <v>24</v>
      </c>
      <c r="E3535" t="s">
        <v>25</v>
      </c>
      <c r="F3535">
        <v>2</v>
      </c>
      <c r="G3535">
        <v>0.2</v>
      </c>
      <c r="H3535">
        <v>22400</v>
      </c>
      <c r="I3535">
        <v>-9294.57</v>
      </c>
      <c r="J3535" t="s">
        <v>39</v>
      </c>
      <c r="K3535" t="s">
        <v>434</v>
      </c>
      <c r="L3535">
        <v>11200</v>
      </c>
      <c r="M3535">
        <v>-41.493616071428569</v>
      </c>
      <c r="N3535" t="s">
        <v>81</v>
      </c>
      <c r="O3535" t="s">
        <v>922</v>
      </c>
      <c r="P3535" t="s">
        <v>29</v>
      </c>
      <c r="Q3535" t="s">
        <v>30</v>
      </c>
      <c r="R3535" t="s">
        <v>53</v>
      </c>
      <c r="S3535" t="s">
        <v>54</v>
      </c>
      <c r="T3535" t="s">
        <v>923</v>
      </c>
      <c r="U3535" t="s">
        <v>105</v>
      </c>
      <c r="V3535">
        <v>-4647.2849999999999</v>
      </c>
    </row>
    <row r="3536" spans="1:22" x14ac:dyDescent="0.3">
      <c r="A3536" t="s">
        <v>5012</v>
      </c>
      <c r="B3536" s="2">
        <v>45925</v>
      </c>
      <c r="C3536" t="s">
        <v>182</v>
      </c>
      <c r="D3536" t="s">
        <v>37</v>
      </c>
      <c r="E3536" t="s">
        <v>190</v>
      </c>
      <c r="F3536">
        <v>1</v>
      </c>
      <c r="G3536">
        <v>0.2</v>
      </c>
      <c r="H3536">
        <v>3360</v>
      </c>
      <c r="I3536">
        <v>517.46</v>
      </c>
      <c r="J3536" t="s">
        <v>65</v>
      </c>
      <c r="K3536" t="s">
        <v>40</v>
      </c>
      <c r="L3536">
        <v>3360</v>
      </c>
      <c r="M3536">
        <v>15.40059523809524</v>
      </c>
      <c r="N3536" t="s">
        <v>8</v>
      </c>
      <c r="O3536" t="s">
        <v>183</v>
      </c>
      <c r="P3536" t="s">
        <v>73</v>
      </c>
      <c r="Q3536" t="s">
        <v>30</v>
      </c>
      <c r="R3536" t="s">
        <v>53</v>
      </c>
      <c r="S3536" t="s">
        <v>54</v>
      </c>
      <c r="T3536" t="s">
        <v>184</v>
      </c>
      <c r="U3536" t="s">
        <v>34</v>
      </c>
      <c r="V3536">
        <v>517.46</v>
      </c>
    </row>
    <row r="3537" spans="1:22" x14ac:dyDescent="0.3">
      <c r="A3537" t="s">
        <v>5013</v>
      </c>
      <c r="B3537" s="2">
        <v>45873</v>
      </c>
      <c r="C3537" t="s">
        <v>1343</v>
      </c>
      <c r="D3537" t="s">
        <v>24</v>
      </c>
      <c r="E3537" t="s">
        <v>87</v>
      </c>
      <c r="F3537">
        <v>2</v>
      </c>
      <c r="G3537">
        <v>0.2</v>
      </c>
      <c r="H3537">
        <v>560</v>
      </c>
      <c r="I3537">
        <v>127.08</v>
      </c>
      <c r="J3537" t="s">
        <v>26</v>
      </c>
      <c r="K3537" t="s">
        <v>40</v>
      </c>
      <c r="L3537">
        <v>280</v>
      </c>
      <c r="M3537">
        <v>22.69285714285714</v>
      </c>
      <c r="N3537" t="s">
        <v>8</v>
      </c>
      <c r="O3537" t="s">
        <v>1057</v>
      </c>
      <c r="P3537" t="s">
        <v>29</v>
      </c>
      <c r="Q3537" t="s">
        <v>42</v>
      </c>
      <c r="R3537" t="s">
        <v>110</v>
      </c>
      <c r="S3537" t="s">
        <v>111</v>
      </c>
      <c r="T3537" t="s">
        <v>1344</v>
      </c>
      <c r="U3537" t="s">
        <v>46</v>
      </c>
      <c r="V3537">
        <v>63.54</v>
      </c>
    </row>
    <row r="3538" spans="1:22" x14ac:dyDescent="0.3">
      <c r="A3538" t="s">
        <v>5014</v>
      </c>
      <c r="B3538" s="2">
        <v>46185</v>
      </c>
      <c r="C3538" t="s">
        <v>385</v>
      </c>
      <c r="D3538" t="s">
        <v>70</v>
      </c>
      <c r="E3538" t="s">
        <v>71</v>
      </c>
      <c r="F3538">
        <v>1</v>
      </c>
      <c r="G3538">
        <v>0.1</v>
      </c>
      <c r="H3538">
        <v>16200</v>
      </c>
      <c r="I3538">
        <v>2157.06</v>
      </c>
      <c r="J3538" t="s">
        <v>39</v>
      </c>
      <c r="K3538" t="s">
        <v>40</v>
      </c>
      <c r="L3538">
        <v>16200</v>
      </c>
      <c r="M3538">
        <v>13.315185185185189</v>
      </c>
      <c r="N3538" t="s">
        <v>8</v>
      </c>
      <c r="O3538" t="s">
        <v>386</v>
      </c>
      <c r="P3538" t="s">
        <v>29</v>
      </c>
      <c r="Q3538" t="s">
        <v>30</v>
      </c>
      <c r="R3538" t="s">
        <v>60</v>
      </c>
      <c r="S3538" t="s">
        <v>61</v>
      </c>
      <c r="T3538" t="s">
        <v>387</v>
      </c>
      <c r="U3538" t="s">
        <v>100</v>
      </c>
      <c r="V3538">
        <v>2157.06</v>
      </c>
    </row>
    <row r="3539" spans="1:22" x14ac:dyDescent="0.3">
      <c r="A3539" t="s">
        <v>5015</v>
      </c>
      <c r="B3539" s="2">
        <v>45968</v>
      </c>
      <c r="C3539" t="s">
        <v>340</v>
      </c>
      <c r="D3539" t="s">
        <v>49</v>
      </c>
      <c r="E3539" t="s">
        <v>79</v>
      </c>
      <c r="F3539">
        <v>2</v>
      </c>
      <c r="G3539">
        <v>0.1</v>
      </c>
      <c r="H3539">
        <v>19800</v>
      </c>
      <c r="I3539">
        <v>-1203.23</v>
      </c>
      <c r="J3539" t="s">
        <v>26</v>
      </c>
      <c r="K3539" t="s">
        <v>434</v>
      </c>
      <c r="L3539">
        <v>9900</v>
      </c>
      <c r="M3539">
        <v>-6.0769191919191918</v>
      </c>
      <c r="N3539" t="s">
        <v>81</v>
      </c>
      <c r="O3539" t="s">
        <v>341</v>
      </c>
      <c r="P3539" t="s">
        <v>29</v>
      </c>
      <c r="Q3539" t="s">
        <v>30</v>
      </c>
      <c r="R3539" t="s">
        <v>98</v>
      </c>
      <c r="S3539" t="s">
        <v>54</v>
      </c>
      <c r="T3539" t="s">
        <v>342</v>
      </c>
      <c r="U3539" t="s">
        <v>100</v>
      </c>
      <c r="V3539">
        <v>-601.61500000000001</v>
      </c>
    </row>
    <row r="3540" spans="1:22" x14ac:dyDescent="0.3">
      <c r="A3540" t="s">
        <v>5016</v>
      </c>
      <c r="B3540" s="2">
        <v>45878</v>
      </c>
      <c r="C3540" t="s">
        <v>1799</v>
      </c>
      <c r="D3540" t="s">
        <v>37</v>
      </c>
      <c r="E3540" t="s">
        <v>170</v>
      </c>
      <c r="F3540">
        <v>2</v>
      </c>
      <c r="G3540">
        <v>0.1</v>
      </c>
      <c r="H3540">
        <v>2520</v>
      </c>
      <c r="I3540">
        <v>798.4</v>
      </c>
      <c r="J3540" t="s">
        <v>65</v>
      </c>
      <c r="K3540" t="s">
        <v>40</v>
      </c>
      <c r="L3540">
        <v>1260</v>
      </c>
      <c r="M3540">
        <v>31.68253968253968</v>
      </c>
      <c r="N3540" t="s">
        <v>8</v>
      </c>
      <c r="O3540" t="s">
        <v>1800</v>
      </c>
      <c r="P3540" t="s">
        <v>73</v>
      </c>
      <c r="Q3540" t="s">
        <v>30</v>
      </c>
      <c r="R3540" t="s">
        <v>98</v>
      </c>
      <c r="S3540" t="s">
        <v>54</v>
      </c>
      <c r="T3540" t="s">
        <v>1801</v>
      </c>
      <c r="U3540" t="s">
        <v>100</v>
      </c>
      <c r="V3540">
        <v>399.2</v>
      </c>
    </row>
    <row r="3541" spans="1:22" x14ac:dyDescent="0.3">
      <c r="A3541" t="s">
        <v>5017</v>
      </c>
      <c r="B3541" s="2">
        <v>46227</v>
      </c>
      <c r="C3541" t="s">
        <v>1690</v>
      </c>
      <c r="D3541" t="s">
        <v>37</v>
      </c>
      <c r="E3541" t="s">
        <v>38</v>
      </c>
      <c r="F3541">
        <v>5</v>
      </c>
      <c r="G3541">
        <v>0.1</v>
      </c>
      <c r="H3541">
        <v>8100</v>
      </c>
      <c r="I3541">
        <v>2652.34</v>
      </c>
      <c r="J3541" t="s">
        <v>65</v>
      </c>
      <c r="K3541" t="s">
        <v>40</v>
      </c>
      <c r="L3541">
        <v>1620</v>
      </c>
      <c r="M3541">
        <v>32.744938271604937</v>
      </c>
      <c r="N3541" t="s">
        <v>8</v>
      </c>
      <c r="O3541" t="s">
        <v>1566</v>
      </c>
      <c r="P3541" t="s">
        <v>73</v>
      </c>
      <c r="Q3541" t="s">
        <v>30</v>
      </c>
      <c r="R3541" t="s">
        <v>53</v>
      </c>
      <c r="S3541" t="s">
        <v>54</v>
      </c>
      <c r="T3541" t="s">
        <v>1691</v>
      </c>
      <c r="U3541" t="s">
        <v>105</v>
      </c>
      <c r="V3541">
        <v>530.46800000000007</v>
      </c>
    </row>
    <row r="3542" spans="1:22" x14ac:dyDescent="0.3">
      <c r="A3542" t="s">
        <v>5018</v>
      </c>
      <c r="B3542" s="2">
        <v>45952</v>
      </c>
      <c r="C3542" t="s">
        <v>522</v>
      </c>
      <c r="D3542" t="s">
        <v>70</v>
      </c>
      <c r="E3542" t="s">
        <v>165</v>
      </c>
      <c r="F3542">
        <v>3</v>
      </c>
      <c r="G3542">
        <v>0.15</v>
      </c>
      <c r="H3542">
        <v>6375</v>
      </c>
      <c r="I3542">
        <v>1873.39</v>
      </c>
      <c r="J3542" t="s">
        <v>51</v>
      </c>
      <c r="K3542" t="s">
        <v>40</v>
      </c>
      <c r="L3542">
        <v>2125</v>
      </c>
      <c r="M3542">
        <v>29.38650980392157</v>
      </c>
      <c r="N3542" t="s">
        <v>8</v>
      </c>
      <c r="O3542" t="s">
        <v>523</v>
      </c>
      <c r="P3542" t="s">
        <v>73</v>
      </c>
      <c r="Q3542" t="s">
        <v>30</v>
      </c>
      <c r="R3542" t="s">
        <v>98</v>
      </c>
      <c r="S3542" t="s">
        <v>54</v>
      </c>
      <c r="T3542" t="s">
        <v>62</v>
      </c>
      <c r="U3542" t="s">
        <v>46</v>
      </c>
      <c r="V3542">
        <v>624.46333333333337</v>
      </c>
    </row>
    <row r="3543" spans="1:22" x14ac:dyDescent="0.3">
      <c r="A3543" t="s">
        <v>5019</v>
      </c>
      <c r="B3543" s="2">
        <v>46150</v>
      </c>
      <c r="C3543" t="s">
        <v>625</v>
      </c>
      <c r="D3543" t="s">
        <v>70</v>
      </c>
      <c r="E3543" t="s">
        <v>71</v>
      </c>
      <c r="F3543">
        <v>1</v>
      </c>
      <c r="G3543">
        <v>0.3</v>
      </c>
      <c r="H3543">
        <v>12600</v>
      </c>
      <c r="I3543">
        <v>106.42</v>
      </c>
      <c r="J3543" t="s">
        <v>65</v>
      </c>
      <c r="K3543" t="s">
        <v>27</v>
      </c>
      <c r="L3543">
        <v>12600</v>
      </c>
      <c r="M3543">
        <v>0.84460317460317469</v>
      </c>
      <c r="N3543" t="s">
        <v>8</v>
      </c>
      <c r="O3543" t="s">
        <v>626</v>
      </c>
      <c r="P3543" t="s">
        <v>29</v>
      </c>
      <c r="Q3543" t="s">
        <v>30</v>
      </c>
      <c r="R3543" t="s">
        <v>53</v>
      </c>
      <c r="S3543" t="s">
        <v>54</v>
      </c>
      <c r="T3543" t="s">
        <v>627</v>
      </c>
      <c r="U3543" t="s">
        <v>105</v>
      </c>
      <c r="V3543">
        <v>106.42</v>
      </c>
    </row>
    <row r="3544" spans="1:22" x14ac:dyDescent="0.3">
      <c r="A3544" t="s">
        <v>5020</v>
      </c>
      <c r="B3544" s="2">
        <v>46194</v>
      </c>
      <c r="C3544" t="s">
        <v>593</v>
      </c>
      <c r="D3544" t="s">
        <v>37</v>
      </c>
      <c r="E3544" t="s">
        <v>310</v>
      </c>
      <c r="F3544">
        <v>1</v>
      </c>
      <c r="G3544">
        <v>0</v>
      </c>
      <c r="H3544">
        <v>2200</v>
      </c>
      <c r="I3544">
        <v>750</v>
      </c>
      <c r="J3544" t="s">
        <v>65</v>
      </c>
      <c r="K3544" t="s">
        <v>40</v>
      </c>
      <c r="L3544">
        <v>2200</v>
      </c>
      <c r="M3544">
        <v>34.090909090909093</v>
      </c>
      <c r="N3544" t="s">
        <v>8</v>
      </c>
      <c r="O3544" t="s">
        <v>594</v>
      </c>
      <c r="P3544" t="s">
        <v>83</v>
      </c>
      <c r="Q3544" t="s">
        <v>30</v>
      </c>
      <c r="R3544" t="s">
        <v>31</v>
      </c>
      <c r="S3544" t="s">
        <v>32</v>
      </c>
      <c r="T3544" t="s">
        <v>595</v>
      </c>
      <c r="U3544" t="s">
        <v>46</v>
      </c>
      <c r="V3544">
        <v>750</v>
      </c>
    </row>
    <row r="3545" spans="1:22" x14ac:dyDescent="0.3">
      <c r="A3545" t="s">
        <v>5021</v>
      </c>
      <c r="B3545" s="2">
        <v>46009</v>
      </c>
      <c r="C3545" t="s">
        <v>3736</v>
      </c>
      <c r="D3545" t="s">
        <v>70</v>
      </c>
      <c r="E3545" t="s">
        <v>71</v>
      </c>
      <c r="F3545">
        <v>3</v>
      </c>
      <c r="G3545">
        <v>0</v>
      </c>
      <c r="H3545">
        <v>54000</v>
      </c>
      <c r="I3545">
        <v>10500</v>
      </c>
      <c r="J3545" t="s">
        <v>26</v>
      </c>
      <c r="K3545" t="s">
        <v>40</v>
      </c>
      <c r="L3545">
        <v>18000</v>
      </c>
      <c r="M3545">
        <v>19.44444444444445</v>
      </c>
      <c r="N3545" t="s">
        <v>8</v>
      </c>
      <c r="O3545" t="s">
        <v>1137</v>
      </c>
      <c r="P3545" t="s">
        <v>73</v>
      </c>
      <c r="Q3545" t="s">
        <v>74</v>
      </c>
      <c r="R3545" t="s">
        <v>75</v>
      </c>
      <c r="S3545" t="s">
        <v>75</v>
      </c>
      <c r="T3545" t="s">
        <v>3737</v>
      </c>
      <c r="U3545" t="s">
        <v>46</v>
      </c>
      <c r="V3545">
        <v>3500</v>
      </c>
    </row>
    <row r="3546" spans="1:22" x14ac:dyDescent="0.3">
      <c r="A3546" t="s">
        <v>5022</v>
      </c>
      <c r="B3546" s="2">
        <v>46260</v>
      </c>
      <c r="C3546" t="s">
        <v>1637</v>
      </c>
      <c r="D3546" t="s">
        <v>49</v>
      </c>
      <c r="E3546" t="s">
        <v>58</v>
      </c>
      <c r="F3546">
        <v>3</v>
      </c>
      <c r="G3546">
        <v>0.15</v>
      </c>
      <c r="H3546">
        <v>38250</v>
      </c>
      <c r="I3546">
        <v>5119.87</v>
      </c>
      <c r="J3546" t="s">
        <v>51</v>
      </c>
      <c r="K3546" t="s">
        <v>27</v>
      </c>
      <c r="L3546">
        <v>12750</v>
      </c>
      <c r="M3546">
        <v>13.385281045751629</v>
      </c>
      <c r="N3546" t="s">
        <v>8</v>
      </c>
      <c r="O3546" t="s">
        <v>697</v>
      </c>
      <c r="P3546" t="s">
        <v>29</v>
      </c>
      <c r="Q3546" t="s">
        <v>30</v>
      </c>
      <c r="R3546" t="s">
        <v>31</v>
      </c>
      <c r="S3546" t="s">
        <v>32</v>
      </c>
      <c r="T3546" t="s">
        <v>1638</v>
      </c>
      <c r="U3546" t="s">
        <v>46</v>
      </c>
      <c r="V3546">
        <v>1706.623333333333</v>
      </c>
    </row>
    <row r="3547" spans="1:22" x14ac:dyDescent="0.3">
      <c r="A3547" t="s">
        <v>5023</v>
      </c>
      <c r="B3547" s="2">
        <v>45937</v>
      </c>
      <c r="C3547" t="s">
        <v>426</v>
      </c>
      <c r="D3547" t="s">
        <v>70</v>
      </c>
      <c r="E3547" t="s">
        <v>108</v>
      </c>
      <c r="F3547">
        <v>1</v>
      </c>
      <c r="G3547">
        <v>0.15</v>
      </c>
      <c r="H3547">
        <v>3825</v>
      </c>
      <c r="I3547">
        <v>1038.92</v>
      </c>
      <c r="J3547" t="s">
        <v>51</v>
      </c>
      <c r="K3547" t="s">
        <v>40</v>
      </c>
      <c r="L3547">
        <v>3825</v>
      </c>
      <c r="M3547">
        <v>27.16130718954248</v>
      </c>
      <c r="N3547" t="s">
        <v>8</v>
      </c>
      <c r="O3547" t="s">
        <v>427</v>
      </c>
      <c r="P3547" t="s">
        <v>73</v>
      </c>
      <c r="Q3547" t="s">
        <v>30</v>
      </c>
      <c r="R3547" t="s">
        <v>60</v>
      </c>
      <c r="S3547" t="s">
        <v>61</v>
      </c>
      <c r="T3547" t="s">
        <v>428</v>
      </c>
      <c r="U3547" t="s">
        <v>34</v>
      </c>
      <c r="V3547">
        <v>1038.92</v>
      </c>
    </row>
    <row r="3548" spans="1:22" x14ac:dyDescent="0.3">
      <c r="A3548" t="s">
        <v>5024</v>
      </c>
      <c r="B3548" s="2">
        <v>46260</v>
      </c>
      <c r="C3548" t="s">
        <v>102</v>
      </c>
      <c r="D3548" t="s">
        <v>24</v>
      </c>
      <c r="E3548" t="s">
        <v>25</v>
      </c>
      <c r="F3548">
        <v>3</v>
      </c>
      <c r="G3548">
        <v>0.2</v>
      </c>
      <c r="H3548">
        <v>33600</v>
      </c>
      <c r="I3548">
        <v>3182.78</v>
      </c>
      <c r="J3548" t="s">
        <v>26</v>
      </c>
      <c r="K3548" t="s">
        <v>40</v>
      </c>
      <c r="L3548">
        <v>11200</v>
      </c>
      <c r="M3548">
        <v>9.4725595238095242</v>
      </c>
      <c r="N3548" t="s">
        <v>8</v>
      </c>
      <c r="O3548" t="s">
        <v>103</v>
      </c>
      <c r="P3548" t="s">
        <v>29</v>
      </c>
      <c r="Q3548" t="s">
        <v>30</v>
      </c>
      <c r="R3548" t="s">
        <v>98</v>
      </c>
      <c r="S3548" t="s">
        <v>54</v>
      </c>
      <c r="T3548" t="s">
        <v>104</v>
      </c>
      <c r="U3548" t="s">
        <v>105</v>
      </c>
      <c r="V3548">
        <v>1060.926666666667</v>
      </c>
    </row>
    <row r="3549" spans="1:22" x14ac:dyDescent="0.3">
      <c r="A3549" t="s">
        <v>5025</v>
      </c>
      <c r="B3549" s="2">
        <v>45927</v>
      </c>
      <c r="C3549" t="s">
        <v>1605</v>
      </c>
      <c r="D3549" t="s">
        <v>70</v>
      </c>
      <c r="E3549" t="s">
        <v>165</v>
      </c>
      <c r="F3549">
        <v>4</v>
      </c>
      <c r="G3549">
        <v>0.15</v>
      </c>
      <c r="H3549">
        <v>8500</v>
      </c>
      <c r="I3549">
        <v>2112.83</v>
      </c>
      <c r="J3549" t="s">
        <v>26</v>
      </c>
      <c r="K3549" t="s">
        <v>40</v>
      </c>
      <c r="L3549">
        <v>2125</v>
      </c>
      <c r="M3549">
        <v>24.856823529411759</v>
      </c>
      <c r="N3549" t="s">
        <v>8</v>
      </c>
      <c r="O3549" t="s">
        <v>1606</v>
      </c>
      <c r="P3549" t="s">
        <v>73</v>
      </c>
      <c r="Q3549" t="s">
        <v>30</v>
      </c>
      <c r="R3549" t="s">
        <v>53</v>
      </c>
      <c r="S3549" t="s">
        <v>54</v>
      </c>
      <c r="T3549" t="s">
        <v>1607</v>
      </c>
      <c r="U3549" t="s">
        <v>34</v>
      </c>
      <c r="V3549">
        <v>528.20749999999998</v>
      </c>
    </row>
    <row r="3550" spans="1:22" x14ac:dyDescent="0.3">
      <c r="A3550" t="s">
        <v>5026</v>
      </c>
      <c r="B3550" s="2">
        <v>45894</v>
      </c>
      <c r="C3550" t="s">
        <v>3440</v>
      </c>
      <c r="D3550" t="s">
        <v>70</v>
      </c>
      <c r="E3550" t="s">
        <v>71</v>
      </c>
      <c r="F3550">
        <v>6</v>
      </c>
      <c r="G3550">
        <v>0.15</v>
      </c>
      <c r="H3550">
        <v>91800</v>
      </c>
      <c r="I3550">
        <v>9090.2000000000007</v>
      </c>
      <c r="J3550" t="s">
        <v>65</v>
      </c>
      <c r="K3550" t="s">
        <v>40</v>
      </c>
      <c r="L3550">
        <v>15300</v>
      </c>
      <c r="M3550">
        <v>9.9021786492374737</v>
      </c>
      <c r="N3550" t="s">
        <v>8</v>
      </c>
      <c r="O3550" t="s">
        <v>847</v>
      </c>
      <c r="P3550" t="s">
        <v>29</v>
      </c>
      <c r="Q3550" t="s">
        <v>42</v>
      </c>
      <c r="R3550" t="s">
        <v>121</v>
      </c>
      <c r="S3550" t="s">
        <v>44</v>
      </c>
      <c r="T3550" t="s">
        <v>3441</v>
      </c>
      <c r="U3550" t="s">
        <v>34</v>
      </c>
      <c r="V3550">
        <v>1515.033333333334</v>
      </c>
    </row>
    <row r="3551" spans="1:22" x14ac:dyDescent="0.3">
      <c r="A3551" t="s">
        <v>5027</v>
      </c>
      <c r="B3551" s="2">
        <v>46016</v>
      </c>
      <c r="C3551" t="s">
        <v>1548</v>
      </c>
      <c r="D3551" t="s">
        <v>49</v>
      </c>
      <c r="E3551" t="s">
        <v>58</v>
      </c>
      <c r="F3551">
        <v>3</v>
      </c>
      <c r="G3551">
        <v>0.1</v>
      </c>
      <c r="H3551">
        <v>40500</v>
      </c>
      <c r="I3551">
        <v>8342.4</v>
      </c>
      <c r="J3551" t="s">
        <v>65</v>
      </c>
      <c r="K3551" t="s">
        <v>40</v>
      </c>
      <c r="L3551">
        <v>13500</v>
      </c>
      <c r="M3551">
        <v>20.598518518518521</v>
      </c>
      <c r="N3551" t="s">
        <v>8</v>
      </c>
      <c r="O3551" t="s">
        <v>825</v>
      </c>
      <c r="P3551" t="s">
        <v>83</v>
      </c>
      <c r="Q3551" t="s">
        <v>30</v>
      </c>
      <c r="R3551" t="s">
        <v>98</v>
      </c>
      <c r="S3551" t="s">
        <v>54</v>
      </c>
      <c r="T3551" t="s">
        <v>1549</v>
      </c>
      <c r="U3551" t="s">
        <v>34</v>
      </c>
      <c r="V3551">
        <v>2780.8</v>
      </c>
    </row>
    <row r="3552" spans="1:22" x14ac:dyDescent="0.3">
      <c r="A3552" t="s">
        <v>5028</v>
      </c>
      <c r="B3552" s="2">
        <v>46083</v>
      </c>
      <c r="C3552" t="s">
        <v>1655</v>
      </c>
      <c r="D3552" t="s">
        <v>70</v>
      </c>
      <c r="E3552" t="s">
        <v>108</v>
      </c>
      <c r="F3552">
        <v>3</v>
      </c>
      <c r="G3552">
        <v>0.05</v>
      </c>
      <c r="H3552">
        <v>12825</v>
      </c>
      <c r="I3552">
        <v>3971.95</v>
      </c>
      <c r="J3552" t="s">
        <v>26</v>
      </c>
      <c r="K3552" t="s">
        <v>40</v>
      </c>
      <c r="L3552">
        <v>4275</v>
      </c>
      <c r="M3552">
        <v>30.970370370370372</v>
      </c>
      <c r="N3552" t="s">
        <v>8</v>
      </c>
      <c r="O3552" t="s">
        <v>1656</v>
      </c>
      <c r="P3552" t="s">
        <v>29</v>
      </c>
      <c r="Q3552" t="s">
        <v>30</v>
      </c>
      <c r="R3552" t="s">
        <v>53</v>
      </c>
      <c r="S3552" t="s">
        <v>54</v>
      </c>
      <c r="T3552" t="s">
        <v>1657</v>
      </c>
      <c r="U3552" t="s">
        <v>34</v>
      </c>
      <c r="V3552">
        <v>1323.9833333333329</v>
      </c>
    </row>
    <row r="3553" spans="1:22" x14ac:dyDescent="0.3">
      <c r="A3553" t="s">
        <v>5029</v>
      </c>
      <c r="B3553" s="2">
        <v>46079</v>
      </c>
      <c r="C3553" t="s">
        <v>2972</v>
      </c>
      <c r="D3553" t="s">
        <v>37</v>
      </c>
      <c r="E3553" t="s">
        <v>310</v>
      </c>
      <c r="F3553">
        <v>1</v>
      </c>
      <c r="G3553">
        <v>0.2</v>
      </c>
      <c r="H3553">
        <v>1760</v>
      </c>
      <c r="I3553">
        <v>497.58</v>
      </c>
      <c r="J3553" t="s">
        <v>26</v>
      </c>
      <c r="K3553" t="s">
        <v>40</v>
      </c>
      <c r="L3553">
        <v>1760</v>
      </c>
      <c r="M3553">
        <v>28.271590909090911</v>
      </c>
      <c r="N3553" t="s">
        <v>8</v>
      </c>
      <c r="O3553" t="s">
        <v>870</v>
      </c>
      <c r="P3553" t="s">
        <v>83</v>
      </c>
      <c r="Q3553" t="s">
        <v>30</v>
      </c>
      <c r="R3553" t="s">
        <v>60</v>
      </c>
      <c r="S3553" t="s">
        <v>61</v>
      </c>
      <c r="T3553" t="s">
        <v>898</v>
      </c>
      <c r="U3553" t="s">
        <v>34</v>
      </c>
      <c r="V3553">
        <v>497.58</v>
      </c>
    </row>
    <row r="3554" spans="1:22" x14ac:dyDescent="0.3">
      <c r="A3554" t="s">
        <v>5030</v>
      </c>
      <c r="B3554" s="2">
        <v>46163</v>
      </c>
      <c r="C3554" t="s">
        <v>1110</v>
      </c>
      <c r="D3554" t="s">
        <v>70</v>
      </c>
      <c r="E3554" t="s">
        <v>108</v>
      </c>
      <c r="F3554">
        <v>5</v>
      </c>
      <c r="G3554">
        <v>0.2</v>
      </c>
      <c r="H3554">
        <v>18000</v>
      </c>
      <c r="I3554">
        <v>4116.71</v>
      </c>
      <c r="J3554" t="s">
        <v>65</v>
      </c>
      <c r="K3554" t="s">
        <v>27</v>
      </c>
      <c r="L3554">
        <v>3600</v>
      </c>
      <c r="M3554">
        <v>22.87061111111111</v>
      </c>
      <c r="N3554" t="s">
        <v>8</v>
      </c>
      <c r="O3554" t="s">
        <v>1111</v>
      </c>
      <c r="P3554" t="s">
        <v>29</v>
      </c>
      <c r="Q3554" t="s">
        <v>42</v>
      </c>
      <c r="R3554" t="s">
        <v>110</v>
      </c>
      <c r="S3554" t="s">
        <v>111</v>
      </c>
      <c r="T3554" t="s">
        <v>1112</v>
      </c>
      <c r="U3554" t="s">
        <v>34</v>
      </c>
      <c r="V3554">
        <v>823.34199999999998</v>
      </c>
    </row>
    <row r="3555" spans="1:22" x14ac:dyDescent="0.3">
      <c r="A3555" t="s">
        <v>5031</v>
      </c>
      <c r="B3555" s="2">
        <v>46028</v>
      </c>
      <c r="C3555" t="s">
        <v>4423</v>
      </c>
      <c r="D3555" t="s">
        <v>37</v>
      </c>
      <c r="E3555" t="s">
        <v>38</v>
      </c>
      <c r="F3555">
        <v>2</v>
      </c>
      <c r="G3555">
        <v>0.15</v>
      </c>
      <c r="H3555">
        <v>3060</v>
      </c>
      <c r="I3555">
        <v>856.43</v>
      </c>
      <c r="J3555" t="s">
        <v>51</v>
      </c>
      <c r="K3555" t="s">
        <v>40</v>
      </c>
      <c r="L3555">
        <v>1530</v>
      </c>
      <c r="M3555">
        <v>27.987908496732022</v>
      </c>
      <c r="N3555" t="s">
        <v>8</v>
      </c>
      <c r="O3555" t="s">
        <v>329</v>
      </c>
      <c r="P3555" t="s">
        <v>29</v>
      </c>
      <c r="Q3555" t="s">
        <v>42</v>
      </c>
      <c r="R3555" t="s">
        <v>43</v>
      </c>
      <c r="S3555" t="s">
        <v>44</v>
      </c>
      <c r="T3555" t="s">
        <v>1561</v>
      </c>
      <c r="U3555" t="s">
        <v>105</v>
      </c>
      <c r="V3555">
        <v>428.21499999999997</v>
      </c>
    </row>
    <row r="3556" spans="1:22" x14ac:dyDescent="0.3">
      <c r="A3556" t="s">
        <v>5032</v>
      </c>
      <c r="B3556" s="2">
        <v>46126</v>
      </c>
      <c r="C3556" t="s">
        <v>3146</v>
      </c>
      <c r="D3556" t="s">
        <v>24</v>
      </c>
      <c r="E3556" t="s">
        <v>87</v>
      </c>
      <c r="F3556">
        <v>5</v>
      </c>
      <c r="G3556">
        <v>0</v>
      </c>
      <c r="H3556">
        <v>1750</v>
      </c>
      <c r="I3556">
        <v>600</v>
      </c>
      <c r="J3556" t="s">
        <v>26</v>
      </c>
      <c r="K3556" t="s">
        <v>40</v>
      </c>
      <c r="L3556">
        <v>350</v>
      </c>
      <c r="M3556">
        <v>34.285714285714278</v>
      </c>
      <c r="N3556" t="s">
        <v>8</v>
      </c>
      <c r="O3556" t="s">
        <v>3147</v>
      </c>
      <c r="P3556" t="s">
        <v>73</v>
      </c>
      <c r="Q3556" t="s">
        <v>42</v>
      </c>
      <c r="R3556" t="s">
        <v>121</v>
      </c>
      <c r="S3556" t="s">
        <v>44</v>
      </c>
      <c r="T3556" t="s">
        <v>2122</v>
      </c>
      <c r="U3556" t="s">
        <v>34</v>
      </c>
      <c r="V3556">
        <v>120</v>
      </c>
    </row>
    <row r="3557" spans="1:22" x14ac:dyDescent="0.3">
      <c r="A3557" t="s">
        <v>5033</v>
      </c>
      <c r="B3557" s="2">
        <v>46044</v>
      </c>
      <c r="C3557" t="s">
        <v>757</v>
      </c>
      <c r="D3557" t="s">
        <v>70</v>
      </c>
      <c r="E3557" t="s">
        <v>129</v>
      </c>
      <c r="F3557">
        <v>3</v>
      </c>
      <c r="G3557">
        <v>0.05</v>
      </c>
      <c r="H3557">
        <v>156750</v>
      </c>
      <c r="I3557">
        <v>20961.55</v>
      </c>
      <c r="J3557" t="s">
        <v>39</v>
      </c>
      <c r="K3557" t="s">
        <v>40</v>
      </c>
      <c r="L3557">
        <v>52250</v>
      </c>
      <c r="M3557">
        <v>13.372599681020731</v>
      </c>
      <c r="N3557" t="s">
        <v>8</v>
      </c>
      <c r="O3557" t="s">
        <v>758</v>
      </c>
      <c r="P3557" t="s">
        <v>83</v>
      </c>
      <c r="Q3557" t="s">
        <v>74</v>
      </c>
      <c r="R3557" t="s">
        <v>237</v>
      </c>
      <c r="S3557" t="s">
        <v>238</v>
      </c>
      <c r="T3557" t="s">
        <v>759</v>
      </c>
      <c r="U3557" t="s">
        <v>34</v>
      </c>
      <c r="V3557">
        <v>6987.1833333333334</v>
      </c>
    </row>
    <row r="3558" spans="1:22" x14ac:dyDescent="0.3">
      <c r="A3558" t="s">
        <v>5034</v>
      </c>
      <c r="B3558" s="2">
        <v>46216</v>
      </c>
      <c r="C3558" t="s">
        <v>1979</v>
      </c>
      <c r="D3558" t="s">
        <v>49</v>
      </c>
      <c r="E3558" t="s">
        <v>50</v>
      </c>
      <c r="F3558">
        <v>2</v>
      </c>
      <c r="G3558">
        <v>0.1</v>
      </c>
      <c r="H3558">
        <v>23400</v>
      </c>
      <c r="I3558">
        <v>4609.22</v>
      </c>
      <c r="J3558" t="s">
        <v>65</v>
      </c>
      <c r="K3558" t="s">
        <v>40</v>
      </c>
      <c r="L3558">
        <v>11700</v>
      </c>
      <c r="M3558">
        <v>19.697521367521372</v>
      </c>
      <c r="N3558" t="s">
        <v>8</v>
      </c>
      <c r="O3558" t="s">
        <v>1980</v>
      </c>
      <c r="P3558" t="s">
        <v>29</v>
      </c>
      <c r="Q3558" t="s">
        <v>42</v>
      </c>
      <c r="R3558" t="s">
        <v>110</v>
      </c>
      <c r="S3558" t="s">
        <v>111</v>
      </c>
      <c r="T3558" t="s">
        <v>1981</v>
      </c>
      <c r="U3558" t="s">
        <v>46</v>
      </c>
      <c r="V3558">
        <v>2304.61</v>
      </c>
    </row>
    <row r="3559" spans="1:22" x14ac:dyDescent="0.3">
      <c r="A3559" t="s">
        <v>5035</v>
      </c>
      <c r="B3559" s="2">
        <v>46110</v>
      </c>
      <c r="C3559" t="s">
        <v>1382</v>
      </c>
      <c r="D3559" t="s">
        <v>70</v>
      </c>
      <c r="E3559" t="s">
        <v>165</v>
      </c>
      <c r="F3559">
        <v>1</v>
      </c>
      <c r="G3559">
        <v>0.1</v>
      </c>
      <c r="H3559">
        <v>2250</v>
      </c>
      <c r="I3559">
        <v>-20.63</v>
      </c>
      <c r="J3559" t="s">
        <v>39</v>
      </c>
      <c r="K3559" t="s">
        <v>434</v>
      </c>
      <c r="L3559">
        <v>2250</v>
      </c>
      <c r="M3559">
        <v>-0.91688888888888875</v>
      </c>
      <c r="N3559" t="s">
        <v>81</v>
      </c>
      <c r="O3559" t="s">
        <v>1383</v>
      </c>
      <c r="P3559" t="s">
        <v>83</v>
      </c>
      <c r="Q3559" t="s">
        <v>30</v>
      </c>
      <c r="R3559" t="s">
        <v>60</v>
      </c>
      <c r="S3559" t="s">
        <v>61</v>
      </c>
      <c r="T3559" t="s">
        <v>227</v>
      </c>
      <c r="U3559" t="s">
        <v>46</v>
      </c>
      <c r="V3559">
        <v>-20.63</v>
      </c>
    </row>
    <row r="3560" spans="1:22" x14ac:dyDescent="0.3">
      <c r="A3560" t="s">
        <v>5036</v>
      </c>
      <c r="B3560" s="2">
        <v>46190</v>
      </c>
      <c r="C3560" t="s">
        <v>936</v>
      </c>
      <c r="D3560" t="s">
        <v>37</v>
      </c>
      <c r="E3560" t="s">
        <v>310</v>
      </c>
      <c r="F3560">
        <v>4</v>
      </c>
      <c r="G3560">
        <v>0.15</v>
      </c>
      <c r="H3560">
        <v>7480</v>
      </c>
      <c r="I3560">
        <v>1949.86</v>
      </c>
      <c r="J3560" t="s">
        <v>65</v>
      </c>
      <c r="K3560" t="s">
        <v>40</v>
      </c>
      <c r="L3560">
        <v>1870</v>
      </c>
      <c r="M3560">
        <v>26.067647058823528</v>
      </c>
      <c r="N3560" t="s">
        <v>8</v>
      </c>
      <c r="O3560" t="s">
        <v>937</v>
      </c>
      <c r="P3560" t="s">
        <v>73</v>
      </c>
      <c r="Q3560" t="s">
        <v>30</v>
      </c>
      <c r="R3560" t="s">
        <v>53</v>
      </c>
      <c r="S3560" t="s">
        <v>54</v>
      </c>
      <c r="T3560" t="s">
        <v>938</v>
      </c>
      <c r="U3560" t="s">
        <v>34</v>
      </c>
      <c r="V3560">
        <v>487.46499999999997</v>
      </c>
    </row>
    <row r="3561" spans="1:22" x14ac:dyDescent="0.3">
      <c r="A3561" t="s">
        <v>5037</v>
      </c>
      <c r="B3561" s="2">
        <v>45983</v>
      </c>
      <c r="C3561" t="s">
        <v>96</v>
      </c>
      <c r="D3561" t="s">
        <v>49</v>
      </c>
      <c r="E3561" t="s">
        <v>50</v>
      </c>
      <c r="F3561">
        <v>1</v>
      </c>
      <c r="G3561">
        <v>0.1</v>
      </c>
      <c r="H3561">
        <v>11700</v>
      </c>
      <c r="I3561">
        <v>-6672.36</v>
      </c>
      <c r="J3561" t="s">
        <v>39</v>
      </c>
      <c r="K3561" t="s">
        <v>434</v>
      </c>
      <c r="L3561">
        <v>11700</v>
      </c>
      <c r="M3561">
        <v>-57.028717948717947</v>
      </c>
      <c r="N3561" t="s">
        <v>81</v>
      </c>
      <c r="O3561" t="s">
        <v>97</v>
      </c>
      <c r="P3561" t="s">
        <v>73</v>
      </c>
      <c r="Q3561" t="s">
        <v>30</v>
      </c>
      <c r="R3561" t="s">
        <v>98</v>
      </c>
      <c r="S3561" t="s">
        <v>54</v>
      </c>
      <c r="T3561" t="s">
        <v>99</v>
      </c>
      <c r="U3561" t="s">
        <v>100</v>
      </c>
      <c r="V3561">
        <v>-6672.36</v>
      </c>
    </row>
    <row r="3562" spans="1:22" x14ac:dyDescent="0.3">
      <c r="A3562" t="s">
        <v>5038</v>
      </c>
      <c r="B3562" s="2">
        <v>46105</v>
      </c>
      <c r="C3562" t="s">
        <v>426</v>
      </c>
      <c r="D3562" t="s">
        <v>49</v>
      </c>
      <c r="E3562" t="s">
        <v>50</v>
      </c>
      <c r="F3562">
        <v>1</v>
      </c>
      <c r="G3562">
        <v>0.1</v>
      </c>
      <c r="H3562">
        <v>11700</v>
      </c>
      <c r="I3562">
        <v>2287.19</v>
      </c>
      <c r="J3562" t="s">
        <v>65</v>
      </c>
      <c r="K3562" t="s">
        <v>27</v>
      </c>
      <c r="L3562">
        <v>11700</v>
      </c>
      <c r="M3562">
        <v>19.548632478632481</v>
      </c>
      <c r="N3562" t="s">
        <v>8</v>
      </c>
      <c r="O3562" t="s">
        <v>427</v>
      </c>
      <c r="P3562" t="s">
        <v>73</v>
      </c>
      <c r="Q3562" t="s">
        <v>30</v>
      </c>
      <c r="R3562" t="s">
        <v>60</v>
      </c>
      <c r="S3562" t="s">
        <v>61</v>
      </c>
      <c r="T3562" t="s">
        <v>428</v>
      </c>
      <c r="U3562" t="s">
        <v>34</v>
      </c>
      <c r="V3562">
        <v>2287.19</v>
      </c>
    </row>
    <row r="3563" spans="1:22" x14ac:dyDescent="0.3">
      <c r="A3563" t="s">
        <v>5039</v>
      </c>
      <c r="B3563" s="2">
        <v>46217</v>
      </c>
      <c r="C3563" t="s">
        <v>2562</v>
      </c>
      <c r="D3563" t="s">
        <v>37</v>
      </c>
      <c r="E3563" t="s">
        <v>38</v>
      </c>
      <c r="F3563">
        <v>4</v>
      </c>
      <c r="G3563">
        <v>0.15</v>
      </c>
      <c r="H3563">
        <v>6120</v>
      </c>
      <c r="I3563">
        <v>2107.92</v>
      </c>
      <c r="J3563" t="s">
        <v>51</v>
      </c>
      <c r="K3563" t="s">
        <v>40</v>
      </c>
      <c r="L3563">
        <v>1530</v>
      </c>
      <c r="M3563">
        <v>34.443137254901963</v>
      </c>
      <c r="N3563" t="s">
        <v>8</v>
      </c>
      <c r="O3563" t="s">
        <v>2563</v>
      </c>
      <c r="P3563" t="s">
        <v>29</v>
      </c>
      <c r="Q3563" t="s">
        <v>30</v>
      </c>
      <c r="R3563" t="s">
        <v>60</v>
      </c>
      <c r="S3563" t="s">
        <v>61</v>
      </c>
      <c r="T3563" t="s">
        <v>1619</v>
      </c>
      <c r="U3563" t="s">
        <v>34</v>
      </c>
      <c r="V3563">
        <v>526.98</v>
      </c>
    </row>
    <row r="3564" spans="1:22" x14ac:dyDescent="0.3">
      <c r="A3564" t="s">
        <v>5040</v>
      </c>
      <c r="B3564" s="2">
        <v>46146</v>
      </c>
      <c r="C3564" t="s">
        <v>148</v>
      </c>
      <c r="D3564" t="s">
        <v>70</v>
      </c>
      <c r="E3564" t="s">
        <v>108</v>
      </c>
      <c r="F3564">
        <v>15</v>
      </c>
      <c r="G3564">
        <v>0.2</v>
      </c>
      <c r="H3564">
        <v>54000</v>
      </c>
      <c r="I3564">
        <v>15625.69</v>
      </c>
      <c r="J3564" t="s">
        <v>26</v>
      </c>
      <c r="K3564" t="s">
        <v>27</v>
      </c>
      <c r="L3564">
        <v>3600</v>
      </c>
      <c r="M3564">
        <v>28.93646296296297</v>
      </c>
      <c r="N3564" t="s">
        <v>8</v>
      </c>
      <c r="O3564" t="s">
        <v>149</v>
      </c>
      <c r="P3564" t="s">
        <v>29</v>
      </c>
      <c r="Q3564" t="s">
        <v>30</v>
      </c>
      <c r="R3564" t="s">
        <v>60</v>
      </c>
      <c r="S3564" t="s">
        <v>61</v>
      </c>
      <c r="T3564" t="s">
        <v>150</v>
      </c>
      <c r="U3564" t="s">
        <v>105</v>
      </c>
      <c r="V3564">
        <v>1041.712666666667</v>
      </c>
    </row>
    <row r="3565" spans="1:22" x14ac:dyDescent="0.3">
      <c r="A3565" t="s">
        <v>5041</v>
      </c>
      <c r="B3565" s="2">
        <v>46152</v>
      </c>
      <c r="C3565" t="s">
        <v>268</v>
      </c>
      <c r="D3565" t="s">
        <v>37</v>
      </c>
      <c r="E3565" t="s">
        <v>190</v>
      </c>
      <c r="F3565">
        <v>5</v>
      </c>
      <c r="G3565">
        <v>0.1</v>
      </c>
      <c r="H3565">
        <v>18900</v>
      </c>
      <c r="I3565">
        <v>-10429.530000000001</v>
      </c>
      <c r="J3565" t="s">
        <v>26</v>
      </c>
      <c r="K3565" t="s">
        <v>434</v>
      </c>
      <c r="L3565">
        <v>3780</v>
      </c>
      <c r="M3565">
        <v>-55.182698412698407</v>
      </c>
      <c r="N3565" t="s">
        <v>81</v>
      </c>
      <c r="O3565" t="s">
        <v>269</v>
      </c>
      <c r="P3565" t="s">
        <v>29</v>
      </c>
      <c r="Q3565" t="s">
        <v>30</v>
      </c>
      <c r="R3565" t="s">
        <v>31</v>
      </c>
      <c r="S3565" t="s">
        <v>32</v>
      </c>
      <c r="T3565" t="s">
        <v>270</v>
      </c>
      <c r="U3565" t="s">
        <v>34</v>
      </c>
      <c r="V3565">
        <v>-2085.9059999999999</v>
      </c>
    </row>
    <row r="3566" spans="1:22" x14ac:dyDescent="0.3">
      <c r="A3566" t="s">
        <v>5042</v>
      </c>
      <c r="B3566" s="2">
        <v>46250</v>
      </c>
      <c r="C3566" t="s">
        <v>389</v>
      </c>
      <c r="D3566" t="s">
        <v>49</v>
      </c>
      <c r="E3566" t="s">
        <v>119</v>
      </c>
      <c r="F3566">
        <v>5</v>
      </c>
      <c r="G3566">
        <v>0.1</v>
      </c>
      <c r="H3566">
        <v>40500</v>
      </c>
      <c r="I3566">
        <v>-8715.48</v>
      </c>
      <c r="J3566" t="s">
        <v>65</v>
      </c>
      <c r="K3566" t="s">
        <v>80</v>
      </c>
      <c r="L3566">
        <v>8100</v>
      </c>
      <c r="M3566">
        <v>-21.519703703703701</v>
      </c>
      <c r="N3566" t="s">
        <v>81</v>
      </c>
      <c r="O3566" t="s">
        <v>390</v>
      </c>
      <c r="P3566" t="s">
        <v>29</v>
      </c>
      <c r="Q3566" t="s">
        <v>30</v>
      </c>
      <c r="R3566" t="s">
        <v>53</v>
      </c>
      <c r="S3566" t="s">
        <v>54</v>
      </c>
      <c r="T3566" t="s">
        <v>391</v>
      </c>
      <c r="U3566" t="s">
        <v>100</v>
      </c>
      <c r="V3566">
        <v>-1743.096</v>
      </c>
    </row>
    <row r="3567" spans="1:22" x14ac:dyDescent="0.3">
      <c r="A3567" t="s">
        <v>5043</v>
      </c>
      <c r="B3567" s="2">
        <v>46092</v>
      </c>
      <c r="C3567" t="s">
        <v>667</v>
      </c>
      <c r="D3567" t="s">
        <v>49</v>
      </c>
      <c r="E3567" t="s">
        <v>50</v>
      </c>
      <c r="F3567">
        <v>2</v>
      </c>
      <c r="G3567">
        <v>0.2</v>
      </c>
      <c r="H3567">
        <v>20800</v>
      </c>
      <c r="I3567">
        <v>2605.4299999999998</v>
      </c>
      <c r="J3567" t="s">
        <v>51</v>
      </c>
      <c r="K3567" t="s">
        <v>40</v>
      </c>
      <c r="L3567">
        <v>10400</v>
      </c>
      <c r="M3567">
        <v>12.526105769230769</v>
      </c>
      <c r="N3567" t="s">
        <v>8</v>
      </c>
      <c r="O3567" t="s">
        <v>668</v>
      </c>
      <c r="P3567" t="s">
        <v>29</v>
      </c>
      <c r="Q3567" t="s">
        <v>30</v>
      </c>
      <c r="R3567" t="s">
        <v>31</v>
      </c>
      <c r="S3567" t="s">
        <v>32</v>
      </c>
      <c r="T3567" t="s">
        <v>669</v>
      </c>
      <c r="U3567" t="s">
        <v>46</v>
      </c>
      <c r="V3567">
        <v>1302.7149999999999</v>
      </c>
    </row>
    <row r="3568" spans="1:22" x14ac:dyDescent="0.3">
      <c r="A3568" t="s">
        <v>5044</v>
      </c>
      <c r="B3568" s="2">
        <v>46043</v>
      </c>
      <c r="C3568" t="s">
        <v>3512</v>
      </c>
      <c r="D3568" t="s">
        <v>24</v>
      </c>
      <c r="E3568" t="s">
        <v>92</v>
      </c>
      <c r="F3568">
        <v>2</v>
      </c>
      <c r="G3568">
        <v>0</v>
      </c>
      <c r="H3568">
        <v>1800</v>
      </c>
      <c r="I3568">
        <v>560</v>
      </c>
      <c r="J3568" t="s">
        <v>26</v>
      </c>
      <c r="K3568" t="s">
        <v>27</v>
      </c>
      <c r="L3568">
        <v>900</v>
      </c>
      <c r="M3568">
        <v>31.111111111111111</v>
      </c>
      <c r="N3568" t="s">
        <v>8</v>
      </c>
      <c r="O3568" t="s">
        <v>648</v>
      </c>
      <c r="P3568" t="s">
        <v>83</v>
      </c>
      <c r="Q3568" t="s">
        <v>74</v>
      </c>
      <c r="R3568" t="s">
        <v>115</v>
      </c>
      <c r="S3568" t="s">
        <v>115</v>
      </c>
      <c r="T3568" t="s">
        <v>3513</v>
      </c>
      <c r="U3568" t="s">
        <v>34</v>
      </c>
      <c r="V3568">
        <v>280</v>
      </c>
    </row>
    <row r="3569" spans="1:22" x14ac:dyDescent="0.3">
      <c r="A3569" t="s">
        <v>5045</v>
      </c>
      <c r="B3569" s="2">
        <v>45986</v>
      </c>
      <c r="C3569" t="s">
        <v>748</v>
      </c>
      <c r="D3569" t="s">
        <v>70</v>
      </c>
      <c r="E3569" t="s">
        <v>165</v>
      </c>
      <c r="F3569">
        <v>1</v>
      </c>
      <c r="G3569">
        <v>0.15</v>
      </c>
      <c r="H3569">
        <v>2125</v>
      </c>
      <c r="I3569">
        <v>618.89</v>
      </c>
      <c r="J3569" t="s">
        <v>65</v>
      </c>
      <c r="K3569" t="s">
        <v>40</v>
      </c>
      <c r="L3569">
        <v>2125</v>
      </c>
      <c r="M3569">
        <v>29.12423529411765</v>
      </c>
      <c r="N3569" t="s">
        <v>8</v>
      </c>
      <c r="O3569" t="s">
        <v>749</v>
      </c>
      <c r="P3569" t="s">
        <v>29</v>
      </c>
      <c r="Q3569" t="s">
        <v>30</v>
      </c>
      <c r="R3569" t="s">
        <v>60</v>
      </c>
      <c r="S3569" t="s">
        <v>61</v>
      </c>
      <c r="T3569" t="s">
        <v>750</v>
      </c>
      <c r="U3569" t="s">
        <v>34</v>
      </c>
      <c r="V3569">
        <v>618.89</v>
      </c>
    </row>
    <row r="3570" spans="1:22" x14ac:dyDescent="0.3">
      <c r="A3570" t="s">
        <v>5046</v>
      </c>
      <c r="B3570" s="2">
        <v>45940</v>
      </c>
      <c r="C3570" t="s">
        <v>1367</v>
      </c>
      <c r="D3570" t="s">
        <v>70</v>
      </c>
      <c r="E3570" t="s">
        <v>165</v>
      </c>
      <c r="F3570">
        <v>2</v>
      </c>
      <c r="G3570">
        <v>0.15</v>
      </c>
      <c r="H3570">
        <v>4250</v>
      </c>
      <c r="I3570">
        <v>1235.46</v>
      </c>
      <c r="J3570" t="s">
        <v>39</v>
      </c>
      <c r="K3570" t="s">
        <v>40</v>
      </c>
      <c r="L3570">
        <v>2125</v>
      </c>
      <c r="M3570">
        <v>29.069647058823531</v>
      </c>
      <c r="N3570" t="s">
        <v>8</v>
      </c>
      <c r="O3570" t="s">
        <v>1329</v>
      </c>
      <c r="P3570" t="s">
        <v>29</v>
      </c>
      <c r="Q3570" t="s">
        <v>131</v>
      </c>
      <c r="R3570" t="s">
        <v>132</v>
      </c>
      <c r="S3570" t="s">
        <v>133</v>
      </c>
      <c r="T3570" t="s">
        <v>1368</v>
      </c>
      <c r="U3570" t="s">
        <v>34</v>
      </c>
      <c r="V3570">
        <v>617.73</v>
      </c>
    </row>
    <row r="3571" spans="1:22" x14ac:dyDescent="0.3">
      <c r="A3571" t="s">
        <v>5047</v>
      </c>
      <c r="B3571" s="2">
        <v>45964</v>
      </c>
      <c r="C3571" t="s">
        <v>156</v>
      </c>
      <c r="D3571" t="s">
        <v>49</v>
      </c>
      <c r="E3571" t="s">
        <v>79</v>
      </c>
      <c r="F3571">
        <v>2</v>
      </c>
      <c r="G3571">
        <v>0.05</v>
      </c>
      <c r="H3571">
        <v>20900</v>
      </c>
      <c r="I3571">
        <v>4283.1000000000004</v>
      </c>
      <c r="J3571" t="s">
        <v>39</v>
      </c>
      <c r="K3571" t="s">
        <v>40</v>
      </c>
      <c r="L3571">
        <v>10450</v>
      </c>
      <c r="M3571">
        <v>20.4933014354067</v>
      </c>
      <c r="N3571" t="s">
        <v>8</v>
      </c>
      <c r="O3571" t="s">
        <v>157</v>
      </c>
      <c r="P3571" t="s">
        <v>83</v>
      </c>
      <c r="Q3571" t="s">
        <v>30</v>
      </c>
      <c r="R3571" t="s">
        <v>31</v>
      </c>
      <c r="S3571" t="s">
        <v>32</v>
      </c>
      <c r="T3571" t="s">
        <v>158</v>
      </c>
      <c r="U3571" t="s">
        <v>34</v>
      </c>
      <c r="V3571">
        <v>2141.5500000000002</v>
      </c>
    </row>
    <row r="3572" spans="1:22" x14ac:dyDescent="0.3">
      <c r="A3572" t="s">
        <v>5048</v>
      </c>
      <c r="B3572" s="2">
        <v>45879</v>
      </c>
      <c r="C3572" t="s">
        <v>846</v>
      </c>
      <c r="D3572" t="s">
        <v>70</v>
      </c>
      <c r="E3572" t="s">
        <v>129</v>
      </c>
      <c r="F3572">
        <v>1</v>
      </c>
      <c r="G3572">
        <v>0.2</v>
      </c>
      <c r="H3572">
        <v>44000</v>
      </c>
      <c r="I3572">
        <v>-14778.21</v>
      </c>
      <c r="J3572" t="s">
        <v>26</v>
      </c>
      <c r="K3572" t="s">
        <v>80</v>
      </c>
      <c r="L3572">
        <v>44000</v>
      </c>
      <c r="M3572">
        <v>-33.58684090909091</v>
      </c>
      <c r="N3572" t="s">
        <v>81</v>
      </c>
      <c r="O3572" t="s">
        <v>847</v>
      </c>
      <c r="P3572" t="s">
        <v>29</v>
      </c>
      <c r="Q3572" t="s">
        <v>30</v>
      </c>
      <c r="R3572" t="s">
        <v>53</v>
      </c>
      <c r="S3572" t="s">
        <v>54</v>
      </c>
      <c r="T3572" t="s">
        <v>848</v>
      </c>
      <c r="U3572" t="s">
        <v>34</v>
      </c>
      <c r="V3572">
        <v>-14778.21</v>
      </c>
    </row>
    <row r="3573" spans="1:22" x14ac:dyDescent="0.3">
      <c r="A3573" t="s">
        <v>5049</v>
      </c>
      <c r="B3573" s="2">
        <v>46185</v>
      </c>
      <c r="C3573" t="s">
        <v>921</v>
      </c>
      <c r="D3573" t="s">
        <v>37</v>
      </c>
      <c r="E3573" t="s">
        <v>38</v>
      </c>
      <c r="F3573">
        <v>4</v>
      </c>
      <c r="G3573">
        <v>0.1</v>
      </c>
      <c r="H3573">
        <v>6480</v>
      </c>
      <c r="I3573">
        <v>2206.59</v>
      </c>
      <c r="J3573" t="s">
        <v>51</v>
      </c>
      <c r="K3573" t="s">
        <v>40</v>
      </c>
      <c r="L3573">
        <v>1620</v>
      </c>
      <c r="M3573">
        <v>34.052314814814807</v>
      </c>
      <c r="N3573" t="s">
        <v>8</v>
      </c>
      <c r="O3573" t="s">
        <v>922</v>
      </c>
      <c r="P3573" t="s">
        <v>29</v>
      </c>
      <c r="Q3573" t="s">
        <v>30</v>
      </c>
      <c r="R3573" t="s">
        <v>53</v>
      </c>
      <c r="S3573" t="s">
        <v>54</v>
      </c>
      <c r="T3573" t="s">
        <v>923</v>
      </c>
      <c r="U3573" t="s">
        <v>105</v>
      </c>
      <c r="V3573">
        <v>551.64750000000004</v>
      </c>
    </row>
    <row r="3574" spans="1:22" x14ac:dyDescent="0.3">
      <c r="A3574" t="s">
        <v>5050</v>
      </c>
      <c r="B3574" s="2">
        <v>46123</v>
      </c>
      <c r="C3574" t="s">
        <v>4554</v>
      </c>
      <c r="D3574" t="s">
        <v>37</v>
      </c>
      <c r="E3574" t="s">
        <v>310</v>
      </c>
      <c r="F3574">
        <v>5</v>
      </c>
      <c r="G3574">
        <v>0.2</v>
      </c>
      <c r="H3574">
        <v>8800</v>
      </c>
      <c r="I3574">
        <v>2737.48</v>
      </c>
      <c r="J3574" t="s">
        <v>39</v>
      </c>
      <c r="K3574" t="s">
        <v>40</v>
      </c>
      <c r="L3574">
        <v>1760</v>
      </c>
      <c r="M3574">
        <v>31.107727272727271</v>
      </c>
      <c r="N3574" t="s">
        <v>8</v>
      </c>
      <c r="O3574" t="s">
        <v>3078</v>
      </c>
      <c r="P3574" t="s">
        <v>29</v>
      </c>
      <c r="Q3574" t="s">
        <v>42</v>
      </c>
      <c r="R3574" t="s">
        <v>121</v>
      </c>
      <c r="S3574" t="s">
        <v>44</v>
      </c>
      <c r="T3574" t="s">
        <v>4555</v>
      </c>
      <c r="U3574" t="s">
        <v>34</v>
      </c>
      <c r="V3574">
        <v>547.49599999999998</v>
      </c>
    </row>
    <row r="3575" spans="1:22" x14ac:dyDescent="0.3">
      <c r="A3575" t="s">
        <v>5051</v>
      </c>
      <c r="B3575" s="2">
        <v>46113</v>
      </c>
      <c r="C3575" t="s">
        <v>340</v>
      </c>
      <c r="D3575" t="s">
        <v>49</v>
      </c>
      <c r="E3575" t="s">
        <v>119</v>
      </c>
      <c r="F3575">
        <v>2</v>
      </c>
      <c r="G3575">
        <v>0</v>
      </c>
      <c r="H3575">
        <v>18000</v>
      </c>
      <c r="I3575">
        <v>4600</v>
      </c>
      <c r="J3575" t="s">
        <v>65</v>
      </c>
      <c r="K3575" t="s">
        <v>40</v>
      </c>
      <c r="L3575">
        <v>9000</v>
      </c>
      <c r="M3575">
        <v>25.55555555555555</v>
      </c>
      <c r="N3575" t="s">
        <v>8</v>
      </c>
      <c r="O3575" t="s">
        <v>341</v>
      </c>
      <c r="P3575" t="s">
        <v>29</v>
      </c>
      <c r="Q3575" t="s">
        <v>30</v>
      </c>
      <c r="R3575" t="s">
        <v>98</v>
      </c>
      <c r="S3575" t="s">
        <v>54</v>
      </c>
      <c r="T3575" t="s">
        <v>342</v>
      </c>
      <c r="U3575" t="s">
        <v>100</v>
      </c>
      <c r="V3575">
        <v>2300</v>
      </c>
    </row>
    <row r="3576" spans="1:22" x14ac:dyDescent="0.3">
      <c r="A3576" t="s">
        <v>5052</v>
      </c>
      <c r="B3576" s="2">
        <v>45969</v>
      </c>
      <c r="C3576" t="s">
        <v>866</v>
      </c>
      <c r="D3576" t="s">
        <v>49</v>
      </c>
      <c r="E3576" t="s">
        <v>58</v>
      </c>
      <c r="F3576">
        <v>3</v>
      </c>
      <c r="G3576">
        <v>0.05</v>
      </c>
      <c r="H3576">
        <v>42750</v>
      </c>
      <c r="I3576">
        <v>9386.4</v>
      </c>
      <c r="J3576" t="s">
        <v>26</v>
      </c>
      <c r="K3576" t="s">
        <v>40</v>
      </c>
      <c r="L3576">
        <v>14250</v>
      </c>
      <c r="M3576">
        <v>21.956491228070171</v>
      </c>
      <c r="N3576" t="s">
        <v>8</v>
      </c>
      <c r="O3576" t="s">
        <v>247</v>
      </c>
      <c r="P3576" t="s">
        <v>73</v>
      </c>
      <c r="Q3576" t="s">
        <v>30</v>
      </c>
      <c r="R3576" t="s">
        <v>98</v>
      </c>
      <c r="S3576" t="s">
        <v>54</v>
      </c>
      <c r="T3576" t="s">
        <v>319</v>
      </c>
      <c r="U3576" t="s">
        <v>34</v>
      </c>
      <c r="V3576">
        <v>3128.8</v>
      </c>
    </row>
    <row r="3577" spans="1:22" x14ac:dyDescent="0.3">
      <c r="A3577" t="s">
        <v>5053</v>
      </c>
      <c r="B3577" s="2">
        <v>45976</v>
      </c>
      <c r="C3577" t="s">
        <v>2386</v>
      </c>
      <c r="D3577" t="s">
        <v>49</v>
      </c>
      <c r="E3577" t="s">
        <v>79</v>
      </c>
      <c r="F3577">
        <v>1</v>
      </c>
      <c r="G3577">
        <v>0.2</v>
      </c>
      <c r="H3577">
        <v>8800</v>
      </c>
      <c r="I3577">
        <v>956.16</v>
      </c>
      <c r="J3577" t="s">
        <v>51</v>
      </c>
      <c r="K3577" t="s">
        <v>40</v>
      </c>
      <c r="L3577">
        <v>8800</v>
      </c>
      <c r="M3577">
        <v>10.865454545454551</v>
      </c>
      <c r="N3577" t="s">
        <v>8</v>
      </c>
      <c r="O3577" t="s">
        <v>1364</v>
      </c>
      <c r="P3577" t="s">
        <v>29</v>
      </c>
      <c r="Q3577" t="s">
        <v>131</v>
      </c>
      <c r="R3577" t="s">
        <v>289</v>
      </c>
      <c r="S3577" t="s">
        <v>290</v>
      </c>
      <c r="T3577" t="s">
        <v>1203</v>
      </c>
      <c r="U3577" t="s">
        <v>46</v>
      </c>
      <c r="V3577">
        <v>956.16</v>
      </c>
    </row>
    <row r="3578" spans="1:22" x14ac:dyDescent="0.3">
      <c r="A3578" t="s">
        <v>5054</v>
      </c>
      <c r="B3578" s="2">
        <v>46056</v>
      </c>
      <c r="C3578" t="s">
        <v>309</v>
      </c>
      <c r="D3578" t="s">
        <v>24</v>
      </c>
      <c r="E3578" t="s">
        <v>242</v>
      </c>
      <c r="F3578">
        <v>2</v>
      </c>
      <c r="G3578">
        <v>0.1</v>
      </c>
      <c r="H3578">
        <v>810</v>
      </c>
      <c r="I3578">
        <v>165.86</v>
      </c>
      <c r="J3578" t="s">
        <v>39</v>
      </c>
      <c r="K3578" t="s">
        <v>40</v>
      </c>
      <c r="L3578">
        <v>405</v>
      </c>
      <c r="M3578">
        <v>20.476543209876539</v>
      </c>
      <c r="N3578" t="s">
        <v>8</v>
      </c>
      <c r="O3578" t="s">
        <v>59</v>
      </c>
      <c r="P3578" t="s">
        <v>73</v>
      </c>
      <c r="Q3578" t="s">
        <v>74</v>
      </c>
      <c r="R3578" t="s">
        <v>237</v>
      </c>
      <c r="S3578" t="s">
        <v>238</v>
      </c>
      <c r="T3578" t="s">
        <v>311</v>
      </c>
      <c r="U3578" t="s">
        <v>46</v>
      </c>
      <c r="V3578">
        <v>82.93</v>
      </c>
    </row>
    <row r="3579" spans="1:22" x14ac:dyDescent="0.3">
      <c r="A3579" t="s">
        <v>5055</v>
      </c>
      <c r="B3579" s="2">
        <v>46022</v>
      </c>
      <c r="C3579" t="s">
        <v>3463</v>
      </c>
      <c r="D3579" t="s">
        <v>24</v>
      </c>
      <c r="E3579" t="s">
        <v>92</v>
      </c>
      <c r="F3579">
        <v>1</v>
      </c>
      <c r="G3579">
        <v>0.15</v>
      </c>
      <c r="H3579">
        <v>765</v>
      </c>
      <c r="I3579">
        <v>167.97</v>
      </c>
      <c r="J3579" t="s">
        <v>39</v>
      </c>
      <c r="K3579" t="s">
        <v>40</v>
      </c>
      <c r="L3579">
        <v>765</v>
      </c>
      <c r="M3579">
        <v>21.956862745098039</v>
      </c>
      <c r="N3579" t="s">
        <v>8</v>
      </c>
      <c r="O3579" t="s">
        <v>692</v>
      </c>
      <c r="P3579" t="s">
        <v>29</v>
      </c>
      <c r="Q3579" t="s">
        <v>42</v>
      </c>
      <c r="R3579" t="s">
        <v>110</v>
      </c>
      <c r="S3579" t="s">
        <v>111</v>
      </c>
      <c r="T3579" t="s">
        <v>1671</v>
      </c>
      <c r="U3579" t="s">
        <v>46</v>
      </c>
      <c r="V3579">
        <v>167.97</v>
      </c>
    </row>
    <row r="3580" spans="1:22" x14ac:dyDescent="0.3">
      <c r="A3580" t="s">
        <v>5056</v>
      </c>
      <c r="B3580" s="2">
        <v>46015</v>
      </c>
      <c r="C3580" t="s">
        <v>2217</v>
      </c>
      <c r="D3580" t="s">
        <v>24</v>
      </c>
      <c r="E3580" t="s">
        <v>92</v>
      </c>
      <c r="F3580">
        <v>1</v>
      </c>
      <c r="G3580">
        <v>0.05</v>
      </c>
      <c r="H3580">
        <v>855</v>
      </c>
      <c r="I3580">
        <v>257.77</v>
      </c>
      <c r="J3580" t="s">
        <v>39</v>
      </c>
      <c r="K3580" t="s">
        <v>40</v>
      </c>
      <c r="L3580">
        <v>855</v>
      </c>
      <c r="M3580">
        <v>30.148538011695901</v>
      </c>
      <c r="N3580" t="s">
        <v>8</v>
      </c>
      <c r="O3580" t="s">
        <v>636</v>
      </c>
      <c r="P3580" t="s">
        <v>29</v>
      </c>
      <c r="Q3580" t="s">
        <v>42</v>
      </c>
      <c r="R3580" t="s">
        <v>110</v>
      </c>
      <c r="S3580" t="s">
        <v>111</v>
      </c>
      <c r="T3580" t="s">
        <v>2218</v>
      </c>
      <c r="U3580" t="s">
        <v>46</v>
      </c>
      <c r="V3580">
        <v>257.77</v>
      </c>
    </row>
    <row r="3581" spans="1:22" x14ac:dyDescent="0.3">
      <c r="A3581" t="s">
        <v>5057</v>
      </c>
      <c r="B3581" s="2">
        <v>46054</v>
      </c>
      <c r="C3581" t="s">
        <v>268</v>
      </c>
      <c r="D3581" t="s">
        <v>70</v>
      </c>
      <c r="E3581" t="s">
        <v>71</v>
      </c>
      <c r="F3581">
        <v>1</v>
      </c>
      <c r="G3581">
        <v>0.05</v>
      </c>
      <c r="H3581">
        <v>17100</v>
      </c>
      <c r="I3581">
        <v>3011.38</v>
      </c>
      <c r="J3581" t="s">
        <v>26</v>
      </c>
      <c r="K3581" t="s">
        <v>40</v>
      </c>
      <c r="L3581">
        <v>17100</v>
      </c>
      <c r="M3581">
        <v>17.61040935672515</v>
      </c>
      <c r="N3581" t="s">
        <v>8</v>
      </c>
      <c r="O3581" t="s">
        <v>269</v>
      </c>
      <c r="P3581" t="s">
        <v>29</v>
      </c>
      <c r="Q3581" t="s">
        <v>30</v>
      </c>
      <c r="R3581" t="s">
        <v>31</v>
      </c>
      <c r="S3581" t="s">
        <v>32</v>
      </c>
      <c r="T3581" t="s">
        <v>270</v>
      </c>
      <c r="U3581" t="s">
        <v>34</v>
      </c>
      <c r="V3581">
        <v>3011.38</v>
      </c>
    </row>
    <row r="3582" spans="1:22" x14ac:dyDescent="0.3">
      <c r="A3582" t="s">
        <v>5058</v>
      </c>
      <c r="B3582" s="2">
        <v>46177</v>
      </c>
      <c r="C3582" t="s">
        <v>1777</v>
      </c>
      <c r="D3582" t="s">
        <v>49</v>
      </c>
      <c r="E3582" t="s">
        <v>58</v>
      </c>
      <c r="F3582">
        <v>3</v>
      </c>
      <c r="G3582">
        <v>0.05</v>
      </c>
      <c r="H3582">
        <v>42750</v>
      </c>
      <c r="I3582">
        <v>9060.84</v>
      </c>
      <c r="J3582" t="s">
        <v>51</v>
      </c>
      <c r="K3582" t="s">
        <v>40</v>
      </c>
      <c r="L3582">
        <v>14250</v>
      </c>
      <c r="M3582">
        <v>21.194947368421051</v>
      </c>
      <c r="N3582" t="s">
        <v>8</v>
      </c>
      <c r="O3582" t="s">
        <v>322</v>
      </c>
      <c r="P3582" t="s">
        <v>83</v>
      </c>
      <c r="Q3582" t="s">
        <v>30</v>
      </c>
      <c r="R3582" t="s">
        <v>31</v>
      </c>
      <c r="S3582" t="s">
        <v>32</v>
      </c>
      <c r="T3582" t="s">
        <v>1778</v>
      </c>
      <c r="U3582" t="s">
        <v>34</v>
      </c>
      <c r="V3582">
        <v>3020.28</v>
      </c>
    </row>
    <row r="3583" spans="1:22" x14ac:dyDescent="0.3">
      <c r="A3583" t="s">
        <v>5059</v>
      </c>
      <c r="B3583" s="2">
        <v>45869</v>
      </c>
      <c r="C3583" t="s">
        <v>933</v>
      </c>
      <c r="D3583" t="s">
        <v>49</v>
      </c>
      <c r="E3583" t="s">
        <v>58</v>
      </c>
      <c r="F3583">
        <v>1</v>
      </c>
      <c r="G3583">
        <v>0.1</v>
      </c>
      <c r="H3583">
        <v>13500</v>
      </c>
      <c r="I3583">
        <v>2597.52</v>
      </c>
      <c r="J3583" t="s">
        <v>65</v>
      </c>
      <c r="K3583" t="s">
        <v>40</v>
      </c>
      <c r="L3583">
        <v>13500</v>
      </c>
      <c r="M3583">
        <v>19.24088888888889</v>
      </c>
      <c r="N3583" t="s">
        <v>8</v>
      </c>
      <c r="O3583" t="s">
        <v>233</v>
      </c>
      <c r="P3583" t="s">
        <v>29</v>
      </c>
      <c r="Q3583" t="s">
        <v>30</v>
      </c>
      <c r="R3583" t="s">
        <v>31</v>
      </c>
      <c r="S3583" t="s">
        <v>32</v>
      </c>
      <c r="T3583" t="s">
        <v>934</v>
      </c>
      <c r="U3583" t="s">
        <v>34</v>
      </c>
      <c r="V3583">
        <v>2597.52</v>
      </c>
    </row>
    <row r="3584" spans="1:22" x14ac:dyDescent="0.3">
      <c r="A3584" t="s">
        <v>5060</v>
      </c>
      <c r="B3584" s="2">
        <v>46245</v>
      </c>
      <c r="C3584" t="s">
        <v>272</v>
      </c>
      <c r="D3584" t="s">
        <v>24</v>
      </c>
      <c r="E3584" t="s">
        <v>92</v>
      </c>
      <c r="F3584">
        <v>1</v>
      </c>
      <c r="G3584">
        <v>0.05</v>
      </c>
      <c r="H3584">
        <v>855</v>
      </c>
      <c r="I3584">
        <v>243.5</v>
      </c>
      <c r="J3584" t="s">
        <v>26</v>
      </c>
      <c r="K3584" t="s">
        <v>40</v>
      </c>
      <c r="L3584">
        <v>855</v>
      </c>
      <c r="M3584">
        <v>28.479532163742689</v>
      </c>
      <c r="N3584" t="s">
        <v>8</v>
      </c>
      <c r="O3584" t="s">
        <v>166</v>
      </c>
      <c r="P3584" t="s">
        <v>73</v>
      </c>
      <c r="Q3584" t="s">
        <v>30</v>
      </c>
      <c r="R3584" t="s">
        <v>98</v>
      </c>
      <c r="S3584" t="s">
        <v>54</v>
      </c>
      <c r="T3584" t="s">
        <v>273</v>
      </c>
      <c r="U3584" t="s">
        <v>105</v>
      </c>
      <c r="V3584">
        <v>243.5</v>
      </c>
    </row>
    <row r="3585" spans="1:22" x14ac:dyDescent="0.3">
      <c r="A3585" t="s">
        <v>5061</v>
      </c>
      <c r="B3585" s="2">
        <v>45862</v>
      </c>
      <c r="C3585" t="s">
        <v>574</v>
      </c>
      <c r="D3585" t="s">
        <v>24</v>
      </c>
      <c r="E3585" t="s">
        <v>25</v>
      </c>
      <c r="F3585">
        <v>1</v>
      </c>
      <c r="G3585">
        <v>0</v>
      </c>
      <c r="H3585">
        <v>14000</v>
      </c>
      <c r="I3585">
        <v>2800</v>
      </c>
      <c r="J3585" t="s">
        <v>51</v>
      </c>
      <c r="K3585" t="s">
        <v>27</v>
      </c>
      <c r="L3585">
        <v>14000</v>
      </c>
      <c r="M3585">
        <v>20</v>
      </c>
      <c r="N3585" t="s">
        <v>8</v>
      </c>
      <c r="O3585" t="s">
        <v>510</v>
      </c>
      <c r="P3585" t="s">
        <v>73</v>
      </c>
      <c r="Q3585" t="s">
        <v>74</v>
      </c>
      <c r="R3585" t="s">
        <v>75</v>
      </c>
      <c r="S3585" t="s">
        <v>75</v>
      </c>
      <c r="T3585" t="s">
        <v>575</v>
      </c>
      <c r="U3585" t="s">
        <v>100</v>
      </c>
      <c r="V3585">
        <v>2800</v>
      </c>
    </row>
    <row r="3586" spans="1:22" x14ac:dyDescent="0.3">
      <c r="A3586" t="s">
        <v>5062</v>
      </c>
      <c r="B3586" s="2">
        <v>45969</v>
      </c>
      <c r="C3586" t="s">
        <v>1276</v>
      </c>
      <c r="D3586" t="s">
        <v>70</v>
      </c>
      <c r="E3586" t="s">
        <v>71</v>
      </c>
      <c r="F3586">
        <v>1</v>
      </c>
      <c r="G3586">
        <v>0.05</v>
      </c>
      <c r="H3586">
        <v>17100</v>
      </c>
      <c r="I3586">
        <v>2898.09</v>
      </c>
      <c r="J3586" t="s">
        <v>51</v>
      </c>
      <c r="K3586" t="s">
        <v>40</v>
      </c>
      <c r="L3586">
        <v>17100</v>
      </c>
      <c r="M3586">
        <v>16.947894736842109</v>
      </c>
      <c r="N3586" t="s">
        <v>8</v>
      </c>
      <c r="O3586" t="s">
        <v>1277</v>
      </c>
      <c r="P3586" t="s">
        <v>73</v>
      </c>
      <c r="Q3586" t="s">
        <v>74</v>
      </c>
      <c r="R3586" t="s">
        <v>75</v>
      </c>
      <c r="S3586" t="s">
        <v>75</v>
      </c>
      <c r="T3586" t="s">
        <v>1278</v>
      </c>
      <c r="U3586" t="s">
        <v>34</v>
      </c>
      <c r="V3586">
        <v>2898.09</v>
      </c>
    </row>
    <row r="3587" spans="1:22" x14ac:dyDescent="0.3">
      <c r="A3587" t="s">
        <v>5063</v>
      </c>
      <c r="B3587" s="2">
        <v>45893</v>
      </c>
      <c r="C3587" t="s">
        <v>2021</v>
      </c>
      <c r="D3587" t="s">
        <v>37</v>
      </c>
      <c r="E3587" t="s">
        <v>170</v>
      </c>
      <c r="F3587">
        <v>1</v>
      </c>
      <c r="G3587">
        <v>0</v>
      </c>
      <c r="H3587">
        <v>1400</v>
      </c>
      <c r="I3587">
        <v>500</v>
      </c>
      <c r="J3587" t="s">
        <v>65</v>
      </c>
      <c r="K3587" t="s">
        <v>40</v>
      </c>
      <c r="L3587">
        <v>1400</v>
      </c>
      <c r="M3587">
        <v>35.714285714285722</v>
      </c>
      <c r="N3587" t="s">
        <v>8</v>
      </c>
      <c r="O3587" t="s">
        <v>2022</v>
      </c>
      <c r="P3587" t="s">
        <v>83</v>
      </c>
      <c r="Q3587" t="s">
        <v>74</v>
      </c>
      <c r="R3587" t="s">
        <v>75</v>
      </c>
      <c r="S3587" t="s">
        <v>75</v>
      </c>
      <c r="T3587" t="s">
        <v>2023</v>
      </c>
      <c r="U3587" t="s">
        <v>100</v>
      </c>
      <c r="V3587">
        <v>500</v>
      </c>
    </row>
    <row r="3588" spans="1:22" x14ac:dyDescent="0.3">
      <c r="A3588" t="s">
        <v>5064</v>
      </c>
      <c r="B3588" s="2">
        <v>46057</v>
      </c>
      <c r="C3588" t="s">
        <v>3463</v>
      </c>
      <c r="D3588" t="s">
        <v>49</v>
      </c>
      <c r="E3588" t="s">
        <v>119</v>
      </c>
      <c r="F3588">
        <v>2</v>
      </c>
      <c r="G3588">
        <v>0.1</v>
      </c>
      <c r="H3588">
        <v>16200</v>
      </c>
      <c r="I3588">
        <v>3462.44</v>
      </c>
      <c r="J3588" t="s">
        <v>39</v>
      </c>
      <c r="K3588" t="s">
        <v>27</v>
      </c>
      <c r="L3588">
        <v>8100</v>
      </c>
      <c r="M3588">
        <v>21.37308641975309</v>
      </c>
      <c r="N3588" t="s">
        <v>8</v>
      </c>
      <c r="O3588" t="s">
        <v>692</v>
      </c>
      <c r="P3588" t="s">
        <v>29</v>
      </c>
      <c r="Q3588" t="s">
        <v>42</v>
      </c>
      <c r="R3588" t="s">
        <v>110</v>
      </c>
      <c r="S3588" t="s">
        <v>111</v>
      </c>
      <c r="T3588" t="s">
        <v>1671</v>
      </c>
      <c r="U3588" t="s">
        <v>46</v>
      </c>
      <c r="V3588">
        <v>1731.22</v>
      </c>
    </row>
    <row r="3589" spans="1:22" x14ac:dyDescent="0.3">
      <c r="A3589" t="s">
        <v>5065</v>
      </c>
      <c r="B3589" s="2">
        <v>46263</v>
      </c>
      <c r="C3589" t="s">
        <v>389</v>
      </c>
      <c r="D3589" t="s">
        <v>24</v>
      </c>
      <c r="E3589" t="s">
        <v>87</v>
      </c>
      <c r="F3589">
        <v>1</v>
      </c>
      <c r="G3589">
        <v>0.15</v>
      </c>
      <c r="H3589">
        <v>297.5</v>
      </c>
      <c r="I3589">
        <v>-154.53</v>
      </c>
      <c r="J3589" t="s">
        <v>51</v>
      </c>
      <c r="K3589" t="s">
        <v>80</v>
      </c>
      <c r="L3589">
        <v>297.5</v>
      </c>
      <c r="M3589">
        <v>-51.942857142857143</v>
      </c>
      <c r="N3589" t="s">
        <v>81</v>
      </c>
      <c r="O3589" t="s">
        <v>390</v>
      </c>
      <c r="P3589" t="s">
        <v>29</v>
      </c>
      <c r="Q3589" t="s">
        <v>30</v>
      </c>
      <c r="R3589" t="s">
        <v>53</v>
      </c>
      <c r="S3589" t="s">
        <v>54</v>
      </c>
      <c r="T3589" t="s">
        <v>391</v>
      </c>
      <c r="U3589" t="s">
        <v>100</v>
      </c>
      <c r="V3589">
        <v>-154.53</v>
      </c>
    </row>
    <row r="3590" spans="1:22" x14ac:dyDescent="0.3">
      <c r="A3590" t="s">
        <v>5066</v>
      </c>
      <c r="B3590" s="2">
        <v>46032</v>
      </c>
      <c r="C3590" t="s">
        <v>2112</v>
      </c>
      <c r="D3590" t="s">
        <v>70</v>
      </c>
      <c r="E3590" t="s">
        <v>108</v>
      </c>
      <c r="F3590">
        <v>4</v>
      </c>
      <c r="G3590">
        <v>0.15</v>
      </c>
      <c r="H3590">
        <v>15300</v>
      </c>
      <c r="I3590">
        <v>4114.83</v>
      </c>
      <c r="J3590" t="s">
        <v>65</v>
      </c>
      <c r="K3590" t="s">
        <v>40</v>
      </c>
      <c r="L3590">
        <v>3825</v>
      </c>
      <c r="M3590">
        <v>26.894313725490189</v>
      </c>
      <c r="N3590" t="s">
        <v>8</v>
      </c>
      <c r="O3590" t="s">
        <v>2113</v>
      </c>
      <c r="P3590" t="s">
        <v>29</v>
      </c>
      <c r="Q3590" t="s">
        <v>42</v>
      </c>
      <c r="R3590" t="s">
        <v>214</v>
      </c>
      <c r="S3590" t="s">
        <v>111</v>
      </c>
      <c r="T3590" t="s">
        <v>2114</v>
      </c>
      <c r="U3590" t="s">
        <v>34</v>
      </c>
      <c r="V3590">
        <v>1028.7075</v>
      </c>
    </row>
    <row r="3591" spans="1:22" x14ac:dyDescent="0.3">
      <c r="A3591" t="s">
        <v>5067</v>
      </c>
      <c r="B3591" s="2">
        <v>46024</v>
      </c>
      <c r="C3591" t="s">
        <v>736</v>
      </c>
      <c r="D3591" t="s">
        <v>70</v>
      </c>
      <c r="E3591" t="s">
        <v>71</v>
      </c>
      <c r="F3591">
        <v>1</v>
      </c>
      <c r="G3591">
        <v>0.15</v>
      </c>
      <c r="H3591">
        <v>15300</v>
      </c>
      <c r="I3591">
        <v>-8586.65</v>
      </c>
      <c r="J3591" t="s">
        <v>39</v>
      </c>
      <c r="K3591" t="s">
        <v>434</v>
      </c>
      <c r="L3591">
        <v>15300</v>
      </c>
      <c r="M3591">
        <v>-56.121895424836602</v>
      </c>
      <c r="N3591" t="s">
        <v>81</v>
      </c>
      <c r="O3591" t="s">
        <v>648</v>
      </c>
      <c r="P3591" t="s">
        <v>29</v>
      </c>
      <c r="Q3591" t="s">
        <v>30</v>
      </c>
      <c r="R3591" t="s">
        <v>60</v>
      </c>
      <c r="S3591" t="s">
        <v>61</v>
      </c>
      <c r="T3591" t="s">
        <v>311</v>
      </c>
      <c r="U3591" t="s">
        <v>34</v>
      </c>
      <c r="V3591">
        <v>-8586.65</v>
      </c>
    </row>
    <row r="3592" spans="1:22" x14ac:dyDescent="0.3">
      <c r="A3592" t="s">
        <v>5068</v>
      </c>
      <c r="B3592" s="2">
        <v>46186</v>
      </c>
      <c r="C3592" t="s">
        <v>1436</v>
      </c>
      <c r="D3592" t="s">
        <v>70</v>
      </c>
      <c r="E3592" t="s">
        <v>165</v>
      </c>
      <c r="F3592">
        <v>150</v>
      </c>
      <c r="G3592">
        <v>0</v>
      </c>
      <c r="H3592">
        <v>6187500</v>
      </c>
      <c r="I3592">
        <v>-309375</v>
      </c>
      <c r="J3592" t="s">
        <v>39</v>
      </c>
      <c r="K3592" t="s">
        <v>40</v>
      </c>
      <c r="L3592">
        <v>41250</v>
      </c>
      <c r="M3592">
        <v>-5</v>
      </c>
      <c r="N3592" t="s">
        <v>81</v>
      </c>
      <c r="O3592" t="s">
        <v>697</v>
      </c>
      <c r="P3592" t="s">
        <v>83</v>
      </c>
      <c r="Q3592" t="s">
        <v>30</v>
      </c>
      <c r="R3592" t="s">
        <v>60</v>
      </c>
      <c r="S3592" t="s">
        <v>61</v>
      </c>
      <c r="T3592" t="s">
        <v>1437</v>
      </c>
      <c r="U3592" t="s">
        <v>46</v>
      </c>
      <c r="V3592">
        <v>-2062.5</v>
      </c>
    </row>
    <row r="3593" spans="1:22" x14ac:dyDescent="0.3">
      <c r="A3593" t="s">
        <v>5069</v>
      </c>
      <c r="B3593" s="2">
        <v>46247</v>
      </c>
      <c r="C3593" t="s">
        <v>433</v>
      </c>
      <c r="D3593" t="s">
        <v>24</v>
      </c>
      <c r="E3593" t="s">
        <v>92</v>
      </c>
      <c r="F3593">
        <v>1</v>
      </c>
      <c r="G3593">
        <v>0.1</v>
      </c>
      <c r="H3593">
        <v>810</v>
      </c>
      <c r="I3593">
        <v>237.89</v>
      </c>
      <c r="J3593" t="s">
        <v>39</v>
      </c>
      <c r="K3593" t="s">
        <v>27</v>
      </c>
      <c r="L3593">
        <v>810</v>
      </c>
      <c r="M3593">
        <v>29.369135802469131</v>
      </c>
      <c r="N3593" t="s">
        <v>8</v>
      </c>
      <c r="O3593" t="s">
        <v>435</v>
      </c>
      <c r="P3593" t="s">
        <v>73</v>
      </c>
      <c r="Q3593" t="s">
        <v>42</v>
      </c>
      <c r="R3593" t="s">
        <v>214</v>
      </c>
      <c r="S3593" t="s">
        <v>111</v>
      </c>
      <c r="T3593" t="s">
        <v>436</v>
      </c>
      <c r="U3593" t="s">
        <v>46</v>
      </c>
      <c r="V3593">
        <v>237.89</v>
      </c>
    </row>
    <row r="3594" spans="1:22" x14ac:dyDescent="0.3">
      <c r="A3594" t="s">
        <v>5070</v>
      </c>
      <c r="B3594" s="2">
        <v>46262</v>
      </c>
      <c r="C3594" t="s">
        <v>1338</v>
      </c>
      <c r="D3594" t="s">
        <v>49</v>
      </c>
      <c r="E3594" t="s">
        <v>50</v>
      </c>
      <c r="F3594">
        <v>2</v>
      </c>
      <c r="G3594">
        <v>0.15</v>
      </c>
      <c r="H3594">
        <v>22100</v>
      </c>
      <c r="I3594">
        <v>-2388.04</v>
      </c>
      <c r="J3594" t="s">
        <v>51</v>
      </c>
      <c r="K3594" t="s">
        <v>434</v>
      </c>
      <c r="L3594">
        <v>11050</v>
      </c>
      <c r="M3594">
        <v>-10.80561085972851</v>
      </c>
      <c r="N3594" t="s">
        <v>81</v>
      </c>
      <c r="O3594" t="s">
        <v>82</v>
      </c>
      <c r="P3594" t="s">
        <v>29</v>
      </c>
      <c r="Q3594" t="s">
        <v>74</v>
      </c>
      <c r="R3594" t="s">
        <v>75</v>
      </c>
      <c r="S3594" t="s">
        <v>75</v>
      </c>
      <c r="T3594" t="s">
        <v>1339</v>
      </c>
      <c r="U3594" t="s">
        <v>100</v>
      </c>
      <c r="V3594">
        <v>-1194.02</v>
      </c>
    </row>
    <row r="3595" spans="1:22" x14ac:dyDescent="0.3">
      <c r="A3595" t="s">
        <v>5071</v>
      </c>
      <c r="B3595" s="2">
        <v>46142</v>
      </c>
      <c r="C3595" t="s">
        <v>1690</v>
      </c>
      <c r="D3595" t="s">
        <v>24</v>
      </c>
      <c r="E3595" t="s">
        <v>242</v>
      </c>
      <c r="F3595">
        <v>4</v>
      </c>
      <c r="G3595">
        <v>0.05</v>
      </c>
      <c r="H3595">
        <v>1710</v>
      </c>
      <c r="I3595">
        <v>363.79</v>
      </c>
      <c r="J3595" t="s">
        <v>26</v>
      </c>
      <c r="K3595" t="s">
        <v>40</v>
      </c>
      <c r="L3595">
        <v>427.5</v>
      </c>
      <c r="M3595">
        <v>21.274269005847959</v>
      </c>
      <c r="N3595" t="s">
        <v>8</v>
      </c>
      <c r="O3595" t="s">
        <v>1566</v>
      </c>
      <c r="P3595" t="s">
        <v>73</v>
      </c>
      <c r="Q3595" t="s">
        <v>30</v>
      </c>
      <c r="R3595" t="s">
        <v>53</v>
      </c>
      <c r="S3595" t="s">
        <v>54</v>
      </c>
      <c r="T3595" t="s">
        <v>1691</v>
      </c>
      <c r="U3595" t="s">
        <v>105</v>
      </c>
      <c r="V3595">
        <v>90.947500000000005</v>
      </c>
    </row>
    <row r="3596" spans="1:22" x14ac:dyDescent="0.3">
      <c r="A3596" t="s">
        <v>5072</v>
      </c>
      <c r="B3596" s="2">
        <v>45991</v>
      </c>
      <c r="C3596" t="s">
        <v>1377</v>
      </c>
      <c r="D3596" t="s">
        <v>37</v>
      </c>
      <c r="E3596" t="s">
        <v>310</v>
      </c>
      <c r="F3596">
        <v>1</v>
      </c>
      <c r="G3596">
        <v>0.15</v>
      </c>
      <c r="H3596">
        <v>1870</v>
      </c>
      <c r="I3596">
        <v>-477.49</v>
      </c>
      <c r="J3596" t="s">
        <v>65</v>
      </c>
      <c r="K3596" t="s">
        <v>434</v>
      </c>
      <c r="L3596">
        <v>1870</v>
      </c>
      <c r="M3596">
        <v>-25.534224598930479</v>
      </c>
      <c r="N3596" t="s">
        <v>81</v>
      </c>
      <c r="O3596" t="s">
        <v>1378</v>
      </c>
      <c r="P3596" t="s">
        <v>29</v>
      </c>
      <c r="Q3596" t="s">
        <v>30</v>
      </c>
      <c r="R3596" t="s">
        <v>53</v>
      </c>
      <c r="S3596" t="s">
        <v>54</v>
      </c>
      <c r="T3596" t="s">
        <v>1379</v>
      </c>
      <c r="U3596" t="s">
        <v>100</v>
      </c>
      <c r="V3596">
        <v>-477.49</v>
      </c>
    </row>
    <row r="3597" spans="1:22" x14ac:dyDescent="0.3">
      <c r="A3597" t="s">
        <v>5073</v>
      </c>
      <c r="B3597" s="2">
        <v>45923</v>
      </c>
      <c r="C3597" t="s">
        <v>501</v>
      </c>
      <c r="D3597" t="s">
        <v>49</v>
      </c>
      <c r="E3597" t="s">
        <v>58</v>
      </c>
      <c r="F3597">
        <v>2</v>
      </c>
      <c r="G3597">
        <v>0.05</v>
      </c>
      <c r="H3597">
        <v>28500</v>
      </c>
      <c r="I3597">
        <v>6321.68</v>
      </c>
      <c r="J3597" t="s">
        <v>51</v>
      </c>
      <c r="K3597" t="s">
        <v>40</v>
      </c>
      <c r="L3597">
        <v>14250</v>
      </c>
      <c r="M3597">
        <v>22.181333333333331</v>
      </c>
      <c r="N3597" t="s">
        <v>8</v>
      </c>
      <c r="O3597" t="s">
        <v>502</v>
      </c>
      <c r="P3597" t="s">
        <v>29</v>
      </c>
      <c r="Q3597" t="s">
        <v>30</v>
      </c>
      <c r="R3597" t="s">
        <v>31</v>
      </c>
      <c r="S3597" t="s">
        <v>32</v>
      </c>
      <c r="T3597" t="s">
        <v>503</v>
      </c>
      <c r="U3597" t="s">
        <v>100</v>
      </c>
      <c r="V3597">
        <v>3160.84</v>
      </c>
    </row>
    <row r="3598" spans="1:22" x14ac:dyDescent="0.3">
      <c r="A3598" t="s">
        <v>5074</v>
      </c>
      <c r="B3598" s="2">
        <v>46202</v>
      </c>
      <c r="C3598" t="s">
        <v>1423</v>
      </c>
      <c r="D3598" t="s">
        <v>24</v>
      </c>
      <c r="E3598" t="s">
        <v>92</v>
      </c>
      <c r="F3598">
        <v>5</v>
      </c>
      <c r="G3598">
        <v>0.1</v>
      </c>
      <c r="H3598">
        <v>4050</v>
      </c>
      <c r="I3598">
        <v>1036.0899999999999</v>
      </c>
      <c r="J3598" t="s">
        <v>26</v>
      </c>
      <c r="K3598" t="s">
        <v>40</v>
      </c>
      <c r="L3598">
        <v>810</v>
      </c>
      <c r="M3598">
        <v>25.582469135802469</v>
      </c>
      <c r="N3598" t="s">
        <v>8</v>
      </c>
      <c r="O3598" t="s">
        <v>1424</v>
      </c>
      <c r="P3598" t="s">
        <v>29</v>
      </c>
      <c r="Q3598" t="s">
        <v>74</v>
      </c>
      <c r="R3598" t="s">
        <v>75</v>
      </c>
      <c r="S3598" t="s">
        <v>75</v>
      </c>
      <c r="T3598" t="s">
        <v>1425</v>
      </c>
      <c r="U3598" t="s">
        <v>34</v>
      </c>
      <c r="V3598">
        <v>207.21799999999999</v>
      </c>
    </row>
    <row r="3599" spans="1:22" x14ac:dyDescent="0.3">
      <c r="A3599" t="s">
        <v>5075</v>
      </c>
      <c r="B3599" s="2">
        <v>46006</v>
      </c>
      <c r="C3599" t="s">
        <v>843</v>
      </c>
      <c r="D3599" t="s">
        <v>24</v>
      </c>
      <c r="E3599" t="s">
        <v>87</v>
      </c>
      <c r="F3599">
        <v>2</v>
      </c>
      <c r="G3599">
        <v>0.15</v>
      </c>
      <c r="H3599">
        <v>595</v>
      </c>
      <c r="I3599">
        <v>181.08</v>
      </c>
      <c r="J3599" t="s">
        <v>51</v>
      </c>
      <c r="K3599" t="s">
        <v>40</v>
      </c>
      <c r="L3599">
        <v>297.5</v>
      </c>
      <c r="M3599">
        <v>30.43361344537815</v>
      </c>
      <c r="N3599" t="s">
        <v>8</v>
      </c>
      <c r="O3599" t="s">
        <v>844</v>
      </c>
      <c r="P3599" t="s">
        <v>29</v>
      </c>
      <c r="Q3599" t="s">
        <v>42</v>
      </c>
      <c r="R3599" t="s">
        <v>214</v>
      </c>
      <c r="S3599" t="s">
        <v>111</v>
      </c>
      <c r="T3599" t="s">
        <v>750</v>
      </c>
      <c r="U3599" t="s">
        <v>100</v>
      </c>
      <c r="V3599">
        <v>90.54</v>
      </c>
    </row>
    <row r="3600" spans="1:22" x14ac:dyDescent="0.3">
      <c r="A3600" t="s">
        <v>5076</v>
      </c>
      <c r="B3600" s="2">
        <v>45966</v>
      </c>
      <c r="C3600" t="s">
        <v>2266</v>
      </c>
      <c r="D3600" t="s">
        <v>49</v>
      </c>
      <c r="E3600" t="s">
        <v>58</v>
      </c>
      <c r="F3600">
        <v>5</v>
      </c>
      <c r="G3600">
        <v>0.2</v>
      </c>
      <c r="H3600">
        <v>60000</v>
      </c>
      <c r="I3600">
        <v>6953.85</v>
      </c>
      <c r="J3600" t="s">
        <v>39</v>
      </c>
      <c r="K3600" t="s">
        <v>40</v>
      </c>
      <c r="L3600">
        <v>12000</v>
      </c>
      <c r="M3600">
        <v>11.58975</v>
      </c>
      <c r="N3600" t="s">
        <v>8</v>
      </c>
      <c r="O3600" t="s">
        <v>2267</v>
      </c>
      <c r="P3600" t="s">
        <v>29</v>
      </c>
      <c r="Q3600" t="s">
        <v>42</v>
      </c>
      <c r="R3600" t="s">
        <v>121</v>
      </c>
      <c r="S3600" t="s">
        <v>44</v>
      </c>
      <c r="T3600" t="s">
        <v>2268</v>
      </c>
      <c r="U3600" t="s">
        <v>46</v>
      </c>
      <c r="V3600">
        <v>1390.77</v>
      </c>
    </row>
    <row r="3601" spans="1:22" x14ac:dyDescent="0.3">
      <c r="A3601" t="s">
        <v>5077</v>
      </c>
      <c r="B3601" s="2">
        <v>46221</v>
      </c>
      <c r="C3601" t="s">
        <v>2223</v>
      </c>
      <c r="D3601" t="s">
        <v>70</v>
      </c>
      <c r="E3601" t="s">
        <v>71</v>
      </c>
      <c r="F3601">
        <v>2</v>
      </c>
      <c r="G3601">
        <v>0</v>
      </c>
      <c r="H3601">
        <v>36000</v>
      </c>
      <c r="I3601">
        <v>-7830.63</v>
      </c>
      <c r="J3601" t="s">
        <v>65</v>
      </c>
      <c r="K3601" t="s">
        <v>80</v>
      </c>
      <c r="L3601">
        <v>18000</v>
      </c>
      <c r="M3601">
        <v>-21.751750000000001</v>
      </c>
      <c r="N3601" t="s">
        <v>81</v>
      </c>
      <c r="O3601" t="s">
        <v>284</v>
      </c>
      <c r="P3601" t="s">
        <v>73</v>
      </c>
      <c r="Q3601" t="s">
        <v>131</v>
      </c>
      <c r="R3601" t="s">
        <v>132</v>
      </c>
      <c r="S3601" t="s">
        <v>133</v>
      </c>
      <c r="T3601" t="s">
        <v>2224</v>
      </c>
      <c r="U3601" t="s">
        <v>46</v>
      </c>
      <c r="V3601">
        <v>-3915.3150000000001</v>
      </c>
    </row>
    <row r="3602" spans="1:22" x14ac:dyDescent="0.3">
      <c r="A3602" t="s">
        <v>5078</v>
      </c>
      <c r="B3602" s="2">
        <v>45930</v>
      </c>
      <c r="C3602" t="s">
        <v>559</v>
      </c>
      <c r="D3602" t="s">
        <v>37</v>
      </c>
      <c r="E3602" t="s">
        <v>310</v>
      </c>
      <c r="F3602">
        <v>3</v>
      </c>
      <c r="G3602">
        <v>0</v>
      </c>
      <c r="H3602">
        <v>6600</v>
      </c>
      <c r="I3602">
        <v>2250</v>
      </c>
      <c r="J3602" t="s">
        <v>51</v>
      </c>
      <c r="K3602" t="s">
        <v>27</v>
      </c>
      <c r="L3602">
        <v>2200</v>
      </c>
      <c r="M3602">
        <v>34.090909090909093</v>
      </c>
      <c r="N3602" t="s">
        <v>8</v>
      </c>
      <c r="O3602" t="s">
        <v>478</v>
      </c>
      <c r="P3602" t="s">
        <v>29</v>
      </c>
      <c r="Q3602" t="s">
        <v>30</v>
      </c>
      <c r="R3602" t="s">
        <v>53</v>
      </c>
      <c r="S3602" t="s">
        <v>54</v>
      </c>
      <c r="T3602" t="s">
        <v>560</v>
      </c>
      <c r="U3602" t="s">
        <v>34</v>
      </c>
      <c r="V3602">
        <v>750</v>
      </c>
    </row>
    <row r="3603" spans="1:22" x14ac:dyDescent="0.3">
      <c r="A3603" t="s">
        <v>5079</v>
      </c>
      <c r="B3603" s="2">
        <v>46171</v>
      </c>
      <c r="C3603" t="s">
        <v>164</v>
      </c>
      <c r="D3603" t="s">
        <v>70</v>
      </c>
      <c r="E3603" t="s">
        <v>108</v>
      </c>
      <c r="F3603">
        <v>2</v>
      </c>
      <c r="G3603">
        <v>0</v>
      </c>
      <c r="H3603">
        <v>9000</v>
      </c>
      <c r="I3603">
        <v>3000</v>
      </c>
      <c r="J3603" t="s">
        <v>51</v>
      </c>
      <c r="K3603" t="s">
        <v>27</v>
      </c>
      <c r="L3603">
        <v>4500</v>
      </c>
      <c r="M3603">
        <v>33.333333333333329</v>
      </c>
      <c r="N3603" t="s">
        <v>8</v>
      </c>
      <c r="O3603" t="s">
        <v>166</v>
      </c>
      <c r="P3603" t="s">
        <v>73</v>
      </c>
      <c r="Q3603" t="s">
        <v>30</v>
      </c>
      <c r="R3603" t="s">
        <v>53</v>
      </c>
      <c r="S3603" t="s">
        <v>54</v>
      </c>
      <c r="T3603" t="s">
        <v>167</v>
      </c>
      <c r="U3603" t="s">
        <v>46</v>
      </c>
      <c r="V3603">
        <v>1500</v>
      </c>
    </row>
    <row r="3604" spans="1:22" x14ac:dyDescent="0.3">
      <c r="A3604" t="s">
        <v>5080</v>
      </c>
      <c r="B3604" s="2">
        <v>46195</v>
      </c>
      <c r="C3604" t="s">
        <v>1723</v>
      </c>
      <c r="D3604" t="s">
        <v>37</v>
      </c>
      <c r="E3604" t="s">
        <v>310</v>
      </c>
      <c r="F3604">
        <v>1</v>
      </c>
      <c r="G3604">
        <v>0</v>
      </c>
      <c r="H3604">
        <v>2200</v>
      </c>
      <c r="I3604">
        <v>750</v>
      </c>
      <c r="J3604" t="s">
        <v>65</v>
      </c>
      <c r="K3604" t="s">
        <v>40</v>
      </c>
      <c r="L3604">
        <v>2200</v>
      </c>
      <c r="M3604">
        <v>34.090909090909093</v>
      </c>
      <c r="N3604" t="s">
        <v>8</v>
      </c>
      <c r="O3604" t="s">
        <v>398</v>
      </c>
      <c r="P3604" t="s">
        <v>83</v>
      </c>
      <c r="Q3604" t="s">
        <v>30</v>
      </c>
      <c r="R3604" t="s">
        <v>98</v>
      </c>
      <c r="S3604" t="s">
        <v>54</v>
      </c>
      <c r="T3604" t="s">
        <v>1724</v>
      </c>
      <c r="U3604" t="s">
        <v>46</v>
      </c>
      <c r="V3604">
        <v>750</v>
      </c>
    </row>
    <row r="3605" spans="1:22" x14ac:dyDescent="0.3">
      <c r="A3605" t="s">
        <v>5081</v>
      </c>
      <c r="B3605" s="2">
        <v>46131</v>
      </c>
      <c r="C3605" t="s">
        <v>941</v>
      </c>
      <c r="D3605" t="s">
        <v>70</v>
      </c>
      <c r="E3605" t="s">
        <v>108</v>
      </c>
      <c r="F3605">
        <v>10</v>
      </c>
      <c r="G3605">
        <v>0</v>
      </c>
      <c r="H3605">
        <v>45000</v>
      </c>
      <c r="I3605">
        <v>15000</v>
      </c>
      <c r="J3605" t="s">
        <v>65</v>
      </c>
      <c r="K3605" t="s">
        <v>40</v>
      </c>
      <c r="L3605">
        <v>4500</v>
      </c>
      <c r="M3605">
        <v>33.333333333333329</v>
      </c>
      <c r="N3605" t="s">
        <v>8</v>
      </c>
      <c r="O3605" t="s">
        <v>942</v>
      </c>
      <c r="P3605" t="s">
        <v>73</v>
      </c>
      <c r="Q3605" t="s">
        <v>42</v>
      </c>
      <c r="R3605" t="s">
        <v>110</v>
      </c>
      <c r="S3605" t="s">
        <v>111</v>
      </c>
      <c r="T3605" t="s">
        <v>943</v>
      </c>
      <c r="U3605" t="s">
        <v>46</v>
      </c>
      <c r="V3605">
        <v>1500</v>
      </c>
    </row>
    <row r="3606" spans="1:22" x14ac:dyDescent="0.3">
      <c r="A3606" t="s">
        <v>5082</v>
      </c>
      <c r="B3606" s="2">
        <v>46210</v>
      </c>
      <c r="C3606" t="s">
        <v>1955</v>
      </c>
      <c r="D3606" t="s">
        <v>49</v>
      </c>
      <c r="E3606" t="s">
        <v>58</v>
      </c>
      <c r="F3606">
        <v>3</v>
      </c>
      <c r="G3606">
        <v>0.1</v>
      </c>
      <c r="H3606">
        <v>40500</v>
      </c>
      <c r="I3606">
        <v>8141.46</v>
      </c>
      <c r="J3606" t="s">
        <v>39</v>
      </c>
      <c r="K3606" t="s">
        <v>40</v>
      </c>
      <c r="L3606">
        <v>13500</v>
      </c>
      <c r="M3606">
        <v>20.10237037037037</v>
      </c>
      <c r="N3606" t="s">
        <v>8</v>
      </c>
      <c r="O3606" t="s">
        <v>754</v>
      </c>
      <c r="P3606" t="s">
        <v>29</v>
      </c>
      <c r="Q3606" t="s">
        <v>74</v>
      </c>
      <c r="R3606" t="s">
        <v>493</v>
      </c>
      <c r="S3606" t="s">
        <v>494</v>
      </c>
      <c r="T3606" t="s">
        <v>244</v>
      </c>
      <c r="U3606" t="s">
        <v>105</v>
      </c>
      <c r="V3606">
        <v>2713.82</v>
      </c>
    </row>
    <row r="3607" spans="1:22" x14ac:dyDescent="0.3">
      <c r="A3607" t="s">
        <v>5083</v>
      </c>
      <c r="B3607" s="2">
        <v>46000</v>
      </c>
      <c r="C3607" t="s">
        <v>4588</v>
      </c>
      <c r="D3607" t="s">
        <v>70</v>
      </c>
      <c r="E3607" t="s">
        <v>108</v>
      </c>
      <c r="F3607">
        <v>1</v>
      </c>
      <c r="G3607">
        <v>0.1</v>
      </c>
      <c r="H3607">
        <v>4050</v>
      </c>
      <c r="I3607">
        <v>1143.5999999999999</v>
      </c>
      <c r="J3607" t="s">
        <v>26</v>
      </c>
      <c r="K3607" t="s">
        <v>40</v>
      </c>
      <c r="L3607">
        <v>4050</v>
      </c>
      <c r="M3607">
        <v>28.23703703703703</v>
      </c>
      <c r="N3607" t="s">
        <v>8</v>
      </c>
      <c r="O3607" t="s">
        <v>844</v>
      </c>
      <c r="P3607" t="s">
        <v>29</v>
      </c>
      <c r="Q3607" t="s">
        <v>42</v>
      </c>
      <c r="R3607" t="s">
        <v>43</v>
      </c>
      <c r="S3607" t="s">
        <v>44</v>
      </c>
      <c r="T3607" t="s">
        <v>4589</v>
      </c>
      <c r="U3607" t="s">
        <v>46</v>
      </c>
      <c r="V3607">
        <v>1143.5999999999999</v>
      </c>
    </row>
    <row r="3608" spans="1:22" x14ac:dyDescent="0.3">
      <c r="A3608" t="s">
        <v>5084</v>
      </c>
      <c r="B3608" s="2">
        <v>46206</v>
      </c>
      <c r="C3608" t="s">
        <v>1072</v>
      </c>
      <c r="D3608" t="s">
        <v>70</v>
      </c>
      <c r="E3608" t="s">
        <v>129</v>
      </c>
      <c r="F3608">
        <v>1</v>
      </c>
      <c r="G3608">
        <v>0.1</v>
      </c>
      <c r="H3608">
        <v>49500</v>
      </c>
      <c r="I3608">
        <v>4919.1400000000003</v>
      </c>
      <c r="J3608" t="s">
        <v>51</v>
      </c>
      <c r="K3608" t="s">
        <v>40</v>
      </c>
      <c r="L3608">
        <v>49500</v>
      </c>
      <c r="M3608">
        <v>9.9376565656565656</v>
      </c>
      <c r="N3608" t="s">
        <v>8</v>
      </c>
      <c r="O3608" t="s">
        <v>1073</v>
      </c>
      <c r="P3608" t="s">
        <v>73</v>
      </c>
      <c r="Q3608" t="s">
        <v>30</v>
      </c>
      <c r="R3608" t="s">
        <v>60</v>
      </c>
      <c r="S3608" t="s">
        <v>61</v>
      </c>
      <c r="T3608" t="s">
        <v>1074</v>
      </c>
      <c r="U3608" t="s">
        <v>34</v>
      </c>
      <c r="V3608">
        <v>4919.1400000000003</v>
      </c>
    </row>
    <row r="3609" spans="1:22" x14ac:dyDescent="0.3">
      <c r="A3609" t="s">
        <v>5085</v>
      </c>
      <c r="B3609" s="2">
        <v>46157</v>
      </c>
      <c r="C3609" t="s">
        <v>2278</v>
      </c>
      <c r="D3609" t="s">
        <v>70</v>
      </c>
      <c r="E3609" t="s">
        <v>108</v>
      </c>
      <c r="F3609">
        <v>1</v>
      </c>
      <c r="G3609">
        <v>0</v>
      </c>
      <c r="H3609">
        <v>4500</v>
      </c>
      <c r="I3609">
        <v>1500</v>
      </c>
      <c r="J3609" t="s">
        <v>26</v>
      </c>
      <c r="K3609" t="s">
        <v>40</v>
      </c>
      <c r="L3609">
        <v>4500</v>
      </c>
      <c r="M3609">
        <v>33.333333333333329</v>
      </c>
      <c r="N3609" t="s">
        <v>8</v>
      </c>
      <c r="O3609" t="s">
        <v>470</v>
      </c>
      <c r="P3609" t="s">
        <v>29</v>
      </c>
      <c r="Q3609" t="s">
        <v>30</v>
      </c>
      <c r="R3609" t="s">
        <v>98</v>
      </c>
      <c r="S3609" t="s">
        <v>54</v>
      </c>
      <c r="T3609" t="s">
        <v>2279</v>
      </c>
      <c r="U3609" t="s">
        <v>105</v>
      </c>
      <c r="V3609">
        <v>1500</v>
      </c>
    </row>
    <row r="3610" spans="1:22" x14ac:dyDescent="0.3">
      <c r="A3610" t="s">
        <v>5086</v>
      </c>
      <c r="B3610" s="2">
        <v>46235</v>
      </c>
      <c r="C3610" t="s">
        <v>522</v>
      </c>
      <c r="D3610" t="s">
        <v>24</v>
      </c>
      <c r="E3610" t="s">
        <v>92</v>
      </c>
      <c r="F3610">
        <v>4</v>
      </c>
      <c r="G3610">
        <v>0.15</v>
      </c>
      <c r="H3610">
        <v>3060</v>
      </c>
      <c r="I3610">
        <v>726.45</v>
      </c>
      <c r="J3610" t="s">
        <v>39</v>
      </c>
      <c r="K3610" t="s">
        <v>40</v>
      </c>
      <c r="L3610">
        <v>765</v>
      </c>
      <c r="M3610">
        <v>23.740196078431371</v>
      </c>
      <c r="N3610" t="s">
        <v>8</v>
      </c>
      <c r="O3610" t="s">
        <v>523</v>
      </c>
      <c r="P3610" t="s">
        <v>73</v>
      </c>
      <c r="Q3610" t="s">
        <v>30</v>
      </c>
      <c r="R3610" t="s">
        <v>98</v>
      </c>
      <c r="S3610" t="s">
        <v>54</v>
      </c>
      <c r="T3610" t="s">
        <v>62</v>
      </c>
      <c r="U3610" t="s">
        <v>46</v>
      </c>
      <c r="V3610">
        <v>181.61250000000001</v>
      </c>
    </row>
    <row r="3611" spans="1:22" x14ac:dyDescent="0.3">
      <c r="A3611" t="s">
        <v>5087</v>
      </c>
      <c r="B3611" s="2">
        <v>46201</v>
      </c>
      <c r="C3611" t="s">
        <v>1232</v>
      </c>
      <c r="D3611" t="s">
        <v>70</v>
      </c>
      <c r="E3611" t="s">
        <v>165</v>
      </c>
      <c r="F3611">
        <v>2</v>
      </c>
      <c r="G3611">
        <v>0</v>
      </c>
      <c r="H3611">
        <v>5000</v>
      </c>
      <c r="I3611">
        <v>1600</v>
      </c>
      <c r="J3611" t="s">
        <v>51</v>
      </c>
      <c r="K3611" t="s">
        <v>40</v>
      </c>
      <c r="L3611">
        <v>2500</v>
      </c>
      <c r="M3611">
        <v>32</v>
      </c>
      <c r="N3611" t="s">
        <v>8</v>
      </c>
      <c r="O3611" t="s">
        <v>1233</v>
      </c>
      <c r="P3611" t="s">
        <v>29</v>
      </c>
      <c r="Q3611" t="s">
        <v>74</v>
      </c>
      <c r="R3611" t="s">
        <v>237</v>
      </c>
      <c r="S3611" t="s">
        <v>238</v>
      </c>
      <c r="T3611" t="s">
        <v>1234</v>
      </c>
      <c r="U3611" t="s">
        <v>100</v>
      </c>
      <c r="V3611">
        <v>800</v>
      </c>
    </row>
    <row r="3612" spans="1:22" x14ac:dyDescent="0.3">
      <c r="A3612" t="s">
        <v>5088</v>
      </c>
      <c r="B3612" s="2">
        <v>46231</v>
      </c>
      <c r="C3612" t="s">
        <v>1694</v>
      </c>
      <c r="D3612" t="s">
        <v>37</v>
      </c>
      <c r="E3612" t="s">
        <v>310</v>
      </c>
      <c r="F3612">
        <v>2</v>
      </c>
      <c r="G3612">
        <v>0.05</v>
      </c>
      <c r="H3612">
        <v>4180</v>
      </c>
      <c r="I3612">
        <v>1332.32</v>
      </c>
      <c r="J3612" t="s">
        <v>39</v>
      </c>
      <c r="K3612" t="s">
        <v>40</v>
      </c>
      <c r="L3612">
        <v>2090</v>
      </c>
      <c r="M3612">
        <v>31.87368421052631</v>
      </c>
      <c r="N3612" t="s">
        <v>8</v>
      </c>
      <c r="O3612" t="s">
        <v>1695</v>
      </c>
      <c r="P3612" t="s">
        <v>73</v>
      </c>
      <c r="Q3612" t="s">
        <v>30</v>
      </c>
      <c r="R3612" t="s">
        <v>60</v>
      </c>
      <c r="S3612" t="s">
        <v>61</v>
      </c>
      <c r="T3612" t="s">
        <v>1696</v>
      </c>
      <c r="U3612" t="s">
        <v>100</v>
      </c>
      <c r="V3612">
        <v>666.16</v>
      </c>
    </row>
    <row r="3613" spans="1:22" x14ac:dyDescent="0.3">
      <c r="A3613" t="s">
        <v>5089</v>
      </c>
      <c r="B3613" s="2">
        <v>45849</v>
      </c>
      <c r="C3613" t="s">
        <v>2511</v>
      </c>
      <c r="D3613" t="s">
        <v>24</v>
      </c>
      <c r="E3613" t="s">
        <v>92</v>
      </c>
      <c r="F3613">
        <v>1</v>
      </c>
      <c r="G3613">
        <v>0</v>
      </c>
      <c r="H3613">
        <v>900</v>
      </c>
      <c r="I3613">
        <v>280</v>
      </c>
      <c r="J3613" t="s">
        <v>65</v>
      </c>
      <c r="K3613" t="s">
        <v>40</v>
      </c>
      <c r="L3613">
        <v>900</v>
      </c>
      <c r="M3613">
        <v>31.111111111111111</v>
      </c>
      <c r="N3613" t="s">
        <v>8</v>
      </c>
      <c r="O3613" t="s">
        <v>1695</v>
      </c>
      <c r="P3613" t="s">
        <v>83</v>
      </c>
      <c r="Q3613" t="s">
        <v>30</v>
      </c>
      <c r="R3613" t="s">
        <v>98</v>
      </c>
      <c r="S3613" t="s">
        <v>54</v>
      </c>
      <c r="T3613" t="s">
        <v>2512</v>
      </c>
      <c r="U3613" t="s">
        <v>46</v>
      </c>
      <c r="V3613">
        <v>280</v>
      </c>
    </row>
    <row r="3614" spans="1:22" x14ac:dyDescent="0.3">
      <c r="A3614" t="s">
        <v>5090</v>
      </c>
      <c r="B3614" s="2">
        <v>46069</v>
      </c>
      <c r="C3614" t="s">
        <v>272</v>
      </c>
      <c r="D3614" t="s">
        <v>24</v>
      </c>
      <c r="E3614" t="s">
        <v>92</v>
      </c>
      <c r="F3614">
        <v>2</v>
      </c>
      <c r="G3614">
        <v>0.05</v>
      </c>
      <c r="H3614">
        <v>1710</v>
      </c>
      <c r="I3614">
        <v>516.13</v>
      </c>
      <c r="J3614" t="s">
        <v>51</v>
      </c>
      <c r="K3614" t="s">
        <v>40</v>
      </c>
      <c r="L3614">
        <v>855</v>
      </c>
      <c r="M3614">
        <v>30.183040935672519</v>
      </c>
      <c r="N3614" t="s">
        <v>8</v>
      </c>
      <c r="O3614" t="s">
        <v>166</v>
      </c>
      <c r="P3614" t="s">
        <v>73</v>
      </c>
      <c r="Q3614" t="s">
        <v>30</v>
      </c>
      <c r="R3614" t="s">
        <v>98</v>
      </c>
      <c r="S3614" t="s">
        <v>54</v>
      </c>
      <c r="T3614" t="s">
        <v>273</v>
      </c>
      <c r="U3614" t="s">
        <v>105</v>
      </c>
      <c r="V3614">
        <v>258.065</v>
      </c>
    </row>
    <row r="3615" spans="1:22" x14ac:dyDescent="0.3">
      <c r="A3615" t="s">
        <v>5091</v>
      </c>
      <c r="B3615" s="2">
        <v>46001</v>
      </c>
      <c r="C3615" t="s">
        <v>1537</v>
      </c>
      <c r="D3615" t="s">
        <v>24</v>
      </c>
      <c r="E3615" t="s">
        <v>92</v>
      </c>
      <c r="F3615">
        <v>1</v>
      </c>
      <c r="G3615">
        <v>0.1</v>
      </c>
      <c r="H3615">
        <v>810</v>
      </c>
      <c r="I3615">
        <v>233.18</v>
      </c>
      <c r="J3615" t="s">
        <v>51</v>
      </c>
      <c r="K3615" t="s">
        <v>40</v>
      </c>
      <c r="L3615">
        <v>810</v>
      </c>
      <c r="M3615">
        <v>28.787654320987659</v>
      </c>
      <c r="N3615" t="s">
        <v>8</v>
      </c>
      <c r="O3615" t="s">
        <v>1538</v>
      </c>
      <c r="P3615" t="s">
        <v>73</v>
      </c>
      <c r="Q3615" t="s">
        <v>131</v>
      </c>
      <c r="R3615" t="s">
        <v>289</v>
      </c>
      <c r="S3615" t="s">
        <v>290</v>
      </c>
      <c r="T3615" t="s">
        <v>1539</v>
      </c>
      <c r="U3615" t="s">
        <v>34</v>
      </c>
      <c r="V3615">
        <v>233.18</v>
      </c>
    </row>
    <row r="3616" spans="1:22" x14ac:dyDescent="0.3">
      <c r="A3616" t="s">
        <v>5092</v>
      </c>
      <c r="B3616" s="2">
        <v>45843</v>
      </c>
      <c r="C3616" t="s">
        <v>632</v>
      </c>
      <c r="D3616" t="s">
        <v>49</v>
      </c>
      <c r="E3616" t="s">
        <v>50</v>
      </c>
      <c r="F3616">
        <v>2</v>
      </c>
      <c r="G3616">
        <v>0</v>
      </c>
      <c r="H3616">
        <v>26000</v>
      </c>
      <c r="I3616">
        <v>6400</v>
      </c>
      <c r="J3616" t="s">
        <v>51</v>
      </c>
      <c r="K3616" t="s">
        <v>40</v>
      </c>
      <c r="L3616">
        <v>13000</v>
      </c>
      <c r="M3616">
        <v>24.61538461538462</v>
      </c>
      <c r="N3616" t="s">
        <v>8</v>
      </c>
      <c r="O3616" t="s">
        <v>427</v>
      </c>
      <c r="P3616" t="s">
        <v>29</v>
      </c>
      <c r="Q3616" t="s">
        <v>42</v>
      </c>
      <c r="R3616" t="s">
        <v>110</v>
      </c>
      <c r="S3616" t="s">
        <v>111</v>
      </c>
      <c r="T3616" t="s">
        <v>633</v>
      </c>
      <c r="U3616" t="s">
        <v>100</v>
      </c>
      <c r="V3616">
        <v>3200</v>
      </c>
    </row>
    <row r="3617" spans="1:22" x14ac:dyDescent="0.3">
      <c r="A3617" t="s">
        <v>5093</v>
      </c>
      <c r="B3617" s="2">
        <v>46203</v>
      </c>
      <c r="C3617" t="s">
        <v>1297</v>
      </c>
      <c r="D3617" t="s">
        <v>24</v>
      </c>
      <c r="E3617" t="s">
        <v>87</v>
      </c>
      <c r="F3617">
        <v>1</v>
      </c>
      <c r="G3617">
        <v>0.1</v>
      </c>
      <c r="H3617">
        <v>315</v>
      </c>
      <c r="I3617">
        <v>91.9</v>
      </c>
      <c r="J3617" t="s">
        <v>39</v>
      </c>
      <c r="K3617" t="s">
        <v>40</v>
      </c>
      <c r="L3617">
        <v>315</v>
      </c>
      <c r="M3617">
        <v>29.17460317460317</v>
      </c>
      <c r="N3617" t="s">
        <v>8</v>
      </c>
      <c r="O3617" t="s">
        <v>781</v>
      </c>
      <c r="P3617" t="s">
        <v>29</v>
      </c>
      <c r="Q3617" t="s">
        <v>30</v>
      </c>
      <c r="R3617" t="s">
        <v>31</v>
      </c>
      <c r="S3617" t="s">
        <v>32</v>
      </c>
      <c r="T3617" t="s">
        <v>1298</v>
      </c>
      <c r="U3617" t="s">
        <v>100</v>
      </c>
      <c r="V3617">
        <v>91.9</v>
      </c>
    </row>
    <row r="3618" spans="1:22" x14ac:dyDescent="0.3">
      <c r="A3618" t="s">
        <v>5094</v>
      </c>
      <c r="B3618" s="2">
        <v>46079</v>
      </c>
      <c r="C3618" t="s">
        <v>229</v>
      </c>
      <c r="D3618" t="s">
        <v>70</v>
      </c>
      <c r="E3618" t="s">
        <v>165</v>
      </c>
      <c r="F3618">
        <v>2</v>
      </c>
      <c r="G3618">
        <v>0.1</v>
      </c>
      <c r="H3618">
        <v>4500</v>
      </c>
      <c r="I3618">
        <v>1299.6500000000001</v>
      </c>
      <c r="J3618" t="s">
        <v>51</v>
      </c>
      <c r="K3618" t="s">
        <v>40</v>
      </c>
      <c r="L3618">
        <v>2250</v>
      </c>
      <c r="M3618">
        <v>28.88111111111111</v>
      </c>
      <c r="N3618" t="s">
        <v>8</v>
      </c>
      <c r="O3618" t="s">
        <v>103</v>
      </c>
      <c r="P3618" t="s">
        <v>29</v>
      </c>
      <c r="Q3618" t="s">
        <v>30</v>
      </c>
      <c r="R3618" t="s">
        <v>60</v>
      </c>
      <c r="S3618" t="s">
        <v>61</v>
      </c>
      <c r="T3618" t="s">
        <v>230</v>
      </c>
      <c r="U3618" t="s">
        <v>105</v>
      </c>
      <c r="V3618">
        <v>649.82500000000005</v>
      </c>
    </row>
    <row r="3619" spans="1:22" x14ac:dyDescent="0.3">
      <c r="A3619" t="s">
        <v>5095</v>
      </c>
      <c r="B3619" s="2">
        <v>45840</v>
      </c>
      <c r="C3619" t="s">
        <v>3168</v>
      </c>
      <c r="D3619" t="s">
        <v>70</v>
      </c>
      <c r="E3619" t="s">
        <v>108</v>
      </c>
      <c r="F3619">
        <v>6</v>
      </c>
      <c r="G3619">
        <v>0</v>
      </c>
      <c r="H3619">
        <v>27000</v>
      </c>
      <c r="I3619">
        <v>9000</v>
      </c>
      <c r="J3619" t="s">
        <v>51</v>
      </c>
      <c r="K3619" t="s">
        <v>40</v>
      </c>
      <c r="L3619">
        <v>4500</v>
      </c>
      <c r="M3619">
        <v>33.333333333333329</v>
      </c>
      <c r="N3619" t="s">
        <v>8</v>
      </c>
      <c r="O3619" t="s">
        <v>3169</v>
      </c>
      <c r="P3619" t="s">
        <v>29</v>
      </c>
      <c r="Q3619" t="s">
        <v>74</v>
      </c>
      <c r="R3619" t="s">
        <v>115</v>
      </c>
      <c r="S3619" t="s">
        <v>115</v>
      </c>
      <c r="T3619" t="s">
        <v>2474</v>
      </c>
      <c r="U3619" t="s">
        <v>34</v>
      </c>
      <c r="V3619">
        <v>1500</v>
      </c>
    </row>
    <row r="3620" spans="1:22" x14ac:dyDescent="0.3">
      <c r="A3620" t="s">
        <v>5096</v>
      </c>
      <c r="B3620" s="2">
        <v>46010</v>
      </c>
      <c r="C3620" t="s">
        <v>962</v>
      </c>
      <c r="D3620" t="s">
        <v>24</v>
      </c>
      <c r="E3620" t="s">
        <v>92</v>
      </c>
      <c r="F3620">
        <v>1</v>
      </c>
      <c r="G3620">
        <v>0.1</v>
      </c>
      <c r="H3620">
        <v>810</v>
      </c>
      <c r="I3620">
        <v>230.49</v>
      </c>
      <c r="J3620" t="s">
        <v>51</v>
      </c>
      <c r="K3620" t="s">
        <v>40</v>
      </c>
      <c r="L3620">
        <v>810</v>
      </c>
      <c r="M3620">
        <v>28.455555555555559</v>
      </c>
      <c r="N3620" t="s">
        <v>8</v>
      </c>
      <c r="O3620" t="s">
        <v>963</v>
      </c>
      <c r="P3620" t="s">
        <v>29</v>
      </c>
      <c r="Q3620" t="s">
        <v>42</v>
      </c>
      <c r="R3620" t="s">
        <v>214</v>
      </c>
      <c r="S3620" t="s">
        <v>111</v>
      </c>
      <c r="T3620" t="s">
        <v>964</v>
      </c>
      <c r="U3620" t="s">
        <v>100</v>
      </c>
      <c r="V3620">
        <v>230.49</v>
      </c>
    </row>
    <row r="3621" spans="1:22" x14ac:dyDescent="0.3">
      <c r="A3621" t="s">
        <v>5097</v>
      </c>
      <c r="B3621" s="2">
        <v>46226</v>
      </c>
      <c r="C3621" t="s">
        <v>2026</v>
      </c>
      <c r="D3621" t="s">
        <v>37</v>
      </c>
      <c r="E3621" t="s">
        <v>190</v>
      </c>
      <c r="F3621">
        <v>3</v>
      </c>
      <c r="G3621">
        <v>0</v>
      </c>
      <c r="H3621">
        <v>12600</v>
      </c>
      <c r="I3621">
        <v>3600</v>
      </c>
      <c r="J3621" t="s">
        <v>51</v>
      </c>
      <c r="K3621" t="s">
        <v>40</v>
      </c>
      <c r="L3621">
        <v>4200</v>
      </c>
      <c r="M3621">
        <v>28.571428571428569</v>
      </c>
      <c r="N3621" t="s">
        <v>8</v>
      </c>
      <c r="O3621" t="s">
        <v>2027</v>
      </c>
      <c r="P3621" t="s">
        <v>29</v>
      </c>
      <c r="Q3621" t="s">
        <v>74</v>
      </c>
      <c r="R3621" t="s">
        <v>493</v>
      </c>
      <c r="S3621" t="s">
        <v>494</v>
      </c>
      <c r="T3621" t="s">
        <v>260</v>
      </c>
      <c r="U3621" t="s">
        <v>105</v>
      </c>
      <c r="V3621">
        <v>1200</v>
      </c>
    </row>
    <row r="3622" spans="1:22" x14ac:dyDescent="0.3">
      <c r="A3622" t="s">
        <v>5098</v>
      </c>
      <c r="B3622" s="2">
        <v>46023</v>
      </c>
      <c r="C3622" t="s">
        <v>1091</v>
      </c>
      <c r="D3622" t="s">
        <v>49</v>
      </c>
      <c r="E3622" t="s">
        <v>79</v>
      </c>
      <c r="F3622">
        <v>1</v>
      </c>
      <c r="G3622">
        <v>0</v>
      </c>
      <c r="H3622">
        <v>11000</v>
      </c>
      <c r="I3622">
        <v>2600</v>
      </c>
      <c r="J3622" t="s">
        <v>39</v>
      </c>
      <c r="K3622" t="s">
        <v>27</v>
      </c>
      <c r="L3622">
        <v>11000</v>
      </c>
      <c r="M3622">
        <v>23.63636363636364</v>
      </c>
      <c r="N3622" t="s">
        <v>8</v>
      </c>
      <c r="O3622" t="s">
        <v>1018</v>
      </c>
      <c r="P3622" t="s">
        <v>83</v>
      </c>
      <c r="Q3622" t="s">
        <v>30</v>
      </c>
      <c r="R3622" t="s">
        <v>31</v>
      </c>
      <c r="S3622" t="s">
        <v>32</v>
      </c>
      <c r="T3622" t="s">
        <v>1092</v>
      </c>
      <c r="U3622" t="s">
        <v>105</v>
      </c>
      <c r="V3622">
        <v>2600</v>
      </c>
    </row>
    <row r="3623" spans="1:22" x14ac:dyDescent="0.3">
      <c r="A3623" t="s">
        <v>5099</v>
      </c>
      <c r="B3623" s="2">
        <v>45947</v>
      </c>
      <c r="C3623" t="s">
        <v>635</v>
      </c>
      <c r="D3623" t="s">
        <v>70</v>
      </c>
      <c r="E3623" t="s">
        <v>165</v>
      </c>
      <c r="F3623">
        <v>1</v>
      </c>
      <c r="G3623">
        <v>0.15</v>
      </c>
      <c r="H3623">
        <v>2125</v>
      </c>
      <c r="I3623">
        <v>563.22</v>
      </c>
      <c r="J3623" t="s">
        <v>39</v>
      </c>
      <c r="K3623" t="s">
        <v>40</v>
      </c>
      <c r="L3623">
        <v>2125</v>
      </c>
      <c r="M3623">
        <v>26.5044705882353</v>
      </c>
      <c r="N3623" t="s">
        <v>8</v>
      </c>
      <c r="O3623" t="s">
        <v>636</v>
      </c>
      <c r="P3623" t="s">
        <v>29</v>
      </c>
      <c r="Q3623" t="s">
        <v>42</v>
      </c>
      <c r="R3623" t="s">
        <v>214</v>
      </c>
      <c r="S3623" t="s">
        <v>111</v>
      </c>
      <c r="T3623" t="s">
        <v>637</v>
      </c>
      <c r="U3623" t="s">
        <v>100</v>
      </c>
      <c r="V3623">
        <v>563.22</v>
      </c>
    </row>
    <row r="3624" spans="1:22" x14ac:dyDescent="0.3">
      <c r="A3624" t="s">
        <v>5100</v>
      </c>
      <c r="B3624" s="2">
        <v>46186</v>
      </c>
      <c r="C3624" t="s">
        <v>1410</v>
      </c>
      <c r="D3624" t="s">
        <v>49</v>
      </c>
      <c r="E3624" t="s">
        <v>50</v>
      </c>
      <c r="F3624">
        <v>1</v>
      </c>
      <c r="G3624">
        <v>0.05</v>
      </c>
      <c r="H3624">
        <v>12350</v>
      </c>
      <c r="I3624">
        <v>2830.87</v>
      </c>
      <c r="J3624" t="s">
        <v>39</v>
      </c>
      <c r="K3624" t="s">
        <v>40</v>
      </c>
      <c r="L3624">
        <v>12350</v>
      </c>
      <c r="M3624">
        <v>22.92202429149798</v>
      </c>
      <c r="N3624" t="s">
        <v>8</v>
      </c>
      <c r="O3624" t="s">
        <v>995</v>
      </c>
      <c r="P3624" t="s">
        <v>73</v>
      </c>
      <c r="Q3624" t="s">
        <v>30</v>
      </c>
      <c r="R3624" t="s">
        <v>60</v>
      </c>
      <c r="S3624" t="s">
        <v>61</v>
      </c>
      <c r="T3624" t="s">
        <v>1411</v>
      </c>
      <c r="U3624" t="s">
        <v>34</v>
      </c>
      <c r="V3624">
        <v>2830.87</v>
      </c>
    </row>
    <row r="3625" spans="1:22" x14ac:dyDescent="0.3">
      <c r="A3625" t="s">
        <v>5101</v>
      </c>
      <c r="B3625" s="2">
        <v>46193</v>
      </c>
      <c r="C3625" t="s">
        <v>1106</v>
      </c>
      <c r="D3625" t="s">
        <v>70</v>
      </c>
      <c r="E3625" t="s">
        <v>108</v>
      </c>
      <c r="F3625">
        <v>1</v>
      </c>
      <c r="G3625">
        <v>0.1</v>
      </c>
      <c r="H3625">
        <v>4050</v>
      </c>
      <c r="I3625">
        <v>1128.94</v>
      </c>
      <c r="J3625" t="s">
        <v>26</v>
      </c>
      <c r="K3625" t="s">
        <v>40</v>
      </c>
      <c r="L3625">
        <v>4050</v>
      </c>
      <c r="M3625">
        <v>27.87506172839506</v>
      </c>
      <c r="N3625" t="s">
        <v>8</v>
      </c>
      <c r="O3625" t="s">
        <v>789</v>
      </c>
      <c r="P3625" t="s">
        <v>29</v>
      </c>
      <c r="Q3625" t="s">
        <v>74</v>
      </c>
      <c r="R3625" t="s">
        <v>237</v>
      </c>
      <c r="S3625" t="s">
        <v>238</v>
      </c>
      <c r="T3625" t="s">
        <v>1107</v>
      </c>
      <c r="U3625" t="s">
        <v>105</v>
      </c>
      <c r="V3625">
        <v>1128.94</v>
      </c>
    </row>
    <row r="3626" spans="1:22" x14ac:dyDescent="0.3">
      <c r="A3626" t="s">
        <v>5102</v>
      </c>
      <c r="B3626" s="2">
        <v>46041</v>
      </c>
      <c r="C3626" t="s">
        <v>189</v>
      </c>
      <c r="D3626" t="s">
        <v>70</v>
      </c>
      <c r="E3626" t="s">
        <v>129</v>
      </c>
      <c r="F3626">
        <v>4</v>
      </c>
      <c r="G3626">
        <v>0.15</v>
      </c>
      <c r="H3626">
        <v>187000</v>
      </c>
      <c r="I3626">
        <v>-37556.92</v>
      </c>
      <c r="J3626" t="s">
        <v>65</v>
      </c>
      <c r="K3626" t="s">
        <v>80</v>
      </c>
      <c r="L3626">
        <v>46750</v>
      </c>
      <c r="M3626">
        <v>-20.083914438502671</v>
      </c>
      <c r="N3626" t="s">
        <v>81</v>
      </c>
      <c r="O3626" t="s">
        <v>191</v>
      </c>
      <c r="P3626" t="s">
        <v>29</v>
      </c>
      <c r="Q3626" t="s">
        <v>30</v>
      </c>
      <c r="R3626" t="s">
        <v>31</v>
      </c>
      <c r="S3626" t="s">
        <v>32</v>
      </c>
      <c r="T3626" t="s">
        <v>192</v>
      </c>
      <c r="U3626" t="s">
        <v>34</v>
      </c>
      <c r="V3626">
        <v>-9389.23</v>
      </c>
    </row>
    <row r="3627" spans="1:22" x14ac:dyDescent="0.3">
      <c r="A3627" t="s">
        <v>5103</v>
      </c>
      <c r="B3627" s="2">
        <v>46086</v>
      </c>
      <c r="C3627" t="s">
        <v>1056</v>
      </c>
      <c r="D3627" t="s">
        <v>37</v>
      </c>
      <c r="E3627" t="s">
        <v>38</v>
      </c>
      <c r="F3627">
        <v>1</v>
      </c>
      <c r="G3627">
        <v>0.1</v>
      </c>
      <c r="H3627">
        <v>1620</v>
      </c>
      <c r="I3627">
        <v>532.66999999999996</v>
      </c>
      <c r="J3627" t="s">
        <v>26</v>
      </c>
      <c r="K3627" t="s">
        <v>40</v>
      </c>
      <c r="L3627">
        <v>1620</v>
      </c>
      <c r="M3627">
        <v>32.880864197530862</v>
      </c>
      <c r="N3627" t="s">
        <v>8</v>
      </c>
      <c r="O3627" t="s">
        <v>1057</v>
      </c>
      <c r="P3627" t="s">
        <v>29</v>
      </c>
      <c r="Q3627" t="s">
        <v>30</v>
      </c>
      <c r="R3627" t="s">
        <v>31</v>
      </c>
      <c r="S3627" t="s">
        <v>32</v>
      </c>
      <c r="T3627" t="s">
        <v>1058</v>
      </c>
      <c r="U3627" t="s">
        <v>34</v>
      </c>
      <c r="V3627">
        <v>532.66999999999996</v>
      </c>
    </row>
    <row r="3628" spans="1:22" x14ac:dyDescent="0.3">
      <c r="A3628" t="s">
        <v>5104</v>
      </c>
      <c r="B3628" s="2">
        <v>45914</v>
      </c>
      <c r="C3628" t="s">
        <v>577</v>
      </c>
      <c r="D3628" t="s">
        <v>70</v>
      </c>
      <c r="E3628" t="s">
        <v>108</v>
      </c>
      <c r="F3628">
        <v>6</v>
      </c>
      <c r="G3628">
        <v>0.1</v>
      </c>
      <c r="H3628">
        <v>24300</v>
      </c>
      <c r="I3628">
        <v>-11796.48</v>
      </c>
      <c r="J3628" t="s">
        <v>65</v>
      </c>
      <c r="K3628" t="s">
        <v>80</v>
      </c>
      <c r="L3628">
        <v>4050</v>
      </c>
      <c r="M3628">
        <v>-48.545185185185183</v>
      </c>
      <c r="N3628" t="s">
        <v>81</v>
      </c>
      <c r="O3628" t="s">
        <v>578</v>
      </c>
      <c r="P3628" t="s">
        <v>73</v>
      </c>
      <c r="Q3628" t="s">
        <v>30</v>
      </c>
      <c r="R3628" t="s">
        <v>98</v>
      </c>
      <c r="S3628" t="s">
        <v>54</v>
      </c>
      <c r="T3628" t="s">
        <v>579</v>
      </c>
      <c r="U3628" t="s">
        <v>46</v>
      </c>
      <c r="V3628">
        <v>-1966.08</v>
      </c>
    </row>
    <row r="3629" spans="1:22" x14ac:dyDescent="0.3">
      <c r="A3629" t="s">
        <v>5105</v>
      </c>
      <c r="B3629" s="2">
        <v>45977</v>
      </c>
      <c r="C3629" t="s">
        <v>1468</v>
      </c>
      <c r="D3629" t="s">
        <v>49</v>
      </c>
      <c r="E3629" t="s">
        <v>50</v>
      </c>
      <c r="F3629">
        <v>2</v>
      </c>
      <c r="G3629">
        <v>0.1</v>
      </c>
      <c r="H3629">
        <v>23400</v>
      </c>
      <c r="I3629">
        <v>5010.6899999999996</v>
      </c>
      <c r="J3629" t="s">
        <v>51</v>
      </c>
      <c r="K3629" t="s">
        <v>40</v>
      </c>
      <c r="L3629">
        <v>11700</v>
      </c>
      <c r="M3629">
        <v>21.413205128205131</v>
      </c>
      <c r="N3629" t="s">
        <v>8</v>
      </c>
      <c r="O3629" t="s">
        <v>345</v>
      </c>
      <c r="P3629" t="s">
        <v>83</v>
      </c>
      <c r="Q3629" t="s">
        <v>30</v>
      </c>
      <c r="R3629" t="s">
        <v>98</v>
      </c>
      <c r="S3629" t="s">
        <v>54</v>
      </c>
      <c r="T3629" t="s">
        <v>1469</v>
      </c>
      <c r="U3629" t="s">
        <v>34</v>
      </c>
      <c r="V3629">
        <v>2505.3449999999998</v>
      </c>
    </row>
    <row r="3630" spans="1:22" x14ac:dyDescent="0.3">
      <c r="A3630" t="s">
        <v>5106</v>
      </c>
      <c r="B3630" s="2">
        <v>46244</v>
      </c>
      <c r="C3630" t="s">
        <v>1962</v>
      </c>
      <c r="D3630" t="s">
        <v>24</v>
      </c>
      <c r="E3630" t="s">
        <v>87</v>
      </c>
      <c r="F3630">
        <v>2</v>
      </c>
      <c r="G3630">
        <v>0.05</v>
      </c>
      <c r="H3630">
        <v>665</v>
      </c>
      <c r="I3630">
        <v>220.92</v>
      </c>
      <c r="J3630" t="s">
        <v>65</v>
      </c>
      <c r="K3630" t="s">
        <v>40</v>
      </c>
      <c r="L3630">
        <v>332.5</v>
      </c>
      <c r="M3630">
        <v>33.221052631578942</v>
      </c>
      <c r="N3630" t="s">
        <v>8</v>
      </c>
      <c r="O3630" t="s">
        <v>1963</v>
      </c>
      <c r="P3630" t="s">
        <v>29</v>
      </c>
      <c r="Q3630" t="s">
        <v>131</v>
      </c>
      <c r="R3630" t="s">
        <v>200</v>
      </c>
      <c r="S3630" t="s">
        <v>201</v>
      </c>
      <c r="T3630" t="s">
        <v>637</v>
      </c>
      <c r="U3630" t="s">
        <v>34</v>
      </c>
      <c r="V3630">
        <v>110.46</v>
      </c>
    </row>
    <row r="3631" spans="1:22" x14ac:dyDescent="0.3">
      <c r="A3631" t="s">
        <v>5107</v>
      </c>
      <c r="B3631" s="2">
        <v>46163</v>
      </c>
      <c r="C3631" t="s">
        <v>4249</v>
      </c>
      <c r="D3631" t="s">
        <v>70</v>
      </c>
      <c r="E3631" t="s">
        <v>71</v>
      </c>
      <c r="F3631">
        <v>1</v>
      </c>
      <c r="G3631">
        <v>0.1</v>
      </c>
      <c r="H3631">
        <v>16200</v>
      </c>
      <c r="I3631">
        <v>-2935.27</v>
      </c>
      <c r="J3631" t="s">
        <v>51</v>
      </c>
      <c r="K3631" t="s">
        <v>434</v>
      </c>
      <c r="L3631">
        <v>16200</v>
      </c>
      <c r="M3631">
        <v>-18.11895061728395</v>
      </c>
      <c r="N3631" t="s">
        <v>81</v>
      </c>
      <c r="O3631" t="s">
        <v>28</v>
      </c>
      <c r="P3631" t="s">
        <v>29</v>
      </c>
      <c r="Q3631" t="s">
        <v>74</v>
      </c>
      <c r="R3631" t="s">
        <v>493</v>
      </c>
      <c r="S3631" t="s">
        <v>494</v>
      </c>
      <c r="T3631" t="s">
        <v>4250</v>
      </c>
      <c r="U3631" t="s">
        <v>105</v>
      </c>
      <c r="V3631">
        <v>-2935.27</v>
      </c>
    </row>
    <row r="3632" spans="1:22" x14ac:dyDescent="0.3">
      <c r="A3632" t="s">
        <v>5108</v>
      </c>
      <c r="B3632" s="2">
        <v>45847</v>
      </c>
      <c r="C3632" t="s">
        <v>891</v>
      </c>
      <c r="D3632" t="s">
        <v>24</v>
      </c>
      <c r="E3632" t="s">
        <v>25</v>
      </c>
      <c r="F3632">
        <v>6</v>
      </c>
      <c r="G3632">
        <v>0</v>
      </c>
      <c r="H3632">
        <v>84000</v>
      </c>
      <c r="I3632">
        <v>16800</v>
      </c>
      <c r="J3632" t="s">
        <v>51</v>
      </c>
      <c r="K3632" t="s">
        <v>40</v>
      </c>
      <c r="L3632">
        <v>14000</v>
      </c>
      <c r="M3632">
        <v>20</v>
      </c>
      <c r="N3632" t="s">
        <v>8</v>
      </c>
      <c r="O3632" t="s">
        <v>892</v>
      </c>
      <c r="P3632" t="s">
        <v>29</v>
      </c>
      <c r="Q3632" t="s">
        <v>30</v>
      </c>
      <c r="R3632" t="s">
        <v>31</v>
      </c>
      <c r="S3632" t="s">
        <v>32</v>
      </c>
      <c r="T3632" t="s">
        <v>893</v>
      </c>
      <c r="U3632" t="s">
        <v>34</v>
      </c>
      <c r="V3632">
        <v>2800</v>
      </c>
    </row>
    <row r="3633" spans="1:22" x14ac:dyDescent="0.3">
      <c r="A3633" t="s">
        <v>5109</v>
      </c>
      <c r="B3633" s="2">
        <v>46118</v>
      </c>
      <c r="C3633" t="s">
        <v>473</v>
      </c>
      <c r="D3633" t="s">
        <v>24</v>
      </c>
      <c r="E3633" t="s">
        <v>87</v>
      </c>
      <c r="F3633">
        <v>3</v>
      </c>
      <c r="G3633">
        <v>0.05</v>
      </c>
      <c r="H3633">
        <v>997.5</v>
      </c>
      <c r="I3633">
        <v>323.76</v>
      </c>
      <c r="J3633" t="s">
        <v>65</v>
      </c>
      <c r="K3633" t="s">
        <v>40</v>
      </c>
      <c r="L3633">
        <v>332.5</v>
      </c>
      <c r="M3633">
        <v>32.457142857142863</v>
      </c>
      <c r="N3633" t="s">
        <v>8</v>
      </c>
      <c r="O3633" t="s">
        <v>474</v>
      </c>
      <c r="P3633" t="s">
        <v>73</v>
      </c>
      <c r="Q3633" t="s">
        <v>131</v>
      </c>
      <c r="R3633" t="s">
        <v>289</v>
      </c>
      <c r="S3633" t="s">
        <v>290</v>
      </c>
      <c r="T3633" t="s">
        <v>475</v>
      </c>
      <c r="U3633" t="s">
        <v>46</v>
      </c>
      <c r="V3633">
        <v>107.92</v>
      </c>
    </row>
    <row r="3634" spans="1:22" x14ac:dyDescent="0.3">
      <c r="A3634" t="s">
        <v>5110</v>
      </c>
      <c r="B3634" s="2">
        <v>45949</v>
      </c>
      <c r="C3634" t="s">
        <v>1297</v>
      </c>
      <c r="D3634" t="s">
        <v>24</v>
      </c>
      <c r="E3634" t="s">
        <v>87</v>
      </c>
      <c r="F3634">
        <v>5</v>
      </c>
      <c r="G3634">
        <v>0</v>
      </c>
      <c r="H3634">
        <v>1750</v>
      </c>
      <c r="I3634">
        <v>600</v>
      </c>
      <c r="J3634" t="s">
        <v>26</v>
      </c>
      <c r="K3634" t="s">
        <v>40</v>
      </c>
      <c r="L3634">
        <v>350</v>
      </c>
      <c r="M3634">
        <v>34.285714285714278</v>
      </c>
      <c r="N3634" t="s">
        <v>8</v>
      </c>
      <c r="O3634" t="s">
        <v>781</v>
      </c>
      <c r="P3634" t="s">
        <v>29</v>
      </c>
      <c r="Q3634" t="s">
        <v>30</v>
      </c>
      <c r="R3634" t="s">
        <v>31</v>
      </c>
      <c r="S3634" t="s">
        <v>32</v>
      </c>
      <c r="T3634" t="s">
        <v>1298</v>
      </c>
      <c r="U3634" t="s">
        <v>100</v>
      </c>
      <c r="V3634">
        <v>120</v>
      </c>
    </row>
    <row r="3635" spans="1:22" x14ac:dyDescent="0.3">
      <c r="A3635" t="s">
        <v>5111</v>
      </c>
      <c r="B3635" s="2">
        <v>45925</v>
      </c>
      <c r="C3635" t="s">
        <v>4375</v>
      </c>
      <c r="D3635" t="s">
        <v>37</v>
      </c>
      <c r="E3635" t="s">
        <v>170</v>
      </c>
      <c r="F3635">
        <v>2</v>
      </c>
      <c r="G3635">
        <v>0.2</v>
      </c>
      <c r="H3635">
        <v>2240</v>
      </c>
      <c r="I3635">
        <v>623.29999999999995</v>
      </c>
      <c r="J3635" t="s">
        <v>65</v>
      </c>
      <c r="K3635" t="s">
        <v>40</v>
      </c>
      <c r="L3635">
        <v>1120</v>
      </c>
      <c r="M3635">
        <v>27.825892857142851</v>
      </c>
      <c r="N3635" t="s">
        <v>8</v>
      </c>
      <c r="O3635" t="s">
        <v>1256</v>
      </c>
      <c r="P3635" t="s">
        <v>29</v>
      </c>
      <c r="Q3635" t="s">
        <v>74</v>
      </c>
      <c r="R3635" t="s">
        <v>115</v>
      </c>
      <c r="S3635" t="s">
        <v>115</v>
      </c>
      <c r="T3635" t="s">
        <v>281</v>
      </c>
      <c r="U3635" t="s">
        <v>46</v>
      </c>
      <c r="V3635">
        <v>311.64999999999998</v>
      </c>
    </row>
    <row r="3636" spans="1:22" x14ac:dyDescent="0.3">
      <c r="A3636" t="s">
        <v>5112</v>
      </c>
      <c r="B3636" s="2">
        <v>45876</v>
      </c>
      <c r="C3636" t="s">
        <v>2869</v>
      </c>
      <c r="D3636" t="s">
        <v>37</v>
      </c>
      <c r="E3636" t="s">
        <v>170</v>
      </c>
      <c r="F3636">
        <v>1</v>
      </c>
      <c r="G3636">
        <v>0</v>
      </c>
      <c r="H3636">
        <v>1400</v>
      </c>
      <c r="I3636">
        <v>500</v>
      </c>
      <c r="J3636" t="s">
        <v>39</v>
      </c>
      <c r="K3636" t="s">
        <v>40</v>
      </c>
      <c r="L3636">
        <v>1400</v>
      </c>
      <c r="M3636">
        <v>35.714285714285722</v>
      </c>
      <c r="N3636" t="s">
        <v>8</v>
      </c>
      <c r="O3636" t="s">
        <v>2870</v>
      </c>
      <c r="P3636" t="s">
        <v>29</v>
      </c>
      <c r="Q3636" t="s">
        <v>42</v>
      </c>
      <c r="R3636" t="s">
        <v>121</v>
      </c>
      <c r="S3636" t="s">
        <v>44</v>
      </c>
      <c r="T3636" t="s">
        <v>2080</v>
      </c>
      <c r="U3636" t="s">
        <v>100</v>
      </c>
      <c r="V3636">
        <v>500</v>
      </c>
    </row>
    <row r="3637" spans="1:22" x14ac:dyDescent="0.3">
      <c r="A3637" t="s">
        <v>5113</v>
      </c>
      <c r="B3637" s="2">
        <v>46262</v>
      </c>
      <c r="C3637" t="s">
        <v>3463</v>
      </c>
      <c r="D3637" t="s">
        <v>70</v>
      </c>
      <c r="E3637" t="s">
        <v>165</v>
      </c>
      <c r="F3637">
        <v>4</v>
      </c>
      <c r="G3637">
        <v>0</v>
      </c>
      <c r="H3637">
        <v>10000</v>
      </c>
      <c r="I3637">
        <v>3200</v>
      </c>
      <c r="J3637" t="s">
        <v>26</v>
      </c>
      <c r="K3637" t="s">
        <v>40</v>
      </c>
      <c r="L3637">
        <v>2500</v>
      </c>
      <c r="M3637">
        <v>32</v>
      </c>
      <c r="N3637" t="s">
        <v>8</v>
      </c>
      <c r="O3637" t="s">
        <v>692</v>
      </c>
      <c r="P3637" t="s">
        <v>29</v>
      </c>
      <c r="Q3637" t="s">
        <v>42</v>
      </c>
      <c r="R3637" t="s">
        <v>110</v>
      </c>
      <c r="S3637" t="s">
        <v>111</v>
      </c>
      <c r="T3637" t="s">
        <v>1671</v>
      </c>
      <c r="U3637" t="s">
        <v>46</v>
      </c>
      <c r="V3637">
        <v>800</v>
      </c>
    </row>
    <row r="3638" spans="1:22" x14ac:dyDescent="0.3">
      <c r="A3638" t="s">
        <v>5114</v>
      </c>
      <c r="B3638" s="2">
        <v>45928</v>
      </c>
      <c r="C3638" t="s">
        <v>882</v>
      </c>
      <c r="D3638" t="s">
        <v>24</v>
      </c>
      <c r="E3638" t="s">
        <v>92</v>
      </c>
      <c r="F3638">
        <v>4</v>
      </c>
      <c r="G3638">
        <v>0</v>
      </c>
      <c r="H3638">
        <v>3600</v>
      </c>
      <c r="I3638">
        <v>-577.58000000000004</v>
      </c>
      <c r="J3638" t="s">
        <v>65</v>
      </c>
      <c r="K3638" t="s">
        <v>434</v>
      </c>
      <c r="L3638">
        <v>900</v>
      </c>
      <c r="M3638">
        <v>-16.04388888888889</v>
      </c>
      <c r="N3638" t="s">
        <v>81</v>
      </c>
      <c r="O3638" t="s">
        <v>883</v>
      </c>
      <c r="P3638" t="s">
        <v>73</v>
      </c>
      <c r="Q3638" t="s">
        <v>74</v>
      </c>
      <c r="R3638" t="s">
        <v>115</v>
      </c>
      <c r="S3638" t="s">
        <v>115</v>
      </c>
      <c r="T3638" t="s">
        <v>884</v>
      </c>
      <c r="U3638" t="s">
        <v>34</v>
      </c>
      <c r="V3638">
        <v>-144.39500000000001</v>
      </c>
    </row>
    <row r="3639" spans="1:22" x14ac:dyDescent="0.3">
      <c r="A3639" t="s">
        <v>5115</v>
      </c>
      <c r="B3639" s="2">
        <v>46253</v>
      </c>
      <c r="C3639" t="s">
        <v>810</v>
      </c>
      <c r="D3639" t="s">
        <v>24</v>
      </c>
      <c r="E3639" t="s">
        <v>92</v>
      </c>
      <c r="F3639">
        <v>2</v>
      </c>
      <c r="G3639">
        <v>0</v>
      </c>
      <c r="H3639">
        <v>1800</v>
      </c>
      <c r="I3639">
        <v>560</v>
      </c>
      <c r="J3639" t="s">
        <v>65</v>
      </c>
      <c r="K3639" t="s">
        <v>40</v>
      </c>
      <c r="L3639">
        <v>900</v>
      </c>
      <c r="M3639">
        <v>31.111111111111111</v>
      </c>
      <c r="N3639" t="s">
        <v>8</v>
      </c>
      <c r="O3639" t="s">
        <v>811</v>
      </c>
      <c r="P3639" t="s">
        <v>73</v>
      </c>
      <c r="Q3639" t="s">
        <v>30</v>
      </c>
      <c r="R3639" t="s">
        <v>60</v>
      </c>
      <c r="S3639" t="s">
        <v>61</v>
      </c>
      <c r="T3639" t="s">
        <v>812</v>
      </c>
      <c r="U3639" t="s">
        <v>34</v>
      </c>
      <c r="V3639">
        <v>280</v>
      </c>
    </row>
    <row r="3640" spans="1:22" x14ac:dyDescent="0.3">
      <c r="A3640" t="s">
        <v>5116</v>
      </c>
      <c r="B3640" s="2">
        <v>45961</v>
      </c>
      <c r="C3640" t="s">
        <v>1602</v>
      </c>
      <c r="D3640" t="s">
        <v>49</v>
      </c>
      <c r="E3640" t="s">
        <v>79</v>
      </c>
      <c r="F3640">
        <v>2</v>
      </c>
      <c r="G3640">
        <v>0</v>
      </c>
      <c r="H3640">
        <v>22000</v>
      </c>
      <c r="I3640">
        <v>5200</v>
      </c>
      <c r="J3640" t="s">
        <v>51</v>
      </c>
      <c r="K3640" t="s">
        <v>40</v>
      </c>
      <c r="L3640">
        <v>11000</v>
      </c>
      <c r="M3640">
        <v>23.63636363636364</v>
      </c>
      <c r="N3640" t="s">
        <v>8</v>
      </c>
      <c r="O3640" t="s">
        <v>1237</v>
      </c>
      <c r="P3640" t="s">
        <v>73</v>
      </c>
      <c r="Q3640" t="s">
        <v>131</v>
      </c>
      <c r="R3640" t="s">
        <v>449</v>
      </c>
      <c r="S3640" t="s">
        <v>450</v>
      </c>
      <c r="T3640" t="s">
        <v>880</v>
      </c>
      <c r="U3640" t="s">
        <v>105</v>
      </c>
      <c r="V3640">
        <v>2600</v>
      </c>
    </row>
    <row r="3641" spans="1:22" x14ac:dyDescent="0.3">
      <c r="A3641" t="s">
        <v>5117</v>
      </c>
      <c r="B3641" s="2">
        <v>46079</v>
      </c>
      <c r="C3641" t="s">
        <v>140</v>
      </c>
      <c r="D3641" t="s">
        <v>70</v>
      </c>
      <c r="E3641" t="s">
        <v>165</v>
      </c>
      <c r="F3641">
        <v>6</v>
      </c>
      <c r="G3641">
        <v>0.2</v>
      </c>
      <c r="H3641">
        <v>12000</v>
      </c>
      <c r="I3641">
        <v>3127.03</v>
      </c>
      <c r="J3641" t="s">
        <v>26</v>
      </c>
      <c r="K3641" t="s">
        <v>40</v>
      </c>
      <c r="L3641">
        <v>2000</v>
      </c>
      <c r="M3641">
        <v>26.058583333333331</v>
      </c>
      <c r="N3641" t="s">
        <v>8</v>
      </c>
      <c r="O3641" t="s">
        <v>141</v>
      </c>
      <c r="P3641" t="s">
        <v>29</v>
      </c>
      <c r="Q3641" t="s">
        <v>30</v>
      </c>
      <c r="R3641" t="s">
        <v>53</v>
      </c>
      <c r="S3641" t="s">
        <v>54</v>
      </c>
      <c r="T3641" t="s">
        <v>142</v>
      </c>
      <c r="U3641" t="s">
        <v>100</v>
      </c>
      <c r="V3641">
        <v>521.17166666666674</v>
      </c>
    </row>
    <row r="3642" spans="1:22" x14ac:dyDescent="0.3">
      <c r="A3642" t="s">
        <v>5118</v>
      </c>
      <c r="B3642" s="2">
        <v>46244</v>
      </c>
      <c r="C3642" t="s">
        <v>2947</v>
      </c>
      <c r="D3642" t="s">
        <v>24</v>
      </c>
      <c r="E3642" t="s">
        <v>87</v>
      </c>
      <c r="F3642">
        <v>1</v>
      </c>
      <c r="G3642">
        <v>0.1</v>
      </c>
      <c r="H3642">
        <v>315</v>
      </c>
      <c r="I3642">
        <v>91.03</v>
      </c>
      <c r="J3642" t="s">
        <v>51</v>
      </c>
      <c r="K3642" t="s">
        <v>40</v>
      </c>
      <c r="L3642">
        <v>315</v>
      </c>
      <c r="M3642">
        <v>28.898412698412699</v>
      </c>
      <c r="N3642" t="s">
        <v>8</v>
      </c>
      <c r="O3642" t="s">
        <v>2674</v>
      </c>
      <c r="P3642" t="s">
        <v>29</v>
      </c>
      <c r="Q3642" t="s">
        <v>74</v>
      </c>
      <c r="R3642" t="s">
        <v>115</v>
      </c>
      <c r="S3642" t="s">
        <v>115</v>
      </c>
      <c r="T3642" t="s">
        <v>2948</v>
      </c>
      <c r="U3642" t="s">
        <v>105</v>
      </c>
      <c r="V3642">
        <v>91.03</v>
      </c>
    </row>
    <row r="3643" spans="1:22" x14ac:dyDescent="0.3">
      <c r="A3643" t="s">
        <v>5119</v>
      </c>
      <c r="B3643" s="2">
        <v>46066</v>
      </c>
      <c r="C3643" t="s">
        <v>1748</v>
      </c>
      <c r="D3643" t="s">
        <v>70</v>
      </c>
      <c r="E3643" t="s">
        <v>71</v>
      </c>
      <c r="F3643">
        <v>5</v>
      </c>
      <c r="G3643">
        <v>0.1</v>
      </c>
      <c r="H3643">
        <v>81000</v>
      </c>
      <c r="I3643">
        <v>-29180.75</v>
      </c>
      <c r="J3643" t="s">
        <v>26</v>
      </c>
      <c r="K3643" t="s">
        <v>434</v>
      </c>
      <c r="L3643">
        <v>16200</v>
      </c>
      <c r="M3643">
        <v>-36.025617283950623</v>
      </c>
      <c r="N3643" t="s">
        <v>81</v>
      </c>
      <c r="O3643" t="s">
        <v>1749</v>
      </c>
      <c r="P3643" t="s">
        <v>83</v>
      </c>
      <c r="Q3643" t="s">
        <v>42</v>
      </c>
      <c r="R3643" t="s">
        <v>121</v>
      </c>
      <c r="S3643" t="s">
        <v>44</v>
      </c>
      <c r="T3643" t="s">
        <v>1221</v>
      </c>
      <c r="U3643" t="s">
        <v>34</v>
      </c>
      <c r="V3643">
        <v>-5836.15</v>
      </c>
    </row>
    <row r="3644" spans="1:22" x14ac:dyDescent="0.3">
      <c r="A3644" t="s">
        <v>5120</v>
      </c>
      <c r="B3644" s="2">
        <v>46212</v>
      </c>
      <c r="C3644" t="s">
        <v>3889</v>
      </c>
      <c r="D3644" t="s">
        <v>70</v>
      </c>
      <c r="E3644" t="s">
        <v>108</v>
      </c>
      <c r="F3644">
        <v>2</v>
      </c>
      <c r="G3644">
        <v>0.1</v>
      </c>
      <c r="H3644">
        <v>8100</v>
      </c>
      <c r="I3644">
        <v>2559.71</v>
      </c>
      <c r="J3644" t="s">
        <v>51</v>
      </c>
      <c r="K3644" t="s">
        <v>40</v>
      </c>
      <c r="L3644">
        <v>4050</v>
      </c>
      <c r="M3644">
        <v>31.601358024691361</v>
      </c>
      <c r="N3644" t="s">
        <v>8</v>
      </c>
      <c r="O3644" t="s">
        <v>1989</v>
      </c>
      <c r="P3644" t="s">
        <v>29</v>
      </c>
      <c r="Q3644" t="s">
        <v>131</v>
      </c>
      <c r="R3644" t="s">
        <v>132</v>
      </c>
      <c r="S3644" t="s">
        <v>133</v>
      </c>
      <c r="T3644" t="s">
        <v>3890</v>
      </c>
      <c r="U3644" t="s">
        <v>100</v>
      </c>
      <c r="V3644">
        <v>1279.855</v>
      </c>
    </row>
    <row r="3645" spans="1:22" x14ac:dyDescent="0.3">
      <c r="A3645" t="s">
        <v>5121</v>
      </c>
      <c r="B3645" s="2">
        <v>46103</v>
      </c>
      <c r="C3645" t="s">
        <v>952</v>
      </c>
      <c r="D3645" t="s">
        <v>24</v>
      </c>
      <c r="E3645" t="s">
        <v>242</v>
      </c>
      <c r="F3645">
        <v>4</v>
      </c>
      <c r="G3645">
        <v>0.1</v>
      </c>
      <c r="H3645">
        <v>1620</v>
      </c>
      <c r="I3645">
        <v>339.67</v>
      </c>
      <c r="J3645" t="s">
        <v>26</v>
      </c>
      <c r="K3645" t="s">
        <v>40</v>
      </c>
      <c r="L3645">
        <v>405</v>
      </c>
      <c r="M3645">
        <v>20.96728395061729</v>
      </c>
      <c r="N3645" t="s">
        <v>8</v>
      </c>
      <c r="O3645" t="s">
        <v>953</v>
      </c>
      <c r="P3645" t="s">
        <v>83</v>
      </c>
      <c r="Q3645" t="s">
        <v>42</v>
      </c>
      <c r="R3645" t="s">
        <v>110</v>
      </c>
      <c r="S3645" t="s">
        <v>111</v>
      </c>
      <c r="T3645" t="s">
        <v>954</v>
      </c>
      <c r="U3645" t="s">
        <v>105</v>
      </c>
      <c r="V3645">
        <v>84.917500000000004</v>
      </c>
    </row>
    <row r="3646" spans="1:22" x14ac:dyDescent="0.3">
      <c r="A3646" t="s">
        <v>5122</v>
      </c>
      <c r="B3646" s="2">
        <v>45889</v>
      </c>
      <c r="C3646" t="s">
        <v>732</v>
      </c>
      <c r="D3646" t="s">
        <v>49</v>
      </c>
      <c r="E3646" t="s">
        <v>58</v>
      </c>
      <c r="F3646">
        <v>1</v>
      </c>
      <c r="G3646">
        <v>0.1</v>
      </c>
      <c r="H3646">
        <v>13500</v>
      </c>
      <c r="I3646">
        <v>2643.92</v>
      </c>
      <c r="J3646" t="s">
        <v>65</v>
      </c>
      <c r="K3646" t="s">
        <v>40</v>
      </c>
      <c r="L3646">
        <v>13500</v>
      </c>
      <c r="M3646">
        <v>19.584592592592589</v>
      </c>
      <c r="N3646" t="s">
        <v>8</v>
      </c>
      <c r="O3646" t="s">
        <v>733</v>
      </c>
      <c r="P3646" t="s">
        <v>29</v>
      </c>
      <c r="Q3646" t="s">
        <v>131</v>
      </c>
      <c r="R3646" t="s">
        <v>449</v>
      </c>
      <c r="S3646" t="s">
        <v>450</v>
      </c>
      <c r="T3646" t="s">
        <v>734</v>
      </c>
      <c r="U3646" t="s">
        <v>34</v>
      </c>
      <c r="V3646">
        <v>2643.92</v>
      </c>
    </row>
    <row r="3647" spans="1:22" x14ac:dyDescent="0.3">
      <c r="A3647" t="s">
        <v>5123</v>
      </c>
      <c r="B3647" s="2">
        <v>46103</v>
      </c>
      <c r="C3647" t="s">
        <v>4515</v>
      </c>
      <c r="D3647" t="s">
        <v>37</v>
      </c>
      <c r="E3647" t="s">
        <v>38</v>
      </c>
      <c r="F3647">
        <v>2</v>
      </c>
      <c r="G3647">
        <v>0.05</v>
      </c>
      <c r="H3647">
        <v>3420</v>
      </c>
      <c r="I3647">
        <v>1153.03</v>
      </c>
      <c r="J3647" t="s">
        <v>65</v>
      </c>
      <c r="K3647" t="s">
        <v>40</v>
      </c>
      <c r="L3647">
        <v>1710</v>
      </c>
      <c r="M3647">
        <v>33.714327485380117</v>
      </c>
      <c r="N3647" t="s">
        <v>8</v>
      </c>
      <c r="O3647" t="s">
        <v>1251</v>
      </c>
      <c r="P3647" t="s">
        <v>29</v>
      </c>
      <c r="Q3647" t="s">
        <v>131</v>
      </c>
      <c r="R3647" t="s">
        <v>289</v>
      </c>
      <c r="S3647" t="s">
        <v>290</v>
      </c>
      <c r="T3647" t="s">
        <v>2178</v>
      </c>
      <c r="U3647" t="s">
        <v>34</v>
      </c>
      <c r="V3647">
        <v>576.51499999999999</v>
      </c>
    </row>
    <row r="3648" spans="1:22" x14ac:dyDescent="0.3">
      <c r="A3648" t="s">
        <v>5124</v>
      </c>
      <c r="B3648" s="2">
        <v>45892</v>
      </c>
      <c r="C3648" t="s">
        <v>1809</v>
      </c>
      <c r="D3648" t="s">
        <v>49</v>
      </c>
      <c r="E3648" t="s">
        <v>50</v>
      </c>
      <c r="F3648">
        <v>5</v>
      </c>
      <c r="G3648">
        <v>0.05</v>
      </c>
      <c r="H3648">
        <v>61750</v>
      </c>
      <c r="I3648">
        <v>14286.39</v>
      </c>
      <c r="J3648" t="s">
        <v>39</v>
      </c>
      <c r="K3648" t="s">
        <v>40</v>
      </c>
      <c r="L3648">
        <v>12350</v>
      </c>
      <c r="M3648">
        <v>23.135854251012141</v>
      </c>
      <c r="N3648" t="s">
        <v>8</v>
      </c>
      <c r="O3648" t="s">
        <v>730</v>
      </c>
      <c r="P3648" t="s">
        <v>29</v>
      </c>
      <c r="Q3648" t="s">
        <v>74</v>
      </c>
      <c r="R3648" t="s">
        <v>115</v>
      </c>
      <c r="S3648" t="s">
        <v>115</v>
      </c>
      <c r="T3648" t="s">
        <v>1203</v>
      </c>
      <c r="U3648" t="s">
        <v>46</v>
      </c>
      <c r="V3648">
        <v>2857.2779999999998</v>
      </c>
    </row>
    <row r="3649" spans="1:22" x14ac:dyDescent="0.3">
      <c r="A3649" t="s">
        <v>5125</v>
      </c>
      <c r="B3649" s="2">
        <v>45964</v>
      </c>
      <c r="C3649" t="s">
        <v>1262</v>
      </c>
      <c r="D3649" t="s">
        <v>70</v>
      </c>
      <c r="E3649" t="s">
        <v>129</v>
      </c>
      <c r="F3649">
        <v>2</v>
      </c>
      <c r="G3649">
        <v>0.1</v>
      </c>
      <c r="H3649">
        <v>99000</v>
      </c>
      <c r="I3649">
        <v>11656.85</v>
      </c>
      <c r="J3649" t="s">
        <v>65</v>
      </c>
      <c r="K3649" t="s">
        <v>40</v>
      </c>
      <c r="L3649">
        <v>49500</v>
      </c>
      <c r="M3649">
        <v>11.77459595959596</v>
      </c>
      <c r="N3649" t="s">
        <v>8</v>
      </c>
      <c r="O3649" t="s">
        <v>1263</v>
      </c>
      <c r="P3649" t="s">
        <v>83</v>
      </c>
      <c r="Q3649" t="s">
        <v>30</v>
      </c>
      <c r="R3649" t="s">
        <v>53</v>
      </c>
      <c r="S3649" t="s">
        <v>54</v>
      </c>
      <c r="T3649" t="s">
        <v>1264</v>
      </c>
      <c r="U3649" t="s">
        <v>46</v>
      </c>
      <c r="V3649">
        <v>5828.4250000000002</v>
      </c>
    </row>
    <row r="3650" spans="1:22" x14ac:dyDescent="0.3">
      <c r="A3650" t="s">
        <v>5126</v>
      </c>
      <c r="B3650" s="2">
        <v>46170</v>
      </c>
      <c r="C3650" t="s">
        <v>164</v>
      </c>
      <c r="D3650" t="s">
        <v>49</v>
      </c>
      <c r="E3650" t="s">
        <v>79</v>
      </c>
      <c r="F3650">
        <v>2</v>
      </c>
      <c r="G3650">
        <v>0.2</v>
      </c>
      <c r="H3650">
        <v>17600</v>
      </c>
      <c r="I3650">
        <v>2832.14</v>
      </c>
      <c r="J3650" t="s">
        <v>51</v>
      </c>
      <c r="K3650" t="s">
        <v>40</v>
      </c>
      <c r="L3650">
        <v>8800</v>
      </c>
      <c r="M3650">
        <v>16.09170454545454</v>
      </c>
      <c r="N3650" t="s">
        <v>8</v>
      </c>
      <c r="O3650" t="s">
        <v>166</v>
      </c>
      <c r="P3650" t="s">
        <v>73</v>
      </c>
      <c r="Q3650" t="s">
        <v>30</v>
      </c>
      <c r="R3650" t="s">
        <v>53</v>
      </c>
      <c r="S3650" t="s">
        <v>54</v>
      </c>
      <c r="T3650" t="s">
        <v>167</v>
      </c>
      <c r="U3650" t="s">
        <v>46</v>
      </c>
      <c r="V3650">
        <v>1416.07</v>
      </c>
    </row>
    <row r="3651" spans="1:22" x14ac:dyDescent="0.3">
      <c r="A3651" t="s">
        <v>5127</v>
      </c>
      <c r="B3651" s="2">
        <v>45874</v>
      </c>
      <c r="C3651" t="s">
        <v>283</v>
      </c>
      <c r="D3651" t="s">
        <v>37</v>
      </c>
      <c r="E3651" t="s">
        <v>170</v>
      </c>
      <c r="F3651">
        <v>1</v>
      </c>
      <c r="G3651">
        <v>0.15</v>
      </c>
      <c r="H3651">
        <v>1190</v>
      </c>
      <c r="I3651">
        <v>-41.5</v>
      </c>
      <c r="J3651" t="s">
        <v>39</v>
      </c>
      <c r="K3651" t="s">
        <v>434</v>
      </c>
      <c r="L3651">
        <v>1190</v>
      </c>
      <c r="M3651">
        <v>-3.4873949579831929</v>
      </c>
      <c r="N3651" t="s">
        <v>81</v>
      </c>
      <c r="O3651" t="s">
        <v>284</v>
      </c>
      <c r="P3651" t="s">
        <v>29</v>
      </c>
      <c r="Q3651" t="s">
        <v>30</v>
      </c>
      <c r="R3651" t="s">
        <v>53</v>
      </c>
      <c r="S3651" t="s">
        <v>54</v>
      </c>
      <c r="T3651" t="s">
        <v>285</v>
      </c>
      <c r="U3651" t="s">
        <v>34</v>
      </c>
      <c r="V3651">
        <v>-41.5</v>
      </c>
    </row>
    <row r="3652" spans="1:22" x14ac:dyDescent="0.3">
      <c r="A3652" t="s">
        <v>5128</v>
      </c>
      <c r="B3652" s="2">
        <v>46164</v>
      </c>
      <c r="C3652" t="s">
        <v>783</v>
      </c>
      <c r="D3652" t="s">
        <v>49</v>
      </c>
      <c r="E3652" t="s">
        <v>58</v>
      </c>
      <c r="F3652">
        <v>3</v>
      </c>
      <c r="G3652">
        <v>0.2</v>
      </c>
      <c r="H3652">
        <v>36000</v>
      </c>
      <c r="I3652">
        <v>3675.35</v>
      </c>
      <c r="J3652" t="s">
        <v>51</v>
      </c>
      <c r="K3652" t="s">
        <v>40</v>
      </c>
      <c r="L3652">
        <v>12000</v>
      </c>
      <c r="M3652">
        <v>10.209305555555551</v>
      </c>
      <c r="N3652" t="s">
        <v>8</v>
      </c>
      <c r="O3652" t="s">
        <v>784</v>
      </c>
      <c r="P3652" t="s">
        <v>73</v>
      </c>
      <c r="Q3652" t="s">
        <v>74</v>
      </c>
      <c r="R3652" t="s">
        <v>493</v>
      </c>
      <c r="S3652" t="s">
        <v>494</v>
      </c>
      <c r="T3652" t="s">
        <v>785</v>
      </c>
      <c r="U3652" t="s">
        <v>46</v>
      </c>
      <c r="V3652">
        <v>1225.116666666667</v>
      </c>
    </row>
    <row r="3653" spans="1:22" x14ac:dyDescent="0.3">
      <c r="A3653" t="s">
        <v>5129</v>
      </c>
      <c r="B3653" s="2">
        <v>46104</v>
      </c>
      <c r="C3653" t="s">
        <v>3024</v>
      </c>
      <c r="D3653" t="s">
        <v>70</v>
      </c>
      <c r="E3653" t="s">
        <v>129</v>
      </c>
      <c r="F3653">
        <v>2</v>
      </c>
      <c r="G3653">
        <v>0</v>
      </c>
      <c r="H3653">
        <v>110000</v>
      </c>
      <c r="I3653">
        <v>18000</v>
      </c>
      <c r="J3653" t="s">
        <v>65</v>
      </c>
      <c r="K3653" t="s">
        <v>40</v>
      </c>
      <c r="L3653">
        <v>55000</v>
      </c>
      <c r="M3653">
        <v>16.36363636363636</v>
      </c>
      <c r="N3653" t="s">
        <v>8</v>
      </c>
      <c r="O3653" t="s">
        <v>1466</v>
      </c>
      <c r="P3653" t="s">
        <v>29</v>
      </c>
      <c r="Q3653" t="s">
        <v>42</v>
      </c>
      <c r="R3653" t="s">
        <v>214</v>
      </c>
      <c r="S3653" t="s">
        <v>111</v>
      </c>
      <c r="T3653" t="s">
        <v>2425</v>
      </c>
      <c r="U3653" t="s">
        <v>34</v>
      </c>
      <c r="V3653">
        <v>9000</v>
      </c>
    </row>
    <row r="3654" spans="1:22" x14ac:dyDescent="0.3">
      <c r="A3654" t="s">
        <v>5130</v>
      </c>
      <c r="B3654" s="2">
        <v>46037</v>
      </c>
      <c r="C3654" t="s">
        <v>293</v>
      </c>
      <c r="D3654" t="s">
        <v>24</v>
      </c>
      <c r="E3654" t="s">
        <v>87</v>
      </c>
      <c r="F3654">
        <v>3</v>
      </c>
      <c r="G3654">
        <v>0.15</v>
      </c>
      <c r="H3654">
        <v>892.5</v>
      </c>
      <c r="I3654">
        <v>30.91</v>
      </c>
      <c r="J3654" t="s">
        <v>51</v>
      </c>
      <c r="K3654" t="s">
        <v>434</v>
      </c>
      <c r="L3654">
        <v>297.5</v>
      </c>
      <c r="M3654">
        <v>3.4633053221288508</v>
      </c>
      <c r="N3654" t="s">
        <v>8</v>
      </c>
      <c r="O3654" t="s">
        <v>294</v>
      </c>
      <c r="P3654" t="s">
        <v>73</v>
      </c>
      <c r="Q3654" t="s">
        <v>74</v>
      </c>
      <c r="R3654" t="s">
        <v>115</v>
      </c>
      <c r="S3654" t="s">
        <v>115</v>
      </c>
      <c r="T3654" t="s">
        <v>295</v>
      </c>
      <c r="U3654" t="s">
        <v>100</v>
      </c>
      <c r="V3654">
        <v>10.303333333333329</v>
      </c>
    </row>
    <row r="3655" spans="1:22" x14ac:dyDescent="0.3">
      <c r="A3655" t="s">
        <v>5131</v>
      </c>
      <c r="B3655" s="2">
        <v>46147</v>
      </c>
      <c r="C3655" t="s">
        <v>409</v>
      </c>
      <c r="D3655" t="s">
        <v>70</v>
      </c>
      <c r="E3655" t="s">
        <v>108</v>
      </c>
      <c r="F3655">
        <v>2</v>
      </c>
      <c r="G3655">
        <v>0.05</v>
      </c>
      <c r="H3655">
        <v>8550</v>
      </c>
      <c r="I3655">
        <v>2660.28</v>
      </c>
      <c r="J3655" t="s">
        <v>51</v>
      </c>
      <c r="K3655" t="s">
        <v>40</v>
      </c>
      <c r="L3655">
        <v>4275</v>
      </c>
      <c r="M3655">
        <v>31.11438596491228</v>
      </c>
      <c r="N3655" t="s">
        <v>8</v>
      </c>
      <c r="O3655" t="s">
        <v>410</v>
      </c>
      <c r="P3655" t="s">
        <v>73</v>
      </c>
      <c r="Q3655" t="s">
        <v>131</v>
      </c>
      <c r="R3655" t="s">
        <v>200</v>
      </c>
      <c r="S3655" t="s">
        <v>201</v>
      </c>
      <c r="T3655" t="s">
        <v>411</v>
      </c>
      <c r="U3655" t="s">
        <v>100</v>
      </c>
      <c r="V3655">
        <v>1330.14</v>
      </c>
    </row>
    <row r="3656" spans="1:22" x14ac:dyDescent="0.3">
      <c r="A3656" t="s">
        <v>5132</v>
      </c>
      <c r="B3656" s="2">
        <v>45857</v>
      </c>
      <c r="C3656" t="s">
        <v>1143</v>
      </c>
      <c r="D3656" t="s">
        <v>37</v>
      </c>
      <c r="E3656" t="s">
        <v>310</v>
      </c>
      <c r="F3656">
        <v>3</v>
      </c>
      <c r="G3656">
        <v>0</v>
      </c>
      <c r="H3656">
        <v>6600</v>
      </c>
      <c r="I3656">
        <v>2250</v>
      </c>
      <c r="J3656" t="s">
        <v>39</v>
      </c>
      <c r="K3656" t="s">
        <v>40</v>
      </c>
      <c r="L3656">
        <v>2200</v>
      </c>
      <c r="M3656">
        <v>34.090909090909093</v>
      </c>
      <c r="N3656" t="s">
        <v>8</v>
      </c>
      <c r="O3656" t="s">
        <v>1144</v>
      </c>
      <c r="P3656" t="s">
        <v>29</v>
      </c>
      <c r="Q3656" t="s">
        <v>30</v>
      </c>
      <c r="R3656" t="s">
        <v>31</v>
      </c>
      <c r="S3656" t="s">
        <v>32</v>
      </c>
      <c r="T3656" t="s">
        <v>1145</v>
      </c>
      <c r="U3656" t="s">
        <v>100</v>
      </c>
      <c r="V3656">
        <v>750</v>
      </c>
    </row>
    <row r="3657" spans="1:22" x14ac:dyDescent="0.3">
      <c r="A3657" t="s">
        <v>5133</v>
      </c>
      <c r="B3657" s="2">
        <v>45985</v>
      </c>
      <c r="C3657" t="s">
        <v>409</v>
      </c>
      <c r="D3657" t="s">
        <v>49</v>
      </c>
      <c r="E3657" t="s">
        <v>50</v>
      </c>
      <c r="F3657">
        <v>2</v>
      </c>
      <c r="G3657">
        <v>0.15</v>
      </c>
      <c r="H3657">
        <v>22100</v>
      </c>
      <c r="I3657">
        <v>4354.28</v>
      </c>
      <c r="J3657" t="s">
        <v>51</v>
      </c>
      <c r="K3657" t="s">
        <v>40</v>
      </c>
      <c r="L3657">
        <v>11050</v>
      </c>
      <c r="M3657">
        <v>19.70262443438914</v>
      </c>
      <c r="N3657" t="s">
        <v>8</v>
      </c>
      <c r="O3657" t="s">
        <v>410</v>
      </c>
      <c r="P3657" t="s">
        <v>73</v>
      </c>
      <c r="Q3657" t="s">
        <v>131</v>
      </c>
      <c r="R3657" t="s">
        <v>200</v>
      </c>
      <c r="S3657" t="s">
        <v>201</v>
      </c>
      <c r="T3657" t="s">
        <v>411</v>
      </c>
      <c r="U3657" t="s">
        <v>100</v>
      </c>
      <c r="V3657">
        <v>2177.14</v>
      </c>
    </row>
    <row r="3658" spans="1:22" x14ac:dyDescent="0.3">
      <c r="A3658" t="s">
        <v>5134</v>
      </c>
      <c r="B3658" s="2">
        <v>46035</v>
      </c>
      <c r="C3658" t="s">
        <v>869</v>
      </c>
      <c r="D3658" t="s">
        <v>49</v>
      </c>
      <c r="E3658" t="s">
        <v>79</v>
      </c>
      <c r="F3658">
        <v>5</v>
      </c>
      <c r="G3658">
        <v>0.15</v>
      </c>
      <c r="H3658">
        <v>46750</v>
      </c>
      <c r="I3658">
        <v>6731.38</v>
      </c>
      <c r="J3658" t="s">
        <v>39</v>
      </c>
      <c r="K3658" t="s">
        <v>40</v>
      </c>
      <c r="L3658">
        <v>9350</v>
      </c>
      <c r="M3658">
        <v>14.39867379679144</v>
      </c>
      <c r="N3658" t="s">
        <v>8</v>
      </c>
      <c r="O3658" t="s">
        <v>870</v>
      </c>
      <c r="P3658" t="s">
        <v>73</v>
      </c>
      <c r="Q3658" t="s">
        <v>30</v>
      </c>
      <c r="R3658" t="s">
        <v>98</v>
      </c>
      <c r="S3658" t="s">
        <v>54</v>
      </c>
      <c r="T3658" t="s">
        <v>859</v>
      </c>
      <c r="U3658" t="s">
        <v>34</v>
      </c>
      <c r="V3658">
        <v>1346.2760000000001</v>
      </c>
    </row>
    <row r="3659" spans="1:22" x14ac:dyDescent="0.3">
      <c r="A3659" t="s">
        <v>5135</v>
      </c>
      <c r="B3659" s="2">
        <v>46132</v>
      </c>
      <c r="C3659" t="s">
        <v>96</v>
      </c>
      <c r="D3659" t="s">
        <v>37</v>
      </c>
      <c r="E3659" t="s">
        <v>310</v>
      </c>
      <c r="F3659">
        <v>3</v>
      </c>
      <c r="G3659">
        <v>0.05</v>
      </c>
      <c r="H3659">
        <v>6270</v>
      </c>
      <c r="I3659">
        <v>2093.46</v>
      </c>
      <c r="J3659" t="s">
        <v>51</v>
      </c>
      <c r="K3659" t="s">
        <v>40</v>
      </c>
      <c r="L3659">
        <v>2090</v>
      </c>
      <c r="M3659">
        <v>33.388516746411483</v>
      </c>
      <c r="N3659" t="s">
        <v>8</v>
      </c>
      <c r="O3659" t="s">
        <v>97</v>
      </c>
      <c r="P3659" t="s">
        <v>73</v>
      </c>
      <c r="Q3659" t="s">
        <v>30</v>
      </c>
      <c r="R3659" t="s">
        <v>98</v>
      </c>
      <c r="S3659" t="s">
        <v>54</v>
      </c>
      <c r="T3659" t="s">
        <v>99</v>
      </c>
      <c r="U3659" t="s">
        <v>100</v>
      </c>
      <c r="V3659">
        <v>697.82</v>
      </c>
    </row>
    <row r="3660" spans="1:22" x14ac:dyDescent="0.3">
      <c r="A3660" t="s">
        <v>5136</v>
      </c>
      <c r="B3660" s="2">
        <v>45895</v>
      </c>
      <c r="C3660" t="s">
        <v>1143</v>
      </c>
      <c r="D3660" t="s">
        <v>49</v>
      </c>
      <c r="E3660" t="s">
        <v>58</v>
      </c>
      <c r="F3660">
        <v>1</v>
      </c>
      <c r="G3660">
        <v>0.15</v>
      </c>
      <c r="H3660">
        <v>12750</v>
      </c>
      <c r="I3660">
        <v>1595.01</v>
      </c>
      <c r="J3660" t="s">
        <v>65</v>
      </c>
      <c r="K3660" t="s">
        <v>40</v>
      </c>
      <c r="L3660">
        <v>12750</v>
      </c>
      <c r="M3660">
        <v>12.50988235294118</v>
      </c>
      <c r="N3660" t="s">
        <v>8</v>
      </c>
      <c r="O3660" t="s">
        <v>1144</v>
      </c>
      <c r="P3660" t="s">
        <v>29</v>
      </c>
      <c r="Q3660" t="s">
        <v>30</v>
      </c>
      <c r="R3660" t="s">
        <v>31</v>
      </c>
      <c r="S3660" t="s">
        <v>32</v>
      </c>
      <c r="T3660" t="s">
        <v>1145</v>
      </c>
      <c r="U3660" t="s">
        <v>100</v>
      </c>
      <c r="V3660">
        <v>1595.01</v>
      </c>
    </row>
    <row r="3661" spans="1:22" x14ac:dyDescent="0.3">
      <c r="A3661" t="s">
        <v>5137</v>
      </c>
      <c r="B3661" s="2">
        <v>46123</v>
      </c>
      <c r="C3661" t="s">
        <v>3715</v>
      </c>
      <c r="D3661" t="s">
        <v>24</v>
      </c>
      <c r="E3661" t="s">
        <v>25</v>
      </c>
      <c r="F3661">
        <v>6</v>
      </c>
      <c r="G3661">
        <v>0</v>
      </c>
      <c r="H3661">
        <v>84000</v>
      </c>
      <c r="I3661">
        <v>16800</v>
      </c>
      <c r="J3661" t="s">
        <v>39</v>
      </c>
      <c r="K3661" t="s">
        <v>40</v>
      </c>
      <c r="L3661">
        <v>14000</v>
      </c>
      <c r="M3661">
        <v>20</v>
      </c>
      <c r="N3661" t="s">
        <v>8</v>
      </c>
      <c r="O3661" t="s">
        <v>1963</v>
      </c>
      <c r="P3661" t="s">
        <v>29</v>
      </c>
      <c r="Q3661" t="s">
        <v>74</v>
      </c>
      <c r="R3661" t="s">
        <v>75</v>
      </c>
      <c r="S3661" t="s">
        <v>75</v>
      </c>
      <c r="T3661" t="s">
        <v>3716</v>
      </c>
      <c r="U3661" t="s">
        <v>34</v>
      </c>
      <c r="V3661">
        <v>2800</v>
      </c>
    </row>
    <row r="3662" spans="1:22" x14ac:dyDescent="0.3">
      <c r="A3662" t="s">
        <v>5138</v>
      </c>
      <c r="B3662" s="2">
        <v>45853</v>
      </c>
      <c r="C3662" t="s">
        <v>389</v>
      </c>
      <c r="D3662" t="s">
        <v>49</v>
      </c>
      <c r="E3662" t="s">
        <v>58</v>
      </c>
      <c r="F3662">
        <v>4</v>
      </c>
      <c r="G3662">
        <v>0.05</v>
      </c>
      <c r="H3662">
        <v>57000</v>
      </c>
      <c r="I3662">
        <v>11830.39</v>
      </c>
      <c r="J3662" t="s">
        <v>65</v>
      </c>
      <c r="K3662" t="s">
        <v>40</v>
      </c>
      <c r="L3662">
        <v>14250</v>
      </c>
      <c r="M3662">
        <v>20.75507017543859</v>
      </c>
      <c r="N3662" t="s">
        <v>8</v>
      </c>
      <c r="O3662" t="s">
        <v>390</v>
      </c>
      <c r="P3662" t="s">
        <v>29</v>
      </c>
      <c r="Q3662" t="s">
        <v>30</v>
      </c>
      <c r="R3662" t="s">
        <v>53</v>
      </c>
      <c r="S3662" t="s">
        <v>54</v>
      </c>
      <c r="T3662" t="s">
        <v>391</v>
      </c>
      <c r="U3662" t="s">
        <v>100</v>
      </c>
      <c r="V3662">
        <v>2957.5974999999999</v>
      </c>
    </row>
    <row r="3663" spans="1:22" x14ac:dyDescent="0.3">
      <c r="A3663" t="s">
        <v>5139</v>
      </c>
      <c r="B3663" s="2">
        <v>46175</v>
      </c>
      <c r="C3663" t="s">
        <v>1417</v>
      </c>
      <c r="D3663" t="s">
        <v>49</v>
      </c>
      <c r="E3663" t="s">
        <v>50</v>
      </c>
      <c r="F3663">
        <v>5</v>
      </c>
      <c r="G3663">
        <v>0.05</v>
      </c>
      <c r="H3663">
        <v>61750</v>
      </c>
      <c r="I3663">
        <v>-3988.82</v>
      </c>
      <c r="J3663" t="s">
        <v>26</v>
      </c>
      <c r="K3663" t="s">
        <v>434</v>
      </c>
      <c r="L3663">
        <v>12350</v>
      </c>
      <c r="M3663">
        <v>-6.4596275303643731</v>
      </c>
      <c r="N3663" t="s">
        <v>81</v>
      </c>
      <c r="O3663" t="s">
        <v>448</v>
      </c>
      <c r="P3663" t="s">
        <v>83</v>
      </c>
      <c r="Q3663" t="s">
        <v>131</v>
      </c>
      <c r="R3663" t="s">
        <v>449</v>
      </c>
      <c r="S3663" t="s">
        <v>450</v>
      </c>
      <c r="T3663" t="s">
        <v>1418</v>
      </c>
      <c r="U3663" t="s">
        <v>34</v>
      </c>
      <c r="V3663">
        <v>-797.76400000000001</v>
      </c>
    </row>
    <row r="3664" spans="1:22" x14ac:dyDescent="0.3">
      <c r="A3664" t="s">
        <v>5140</v>
      </c>
      <c r="B3664" s="2">
        <v>46168</v>
      </c>
      <c r="C3664" t="s">
        <v>1189</v>
      </c>
      <c r="D3664" t="s">
        <v>24</v>
      </c>
      <c r="E3664" t="s">
        <v>87</v>
      </c>
      <c r="F3664">
        <v>2</v>
      </c>
      <c r="G3664">
        <v>0.05</v>
      </c>
      <c r="H3664">
        <v>665</v>
      </c>
      <c r="I3664">
        <v>210.52</v>
      </c>
      <c r="J3664" t="s">
        <v>39</v>
      </c>
      <c r="K3664" t="s">
        <v>27</v>
      </c>
      <c r="L3664">
        <v>332.5</v>
      </c>
      <c r="M3664">
        <v>31.657142857142851</v>
      </c>
      <c r="N3664" t="s">
        <v>8</v>
      </c>
      <c r="O3664" t="s">
        <v>1190</v>
      </c>
      <c r="P3664" t="s">
        <v>83</v>
      </c>
      <c r="Q3664" t="s">
        <v>30</v>
      </c>
      <c r="R3664" t="s">
        <v>53</v>
      </c>
      <c r="S3664" t="s">
        <v>54</v>
      </c>
      <c r="T3664" t="s">
        <v>1191</v>
      </c>
      <c r="U3664" t="s">
        <v>34</v>
      </c>
      <c r="V3664">
        <v>105.26</v>
      </c>
    </row>
    <row r="3665" spans="1:22" x14ac:dyDescent="0.3">
      <c r="A3665" t="s">
        <v>5141</v>
      </c>
      <c r="B3665" s="2">
        <v>45871</v>
      </c>
      <c r="C3665" t="s">
        <v>900</v>
      </c>
      <c r="D3665" t="s">
        <v>49</v>
      </c>
      <c r="E3665" t="s">
        <v>58</v>
      </c>
      <c r="F3665">
        <v>2</v>
      </c>
      <c r="G3665">
        <v>0.1</v>
      </c>
      <c r="H3665">
        <v>27000</v>
      </c>
      <c r="I3665">
        <v>-2894.72</v>
      </c>
      <c r="J3665" t="s">
        <v>51</v>
      </c>
      <c r="K3665" t="s">
        <v>434</v>
      </c>
      <c r="L3665">
        <v>13500</v>
      </c>
      <c r="M3665">
        <v>-10.721185185185179</v>
      </c>
      <c r="N3665" t="s">
        <v>81</v>
      </c>
      <c r="O3665" t="s">
        <v>901</v>
      </c>
      <c r="P3665" t="s">
        <v>29</v>
      </c>
      <c r="Q3665" t="s">
        <v>30</v>
      </c>
      <c r="R3665" t="s">
        <v>31</v>
      </c>
      <c r="S3665" t="s">
        <v>32</v>
      </c>
      <c r="T3665" t="s">
        <v>902</v>
      </c>
      <c r="U3665" t="s">
        <v>34</v>
      </c>
      <c r="V3665">
        <v>-1447.36</v>
      </c>
    </row>
    <row r="3666" spans="1:22" x14ac:dyDescent="0.3">
      <c r="A3666" t="s">
        <v>5142</v>
      </c>
      <c r="B3666" s="2">
        <v>45867</v>
      </c>
      <c r="C3666" t="s">
        <v>461</v>
      </c>
      <c r="D3666" t="s">
        <v>24</v>
      </c>
      <c r="E3666" t="s">
        <v>25</v>
      </c>
      <c r="F3666">
        <v>1</v>
      </c>
      <c r="G3666">
        <v>0.1</v>
      </c>
      <c r="H3666">
        <v>12600</v>
      </c>
      <c r="I3666">
        <v>1759.03</v>
      </c>
      <c r="J3666" t="s">
        <v>26</v>
      </c>
      <c r="K3666" t="s">
        <v>40</v>
      </c>
      <c r="L3666">
        <v>12600</v>
      </c>
      <c r="M3666">
        <v>13.96055555555556</v>
      </c>
      <c r="N3666" t="s">
        <v>8</v>
      </c>
      <c r="O3666" t="s">
        <v>462</v>
      </c>
      <c r="P3666" t="s">
        <v>83</v>
      </c>
      <c r="Q3666" t="s">
        <v>42</v>
      </c>
      <c r="R3666" t="s">
        <v>214</v>
      </c>
      <c r="S3666" t="s">
        <v>111</v>
      </c>
      <c r="T3666" t="s">
        <v>463</v>
      </c>
      <c r="U3666" t="s">
        <v>34</v>
      </c>
      <c r="V3666">
        <v>1759.03</v>
      </c>
    </row>
    <row r="3667" spans="1:22" x14ac:dyDescent="0.3">
      <c r="A3667" t="s">
        <v>5143</v>
      </c>
      <c r="B3667" s="2">
        <v>46260</v>
      </c>
      <c r="C3667" t="s">
        <v>3715</v>
      </c>
      <c r="D3667" t="s">
        <v>37</v>
      </c>
      <c r="E3667" t="s">
        <v>38</v>
      </c>
      <c r="F3667">
        <v>4</v>
      </c>
      <c r="G3667">
        <v>0.15</v>
      </c>
      <c r="H3667">
        <v>6120</v>
      </c>
      <c r="I3667">
        <v>1838.89</v>
      </c>
      <c r="J3667" t="s">
        <v>65</v>
      </c>
      <c r="K3667" t="s">
        <v>40</v>
      </c>
      <c r="L3667">
        <v>1530</v>
      </c>
      <c r="M3667">
        <v>30.047222222222221</v>
      </c>
      <c r="N3667" t="s">
        <v>8</v>
      </c>
      <c r="O3667" t="s">
        <v>1963</v>
      </c>
      <c r="P3667" t="s">
        <v>29</v>
      </c>
      <c r="Q3667" t="s">
        <v>74</v>
      </c>
      <c r="R3667" t="s">
        <v>75</v>
      </c>
      <c r="S3667" t="s">
        <v>75</v>
      </c>
      <c r="T3667" t="s">
        <v>3716</v>
      </c>
      <c r="U3667" t="s">
        <v>34</v>
      </c>
      <c r="V3667">
        <v>459.72250000000003</v>
      </c>
    </row>
    <row r="3668" spans="1:22" x14ac:dyDescent="0.3">
      <c r="A3668" t="s">
        <v>5144</v>
      </c>
      <c r="B3668" s="2">
        <v>46160</v>
      </c>
      <c r="C3668" t="s">
        <v>1181</v>
      </c>
      <c r="D3668" t="s">
        <v>24</v>
      </c>
      <c r="E3668" t="s">
        <v>25</v>
      </c>
      <c r="F3668">
        <v>1</v>
      </c>
      <c r="G3668">
        <v>0.3</v>
      </c>
      <c r="H3668">
        <v>9800</v>
      </c>
      <c r="I3668">
        <v>-3180.23</v>
      </c>
      <c r="J3668" t="s">
        <v>65</v>
      </c>
      <c r="K3668" t="s">
        <v>80</v>
      </c>
      <c r="L3668">
        <v>9800</v>
      </c>
      <c r="M3668">
        <v>-32.451326530612249</v>
      </c>
      <c r="N3668" t="s">
        <v>81</v>
      </c>
      <c r="O3668" t="s">
        <v>1182</v>
      </c>
      <c r="P3668" t="s">
        <v>29</v>
      </c>
      <c r="Q3668" t="s">
        <v>30</v>
      </c>
      <c r="R3668" t="s">
        <v>31</v>
      </c>
      <c r="S3668" t="s">
        <v>32</v>
      </c>
      <c r="T3668" t="s">
        <v>206</v>
      </c>
      <c r="U3668" t="s">
        <v>46</v>
      </c>
      <c r="V3668">
        <v>-3180.23</v>
      </c>
    </row>
    <row r="3669" spans="1:22" x14ac:dyDescent="0.3">
      <c r="A3669" t="s">
        <v>5145</v>
      </c>
      <c r="B3669" s="2">
        <v>46246</v>
      </c>
      <c r="C3669" t="s">
        <v>644</v>
      </c>
      <c r="D3669" t="s">
        <v>37</v>
      </c>
      <c r="E3669" t="s">
        <v>310</v>
      </c>
      <c r="F3669">
        <v>1</v>
      </c>
      <c r="G3669">
        <v>0.15</v>
      </c>
      <c r="H3669">
        <v>1870</v>
      </c>
      <c r="I3669">
        <v>517.41</v>
      </c>
      <c r="J3669" t="s">
        <v>39</v>
      </c>
      <c r="K3669" t="s">
        <v>40</v>
      </c>
      <c r="L3669">
        <v>1870</v>
      </c>
      <c r="M3669">
        <v>27.66898395721925</v>
      </c>
      <c r="N3669" t="s">
        <v>8</v>
      </c>
      <c r="O3669" t="s">
        <v>213</v>
      </c>
      <c r="P3669" t="s">
        <v>29</v>
      </c>
      <c r="Q3669" t="s">
        <v>30</v>
      </c>
      <c r="R3669" t="s">
        <v>31</v>
      </c>
      <c r="S3669" t="s">
        <v>32</v>
      </c>
      <c r="T3669" t="s">
        <v>645</v>
      </c>
      <c r="U3669" t="s">
        <v>46</v>
      </c>
      <c r="V3669">
        <v>517.41</v>
      </c>
    </row>
    <row r="3670" spans="1:22" x14ac:dyDescent="0.3">
      <c r="A3670" t="s">
        <v>5146</v>
      </c>
      <c r="B3670" s="2">
        <v>46028</v>
      </c>
      <c r="C3670" t="s">
        <v>1324</v>
      </c>
      <c r="D3670" t="s">
        <v>70</v>
      </c>
      <c r="E3670" t="s">
        <v>165</v>
      </c>
      <c r="F3670">
        <v>1</v>
      </c>
      <c r="G3670">
        <v>0.1</v>
      </c>
      <c r="H3670">
        <v>2250</v>
      </c>
      <c r="I3670">
        <v>656.79</v>
      </c>
      <c r="J3670" t="s">
        <v>65</v>
      </c>
      <c r="K3670" t="s">
        <v>40</v>
      </c>
      <c r="L3670">
        <v>2250</v>
      </c>
      <c r="M3670">
        <v>29.190666666666669</v>
      </c>
      <c r="N3670" t="s">
        <v>8</v>
      </c>
      <c r="O3670" t="s">
        <v>1325</v>
      </c>
      <c r="P3670" t="s">
        <v>83</v>
      </c>
      <c r="Q3670" t="s">
        <v>74</v>
      </c>
      <c r="R3670" t="s">
        <v>115</v>
      </c>
      <c r="S3670" t="s">
        <v>115</v>
      </c>
      <c r="T3670" t="s">
        <v>1326</v>
      </c>
      <c r="U3670" t="s">
        <v>34</v>
      </c>
      <c r="V3670">
        <v>656.79</v>
      </c>
    </row>
    <row r="3671" spans="1:22" x14ac:dyDescent="0.3">
      <c r="A3671" t="s">
        <v>5147</v>
      </c>
      <c r="B3671" s="2">
        <v>45961</v>
      </c>
      <c r="C3671" t="s">
        <v>659</v>
      </c>
      <c r="D3671" t="s">
        <v>70</v>
      </c>
      <c r="E3671" t="s">
        <v>108</v>
      </c>
      <c r="F3671">
        <v>1</v>
      </c>
      <c r="G3671">
        <v>0.1</v>
      </c>
      <c r="H3671">
        <v>4050</v>
      </c>
      <c r="I3671">
        <v>1130.8499999999999</v>
      </c>
      <c r="J3671" t="s">
        <v>39</v>
      </c>
      <c r="K3671" t="s">
        <v>40</v>
      </c>
      <c r="L3671">
        <v>4050</v>
      </c>
      <c r="M3671">
        <v>27.922222222222221</v>
      </c>
      <c r="N3671" t="s">
        <v>8</v>
      </c>
      <c r="O3671" t="s">
        <v>660</v>
      </c>
      <c r="P3671" t="s">
        <v>83</v>
      </c>
      <c r="Q3671" t="s">
        <v>30</v>
      </c>
      <c r="R3671" t="s">
        <v>60</v>
      </c>
      <c r="S3671" t="s">
        <v>61</v>
      </c>
      <c r="T3671" t="s">
        <v>475</v>
      </c>
      <c r="U3671" t="s">
        <v>46</v>
      </c>
      <c r="V3671">
        <v>1130.8499999999999</v>
      </c>
    </row>
    <row r="3672" spans="1:22" x14ac:dyDescent="0.3">
      <c r="A3672" t="s">
        <v>5148</v>
      </c>
      <c r="B3672" s="2">
        <v>46133</v>
      </c>
      <c r="C3672" t="s">
        <v>148</v>
      </c>
      <c r="D3672" t="s">
        <v>49</v>
      </c>
      <c r="E3672" t="s">
        <v>119</v>
      </c>
      <c r="F3672">
        <v>2</v>
      </c>
      <c r="G3672">
        <v>0.2</v>
      </c>
      <c r="H3672">
        <v>14400</v>
      </c>
      <c r="I3672">
        <v>1849.74</v>
      </c>
      <c r="J3672" t="s">
        <v>39</v>
      </c>
      <c r="K3672" t="s">
        <v>40</v>
      </c>
      <c r="L3672">
        <v>7200</v>
      </c>
      <c r="M3672">
        <v>12.84541666666667</v>
      </c>
      <c r="N3672" t="s">
        <v>8</v>
      </c>
      <c r="O3672" t="s">
        <v>149</v>
      </c>
      <c r="P3672" t="s">
        <v>29</v>
      </c>
      <c r="Q3672" t="s">
        <v>30</v>
      </c>
      <c r="R3672" t="s">
        <v>60</v>
      </c>
      <c r="S3672" t="s">
        <v>61</v>
      </c>
      <c r="T3672" t="s">
        <v>150</v>
      </c>
      <c r="U3672" t="s">
        <v>105</v>
      </c>
      <c r="V3672">
        <v>924.87</v>
      </c>
    </row>
    <row r="3673" spans="1:22" x14ac:dyDescent="0.3">
      <c r="A3673" t="s">
        <v>5149</v>
      </c>
      <c r="B3673" s="2">
        <v>45867</v>
      </c>
      <c r="C3673" t="s">
        <v>2353</v>
      </c>
      <c r="D3673" t="s">
        <v>24</v>
      </c>
      <c r="E3673" t="s">
        <v>92</v>
      </c>
      <c r="F3673">
        <v>6</v>
      </c>
      <c r="G3673">
        <v>0.1</v>
      </c>
      <c r="H3673">
        <v>4860</v>
      </c>
      <c r="I3673">
        <v>1227</v>
      </c>
      <c r="J3673" t="s">
        <v>39</v>
      </c>
      <c r="K3673" t="s">
        <v>40</v>
      </c>
      <c r="L3673">
        <v>810</v>
      </c>
      <c r="M3673">
        <v>25.246913580246911</v>
      </c>
      <c r="N3673" t="s">
        <v>8</v>
      </c>
      <c r="O3673" t="s">
        <v>2127</v>
      </c>
      <c r="P3673" t="s">
        <v>29</v>
      </c>
      <c r="Q3673" t="s">
        <v>30</v>
      </c>
      <c r="R3673" t="s">
        <v>31</v>
      </c>
      <c r="S3673" t="s">
        <v>32</v>
      </c>
      <c r="T3673" t="s">
        <v>1283</v>
      </c>
      <c r="U3673" t="s">
        <v>46</v>
      </c>
      <c r="V3673">
        <v>204.5</v>
      </c>
    </row>
    <row r="3674" spans="1:22" x14ac:dyDescent="0.3">
      <c r="A3674" t="s">
        <v>5150</v>
      </c>
      <c r="B3674" s="2">
        <v>45999</v>
      </c>
      <c r="C3674" t="s">
        <v>1944</v>
      </c>
      <c r="D3674" t="s">
        <v>49</v>
      </c>
      <c r="E3674" t="s">
        <v>58</v>
      </c>
      <c r="F3674">
        <v>2</v>
      </c>
      <c r="G3674">
        <v>0.1</v>
      </c>
      <c r="H3674">
        <v>27000</v>
      </c>
      <c r="I3674">
        <v>4692.3</v>
      </c>
      <c r="J3674" t="s">
        <v>51</v>
      </c>
      <c r="K3674" t="s">
        <v>40</v>
      </c>
      <c r="L3674">
        <v>13500</v>
      </c>
      <c r="M3674">
        <v>17.378888888888891</v>
      </c>
      <c r="N3674" t="s">
        <v>8</v>
      </c>
      <c r="O3674" t="s">
        <v>1945</v>
      </c>
      <c r="P3674" t="s">
        <v>73</v>
      </c>
      <c r="Q3674" t="s">
        <v>131</v>
      </c>
      <c r="R3674" t="s">
        <v>449</v>
      </c>
      <c r="S3674" t="s">
        <v>450</v>
      </c>
      <c r="T3674" t="s">
        <v>1946</v>
      </c>
      <c r="U3674" t="s">
        <v>34</v>
      </c>
      <c r="V3674">
        <v>2346.15</v>
      </c>
    </row>
    <row r="3675" spans="1:22" x14ac:dyDescent="0.3">
      <c r="A3675" t="s">
        <v>5151</v>
      </c>
      <c r="B3675" s="2">
        <v>46145</v>
      </c>
      <c r="C3675" t="s">
        <v>1196</v>
      </c>
      <c r="D3675" t="s">
        <v>37</v>
      </c>
      <c r="E3675" t="s">
        <v>310</v>
      </c>
      <c r="F3675">
        <v>3</v>
      </c>
      <c r="G3675">
        <v>0.15</v>
      </c>
      <c r="H3675">
        <v>5610</v>
      </c>
      <c r="I3675">
        <v>1646.61</v>
      </c>
      <c r="J3675" t="s">
        <v>39</v>
      </c>
      <c r="K3675" t="s">
        <v>40</v>
      </c>
      <c r="L3675">
        <v>1870</v>
      </c>
      <c r="M3675">
        <v>29.351336898395719</v>
      </c>
      <c r="N3675" t="s">
        <v>8</v>
      </c>
      <c r="O3675" t="s">
        <v>686</v>
      </c>
      <c r="P3675" t="s">
        <v>73</v>
      </c>
      <c r="Q3675" t="s">
        <v>30</v>
      </c>
      <c r="R3675" t="s">
        <v>53</v>
      </c>
      <c r="S3675" t="s">
        <v>54</v>
      </c>
      <c r="T3675" t="s">
        <v>1197</v>
      </c>
      <c r="U3675" t="s">
        <v>100</v>
      </c>
      <c r="V3675">
        <v>548.87</v>
      </c>
    </row>
    <row r="3676" spans="1:22" x14ac:dyDescent="0.3">
      <c r="A3676" t="s">
        <v>5152</v>
      </c>
      <c r="B3676" s="2">
        <v>45904</v>
      </c>
      <c r="C3676" t="s">
        <v>2026</v>
      </c>
      <c r="D3676" t="s">
        <v>24</v>
      </c>
      <c r="E3676" t="s">
        <v>242</v>
      </c>
      <c r="F3676">
        <v>1</v>
      </c>
      <c r="G3676">
        <v>0.15</v>
      </c>
      <c r="H3676">
        <v>382.5</v>
      </c>
      <c r="I3676">
        <v>72.349999999999994</v>
      </c>
      <c r="J3676" t="s">
        <v>39</v>
      </c>
      <c r="K3676" t="s">
        <v>40</v>
      </c>
      <c r="L3676">
        <v>382.5</v>
      </c>
      <c r="M3676">
        <v>18.915032679738559</v>
      </c>
      <c r="N3676" t="s">
        <v>8</v>
      </c>
      <c r="O3676" t="s">
        <v>2027</v>
      </c>
      <c r="P3676" t="s">
        <v>29</v>
      </c>
      <c r="Q3676" t="s">
        <v>74</v>
      </c>
      <c r="R3676" t="s">
        <v>493</v>
      </c>
      <c r="S3676" t="s">
        <v>494</v>
      </c>
      <c r="T3676" t="s">
        <v>260</v>
      </c>
      <c r="U3676" t="s">
        <v>105</v>
      </c>
      <c r="V3676">
        <v>72.349999999999994</v>
      </c>
    </row>
    <row r="3677" spans="1:22" x14ac:dyDescent="0.3">
      <c r="A3677" t="s">
        <v>5153</v>
      </c>
      <c r="B3677" s="2">
        <v>46024</v>
      </c>
      <c r="C3677" t="s">
        <v>2500</v>
      </c>
      <c r="D3677" t="s">
        <v>49</v>
      </c>
      <c r="E3677" t="s">
        <v>119</v>
      </c>
      <c r="F3677">
        <v>4</v>
      </c>
      <c r="G3677">
        <v>0.15</v>
      </c>
      <c r="H3677">
        <v>30600</v>
      </c>
      <c r="I3677">
        <v>5510.83</v>
      </c>
      <c r="J3677" t="s">
        <v>51</v>
      </c>
      <c r="K3677" t="s">
        <v>27</v>
      </c>
      <c r="L3677">
        <v>7650</v>
      </c>
      <c r="M3677">
        <v>18.009248366013072</v>
      </c>
      <c r="N3677" t="s">
        <v>8</v>
      </c>
      <c r="O3677" t="s">
        <v>1169</v>
      </c>
      <c r="P3677" t="s">
        <v>29</v>
      </c>
      <c r="Q3677" t="s">
        <v>131</v>
      </c>
      <c r="R3677" t="s">
        <v>289</v>
      </c>
      <c r="S3677" t="s">
        <v>290</v>
      </c>
      <c r="T3677" t="s">
        <v>2501</v>
      </c>
      <c r="U3677" t="s">
        <v>105</v>
      </c>
      <c r="V3677">
        <v>1377.7075</v>
      </c>
    </row>
    <row r="3678" spans="1:22" x14ac:dyDescent="0.3">
      <c r="A3678" t="s">
        <v>5154</v>
      </c>
      <c r="B3678" s="2">
        <v>46001</v>
      </c>
      <c r="C3678" t="s">
        <v>1371</v>
      </c>
      <c r="D3678" t="s">
        <v>49</v>
      </c>
      <c r="E3678" t="s">
        <v>119</v>
      </c>
      <c r="F3678">
        <v>1</v>
      </c>
      <c r="G3678">
        <v>0.1</v>
      </c>
      <c r="H3678">
        <v>8100</v>
      </c>
      <c r="I3678">
        <v>1745.58</v>
      </c>
      <c r="J3678" t="s">
        <v>51</v>
      </c>
      <c r="K3678" t="s">
        <v>40</v>
      </c>
      <c r="L3678">
        <v>8100</v>
      </c>
      <c r="M3678">
        <v>21.55037037037037</v>
      </c>
      <c r="N3678" t="s">
        <v>8</v>
      </c>
      <c r="O3678" t="s">
        <v>641</v>
      </c>
      <c r="P3678" t="s">
        <v>29</v>
      </c>
      <c r="Q3678" t="s">
        <v>131</v>
      </c>
      <c r="R3678" t="s">
        <v>200</v>
      </c>
      <c r="S3678" t="s">
        <v>201</v>
      </c>
      <c r="T3678" t="s">
        <v>1372</v>
      </c>
      <c r="U3678" t="s">
        <v>100</v>
      </c>
      <c r="V3678">
        <v>1745.58</v>
      </c>
    </row>
    <row r="3679" spans="1:22" x14ac:dyDescent="0.3">
      <c r="A3679" t="s">
        <v>5155</v>
      </c>
      <c r="B3679" s="2">
        <v>46247</v>
      </c>
      <c r="C3679" t="s">
        <v>368</v>
      </c>
      <c r="D3679" t="s">
        <v>37</v>
      </c>
      <c r="E3679" t="s">
        <v>310</v>
      </c>
      <c r="F3679">
        <v>2</v>
      </c>
      <c r="G3679">
        <v>0.05</v>
      </c>
      <c r="H3679">
        <v>4180</v>
      </c>
      <c r="I3679">
        <v>1313.98</v>
      </c>
      <c r="J3679" t="s">
        <v>65</v>
      </c>
      <c r="K3679" t="s">
        <v>40</v>
      </c>
      <c r="L3679">
        <v>2090</v>
      </c>
      <c r="M3679">
        <v>31.434928229665068</v>
      </c>
      <c r="N3679" t="s">
        <v>8</v>
      </c>
      <c r="O3679" t="s">
        <v>369</v>
      </c>
      <c r="P3679" t="s">
        <v>83</v>
      </c>
      <c r="Q3679" t="s">
        <v>42</v>
      </c>
      <c r="R3679" t="s">
        <v>121</v>
      </c>
      <c r="S3679" t="s">
        <v>44</v>
      </c>
      <c r="T3679" t="s">
        <v>370</v>
      </c>
      <c r="U3679" t="s">
        <v>105</v>
      </c>
      <c r="V3679">
        <v>656.99</v>
      </c>
    </row>
    <row r="3680" spans="1:22" x14ac:dyDescent="0.3">
      <c r="A3680" t="s">
        <v>5156</v>
      </c>
      <c r="B3680" s="2">
        <v>45896</v>
      </c>
      <c r="C3680" t="s">
        <v>838</v>
      </c>
      <c r="D3680" t="s">
        <v>70</v>
      </c>
      <c r="E3680" t="s">
        <v>165</v>
      </c>
      <c r="F3680">
        <v>1</v>
      </c>
      <c r="G3680">
        <v>0</v>
      </c>
      <c r="H3680">
        <v>2500</v>
      </c>
      <c r="I3680">
        <v>800</v>
      </c>
      <c r="J3680" t="s">
        <v>39</v>
      </c>
      <c r="K3680" t="s">
        <v>40</v>
      </c>
      <c r="L3680">
        <v>2500</v>
      </c>
      <c r="M3680">
        <v>32</v>
      </c>
      <c r="N3680" t="s">
        <v>8</v>
      </c>
      <c r="O3680" t="s">
        <v>839</v>
      </c>
      <c r="P3680" t="s">
        <v>73</v>
      </c>
      <c r="Q3680" t="s">
        <v>30</v>
      </c>
      <c r="R3680" t="s">
        <v>31</v>
      </c>
      <c r="S3680" t="s">
        <v>32</v>
      </c>
      <c r="T3680" t="s">
        <v>840</v>
      </c>
      <c r="U3680" t="s">
        <v>100</v>
      </c>
      <c r="V3680">
        <v>800</v>
      </c>
    </row>
    <row r="3681" spans="1:22" x14ac:dyDescent="0.3">
      <c r="A3681" t="s">
        <v>5157</v>
      </c>
      <c r="B3681" s="2">
        <v>46257</v>
      </c>
      <c r="C3681" t="s">
        <v>182</v>
      </c>
      <c r="D3681" t="s">
        <v>70</v>
      </c>
      <c r="E3681" t="s">
        <v>165</v>
      </c>
      <c r="F3681">
        <v>1</v>
      </c>
      <c r="G3681">
        <v>0</v>
      </c>
      <c r="H3681">
        <v>2500</v>
      </c>
      <c r="I3681">
        <v>800</v>
      </c>
      <c r="J3681" t="s">
        <v>51</v>
      </c>
      <c r="K3681" t="s">
        <v>40</v>
      </c>
      <c r="L3681">
        <v>2500</v>
      </c>
      <c r="M3681">
        <v>32</v>
      </c>
      <c r="N3681" t="s">
        <v>8</v>
      </c>
      <c r="O3681" t="s">
        <v>183</v>
      </c>
      <c r="P3681" t="s">
        <v>73</v>
      </c>
      <c r="Q3681" t="s">
        <v>30</v>
      </c>
      <c r="R3681" t="s">
        <v>53</v>
      </c>
      <c r="S3681" t="s">
        <v>54</v>
      </c>
      <c r="T3681" t="s">
        <v>184</v>
      </c>
      <c r="U3681" t="s">
        <v>34</v>
      </c>
      <c r="V3681">
        <v>800</v>
      </c>
    </row>
    <row r="3682" spans="1:22" x14ac:dyDescent="0.3">
      <c r="A3682" t="s">
        <v>5158</v>
      </c>
      <c r="B3682" s="2">
        <v>45932</v>
      </c>
      <c r="C3682" t="s">
        <v>887</v>
      </c>
      <c r="D3682" t="s">
        <v>37</v>
      </c>
      <c r="E3682" t="s">
        <v>310</v>
      </c>
      <c r="F3682">
        <v>3</v>
      </c>
      <c r="G3682">
        <v>0</v>
      </c>
      <c r="H3682">
        <v>6600</v>
      </c>
      <c r="I3682">
        <v>2250</v>
      </c>
      <c r="J3682" t="s">
        <v>39</v>
      </c>
      <c r="K3682" t="s">
        <v>40</v>
      </c>
      <c r="L3682">
        <v>2200</v>
      </c>
      <c r="M3682">
        <v>34.090909090909093</v>
      </c>
      <c r="N3682" t="s">
        <v>8</v>
      </c>
      <c r="O3682" t="s">
        <v>888</v>
      </c>
      <c r="P3682" t="s">
        <v>29</v>
      </c>
      <c r="Q3682" t="s">
        <v>74</v>
      </c>
      <c r="R3682" t="s">
        <v>115</v>
      </c>
      <c r="S3682" t="s">
        <v>115</v>
      </c>
      <c r="T3682" t="s">
        <v>889</v>
      </c>
      <c r="U3682" t="s">
        <v>46</v>
      </c>
      <c r="V3682">
        <v>750</v>
      </c>
    </row>
    <row r="3683" spans="1:22" x14ac:dyDescent="0.3">
      <c r="A3683" t="s">
        <v>5159</v>
      </c>
      <c r="B3683" s="2">
        <v>46063</v>
      </c>
      <c r="C3683" t="s">
        <v>3146</v>
      </c>
      <c r="D3683" t="s">
        <v>24</v>
      </c>
      <c r="E3683" t="s">
        <v>87</v>
      </c>
      <c r="F3683">
        <v>1</v>
      </c>
      <c r="G3683">
        <v>0</v>
      </c>
      <c r="H3683">
        <v>350</v>
      </c>
      <c r="I3683">
        <v>120</v>
      </c>
      <c r="J3683" t="s">
        <v>26</v>
      </c>
      <c r="K3683" t="s">
        <v>27</v>
      </c>
      <c r="L3683">
        <v>350</v>
      </c>
      <c r="M3683">
        <v>34.285714285714278</v>
      </c>
      <c r="N3683" t="s">
        <v>8</v>
      </c>
      <c r="O3683" t="s">
        <v>3147</v>
      </c>
      <c r="P3683" t="s">
        <v>73</v>
      </c>
      <c r="Q3683" t="s">
        <v>42</v>
      </c>
      <c r="R3683" t="s">
        <v>121</v>
      </c>
      <c r="S3683" t="s">
        <v>44</v>
      </c>
      <c r="T3683" t="s">
        <v>2122</v>
      </c>
      <c r="U3683" t="s">
        <v>34</v>
      </c>
      <c r="V3683">
        <v>120</v>
      </c>
    </row>
    <row r="3684" spans="1:22" x14ac:dyDescent="0.3">
      <c r="A3684" t="s">
        <v>5160</v>
      </c>
      <c r="B3684" s="2">
        <v>46125</v>
      </c>
      <c r="C3684" t="s">
        <v>585</v>
      </c>
      <c r="D3684" t="s">
        <v>70</v>
      </c>
      <c r="E3684" t="s">
        <v>165</v>
      </c>
      <c r="F3684">
        <v>3</v>
      </c>
      <c r="G3684">
        <v>0.15</v>
      </c>
      <c r="H3684">
        <v>6375</v>
      </c>
      <c r="I3684">
        <v>1887.64</v>
      </c>
      <c r="J3684" t="s">
        <v>65</v>
      </c>
      <c r="K3684" t="s">
        <v>27</v>
      </c>
      <c r="L3684">
        <v>2125</v>
      </c>
      <c r="M3684">
        <v>29.610039215686271</v>
      </c>
      <c r="N3684" t="s">
        <v>8</v>
      </c>
      <c r="O3684" t="s">
        <v>586</v>
      </c>
      <c r="P3684" t="s">
        <v>73</v>
      </c>
      <c r="Q3684" t="s">
        <v>30</v>
      </c>
      <c r="R3684" t="s">
        <v>98</v>
      </c>
      <c r="S3684" t="s">
        <v>54</v>
      </c>
      <c r="T3684" t="s">
        <v>587</v>
      </c>
      <c r="U3684" t="s">
        <v>46</v>
      </c>
      <c r="V3684">
        <v>629.21333333333337</v>
      </c>
    </row>
    <row r="3685" spans="1:22" x14ac:dyDescent="0.3">
      <c r="A3685" t="s">
        <v>5161</v>
      </c>
      <c r="B3685" s="2">
        <v>45855</v>
      </c>
      <c r="C3685" t="s">
        <v>667</v>
      </c>
      <c r="D3685" t="s">
        <v>49</v>
      </c>
      <c r="E3685" t="s">
        <v>50</v>
      </c>
      <c r="F3685">
        <v>6</v>
      </c>
      <c r="G3685">
        <v>0</v>
      </c>
      <c r="H3685">
        <v>78000</v>
      </c>
      <c r="I3685">
        <v>19200</v>
      </c>
      <c r="J3685" t="s">
        <v>26</v>
      </c>
      <c r="K3685" t="s">
        <v>40</v>
      </c>
      <c r="L3685">
        <v>13000</v>
      </c>
      <c r="M3685">
        <v>24.61538461538462</v>
      </c>
      <c r="N3685" t="s">
        <v>8</v>
      </c>
      <c r="O3685" t="s">
        <v>668</v>
      </c>
      <c r="P3685" t="s">
        <v>29</v>
      </c>
      <c r="Q3685" t="s">
        <v>30</v>
      </c>
      <c r="R3685" t="s">
        <v>31</v>
      </c>
      <c r="S3685" t="s">
        <v>32</v>
      </c>
      <c r="T3685" t="s">
        <v>669</v>
      </c>
      <c r="U3685" t="s">
        <v>46</v>
      </c>
      <c r="V3685">
        <v>3200</v>
      </c>
    </row>
    <row r="3686" spans="1:22" x14ac:dyDescent="0.3">
      <c r="A3686" t="s">
        <v>5162</v>
      </c>
      <c r="B3686" s="2">
        <v>45855</v>
      </c>
      <c r="C3686" t="s">
        <v>589</v>
      </c>
      <c r="D3686" t="s">
        <v>49</v>
      </c>
      <c r="E3686" t="s">
        <v>79</v>
      </c>
      <c r="F3686">
        <v>1</v>
      </c>
      <c r="G3686">
        <v>0</v>
      </c>
      <c r="H3686">
        <v>11000</v>
      </c>
      <c r="I3686">
        <v>2600</v>
      </c>
      <c r="J3686" t="s">
        <v>39</v>
      </c>
      <c r="K3686" t="s">
        <v>40</v>
      </c>
      <c r="L3686">
        <v>11000</v>
      </c>
      <c r="M3686">
        <v>23.63636363636364</v>
      </c>
      <c r="N3686" t="s">
        <v>8</v>
      </c>
      <c r="O3686" t="s">
        <v>590</v>
      </c>
      <c r="P3686" t="s">
        <v>83</v>
      </c>
      <c r="Q3686" t="s">
        <v>74</v>
      </c>
      <c r="R3686" t="s">
        <v>493</v>
      </c>
      <c r="S3686" t="s">
        <v>494</v>
      </c>
      <c r="T3686" t="s">
        <v>591</v>
      </c>
      <c r="U3686" t="s">
        <v>100</v>
      </c>
      <c r="V3686">
        <v>2600</v>
      </c>
    </row>
    <row r="3687" spans="1:22" x14ac:dyDescent="0.3">
      <c r="A3687" t="s">
        <v>5163</v>
      </c>
      <c r="B3687" s="2">
        <v>45929</v>
      </c>
      <c r="C3687" t="s">
        <v>501</v>
      </c>
      <c r="D3687" t="s">
        <v>24</v>
      </c>
      <c r="E3687" t="s">
        <v>25</v>
      </c>
      <c r="F3687">
        <v>2</v>
      </c>
      <c r="G3687">
        <v>0</v>
      </c>
      <c r="H3687">
        <v>28000</v>
      </c>
      <c r="I3687">
        <v>5600</v>
      </c>
      <c r="J3687" t="s">
        <v>65</v>
      </c>
      <c r="K3687" t="s">
        <v>40</v>
      </c>
      <c r="L3687">
        <v>14000</v>
      </c>
      <c r="M3687">
        <v>20</v>
      </c>
      <c r="N3687" t="s">
        <v>8</v>
      </c>
      <c r="O3687" t="s">
        <v>502</v>
      </c>
      <c r="P3687" t="s">
        <v>29</v>
      </c>
      <c r="Q3687" t="s">
        <v>30</v>
      </c>
      <c r="R3687" t="s">
        <v>31</v>
      </c>
      <c r="S3687" t="s">
        <v>32</v>
      </c>
      <c r="T3687" t="s">
        <v>503</v>
      </c>
      <c r="U3687" t="s">
        <v>100</v>
      </c>
      <c r="V3687">
        <v>2800</v>
      </c>
    </row>
    <row r="3688" spans="1:22" x14ac:dyDescent="0.3">
      <c r="A3688" t="s">
        <v>5164</v>
      </c>
      <c r="B3688" s="2">
        <v>46206</v>
      </c>
      <c r="C3688" t="s">
        <v>156</v>
      </c>
      <c r="D3688" t="s">
        <v>24</v>
      </c>
      <c r="E3688" t="s">
        <v>25</v>
      </c>
      <c r="F3688">
        <v>2</v>
      </c>
      <c r="G3688">
        <v>0.05</v>
      </c>
      <c r="H3688">
        <v>26600</v>
      </c>
      <c r="I3688">
        <v>-12496.77</v>
      </c>
      <c r="J3688" t="s">
        <v>26</v>
      </c>
      <c r="K3688" t="s">
        <v>434</v>
      </c>
      <c r="L3688">
        <v>13300</v>
      </c>
      <c r="M3688">
        <v>-46.980338345864673</v>
      </c>
      <c r="N3688" t="s">
        <v>81</v>
      </c>
      <c r="O3688" t="s">
        <v>157</v>
      </c>
      <c r="P3688" t="s">
        <v>83</v>
      </c>
      <c r="Q3688" t="s">
        <v>30</v>
      </c>
      <c r="R3688" t="s">
        <v>31</v>
      </c>
      <c r="S3688" t="s">
        <v>32</v>
      </c>
      <c r="T3688" t="s">
        <v>158</v>
      </c>
      <c r="U3688" t="s">
        <v>34</v>
      </c>
      <c r="V3688">
        <v>-6248.3850000000002</v>
      </c>
    </row>
    <row r="3689" spans="1:22" x14ac:dyDescent="0.3">
      <c r="A3689" t="s">
        <v>5165</v>
      </c>
      <c r="B3689" s="2">
        <v>46063</v>
      </c>
      <c r="C3689" t="s">
        <v>263</v>
      </c>
      <c r="D3689" t="s">
        <v>24</v>
      </c>
      <c r="E3689" t="s">
        <v>87</v>
      </c>
      <c r="F3689">
        <v>2</v>
      </c>
      <c r="G3689">
        <v>0.15</v>
      </c>
      <c r="H3689">
        <v>595</v>
      </c>
      <c r="I3689">
        <v>157.59</v>
      </c>
      <c r="J3689" t="s">
        <v>39</v>
      </c>
      <c r="K3689" t="s">
        <v>40</v>
      </c>
      <c r="L3689">
        <v>297.5</v>
      </c>
      <c r="M3689">
        <v>26.48571428571428</v>
      </c>
      <c r="N3689" t="s">
        <v>8</v>
      </c>
      <c r="O3689" t="s">
        <v>265</v>
      </c>
      <c r="P3689" t="s">
        <v>73</v>
      </c>
      <c r="Q3689" t="s">
        <v>30</v>
      </c>
      <c r="R3689" t="s">
        <v>31</v>
      </c>
      <c r="S3689" t="s">
        <v>32</v>
      </c>
      <c r="T3689" t="s">
        <v>266</v>
      </c>
      <c r="U3689" t="s">
        <v>46</v>
      </c>
      <c r="V3689">
        <v>78.795000000000002</v>
      </c>
    </row>
    <row r="3690" spans="1:22" x14ac:dyDescent="0.3">
      <c r="A3690" t="s">
        <v>5166</v>
      </c>
      <c r="B3690" s="2">
        <v>46145</v>
      </c>
      <c r="C3690" t="s">
        <v>2278</v>
      </c>
      <c r="D3690" t="s">
        <v>49</v>
      </c>
      <c r="E3690" t="s">
        <v>50</v>
      </c>
      <c r="F3690">
        <v>2</v>
      </c>
      <c r="G3690">
        <v>0.05</v>
      </c>
      <c r="H3690">
        <v>24700</v>
      </c>
      <c r="I3690">
        <v>5506.11</v>
      </c>
      <c r="J3690" t="s">
        <v>26</v>
      </c>
      <c r="K3690" t="s">
        <v>27</v>
      </c>
      <c r="L3690">
        <v>12350</v>
      </c>
      <c r="M3690">
        <v>22.291943319838051</v>
      </c>
      <c r="N3690" t="s">
        <v>8</v>
      </c>
      <c r="O3690" t="s">
        <v>470</v>
      </c>
      <c r="P3690" t="s">
        <v>29</v>
      </c>
      <c r="Q3690" t="s">
        <v>30</v>
      </c>
      <c r="R3690" t="s">
        <v>98</v>
      </c>
      <c r="S3690" t="s">
        <v>54</v>
      </c>
      <c r="T3690" t="s">
        <v>2279</v>
      </c>
      <c r="U3690" t="s">
        <v>105</v>
      </c>
      <c r="V3690">
        <v>2753.0549999999998</v>
      </c>
    </row>
    <row r="3691" spans="1:22" x14ac:dyDescent="0.3">
      <c r="A3691" t="s">
        <v>5167</v>
      </c>
      <c r="B3691" s="2">
        <v>46088</v>
      </c>
      <c r="C3691" t="s">
        <v>861</v>
      </c>
      <c r="D3691" t="s">
        <v>49</v>
      </c>
      <c r="E3691" t="s">
        <v>119</v>
      </c>
      <c r="F3691">
        <v>1</v>
      </c>
      <c r="G3691">
        <v>0.05</v>
      </c>
      <c r="H3691">
        <v>8550</v>
      </c>
      <c r="I3691">
        <v>2082.9299999999998</v>
      </c>
      <c r="J3691" t="s">
        <v>51</v>
      </c>
      <c r="K3691" t="s">
        <v>40</v>
      </c>
      <c r="L3691">
        <v>8550</v>
      </c>
      <c r="M3691">
        <v>24.361754385964911</v>
      </c>
      <c r="N3691" t="s">
        <v>8</v>
      </c>
      <c r="O3691" t="s">
        <v>369</v>
      </c>
      <c r="P3691" t="s">
        <v>29</v>
      </c>
      <c r="Q3691" t="s">
        <v>74</v>
      </c>
      <c r="R3691" t="s">
        <v>237</v>
      </c>
      <c r="S3691" t="s">
        <v>238</v>
      </c>
      <c r="T3691" t="s">
        <v>750</v>
      </c>
      <c r="U3691" t="s">
        <v>105</v>
      </c>
      <c r="V3691">
        <v>2082.9299999999998</v>
      </c>
    </row>
    <row r="3692" spans="1:22" x14ac:dyDescent="0.3">
      <c r="A3692" t="s">
        <v>5168</v>
      </c>
      <c r="B3692" s="2">
        <v>46177</v>
      </c>
      <c r="C3692" t="s">
        <v>1181</v>
      </c>
      <c r="D3692" t="s">
        <v>37</v>
      </c>
      <c r="E3692" t="s">
        <v>38</v>
      </c>
      <c r="F3692">
        <v>80</v>
      </c>
      <c r="G3692">
        <v>0.1</v>
      </c>
      <c r="H3692">
        <v>936000</v>
      </c>
      <c r="I3692">
        <v>-74880</v>
      </c>
      <c r="J3692" t="s">
        <v>51</v>
      </c>
      <c r="K3692" t="s">
        <v>434</v>
      </c>
      <c r="L3692">
        <v>11700</v>
      </c>
      <c r="M3692">
        <v>-8</v>
      </c>
      <c r="N3692" t="s">
        <v>81</v>
      </c>
      <c r="O3692" t="s">
        <v>1182</v>
      </c>
      <c r="P3692" t="s">
        <v>29</v>
      </c>
      <c r="Q3692" t="s">
        <v>30</v>
      </c>
      <c r="R3692" t="s">
        <v>31</v>
      </c>
      <c r="S3692" t="s">
        <v>32</v>
      </c>
      <c r="T3692" t="s">
        <v>206</v>
      </c>
      <c r="U3692" t="s">
        <v>46</v>
      </c>
      <c r="V3692">
        <v>-936</v>
      </c>
    </row>
    <row r="3693" spans="1:22" x14ac:dyDescent="0.3">
      <c r="A3693" t="s">
        <v>5169</v>
      </c>
      <c r="B3693" s="2">
        <v>46254</v>
      </c>
      <c r="C3693" t="s">
        <v>225</v>
      </c>
      <c r="D3693" t="s">
        <v>49</v>
      </c>
      <c r="E3693" t="s">
        <v>79</v>
      </c>
      <c r="F3693">
        <v>2</v>
      </c>
      <c r="G3693">
        <v>0.1</v>
      </c>
      <c r="H3693">
        <v>19800</v>
      </c>
      <c r="I3693">
        <v>3812.09</v>
      </c>
      <c r="J3693" t="s">
        <v>51</v>
      </c>
      <c r="K3693" t="s">
        <v>40</v>
      </c>
      <c r="L3693">
        <v>9900</v>
      </c>
      <c r="M3693">
        <v>19.252979797979801</v>
      </c>
      <c r="N3693" t="s">
        <v>8</v>
      </c>
      <c r="O3693" t="s">
        <v>226</v>
      </c>
      <c r="P3693" t="s">
        <v>29</v>
      </c>
      <c r="Q3693" t="s">
        <v>30</v>
      </c>
      <c r="R3693" t="s">
        <v>31</v>
      </c>
      <c r="S3693" t="s">
        <v>32</v>
      </c>
      <c r="T3693" t="s">
        <v>227</v>
      </c>
      <c r="U3693" t="s">
        <v>100</v>
      </c>
      <c r="V3693">
        <v>1906.0450000000001</v>
      </c>
    </row>
    <row r="3694" spans="1:22" x14ac:dyDescent="0.3">
      <c r="A3694" t="s">
        <v>5170</v>
      </c>
      <c r="B3694" s="2">
        <v>45908</v>
      </c>
      <c r="C3694" t="s">
        <v>625</v>
      </c>
      <c r="D3694" t="s">
        <v>49</v>
      </c>
      <c r="E3694" t="s">
        <v>79</v>
      </c>
      <c r="F3694">
        <v>1</v>
      </c>
      <c r="G3694">
        <v>0.1</v>
      </c>
      <c r="H3694">
        <v>9900</v>
      </c>
      <c r="I3694">
        <v>2085.06</v>
      </c>
      <c r="J3694" t="s">
        <v>65</v>
      </c>
      <c r="K3694" t="s">
        <v>27</v>
      </c>
      <c r="L3694">
        <v>9900</v>
      </c>
      <c r="M3694">
        <v>21.061212121212119</v>
      </c>
      <c r="N3694" t="s">
        <v>8</v>
      </c>
      <c r="O3694" t="s">
        <v>626</v>
      </c>
      <c r="P3694" t="s">
        <v>29</v>
      </c>
      <c r="Q3694" t="s">
        <v>30</v>
      </c>
      <c r="R3694" t="s">
        <v>53</v>
      </c>
      <c r="S3694" t="s">
        <v>54</v>
      </c>
      <c r="T3694" t="s">
        <v>627</v>
      </c>
      <c r="U3694" t="s">
        <v>105</v>
      </c>
      <c r="V3694">
        <v>2085.06</v>
      </c>
    </row>
    <row r="3695" spans="1:22" x14ac:dyDescent="0.3">
      <c r="A3695" t="s">
        <v>5171</v>
      </c>
      <c r="B3695" s="2">
        <v>46264</v>
      </c>
      <c r="C3695" t="s">
        <v>1014</v>
      </c>
      <c r="D3695" t="s">
        <v>24</v>
      </c>
      <c r="E3695" t="s">
        <v>242</v>
      </c>
      <c r="F3695">
        <v>2</v>
      </c>
      <c r="G3695">
        <v>0.1</v>
      </c>
      <c r="H3695">
        <v>810</v>
      </c>
      <c r="I3695">
        <v>157.74</v>
      </c>
      <c r="J3695" t="s">
        <v>39</v>
      </c>
      <c r="K3695" t="s">
        <v>27</v>
      </c>
      <c r="L3695">
        <v>405</v>
      </c>
      <c r="M3695">
        <v>19.474074074074071</v>
      </c>
      <c r="N3695" t="s">
        <v>8</v>
      </c>
      <c r="O3695" t="s">
        <v>530</v>
      </c>
      <c r="P3695" t="s">
        <v>73</v>
      </c>
      <c r="Q3695" t="s">
        <v>42</v>
      </c>
      <c r="R3695" t="s">
        <v>121</v>
      </c>
      <c r="S3695" t="s">
        <v>44</v>
      </c>
      <c r="T3695" t="s">
        <v>1015</v>
      </c>
      <c r="U3695" t="s">
        <v>34</v>
      </c>
      <c r="V3695">
        <v>78.87</v>
      </c>
    </row>
    <row r="3696" spans="1:22" x14ac:dyDescent="0.3">
      <c r="A3696" t="s">
        <v>5172</v>
      </c>
      <c r="B3696" s="2">
        <v>45861</v>
      </c>
      <c r="C3696" t="s">
        <v>1116</v>
      </c>
      <c r="D3696" t="s">
        <v>37</v>
      </c>
      <c r="E3696" t="s">
        <v>310</v>
      </c>
      <c r="F3696">
        <v>10</v>
      </c>
      <c r="G3696">
        <v>0.2</v>
      </c>
      <c r="H3696">
        <v>17600</v>
      </c>
      <c r="I3696">
        <v>4304.9399999999996</v>
      </c>
      <c r="J3696" t="s">
        <v>65</v>
      </c>
      <c r="K3696" t="s">
        <v>40</v>
      </c>
      <c r="L3696">
        <v>1760</v>
      </c>
      <c r="M3696">
        <v>24.459886363636361</v>
      </c>
      <c r="N3696" t="s">
        <v>8</v>
      </c>
      <c r="O3696" t="s">
        <v>1117</v>
      </c>
      <c r="P3696" t="s">
        <v>29</v>
      </c>
      <c r="Q3696" t="s">
        <v>30</v>
      </c>
      <c r="R3696" t="s">
        <v>98</v>
      </c>
      <c r="S3696" t="s">
        <v>54</v>
      </c>
      <c r="T3696" t="s">
        <v>1118</v>
      </c>
      <c r="U3696" t="s">
        <v>34</v>
      </c>
      <c r="V3696">
        <v>430.49400000000003</v>
      </c>
    </row>
    <row r="3697" spans="1:22" x14ac:dyDescent="0.3">
      <c r="A3697" t="s">
        <v>5173</v>
      </c>
      <c r="B3697" s="2">
        <v>46228</v>
      </c>
      <c r="C3697" t="s">
        <v>2182</v>
      </c>
      <c r="D3697" t="s">
        <v>49</v>
      </c>
      <c r="E3697" t="s">
        <v>79</v>
      </c>
      <c r="F3697">
        <v>1</v>
      </c>
      <c r="G3697">
        <v>0.1</v>
      </c>
      <c r="H3697">
        <v>9900</v>
      </c>
      <c r="I3697">
        <v>-3689.79</v>
      </c>
      <c r="J3697" t="s">
        <v>39</v>
      </c>
      <c r="K3697" t="s">
        <v>434</v>
      </c>
      <c r="L3697">
        <v>9900</v>
      </c>
      <c r="M3697">
        <v>-37.270606060606063</v>
      </c>
      <c r="N3697" t="s">
        <v>81</v>
      </c>
      <c r="O3697" t="s">
        <v>2183</v>
      </c>
      <c r="P3697" t="s">
        <v>73</v>
      </c>
      <c r="Q3697" t="s">
        <v>30</v>
      </c>
      <c r="R3697" t="s">
        <v>98</v>
      </c>
      <c r="S3697" t="s">
        <v>54</v>
      </c>
      <c r="T3697" t="s">
        <v>2184</v>
      </c>
      <c r="U3697" t="s">
        <v>105</v>
      </c>
      <c r="V3697">
        <v>-3689.79</v>
      </c>
    </row>
    <row r="3698" spans="1:22" x14ac:dyDescent="0.3">
      <c r="A3698" t="s">
        <v>5174</v>
      </c>
      <c r="B3698" s="2">
        <v>45926</v>
      </c>
      <c r="C3698" t="s">
        <v>807</v>
      </c>
      <c r="D3698" t="s">
        <v>24</v>
      </c>
      <c r="E3698" t="s">
        <v>92</v>
      </c>
      <c r="F3698">
        <v>2</v>
      </c>
      <c r="G3698">
        <v>0.2</v>
      </c>
      <c r="H3698">
        <v>1440</v>
      </c>
      <c r="I3698">
        <v>383.12</v>
      </c>
      <c r="J3698" t="s">
        <v>51</v>
      </c>
      <c r="K3698" t="s">
        <v>40</v>
      </c>
      <c r="L3698">
        <v>720</v>
      </c>
      <c r="M3698">
        <v>26.605555555555551</v>
      </c>
      <c r="N3698" t="s">
        <v>8</v>
      </c>
      <c r="O3698" t="s">
        <v>545</v>
      </c>
      <c r="P3698" t="s">
        <v>73</v>
      </c>
      <c r="Q3698" t="s">
        <v>30</v>
      </c>
      <c r="R3698" t="s">
        <v>31</v>
      </c>
      <c r="S3698" t="s">
        <v>32</v>
      </c>
      <c r="T3698" t="s">
        <v>808</v>
      </c>
      <c r="U3698" t="s">
        <v>105</v>
      </c>
      <c r="V3698">
        <v>191.56</v>
      </c>
    </row>
    <row r="3699" spans="1:22" x14ac:dyDescent="0.3">
      <c r="A3699" t="s">
        <v>5175</v>
      </c>
      <c r="B3699" s="2">
        <v>46028</v>
      </c>
      <c r="C3699" t="s">
        <v>517</v>
      </c>
      <c r="D3699" t="s">
        <v>24</v>
      </c>
      <c r="E3699" t="s">
        <v>87</v>
      </c>
      <c r="F3699">
        <v>2</v>
      </c>
      <c r="G3699">
        <v>0.2</v>
      </c>
      <c r="H3699">
        <v>560</v>
      </c>
      <c r="I3699">
        <v>131.55000000000001</v>
      </c>
      <c r="J3699" t="s">
        <v>39</v>
      </c>
      <c r="K3699" t="s">
        <v>40</v>
      </c>
      <c r="L3699">
        <v>280</v>
      </c>
      <c r="M3699">
        <v>23.491071428571431</v>
      </c>
      <c r="N3699" t="s">
        <v>8</v>
      </c>
      <c r="O3699" t="s">
        <v>518</v>
      </c>
      <c r="P3699" t="s">
        <v>29</v>
      </c>
      <c r="Q3699" t="s">
        <v>131</v>
      </c>
      <c r="R3699" t="s">
        <v>200</v>
      </c>
      <c r="S3699" t="s">
        <v>201</v>
      </c>
      <c r="T3699" t="s">
        <v>519</v>
      </c>
      <c r="U3699" t="s">
        <v>100</v>
      </c>
      <c r="V3699">
        <v>65.775000000000006</v>
      </c>
    </row>
    <row r="3700" spans="1:22" x14ac:dyDescent="0.3">
      <c r="A3700" t="s">
        <v>5176</v>
      </c>
      <c r="B3700" s="2">
        <v>45853</v>
      </c>
      <c r="C3700" t="s">
        <v>1106</v>
      </c>
      <c r="D3700" t="s">
        <v>49</v>
      </c>
      <c r="E3700" t="s">
        <v>119</v>
      </c>
      <c r="F3700">
        <v>1</v>
      </c>
      <c r="G3700">
        <v>0.15</v>
      </c>
      <c r="H3700">
        <v>7650</v>
      </c>
      <c r="I3700">
        <v>1311.95</v>
      </c>
      <c r="J3700" t="s">
        <v>39</v>
      </c>
      <c r="K3700" t="s">
        <v>40</v>
      </c>
      <c r="L3700">
        <v>7650</v>
      </c>
      <c r="M3700">
        <v>17.14967320261438</v>
      </c>
      <c r="N3700" t="s">
        <v>8</v>
      </c>
      <c r="O3700" t="s">
        <v>789</v>
      </c>
      <c r="P3700" t="s">
        <v>29</v>
      </c>
      <c r="Q3700" t="s">
        <v>74</v>
      </c>
      <c r="R3700" t="s">
        <v>237</v>
      </c>
      <c r="S3700" t="s">
        <v>238</v>
      </c>
      <c r="T3700" t="s">
        <v>1107</v>
      </c>
      <c r="U3700" t="s">
        <v>105</v>
      </c>
      <c r="V3700">
        <v>1311.95</v>
      </c>
    </row>
    <row r="3701" spans="1:22" x14ac:dyDescent="0.3">
      <c r="A3701" t="s">
        <v>5177</v>
      </c>
      <c r="B3701" s="2">
        <v>46181</v>
      </c>
      <c r="C3701" t="s">
        <v>2511</v>
      </c>
      <c r="D3701" t="s">
        <v>24</v>
      </c>
      <c r="E3701" t="s">
        <v>92</v>
      </c>
      <c r="F3701">
        <v>1</v>
      </c>
      <c r="G3701">
        <v>0</v>
      </c>
      <c r="H3701">
        <v>900</v>
      </c>
      <c r="I3701">
        <v>280</v>
      </c>
      <c r="J3701" t="s">
        <v>39</v>
      </c>
      <c r="K3701" t="s">
        <v>40</v>
      </c>
      <c r="L3701">
        <v>900</v>
      </c>
      <c r="M3701">
        <v>31.111111111111111</v>
      </c>
      <c r="N3701" t="s">
        <v>8</v>
      </c>
      <c r="O3701" t="s">
        <v>1695</v>
      </c>
      <c r="P3701" t="s">
        <v>83</v>
      </c>
      <c r="Q3701" t="s">
        <v>30</v>
      </c>
      <c r="R3701" t="s">
        <v>98</v>
      </c>
      <c r="S3701" t="s">
        <v>54</v>
      </c>
      <c r="T3701" t="s">
        <v>2512</v>
      </c>
      <c r="U3701" t="s">
        <v>46</v>
      </c>
      <c r="V3701">
        <v>280</v>
      </c>
    </row>
    <row r="3702" spans="1:22" x14ac:dyDescent="0.3">
      <c r="A3702" t="s">
        <v>5178</v>
      </c>
      <c r="B3702" s="2">
        <v>45859</v>
      </c>
      <c r="C3702" t="s">
        <v>1273</v>
      </c>
      <c r="D3702" t="s">
        <v>24</v>
      </c>
      <c r="E3702" t="s">
        <v>92</v>
      </c>
      <c r="F3702">
        <v>5</v>
      </c>
      <c r="G3702">
        <v>0</v>
      </c>
      <c r="H3702">
        <v>4500</v>
      </c>
      <c r="I3702">
        <v>1400</v>
      </c>
      <c r="J3702" t="s">
        <v>39</v>
      </c>
      <c r="K3702" t="s">
        <v>40</v>
      </c>
      <c r="L3702">
        <v>900</v>
      </c>
      <c r="M3702">
        <v>31.111111111111111</v>
      </c>
      <c r="N3702" t="s">
        <v>8</v>
      </c>
      <c r="O3702" t="s">
        <v>618</v>
      </c>
      <c r="P3702" t="s">
        <v>83</v>
      </c>
      <c r="Q3702" t="s">
        <v>74</v>
      </c>
      <c r="R3702" t="s">
        <v>237</v>
      </c>
      <c r="S3702" t="s">
        <v>238</v>
      </c>
      <c r="T3702" t="s">
        <v>1274</v>
      </c>
      <c r="U3702" t="s">
        <v>100</v>
      </c>
      <c r="V3702">
        <v>280</v>
      </c>
    </row>
    <row r="3703" spans="1:22" x14ac:dyDescent="0.3">
      <c r="A3703" t="s">
        <v>5179</v>
      </c>
      <c r="B3703" s="2">
        <v>45968</v>
      </c>
      <c r="C3703" t="s">
        <v>225</v>
      </c>
      <c r="D3703" t="s">
        <v>70</v>
      </c>
      <c r="E3703" t="s">
        <v>108</v>
      </c>
      <c r="F3703">
        <v>2</v>
      </c>
      <c r="G3703">
        <v>0.15</v>
      </c>
      <c r="H3703">
        <v>7650</v>
      </c>
      <c r="I3703">
        <v>1860.53</v>
      </c>
      <c r="J3703" t="s">
        <v>65</v>
      </c>
      <c r="K3703" t="s">
        <v>40</v>
      </c>
      <c r="L3703">
        <v>3825</v>
      </c>
      <c r="M3703">
        <v>24.32065359477124</v>
      </c>
      <c r="N3703" t="s">
        <v>8</v>
      </c>
      <c r="O3703" t="s">
        <v>226</v>
      </c>
      <c r="P3703" t="s">
        <v>29</v>
      </c>
      <c r="Q3703" t="s">
        <v>30</v>
      </c>
      <c r="R3703" t="s">
        <v>31</v>
      </c>
      <c r="S3703" t="s">
        <v>32</v>
      </c>
      <c r="T3703" t="s">
        <v>227</v>
      </c>
      <c r="U3703" t="s">
        <v>100</v>
      </c>
      <c r="V3703">
        <v>930.26499999999999</v>
      </c>
    </row>
    <row r="3704" spans="1:22" x14ac:dyDescent="0.3">
      <c r="A3704" t="s">
        <v>5180</v>
      </c>
      <c r="B3704" s="2">
        <v>46067</v>
      </c>
      <c r="C3704" t="s">
        <v>1000</v>
      </c>
      <c r="D3704" t="s">
        <v>70</v>
      </c>
      <c r="E3704" t="s">
        <v>165</v>
      </c>
      <c r="F3704">
        <v>4</v>
      </c>
      <c r="G3704">
        <v>0</v>
      </c>
      <c r="H3704">
        <v>10000</v>
      </c>
      <c r="I3704">
        <v>3200</v>
      </c>
      <c r="J3704" t="s">
        <v>51</v>
      </c>
      <c r="K3704" t="s">
        <v>40</v>
      </c>
      <c r="L3704">
        <v>2500</v>
      </c>
      <c r="M3704">
        <v>32</v>
      </c>
      <c r="N3704" t="s">
        <v>8</v>
      </c>
      <c r="O3704" t="s">
        <v>1001</v>
      </c>
      <c r="P3704" t="s">
        <v>29</v>
      </c>
      <c r="Q3704" t="s">
        <v>30</v>
      </c>
      <c r="R3704" t="s">
        <v>60</v>
      </c>
      <c r="S3704" t="s">
        <v>61</v>
      </c>
      <c r="T3704" t="s">
        <v>1002</v>
      </c>
      <c r="U3704" t="s">
        <v>105</v>
      </c>
      <c r="V3704">
        <v>800</v>
      </c>
    </row>
    <row r="3705" spans="1:22" x14ac:dyDescent="0.3">
      <c r="A3705" t="s">
        <v>5181</v>
      </c>
      <c r="B3705" s="2">
        <v>45947</v>
      </c>
      <c r="C3705" t="s">
        <v>1202</v>
      </c>
      <c r="D3705" t="s">
        <v>37</v>
      </c>
      <c r="E3705" t="s">
        <v>170</v>
      </c>
      <c r="F3705">
        <v>3</v>
      </c>
      <c r="G3705">
        <v>0.1</v>
      </c>
      <c r="H3705">
        <v>3780</v>
      </c>
      <c r="I3705">
        <v>1186.8800000000001</v>
      </c>
      <c r="J3705" t="s">
        <v>51</v>
      </c>
      <c r="K3705" t="s">
        <v>27</v>
      </c>
      <c r="L3705">
        <v>1260</v>
      </c>
      <c r="M3705">
        <v>31.398941798941809</v>
      </c>
      <c r="N3705" t="s">
        <v>8</v>
      </c>
      <c r="O3705" t="s">
        <v>251</v>
      </c>
      <c r="P3705" t="s">
        <v>29</v>
      </c>
      <c r="Q3705" t="s">
        <v>131</v>
      </c>
      <c r="R3705" t="s">
        <v>132</v>
      </c>
      <c r="S3705" t="s">
        <v>133</v>
      </c>
      <c r="T3705" t="s">
        <v>1203</v>
      </c>
      <c r="U3705" t="s">
        <v>34</v>
      </c>
      <c r="V3705">
        <v>395.62666666666672</v>
      </c>
    </row>
    <row r="3706" spans="1:22" x14ac:dyDescent="0.3">
      <c r="A3706" t="s">
        <v>5182</v>
      </c>
      <c r="B3706" s="2">
        <v>46220</v>
      </c>
      <c r="C3706" t="s">
        <v>506</v>
      </c>
      <c r="D3706" t="s">
        <v>70</v>
      </c>
      <c r="E3706" t="s">
        <v>108</v>
      </c>
      <c r="F3706">
        <v>3</v>
      </c>
      <c r="G3706">
        <v>0.2</v>
      </c>
      <c r="H3706">
        <v>10800</v>
      </c>
      <c r="I3706">
        <v>2626.3</v>
      </c>
      <c r="J3706" t="s">
        <v>65</v>
      </c>
      <c r="K3706" t="s">
        <v>40</v>
      </c>
      <c r="L3706">
        <v>3600</v>
      </c>
      <c r="M3706">
        <v>24.31759259259259</v>
      </c>
      <c r="N3706" t="s">
        <v>8</v>
      </c>
      <c r="O3706" t="s">
        <v>359</v>
      </c>
      <c r="P3706" t="s">
        <v>83</v>
      </c>
      <c r="Q3706" t="s">
        <v>131</v>
      </c>
      <c r="R3706" t="s">
        <v>289</v>
      </c>
      <c r="S3706" t="s">
        <v>290</v>
      </c>
      <c r="T3706" t="s">
        <v>507</v>
      </c>
      <c r="U3706" t="s">
        <v>105</v>
      </c>
      <c r="V3706">
        <v>875.43333333333339</v>
      </c>
    </row>
    <row r="3707" spans="1:22" x14ac:dyDescent="0.3">
      <c r="A3707" t="s">
        <v>5183</v>
      </c>
      <c r="B3707" s="2">
        <v>45989</v>
      </c>
      <c r="C3707" t="s">
        <v>891</v>
      </c>
      <c r="D3707" t="s">
        <v>37</v>
      </c>
      <c r="E3707" t="s">
        <v>310</v>
      </c>
      <c r="F3707">
        <v>3</v>
      </c>
      <c r="G3707">
        <v>0.1</v>
      </c>
      <c r="H3707">
        <v>5940</v>
      </c>
      <c r="I3707">
        <v>1942.34</v>
      </c>
      <c r="J3707" t="s">
        <v>65</v>
      </c>
      <c r="K3707" t="s">
        <v>40</v>
      </c>
      <c r="L3707">
        <v>1980</v>
      </c>
      <c r="M3707">
        <v>32.699326599326596</v>
      </c>
      <c r="N3707" t="s">
        <v>8</v>
      </c>
      <c r="O3707" t="s">
        <v>892</v>
      </c>
      <c r="P3707" t="s">
        <v>29</v>
      </c>
      <c r="Q3707" t="s">
        <v>30</v>
      </c>
      <c r="R3707" t="s">
        <v>31</v>
      </c>
      <c r="S3707" t="s">
        <v>32</v>
      </c>
      <c r="T3707" t="s">
        <v>893</v>
      </c>
      <c r="U3707" t="s">
        <v>34</v>
      </c>
      <c r="V3707">
        <v>647.4466666666666</v>
      </c>
    </row>
    <row r="3708" spans="1:22" x14ac:dyDescent="0.3">
      <c r="A3708" t="s">
        <v>5184</v>
      </c>
      <c r="B3708" s="2">
        <v>46214</v>
      </c>
      <c r="C3708" t="s">
        <v>1582</v>
      </c>
      <c r="D3708" t="s">
        <v>49</v>
      </c>
      <c r="E3708" t="s">
        <v>79</v>
      </c>
      <c r="F3708">
        <v>5</v>
      </c>
      <c r="G3708">
        <v>0</v>
      </c>
      <c r="H3708">
        <v>55000</v>
      </c>
      <c r="I3708">
        <v>13000</v>
      </c>
      <c r="J3708" t="s">
        <v>51</v>
      </c>
      <c r="K3708" t="s">
        <v>40</v>
      </c>
      <c r="L3708">
        <v>11000</v>
      </c>
      <c r="M3708">
        <v>23.63636363636364</v>
      </c>
      <c r="N3708" t="s">
        <v>8</v>
      </c>
      <c r="O3708" t="s">
        <v>1583</v>
      </c>
      <c r="P3708" t="s">
        <v>73</v>
      </c>
      <c r="Q3708" t="s">
        <v>30</v>
      </c>
      <c r="R3708" t="s">
        <v>53</v>
      </c>
      <c r="S3708" t="s">
        <v>54</v>
      </c>
      <c r="T3708" t="s">
        <v>370</v>
      </c>
      <c r="U3708" t="s">
        <v>105</v>
      </c>
      <c r="V3708">
        <v>2600</v>
      </c>
    </row>
    <row r="3709" spans="1:22" x14ac:dyDescent="0.3">
      <c r="A3709" t="s">
        <v>5185</v>
      </c>
      <c r="B3709" s="2">
        <v>46090</v>
      </c>
      <c r="C3709" t="s">
        <v>5186</v>
      </c>
      <c r="D3709" t="s">
        <v>49</v>
      </c>
      <c r="E3709" t="s">
        <v>50</v>
      </c>
      <c r="F3709">
        <v>4</v>
      </c>
      <c r="G3709">
        <v>0.1</v>
      </c>
      <c r="H3709">
        <v>46800</v>
      </c>
      <c r="I3709">
        <v>8852.89</v>
      </c>
      <c r="J3709" t="s">
        <v>65</v>
      </c>
      <c r="K3709" t="s">
        <v>40</v>
      </c>
      <c r="L3709">
        <v>11700</v>
      </c>
      <c r="M3709">
        <v>18.916431623931619</v>
      </c>
      <c r="N3709" t="s">
        <v>8</v>
      </c>
      <c r="O3709" t="s">
        <v>191</v>
      </c>
      <c r="P3709" t="s">
        <v>29</v>
      </c>
      <c r="Q3709" t="s">
        <v>131</v>
      </c>
      <c r="R3709" t="s">
        <v>449</v>
      </c>
      <c r="S3709" t="s">
        <v>450</v>
      </c>
      <c r="T3709" t="s">
        <v>5187</v>
      </c>
      <c r="U3709" t="s">
        <v>34</v>
      </c>
      <c r="V3709">
        <v>2213.2224999999999</v>
      </c>
    </row>
    <row r="3710" spans="1:22" x14ac:dyDescent="0.3">
      <c r="A3710" t="s">
        <v>5188</v>
      </c>
      <c r="B3710" s="2">
        <v>46158</v>
      </c>
      <c r="C3710" t="s">
        <v>656</v>
      </c>
      <c r="D3710" t="s">
        <v>24</v>
      </c>
      <c r="E3710" t="s">
        <v>242</v>
      </c>
      <c r="F3710">
        <v>2</v>
      </c>
      <c r="G3710">
        <v>0.15</v>
      </c>
      <c r="H3710">
        <v>765</v>
      </c>
      <c r="I3710">
        <v>146.69</v>
      </c>
      <c r="J3710" t="s">
        <v>65</v>
      </c>
      <c r="K3710" t="s">
        <v>40</v>
      </c>
      <c r="L3710">
        <v>382.5</v>
      </c>
      <c r="M3710">
        <v>19.17516339869281</v>
      </c>
      <c r="N3710" t="s">
        <v>8</v>
      </c>
      <c r="O3710" t="s">
        <v>657</v>
      </c>
      <c r="P3710" t="s">
        <v>83</v>
      </c>
      <c r="Q3710" t="s">
        <v>74</v>
      </c>
      <c r="R3710" t="s">
        <v>115</v>
      </c>
      <c r="S3710" t="s">
        <v>115</v>
      </c>
      <c r="T3710" t="s">
        <v>76</v>
      </c>
      <c r="U3710" t="s">
        <v>100</v>
      </c>
      <c r="V3710">
        <v>73.344999999999999</v>
      </c>
    </row>
    <row r="3711" spans="1:22" x14ac:dyDescent="0.3">
      <c r="A3711" t="s">
        <v>5189</v>
      </c>
      <c r="B3711" s="2">
        <v>46255</v>
      </c>
      <c r="C3711" t="s">
        <v>603</v>
      </c>
      <c r="D3711" t="s">
        <v>37</v>
      </c>
      <c r="E3711" t="s">
        <v>38</v>
      </c>
      <c r="F3711">
        <v>2</v>
      </c>
      <c r="G3711">
        <v>0.3</v>
      </c>
      <c r="H3711">
        <v>2520</v>
      </c>
      <c r="I3711">
        <v>403.8</v>
      </c>
      <c r="J3711" t="s">
        <v>26</v>
      </c>
      <c r="K3711" t="s">
        <v>40</v>
      </c>
      <c r="L3711">
        <v>1260</v>
      </c>
      <c r="M3711">
        <v>16.023809523809518</v>
      </c>
      <c r="N3711" t="s">
        <v>8</v>
      </c>
      <c r="O3711" t="s">
        <v>153</v>
      </c>
      <c r="P3711" t="s">
        <v>83</v>
      </c>
      <c r="Q3711" t="s">
        <v>131</v>
      </c>
      <c r="R3711" t="s">
        <v>200</v>
      </c>
      <c r="S3711" t="s">
        <v>201</v>
      </c>
      <c r="T3711" t="s">
        <v>604</v>
      </c>
      <c r="U3711" t="s">
        <v>46</v>
      </c>
      <c r="V3711">
        <v>201.9</v>
      </c>
    </row>
    <row r="3712" spans="1:22" x14ac:dyDescent="0.3">
      <c r="A3712" t="s">
        <v>5190</v>
      </c>
      <c r="B3712" s="2">
        <v>45996</v>
      </c>
      <c r="C3712" t="s">
        <v>1352</v>
      </c>
      <c r="D3712" t="s">
        <v>70</v>
      </c>
      <c r="E3712" t="s">
        <v>108</v>
      </c>
      <c r="F3712">
        <v>2</v>
      </c>
      <c r="G3712">
        <v>0</v>
      </c>
      <c r="H3712">
        <v>9000</v>
      </c>
      <c r="I3712">
        <v>-3257.04</v>
      </c>
      <c r="J3712" t="s">
        <v>51</v>
      </c>
      <c r="K3712" t="s">
        <v>80</v>
      </c>
      <c r="L3712">
        <v>4500</v>
      </c>
      <c r="M3712">
        <v>-36.189333333333337</v>
      </c>
      <c r="N3712" t="s">
        <v>81</v>
      </c>
      <c r="O3712" t="s">
        <v>1353</v>
      </c>
      <c r="P3712" t="s">
        <v>29</v>
      </c>
      <c r="Q3712" t="s">
        <v>42</v>
      </c>
      <c r="R3712" t="s">
        <v>214</v>
      </c>
      <c r="S3712" t="s">
        <v>111</v>
      </c>
      <c r="T3712" t="s">
        <v>1354</v>
      </c>
      <c r="U3712" t="s">
        <v>34</v>
      </c>
      <c r="V3712">
        <v>-1628.52</v>
      </c>
    </row>
    <row r="3713" spans="1:22" x14ac:dyDescent="0.3">
      <c r="A3713" t="s">
        <v>5191</v>
      </c>
      <c r="B3713" s="2">
        <v>45895</v>
      </c>
      <c r="C3713" t="s">
        <v>810</v>
      </c>
      <c r="D3713" t="s">
        <v>24</v>
      </c>
      <c r="E3713" t="s">
        <v>242</v>
      </c>
      <c r="F3713">
        <v>1</v>
      </c>
      <c r="G3713">
        <v>0.3</v>
      </c>
      <c r="H3713">
        <v>315</v>
      </c>
      <c r="I3713">
        <v>38.58</v>
      </c>
      <c r="J3713" t="s">
        <v>39</v>
      </c>
      <c r="K3713" t="s">
        <v>40</v>
      </c>
      <c r="L3713">
        <v>315</v>
      </c>
      <c r="M3713">
        <v>12.24761904761905</v>
      </c>
      <c r="N3713" t="s">
        <v>8</v>
      </c>
      <c r="O3713" t="s">
        <v>811</v>
      </c>
      <c r="P3713" t="s">
        <v>73</v>
      </c>
      <c r="Q3713" t="s">
        <v>30</v>
      </c>
      <c r="R3713" t="s">
        <v>60</v>
      </c>
      <c r="S3713" t="s">
        <v>61</v>
      </c>
      <c r="T3713" t="s">
        <v>812</v>
      </c>
      <c r="U3713" t="s">
        <v>34</v>
      </c>
      <c r="V3713">
        <v>38.58</v>
      </c>
    </row>
    <row r="3714" spans="1:22" x14ac:dyDescent="0.3">
      <c r="A3714" t="s">
        <v>5192</v>
      </c>
      <c r="B3714" s="2">
        <v>46012</v>
      </c>
      <c r="C3714" t="s">
        <v>1363</v>
      </c>
      <c r="D3714" t="s">
        <v>70</v>
      </c>
      <c r="E3714" t="s">
        <v>71</v>
      </c>
      <c r="F3714">
        <v>4</v>
      </c>
      <c r="G3714">
        <v>0.05</v>
      </c>
      <c r="H3714">
        <v>68400</v>
      </c>
      <c r="I3714">
        <v>12227.41</v>
      </c>
      <c r="J3714" t="s">
        <v>65</v>
      </c>
      <c r="K3714" t="s">
        <v>40</v>
      </c>
      <c r="L3714">
        <v>17100</v>
      </c>
      <c r="M3714">
        <v>17.876330409356729</v>
      </c>
      <c r="N3714" t="s">
        <v>8</v>
      </c>
      <c r="O3714" t="s">
        <v>1364</v>
      </c>
      <c r="P3714" t="s">
        <v>73</v>
      </c>
      <c r="Q3714" t="s">
        <v>30</v>
      </c>
      <c r="R3714" t="s">
        <v>98</v>
      </c>
      <c r="S3714" t="s">
        <v>54</v>
      </c>
      <c r="T3714" t="s">
        <v>1365</v>
      </c>
      <c r="U3714" t="s">
        <v>105</v>
      </c>
      <c r="V3714">
        <v>3056.8525</v>
      </c>
    </row>
    <row r="3715" spans="1:22" x14ac:dyDescent="0.3">
      <c r="A3715" t="s">
        <v>5193</v>
      </c>
      <c r="B3715" s="2">
        <v>46024</v>
      </c>
      <c r="C3715" t="s">
        <v>1465</v>
      </c>
      <c r="D3715" t="s">
        <v>49</v>
      </c>
      <c r="E3715" t="s">
        <v>50</v>
      </c>
      <c r="F3715">
        <v>2</v>
      </c>
      <c r="G3715">
        <v>0</v>
      </c>
      <c r="H3715">
        <v>26000</v>
      </c>
      <c r="I3715">
        <v>6400</v>
      </c>
      <c r="J3715" t="s">
        <v>39</v>
      </c>
      <c r="K3715" t="s">
        <v>40</v>
      </c>
      <c r="L3715">
        <v>13000</v>
      </c>
      <c r="M3715">
        <v>24.61538461538462</v>
      </c>
      <c r="N3715" t="s">
        <v>8</v>
      </c>
      <c r="O3715" t="s">
        <v>1466</v>
      </c>
      <c r="P3715" t="s">
        <v>73</v>
      </c>
      <c r="Q3715" t="s">
        <v>74</v>
      </c>
      <c r="R3715" t="s">
        <v>237</v>
      </c>
      <c r="S3715" t="s">
        <v>238</v>
      </c>
      <c r="T3715" t="s">
        <v>831</v>
      </c>
      <c r="U3715" t="s">
        <v>34</v>
      </c>
      <c r="V3715">
        <v>3200</v>
      </c>
    </row>
    <row r="3716" spans="1:22" x14ac:dyDescent="0.3">
      <c r="A3716" t="s">
        <v>5194</v>
      </c>
      <c r="B3716" s="2">
        <v>45979</v>
      </c>
      <c r="C3716" t="s">
        <v>3512</v>
      </c>
      <c r="D3716" t="s">
        <v>70</v>
      </c>
      <c r="E3716" t="s">
        <v>108</v>
      </c>
      <c r="F3716">
        <v>3</v>
      </c>
      <c r="G3716">
        <v>0.1</v>
      </c>
      <c r="H3716">
        <v>12150</v>
      </c>
      <c r="I3716">
        <v>3554.84</v>
      </c>
      <c r="J3716" t="s">
        <v>39</v>
      </c>
      <c r="K3716" t="s">
        <v>40</v>
      </c>
      <c r="L3716">
        <v>4050</v>
      </c>
      <c r="M3716">
        <v>29.257942386831271</v>
      </c>
      <c r="N3716" t="s">
        <v>8</v>
      </c>
      <c r="O3716" t="s">
        <v>648</v>
      </c>
      <c r="P3716" t="s">
        <v>83</v>
      </c>
      <c r="Q3716" t="s">
        <v>74</v>
      </c>
      <c r="R3716" t="s">
        <v>115</v>
      </c>
      <c r="S3716" t="s">
        <v>115</v>
      </c>
      <c r="T3716" t="s">
        <v>3513</v>
      </c>
      <c r="U3716" t="s">
        <v>34</v>
      </c>
      <c r="V3716">
        <v>1184.9466666666669</v>
      </c>
    </row>
    <row r="3717" spans="1:22" x14ac:dyDescent="0.3">
      <c r="A3717" t="s">
        <v>5195</v>
      </c>
      <c r="B3717" s="2">
        <v>46254</v>
      </c>
      <c r="C3717" t="s">
        <v>4016</v>
      </c>
      <c r="D3717" t="s">
        <v>24</v>
      </c>
      <c r="E3717" t="s">
        <v>25</v>
      </c>
      <c r="F3717">
        <v>2</v>
      </c>
      <c r="G3717">
        <v>0.2</v>
      </c>
      <c r="H3717">
        <v>22400</v>
      </c>
      <c r="I3717">
        <v>-4918.33</v>
      </c>
      <c r="J3717" t="s">
        <v>39</v>
      </c>
      <c r="K3717" t="s">
        <v>434</v>
      </c>
      <c r="L3717">
        <v>11200</v>
      </c>
      <c r="M3717">
        <v>-21.956830357142859</v>
      </c>
      <c r="N3717" t="s">
        <v>81</v>
      </c>
      <c r="O3717" t="s">
        <v>701</v>
      </c>
      <c r="P3717" t="s">
        <v>29</v>
      </c>
      <c r="Q3717" t="s">
        <v>131</v>
      </c>
      <c r="R3717" t="s">
        <v>449</v>
      </c>
      <c r="S3717" t="s">
        <v>450</v>
      </c>
      <c r="T3717" t="s">
        <v>1026</v>
      </c>
      <c r="U3717" t="s">
        <v>46</v>
      </c>
      <c r="V3717">
        <v>-2459.165</v>
      </c>
    </row>
    <row r="3718" spans="1:22" x14ac:dyDescent="0.3">
      <c r="A3718" t="s">
        <v>5196</v>
      </c>
      <c r="B3718" s="2">
        <v>46167</v>
      </c>
      <c r="C3718" t="s">
        <v>2756</v>
      </c>
      <c r="D3718" t="s">
        <v>24</v>
      </c>
      <c r="E3718" t="s">
        <v>25</v>
      </c>
      <c r="F3718">
        <v>3</v>
      </c>
      <c r="G3718">
        <v>0</v>
      </c>
      <c r="H3718">
        <v>42000</v>
      </c>
      <c r="I3718">
        <v>-7481.53</v>
      </c>
      <c r="J3718" t="s">
        <v>65</v>
      </c>
      <c r="K3718" t="s">
        <v>434</v>
      </c>
      <c r="L3718">
        <v>14000</v>
      </c>
      <c r="M3718">
        <v>-17.813166666666671</v>
      </c>
      <c r="N3718" t="s">
        <v>81</v>
      </c>
      <c r="O3718" t="s">
        <v>213</v>
      </c>
      <c r="P3718" t="s">
        <v>73</v>
      </c>
      <c r="Q3718" t="s">
        <v>42</v>
      </c>
      <c r="R3718" t="s">
        <v>121</v>
      </c>
      <c r="S3718" t="s">
        <v>44</v>
      </c>
      <c r="T3718" t="s">
        <v>2757</v>
      </c>
      <c r="U3718" t="s">
        <v>105</v>
      </c>
      <c r="V3718">
        <v>-2493.8433333333328</v>
      </c>
    </row>
    <row r="3719" spans="1:22" x14ac:dyDescent="0.3">
      <c r="A3719" t="s">
        <v>5197</v>
      </c>
      <c r="B3719" s="2">
        <v>45924</v>
      </c>
      <c r="C3719" t="s">
        <v>2424</v>
      </c>
      <c r="D3719" t="s">
        <v>49</v>
      </c>
      <c r="E3719" t="s">
        <v>119</v>
      </c>
      <c r="F3719">
        <v>2</v>
      </c>
      <c r="G3719">
        <v>0</v>
      </c>
      <c r="H3719">
        <v>18000</v>
      </c>
      <c r="I3719">
        <v>4600</v>
      </c>
      <c r="J3719" t="s">
        <v>39</v>
      </c>
      <c r="K3719" t="s">
        <v>40</v>
      </c>
      <c r="L3719">
        <v>9000</v>
      </c>
      <c r="M3719">
        <v>25.55555555555555</v>
      </c>
      <c r="N3719" t="s">
        <v>8</v>
      </c>
      <c r="O3719" t="s">
        <v>1668</v>
      </c>
      <c r="P3719" t="s">
        <v>29</v>
      </c>
      <c r="Q3719" t="s">
        <v>42</v>
      </c>
      <c r="R3719" t="s">
        <v>43</v>
      </c>
      <c r="S3719" t="s">
        <v>44</v>
      </c>
      <c r="T3719" t="s">
        <v>2425</v>
      </c>
      <c r="U3719" t="s">
        <v>100</v>
      </c>
      <c r="V3719">
        <v>2300</v>
      </c>
    </row>
    <row r="3720" spans="1:22" x14ac:dyDescent="0.3">
      <c r="A3720" t="s">
        <v>5198</v>
      </c>
      <c r="B3720" s="2">
        <v>45890</v>
      </c>
      <c r="C3720" t="s">
        <v>1036</v>
      </c>
      <c r="D3720" t="s">
        <v>24</v>
      </c>
      <c r="E3720" t="s">
        <v>25</v>
      </c>
      <c r="F3720">
        <v>3</v>
      </c>
      <c r="G3720">
        <v>0.05</v>
      </c>
      <c r="H3720">
        <v>39900</v>
      </c>
      <c r="I3720">
        <v>7134.95</v>
      </c>
      <c r="J3720" t="s">
        <v>65</v>
      </c>
      <c r="K3720" t="s">
        <v>27</v>
      </c>
      <c r="L3720">
        <v>13300</v>
      </c>
      <c r="M3720">
        <v>17.88208020050125</v>
      </c>
      <c r="N3720" t="s">
        <v>8</v>
      </c>
      <c r="O3720" t="s">
        <v>149</v>
      </c>
      <c r="P3720" t="s">
        <v>83</v>
      </c>
      <c r="Q3720" t="s">
        <v>30</v>
      </c>
      <c r="R3720" t="s">
        <v>53</v>
      </c>
      <c r="S3720" t="s">
        <v>54</v>
      </c>
      <c r="T3720" t="s">
        <v>1037</v>
      </c>
      <c r="U3720" t="s">
        <v>46</v>
      </c>
      <c r="V3720">
        <v>2378.3166666666671</v>
      </c>
    </row>
    <row r="3721" spans="1:22" x14ac:dyDescent="0.3">
      <c r="A3721" t="s">
        <v>5199</v>
      </c>
      <c r="B3721" s="2">
        <v>46216</v>
      </c>
      <c r="C3721" t="s">
        <v>974</v>
      </c>
      <c r="D3721" t="s">
        <v>37</v>
      </c>
      <c r="E3721" t="s">
        <v>190</v>
      </c>
      <c r="F3721">
        <v>2</v>
      </c>
      <c r="G3721">
        <v>0.1</v>
      </c>
      <c r="H3721">
        <v>7560</v>
      </c>
      <c r="I3721">
        <v>2007.53</v>
      </c>
      <c r="J3721" t="s">
        <v>26</v>
      </c>
      <c r="K3721" t="s">
        <v>40</v>
      </c>
      <c r="L3721">
        <v>3780</v>
      </c>
      <c r="M3721">
        <v>26.55462962962963</v>
      </c>
      <c r="N3721" t="s">
        <v>8</v>
      </c>
      <c r="O3721" t="s">
        <v>975</v>
      </c>
      <c r="P3721" t="s">
        <v>73</v>
      </c>
      <c r="Q3721" t="s">
        <v>42</v>
      </c>
      <c r="R3721" t="s">
        <v>43</v>
      </c>
      <c r="S3721" t="s">
        <v>44</v>
      </c>
      <c r="T3721" t="s">
        <v>976</v>
      </c>
      <c r="U3721" t="s">
        <v>100</v>
      </c>
      <c r="V3721">
        <v>1003.765</v>
      </c>
    </row>
    <row r="3722" spans="1:22" x14ac:dyDescent="0.3">
      <c r="A3722" t="s">
        <v>5200</v>
      </c>
      <c r="B3722" s="2">
        <v>46103</v>
      </c>
      <c r="C3722" t="s">
        <v>1028</v>
      </c>
      <c r="D3722" t="s">
        <v>70</v>
      </c>
      <c r="E3722" t="s">
        <v>71</v>
      </c>
      <c r="F3722">
        <v>1</v>
      </c>
      <c r="G3722">
        <v>0.3</v>
      </c>
      <c r="H3722">
        <v>12600</v>
      </c>
      <c r="I3722">
        <v>-244.81</v>
      </c>
      <c r="J3722" t="s">
        <v>39</v>
      </c>
      <c r="K3722" t="s">
        <v>40</v>
      </c>
      <c r="L3722">
        <v>12600</v>
      </c>
      <c r="M3722">
        <v>-1.942936507936508</v>
      </c>
      <c r="N3722" t="s">
        <v>81</v>
      </c>
      <c r="O3722" t="s">
        <v>390</v>
      </c>
      <c r="P3722" t="s">
        <v>29</v>
      </c>
      <c r="Q3722" t="s">
        <v>74</v>
      </c>
      <c r="R3722" t="s">
        <v>237</v>
      </c>
      <c r="S3722" t="s">
        <v>238</v>
      </c>
      <c r="T3722" t="s">
        <v>1029</v>
      </c>
      <c r="U3722" t="s">
        <v>46</v>
      </c>
      <c r="V3722">
        <v>-244.81</v>
      </c>
    </row>
    <row r="3723" spans="1:22" x14ac:dyDescent="0.3">
      <c r="A3723" t="s">
        <v>5201</v>
      </c>
      <c r="B3723" s="2">
        <v>45899</v>
      </c>
      <c r="C3723" t="s">
        <v>2610</v>
      </c>
      <c r="D3723" t="s">
        <v>49</v>
      </c>
      <c r="E3723" t="s">
        <v>50</v>
      </c>
      <c r="F3723">
        <v>1</v>
      </c>
      <c r="G3723">
        <v>0.2</v>
      </c>
      <c r="H3723">
        <v>10400</v>
      </c>
      <c r="I3723">
        <v>1504.9</v>
      </c>
      <c r="J3723" t="s">
        <v>39</v>
      </c>
      <c r="K3723" t="s">
        <v>40</v>
      </c>
      <c r="L3723">
        <v>10400</v>
      </c>
      <c r="M3723">
        <v>14.47019230769231</v>
      </c>
      <c r="N3723" t="s">
        <v>8</v>
      </c>
      <c r="O3723" t="s">
        <v>209</v>
      </c>
      <c r="P3723" t="s">
        <v>29</v>
      </c>
      <c r="Q3723" t="s">
        <v>42</v>
      </c>
      <c r="R3723" t="s">
        <v>110</v>
      </c>
      <c r="S3723" t="s">
        <v>111</v>
      </c>
      <c r="T3723" t="s">
        <v>2611</v>
      </c>
      <c r="U3723" t="s">
        <v>100</v>
      </c>
      <c r="V3723">
        <v>1504.9</v>
      </c>
    </row>
    <row r="3724" spans="1:22" x14ac:dyDescent="0.3">
      <c r="A3724" t="s">
        <v>5202</v>
      </c>
      <c r="B3724" s="2">
        <v>46134</v>
      </c>
      <c r="C3724" t="s">
        <v>174</v>
      </c>
      <c r="D3724" t="s">
        <v>70</v>
      </c>
      <c r="E3724" t="s">
        <v>129</v>
      </c>
      <c r="F3724">
        <v>1</v>
      </c>
      <c r="G3724">
        <v>0.1</v>
      </c>
      <c r="H3724">
        <v>49500</v>
      </c>
      <c r="I3724">
        <v>4690.92</v>
      </c>
      <c r="J3724" t="s">
        <v>26</v>
      </c>
      <c r="K3724" t="s">
        <v>40</v>
      </c>
      <c r="L3724">
        <v>49500</v>
      </c>
      <c r="M3724">
        <v>9.4766060606060609</v>
      </c>
      <c r="N3724" t="s">
        <v>8</v>
      </c>
      <c r="O3724" t="s">
        <v>175</v>
      </c>
      <c r="P3724" t="s">
        <v>29</v>
      </c>
      <c r="Q3724" t="s">
        <v>30</v>
      </c>
      <c r="R3724" t="s">
        <v>53</v>
      </c>
      <c r="S3724" t="s">
        <v>54</v>
      </c>
      <c r="T3724" t="s">
        <v>176</v>
      </c>
      <c r="U3724" t="s">
        <v>34</v>
      </c>
      <c r="V3724">
        <v>4690.92</v>
      </c>
    </row>
    <row r="3725" spans="1:22" x14ac:dyDescent="0.3">
      <c r="A3725" t="s">
        <v>5203</v>
      </c>
      <c r="B3725" s="2">
        <v>46025</v>
      </c>
      <c r="C3725" t="s">
        <v>1455</v>
      </c>
      <c r="D3725" t="s">
        <v>24</v>
      </c>
      <c r="E3725" t="s">
        <v>92</v>
      </c>
      <c r="F3725">
        <v>1</v>
      </c>
      <c r="G3725">
        <v>0</v>
      </c>
      <c r="H3725">
        <v>900</v>
      </c>
      <c r="I3725">
        <v>-412.76</v>
      </c>
      <c r="J3725" t="s">
        <v>26</v>
      </c>
      <c r="K3725" t="s">
        <v>80</v>
      </c>
      <c r="L3725">
        <v>900</v>
      </c>
      <c r="M3725">
        <v>-45.862222222222222</v>
      </c>
      <c r="N3725" t="s">
        <v>81</v>
      </c>
      <c r="O3725" t="s">
        <v>1009</v>
      </c>
      <c r="P3725" t="s">
        <v>83</v>
      </c>
      <c r="Q3725" t="s">
        <v>74</v>
      </c>
      <c r="R3725" t="s">
        <v>493</v>
      </c>
      <c r="S3725" t="s">
        <v>494</v>
      </c>
      <c r="T3725" t="s">
        <v>273</v>
      </c>
      <c r="U3725" t="s">
        <v>46</v>
      </c>
      <c r="V3725">
        <v>-412.76</v>
      </c>
    </row>
    <row r="3726" spans="1:22" x14ac:dyDescent="0.3">
      <c r="A3726" t="s">
        <v>5204</v>
      </c>
      <c r="B3726" s="2">
        <v>46264</v>
      </c>
      <c r="C3726" t="s">
        <v>659</v>
      </c>
      <c r="D3726" t="s">
        <v>49</v>
      </c>
      <c r="E3726" t="s">
        <v>79</v>
      </c>
      <c r="F3726">
        <v>3</v>
      </c>
      <c r="G3726">
        <v>0</v>
      </c>
      <c r="H3726">
        <v>33000</v>
      </c>
      <c r="I3726">
        <v>7800</v>
      </c>
      <c r="J3726" t="s">
        <v>65</v>
      </c>
      <c r="K3726" t="s">
        <v>40</v>
      </c>
      <c r="L3726">
        <v>11000</v>
      </c>
      <c r="M3726">
        <v>23.63636363636364</v>
      </c>
      <c r="N3726" t="s">
        <v>8</v>
      </c>
      <c r="O3726" t="s">
        <v>660</v>
      </c>
      <c r="P3726" t="s">
        <v>83</v>
      </c>
      <c r="Q3726" t="s">
        <v>30</v>
      </c>
      <c r="R3726" t="s">
        <v>60</v>
      </c>
      <c r="S3726" t="s">
        <v>61</v>
      </c>
      <c r="T3726" t="s">
        <v>475</v>
      </c>
      <c r="U3726" t="s">
        <v>46</v>
      </c>
      <c r="V3726">
        <v>2600</v>
      </c>
    </row>
    <row r="3727" spans="1:22" x14ac:dyDescent="0.3">
      <c r="A3727" t="s">
        <v>5205</v>
      </c>
      <c r="B3727" s="2">
        <v>46021</v>
      </c>
      <c r="C3727" t="s">
        <v>361</v>
      </c>
      <c r="D3727" t="s">
        <v>70</v>
      </c>
      <c r="E3727" t="s">
        <v>108</v>
      </c>
      <c r="F3727">
        <v>3</v>
      </c>
      <c r="G3727">
        <v>0</v>
      </c>
      <c r="H3727">
        <v>13500</v>
      </c>
      <c r="I3727">
        <v>-2390.38</v>
      </c>
      <c r="J3727" t="s">
        <v>26</v>
      </c>
      <c r="K3727" t="s">
        <v>434</v>
      </c>
      <c r="L3727">
        <v>4500</v>
      </c>
      <c r="M3727">
        <v>-17.706518518518521</v>
      </c>
      <c r="N3727" t="s">
        <v>81</v>
      </c>
      <c r="O3727" t="s">
        <v>362</v>
      </c>
      <c r="P3727" t="s">
        <v>73</v>
      </c>
      <c r="Q3727" t="s">
        <v>42</v>
      </c>
      <c r="R3727" t="s">
        <v>43</v>
      </c>
      <c r="S3727" t="s">
        <v>44</v>
      </c>
      <c r="T3727" t="s">
        <v>363</v>
      </c>
      <c r="U3727" t="s">
        <v>105</v>
      </c>
      <c r="V3727">
        <v>-796.79333333333341</v>
      </c>
    </row>
    <row r="3728" spans="1:22" x14ac:dyDescent="0.3">
      <c r="A3728" t="s">
        <v>5206</v>
      </c>
      <c r="B3728" s="2">
        <v>45975</v>
      </c>
      <c r="C3728" t="s">
        <v>4906</v>
      </c>
      <c r="D3728" t="s">
        <v>24</v>
      </c>
      <c r="E3728" t="s">
        <v>242</v>
      </c>
      <c r="F3728">
        <v>3</v>
      </c>
      <c r="G3728">
        <v>0.1</v>
      </c>
      <c r="H3728">
        <v>1215</v>
      </c>
      <c r="I3728">
        <v>222.56</v>
      </c>
      <c r="J3728" t="s">
        <v>39</v>
      </c>
      <c r="K3728" t="s">
        <v>40</v>
      </c>
      <c r="L3728">
        <v>405</v>
      </c>
      <c r="M3728">
        <v>18.317695473251032</v>
      </c>
      <c r="N3728" t="s">
        <v>8</v>
      </c>
      <c r="O3728" t="s">
        <v>1695</v>
      </c>
      <c r="P3728" t="s">
        <v>83</v>
      </c>
      <c r="Q3728" t="s">
        <v>74</v>
      </c>
      <c r="R3728" t="s">
        <v>493</v>
      </c>
      <c r="S3728" t="s">
        <v>494</v>
      </c>
      <c r="T3728" t="s">
        <v>4907</v>
      </c>
      <c r="U3728" t="s">
        <v>46</v>
      </c>
      <c r="V3728">
        <v>74.186666666666667</v>
      </c>
    </row>
    <row r="3729" spans="1:22" x14ac:dyDescent="0.3">
      <c r="A3729" t="s">
        <v>5207</v>
      </c>
      <c r="B3729" s="2">
        <v>46014</v>
      </c>
      <c r="C3729" t="s">
        <v>552</v>
      </c>
      <c r="D3729" t="s">
        <v>70</v>
      </c>
      <c r="E3729" t="s">
        <v>71</v>
      </c>
      <c r="F3729">
        <v>3</v>
      </c>
      <c r="G3729">
        <v>0</v>
      </c>
      <c r="H3729">
        <v>54000</v>
      </c>
      <c r="I3729">
        <v>10500</v>
      </c>
      <c r="J3729" t="s">
        <v>39</v>
      </c>
      <c r="K3729" t="s">
        <v>40</v>
      </c>
      <c r="L3729">
        <v>18000</v>
      </c>
      <c r="M3729">
        <v>19.44444444444445</v>
      </c>
      <c r="N3729" t="s">
        <v>8</v>
      </c>
      <c r="O3729" t="s">
        <v>553</v>
      </c>
      <c r="P3729" t="s">
        <v>29</v>
      </c>
      <c r="Q3729" t="s">
        <v>74</v>
      </c>
      <c r="R3729" t="s">
        <v>493</v>
      </c>
      <c r="S3729" t="s">
        <v>494</v>
      </c>
      <c r="T3729" t="s">
        <v>554</v>
      </c>
      <c r="U3729" t="s">
        <v>105</v>
      </c>
      <c r="V3729">
        <v>3500</v>
      </c>
    </row>
    <row r="3730" spans="1:22" x14ac:dyDescent="0.3">
      <c r="A3730" t="s">
        <v>5208</v>
      </c>
      <c r="B3730" s="2">
        <v>45874</v>
      </c>
      <c r="C3730" t="s">
        <v>1427</v>
      </c>
      <c r="D3730" t="s">
        <v>24</v>
      </c>
      <c r="E3730" t="s">
        <v>87</v>
      </c>
      <c r="F3730">
        <v>2</v>
      </c>
      <c r="G3730">
        <v>0.15</v>
      </c>
      <c r="H3730">
        <v>595</v>
      </c>
      <c r="I3730">
        <v>178.7</v>
      </c>
      <c r="J3730" t="s">
        <v>39</v>
      </c>
      <c r="K3730" t="s">
        <v>40</v>
      </c>
      <c r="L3730">
        <v>297.5</v>
      </c>
      <c r="M3730">
        <v>30.033613445378151</v>
      </c>
      <c r="N3730" t="s">
        <v>8</v>
      </c>
      <c r="O3730" t="s">
        <v>1102</v>
      </c>
      <c r="P3730" t="s">
        <v>83</v>
      </c>
      <c r="Q3730" t="s">
        <v>74</v>
      </c>
      <c r="R3730" t="s">
        <v>493</v>
      </c>
      <c r="S3730" t="s">
        <v>494</v>
      </c>
      <c r="T3730" t="s">
        <v>1428</v>
      </c>
      <c r="U3730" t="s">
        <v>46</v>
      </c>
      <c r="V3730">
        <v>89.35</v>
      </c>
    </row>
    <row r="3731" spans="1:22" x14ac:dyDescent="0.3">
      <c r="A3731" t="s">
        <v>5209</v>
      </c>
      <c r="B3731" s="2">
        <v>45911</v>
      </c>
      <c r="C3731" t="s">
        <v>3463</v>
      </c>
      <c r="D3731" t="s">
        <v>24</v>
      </c>
      <c r="E3731" t="s">
        <v>87</v>
      </c>
      <c r="F3731">
        <v>1</v>
      </c>
      <c r="G3731">
        <v>0.15</v>
      </c>
      <c r="H3731">
        <v>297.5</v>
      </c>
      <c r="I3731">
        <v>-58.84</v>
      </c>
      <c r="J3731" t="s">
        <v>39</v>
      </c>
      <c r="K3731" t="s">
        <v>434</v>
      </c>
      <c r="L3731">
        <v>297.5</v>
      </c>
      <c r="M3731">
        <v>-19.778151260504199</v>
      </c>
      <c r="N3731" t="s">
        <v>81</v>
      </c>
      <c r="O3731" t="s">
        <v>692</v>
      </c>
      <c r="P3731" t="s">
        <v>29</v>
      </c>
      <c r="Q3731" t="s">
        <v>42</v>
      </c>
      <c r="R3731" t="s">
        <v>110</v>
      </c>
      <c r="S3731" t="s">
        <v>111</v>
      </c>
      <c r="T3731" t="s">
        <v>1671</v>
      </c>
      <c r="U3731" t="s">
        <v>46</v>
      </c>
      <c r="V3731">
        <v>-58.84</v>
      </c>
    </row>
    <row r="3732" spans="1:22" x14ac:dyDescent="0.3">
      <c r="A3732" t="s">
        <v>5210</v>
      </c>
      <c r="B3732" s="2">
        <v>45937</v>
      </c>
      <c r="C3732" t="s">
        <v>1676</v>
      </c>
      <c r="D3732" t="s">
        <v>24</v>
      </c>
      <c r="E3732" t="s">
        <v>92</v>
      </c>
      <c r="F3732">
        <v>3</v>
      </c>
      <c r="G3732">
        <v>0.05</v>
      </c>
      <c r="H3732">
        <v>2565</v>
      </c>
      <c r="I3732">
        <v>732.27</v>
      </c>
      <c r="J3732" t="s">
        <v>39</v>
      </c>
      <c r="K3732" t="s">
        <v>40</v>
      </c>
      <c r="L3732">
        <v>855</v>
      </c>
      <c r="M3732">
        <v>28.548538011695911</v>
      </c>
      <c r="N3732" t="s">
        <v>8</v>
      </c>
      <c r="O3732" t="s">
        <v>1649</v>
      </c>
      <c r="P3732" t="s">
        <v>73</v>
      </c>
      <c r="Q3732" t="s">
        <v>30</v>
      </c>
      <c r="R3732" t="s">
        <v>31</v>
      </c>
      <c r="S3732" t="s">
        <v>32</v>
      </c>
      <c r="T3732" t="s">
        <v>1677</v>
      </c>
      <c r="U3732" t="s">
        <v>46</v>
      </c>
      <c r="V3732">
        <v>244.09</v>
      </c>
    </row>
    <row r="3733" spans="1:22" x14ac:dyDescent="0.3">
      <c r="A3733" t="s">
        <v>5211</v>
      </c>
      <c r="B3733" s="2">
        <v>45968</v>
      </c>
      <c r="C3733" t="s">
        <v>910</v>
      </c>
      <c r="D3733" t="s">
        <v>70</v>
      </c>
      <c r="E3733" t="s">
        <v>108</v>
      </c>
      <c r="F3733">
        <v>1</v>
      </c>
      <c r="G3733">
        <v>0</v>
      </c>
      <c r="H3733">
        <v>4500</v>
      </c>
      <c r="I3733">
        <v>1500</v>
      </c>
      <c r="J3733" t="s">
        <v>26</v>
      </c>
      <c r="K3733" t="s">
        <v>40</v>
      </c>
      <c r="L3733">
        <v>4500</v>
      </c>
      <c r="M3733">
        <v>33.333333333333329</v>
      </c>
      <c r="N3733" t="s">
        <v>8</v>
      </c>
      <c r="O3733" t="s">
        <v>911</v>
      </c>
      <c r="P3733" t="s">
        <v>29</v>
      </c>
      <c r="Q3733" t="s">
        <v>30</v>
      </c>
      <c r="R3733" t="s">
        <v>31</v>
      </c>
      <c r="S3733" t="s">
        <v>32</v>
      </c>
      <c r="T3733" t="s">
        <v>912</v>
      </c>
      <c r="U3733" t="s">
        <v>34</v>
      </c>
      <c r="V3733">
        <v>1500</v>
      </c>
    </row>
    <row r="3734" spans="1:22" x14ac:dyDescent="0.3">
      <c r="A3734" t="s">
        <v>5212</v>
      </c>
      <c r="B3734" s="2">
        <v>46195</v>
      </c>
      <c r="C3734" t="s">
        <v>2459</v>
      </c>
      <c r="D3734" t="s">
        <v>24</v>
      </c>
      <c r="E3734" t="s">
        <v>87</v>
      </c>
      <c r="F3734">
        <v>5</v>
      </c>
      <c r="G3734">
        <v>0.1</v>
      </c>
      <c r="H3734">
        <v>1575</v>
      </c>
      <c r="I3734">
        <v>453.55</v>
      </c>
      <c r="J3734" t="s">
        <v>65</v>
      </c>
      <c r="K3734" t="s">
        <v>40</v>
      </c>
      <c r="L3734">
        <v>315</v>
      </c>
      <c r="M3734">
        <v>28.796825396825401</v>
      </c>
      <c r="N3734" t="s">
        <v>8</v>
      </c>
      <c r="O3734" t="s">
        <v>378</v>
      </c>
      <c r="P3734" t="s">
        <v>83</v>
      </c>
      <c r="Q3734" t="s">
        <v>74</v>
      </c>
      <c r="R3734" t="s">
        <v>115</v>
      </c>
      <c r="S3734" t="s">
        <v>115</v>
      </c>
      <c r="T3734" t="s">
        <v>2460</v>
      </c>
      <c r="U3734" t="s">
        <v>105</v>
      </c>
      <c r="V3734">
        <v>90.710000000000008</v>
      </c>
    </row>
    <row r="3735" spans="1:22" x14ac:dyDescent="0.3">
      <c r="A3735" t="s">
        <v>5213</v>
      </c>
      <c r="B3735" s="2">
        <v>46055</v>
      </c>
      <c r="C3735" t="s">
        <v>704</v>
      </c>
      <c r="D3735" t="s">
        <v>24</v>
      </c>
      <c r="E3735" t="s">
        <v>242</v>
      </c>
      <c r="F3735">
        <v>2</v>
      </c>
      <c r="G3735">
        <v>0</v>
      </c>
      <c r="H3735">
        <v>900</v>
      </c>
      <c r="I3735">
        <v>220</v>
      </c>
      <c r="J3735" t="s">
        <v>26</v>
      </c>
      <c r="K3735" t="s">
        <v>40</v>
      </c>
      <c r="L3735">
        <v>450</v>
      </c>
      <c r="M3735">
        <v>24.444444444444439</v>
      </c>
      <c r="N3735" t="s">
        <v>8</v>
      </c>
      <c r="O3735" t="s">
        <v>705</v>
      </c>
      <c r="P3735" t="s">
        <v>83</v>
      </c>
      <c r="Q3735" t="s">
        <v>42</v>
      </c>
      <c r="R3735" t="s">
        <v>43</v>
      </c>
      <c r="S3735" t="s">
        <v>44</v>
      </c>
      <c r="T3735" t="s">
        <v>706</v>
      </c>
      <c r="U3735" t="s">
        <v>34</v>
      </c>
      <c r="V3735">
        <v>110</v>
      </c>
    </row>
    <row r="3736" spans="1:22" x14ac:dyDescent="0.3">
      <c r="A3736" t="s">
        <v>5214</v>
      </c>
      <c r="B3736" s="2">
        <v>45858</v>
      </c>
      <c r="C3736" t="s">
        <v>1453</v>
      </c>
      <c r="D3736" t="s">
        <v>24</v>
      </c>
      <c r="E3736" t="s">
        <v>87</v>
      </c>
      <c r="F3736">
        <v>4</v>
      </c>
      <c r="G3736">
        <v>0.15</v>
      </c>
      <c r="H3736">
        <v>1190</v>
      </c>
      <c r="I3736">
        <v>375.9</v>
      </c>
      <c r="J3736" t="s">
        <v>65</v>
      </c>
      <c r="K3736" t="s">
        <v>40</v>
      </c>
      <c r="L3736">
        <v>297.5</v>
      </c>
      <c r="M3736">
        <v>31.588235294117641</v>
      </c>
      <c r="N3736" t="s">
        <v>8</v>
      </c>
      <c r="O3736" t="s">
        <v>302</v>
      </c>
      <c r="P3736" t="s">
        <v>29</v>
      </c>
      <c r="Q3736" t="s">
        <v>74</v>
      </c>
      <c r="R3736" t="s">
        <v>115</v>
      </c>
      <c r="S3736" t="s">
        <v>115</v>
      </c>
      <c r="T3736" t="s">
        <v>277</v>
      </c>
      <c r="U3736" t="s">
        <v>46</v>
      </c>
      <c r="V3736">
        <v>93.974999999999994</v>
      </c>
    </row>
    <row r="3737" spans="1:22" x14ac:dyDescent="0.3">
      <c r="A3737" t="s">
        <v>5215</v>
      </c>
      <c r="B3737" s="2">
        <v>46096</v>
      </c>
      <c r="C3737" t="s">
        <v>1634</v>
      </c>
      <c r="D3737" t="s">
        <v>70</v>
      </c>
      <c r="E3737" t="s">
        <v>129</v>
      </c>
      <c r="F3737">
        <v>2</v>
      </c>
      <c r="G3737">
        <v>0.1</v>
      </c>
      <c r="H3737">
        <v>99000</v>
      </c>
      <c r="I3737">
        <v>-19186.86</v>
      </c>
      <c r="J3737" t="s">
        <v>65</v>
      </c>
      <c r="K3737" t="s">
        <v>434</v>
      </c>
      <c r="L3737">
        <v>49500</v>
      </c>
      <c r="M3737">
        <v>-19.38066666666667</v>
      </c>
      <c r="N3737" t="s">
        <v>81</v>
      </c>
      <c r="O3737" t="s">
        <v>233</v>
      </c>
      <c r="P3737" t="s">
        <v>29</v>
      </c>
      <c r="Q3737" t="s">
        <v>600</v>
      </c>
      <c r="R3737" t="s">
        <v>237</v>
      </c>
      <c r="S3737" t="s">
        <v>238</v>
      </c>
      <c r="T3737" t="s">
        <v>1635</v>
      </c>
      <c r="U3737" t="s">
        <v>34</v>
      </c>
      <c r="V3737">
        <v>-9593.43</v>
      </c>
    </row>
    <row r="3738" spans="1:22" x14ac:dyDescent="0.3">
      <c r="A3738" t="s">
        <v>5216</v>
      </c>
      <c r="B3738" s="2">
        <v>45911</v>
      </c>
      <c r="C3738" t="s">
        <v>1046</v>
      </c>
      <c r="D3738" t="s">
        <v>37</v>
      </c>
      <c r="E3738" t="s">
        <v>170</v>
      </c>
      <c r="F3738">
        <v>1</v>
      </c>
      <c r="G3738">
        <v>0</v>
      </c>
      <c r="H3738">
        <v>1400</v>
      </c>
      <c r="I3738">
        <v>500</v>
      </c>
      <c r="J3738" t="s">
        <v>65</v>
      </c>
      <c r="K3738" t="s">
        <v>40</v>
      </c>
      <c r="L3738">
        <v>1400</v>
      </c>
      <c r="M3738">
        <v>35.714285714285722</v>
      </c>
      <c r="N3738" t="s">
        <v>8</v>
      </c>
      <c r="O3738" t="s">
        <v>1047</v>
      </c>
      <c r="P3738" t="s">
        <v>29</v>
      </c>
      <c r="Q3738" t="s">
        <v>42</v>
      </c>
      <c r="R3738" t="s">
        <v>121</v>
      </c>
      <c r="S3738" t="s">
        <v>44</v>
      </c>
      <c r="T3738" t="s">
        <v>1048</v>
      </c>
      <c r="U3738" t="s">
        <v>100</v>
      </c>
      <c r="V3738">
        <v>500</v>
      </c>
    </row>
    <row r="3739" spans="1:22" x14ac:dyDescent="0.3">
      <c r="A3739" t="s">
        <v>5217</v>
      </c>
      <c r="B3739" s="2">
        <v>46021</v>
      </c>
      <c r="C3739" t="s">
        <v>810</v>
      </c>
      <c r="D3739" t="s">
        <v>70</v>
      </c>
      <c r="E3739" t="s">
        <v>165</v>
      </c>
      <c r="F3739">
        <v>5</v>
      </c>
      <c r="G3739">
        <v>0.1</v>
      </c>
      <c r="H3739">
        <v>11250</v>
      </c>
      <c r="I3739">
        <v>3063.14</v>
      </c>
      <c r="J3739" t="s">
        <v>26</v>
      </c>
      <c r="K3739" t="s">
        <v>40</v>
      </c>
      <c r="L3739">
        <v>2250</v>
      </c>
      <c r="M3739">
        <v>27.227911111111109</v>
      </c>
      <c r="N3739" t="s">
        <v>8</v>
      </c>
      <c r="O3739" t="s">
        <v>811</v>
      </c>
      <c r="P3739" t="s">
        <v>73</v>
      </c>
      <c r="Q3739" t="s">
        <v>30</v>
      </c>
      <c r="R3739" t="s">
        <v>60</v>
      </c>
      <c r="S3739" t="s">
        <v>61</v>
      </c>
      <c r="T3739" t="s">
        <v>812</v>
      </c>
      <c r="U3739" t="s">
        <v>34</v>
      </c>
      <c r="V3739">
        <v>612.62799999999993</v>
      </c>
    </row>
    <row r="3740" spans="1:22" x14ac:dyDescent="0.3">
      <c r="A3740" t="s">
        <v>5218</v>
      </c>
      <c r="B3740" s="2">
        <v>45953</v>
      </c>
      <c r="C3740" t="s">
        <v>358</v>
      </c>
      <c r="D3740" t="s">
        <v>24</v>
      </c>
      <c r="E3740" t="s">
        <v>92</v>
      </c>
      <c r="F3740">
        <v>2</v>
      </c>
      <c r="G3740">
        <v>0.15</v>
      </c>
      <c r="H3740">
        <v>1530</v>
      </c>
      <c r="I3740">
        <v>347.64</v>
      </c>
      <c r="J3740" t="s">
        <v>26</v>
      </c>
      <c r="K3740" t="s">
        <v>40</v>
      </c>
      <c r="L3740">
        <v>765</v>
      </c>
      <c r="M3740">
        <v>22.721568627450981</v>
      </c>
      <c r="N3740" t="s">
        <v>8</v>
      </c>
      <c r="O3740" t="s">
        <v>359</v>
      </c>
      <c r="P3740" t="s">
        <v>83</v>
      </c>
      <c r="Q3740" t="s">
        <v>42</v>
      </c>
      <c r="R3740" t="s">
        <v>214</v>
      </c>
      <c r="S3740" t="s">
        <v>111</v>
      </c>
      <c r="T3740" t="s">
        <v>256</v>
      </c>
      <c r="U3740" t="s">
        <v>46</v>
      </c>
      <c r="V3740">
        <v>173.82</v>
      </c>
    </row>
    <row r="3741" spans="1:22" x14ac:dyDescent="0.3">
      <c r="A3741" t="s">
        <v>5219</v>
      </c>
      <c r="B3741" s="2">
        <v>45919</v>
      </c>
      <c r="C3741" t="s">
        <v>792</v>
      </c>
      <c r="D3741" t="s">
        <v>49</v>
      </c>
      <c r="E3741" t="s">
        <v>119</v>
      </c>
      <c r="F3741">
        <v>3</v>
      </c>
      <c r="G3741">
        <v>0.1</v>
      </c>
      <c r="H3741">
        <v>24300</v>
      </c>
      <c r="I3741">
        <v>5090.63</v>
      </c>
      <c r="J3741" t="s">
        <v>51</v>
      </c>
      <c r="K3741" t="s">
        <v>40</v>
      </c>
      <c r="L3741">
        <v>8100</v>
      </c>
      <c r="M3741">
        <v>20.949094650205758</v>
      </c>
      <c r="N3741" t="s">
        <v>8</v>
      </c>
      <c r="O3741" t="s">
        <v>359</v>
      </c>
      <c r="P3741" t="s">
        <v>83</v>
      </c>
      <c r="Q3741" t="s">
        <v>74</v>
      </c>
      <c r="R3741" t="s">
        <v>237</v>
      </c>
      <c r="S3741" t="s">
        <v>238</v>
      </c>
      <c r="T3741" t="s">
        <v>793</v>
      </c>
      <c r="U3741" t="s">
        <v>34</v>
      </c>
      <c r="V3741">
        <v>1696.876666666667</v>
      </c>
    </row>
    <row r="3742" spans="1:22" x14ac:dyDescent="0.3">
      <c r="A3742" t="s">
        <v>5220</v>
      </c>
      <c r="B3742" s="2">
        <v>45877</v>
      </c>
      <c r="C3742" t="s">
        <v>632</v>
      </c>
      <c r="D3742" t="s">
        <v>70</v>
      </c>
      <c r="E3742" t="s">
        <v>71</v>
      </c>
      <c r="F3742">
        <v>2</v>
      </c>
      <c r="G3742">
        <v>0.05</v>
      </c>
      <c r="H3742">
        <v>34200</v>
      </c>
      <c r="I3742">
        <v>6059.55</v>
      </c>
      <c r="J3742" t="s">
        <v>65</v>
      </c>
      <c r="K3742" t="s">
        <v>40</v>
      </c>
      <c r="L3742">
        <v>17100</v>
      </c>
      <c r="M3742">
        <v>17.717982456140351</v>
      </c>
      <c r="N3742" t="s">
        <v>8</v>
      </c>
      <c r="O3742" t="s">
        <v>427</v>
      </c>
      <c r="P3742" t="s">
        <v>29</v>
      </c>
      <c r="Q3742" t="s">
        <v>42</v>
      </c>
      <c r="R3742" t="s">
        <v>110</v>
      </c>
      <c r="S3742" t="s">
        <v>111</v>
      </c>
      <c r="T3742" t="s">
        <v>633</v>
      </c>
      <c r="U3742" t="s">
        <v>100</v>
      </c>
      <c r="V3742">
        <v>3029.7750000000001</v>
      </c>
    </row>
    <row r="3743" spans="1:22" x14ac:dyDescent="0.3">
      <c r="A3743" t="s">
        <v>5221</v>
      </c>
      <c r="B3743" s="2">
        <v>46083</v>
      </c>
      <c r="C3743" t="s">
        <v>525</v>
      </c>
      <c r="D3743" t="s">
        <v>70</v>
      </c>
      <c r="E3743" t="s">
        <v>71</v>
      </c>
      <c r="F3743">
        <v>3</v>
      </c>
      <c r="G3743">
        <v>0.1</v>
      </c>
      <c r="H3743">
        <v>48600</v>
      </c>
      <c r="I3743">
        <v>6270.94</v>
      </c>
      <c r="J3743" t="s">
        <v>26</v>
      </c>
      <c r="K3743" t="s">
        <v>40</v>
      </c>
      <c r="L3743">
        <v>16200</v>
      </c>
      <c r="M3743">
        <v>12.90316872427983</v>
      </c>
      <c r="N3743" t="s">
        <v>8</v>
      </c>
      <c r="O3743" t="s">
        <v>526</v>
      </c>
      <c r="P3743" t="s">
        <v>29</v>
      </c>
      <c r="Q3743" t="s">
        <v>30</v>
      </c>
      <c r="R3743" t="s">
        <v>98</v>
      </c>
      <c r="S3743" t="s">
        <v>54</v>
      </c>
      <c r="T3743" t="s">
        <v>527</v>
      </c>
      <c r="U3743" t="s">
        <v>34</v>
      </c>
      <c r="V3743">
        <v>2090.313333333333</v>
      </c>
    </row>
    <row r="3744" spans="1:22" x14ac:dyDescent="0.3">
      <c r="A3744" t="s">
        <v>5222</v>
      </c>
      <c r="B3744" s="2">
        <v>45841</v>
      </c>
      <c r="C3744" t="s">
        <v>426</v>
      </c>
      <c r="D3744" t="s">
        <v>24</v>
      </c>
      <c r="E3744" t="s">
        <v>242</v>
      </c>
      <c r="F3744">
        <v>1</v>
      </c>
      <c r="G3744">
        <v>0.05</v>
      </c>
      <c r="H3744">
        <v>427.5</v>
      </c>
      <c r="I3744">
        <v>93.8</v>
      </c>
      <c r="J3744" t="s">
        <v>51</v>
      </c>
      <c r="K3744" t="s">
        <v>40</v>
      </c>
      <c r="L3744">
        <v>427.5</v>
      </c>
      <c r="M3744">
        <v>21.941520467836259</v>
      </c>
      <c r="N3744" t="s">
        <v>8</v>
      </c>
      <c r="O3744" t="s">
        <v>427</v>
      </c>
      <c r="P3744" t="s">
        <v>73</v>
      </c>
      <c r="Q3744" t="s">
        <v>30</v>
      </c>
      <c r="R3744" t="s">
        <v>60</v>
      </c>
      <c r="S3744" t="s">
        <v>61</v>
      </c>
      <c r="T3744" t="s">
        <v>428</v>
      </c>
      <c r="U3744" t="s">
        <v>34</v>
      </c>
      <c r="V3744">
        <v>93.8</v>
      </c>
    </row>
    <row r="3745" spans="1:22" x14ac:dyDescent="0.3">
      <c r="A3745" t="s">
        <v>5223</v>
      </c>
      <c r="B3745" s="2">
        <v>46220</v>
      </c>
      <c r="C3745" t="s">
        <v>1078</v>
      </c>
      <c r="D3745" t="s">
        <v>24</v>
      </c>
      <c r="E3745" t="s">
        <v>87</v>
      </c>
      <c r="F3745">
        <v>1</v>
      </c>
      <c r="G3745">
        <v>0.3</v>
      </c>
      <c r="H3745">
        <v>245</v>
      </c>
      <c r="I3745">
        <v>54.08</v>
      </c>
      <c r="J3745" t="s">
        <v>51</v>
      </c>
      <c r="K3745" t="s">
        <v>40</v>
      </c>
      <c r="L3745">
        <v>245</v>
      </c>
      <c r="M3745">
        <v>22.0734693877551</v>
      </c>
      <c r="N3745" t="s">
        <v>8</v>
      </c>
      <c r="O3745" t="s">
        <v>1079</v>
      </c>
      <c r="P3745" t="s">
        <v>83</v>
      </c>
      <c r="Q3745" t="s">
        <v>30</v>
      </c>
      <c r="R3745" t="s">
        <v>31</v>
      </c>
      <c r="S3745" t="s">
        <v>32</v>
      </c>
      <c r="T3745" t="s">
        <v>948</v>
      </c>
      <c r="U3745" t="s">
        <v>34</v>
      </c>
      <c r="V3745">
        <v>54.08</v>
      </c>
    </row>
    <row r="3746" spans="1:22" x14ac:dyDescent="0.3">
      <c r="A3746" t="s">
        <v>5224</v>
      </c>
      <c r="B3746" s="2">
        <v>46102</v>
      </c>
      <c r="C3746" t="s">
        <v>283</v>
      </c>
      <c r="D3746" t="s">
        <v>70</v>
      </c>
      <c r="E3746" t="s">
        <v>165</v>
      </c>
      <c r="F3746">
        <v>3</v>
      </c>
      <c r="G3746">
        <v>0.05</v>
      </c>
      <c r="H3746">
        <v>7125</v>
      </c>
      <c r="I3746">
        <v>2091.4299999999998</v>
      </c>
      <c r="J3746" t="s">
        <v>51</v>
      </c>
      <c r="K3746" t="s">
        <v>40</v>
      </c>
      <c r="L3746">
        <v>2375</v>
      </c>
      <c r="M3746">
        <v>29.35340350877193</v>
      </c>
      <c r="N3746" t="s">
        <v>8</v>
      </c>
      <c r="O3746" t="s">
        <v>284</v>
      </c>
      <c r="P3746" t="s">
        <v>29</v>
      </c>
      <c r="Q3746" t="s">
        <v>30</v>
      </c>
      <c r="R3746" t="s">
        <v>53</v>
      </c>
      <c r="S3746" t="s">
        <v>54</v>
      </c>
      <c r="T3746" t="s">
        <v>285</v>
      </c>
      <c r="U3746" t="s">
        <v>34</v>
      </c>
      <c r="V3746">
        <v>697.14333333333332</v>
      </c>
    </row>
    <row r="3747" spans="1:22" x14ac:dyDescent="0.3">
      <c r="A3747" t="s">
        <v>5225</v>
      </c>
      <c r="B3747" s="2">
        <v>45965</v>
      </c>
      <c r="C3747" t="s">
        <v>1270</v>
      </c>
      <c r="D3747" t="s">
        <v>24</v>
      </c>
      <c r="E3747" t="s">
        <v>242</v>
      </c>
      <c r="F3747">
        <v>4</v>
      </c>
      <c r="G3747">
        <v>0.1</v>
      </c>
      <c r="H3747">
        <v>1620</v>
      </c>
      <c r="I3747">
        <v>320.04000000000002</v>
      </c>
      <c r="J3747" t="s">
        <v>39</v>
      </c>
      <c r="K3747" t="s">
        <v>40</v>
      </c>
      <c r="L3747">
        <v>405</v>
      </c>
      <c r="M3747">
        <v>19.75555555555556</v>
      </c>
      <c r="N3747" t="s">
        <v>8</v>
      </c>
      <c r="O3747" t="s">
        <v>306</v>
      </c>
      <c r="P3747" t="s">
        <v>29</v>
      </c>
      <c r="Q3747" t="s">
        <v>74</v>
      </c>
      <c r="R3747" t="s">
        <v>493</v>
      </c>
      <c r="S3747" t="s">
        <v>494</v>
      </c>
      <c r="T3747" t="s">
        <v>1271</v>
      </c>
      <c r="U3747" t="s">
        <v>34</v>
      </c>
      <c r="V3747">
        <v>80.010000000000005</v>
      </c>
    </row>
    <row r="3748" spans="1:22" x14ac:dyDescent="0.3">
      <c r="A3748" t="s">
        <v>5226</v>
      </c>
      <c r="B3748" s="2">
        <v>45882</v>
      </c>
      <c r="C3748" t="s">
        <v>710</v>
      </c>
      <c r="D3748" t="s">
        <v>49</v>
      </c>
      <c r="E3748" t="s">
        <v>79</v>
      </c>
      <c r="F3748">
        <v>1</v>
      </c>
      <c r="G3748">
        <v>0.1</v>
      </c>
      <c r="H3748">
        <v>9900</v>
      </c>
      <c r="I3748">
        <v>1815.72</v>
      </c>
      <c r="J3748" t="s">
        <v>26</v>
      </c>
      <c r="K3748" t="s">
        <v>40</v>
      </c>
      <c r="L3748">
        <v>9900</v>
      </c>
      <c r="M3748">
        <v>18.34060606060606</v>
      </c>
      <c r="N3748" t="s">
        <v>8</v>
      </c>
      <c r="O3748" t="s">
        <v>711</v>
      </c>
      <c r="P3748" t="s">
        <v>29</v>
      </c>
      <c r="Q3748" t="s">
        <v>30</v>
      </c>
      <c r="R3748" t="s">
        <v>53</v>
      </c>
      <c r="S3748" t="s">
        <v>54</v>
      </c>
      <c r="T3748" t="s">
        <v>712</v>
      </c>
      <c r="U3748" t="s">
        <v>34</v>
      </c>
      <c r="V3748">
        <v>1815.72</v>
      </c>
    </row>
    <row r="3749" spans="1:22" x14ac:dyDescent="0.3">
      <c r="A3749" t="s">
        <v>5227</v>
      </c>
      <c r="B3749" s="2">
        <v>46103</v>
      </c>
      <c r="C3749" t="s">
        <v>522</v>
      </c>
      <c r="D3749" t="s">
        <v>70</v>
      </c>
      <c r="E3749" t="s">
        <v>71</v>
      </c>
      <c r="F3749">
        <v>1</v>
      </c>
      <c r="G3749">
        <v>0.2</v>
      </c>
      <c r="H3749">
        <v>14400</v>
      </c>
      <c r="I3749">
        <v>874.27</v>
      </c>
      <c r="J3749" t="s">
        <v>65</v>
      </c>
      <c r="K3749" t="s">
        <v>40</v>
      </c>
      <c r="L3749">
        <v>14400</v>
      </c>
      <c r="M3749">
        <v>6.0713194444444447</v>
      </c>
      <c r="N3749" t="s">
        <v>8</v>
      </c>
      <c r="O3749" t="s">
        <v>523</v>
      </c>
      <c r="P3749" t="s">
        <v>73</v>
      </c>
      <c r="Q3749" t="s">
        <v>30</v>
      </c>
      <c r="R3749" t="s">
        <v>98</v>
      </c>
      <c r="S3749" t="s">
        <v>54</v>
      </c>
      <c r="T3749" t="s">
        <v>62</v>
      </c>
      <c r="U3749" t="s">
        <v>46</v>
      </c>
      <c r="V3749">
        <v>874.27</v>
      </c>
    </row>
    <row r="3750" spans="1:22" x14ac:dyDescent="0.3">
      <c r="A3750" t="s">
        <v>5228</v>
      </c>
      <c r="B3750" s="2">
        <v>46187</v>
      </c>
      <c r="C3750" t="s">
        <v>1391</v>
      </c>
      <c r="D3750" t="s">
        <v>24</v>
      </c>
      <c r="E3750" t="s">
        <v>25</v>
      </c>
      <c r="F3750">
        <v>3</v>
      </c>
      <c r="G3750">
        <v>0</v>
      </c>
      <c r="H3750">
        <v>42000</v>
      </c>
      <c r="I3750">
        <v>-15301.79</v>
      </c>
      <c r="J3750" t="s">
        <v>65</v>
      </c>
      <c r="K3750" t="s">
        <v>80</v>
      </c>
      <c r="L3750">
        <v>14000</v>
      </c>
      <c r="M3750">
        <v>-36.432833333333328</v>
      </c>
      <c r="N3750" t="s">
        <v>81</v>
      </c>
      <c r="O3750" t="s">
        <v>844</v>
      </c>
      <c r="P3750" t="s">
        <v>29</v>
      </c>
      <c r="Q3750" t="s">
        <v>30</v>
      </c>
      <c r="R3750" t="s">
        <v>60</v>
      </c>
      <c r="S3750" t="s">
        <v>61</v>
      </c>
      <c r="T3750" t="s">
        <v>1392</v>
      </c>
      <c r="U3750" t="s">
        <v>34</v>
      </c>
      <c r="V3750">
        <v>-5100.5966666666673</v>
      </c>
    </row>
    <row r="3751" spans="1:22" x14ac:dyDescent="0.3">
      <c r="A3751" t="s">
        <v>5229</v>
      </c>
      <c r="B3751" s="2">
        <v>46208</v>
      </c>
      <c r="C3751" t="s">
        <v>393</v>
      </c>
      <c r="D3751" t="s">
        <v>37</v>
      </c>
      <c r="E3751" t="s">
        <v>310</v>
      </c>
      <c r="F3751">
        <v>1</v>
      </c>
      <c r="G3751">
        <v>0.2</v>
      </c>
      <c r="H3751">
        <v>1760</v>
      </c>
      <c r="I3751">
        <v>473.61</v>
      </c>
      <c r="J3751" t="s">
        <v>26</v>
      </c>
      <c r="K3751" t="s">
        <v>40</v>
      </c>
      <c r="L3751">
        <v>1760</v>
      </c>
      <c r="M3751">
        <v>26.909659090909091</v>
      </c>
      <c r="N3751" t="s">
        <v>8</v>
      </c>
      <c r="O3751" t="s">
        <v>394</v>
      </c>
      <c r="P3751" t="s">
        <v>73</v>
      </c>
      <c r="Q3751" t="s">
        <v>131</v>
      </c>
      <c r="R3751" t="s">
        <v>200</v>
      </c>
      <c r="S3751" t="s">
        <v>201</v>
      </c>
      <c r="T3751" t="s">
        <v>395</v>
      </c>
      <c r="U3751" t="s">
        <v>46</v>
      </c>
      <c r="V3751">
        <v>473.61</v>
      </c>
    </row>
    <row r="3752" spans="1:22" x14ac:dyDescent="0.3">
      <c r="A3752" t="s">
        <v>5230</v>
      </c>
      <c r="B3752" s="2">
        <v>46145</v>
      </c>
      <c r="C3752" t="s">
        <v>807</v>
      </c>
      <c r="D3752" t="s">
        <v>70</v>
      </c>
      <c r="E3752" t="s">
        <v>108</v>
      </c>
      <c r="F3752">
        <v>2</v>
      </c>
      <c r="G3752">
        <v>0</v>
      </c>
      <c r="H3752">
        <v>9000</v>
      </c>
      <c r="I3752">
        <v>3000</v>
      </c>
      <c r="J3752" t="s">
        <v>39</v>
      </c>
      <c r="K3752" t="s">
        <v>40</v>
      </c>
      <c r="L3752">
        <v>4500</v>
      </c>
      <c r="M3752">
        <v>33.333333333333329</v>
      </c>
      <c r="N3752" t="s">
        <v>8</v>
      </c>
      <c r="O3752" t="s">
        <v>545</v>
      </c>
      <c r="P3752" t="s">
        <v>73</v>
      </c>
      <c r="Q3752" t="s">
        <v>30</v>
      </c>
      <c r="R3752" t="s">
        <v>31</v>
      </c>
      <c r="S3752" t="s">
        <v>32</v>
      </c>
      <c r="T3752" t="s">
        <v>808</v>
      </c>
      <c r="U3752" t="s">
        <v>105</v>
      </c>
      <c r="V3752">
        <v>1500</v>
      </c>
    </row>
    <row r="3753" spans="1:22" x14ac:dyDescent="0.3">
      <c r="A3753" t="s">
        <v>5231</v>
      </c>
      <c r="B3753" s="2">
        <v>46024</v>
      </c>
      <c r="C3753" t="s">
        <v>3640</v>
      </c>
      <c r="D3753" t="s">
        <v>70</v>
      </c>
      <c r="E3753" t="s">
        <v>71</v>
      </c>
      <c r="F3753">
        <v>3</v>
      </c>
      <c r="G3753">
        <v>0.15</v>
      </c>
      <c r="H3753">
        <v>45900</v>
      </c>
      <c r="I3753">
        <v>6285.01</v>
      </c>
      <c r="J3753" t="s">
        <v>51</v>
      </c>
      <c r="K3753" t="s">
        <v>40</v>
      </c>
      <c r="L3753">
        <v>15300</v>
      </c>
      <c r="M3753">
        <v>13.692832244008709</v>
      </c>
      <c r="N3753" t="s">
        <v>8</v>
      </c>
      <c r="O3753" t="s">
        <v>692</v>
      </c>
      <c r="P3753" t="s">
        <v>73</v>
      </c>
      <c r="Q3753" t="s">
        <v>42</v>
      </c>
      <c r="R3753" t="s">
        <v>214</v>
      </c>
      <c r="S3753" t="s">
        <v>111</v>
      </c>
      <c r="T3753" t="s">
        <v>62</v>
      </c>
      <c r="U3753" t="s">
        <v>46</v>
      </c>
      <c r="V3753">
        <v>2095.003333333334</v>
      </c>
    </row>
    <row r="3754" spans="1:22" x14ac:dyDescent="0.3">
      <c r="A3754" t="s">
        <v>5232</v>
      </c>
      <c r="B3754" s="2">
        <v>45904</v>
      </c>
      <c r="C3754" t="s">
        <v>156</v>
      </c>
      <c r="D3754" t="s">
        <v>24</v>
      </c>
      <c r="E3754" t="s">
        <v>92</v>
      </c>
      <c r="F3754">
        <v>2</v>
      </c>
      <c r="G3754">
        <v>0.1</v>
      </c>
      <c r="H3754">
        <v>1620</v>
      </c>
      <c r="I3754">
        <v>416.77</v>
      </c>
      <c r="J3754" t="s">
        <v>51</v>
      </c>
      <c r="K3754" t="s">
        <v>40</v>
      </c>
      <c r="L3754">
        <v>810</v>
      </c>
      <c r="M3754">
        <v>25.726543209876539</v>
      </c>
      <c r="N3754" t="s">
        <v>8</v>
      </c>
      <c r="O3754" t="s">
        <v>157</v>
      </c>
      <c r="P3754" t="s">
        <v>83</v>
      </c>
      <c r="Q3754" t="s">
        <v>30</v>
      </c>
      <c r="R3754" t="s">
        <v>31</v>
      </c>
      <c r="S3754" t="s">
        <v>32</v>
      </c>
      <c r="T3754" t="s">
        <v>158</v>
      </c>
      <c r="U3754" t="s">
        <v>34</v>
      </c>
      <c r="V3754">
        <v>208.38499999999999</v>
      </c>
    </row>
    <row r="3755" spans="1:22" x14ac:dyDescent="0.3">
      <c r="A3755" t="s">
        <v>5233</v>
      </c>
      <c r="B3755" s="2">
        <v>45977</v>
      </c>
      <c r="C3755" t="s">
        <v>1799</v>
      </c>
      <c r="D3755" t="s">
        <v>70</v>
      </c>
      <c r="E3755" t="s">
        <v>165</v>
      </c>
      <c r="F3755">
        <v>1</v>
      </c>
      <c r="G3755">
        <v>0.1</v>
      </c>
      <c r="H3755">
        <v>2250</v>
      </c>
      <c r="I3755">
        <v>651.64</v>
      </c>
      <c r="J3755" t="s">
        <v>26</v>
      </c>
      <c r="K3755" t="s">
        <v>40</v>
      </c>
      <c r="L3755">
        <v>2250</v>
      </c>
      <c r="M3755">
        <v>28.96177777777778</v>
      </c>
      <c r="N3755" t="s">
        <v>8</v>
      </c>
      <c r="O3755" t="s">
        <v>1800</v>
      </c>
      <c r="P3755" t="s">
        <v>73</v>
      </c>
      <c r="Q3755" t="s">
        <v>30</v>
      </c>
      <c r="R3755" t="s">
        <v>98</v>
      </c>
      <c r="S3755" t="s">
        <v>54</v>
      </c>
      <c r="T3755" t="s">
        <v>1801</v>
      </c>
      <c r="U3755" t="s">
        <v>100</v>
      </c>
      <c r="V3755">
        <v>651.64</v>
      </c>
    </row>
    <row r="3756" spans="1:22" x14ac:dyDescent="0.3">
      <c r="A3756" t="s">
        <v>5234</v>
      </c>
      <c r="B3756" s="2">
        <v>45961</v>
      </c>
      <c r="C3756" t="s">
        <v>421</v>
      </c>
      <c r="D3756" t="s">
        <v>49</v>
      </c>
      <c r="E3756" t="s">
        <v>119</v>
      </c>
      <c r="F3756">
        <v>1</v>
      </c>
      <c r="G3756">
        <v>0.15</v>
      </c>
      <c r="H3756">
        <v>7650</v>
      </c>
      <c r="I3756">
        <v>1153.6099999999999</v>
      </c>
      <c r="J3756" t="s">
        <v>26</v>
      </c>
      <c r="K3756" t="s">
        <v>40</v>
      </c>
      <c r="L3756">
        <v>7650</v>
      </c>
      <c r="M3756">
        <v>15.079869281045751</v>
      </c>
      <c r="N3756" t="s">
        <v>8</v>
      </c>
      <c r="O3756" t="s">
        <v>422</v>
      </c>
      <c r="P3756" t="s">
        <v>73</v>
      </c>
      <c r="Q3756" t="s">
        <v>30</v>
      </c>
      <c r="R3756" t="s">
        <v>98</v>
      </c>
      <c r="S3756" t="s">
        <v>54</v>
      </c>
      <c r="T3756" t="s">
        <v>423</v>
      </c>
      <c r="U3756" t="s">
        <v>34</v>
      </c>
      <c r="V3756">
        <v>1153.6099999999999</v>
      </c>
    </row>
    <row r="3757" spans="1:22" x14ac:dyDescent="0.3">
      <c r="A3757" t="s">
        <v>5235</v>
      </c>
      <c r="B3757" s="2">
        <v>46260</v>
      </c>
      <c r="C3757" t="s">
        <v>3131</v>
      </c>
      <c r="D3757" t="s">
        <v>49</v>
      </c>
      <c r="E3757" t="s">
        <v>79</v>
      </c>
      <c r="F3757">
        <v>2</v>
      </c>
      <c r="G3757">
        <v>0</v>
      </c>
      <c r="H3757">
        <v>22000</v>
      </c>
      <c r="I3757">
        <v>5200</v>
      </c>
      <c r="J3757" t="s">
        <v>65</v>
      </c>
      <c r="K3757" t="s">
        <v>40</v>
      </c>
      <c r="L3757">
        <v>11000</v>
      </c>
      <c r="M3757">
        <v>23.63636363636364</v>
      </c>
      <c r="N3757" t="s">
        <v>8</v>
      </c>
      <c r="O3757" t="s">
        <v>1466</v>
      </c>
      <c r="P3757" t="s">
        <v>29</v>
      </c>
      <c r="Q3757" t="s">
        <v>42</v>
      </c>
      <c r="R3757" t="s">
        <v>43</v>
      </c>
      <c r="S3757" t="s">
        <v>44</v>
      </c>
      <c r="T3757" t="s">
        <v>3132</v>
      </c>
      <c r="U3757" t="s">
        <v>46</v>
      </c>
      <c r="V3757">
        <v>2600</v>
      </c>
    </row>
    <row r="3758" spans="1:22" x14ac:dyDescent="0.3">
      <c r="A3758" t="s">
        <v>5236</v>
      </c>
      <c r="B3758" s="2">
        <v>46027</v>
      </c>
      <c r="C3758" t="s">
        <v>1648</v>
      </c>
      <c r="D3758" t="s">
        <v>70</v>
      </c>
      <c r="E3758" t="s">
        <v>129</v>
      </c>
      <c r="F3758">
        <v>1</v>
      </c>
      <c r="G3758">
        <v>0.1</v>
      </c>
      <c r="H3758">
        <v>49500</v>
      </c>
      <c r="I3758">
        <v>-22483.68</v>
      </c>
      <c r="J3758" t="s">
        <v>39</v>
      </c>
      <c r="K3758" t="s">
        <v>80</v>
      </c>
      <c r="L3758">
        <v>49500</v>
      </c>
      <c r="M3758">
        <v>-45.421575757575759</v>
      </c>
      <c r="N3758" t="s">
        <v>81</v>
      </c>
      <c r="O3758" t="s">
        <v>1649</v>
      </c>
      <c r="P3758" t="s">
        <v>73</v>
      </c>
      <c r="Q3758" t="s">
        <v>30</v>
      </c>
      <c r="R3758" t="s">
        <v>98</v>
      </c>
      <c r="S3758" t="s">
        <v>54</v>
      </c>
      <c r="T3758" t="s">
        <v>1650</v>
      </c>
      <c r="U3758" t="s">
        <v>34</v>
      </c>
      <c r="V3758">
        <v>-22483.68</v>
      </c>
    </row>
    <row r="3759" spans="1:22" x14ac:dyDescent="0.3">
      <c r="A3759" t="s">
        <v>5237</v>
      </c>
      <c r="B3759" s="2">
        <v>45863</v>
      </c>
      <c r="C3759" t="s">
        <v>385</v>
      </c>
      <c r="D3759" t="s">
        <v>70</v>
      </c>
      <c r="E3759" t="s">
        <v>108</v>
      </c>
      <c r="F3759">
        <v>1</v>
      </c>
      <c r="G3759">
        <v>0.05</v>
      </c>
      <c r="H3759">
        <v>4275</v>
      </c>
      <c r="I3759">
        <v>1360.21</v>
      </c>
      <c r="J3759" t="s">
        <v>26</v>
      </c>
      <c r="K3759" t="s">
        <v>27</v>
      </c>
      <c r="L3759">
        <v>4275</v>
      </c>
      <c r="M3759">
        <v>31.817777777777781</v>
      </c>
      <c r="N3759" t="s">
        <v>8</v>
      </c>
      <c r="O3759" t="s">
        <v>386</v>
      </c>
      <c r="P3759" t="s">
        <v>29</v>
      </c>
      <c r="Q3759" t="s">
        <v>30</v>
      </c>
      <c r="R3759" t="s">
        <v>60</v>
      </c>
      <c r="S3759" t="s">
        <v>61</v>
      </c>
      <c r="T3759" t="s">
        <v>387</v>
      </c>
      <c r="U3759" t="s">
        <v>100</v>
      </c>
      <c r="V3759">
        <v>1360.21</v>
      </c>
    </row>
    <row r="3760" spans="1:22" x14ac:dyDescent="0.3">
      <c r="A3760" t="s">
        <v>5238</v>
      </c>
      <c r="B3760" s="2">
        <v>46227</v>
      </c>
      <c r="C3760" t="s">
        <v>2500</v>
      </c>
      <c r="D3760" t="s">
        <v>24</v>
      </c>
      <c r="E3760" t="s">
        <v>25</v>
      </c>
      <c r="F3760">
        <v>3</v>
      </c>
      <c r="G3760">
        <v>0.2</v>
      </c>
      <c r="H3760">
        <v>33600</v>
      </c>
      <c r="I3760">
        <v>3017.3</v>
      </c>
      <c r="J3760" t="s">
        <v>26</v>
      </c>
      <c r="K3760" t="s">
        <v>40</v>
      </c>
      <c r="L3760">
        <v>11200</v>
      </c>
      <c r="M3760">
        <v>8.9800595238095244</v>
      </c>
      <c r="N3760" t="s">
        <v>8</v>
      </c>
      <c r="O3760" t="s">
        <v>1169</v>
      </c>
      <c r="P3760" t="s">
        <v>29</v>
      </c>
      <c r="Q3760" t="s">
        <v>131</v>
      </c>
      <c r="R3760" t="s">
        <v>289</v>
      </c>
      <c r="S3760" t="s">
        <v>290</v>
      </c>
      <c r="T3760" t="s">
        <v>2501</v>
      </c>
      <c r="U3760" t="s">
        <v>105</v>
      </c>
      <c r="V3760">
        <v>1005.766666666667</v>
      </c>
    </row>
    <row r="3761" spans="1:22" x14ac:dyDescent="0.3">
      <c r="A3761" t="s">
        <v>5239</v>
      </c>
      <c r="B3761" s="2">
        <v>45939</v>
      </c>
      <c r="C3761" t="s">
        <v>4485</v>
      </c>
      <c r="D3761" t="s">
        <v>24</v>
      </c>
      <c r="E3761" t="s">
        <v>242</v>
      </c>
      <c r="F3761">
        <v>1</v>
      </c>
      <c r="G3761">
        <v>0.15</v>
      </c>
      <c r="H3761">
        <v>382.5</v>
      </c>
      <c r="I3761">
        <v>61.89</v>
      </c>
      <c r="J3761" t="s">
        <v>65</v>
      </c>
      <c r="K3761" t="s">
        <v>40</v>
      </c>
      <c r="L3761">
        <v>382.5</v>
      </c>
      <c r="M3761">
        <v>16.180392156862741</v>
      </c>
      <c r="N3761" t="s">
        <v>8</v>
      </c>
      <c r="O3761" t="s">
        <v>4486</v>
      </c>
      <c r="P3761" t="s">
        <v>83</v>
      </c>
      <c r="Q3761" t="s">
        <v>131</v>
      </c>
      <c r="R3761" t="s">
        <v>132</v>
      </c>
      <c r="S3761" t="s">
        <v>133</v>
      </c>
      <c r="T3761" t="s">
        <v>1850</v>
      </c>
      <c r="U3761" t="s">
        <v>34</v>
      </c>
      <c r="V3761">
        <v>61.89</v>
      </c>
    </row>
    <row r="3762" spans="1:22" x14ac:dyDescent="0.3">
      <c r="A3762" t="s">
        <v>5240</v>
      </c>
      <c r="B3762" s="2">
        <v>45873</v>
      </c>
      <c r="C3762" t="s">
        <v>1017</v>
      </c>
      <c r="D3762" t="s">
        <v>49</v>
      </c>
      <c r="E3762" t="s">
        <v>58</v>
      </c>
      <c r="F3762">
        <v>2</v>
      </c>
      <c r="G3762">
        <v>0.05</v>
      </c>
      <c r="H3762">
        <v>28500</v>
      </c>
      <c r="I3762">
        <v>5868.99</v>
      </c>
      <c r="J3762" t="s">
        <v>39</v>
      </c>
      <c r="K3762" t="s">
        <v>40</v>
      </c>
      <c r="L3762">
        <v>14250</v>
      </c>
      <c r="M3762">
        <v>20.592947368421051</v>
      </c>
      <c r="N3762" t="s">
        <v>8</v>
      </c>
      <c r="O3762" t="s">
        <v>1018</v>
      </c>
      <c r="P3762" t="s">
        <v>83</v>
      </c>
      <c r="Q3762" t="s">
        <v>30</v>
      </c>
      <c r="R3762" t="s">
        <v>98</v>
      </c>
      <c r="S3762" t="s">
        <v>54</v>
      </c>
      <c r="T3762" t="s">
        <v>1019</v>
      </c>
      <c r="U3762" t="s">
        <v>46</v>
      </c>
      <c r="V3762">
        <v>2934.4949999999999</v>
      </c>
    </row>
    <row r="3763" spans="1:22" x14ac:dyDescent="0.3">
      <c r="A3763" t="s">
        <v>5241</v>
      </c>
      <c r="B3763" s="2">
        <v>46016</v>
      </c>
      <c r="C3763" t="s">
        <v>1455</v>
      </c>
      <c r="D3763" t="s">
        <v>24</v>
      </c>
      <c r="E3763" t="s">
        <v>25</v>
      </c>
      <c r="F3763">
        <v>10</v>
      </c>
      <c r="G3763">
        <v>0.1</v>
      </c>
      <c r="H3763">
        <v>126000</v>
      </c>
      <c r="I3763">
        <v>18150.560000000001</v>
      </c>
      <c r="J3763" t="s">
        <v>65</v>
      </c>
      <c r="K3763" t="s">
        <v>40</v>
      </c>
      <c r="L3763">
        <v>12600</v>
      </c>
      <c r="M3763">
        <v>14.405206349206351</v>
      </c>
      <c r="N3763" t="s">
        <v>8</v>
      </c>
      <c r="O3763" t="s">
        <v>1009</v>
      </c>
      <c r="P3763" t="s">
        <v>83</v>
      </c>
      <c r="Q3763" t="s">
        <v>74</v>
      </c>
      <c r="R3763" t="s">
        <v>493</v>
      </c>
      <c r="S3763" t="s">
        <v>494</v>
      </c>
      <c r="T3763" t="s">
        <v>273</v>
      </c>
      <c r="U3763" t="s">
        <v>46</v>
      </c>
      <c r="V3763">
        <v>1815.056</v>
      </c>
    </row>
    <row r="3764" spans="1:22" x14ac:dyDescent="0.3">
      <c r="A3764" t="s">
        <v>5242</v>
      </c>
      <c r="B3764" s="2">
        <v>45982</v>
      </c>
      <c r="C3764" t="s">
        <v>644</v>
      </c>
      <c r="D3764" t="s">
        <v>37</v>
      </c>
      <c r="E3764" t="s">
        <v>310</v>
      </c>
      <c r="F3764">
        <v>1</v>
      </c>
      <c r="G3764">
        <v>0.1</v>
      </c>
      <c r="H3764">
        <v>1980</v>
      </c>
      <c r="I3764">
        <v>598.84</v>
      </c>
      <c r="J3764" t="s">
        <v>39</v>
      </c>
      <c r="K3764" t="s">
        <v>40</v>
      </c>
      <c r="L3764">
        <v>1980</v>
      </c>
      <c r="M3764">
        <v>30.244444444444451</v>
      </c>
      <c r="N3764" t="s">
        <v>8</v>
      </c>
      <c r="O3764" t="s">
        <v>213</v>
      </c>
      <c r="P3764" t="s">
        <v>29</v>
      </c>
      <c r="Q3764" t="s">
        <v>30</v>
      </c>
      <c r="R3764" t="s">
        <v>31</v>
      </c>
      <c r="S3764" t="s">
        <v>32</v>
      </c>
      <c r="T3764" t="s">
        <v>645</v>
      </c>
      <c r="U3764" t="s">
        <v>46</v>
      </c>
      <c r="V3764">
        <v>598.84</v>
      </c>
    </row>
    <row r="3765" spans="1:22" x14ac:dyDescent="0.3">
      <c r="A3765" t="s">
        <v>5243</v>
      </c>
      <c r="B3765" s="2">
        <v>46195</v>
      </c>
      <c r="C3765" t="s">
        <v>1849</v>
      </c>
      <c r="D3765" t="s">
        <v>37</v>
      </c>
      <c r="E3765" t="s">
        <v>38</v>
      </c>
      <c r="F3765">
        <v>1</v>
      </c>
      <c r="G3765">
        <v>0</v>
      </c>
      <c r="H3765">
        <v>1800</v>
      </c>
      <c r="I3765">
        <v>650</v>
      </c>
      <c r="J3765" t="s">
        <v>39</v>
      </c>
      <c r="K3765" t="s">
        <v>40</v>
      </c>
      <c r="L3765">
        <v>1800</v>
      </c>
      <c r="M3765">
        <v>36.111111111111107</v>
      </c>
      <c r="N3765" t="s">
        <v>8</v>
      </c>
      <c r="O3765" t="s">
        <v>171</v>
      </c>
      <c r="P3765" t="s">
        <v>83</v>
      </c>
      <c r="Q3765" t="s">
        <v>131</v>
      </c>
      <c r="R3765" t="s">
        <v>289</v>
      </c>
      <c r="S3765" t="s">
        <v>290</v>
      </c>
      <c r="T3765" t="s">
        <v>1850</v>
      </c>
      <c r="U3765" t="s">
        <v>34</v>
      </c>
      <c r="V3765">
        <v>650</v>
      </c>
    </row>
    <row r="3766" spans="1:22" x14ac:dyDescent="0.3">
      <c r="A3766" t="s">
        <v>5244</v>
      </c>
      <c r="B3766" s="2">
        <v>46215</v>
      </c>
      <c r="C3766" t="s">
        <v>2182</v>
      </c>
      <c r="D3766" t="s">
        <v>37</v>
      </c>
      <c r="E3766" t="s">
        <v>170</v>
      </c>
      <c r="F3766">
        <v>2</v>
      </c>
      <c r="G3766">
        <v>0.05</v>
      </c>
      <c r="H3766">
        <v>2660</v>
      </c>
      <c r="I3766">
        <v>918.68</v>
      </c>
      <c r="J3766" t="s">
        <v>26</v>
      </c>
      <c r="K3766" t="s">
        <v>40</v>
      </c>
      <c r="L3766">
        <v>1330</v>
      </c>
      <c r="M3766">
        <v>34.536842105263148</v>
      </c>
      <c r="N3766" t="s">
        <v>8</v>
      </c>
      <c r="O3766" t="s">
        <v>2183</v>
      </c>
      <c r="P3766" t="s">
        <v>73</v>
      </c>
      <c r="Q3766" t="s">
        <v>30</v>
      </c>
      <c r="R3766" t="s">
        <v>98</v>
      </c>
      <c r="S3766" t="s">
        <v>54</v>
      </c>
      <c r="T3766" t="s">
        <v>2184</v>
      </c>
      <c r="U3766" t="s">
        <v>105</v>
      </c>
      <c r="V3766">
        <v>459.34</v>
      </c>
    </row>
    <row r="3767" spans="1:22" x14ac:dyDescent="0.3">
      <c r="A3767" t="s">
        <v>5245</v>
      </c>
      <c r="B3767" s="2">
        <v>46018</v>
      </c>
      <c r="C3767" t="s">
        <v>430</v>
      </c>
      <c r="D3767" t="s">
        <v>37</v>
      </c>
      <c r="E3767" t="s">
        <v>38</v>
      </c>
      <c r="F3767">
        <v>3</v>
      </c>
      <c r="G3767">
        <v>0</v>
      </c>
      <c r="H3767">
        <v>5400</v>
      </c>
      <c r="I3767">
        <v>1950</v>
      </c>
      <c r="J3767" t="s">
        <v>51</v>
      </c>
      <c r="K3767" t="s">
        <v>40</v>
      </c>
      <c r="L3767">
        <v>1800</v>
      </c>
      <c r="M3767">
        <v>36.111111111111107</v>
      </c>
      <c r="N3767" t="s">
        <v>8</v>
      </c>
      <c r="O3767" t="s">
        <v>431</v>
      </c>
      <c r="P3767" t="s">
        <v>29</v>
      </c>
      <c r="Q3767" t="s">
        <v>30</v>
      </c>
      <c r="R3767" t="s">
        <v>53</v>
      </c>
      <c r="S3767" t="s">
        <v>54</v>
      </c>
      <c r="T3767" t="s">
        <v>256</v>
      </c>
      <c r="U3767" t="s">
        <v>46</v>
      </c>
      <c r="V3767">
        <v>650</v>
      </c>
    </row>
    <row r="3768" spans="1:22" x14ac:dyDescent="0.3">
      <c r="A3768" t="s">
        <v>5246</v>
      </c>
      <c r="B3768" s="2">
        <v>45979</v>
      </c>
      <c r="C3768" t="s">
        <v>1830</v>
      </c>
      <c r="D3768" t="s">
        <v>70</v>
      </c>
      <c r="E3768" t="s">
        <v>165</v>
      </c>
      <c r="F3768">
        <v>3</v>
      </c>
      <c r="G3768">
        <v>0.3</v>
      </c>
      <c r="H3768">
        <v>5250</v>
      </c>
      <c r="I3768">
        <v>1026.19</v>
      </c>
      <c r="J3768" t="s">
        <v>51</v>
      </c>
      <c r="K3768" t="s">
        <v>40</v>
      </c>
      <c r="L3768">
        <v>1750</v>
      </c>
      <c r="M3768">
        <v>19.546476190476191</v>
      </c>
      <c r="N3768" t="s">
        <v>8</v>
      </c>
      <c r="O3768" t="s">
        <v>1831</v>
      </c>
      <c r="P3768" t="s">
        <v>29</v>
      </c>
      <c r="Q3768" t="s">
        <v>30</v>
      </c>
      <c r="R3768" t="s">
        <v>60</v>
      </c>
      <c r="S3768" t="s">
        <v>61</v>
      </c>
      <c r="T3768" t="s">
        <v>1832</v>
      </c>
      <c r="U3768" t="s">
        <v>34</v>
      </c>
      <c r="V3768">
        <v>342.06333333333328</v>
      </c>
    </row>
    <row r="3769" spans="1:22" x14ac:dyDescent="0.3">
      <c r="A3769" t="s">
        <v>5247</v>
      </c>
      <c r="B3769" s="2">
        <v>45866</v>
      </c>
      <c r="C3769" t="s">
        <v>1116</v>
      </c>
      <c r="D3769" t="s">
        <v>49</v>
      </c>
      <c r="E3769" t="s">
        <v>58</v>
      </c>
      <c r="F3769">
        <v>3</v>
      </c>
      <c r="G3769">
        <v>0.05</v>
      </c>
      <c r="H3769">
        <v>42750</v>
      </c>
      <c r="I3769">
        <v>8754.08</v>
      </c>
      <c r="J3769" t="s">
        <v>39</v>
      </c>
      <c r="K3769" t="s">
        <v>40</v>
      </c>
      <c r="L3769">
        <v>14250</v>
      </c>
      <c r="M3769">
        <v>20.477380116959061</v>
      </c>
      <c r="N3769" t="s">
        <v>8</v>
      </c>
      <c r="O3769" t="s">
        <v>1117</v>
      </c>
      <c r="P3769" t="s">
        <v>29</v>
      </c>
      <c r="Q3769" t="s">
        <v>30</v>
      </c>
      <c r="R3769" t="s">
        <v>98</v>
      </c>
      <c r="S3769" t="s">
        <v>54</v>
      </c>
      <c r="T3769" t="s">
        <v>1118</v>
      </c>
      <c r="U3769" t="s">
        <v>34</v>
      </c>
      <c r="V3769">
        <v>2918.0266666666671</v>
      </c>
    </row>
    <row r="3770" spans="1:22" x14ac:dyDescent="0.3">
      <c r="A3770" t="s">
        <v>5248</v>
      </c>
      <c r="B3770" s="2">
        <v>45981</v>
      </c>
      <c r="C3770" t="s">
        <v>3313</v>
      </c>
      <c r="D3770" t="s">
        <v>37</v>
      </c>
      <c r="E3770" t="s">
        <v>190</v>
      </c>
      <c r="F3770">
        <v>2</v>
      </c>
      <c r="G3770">
        <v>0.15</v>
      </c>
      <c r="H3770">
        <v>7140</v>
      </c>
      <c r="I3770">
        <v>1830.18</v>
      </c>
      <c r="J3770" t="s">
        <v>51</v>
      </c>
      <c r="K3770" t="s">
        <v>40</v>
      </c>
      <c r="L3770">
        <v>3570</v>
      </c>
      <c r="M3770">
        <v>25.632773109243701</v>
      </c>
      <c r="N3770" t="s">
        <v>8</v>
      </c>
      <c r="O3770" t="s">
        <v>3314</v>
      </c>
      <c r="P3770" t="s">
        <v>29</v>
      </c>
      <c r="Q3770" t="s">
        <v>42</v>
      </c>
      <c r="R3770" t="s">
        <v>121</v>
      </c>
      <c r="S3770" t="s">
        <v>44</v>
      </c>
      <c r="T3770" t="s">
        <v>3315</v>
      </c>
      <c r="U3770" t="s">
        <v>105</v>
      </c>
      <c r="V3770">
        <v>915.09</v>
      </c>
    </row>
    <row r="3771" spans="1:22" x14ac:dyDescent="0.3">
      <c r="A3771" t="s">
        <v>5249</v>
      </c>
      <c r="B3771" s="2">
        <v>45931</v>
      </c>
      <c r="C3771" t="s">
        <v>258</v>
      </c>
      <c r="D3771" t="s">
        <v>49</v>
      </c>
      <c r="E3771" t="s">
        <v>50</v>
      </c>
      <c r="F3771">
        <v>3</v>
      </c>
      <c r="G3771">
        <v>0.1</v>
      </c>
      <c r="H3771">
        <v>35100</v>
      </c>
      <c r="I3771">
        <v>7441.52</v>
      </c>
      <c r="J3771" t="s">
        <v>51</v>
      </c>
      <c r="K3771" t="s">
        <v>40</v>
      </c>
      <c r="L3771">
        <v>11700</v>
      </c>
      <c r="M3771">
        <v>21.20091168091168</v>
      </c>
      <c r="N3771" t="s">
        <v>8</v>
      </c>
      <c r="O3771" t="s">
        <v>259</v>
      </c>
      <c r="P3771" t="s">
        <v>73</v>
      </c>
      <c r="Q3771" t="s">
        <v>30</v>
      </c>
      <c r="R3771" t="s">
        <v>60</v>
      </c>
      <c r="S3771" t="s">
        <v>61</v>
      </c>
      <c r="T3771" t="s">
        <v>260</v>
      </c>
      <c r="U3771" t="s">
        <v>105</v>
      </c>
      <c r="V3771">
        <v>2480.5066666666671</v>
      </c>
    </row>
    <row r="3772" spans="1:22" x14ac:dyDescent="0.3">
      <c r="A3772" t="s">
        <v>5250</v>
      </c>
      <c r="B3772" s="2">
        <v>45939</v>
      </c>
      <c r="C3772" t="s">
        <v>1177</v>
      </c>
      <c r="D3772" t="s">
        <v>24</v>
      </c>
      <c r="E3772" t="s">
        <v>92</v>
      </c>
      <c r="F3772">
        <v>3</v>
      </c>
      <c r="G3772">
        <v>0.1</v>
      </c>
      <c r="H3772">
        <v>2430</v>
      </c>
      <c r="I3772">
        <v>653.21</v>
      </c>
      <c r="J3772" t="s">
        <v>65</v>
      </c>
      <c r="K3772" t="s">
        <v>40</v>
      </c>
      <c r="L3772">
        <v>810</v>
      </c>
      <c r="M3772">
        <v>26.881069958847739</v>
      </c>
      <c r="N3772" t="s">
        <v>8</v>
      </c>
      <c r="O3772" t="s">
        <v>984</v>
      </c>
      <c r="P3772" t="s">
        <v>29</v>
      </c>
      <c r="Q3772" t="s">
        <v>74</v>
      </c>
      <c r="R3772" t="s">
        <v>237</v>
      </c>
      <c r="S3772" t="s">
        <v>238</v>
      </c>
      <c r="T3772" t="s">
        <v>1178</v>
      </c>
      <c r="U3772" t="s">
        <v>46</v>
      </c>
      <c r="V3772">
        <v>217.73666666666671</v>
      </c>
    </row>
    <row r="3773" spans="1:22" x14ac:dyDescent="0.3">
      <c r="A3773" t="s">
        <v>5251</v>
      </c>
      <c r="B3773" s="2">
        <v>46255</v>
      </c>
      <c r="C3773" t="s">
        <v>421</v>
      </c>
      <c r="D3773" t="s">
        <v>37</v>
      </c>
      <c r="E3773" t="s">
        <v>190</v>
      </c>
      <c r="F3773">
        <v>3</v>
      </c>
      <c r="G3773">
        <v>0.15</v>
      </c>
      <c r="H3773">
        <v>10710</v>
      </c>
      <c r="I3773">
        <v>-4380.67</v>
      </c>
      <c r="J3773" t="s">
        <v>39</v>
      </c>
      <c r="K3773" t="s">
        <v>434</v>
      </c>
      <c r="L3773">
        <v>3570</v>
      </c>
      <c r="M3773">
        <v>-40.902614379084973</v>
      </c>
      <c r="N3773" t="s">
        <v>81</v>
      </c>
      <c r="O3773" t="s">
        <v>422</v>
      </c>
      <c r="P3773" t="s">
        <v>73</v>
      </c>
      <c r="Q3773" t="s">
        <v>30</v>
      </c>
      <c r="R3773" t="s">
        <v>98</v>
      </c>
      <c r="S3773" t="s">
        <v>54</v>
      </c>
      <c r="T3773" t="s">
        <v>423</v>
      </c>
      <c r="U3773" t="s">
        <v>34</v>
      </c>
      <c r="V3773">
        <v>-1460.2233333333329</v>
      </c>
    </row>
    <row r="3774" spans="1:22" x14ac:dyDescent="0.3">
      <c r="A3774" t="s">
        <v>5252</v>
      </c>
      <c r="B3774" s="2">
        <v>46113</v>
      </c>
      <c r="C3774" t="s">
        <v>869</v>
      </c>
      <c r="D3774" t="s">
        <v>49</v>
      </c>
      <c r="E3774" t="s">
        <v>119</v>
      </c>
      <c r="F3774">
        <v>1</v>
      </c>
      <c r="G3774">
        <v>0.05</v>
      </c>
      <c r="H3774">
        <v>8550</v>
      </c>
      <c r="I3774">
        <v>1992</v>
      </c>
      <c r="J3774" t="s">
        <v>39</v>
      </c>
      <c r="K3774" t="s">
        <v>40</v>
      </c>
      <c r="L3774">
        <v>8550</v>
      </c>
      <c r="M3774">
        <v>23.298245614035089</v>
      </c>
      <c r="N3774" t="s">
        <v>8</v>
      </c>
      <c r="O3774" t="s">
        <v>870</v>
      </c>
      <c r="P3774" t="s">
        <v>73</v>
      </c>
      <c r="Q3774" t="s">
        <v>30</v>
      </c>
      <c r="R3774" t="s">
        <v>98</v>
      </c>
      <c r="S3774" t="s">
        <v>54</v>
      </c>
      <c r="T3774" t="s">
        <v>859</v>
      </c>
      <c r="U3774" t="s">
        <v>34</v>
      </c>
      <c r="V3774">
        <v>1992</v>
      </c>
    </row>
    <row r="3775" spans="1:22" x14ac:dyDescent="0.3">
      <c r="A3775" t="s">
        <v>5253</v>
      </c>
      <c r="B3775" s="2">
        <v>45847</v>
      </c>
      <c r="C3775" t="s">
        <v>4773</v>
      </c>
      <c r="D3775" t="s">
        <v>37</v>
      </c>
      <c r="E3775" t="s">
        <v>190</v>
      </c>
      <c r="F3775">
        <v>4</v>
      </c>
      <c r="G3775">
        <v>0</v>
      </c>
      <c r="H3775">
        <v>16800</v>
      </c>
      <c r="I3775">
        <v>4800</v>
      </c>
      <c r="J3775" t="s">
        <v>65</v>
      </c>
      <c r="K3775" t="s">
        <v>40</v>
      </c>
      <c r="L3775">
        <v>4200</v>
      </c>
      <c r="M3775">
        <v>28.571428571428569</v>
      </c>
      <c r="N3775" t="s">
        <v>8</v>
      </c>
      <c r="O3775" t="s">
        <v>549</v>
      </c>
      <c r="P3775" t="s">
        <v>29</v>
      </c>
      <c r="Q3775" t="s">
        <v>42</v>
      </c>
      <c r="R3775" t="s">
        <v>110</v>
      </c>
      <c r="S3775" t="s">
        <v>111</v>
      </c>
      <c r="T3775" t="s">
        <v>1437</v>
      </c>
      <c r="U3775" t="s">
        <v>105</v>
      </c>
      <c r="V3775">
        <v>1200</v>
      </c>
    </row>
    <row r="3776" spans="1:22" x14ac:dyDescent="0.3">
      <c r="A3776" t="s">
        <v>5254</v>
      </c>
      <c r="B3776" s="2">
        <v>46077</v>
      </c>
      <c r="C3776" t="s">
        <v>340</v>
      </c>
      <c r="D3776" t="s">
        <v>49</v>
      </c>
      <c r="E3776" t="s">
        <v>79</v>
      </c>
      <c r="F3776">
        <v>3</v>
      </c>
      <c r="G3776">
        <v>0.1</v>
      </c>
      <c r="H3776">
        <v>29700</v>
      </c>
      <c r="I3776">
        <v>6047.82</v>
      </c>
      <c r="J3776" t="s">
        <v>65</v>
      </c>
      <c r="K3776" t="s">
        <v>40</v>
      </c>
      <c r="L3776">
        <v>9900</v>
      </c>
      <c r="M3776">
        <v>20.3630303030303</v>
      </c>
      <c r="N3776" t="s">
        <v>8</v>
      </c>
      <c r="O3776" t="s">
        <v>341</v>
      </c>
      <c r="P3776" t="s">
        <v>29</v>
      </c>
      <c r="Q3776" t="s">
        <v>30</v>
      </c>
      <c r="R3776" t="s">
        <v>98</v>
      </c>
      <c r="S3776" t="s">
        <v>54</v>
      </c>
      <c r="T3776" t="s">
        <v>342</v>
      </c>
      <c r="U3776" t="s">
        <v>100</v>
      </c>
      <c r="V3776">
        <v>2015.94</v>
      </c>
    </row>
    <row r="3777" spans="1:22" x14ac:dyDescent="0.3">
      <c r="A3777" t="s">
        <v>5255</v>
      </c>
      <c r="B3777" s="2">
        <v>45999</v>
      </c>
      <c r="C3777" t="s">
        <v>1131</v>
      </c>
      <c r="D3777" t="s">
        <v>70</v>
      </c>
      <c r="E3777" t="s">
        <v>108</v>
      </c>
      <c r="F3777">
        <v>2</v>
      </c>
      <c r="G3777">
        <v>0.05</v>
      </c>
      <c r="H3777">
        <v>8550</v>
      </c>
      <c r="I3777">
        <v>2658.54</v>
      </c>
      <c r="J3777" t="s">
        <v>26</v>
      </c>
      <c r="K3777" t="s">
        <v>27</v>
      </c>
      <c r="L3777">
        <v>4275</v>
      </c>
      <c r="M3777">
        <v>31.094035087719291</v>
      </c>
      <c r="N3777" t="s">
        <v>8</v>
      </c>
      <c r="O3777" t="s">
        <v>226</v>
      </c>
      <c r="P3777" t="s">
        <v>73</v>
      </c>
      <c r="Q3777" t="s">
        <v>74</v>
      </c>
      <c r="R3777" t="s">
        <v>75</v>
      </c>
      <c r="S3777" t="s">
        <v>75</v>
      </c>
      <c r="T3777" t="s">
        <v>1132</v>
      </c>
      <c r="U3777" t="s">
        <v>100</v>
      </c>
      <c r="V3777">
        <v>1329.27</v>
      </c>
    </row>
    <row r="3778" spans="1:22" x14ac:dyDescent="0.3">
      <c r="A3778" t="s">
        <v>5256</v>
      </c>
      <c r="B3778" s="2">
        <v>46086</v>
      </c>
      <c r="C3778" t="s">
        <v>136</v>
      </c>
      <c r="D3778" t="s">
        <v>70</v>
      </c>
      <c r="E3778" t="s">
        <v>108</v>
      </c>
      <c r="F3778">
        <v>1</v>
      </c>
      <c r="G3778">
        <v>0.1</v>
      </c>
      <c r="H3778">
        <v>4050</v>
      </c>
      <c r="I3778">
        <v>1193.22</v>
      </c>
      <c r="J3778" t="s">
        <v>51</v>
      </c>
      <c r="K3778" t="s">
        <v>40</v>
      </c>
      <c r="L3778">
        <v>4050</v>
      </c>
      <c r="M3778">
        <v>29.46222222222222</v>
      </c>
      <c r="N3778" t="s">
        <v>8</v>
      </c>
      <c r="O3778" t="s">
        <v>137</v>
      </c>
      <c r="P3778" t="s">
        <v>83</v>
      </c>
      <c r="Q3778" t="s">
        <v>42</v>
      </c>
      <c r="R3778" t="s">
        <v>110</v>
      </c>
      <c r="S3778" t="s">
        <v>111</v>
      </c>
      <c r="T3778" t="s">
        <v>138</v>
      </c>
      <c r="U3778" t="s">
        <v>34</v>
      </c>
      <c r="V3778">
        <v>1193.22</v>
      </c>
    </row>
    <row r="3779" spans="1:22" x14ac:dyDescent="0.3">
      <c r="A3779" t="s">
        <v>5257</v>
      </c>
      <c r="B3779" s="2">
        <v>45840</v>
      </c>
      <c r="C3779" t="s">
        <v>1799</v>
      </c>
      <c r="D3779" t="s">
        <v>49</v>
      </c>
      <c r="E3779" t="s">
        <v>58</v>
      </c>
      <c r="F3779">
        <v>2</v>
      </c>
      <c r="G3779">
        <v>0.15</v>
      </c>
      <c r="H3779">
        <v>25500</v>
      </c>
      <c r="I3779">
        <v>4404.12</v>
      </c>
      <c r="J3779" t="s">
        <v>51</v>
      </c>
      <c r="K3779" t="s">
        <v>40</v>
      </c>
      <c r="L3779">
        <v>12750</v>
      </c>
      <c r="M3779">
        <v>17.271058823529408</v>
      </c>
      <c r="N3779" t="s">
        <v>8</v>
      </c>
      <c r="O3779" t="s">
        <v>1800</v>
      </c>
      <c r="P3779" t="s">
        <v>73</v>
      </c>
      <c r="Q3779" t="s">
        <v>30</v>
      </c>
      <c r="R3779" t="s">
        <v>98</v>
      </c>
      <c r="S3779" t="s">
        <v>54</v>
      </c>
      <c r="T3779" t="s">
        <v>1801</v>
      </c>
      <c r="U3779" t="s">
        <v>100</v>
      </c>
      <c r="V3779">
        <v>2202.06</v>
      </c>
    </row>
    <row r="3780" spans="1:22" x14ac:dyDescent="0.3">
      <c r="A3780" t="s">
        <v>5258</v>
      </c>
      <c r="B3780" s="2">
        <v>46257</v>
      </c>
      <c r="C3780" t="s">
        <v>1474</v>
      </c>
      <c r="D3780" t="s">
        <v>70</v>
      </c>
      <c r="E3780" t="s">
        <v>108</v>
      </c>
      <c r="F3780">
        <v>3</v>
      </c>
      <c r="G3780">
        <v>0.2</v>
      </c>
      <c r="H3780">
        <v>10800</v>
      </c>
      <c r="I3780">
        <v>2667.74</v>
      </c>
      <c r="J3780" t="s">
        <v>51</v>
      </c>
      <c r="K3780" t="s">
        <v>40</v>
      </c>
      <c r="L3780">
        <v>3600</v>
      </c>
      <c r="M3780">
        <v>24.701296296296292</v>
      </c>
      <c r="N3780" t="s">
        <v>8</v>
      </c>
      <c r="O3780" t="s">
        <v>1475</v>
      </c>
      <c r="P3780" t="s">
        <v>73</v>
      </c>
      <c r="Q3780" t="s">
        <v>30</v>
      </c>
      <c r="R3780" t="s">
        <v>98</v>
      </c>
      <c r="S3780" t="s">
        <v>54</v>
      </c>
      <c r="T3780" t="s">
        <v>1476</v>
      </c>
      <c r="U3780" t="s">
        <v>100</v>
      </c>
      <c r="V3780">
        <v>889.24666666666656</v>
      </c>
    </row>
    <row r="3781" spans="1:22" x14ac:dyDescent="0.3">
      <c r="A3781" t="s">
        <v>5259</v>
      </c>
      <c r="B3781" s="2">
        <v>46064</v>
      </c>
      <c r="C3781" t="s">
        <v>2021</v>
      </c>
      <c r="D3781" t="s">
        <v>49</v>
      </c>
      <c r="E3781" t="s">
        <v>58</v>
      </c>
      <c r="F3781">
        <v>5</v>
      </c>
      <c r="G3781">
        <v>0.15</v>
      </c>
      <c r="H3781">
        <v>63750</v>
      </c>
      <c r="I3781">
        <v>9726.99</v>
      </c>
      <c r="J3781" t="s">
        <v>26</v>
      </c>
      <c r="K3781" t="s">
        <v>40</v>
      </c>
      <c r="L3781">
        <v>12750</v>
      </c>
      <c r="M3781">
        <v>15.258023529411769</v>
      </c>
      <c r="N3781" t="s">
        <v>8</v>
      </c>
      <c r="O3781" t="s">
        <v>2022</v>
      </c>
      <c r="P3781" t="s">
        <v>83</v>
      </c>
      <c r="Q3781" t="s">
        <v>74</v>
      </c>
      <c r="R3781" t="s">
        <v>75</v>
      </c>
      <c r="S3781" t="s">
        <v>75</v>
      </c>
      <c r="T3781" t="s">
        <v>2023</v>
      </c>
      <c r="U3781" t="s">
        <v>100</v>
      </c>
      <c r="V3781">
        <v>1945.3979999999999</v>
      </c>
    </row>
    <row r="3782" spans="1:22" x14ac:dyDescent="0.3">
      <c r="A3782" t="s">
        <v>5260</v>
      </c>
      <c r="B3782" s="2">
        <v>45850</v>
      </c>
      <c r="C3782" t="s">
        <v>2813</v>
      </c>
      <c r="D3782" t="s">
        <v>24</v>
      </c>
      <c r="E3782" t="s">
        <v>87</v>
      </c>
      <c r="F3782">
        <v>2</v>
      </c>
      <c r="G3782">
        <v>0.1</v>
      </c>
      <c r="H3782">
        <v>630</v>
      </c>
      <c r="I3782">
        <v>192.26</v>
      </c>
      <c r="J3782" t="s">
        <v>39</v>
      </c>
      <c r="K3782" t="s">
        <v>40</v>
      </c>
      <c r="L3782">
        <v>315</v>
      </c>
      <c r="M3782">
        <v>30.517460317460319</v>
      </c>
      <c r="N3782" t="s">
        <v>8</v>
      </c>
      <c r="O3782" t="s">
        <v>626</v>
      </c>
      <c r="P3782" t="s">
        <v>29</v>
      </c>
      <c r="Q3782" t="s">
        <v>131</v>
      </c>
      <c r="R3782" t="s">
        <v>200</v>
      </c>
      <c r="S3782" t="s">
        <v>201</v>
      </c>
      <c r="T3782" t="s">
        <v>1002</v>
      </c>
      <c r="U3782" t="s">
        <v>46</v>
      </c>
      <c r="V3782">
        <v>96.13</v>
      </c>
    </row>
    <row r="3783" spans="1:22" x14ac:dyDescent="0.3">
      <c r="A3783" t="s">
        <v>5261</v>
      </c>
      <c r="B3783" s="2">
        <v>45945</v>
      </c>
      <c r="C3783" t="s">
        <v>128</v>
      </c>
      <c r="D3783" t="s">
        <v>24</v>
      </c>
      <c r="E3783" t="s">
        <v>242</v>
      </c>
      <c r="F3783">
        <v>1</v>
      </c>
      <c r="G3783">
        <v>0.1</v>
      </c>
      <c r="H3783">
        <v>405</v>
      </c>
      <c r="I3783">
        <v>75.81</v>
      </c>
      <c r="J3783" t="s">
        <v>65</v>
      </c>
      <c r="K3783" t="s">
        <v>27</v>
      </c>
      <c r="L3783">
        <v>405</v>
      </c>
      <c r="M3783">
        <v>18.718518518518518</v>
      </c>
      <c r="N3783" t="s">
        <v>8</v>
      </c>
      <c r="O3783" t="s">
        <v>130</v>
      </c>
      <c r="P3783" t="s">
        <v>83</v>
      </c>
      <c r="Q3783" t="s">
        <v>131</v>
      </c>
      <c r="R3783" t="s">
        <v>132</v>
      </c>
      <c r="S3783" t="s">
        <v>133</v>
      </c>
      <c r="T3783" t="s">
        <v>134</v>
      </c>
      <c r="U3783" t="s">
        <v>46</v>
      </c>
      <c r="V3783">
        <v>75.81</v>
      </c>
    </row>
    <row r="3784" spans="1:22" x14ac:dyDescent="0.3">
      <c r="A3784" t="s">
        <v>5262</v>
      </c>
      <c r="B3784" s="2">
        <v>46158</v>
      </c>
      <c r="C3784" t="s">
        <v>389</v>
      </c>
      <c r="D3784" t="s">
        <v>70</v>
      </c>
      <c r="E3784" t="s">
        <v>108</v>
      </c>
      <c r="F3784">
        <v>1</v>
      </c>
      <c r="G3784">
        <v>0.2</v>
      </c>
      <c r="H3784">
        <v>3600</v>
      </c>
      <c r="I3784">
        <v>743.45</v>
      </c>
      <c r="J3784" t="s">
        <v>39</v>
      </c>
      <c r="K3784" t="s">
        <v>40</v>
      </c>
      <c r="L3784">
        <v>3600</v>
      </c>
      <c r="M3784">
        <v>20.651388888888889</v>
      </c>
      <c r="N3784" t="s">
        <v>8</v>
      </c>
      <c r="O3784" t="s">
        <v>390</v>
      </c>
      <c r="P3784" t="s">
        <v>29</v>
      </c>
      <c r="Q3784" t="s">
        <v>30</v>
      </c>
      <c r="R3784" t="s">
        <v>53</v>
      </c>
      <c r="S3784" t="s">
        <v>54</v>
      </c>
      <c r="T3784" t="s">
        <v>391</v>
      </c>
      <c r="U3784" t="s">
        <v>100</v>
      </c>
      <c r="V3784">
        <v>743.45</v>
      </c>
    </row>
    <row r="3785" spans="1:22" x14ac:dyDescent="0.3">
      <c r="A3785" t="s">
        <v>5263</v>
      </c>
      <c r="B3785" s="2">
        <v>46033</v>
      </c>
      <c r="C3785" t="s">
        <v>2681</v>
      </c>
      <c r="D3785" t="s">
        <v>24</v>
      </c>
      <c r="E3785" t="s">
        <v>92</v>
      </c>
      <c r="F3785">
        <v>2</v>
      </c>
      <c r="G3785">
        <v>0.2</v>
      </c>
      <c r="H3785">
        <v>1440</v>
      </c>
      <c r="I3785">
        <v>274.38</v>
      </c>
      <c r="J3785" t="s">
        <v>26</v>
      </c>
      <c r="K3785" t="s">
        <v>40</v>
      </c>
      <c r="L3785">
        <v>720</v>
      </c>
      <c r="M3785">
        <v>19.054166666666671</v>
      </c>
      <c r="N3785" t="s">
        <v>8</v>
      </c>
      <c r="O3785" t="s">
        <v>2636</v>
      </c>
      <c r="P3785" t="s">
        <v>73</v>
      </c>
      <c r="Q3785" t="s">
        <v>74</v>
      </c>
      <c r="R3785" t="s">
        <v>75</v>
      </c>
      <c r="S3785" t="s">
        <v>75</v>
      </c>
      <c r="T3785" t="s">
        <v>2682</v>
      </c>
      <c r="U3785" t="s">
        <v>34</v>
      </c>
      <c r="V3785">
        <v>137.19</v>
      </c>
    </row>
    <row r="3786" spans="1:22" x14ac:dyDescent="0.3">
      <c r="A3786" t="s">
        <v>5264</v>
      </c>
      <c r="B3786" s="2">
        <v>46237</v>
      </c>
      <c r="C3786" t="s">
        <v>3930</v>
      </c>
      <c r="D3786" t="s">
        <v>49</v>
      </c>
      <c r="E3786" t="s">
        <v>119</v>
      </c>
      <c r="F3786">
        <v>1</v>
      </c>
      <c r="G3786">
        <v>0.3</v>
      </c>
      <c r="H3786">
        <v>6300</v>
      </c>
      <c r="I3786">
        <v>444.88</v>
      </c>
      <c r="J3786" t="s">
        <v>39</v>
      </c>
      <c r="K3786" t="s">
        <v>40</v>
      </c>
      <c r="L3786">
        <v>6300</v>
      </c>
      <c r="M3786">
        <v>7.0615873015873021</v>
      </c>
      <c r="N3786" t="s">
        <v>8</v>
      </c>
      <c r="O3786" t="s">
        <v>3931</v>
      </c>
      <c r="P3786" t="s">
        <v>29</v>
      </c>
      <c r="Q3786" t="s">
        <v>74</v>
      </c>
      <c r="R3786" t="s">
        <v>115</v>
      </c>
      <c r="S3786" t="s">
        <v>115</v>
      </c>
      <c r="T3786" t="s">
        <v>3932</v>
      </c>
      <c r="U3786" t="s">
        <v>100</v>
      </c>
      <c r="V3786">
        <v>444.88</v>
      </c>
    </row>
    <row r="3787" spans="1:22" x14ac:dyDescent="0.3">
      <c r="A3787" t="s">
        <v>5265</v>
      </c>
      <c r="B3787" s="2">
        <v>46137</v>
      </c>
      <c r="C3787" t="s">
        <v>2681</v>
      </c>
      <c r="D3787" t="s">
        <v>24</v>
      </c>
      <c r="E3787" t="s">
        <v>87</v>
      </c>
      <c r="F3787">
        <v>3</v>
      </c>
      <c r="G3787">
        <v>0</v>
      </c>
      <c r="H3787">
        <v>1050</v>
      </c>
      <c r="I3787">
        <v>-45.96</v>
      </c>
      <c r="J3787" t="s">
        <v>65</v>
      </c>
      <c r="K3787" t="s">
        <v>434</v>
      </c>
      <c r="L3787">
        <v>350</v>
      </c>
      <c r="M3787">
        <v>-4.3771428571428572</v>
      </c>
      <c r="N3787" t="s">
        <v>81</v>
      </c>
      <c r="O3787" t="s">
        <v>2636</v>
      </c>
      <c r="P3787" t="s">
        <v>73</v>
      </c>
      <c r="Q3787" t="s">
        <v>74</v>
      </c>
      <c r="R3787" t="s">
        <v>75</v>
      </c>
      <c r="S3787" t="s">
        <v>75</v>
      </c>
      <c r="T3787" t="s">
        <v>2682</v>
      </c>
      <c r="U3787" t="s">
        <v>34</v>
      </c>
      <c r="V3787">
        <v>-15.32</v>
      </c>
    </row>
    <row r="3788" spans="1:22" x14ac:dyDescent="0.3">
      <c r="A3788" t="s">
        <v>5266</v>
      </c>
      <c r="B3788" s="2">
        <v>45969</v>
      </c>
      <c r="C3788" t="s">
        <v>1281</v>
      </c>
      <c r="D3788" t="s">
        <v>70</v>
      </c>
      <c r="E3788" t="s">
        <v>108</v>
      </c>
      <c r="F3788">
        <v>1</v>
      </c>
      <c r="G3788">
        <v>0.05</v>
      </c>
      <c r="H3788">
        <v>4275</v>
      </c>
      <c r="I3788">
        <v>1327.88</v>
      </c>
      <c r="J3788" t="s">
        <v>65</v>
      </c>
      <c r="K3788" t="s">
        <v>40</v>
      </c>
      <c r="L3788">
        <v>4275</v>
      </c>
      <c r="M3788">
        <v>31.06152046783626</v>
      </c>
      <c r="N3788" t="s">
        <v>8</v>
      </c>
      <c r="O3788" t="s">
        <v>1282</v>
      </c>
      <c r="P3788" t="s">
        <v>29</v>
      </c>
      <c r="Q3788" t="s">
        <v>74</v>
      </c>
      <c r="R3788" t="s">
        <v>237</v>
      </c>
      <c r="S3788" t="s">
        <v>238</v>
      </c>
      <c r="T3788" t="s">
        <v>1283</v>
      </c>
      <c r="U3788" t="s">
        <v>34</v>
      </c>
      <c r="V3788">
        <v>1327.88</v>
      </c>
    </row>
    <row r="3789" spans="1:22" x14ac:dyDescent="0.3">
      <c r="A3789" t="s">
        <v>5267</v>
      </c>
      <c r="B3789" s="2">
        <v>46032</v>
      </c>
      <c r="C3789" t="s">
        <v>1262</v>
      </c>
      <c r="D3789" t="s">
        <v>70</v>
      </c>
      <c r="E3789" t="s">
        <v>129</v>
      </c>
      <c r="F3789">
        <v>2</v>
      </c>
      <c r="G3789">
        <v>0.1</v>
      </c>
      <c r="H3789">
        <v>99000</v>
      </c>
      <c r="I3789">
        <v>-44487.19</v>
      </c>
      <c r="J3789" t="s">
        <v>51</v>
      </c>
      <c r="K3789" t="s">
        <v>434</v>
      </c>
      <c r="L3789">
        <v>49500</v>
      </c>
      <c r="M3789">
        <v>-44.936555555555557</v>
      </c>
      <c r="N3789" t="s">
        <v>81</v>
      </c>
      <c r="O3789" t="s">
        <v>1263</v>
      </c>
      <c r="P3789" t="s">
        <v>83</v>
      </c>
      <c r="Q3789" t="s">
        <v>30</v>
      </c>
      <c r="R3789" t="s">
        <v>53</v>
      </c>
      <c r="S3789" t="s">
        <v>54</v>
      </c>
      <c r="T3789" t="s">
        <v>1264</v>
      </c>
      <c r="U3789" t="s">
        <v>46</v>
      </c>
      <c r="V3789">
        <v>-22243.595000000001</v>
      </c>
    </row>
    <row r="3790" spans="1:22" x14ac:dyDescent="0.3">
      <c r="A3790" t="s">
        <v>5268</v>
      </c>
      <c r="B3790" s="2">
        <v>45843</v>
      </c>
      <c r="C3790" t="s">
        <v>925</v>
      </c>
      <c r="D3790" t="s">
        <v>24</v>
      </c>
      <c r="E3790" t="s">
        <v>242</v>
      </c>
      <c r="F3790">
        <v>1</v>
      </c>
      <c r="G3790">
        <v>0.2</v>
      </c>
      <c r="H3790">
        <v>360</v>
      </c>
      <c r="I3790">
        <v>52.04</v>
      </c>
      <c r="J3790" t="s">
        <v>39</v>
      </c>
      <c r="K3790" t="s">
        <v>40</v>
      </c>
      <c r="L3790">
        <v>360</v>
      </c>
      <c r="M3790">
        <v>14.455555555555559</v>
      </c>
      <c r="N3790" t="s">
        <v>8</v>
      </c>
      <c r="O3790" t="s">
        <v>926</v>
      </c>
      <c r="P3790" t="s">
        <v>83</v>
      </c>
      <c r="Q3790" t="s">
        <v>74</v>
      </c>
      <c r="R3790" t="s">
        <v>75</v>
      </c>
      <c r="S3790" t="s">
        <v>75</v>
      </c>
      <c r="T3790" t="s">
        <v>927</v>
      </c>
      <c r="U3790" t="s">
        <v>34</v>
      </c>
      <c r="V3790">
        <v>52.04</v>
      </c>
    </row>
    <row r="3791" spans="1:22" x14ac:dyDescent="0.3">
      <c r="A3791" t="s">
        <v>5269</v>
      </c>
      <c r="B3791" s="2">
        <v>46084</v>
      </c>
      <c r="C3791" t="s">
        <v>1250</v>
      </c>
      <c r="D3791" t="s">
        <v>24</v>
      </c>
      <c r="E3791" t="s">
        <v>87</v>
      </c>
      <c r="F3791">
        <v>1</v>
      </c>
      <c r="G3791">
        <v>0</v>
      </c>
      <c r="H3791">
        <v>350</v>
      </c>
      <c r="I3791">
        <v>120</v>
      </c>
      <c r="J3791" t="s">
        <v>39</v>
      </c>
      <c r="K3791" t="s">
        <v>40</v>
      </c>
      <c r="L3791">
        <v>350</v>
      </c>
      <c r="M3791">
        <v>34.285714285714278</v>
      </c>
      <c r="N3791" t="s">
        <v>8</v>
      </c>
      <c r="O3791" t="s">
        <v>1251</v>
      </c>
      <c r="P3791" t="s">
        <v>29</v>
      </c>
      <c r="Q3791" t="s">
        <v>42</v>
      </c>
      <c r="R3791" t="s">
        <v>43</v>
      </c>
      <c r="S3791" t="s">
        <v>44</v>
      </c>
      <c r="T3791" t="s">
        <v>1252</v>
      </c>
      <c r="U3791" t="s">
        <v>105</v>
      </c>
      <c r="V3791">
        <v>120</v>
      </c>
    </row>
    <row r="3792" spans="1:22" x14ac:dyDescent="0.3">
      <c r="A3792" t="s">
        <v>5270</v>
      </c>
      <c r="B3792" s="2">
        <v>46244</v>
      </c>
      <c r="C3792" t="s">
        <v>2348</v>
      </c>
      <c r="D3792" t="s">
        <v>24</v>
      </c>
      <c r="E3792" t="s">
        <v>92</v>
      </c>
      <c r="F3792">
        <v>4</v>
      </c>
      <c r="G3792">
        <v>0.1</v>
      </c>
      <c r="H3792">
        <v>3240</v>
      </c>
      <c r="I3792">
        <v>954.34</v>
      </c>
      <c r="J3792" t="s">
        <v>65</v>
      </c>
      <c r="K3792" t="s">
        <v>40</v>
      </c>
      <c r="L3792">
        <v>810</v>
      </c>
      <c r="M3792">
        <v>29.454938271604941</v>
      </c>
      <c r="N3792" t="s">
        <v>8</v>
      </c>
      <c r="O3792" t="s">
        <v>2349</v>
      </c>
      <c r="P3792" t="s">
        <v>73</v>
      </c>
      <c r="Q3792" t="s">
        <v>74</v>
      </c>
      <c r="R3792" t="s">
        <v>75</v>
      </c>
      <c r="S3792" t="s">
        <v>75</v>
      </c>
      <c r="T3792" t="s">
        <v>2350</v>
      </c>
      <c r="U3792" t="s">
        <v>34</v>
      </c>
      <c r="V3792">
        <v>238.58500000000001</v>
      </c>
    </row>
    <row r="3793" spans="1:22" x14ac:dyDescent="0.3">
      <c r="A3793" t="s">
        <v>5271</v>
      </c>
      <c r="B3793" s="2">
        <v>45878</v>
      </c>
      <c r="C3793" t="s">
        <v>225</v>
      </c>
      <c r="D3793" t="s">
        <v>37</v>
      </c>
      <c r="E3793" t="s">
        <v>190</v>
      </c>
      <c r="F3793">
        <v>1</v>
      </c>
      <c r="G3793">
        <v>0.2</v>
      </c>
      <c r="H3793">
        <v>3360</v>
      </c>
      <c r="I3793">
        <v>755.61</v>
      </c>
      <c r="J3793" t="s">
        <v>39</v>
      </c>
      <c r="K3793" t="s">
        <v>40</v>
      </c>
      <c r="L3793">
        <v>3360</v>
      </c>
      <c r="M3793">
        <v>22.488392857142859</v>
      </c>
      <c r="N3793" t="s">
        <v>8</v>
      </c>
      <c r="O3793" t="s">
        <v>226</v>
      </c>
      <c r="P3793" t="s">
        <v>29</v>
      </c>
      <c r="Q3793" t="s">
        <v>30</v>
      </c>
      <c r="R3793" t="s">
        <v>31</v>
      </c>
      <c r="S3793" t="s">
        <v>32</v>
      </c>
      <c r="T3793" t="s">
        <v>227</v>
      </c>
      <c r="U3793" t="s">
        <v>100</v>
      </c>
      <c r="V3793">
        <v>755.61</v>
      </c>
    </row>
    <row r="3794" spans="1:22" x14ac:dyDescent="0.3">
      <c r="A3794" t="s">
        <v>5272</v>
      </c>
      <c r="B3794" s="2">
        <v>46253</v>
      </c>
      <c r="C3794" t="s">
        <v>1433</v>
      </c>
      <c r="D3794" t="s">
        <v>24</v>
      </c>
      <c r="E3794" t="s">
        <v>242</v>
      </c>
      <c r="F3794">
        <v>2</v>
      </c>
      <c r="G3794">
        <v>0.3</v>
      </c>
      <c r="H3794">
        <v>630</v>
      </c>
      <c r="I3794">
        <v>77.010000000000005</v>
      </c>
      <c r="J3794" t="s">
        <v>26</v>
      </c>
      <c r="K3794" t="s">
        <v>40</v>
      </c>
      <c r="L3794">
        <v>315</v>
      </c>
      <c r="M3794">
        <v>12.223809523809519</v>
      </c>
      <c r="N3794" t="s">
        <v>8</v>
      </c>
      <c r="O3794" t="s">
        <v>318</v>
      </c>
      <c r="P3794" t="s">
        <v>73</v>
      </c>
      <c r="Q3794" t="s">
        <v>30</v>
      </c>
      <c r="R3794" t="s">
        <v>53</v>
      </c>
      <c r="S3794" t="s">
        <v>54</v>
      </c>
      <c r="T3794" t="s">
        <v>1434</v>
      </c>
      <c r="U3794" t="s">
        <v>34</v>
      </c>
      <c r="V3794">
        <v>38.505000000000003</v>
      </c>
    </row>
    <row r="3795" spans="1:22" x14ac:dyDescent="0.3">
      <c r="A3795" t="s">
        <v>5273</v>
      </c>
      <c r="B3795" s="2">
        <v>46204</v>
      </c>
      <c r="C3795" t="s">
        <v>2836</v>
      </c>
      <c r="D3795" t="s">
        <v>70</v>
      </c>
      <c r="E3795" t="s">
        <v>165</v>
      </c>
      <c r="F3795">
        <v>2</v>
      </c>
      <c r="G3795">
        <v>0.05</v>
      </c>
      <c r="H3795">
        <v>4750</v>
      </c>
      <c r="I3795">
        <v>1388.98</v>
      </c>
      <c r="J3795" t="s">
        <v>65</v>
      </c>
      <c r="K3795" t="s">
        <v>40</v>
      </c>
      <c r="L3795">
        <v>2375</v>
      </c>
      <c r="M3795">
        <v>29.241684210526319</v>
      </c>
      <c r="N3795" t="s">
        <v>8</v>
      </c>
      <c r="O3795" t="s">
        <v>280</v>
      </c>
      <c r="P3795" t="s">
        <v>83</v>
      </c>
      <c r="Q3795" t="s">
        <v>42</v>
      </c>
      <c r="R3795" t="s">
        <v>43</v>
      </c>
      <c r="S3795" t="s">
        <v>44</v>
      </c>
      <c r="T3795" t="s">
        <v>2837</v>
      </c>
      <c r="U3795" t="s">
        <v>46</v>
      </c>
      <c r="V3795">
        <v>694.49</v>
      </c>
    </row>
    <row r="3796" spans="1:22" x14ac:dyDescent="0.3">
      <c r="A3796" t="s">
        <v>5274</v>
      </c>
      <c r="B3796" s="2">
        <v>46078</v>
      </c>
      <c r="C3796" t="s">
        <v>225</v>
      </c>
      <c r="D3796" t="s">
        <v>24</v>
      </c>
      <c r="E3796" t="s">
        <v>92</v>
      </c>
      <c r="F3796">
        <v>2</v>
      </c>
      <c r="G3796">
        <v>0</v>
      </c>
      <c r="H3796">
        <v>1800</v>
      </c>
      <c r="I3796">
        <v>560</v>
      </c>
      <c r="J3796" t="s">
        <v>51</v>
      </c>
      <c r="K3796" t="s">
        <v>27</v>
      </c>
      <c r="L3796">
        <v>900</v>
      </c>
      <c r="M3796">
        <v>31.111111111111111</v>
      </c>
      <c r="N3796" t="s">
        <v>8</v>
      </c>
      <c r="O3796" t="s">
        <v>226</v>
      </c>
      <c r="P3796" t="s">
        <v>29</v>
      </c>
      <c r="Q3796" t="s">
        <v>30</v>
      </c>
      <c r="R3796" t="s">
        <v>31</v>
      </c>
      <c r="S3796" t="s">
        <v>32</v>
      </c>
      <c r="T3796" t="s">
        <v>227</v>
      </c>
      <c r="U3796" t="s">
        <v>100</v>
      </c>
      <c r="V3796">
        <v>280</v>
      </c>
    </row>
    <row r="3797" spans="1:22" x14ac:dyDescent="0.3">
      <c r="A3797" t="s">
        <v>5275</v>
      </c>
      <c r="B3797" s="2">
        <v>46086</v>
      </c>
      <c r="C3797" t="s">
        <v>144</v>
      </c>
      <c r="D3797" t="s">
        <v>37</v>
      </c>
      <c r="E3797" t="s">
        <v>190</v>
      </c>
      <c r="F3797">
        <v>2</v>
      </c>
      <c r="G3797">
        <v>0.1</v>
      </c>
      <c r="H3797">
        <v>7560</v>
      </c>
      <c r="I3797">
        <v>1730.09</v>
      </c>
      <c r="J3797" t="s">
        <v>26</v>
      </c>
      <c r="K3797" t="s">
        <v>27</v>
      </c>
      <c r="L3797">
        <v>3780</v>
      </c>
      <c r="M3797">
        <v>22.884788359788359</v>
      </c>
      <c r="N3797" t="s">
        <v>8</v>
      </c>
      <c r="O3797" t="s">
        <v>145</v>
      </c>
      <c r="P3797" t="s">
        <v>83</v>
      </c>
      <c r="Q3797" t="s">
        <v>30</v>
      </c>
      <c r="R3797" t="s">
        <v>60</v>
      </c>
      <c r="S3797" t="s">
        <v>61</v>
      </c>
      <c r="T3797" t="s">
        <v>146</v>
      </c>
      <c r="U3797" t="s">
        <v>105</v>
      </c>
      <c r="V3797">
        <v>865.04499999999996</v>
      </c>
    </row>
    <row r="3798" spans="1:22" x14ac:dyDescent="0.3">
      <c r="A3798" t="s">
        <v>5276</v>
      </c>
      <c r="B3798" s="2">
        <v>46185</v>
      </c>
      <c r="C3798" t="s">
        <v>2507</v>
      </c>
      <c r="D3798" t="s">
        <v>49</v>
      </c>
      <c r="E3798" t="s">
        <v>79</v>
      </c>
      <c r="F3798">
        <v>10</v>
      </c>
      <c r="G3798">
        <v>0.1</v>
      </c>
      <c r="H3798">
        <v>99000</v>
      </c>
      <c r="I3798">
        <v>18188.54</v>
      </c>
      <c r="J3798" t="s">
        <v>51</v>
      </c>
      <c r="K3798" t="s">
        <v>40</v>
      </c>
      <c r="L3798">
        <v>9900</v>
      </c>
      <c r="M3798">
        <v>18.372262626262629</v>
      </c>
      <c r="N3798" t="s">
        <v>8</v>
      </c>
      <c r="O3798" t="s">
        <v>754</v>
      </c>
      <c r="P3798" t="s">
        <v>29</v>
      </c>
      <c r="Q3798" t="s">
        <v>42</v>
      </c>
      <c r="R3798" t="s">
        <v>43</v>
      </c>
      <c r="S3798" t="s">
        <v>44</v>
      </c>
      <c r="T3798" t="s">
        <v>1145</v>
      </c>
      <c r="U3798" t="s">
        <v>34</v>
      </c>
      <c r="V3798">
        <v>1818.854</v>
      </c>
    </row>
    <row r="3799" spans="1:22" x14ac:dyDescent="0.3">
      <c r="A3799" t="s">
        <v>5277</v>
      </c>
      <c r="B3799" s="2">
        <v>46004</v>
      </c>
      <c r="C3799" t="s">
        <v>543</v>
      </c>
      <c r="D3799" t="s">
        <v>70</v>
      </c>
      <c r="E3799" t="s">
        <v>129</v>
      </c>
      <c r="F3799">
        <v>2</v>
      </c>
      <c r="G3799">
        <v>0</v>
      </c>
      <c r="H3799">
        <v>110000</v>
      </c>
      <c r="I3799">
        <v>18000</v>
      </c>
      <c r="J3799" t="s">
        <v>26</v>
      </c>
      <c r="K3799" t="s">
        <v>40</v>
      </c>
      <c r="L3799">
        <v>55000</v>
      </c>
      <c r="M3799">
        <v>16.36363636363636</v>
      </c>
      <c r="N3799" t="s">
        <v>8</v>
      </c>
      <c r="O3799" t="s">
        <v>545</v>
      </c>
      <c r="P3799" t="s">
        <v>83</v>
      </c>
      <c r="Q3799" t="s">
        <v>74</v>
      </c>
      <c r="R3799" t="s">
        <v>75</v>
      </c>
      <c r="S3799" t="s">
        <v>75</v>
      </c>
      <c r="T3799" t="s">
        <v>546</v>
      </c>
      <c r="U3799" t="s">
        <v>34</v>
      </c>
      <c r="V3799">
        <v>9000</v>
      </c>
    </row>
    <row r="3800" spans="1:22" x14ac:dyDescent="0.3">
      <c r="A3800" t="s">
        <v>5278</v>
      </c>
      <c r="B3800" s="2">
        <v>46068</v>
      </c>
      <c r="C3800" t="s">
        <v>2467</v>
      </c>
      <c r="D3800" t="s">
        <v>70</v>
      </c>
      <c r="E3800" t="s">
        <v>71</v>
      </c>
      <c r="F3800">
        <v>5</v>
      </c>
      <c r="G3800">
        <v>0.1</v>
      </c>
      <c r="H3800">
        <v>81000</v>
      </c>
      <c r="I3800">
        <v>12309.71</v>
      </c>
      <c r="J3800" t="s">
        <v>65</v>
      </c>
      <c r="K3800" t="s">
        <v>40</v>
      </c>
      <c r="L3800">
        <v>16200</v>
      </c>
      <c r="M3800">
        <v>15.19717283950617</v>
      </c>
      <c r="N3800" t="s">
        <v>8</v>
      </c>
      <c r="O3800" t="s">
        <v>213</v>
      </c>
      <c r="P3800" t="s">
        <v>29</v>
      </c>
      <c r="Q3800" t="s">
        <v>42</v>
      </c>
      <c r="R3800" t="s">
        <v>214</v>
      </c>
      <c r="S3800" t="s">
        <v>111</v>
      </c>
      <c r="T3800" t="s">
        <v>1103</v>
      </c>
      <c r="U3800" t="s">
        <v>46</v>
      </c>
      <c r="V3800">
        <v>2461.942</v>
      </c>
    </row>
    <row r="3801" spans="1:22" x14ac:dyDescent="0.3">
      <c r="A3801" t="s">
        <v>5279</v>
      </c>
      <c r="B3801" s="2">
        <v>45960</v>
      </c>
      <c r="C3801" t="s">
        <v>667</v>
      </c>
      <c r="D3801" t="s">
        <v>24</v>
      </c>
      <c r="E3801" t="s">
        <v>242</v>
      </c>
      <c r="F3801">
        <v>10</v>
      </c>
      <c r="G3801">
        <v>0.1</v>
      </c>
      <c r="H3801">
        <v>4050</v>
      </c>
      <c r="I3801">
        <v>777.77</v>
      </c>
      <c r="J3801" t="s">
        <v>65</v>
      </c>
      <c r="K3801" t="s">
        <v>40</v>
      </c>
      <c r="L3801">
        <v>405</v>
      </c>
      <c r="M3801">
        <v>19.204197530864199</v>
      </c>
      <c r="N3801" t="s">
        <v>8</v>
      </c>
      <c r="O3801" t="s">
        <v>668</v>
      </c>
      <c r="P3801" t="s">
        <v>29</v>
      </c>
      <c r="Q3801" t="s">
        <v>30</v>
      </c>
      <c r="R3801" t="s">
        <v>31</v>
      </c>
      <c r="S3801" t="s">
        <v>32</v>
      </c>
      <c r="T3801" t="s">
        <v>669</v>
      </c>
      <c r="U3801" t="s">
        <v>46</v>
      </c>
      <c r="V3801">
        <v>77.777000000000001</v>
      </c>
    </row>
    <row r="3802" spans="1:22" x14ac:dyDescent="0.3">
      <c r="A3802" t="s">
        <v>5280</v>
      </c>
      <c r="B3802" s="2">
        <v>45843</v>
      </c>
      <c r="C3802" t="s">
        <v>1605</v>
      </c>
      <c r="D3802" t="s">
        <v>24</v>
      </c>
      <c r="E3802" t="s">
        <v>242</v>
      </c>
      <c r="F3802">
        <v>1</v>
      </c>
      <c r="G3802">
        <v>0.1</v>
      </c>
      <c r="H3802">
        <v>405</v>
      </c>
      <c r="I3802">
        <v>86.51</v>
      </c>
      <c r="J3802" t="s">
        <v>39</v>
      </c>
      <c r="K3802" t="s">
        <v>40</v>
      </c>
      <c r="L3802">
        <v>405</v>
      </c>
      <c r="M3802">
        <v>21.3604938271605</v>
      </c>
      <c r="N3802" t="s">
        <v>8</v>
      </c>
      <c r="O3802" t="s">
        <v>1606</v>
      </c>
      <c r="P3802" t="s">
        <v>73</v>
      </c>
      <c r="Q3802" t="s">
        <v>30</v>
      </c>
      <c r="R3802" t="s">
        <v>53</v>
      </c>
      <c r="S3802" t="s">
        <v>54</v>
      </c>
      <c r="T3802" t="s">
        <v>1607</v>
      </c>
      <c r="U3802" t="s">
        <v>34</v>
      </c>
      <c r="V3802">
        <v>86.51</v>
      </c>
    </row>
    <row r="3803" spans="1:22" x14ac:dyDescent="0.3">
      <c r="A3803" t="s">
        <v>5281</v>
      </c>
      <c r="B3803" s="2">
        <v>46247</v>
      </c>
      <c r="C3803" t="s">
        <v>225</v>
      </c>
      <c r="D3803" t="s">
        <v>70</v>
      </c>
      <c r="E3803" t="s">
        <v>108</v>
      </c>
      <c r="F3803">
        <v>3</v>
      </c>
      <c r="G3803">
        <v>0.05</v>
      </c>
      <c r="H3803">
        <v>12825</v>
      </c>
      <c r="I3803">
        <v>3945.43</v>
      </c>
      <c r="J3803" t="s">
        <v>65</v>
      </c>
      <c r="K3803" t="s">
        <v>40</v>
      </c>
      <c r="L3803">
        <v>4275</v>
      </c>
      <c r="M3803">
        <v>30.76358674463938</v>
      </c>
      <c r="N3803" t="s">
        <v>8</v>
      </c>
      <c r="O3803" t="s">
        <v>226</v>
      </c>
      <c r="P3803" t="s">
        <v>29</v>
      </c>
      <c r="Q3803" t="s">
        <v>30</v>
      </c>
      <c r="R3803" t="s">
        <v>31</v>
      </c>
      <c r="S3803" t="s">
        <v>32</v>
      </c>
      <c r="T3803" t="s">
        <v>227</v>
      </c>
      <c r="U3803" t="s">
        <v>100</v>
      </c>
      <c r="V3803">
        <v>1315.143333333333</v>
      </c>
    </row>
    <row r="3804" spans="1:22" x14ac:dyDescent="0.3">
      <c r="A3804" t="s">
        <v>5282</v>
      </c>
      <c r="B3804" s="2">
        <v>46077</v>
      </c>
      <c r="C3804" t="s">
        <v>305</v>
      </c>
      <c r="D3804" t="s">
        <v>37</v>
      </c>
      <c r="E3804" t="s">
        <v>38</v>
      </c>
      <c r="F3804">
        <v>4</v>
      </c>
      <c r="G3804">
        <v>0.1</v>
      </c>
      <c r="H3804">
        <v>6480</v>
      </c>
      <c r="I3804">
        <v>2137.4699999999998</v>
      </c>
      <c r="J3804" t="s">
        <v>51</v>
      </c>
      <c r="K3804" t="s">
        <v>40</v>
      </c>
      <c r="L3804">
        <v>1620</v>
      </c>
      <c r="M3804">
        <v>32.985648148148137</v>
      </c>
      <c r="N3804" t="s">
        <v>8</v>
      </c>
      <c r="O3804" t="s">
        <v>306</v>
      </c>
      <c r="P3804" t="s">
        <v>29</v>
      </c>
      <c r="Q3804" t="s">
        <v>30</v>
      </c>
      <c r="R3804" t="s">
        <v>60</v>
      </c>
      <c r="S3804" t="s">
        <v>61</v>
      </c>
      <c r="T3804" t="s">
        <v>307</v>
      </c>
      <c r="U3804" t="s">
        <v>34</v>
      </c>
      <c r="V3804">
        <v>534.36749999999995</v>
      </c>
    </row>
    <row r="3805" spans="1:22" x14ac:dyDescent="0.3">
      <c r="A3805" t="s">
        <v>5283</v>
      </c>
      <c r="B3805" s="2">
        <v>46181</v>
      </c>
      <c r="C3805" t="s">
        <v>1818</v>
      </c>
      <c r="D3805" t="s">
        <v>24</v>
      </c>
      <c r="E3805" t="s">
        <v>92</v>
      </c>
      <c r="F3805">
        <v>3</v>
      </c>
      <c r="G3805">
        <v>0.1</v>
      </c>
      <c r="H3805">
        <v>2430</v>
      </c>
      <c r="I3805">
        <v>641.54</v>
      </c>
      <c r="J3805" t="s">
        <v>26</v>
      </c>
      <c r="K3805" t="s">
        <v>40</v>
      </c>
      <c r="L3805">
        <v>810</v>
      </c>
      <c r="M3805">
        <v>26.40082304526749</v>
      </c>
      <c r="N3805" t="s">
        <v>8</v>
      </c>
      <c r="O3805" t="s">
        <v>243</v>
      </c>
      <c r="P3805" t="s">
        <v>29</v>
      </c>
      <c r="Q3805" t="s">
        <v>131</v>
      </c>
      <c r="R3805" t="s">
        <v>449</v>
      </c>
      <c r="S3805" t="s">
        <v>450</v>
      </c>
      <c r="T3805" t="s">
        <v>1819</v>
      </c>
      <c r="U3805" t="s">
        <v>100</v>
      </c>
      <c r="V3805">
        <v>213.84666666666669</v>
      </c>
    </row>
    <row r="3806" spans="1:22" x14ac:dyDescent="0.3">
      <c r="A3806" t="s">
        <v>5284</v>
      </c>
      <c r="B3806" s="2">
        <v>46264</v>
      </c>
      <c r="C3806" t="s">
        <v>726</v>
      </c>
      <c r="D3806" t="s">
        <v>24</v>
      </c>
      <c r="E3806" t="s">
        <v>92</v>
      </c>
      <c r="F3806">
        <v>6</v>
      </c>
      <c r="G3806">
        <v>0</v>
      </c>
      <c r="H3806">
        <v>5400</v>
      </c>
      <c r="I3806">
        <v>1680</v>
      </c>
      <c r="J3806" t="s">
        <v>26</v>
      </c>
      <c r="K3806" t="s">
        <v>40</v>
      </c>
      <c r="L3806">
        <v>900</v>
      </c>
      <c r="M3806">
        <v>31.111111111111111</v>
      </c>
      <c r="N3806" t="s">
        <v>8</v>
      </c>
      <c r="O3806" t="s">
        <v>727</v>
      </c>
      <c r="P3806" t="s">
        <v>29</v>
      </c>
      <c r="Q3806" t="s">
        <v>30</v>
      </c>
      <c r="R3806" t="s">
        <v>31</v>
      </c>
      <c r="S3806" t="s">
        <v>32</v>
      </c>
      <c r="T3806" t="s">
        <v>33</v>
      </c>
      <c r="U3806" t="s">
        <v>34</v>
      </c>
      <c r="V3806">
        <v>280</v>
      </c>
    </row>
    <row r="3807" spans="1:22" x14ac:dyDescent="0.3">
      <c r="A3807" t="s">
        <v>5285</v>
      </c>
      <c r="B3807" s="2">
        <v>46252</v>
      </c>
      <c r="C3807" t="s">
        <v>1143</v>
      </c>
      <c r="D3807" t="s">
        <v>70</v>
      </c>
      <c r="E3807" t="s">
        <v>165</v>
      </c>
      <c r="F3807">
        <v>1</v>
      </c>
      <c r="G3807">
        <v>0.3</v>
      </c>
      <c r="H3807">
        <v>1750</v>
      </c>
      <c r="I3807">
        <v>323.26</v>
      </c>
      <c r="J3807" t="s">
        <v>26</v>
      </c>
      <c r="K3807" t="s">
        <v>40</v>
      </c>
      <c r="L3807">
        <v>1750</v>
      </c>
      <c r="M3807">
        <v>18.472000000000001</v>
      </c>
      <c r="N3807" t="s">
        <v>8</v>
      </c>
      <c r="O3807" t="s">
        <v>1144</v>
      </c>
      <c r="P3807" t="s">
        <v>29</v>
      </c>
      <c r="Q3807" t="s">
        <v>30</v>
      </c>
      <c r="R3807" t="s">
        <v>31</v>
      </c>
      <c r="S3807" t="s">
        <v>32</v>
      </c>
      <c r="T3807" t="s">
        <v>1145</v>
      </c>
      <c r="U3807" t="s">
        <v>100</v>
      </c>
      <c r="V3807">
        <v>323.26</v>
      </c>
    </row>
    <row r="3808" spans="1:22" x14ac:dyDescent="0.3">
      <c r="A3808" t="s">
        <v>5286</v>
      </c>
      <c r="B3808" s="2">
        <v>45860</v>
      </c>
      <c r="C3808" t="s">
        <v>4485</v>
      </c>
      <c r="D3808" t="s">
        <v>49</v>
      </c>
      <c r="E3808" t="s">
        <v>50</v>
      </c>
      <c r="F3808">
        <v>3</v>
      </c>
      <c r="G3808">
        <v>0.1</v>
      </c>
      <c r="H3808">
        <v>35100</v>
      </c>
      <c r="I3808">
        <v>7464.64</v>
      </c>
      <c r="J3808" t="s">
        <v>65</v>
      </c>
      <c r="K3808" t="s">
        <v>40</v>
      </c>
      <c r="L3808">
        <v>11700</v>
      </c>
      <c r="M3808">
        <v>21.26678062678063</v>
      </c>
      <c r="N3808" t="s">
        <v>8</v>
      </c>
      <c r="O3808" t="s">
        <v>4486</v>
      </c>
      <c r="P3808" t="s">
        <v>83</v>
      </c>
      <c r="Q3808" t="s">
        <v>131</v>
      </c>
      <c r="R3808" t="s">
        <v>132</v>
      </c>
      <c r="S3808" t="s">
        <v>133</v>
      </c>
      <c r="T3808" t="s">
        <v>1850</v>
      </c>
      <c r="U3808" t="s">
        <v>34</v>
      </c>
      <c r="V3808">
        <v>2488.213333333334</v>
      </c>
    </row>
    <row r="3809" spans="1:22" x14ac:dyDescent="0.3">
      <c r="A3809" t="s">
        <v>5287</v>
      </c>
      <c r="B3809" s="2">
        <v>46068</v>
      </c>
      <c r="C3809" t="s">
        <v>2985</v>
      </c>
      <c r="D3809" t="s">
        <v>49</v>
      </c>
      <c r="E3809" t="s">
        <v>119</v>
      </c>
      <c r="F3809">
        <v>3</v>
      </c>
      <c r="G3809">
        <v>0</v>
      </c>
      <c r="H3809">
        <v>27000</v>
      </c>
      <c r="I3809">
        <v>6900</v>
      </c>
      <c r="J3809" t="s">
        <v>51</v>
      </c>
      <c r="K3809" t="s">
        <v>40</v>
      </c>
      <c r="L3809">
        <v>9000</v>
      </c>
      <c r="M3809">
        <v>25.55555555555555</v>
      </c>
      <c r="N3809" t="s">
        <v>8</v>
      </c>
      <c r="O3809" t="s">
        <v>754</v>
      </c>
      <c r="P3809" t="s">
        <v>83</v>
      </c>
      <c r="Q3809" t="s">
        <v>74</v>
      </c>
      <c r="R3809" t="s">
        <v>75</v>
      </c>
      <c r="S3809" t="s">
        <v>75</v>
      </c>
      <c r="T3809" t="s">
        <v>2986</v>
      </c>
      <c r="U3809" t="s">
        <v>34</v>
      </c>
      <c r="V3809">
        <v>2300</v>
      </c>
    </row>
    <row r="3810" spans="1:22" x14ac:dyDescent="0.3">
      <c r="A3810" t="s">
        <v>5288</v>
      </c>
      <c r="B3810" s="2">
        <v>46024</v>
      </c>
      <c r="C3810" t="s">
        <v>1637</v>
      </c>
      <c r="D3810" t="s">
        <v>37</v>
      </c>
      <c r="E3810" t="s">
        <v>170</v>
      </c>
      <c r="F3810">
        <v>1</v>
      </c>
      <c r="G3810">
        <v>0</v>
      </c>
      <c r="H3810">
        <v>1400</v>
      </c>
      <c r="I3810">
        <v>500</v>
      </c>
      <c r="J3810" t="s">
        <v>39</v>
      </c>
      <c r="K3810" t="s">
        <v>40</v>
      </c>
      <c r="L3810">
        <v>1400</v>
      </c>
      <c r="M3810">
        <v>35.714285714285722</v>
      </c>
      <c r="N3810" t="s">
        <v>8</v>
      </c>
      <c r="O3810" t="s">
        <v>697</v>
      </c>
      <c r="P3810" t="s">
        <v>29</v>
      </c>
      <c r="Q3810" t="s">
        <v>30</v>
      </c>
      <c r="R3810" t="s">
        <v>31</v>
      </c>
      <c r="S3810" t="s">
        <v>32</v>
      </c>
      <c r="T3810" t="s">
        <v>1638</v>
      </c>
      <c r="U3810" t="s">
        <v>46</v>
      </c>
      <c r="V3810">
        <v>500</v>
      </c>
    </row>
    <row r="3811" spans="1:22" x14ac:dyDescent="0.3">
      <c r="A3811" t="s">
        <v>5289</v>
      </c>
      <c r="B3811" s="2">
        <v>46061</v>
      </c>
      <c r="C3811" t="s">
        <v>1655</v>
      </c>
      <c r="D3811" t="s">
        <v>37</v>
      </c>
      <c r="E3811" t="s">
        <v>170</v>
      </c>
      <c r="F3811">
        <v>1</v>
      </c>
      <c r="G3811">
        <v>0.15</v>
      </c>
      <c r="H3811">
        <v>1190</v>
      </c>
      <c r="I3811">
        <v>375.16</v>
      </c>
      <c r="J3811" t="s">
        <v>65</v>
      </c>
      <c r="K3811" t="s">
        <v>40</v>
      </c>
      <c r="L3811">
        <v>1190</v>
      </c>
      <c r="M3811">
        <v>31.526050420168069</v>
      </c>
      <c r="N3811" t="s">
        <v>8</v>
      </c>
      <c r="O3811" t="s">
        <v>1656</v>
      </c>
      <c r="P3811" t="s">
        <v>29</v>
      </c>
      <c r="Q3811" t="s">
        <v>30</v>
      </c>
      <c r="R3811" t="s">
        <v>53</v>
      </c>
      <c r="S3811" t="s">
        <v>54</v>
      </c>
      <c r="T3811" t="s">
        <v>1657</v>
      </c>
      <c r="U3811" t="s">
        <v>34</v>
      </c>
      <c r="V3811">
        <v>375.16</v>
      </c>
    </row>
    <row r="3812" spans="1:22" x14ac:dyDescent="0.3">
      <c r="A3812" t="s">
        <v>5290</v>
      </c>
      <c r="B3812" s="2">
        <v>45887</v>
      </c>
      <c r="C3812" t="s">
        <v>3068</v>
      </c>
      <c r="D3812" t="s">
        <v>70</v>
      </c>
      <c r="E3812" t="s">
        <v>108</v>
      </c>
      <c r="F3812">
        <v>1</v>
      </c>
      <c r="G3812">
        <v>0.05</v>
      </c>
      <c r="H3812">
        <v>4275</v>
      </c>
      <c r="I3812">
        <v>1339.21</v>
      </c>
      <c r="J3812" t="s">
        <v>39</v>
      </c>
      <c r="K3812" t="s">
        <v>40</v>
      </c>
      <c r="L3812">
        <v>4275</v>
      </c>
      <c r="M3812">
        <v>31.326549707602339</v>
      </c>
      <c r="N3812" t="s">
        <v>8</v>
      </c>
      <c r="O3812" t="s">
        <v>784</v>
      </c>
      <c r="P3812" t="s">
        <v>29</v>
      </c>
      <c r="Q3812" t="s">
        <v>42</v>
      </c>
      <c r="R3812" t="s">
        <v>121</v>
      </c>
      <c r="S3812" t="s">
        <v>44</v>
      </c>
      <c r="T3812" t="s">
        <v>3069</v>
      </c>
      <c r="U3812" t="s">
        <v>34</v>
      </c>
      <c r="V3812">
        <v>1339.21</v>
      </c>
    </row>
    <row r="3813" spans="1:22" x14ac:dyDescent="0.3">
      <c r="A3813" t="s">
        <v>5291</v>
      </c>
      <c r="B3813" s="2">
        <v>46127</v>
      </c>
      <c r="C3813" t="s">
        <v>225</v>
      </c>
      <c r="D3813" t="s">
        <v>70</v>
      </c>
      <c r="E3813" t="s">
        <v>165</v>
      </c>
      <c r="F3813">
        <v>5</v>
      </c>
      <c r="G3813">
        <v>0.1</v>
      </c>
      <c r="H3813">
        <v>11250</v>
      </c>
      <c r="I3813">
        <v>3421.63</v>
      </c>
      <c r="J3813" t="s">
        <v>26</v>
      </c>
      <c r="K3813" t="s">
        <v>40</v>
      </c>
      <c r="L3813">
        <v>2250</v>
      </c>
      <c r="M3813">
        <v>30.41448888888889</v>
      </c>
      <c r="N3813" t="s">
        <v>8</v>
      </c>
      <c r="O3813" t="s">
        <v>226</v>
      </c>
      <c r="P3813" t="s">
        <v>29</v>
      </c>
      <c r="Q3813" t="s">
        <v>30</v>
      </c>
      <c r="R3813" t="s">
        <v>31</v>
      </c>
      <c r="S3813" t="s">
        <v>32</v>
      </c>
      <c r="T3813" t="s">
        <v>227</v>
      </c>
      <c r="U3813" t="s">
        <v>100</v>
      </c>
      <c r="V3813">
        <v>684.32600000000002</v>
      </c>
    </row>
    <row r="3814" spans="1:22" x14ac:dyDescent="0.3">
      <c r="A3814" t="s">
        <v>5292</v>
      </c>
      <c r="B3814" s="2">
        <v>46128</v>
      </c>
      <c r="C3814" t="s">
        <v>585</v>
      </c>
      <c r="D3814" t="s">
        <v>37</v>
      </c>
      <c r="E3814" t="s">
        <v>310</v>
      </c>
      <c r="F3814">
        <v>10</v>
      </c>
      <c r="G3814">
        <v>0</v>
      </c>
      <c r="H3814">
        <v>22000</v>
      </c>
      <c r="I3814">
        <v>7500</v>
      </c>
      <c r="J3814" t="s">
        <v>51</v>
      </c>
      <c r="K3814" t="s">
        <v>40</v>
      </c>
      <c r="L3814">
        <v>2200</v>
      </c>
      <c r="M3814">
        <v>34.090909090909093</v>
      </c>
      <c r="N3814" t="s">
        <v>8</v>
      </c>
      <c r="O3814" t="s">
        <v>586</v>
      </c>
      <c r="P3814" t="s">
        <v>73</v>
      </c>
      <c r="Q3814" t="s">
        <v>30</v>
      </c>
      <c r="R3814" t="s">
        <v>98</v>
      </c>
      <c r="S3814" t="s">
        <v>54</v>
      </c>
      <c r="T3814" t="s">
        <v>587</v>
      </c>
      <c r="U3814" t="s">
        <v>46</v>
      </c>
      <c r="V3814">
        <v>750</v>
      </c>
    </row>
    <row r="3815" spans="1:22" x14ac:dyDescent="0.3">
      <c r="A3815" t="s">
        <v>5293</v>
      </c>
      <c r="B3815" s="2">
        <v>46215</v>
      </c>
      <c r="C3815" t="s">
        <v>1189</v>
      </c>
      <c r="D3815" t="s">
        <v>70</v>
      </c>
      <c r="E3815" t="s">
        <v>71</v>
      </c>
      <c r="F3815">
        <v>1</v>
      </c>
      <c r="G3815">
        <v>0.05</v>
      </c>
      <c r="H3815">
        <v>17100</v>
      </c>
      <c r="I3815">
        <v>2795.96</v>
      </c>
      <c r="J3815" t="s">
        <v>26</v>
      </c>
      <c r="K3815" t="s">
        <v>40</v>
      </c>
      <c r="L3815">
        <v>17100</v>
      </c>
      <c r="M3815">
        <v>16.350643274853802</v>
      </c>
      <c r="N3815" t="s">
        <v>8</v>
      </c>
      <c r="O3815" t="s">
        <v>1190</v>
      </c>
      <c r="P3815" t="s">
        <v>83</v>
      </c>
      <c r="Q3815" t="s">
        <v>30</v>
      </c>
      <c r="R3815" t="s">
        <v>53</v>
      </c>
      <c r="S3815" t="s">
        <v>54</v>
      </c>
      <c r="T3815" t="s">
        <v>1191</v>
      </c>
      <c r="U3815" t="s">
        <v>34</v>
      </c>
      <c r="V3815">
        <v>2795.96</v>
      </c>
    </row>
    <row r="3816" spans="1:22" x14ac:dyDescent="0.3">
      <c r="A3816" t="s">
        <v>5294</v>
      </c>
      <c r="B3816" s="2">
        <v>46243</v>
      </c>
      <c r="C3816" t="s">
        <v>513</v>
      </c>
      <c r="D3816" t="s">
        <v>70</v>
      </c>
      <c r="E3816" t="s">
        <v>71</v>
      </c>
      <c r="F3816">
        <v>2</v>
      </c>
      <c r="G3816">
        <v>0.1</v>
      </c>
      <c r="H3816">
        <v>32400</v>
      </c>
      <c r="I3816">
        <v>4539.16</v>
      </c>
      <c r="J3816" t="s">
        <v>65</v>
      </c>
      <c r="K3816" t="s">
        <v>40</v>
      </c>
      <c r="L3816">
        <v>16200</v>
      </c>
      <c r="M3816">
        <v>14.009753086419749</v>
      </c>
      <c r="N3816" t="s">
        <v>8</v>
      </c>
      <c r="O3816" t="s">
        <v>514</v>
      </c>
      <c r="P3816" t="s">
        <v>73</v>
      </c>
      <c r="Q3816" t="s">
        <v>131</v>
      </c>
      <c r="R3816" t="s">
        <v>449</v>
      </c>
      <c r="S3816" t="s">
        <v>450</v>
      </c>
      <c r="T3816" t="s">
        <v>515</v>
      </c>
      <c r="U3816" t="s">
        <v>100</v>
      </c>
      <c r="V3816">
        <v>2269.58</v>
      </c>
    </row>
    <row r="3817" spans="1:22" x14ac:dyDescent="0.3">
      <c r="A3817" t="s">
        <v>5295</v>
      </c>
      <c r="B3817" s="2">
        <v>46256</v>
      </c>
      <c r="C3817" t="s">
        <v>2182</v>
      </c>
      <c r="D3817" t="s">
        <v>37</v>
      </c>
      <c r="E3817" t="s">
        <v>170</v>
      </c>
      <c r="F3817">
        <v>3</v>
      </c>
      <c r="G3817">
        <v>0.1</v>
      </c>
      <c r="H3817">
        <v>3780</v>
      </c>
      <c r="I3817">
        <v>1250.1500000000001</v>
      </c>
      <c r="J3817" t="s">
        <v>39</v>
      </c>
      <c r="K3817" t="s">
        <v>40</v>
      </c>
      <c r="L3817">
        <v>1260</v>
      </c>
      <c r="M3817">
        <v>33.072751322751323</v>
      </c>
      <c r="N3817" t="s">
        <v>8</v>
      </c>
      <c r="O3817" t="s">
        <v>2183</v>
      </c>
      <c r="P3817" t="s">
        <v>73</v>
      </c>
      <c r="Q3817" t="s">
        <v>30</v>
      </c>
      <c r="R3817" t="s">
        <v>98</v>
      </c>
      <c r="S3817" t="s">
        <v>54</v>
      </c>
      <c r="T3817" t="s">
        <v>2184</v>
      </c>
      <c r="U3817" t="s">
        <v>105</v>
      </c>
      <c r="V3817">
        <v>416.7166666666667</v>
      </c>
    </row>
    <row r="3818" spans="1:22" x14ac:dyDescent="0.3">
      <c r="A3818" t="s">
        <v>5296</v>
      </c>
      <c r="B3818" s="2">
        <v>46017</v>
      </c>
      <c r="C3818" t="s">
        <v>824</v>
      </c>
      <c r="D3818" t="s">
        <v>49</v>
      </c>
      <c r="E3818" t="s">
        <v>50</v>
      </c>
      <c r="F3818">
        <v>6</v>
      </c>
      <c r="G3818">
        <v>0</v>
      </c>
      <c r="H3818">
        <v>78000</v>
      </c>
      <c r="I3818">
        <v>-29414.69</v>
      </c>
      <c r="J3818" t="s">
        <v>39</v>
      </c>
      <c r="K3818" t="s">
        <v>434</v>
      </c>
      <c r="L3818">
        <v>13000</v>
      </c>
      <c r="M3818">
        <v>-37.711141025641027</v>
      </c>
      <c r="N3818" t="s">
        <v>81</v>
      </c>
      <c r="O3818" t="s">
        <v>825</v>
      </c>
      <c r="P3818" t="s">
        <v>29</v>
      </c>
      <c r="Q3818" t="s">
        <v>30</v>
      </c>
      <c r="R3818" t="s">
        <v>53</v>
      </c>
      <c r="S3818" t="s">
        <v>54</v>
      </c>
      <c r="T3818" t="s">
        <v>826</v>
      </c>
      <c r="U3818" t="s">
        <v>105</v>
      </c>
      <c r="V3818">
        <v>-4902.4483333333328</v>
      </c>
    </row>
    <row r="3819" spans="1:22" x14ac:dyDescent="0.3">
      <c r="A3819" t="s">
        <v>5297</v>
      </c>
      <c r="B3819" s="2">
        <v>46165</v>
      </c>
      <c r="C3819" t="s">
        <v>1474</v>
      </c>
      <c r="D3819" t="s">
        <v>70</v>
      </c>
      <c r="E3819" t="s">
        <v>129</v>
      </c>
      <c r="F3819">
        <v>2</v>
      </c>
      <c r="G3819">
        <v>0</v>
      </c>
      <c r="H3819">
        <v>110000</v>
      </c>
      <c r="I3819">
        <v>18000</v>
      </c>
      <c r="J3819" t="s">
        <v>51</v>
      </c>
      <c r="K3819" t="s">
        <v>40</v>
      </c>
      <c r="L3819">
        <v>55000</v>
      </c>
      <c r="M3819">
        <v>16.36363636363636</v>
      </c>
      <c r="N3819" t="s">
        <v>8</v>
      </c>
      <c r="O3819" t="s">
        <v>1475</v>
      </c>
      <c r="P3819" t="s">
        <v>73</v>
      </c>
      <c r="Q3819" t="s">
        <v>30</v>
      </c>
      <c r="R3819" t="s">
        <v>98</v>
      </c>
      <c r="S3819" t="s">
        <v>54</v>
      </c>
      <c r="T3819" t="s">
        <v>1476</v>
      </c>
      <c r="U3819" t="s">
        <v>100</v>
      </c>
      <c r="V3819">
        <v>9000</v>
      </c>
    </row>
    <row r="3820" spans="1:22" x14ac:dyDescent="0.3">
      <c r="A3820" t="s">
        <v>5298</v>
      </c>
      <c r="B3820" s="2">
        <v>46067</v>
      </c>
      <c r="C3820" t="s">
        <v>169</v>
      </c>
      <c r="D3820" t="s">
        <v>70</v>
      </c>
      <c r="E3820" t="s">
        <v>165</v>
      </c>
      <c r="F3820">
        <v>4</v>
      </c>
      <c r="G3820">
        <v>0.1</v>
      </c>
      <c r="H3820">
        <v>9000</v>
      </c>
      <c r="I3820">
        <v>2488.37</v>
      </c>
      <c r="J3820" t="s">
        <v>26</v>
      </c>
      <c r="K3820" t="s">
        <v>40</v>
      </c>
      <c r="L3820">
        <v>2250</v>
      </c>
      <c r="M3820">
        <v>27.64855555555555</v>
      </c>
      <c r="N3820" t="s">
        <v>8</v>
      </c>
      <c r="O3820" t="s">
        <v>171</v>
      </c>
      <c r="P3820" t="s">
        <v>29</v>
      </c>
      <c r="Q3820" t="s">
        <v>42</v>
      </c>
      <c r="R3820" t="s">
        <v>121</v>
      </c>
      <c r="S3820" t="s">
        <v>44</v>
      </c>
      <c r="T3820" t="s">
        <v>172</v>
      </c>
      <c r="U3820" t="s">
        <v>46</v>
      </c>
      <c r="V3820">
        <v>622.09249999999997</v>
      </c>
    </row>
    <row r="3821" spans="1:22" x14ac:dyDescent="0.3">
      <c r="A3821" t="s">
        <v>5299</v>
      </c>
      <c r="B3821" s="2">
        <v>46182</v>
      </c>
      <c r="C3821" t="s">
        <v>272</v>
      </c>
      <c r="D3821" t="s">
        <v>24</v>
      </c>
      <c r="E3821" t="s">
        <v>242</v>
      </c>
      <c r="F3821">
        <v>1</v>
      </c>
      <c r="G3821">
        <v>0.2</v>
      </c>
      <c r="H3821">
        <v>360</v>
      </c>
      <c r="I3821">
        <v>36.479999999999997</v>
      </c>
      <c r="J3821" t="s">
        <v>51</v>
      </c>
      <c r="K3821" t="s">
        <v>40</v>
      </c>
      <c r="L3821">
        <v>360</v>
      </c>
      <c r="M3821">
        <v>10.133333333333329</v>
      </c>
      <c r="N3821" t="s">
        <v>8</v>
      </c>
      <c r="O3821" t="s">
        <v>166</v>
      </c>
      <c r="P3821" t="s">
        <v>73</v>
      </c>
      <c r="Q3821" t="s">
        <v>30</v>
      </c>
      <c r="R3821" t="s">
        <v>98</v>
      </c>
      <c r="S3821" t="s">
        <v>54</v>
      </c>
      <c r="T3821" t="s">
        <v>273</v>
      </c>
      <c r="U3821" t="s">
        <v>105</v>
      </c>
      <c r="V3821">
        <v>36.479999999999997</v>
      </c>
    </row>
    <row r="3822" spans="1:22" x14ac:dyDescent="0.3">
      <c r="A3822" t="s">
        <v>5300</v>
      </c>
      <c r="B3822" s="2">
        <v>45994</v>
      </c>
      <c r="C3822" t="s">
        <v>389</v>
      </c>
      <c r="D3822" t="s">
        <v>70</v>
      </c>
      <c r="E3822" t="s">
        <v>129</v>
      </c>
      <c r="F3822">
        <v>3</v>
      </c>
      <c r="G3822">
        <v>0.1</v>
      </c>
      <c r="H3822">
        <v>148500</v>
      </c>
      <c r="I3822">
        <v>14121.78</v>
      </c>
      <c r="J3822" t="s">
        <v>26</v>
      </c>
      <c r="K3822" t="s">
        <v>27</v>
      </c>
      <c r="L3822">
        <v>49500</v>
      </c>
      <c r="M3822">
        <v>9.5096161616161616</v>
      </c>
      <c r="N3822" t="s">
        <v>8</v>
      </c>
      <c r="O3822" t="s">
        <v>390</v>
      </c>
      <c r="P3822" t="s">
        <v>29</v>
      </c>
      <c r="Q3822" t="s">
        <v>30</v>
      </c>
      <c r="R3822" t="s">
        <v>53</v>
      </c>
      <c r="S3822" t="s">
        <v>54</v>
      </c>
      <c r="T3822" t="s">
        <v>391</v>
      </c>
      <c r="U3822" t="s">
        <v>100</v>
      </c>
      <c r="V3822">
        <v>4707.26</v>
      </c>
    </row>
    <row r="3823" spans="1:22" x14ac:dyDescent="0.3">
      <c r="A3823" t="s">
        <v>5301</v>
      </c>
      <c r="B3823" s="2">
        <v>45878</v>
      </c>
      <c r="C3823" t="s">
        <v>678</v>
      </c>
      <c r="D3823" t="s">
        <v>70</v>
      </c>
      <c r="E3823" t="s">
        <v>129</v>
      </c>
      <c r="F3823">
        <v>2</v>
      </c>
      <c r="G3823">
        <v>0</v>
      </c>
      <c r="H3823">
        <v>110000</v>
      </c>
      <c r="I3823">
        <v>18000</v>
      </c>
      <c r="J3823" t="s">
        <v>65</v>
      </c>
      <c r="K3823" t="s">
        <v>40</v>
      </c>
      <c r="L3823">
        <v>55000</v>
      </c>
      <c r="M3823">
        <v>16.36363636363636</v>
      </c>
      <c r="N3823" t="s">
        <v>8</v>
      </c>
      <c r="O3823" t="s">
        <v>657</v>
      </c>
      <c r="P3823" t="s">
        <v>83</v>
      </c>
      <c r="Q3823" t="s">
        <v>30</v>
      </c>
      <c r="R3823" t="s">
        <v>31</v>
      </c>
      <c r="S3823" t="s">
        <v>32</v>
      </c>
      <c r="T3823" t="s">
        <v>679</v>
      </c>
      <c r="U3823" t="s">
        <v>100</v>
      </c>
      <c r="V3823">
        <v>9000</v>
      </c>
    </row>
    <row r="3824" spans="1:22" x14ac:dyDescent="0.3">
      <c r="A3824" t="s">
        <v>5302</v>
      </c>
      <c r="B3824" s="2">
        <v>46188</v>
      </c>
      <c r="C3824" t="s">
        <v>1979</v>
      </c>
      <c r="D3824" t="s">
        <v>24</v>
      </c>
      <c r="E3824" t="s">
        <v>242</v>
      </c>
      <c r="F3824">
        <v>2</v>
      </c>
      <c r="G3824">
        <v>0.1</v>
      </c>
      <c r="H3824">
        <v>810</v>
      </c>
      <c r="I3824">
        <v>179.45</v>
      </c>
      <c r="J3824" t="s">
        <v>51</v>
      </c>
      <c r="K3824" t="s">
        <v>40</v>
      </c>
      <c r="L3824">
        <v>405</v>
      </c>
      <c r="M3824">
        <v>22.154320987654319</v>
      </c>
      <c r="N3824" t="s">
        <v>8</v>
      </c>
      <c r="O3824" t="s">
        <v>1980</v>
      </c>
      <c r="P3824" t="s">
        <v>29</v>
      </c>
      <c r="Q3824" t="s">
        <v>42</v>
      </c>
      <c r="R3824" t="s">
        <v>110</v>
      </c>
      <c r="S3824" t="s">
        <v>111</v>
      </c>
      <c r="T3824" t="s">
        <v>1981</v>
      </c>
      <c r="U3824" t="s">
        <v>46</v>
      </c>
      <c r="V3824">
        <v>89.724999999999994</v>
      </c>
    </row>
    <row r="3825" spans="1:22" x14ac:dyDescent="0.3">
      <c r="A3825" t="s">
        <v>5303</v>
      </c>
      <c r="B3825" s="2">
        <v>46143</v>
      </c>
      <c r="C3825" t="s">
        <v>160</v>
      </c>
      <c r="D3825" t="s">
        <v>70</v>
      </c>
      <c r="E3825" t="s">
        <v>108</v>
      </c>
      <c r="F3825">
        <v>3</v>
      </c>
      <c r="G3825">
        <v>0.2</v>
      </c>
      <c r="H3825">
        <v>10800</v>
      </c>
      <c r="I3825">
        <v>2599.3200000000002</v>
      </c>
      <c r="J3825" t="s">
        <v>65</v>
      </c>
      <c r="K3825" t="s">
        <v>40</v>
      </c>
      <c r="L3825">
        <v>3600</v>
      </c>
      <c r="M3825">
        <v>24.067777777777781</v>
      </c>
      <c r="N3825" t="s">
        <v>8</v>
      </c>
      <c r="O3825" t="s">
        <v>161</v>
      </c>
      <c r="P3825" t="s">
        <v>29</v>
      </c>
      <c r="Q3825" t="s">
        <v>30</v>
      </c>
      <c r="R3825" t="s">
        <v>98</v>
      </c>
      <c r="S3825" t="s">
        <v>54</v>
      </c>
      <c r="T3825" t="s">
        <v>162</v>
      </c>
      <c r="U3825" t="s">
        <v>34</v>
      </c>
      <c r="V3825">
        <v>866.44</v>
      </c>
    </row>
    <row r="3826" spans="1:22" x14ac:dyDescent="0.3">
      <c r="A3826" t="s">
        <v>5304</v>
      </c>
      <c r="B3826" s="2">
        <v>46065</v>
      </c>
      <c r="C3826" t="s">
        <v>797</v>
      </c>
      <c r="D3826" t="s">
        <v>70</v>
      </c>
      <c r="E3826" t="s">
        <v>129</v>
      </c>
      <c r="F3826">
        <v>2</v>
      </c>
      <c r="G3826">
        <v>0.1</v>
      </c>
      <c r="H3826">
        <v>99000</v>
      </c>
      <c r="I3826">
        <v>12528.76</v>
      </c>
      <c r="J3826" t="s">
        <v>26</v>
      </c>
      <c r="K3826" t="s">
        <v>40</v>
      </c>
      <c r="L3826">
        <v>49500</v>
      </c>
      <c r="M3826">
        <v>12.655313131313131</v>
      </c>
      <c r="N3826" t="s">
        <v>8</v>
      </c>
      <c r="O3826" t="s">
        <v>798</v>
      </c>
      <c r="P3826" t="s">
        <v>73</v>
      </c>
      <c r="Q3826" t="s">
        <v>42</v>
      </c>
      <c r="R3826" t="s">
        <v>110</v>
      </c>
      <c r="S3826" t="s">
        <v>111</v>
      </c>
      <c r="T3826" t="s">
        <v>799</v>
      </c>
      <c r="U3826" t="s">
        <v>34</v>
      </c>
      <c r="V3826">
        <v>6264.38</v>
      </c>
    </row>
    <row r="3827" spans="1:22" x14ac:dyDescent="0.3">
      <c r="A3827" t="s">
        <v>5305</v>
      </c>
      <c r="B3827" s="2">
        <v>46148</v>
      </c>
      <c r="C3827" t="s">
        <v>1210</v>
      </c>
      <c r="D3827" t="s">
        <v>24</v>
      </c>
      <c r="E3827" t="s">
        <v>92</v>
      </c>
      <c r="F3827">
        <v>1</v>
      </c>
      <c r="G3827">
        <v>0</v>
      </c>
      <c r="H3827">
        <v>900</v>
      </c>
      <c r="I3827">
        <v>280</v>
      </c>
      <c r="J3827" t="s">
        <v>26</v>
      </c>
      <c r="K3827" t="s">
        <v>40</v>
      </c>
      <c r="L3827">
        <v>900</v>
      </c>
      <c r="M3827">
        <v>31.111111111111111</v>
      </c>
      <c r="N3827" t="s">
        <v>8</v>
      </c>
      <c r="O3827" t="s">
        <v>1190</v>
      </c>
      <c r="P3827" t="s">
        <v>73</v>
      </c>
      <c r="Q3827" t="s">
        <v>30</v>
      </c>
      <c r="R3827" t="s">
        <v>31</v>
      </c>
      <c r="S3827" t="s">
        <v>32</v>
      </c>
      <c r="T3827" t="s">
        <v>1211</v>
      </c>
      <c r="U3827" t="s">
        <v>46</v>
      </c>
      <c r="V3827">
        <v>280</v>
      </c>
    </row>
    <row r="3828" spans="1:22" x14ac:dyDescent="0.3">
      <c r="A3828" t="s">
        <v>5306</v>
      </c>
      <c r="B3828" s="2">
        <v>45860</v>
      </c>
      <c r="C3828" t="s">
        <v>1193</v>
      </c>
      <c r="D3828" t="s">
        <v>70</v>
      </c>
      <c r="E3828" t="s">
        <v>71</v>
      </c>
      <c r="F3828">
        <v>1</v>
      </c>
      <c r="G3828">
        <v>0</v>
      </c>
      <c r="H3828">
        <v>18000</v>
      </c>
      <c r="I3828">
        <v>3500</v>
      </c>
      <c r="J3828" t="s">
        <v>26</v>
      </c>
      <c r="K3828" t="s">
        <v>40</v>
      </c>
      <c r="L3828">
        <v>18000</v>
      </c>
      <c r="M3828">
        <v>19.44444444444445</v>
      </c>
      <c r="N3828" t="s">
        <v>8</v>
      </c>
      <c r="O3828" t="s">
        <v>781</v>
      </c>
      <c r="P3828" t="s">
        <v>29</v>
      </c>
      <c r="Q3828" t="s">
        <v>30</v>
      </c>
      <c r="R3828" t="s">
        <v>31</v>
      </c>
      <c r="S3828" t="s">
        <v>32</v>
      </c>
      <c r="T3828" t="s">
        <v>1194</v>
      </c>
      <c r="U3828" t="s">
        <v>46</v>
      </c>
      <c r="V3828">
        <v>3500</v>
      </c>
    </row>
    <row r="3829" spans="1:22" x14ac:dyDescent="0.3">
      <c r="A3829" t="s">
        <v>5307</v>
      </c>
      <c r="B3829" s="2">
        <v>46186</v>
      </c>
      <c r="C3829" t="s">
        <v>2145</v>
      </c>
      <c r="D3829" t="s">
        <v>37</v>
      </c>
      <c r="E3829" t="s">
        <v>310</v>
      </c>
      <c r="F3829">
        <v>1</v>
      </c>
      <c r="G3829">
        <v>0.15</v>
      </c>
      <c r="H3829">
        <v>1870</v>
      </c>
      <c r="I3829">
        <v>529.38</v>
      </c>
      <c r="J3829" t="s">
        <v>26</v>
      </c>
      <c r="K3829" t="s">
        <v>40</v>
      </c>
      <c r="L3829">
        <v>1870</v>
      </c>
      <c r="M3829">
        <v>28.309090909090909</v>
      </c>
      <c r="N3829" t="s">
        <v>8</v>
      </c>
      <c r="O3829" t="s">
        <v>302</v>
      </c>
      <c r="P3829" t="s">
        <v>29</v>
      </c>
      <c r="Q3829" t="s">
        <v>30</v>
      </c>
      <c r="R3829" t="s">
        <v>98</v>
      </c>
      <c r="S3829" t="s">
        <v>54</v>
      </c>
      <c r="T3829" t="s">
        <v>601</v>
      </c>
      <c r="U3829" t="s">
        <v>46</v>
      </c>
      <c r="V3829">
        <v>529.38</v>
      </c>
    </row>
    <row r="3830" spans="1:22" x14ac:dyDescent="0.3">
      <c r="A3830" t="s">
        <v>5308</v>
      </c>
      <c r="B3830" s="2">
        <v>45991</v>
      </c>
      <c r="C3830" t="s">
        <v>4554</v>
      </c>
      <c r="D3830" t="s">
        <v>70</v>
      </c>
      <c r="E3830" t="s">
        <v>165</v>
      </c>
      <c r="F3830">
        <v>6</v>
      </c>
      <c r="G3830">
        <v>0</v>
      </c>
      <c r="H3830">
        <v>15000</v>
      </c>
      <c r="I3830">
        <v>4800</v>
      </c>
      <c r="J3830" t="s">
        <v>65</v>
      </c>
      <c r="K3830" t="s">
        <v>40</v>
      </c>
      <c r="L3830">
        <v>2500</v>
      </c>
      <c r="M3830">
        <v>32</v>
      </c>
      <c r="N3830" t="s">
        <v>8</v>
      </c>
      <c r="O3830" t="s">
        <v>3078</v>
      </c>
      <c r="P3830" t="s">
        <v>29</v>
      </c>
      <c r="Q3830" t="s">
        <v>42</v>
      </c>
      <c r="R3830" t="s">
        <v>121</v>
      </c>
      <c r="S3830" t="s">
        <v>44</v>
      </c>
      <c r="T3830" t="s">
        <v>4555</v>
      </c>
      <c r="U3830" t="s">
        <v>34</v>
      </c>
      <c r="V3830">
        <v>800</v>
      </c>
    </row>
    <row r="3831" spans="1:22" x14ac:dyDescent="0.3">
      <c r="A3831" t="s">
        <v>5309</v>
      </c>
      <c r="B3831" s="2">
        <v>46199</v>
      </c>
      <c r="C3831" t="s">
        <v>2306</v>
      </c>
      <c r="D3831" t="s">
        <v>70</v>
      </c>
      <c r="E3831" t="s">
        <v>165</v>
      </c>
      <c r="F3831">
        <v>4</v>
      </c>
      <c r="G3831">
        <v>0.1</v>
      </c>
      <c r="H3831">
        <v>9000</v>
      </c>
      <c r="I3831">
        <v>2399.85</v>
      </c>
      <c r="J3831" t="s">
        <v>51</v>
      </c>
      <c r="K3831" t="s">
        <v>40</v>
      </c>
      <c r="L3831">
        <v>2250</v>
      </c>
      <c r="M3831">
        <v>26.664999999999999</v>
      </c>
      <c r="N3831" t="s">
        <v>8</v>
      </c>
      <c r="O3831" t="s">
        <v>711</v>
      </c>
      <c r="P3831" t="s">
        <v>73</v>
      </c>
      <c r="Q3831" t="s">
        <v>42</v>
      </c>
      <c r="R3831" t="s">
        <v>121</v>
      </c>
      <c r="S3831" t="s">
        <v>44</v>
      </c>
      <c r="T3831" t="s">
        <v>964</v>
      </c>
      <c r="U3831" t="s">
        <v>100</v>
      </c>
      <c r="V3831">
        <v>599.96249999999998</v>
      </c>
    </row>
    <row r="3832" spans="1:22" x14ac:dyDescent="0.3">
      <c r="A3832" t="s">
        <v>5310</v>
      </c>
      <c r="B3832" s="2">
        <v>46162</v>
      </c>
      <c r="C3832" t="s">
        <v>1091</v>
      </c>
      <c r="D3832" t="s">
        <v>49</v>
      </c>
      <c r="E3832" t="s">
        <v>79</v>
      </c>
      <c r="F3832">
        <v>2</v>
      </c>
      <c r="G3832">
        <v>0.1</v>
      </c>
      <c r="H3832">
        <v>19800</v>
      </c>
      <c r="I3832">
        <v>3603.15</v>
      </c>
      <c r="J3832" t="s">
        <v>26</v>
      </c>
      <c r="K3832" t="s">
        <v>40</v>
      </c>
      <c r="L3832">
        <v>9900</v>
      </c>
      <c r="M3832">
        <v>18.197727272727271</v>
      </c>
      <c r="N3832" t="s">
        <v>8</v>
      </c>
      <c r="O3832" t="s">
        <v>1018</v>
      </c>
      <c r="P3832" t="s">
        <v>83</v>
      </c>
      <c r="Q3832" t="s">
        <v>30</v>
      </c>
      <c r="R3832" t="s">
        <v>31</v>
      </c>
      <c r="S3832" t="s">
        <v>32</v>
      </c>
      <c r="T3832" t="s">
        <v>1092</v>
      </c>
      <c r="U3832" t="s">
        <v>105</v>
      </c>
      <c r="V3832">
        <v>1801.575</v>
      </c>
    </row>
    <row r="3833" spans="1:22" x14ac:dyDescent="0.3">
      <c r="A3833" t="s">
        <v>5311</v>
      </c>
      <c r="B3833" s="2">
        <v>45935</v>
      </c>
      <c r="C3833" t="s">
        <v>1423</v>
      </c>
      <c r="D3833" t="s">
        <v>24</v>
      </c>
      <c r="E3833" t="s">
        <v>92</v>
      </c>
      <c r="F3833">
        <v>2</v>
      </c>
      <c r="G3833">
        <v>0.15</v>
      </c>
      <c r="H3833">
        <v>1530</v>
      </c>
      <c r="I3833">
        <v>371.04</v>
      </c>
      <c r="J3833" t="s">
        <v>51</v>
      </c>
      <c r="K3833" t="s">
        <v>40</v>
      </c>
      <c r="L3833">
        <v>765</v>
      </c>
      <c r="M3833">
        <v>24.250980392156869</v>
      </c>
      <c r="N3833" t="s">
        <v>8</v>
      </c>
      <c r="O3833" t="s">
        <v>1424</v>
      </c>
      <c r="P3833" t="s">
        <v>29</v>
      </c>
      <c r="Q3833" t="s">
        <v>74</v>
      </c>
      <c r="R3833" t="s">
        <v>75</v>
      </c>
      <c r="S3833" t="s">
        <v>75</v>
      </c>
      <c r="T3833" t="s">
        <v>1425</v>
      </c>
      <c r="U3833" t="s">
        <v>34</v>
      </c>
      <c r="V3833">
        <v>185.52</v>
      </c>
    </row>
    <row r="3834" spans="1:22" x14ac:dyDescent="0.3">
      <c r="A3834" t="s">
        <v>5312</v>
      </c>
      <c r="B3834" s="2">
        <v>46160</v>
      </c>
      <c r="C3834" t="s">
        <v>2507</v>
      </c>
      <c r="D3834" t="s">
        <v>70</v>
      </c>
      <c r="E3834" t="s">
        <v>129</v>
      </c>
      <c r="F3834">
        <v>4</v>
      </c>
      <c r="G3834">
        <v>0</v>
      </c>
      <c r="H3834">
        <v>220000</v>
      </c>
      <c r="I3834">
        <v>36000</v>
      </c>
      <c r="J3834" t="s">
        <v>39</v>
      </c>
      <c r="K3834" t="s">
        <v>27</v>
      </c>
      <c r="L3834">
        <v>55000</v>
      </c>
      <c r="M3834">
        <v>16.36363636363636</v>
      </c>
      <c r="N3834" t="s">
        <v>8</v>
      </c>
      <c r="O3834" t="s">
        <v>754</v>
      </c>
      <c r="P3834" t="s">
        <v>29</v>
      </c>
      <c r="Q3834" t="s">
        <v>42</v>
      </c>
      <c r="R3834" t="s">
        <v>43</v>
      </c>
      <c r="S3834" t="s">
        <v>44</v>
      </c>
      <c r="T3834" t="s">
        <v>1145</v>
      </c>
      <c r="U3834" t="s">
        <v>34</v>
      </c>
      <c r="V3834">
        <v>9000</v>
      </c>
    </row>
    <row r="3835" spans="1:22" x14ac:dyDescent="0.3">
      <c r="A3835" t="s">
        <v>5313</v>
      </c>
      <c r="B3835" s="2">
        <v>45919</v>
      </c>
      <c r="C3835" t="s">
        <v>1910</v>
      </c>
      <c r="D3835" t="s">
        <v>49</v>
      </c>
      <c r="E3835" t="s">
        <v>58</v>
      </c>
      <c r="F3835">
        <v>5</v>
      </c>
      <c r="G3835">
        <v>0</v>
      </c>
      <c r="H3835">
        <v>75000</v>
      </c>
      <c r="I3835">
        <v>17500</v>
      </c>
      <c r="J3835" t="s">
        <v>39</v>
      </c>
      <c r="K3835" t="s">
        <v>40</v>
      </c>
      <c r="L3835">
        <v>15000</v>
      </c>
      <c r="M3835">
        <v>23.333333333333329</v>
      </c>
      <c r="N3835" t="s">
        <v>8</v>
      </c>
      <c r="O3835" t="s">
        <v>1461</v>
      </c>
      <c r="P3835" t="s">
        <v>29</v>
      </c>
      <c r="Q3835" t="s">
        <v>131</v>
      </c>
      <c r="R3835" t="s">
        <v>289</v>
      </c>
      <c r="S3835" t="s">
        <v>290</v>
      </c>
      <c r="T3835" t="s">
        <v>1590</v>
      </c>
      <c r="U3835" t="s">
        <v>34</v>
      </c>
      <c r="V3835">
        <v>3500</v>
      </c>
    </row>
    <row r="3836" spans="1:22" x14ac:dyDescent="0.3">
      <c r="A3836" t="s">
        <v>5314</v>
      </c>
      <c r="B3836" s="2">
        <v>46004</v>
      </c>
      <c r="C3836" t="s">
        <v>263</v>
      </c>
      <c r="D3836" t="s">
        <v>24</v>
      </c>
      <c r="E3836" t="s">
        <v>87</v>
      </c>
      <c r="F3836">
        <v>4</v>
      </c>
      <c r="G3836">
        <v>0.1</v>
      </c>
      <c r="H3836">
        <v>1260</v>
      </c>
      <c r="I3836">
        <v>366.44</v>
      </c>
      <c r="J3836" t="s">
        <v>65</v>
      </c>
      <c r="K3836" t="s">
        <v>40</v>
      </c>
      <c r="L3836">
        <v>315</v>
      </c>
      <c r="M3836">
        <v>29.082539682539679</v>
      </c>
      <c r="N3836" t="s">
        <v>8</v>
      </c>
      <c r="O3836" t="s">
        <v>265</v>
      </c>
      <c r="P3836" t="s">
        <v>73</v>
      </c>
      <c r="Q3836" t="s">
        <v>30</v>
      </c>
      <c r="R3836" t="s">
        <v>31</v>
      </c>
      <c r="S3836" t="s">
        <v>32</v>
      </c>
      <c r="T3836" t="s">
        <v>266</v>
      </c>
      <c r="U3836" t="s">
        <v>46</v>
      </c>
      <c r="V3836">
        <v>91.61</v>
      </c>
    </row>
    <row r="3837" spans="1:22" x14ac:dyDescent="0.3">
      <c r="A3837" t="s">
        <v>5315</v>
      </c>
      <c r="B3837" s="2">
        <v>46216</v>
      </c>
      <c r="C3837" t="s">
        <v>1694</v>
      </c>
      <c r="D3837" t="s">
        <v>24</v>
      </c>
      <c r="E3837" t="s">
        <v>92</v>
      </c>
      <c r="F3837">
        <v>5</v>
      </c>
      <c r="G3837">
        <v>0.1</v>
      </c>
      <c r="H3837">
        <v>4050</v>
      </c>
      <c r="I3837">
        <v>1063.32</v>
      </c>
      <c r="J3837" t="s">
        <v>39</v>
      </c>
      <c r="K3837" t="s">
        <v>40</v>
      </c>
      <c r="L3837">
        <v>810</v>
      </c>
      <c r="M3837">
        <v>26.254814814814811</v>
      </c>
      <c r="N3837" t="s">
        <v>8</v>
      </c>
      <c r="O3837" t="s">
        <v>1695</v>
      </c>
      <c r="P3837" t="s">
        <v>73</v>
      </c>
      <c r="Q3837" t="s">
        <v>30</v>
      </c>
      <c r="R3837" t="s">
        <v>60</v>
      </c>
      <c r="S3837" t="s">
        <v>61</v>
      </c>
      <c r="T3837" t="s">
        <v>1696</v>
      </c>
      <c r="U3837" t="s">
        <v>100</v>
      </c>
      <c r="V3837">
        <v>212.66399999999999</v>
      </c>
    </row>
    <row r="3838" spans="1:22" x14ac:dyDescent="0.3">
      <c r="A3838" t="s">
        <v>5316</v>
      </c>
      <c r="B3838" s="2">
        <v>46114</v>
      </c>
      <c r="C3838" t="s">
        <v>640</v>
      </c>
      <c r="D3838" t="s">
        <v>49</v>
      </c>
      <c r="E3838" t="s">
        <v>79</v>
      </c>
      <c r="F3838">
        <v>3</v>
      </c>
      <c r="G3838">
        <v>0.1</v>
      </c>
      <c r="H3838">
        <v>29700</v>
      </c>
      <c r="I3838">
        <v>5683.47</v>
      </c>
      <c r="J3838" t="s">
        <v>39</v>
      </c>
      <c r="K3838" t="s">
        <v>40</v>
      </c>
      <c r="L3838">
        <v>9900</v>
      </c>
      <c r="M3838">
        <v>19.136262626262631</v>
      </c>
      <c r="N3838" t="s">
        <v>8</v>
      </c>
      <c r="O3838" t="s">
        <v>641</v>
      </c>
      <c r="P3838" t="s">
        <v>29</v>
      </c>
      <c r="Q3838" t="s">
        <v>30</v>
      </c>
      <c r="R3838" t="s">
        <v>31</v>
      </c>
      <c r="S3838" t="s">
        <v>32</v>
      </c>
      <c r="T3838" t="s">
        <v>642</v>
      </c>
      <c r="U3838" t="s">
        <v>34</v>
      </c>
      <c r="V3838">
        <v>1894.49</v>
      </c>
    </row>
    <row r="3839" spans="1:22" x14ac:dyDescent="0.3">
      <c r="A3839" t="s">
        <v>5317</v>
      </c>
      <c r="B3839" s="2">
        <v>46053</v>
      </c>
      <c r="C3839" t="s">
        <v>1849</v>
      </c>
      <c r="D3839" t="s">
        <v>37</v>
      </c>
      <c r="E3839" t="s">
        <v>170</v>
      </c>
      <c r="F3839">
        <v>2</v>
      </c>
      <c r="G3839">
        <v>0.1</v>
      </c>
      <c r="H3839">
        <v>2520</v>
      </c>
      <c r="I3839">
        <v>820.28</v>
      </c>
      <c r="J3839" t="s">
        <v>39</v>
      </c>
      <c r="K3839" t="s">
        <v>40</v>
      </c>
      <c r="L3839">
        <v>1260</v>
      </c>
      <c r="M3839">
        <v>32.550793650793651</v>
      </c>
      <c r="N3839" t="s">
        <v>8</v>
      </c>
      <c r="O3839" t="s">
        <v>171</v>
      </c>
      <c r="P3839" t="s">
        <v>83</v>
      </c>
      <c r="Q3839" t="s">
        <v>131</v>
      </c>
      <c r="R3839" t="s">
        <v>289</v>
      </c>
      <c r="S3839" t="s">
        <v>290</v>
      </c>
      <c r="T3839" t="s">
        <v>1850</v>
      </c>
      <c r="U3839" t="s">
        <v>34</v>
      </c>
      <c r="V3839">
        <v>410.14</v>
      </c>
    </row>
    <row r="3840" spans="1:22" x14ac:dyDescent="0.3">
      <c r="A3840" t="s">
        <v>5318</v>
      </c>
      <c r="B3840" s="2">
        <v>45990</v>
      </c>
      <c r="C3840" t="s">
        <v>1568</v>
      </c>
      <c r="D3840" t="s">
        <v>49</v>
      </c>
      <c r="E3840" t="s">
        <v>58</v>
      </c>
      <c r="F3840">
        <v>1</v>
      </c>
      <c r="G3840">
        <v>0</v>
      </c>
      <c r="H3840">
        <v>15000</v>
      </c>
      <c r="I3840">
        <v>3500</v>
      </c>
      <c r="J3840" t="s">
        <v>39</v>
      </c>
      <c r="K3840" t="s">
        <v>40</v>
      </c>
      <c r="L3840">
        <v>15000</v>
      </c>
      <c r="M3840">
        <v>23.333333333333329</v>
      </c>
      <c r="N3840" t="s">
        <v>8</v>
      </c>
      <c r="O3840" t="s">
        <v>1569</v>
      </c>
      <c r="P3840" t="s">
        <v>83</v>
      </c>
      <c r="Q3840" t="s">
        <v>42</v>
      </c>
      <c r="R3840" t="s">
        <v>121</v>
      </c>
      <c r="S3840" t="s">
        <v>44</v>
      </c>
      <c r="T3840" t="s">
        <v>1570</v>
      </c>
      <c r="U3840" t="s">
        <v>46</v>
      </c>
      <c r="V3840">
        <v>3500</v>
      </c>
    </row>
    <row r="3841" spans="1:22" x14ac:dyDescent="0.3">
      <c r="A3841" t="s">
        <v>5319</v>
      </c>
      <c r="B3841" s="2">
        <v>45922</v>
      </c>
      <c r="C3841" t="s">
        <v>385</v>
      </c>
      <c r="D3841" t="s">
        <v>70</v>
      </c>
      <c r="E3841" t="s">
        <v>129</v>
      </c>
      <c r="F3841">
        <v>6</v>
      </c>
      <c r="G3841">
        <v>0.1</v>
      </c>
      <c r="H3841">
        <v>297000</v>
      </c>
      <c r="I3841">
        <v>26317.73</v>
      </c>
      <c r="J3841" t="s">
        <v>65</v>
      </c>
      <c r="K3841" t="s">
        <v>40</v>
      </c>
      <c r="L3841">
        <v>49500</v>
      </c>
      <c r="M3841">
        <v>8.8611885521885529</v>
      </c>
      <c r="N3841" t="s">
        <v>8</v>
      </c>
      <c r="O3841" t="s">
        <v>386</v>
      </c>
      <c r="P3841" t="s">
        <v>29</v>
      </c>
      <c r="Q3841" t="s">
        <v>30</v>
      </c>
      <c r="R3841" t="s">
        <v>60</v>
      </c>
      <c r="S3841" t="s">
        <v>61</v>
      </c>
      <c r="T3841" t="s">
        <v>387</v>
      </c>
      <c r="U3841" t="s">
        <v>100</v>
      </c>
      <c r="V3841">
        <v>4386.288333333333</v>
      </c>
    </row>
    <row r="3842" spans="1:22" x14ac:dyDescent="0.3">
      <c r="A3842" t="s">
        <v>5320</v>
      </c>
      <c r="B3842" s="2">
        <v>46022</v>
      </c>
      <c r="C3842" t="s">
        <v>358</v>
      </c>
      <c r="D3842" t="s">
        <v>49</v>
      </c>
      <c r="E3842" t="s">
        <v>79</v>
      </c>
      <c r="F3842">
        <v>3</v>
      </c>
      <c r="G3842">
        <v>0.1</v>
      </c>
      <c r="H3842">
        <v>29700</v>
      </c>
      <c r="I3842">
        <v>6168.79</v>
      </c>
      <c r="J3842" t="s">
        <v>51</v>
      </c>
      <c r="K3842" t="s">
        <v>27</v>
      </c>
      <c r="L3842">
        <v>9900</v>
      </c>
      <c r="M3842">
        <v>20.770336700336699</v>
      </c>
      <c r="N3842" t="s">
        <v>8</v>
      </c>
      <c r="O3842" t="s">
        <v>359</v>
      </c>
      <c r="P3842" t="s">
        <v>83</v>
      </c>
      <c r="Q3842" t="s">
        <v>42</v>
      </c>
      <c r="R3842" t="s">
        <v>214</v>
      </c>
      <c r="S3842" t="s">
        <v>111</v>
      </c>
      <c r="T3842" t="s">
        <v>256</v>
      </c>
      <c r="U3842" t="s">
        <v>46</v>
      </c>
      <c r="V3842">
        <v>2056.2633333333329</v>
      </c>
    </row>
    <row r="3843" spans="1:22" x14ac:dyDescent="0.3">
      <c r="A3843" t="s">
        <v>5321</v>
      </c>
      <c r="B3843" s="2">
        <v>46040</v>
      </c>
      <c r="C3843" t="s">
        <v>1094</v>
      </c>
      <c r="D3843" t="s">
        <v>24</v>
      </c>
      <c r="E3843" t="s">
        <v>92</v>
      </c>
      <c r="F3843">
        <v>1</v>
      </c>
      <c r="G3843">
        <v>0</v>
      </c>
      <c r="H3843">
        <v>900</v>
      </c>
      <c r="I3843">
        <v>280</v>
      </c>
      <c r="J3843" t="s">
        <v>26</v>
      </c>
      <c r="K3843" t="s">
        <v>40</v>
      </c>
      <c r="L3843">
        <v>900</v>
      </c>
      <c r="M3843">
        <v>31.111111111111111</v>
      </c>
      <c r="N3843" t="s">
        <v>8</v>
      </c>
      <c r="O3843" t="s">
        <v>183</v>
      </c>
      <c r="P3843" t="s">
        <v>73</v>
      </c>
      <c r="Q3843" t="s">
        <v>30</v>
      </c>
      <c r="R3843" t="s">
        <v>31</v>
      </c>
      <c r="S3843" t="s">
        <v>32</v>
      </c>
      <c r="T3843" t="s">
        <v>1095</v>
      </c>
      <c r="U3843" t="s">
        <v>105</v>
      </c>
      <c r="V3843">
        <v>280</v>
      </c>
    </row>
    <row r="3844" spans="1:22" x14ac:dyDescent="0.3">
      <c r="A3844" t="s">
        <v>5322</v>
      </c>
      <c r="B3844" s="2">
        <v>46109</v>
      </c>
      <c r="C3844" t="s">
        <v>1655</v>
      </c>
      <c r="D3844" t="s">
        <v>49</v>
      </c>
      <c r="E3844" t="s">
        <v>58</v>
      </c>
      <c r="F3844">
        <v>2</v>
      </c>
      <c r="G3844">
        <v>0.05</v>
      </c>
      <c r="H3844">
        <v>28500</v>
      </c>
      <c r="I3844">
        <v>5964.81</v>
      </c>
      <c r="J3844" t="s">
        <v>39</v>
      </c>
      <c r="K3844" t="s">
        <v>40</v>
      </c>
      <c r="L3844">
        <v>14250</v>
      </c>
      <c r="M3844">
        <v>20.929157894736839</v>
      </c>
      <c r="N3844" t="s">
        <v>8</v>
      </c>
      <c r="O3844" t="s">
        <v>1656</v>
      </c>
      <c r="P3844" t="s">
        <v>29</v>
      </c>
      <c r="Q3844" t="s">
        <v>30</v>
      </c>
      <c r="R3844" t="s">
        <v>53</v>
      </c>
      <c r="S3844" t="s">
        <v>54</v>
      </c>
      <c r="T3844" t="s">
        <v>1657</v>
      </c>
      <c r="U3844" t="s">
        <v>34</v>
      </c>
      <c r="V3844">
        <v>2982.4050000000002</v>
      </c>
    </row>
    <row r="3845" spans="1:22" x14ac:dyDescent="0.3">
      <c r="A3845" t="s">
        <v>5323</v>
      </c>
      <c r="B3845" s="2">
        <v>45931</v>
      </c>
      <c r="C3845" t="s">
        <v>1723</v>
      </c>
      <c r="D3845" t="s">
        <v>37</v>
      </c>
      <c r="E3845" t="s">
        <v>310</v>
      </c>
      <c r="F3845">
        <v>2</v>
      </c>
      <c r="G3845">
        <v>0.1</v>
      </c>
      <c r="H3845">
        <v>3960</v>
      </c>
      <c r="I3845">
        <v>1245.5</v>
      </c>
      <c r="J3845" t="s">
        <v>39</v>
      </c>
      <c r="K3845" t="s">
        <v>40</v>
      </c>
      <c r="L3845">
        <v>1980</v>
      </c>
      <c r="M3845">
        <v>31.452020202020201</v>
      </c>
      <c r="N3845" t="s">
        <v>8</v>
      </c>
      <c r="O3845" t="s">
        <v>398</v>
      </c>
      <c r="P3845" t="s">
        <v>83</v>
      </c>
      <c r="Q3845" t="s">
        <v>30</v>
      </c>
      <c r="R3845" t="s">
        <v>98</v>
      </c>
      <c r="S3845" t="s">
        <v>54</v>
      </c>
      <c r="T3845" t="s">
        <v>1724</v>
      </c>
      <c r="U3845" t="s">
        <v>46</v>
      </c>
      <c r="V3845">
        <v>622.75</v>
      </c>
    </row>
    <row r="3846" spans="1:22" x14ac:dyDescent="0.3">
      <c r="A3846" t="s">
        <v>5324</v>
      </c>
      <c r="B3846" s="2">
        <v>46133</v>
      </c>
      <c r="C3846" t="s">
        <v>417</v>
      </c>
      <c r="D3846" t="s">
        <v>49</v>
      </c>
      <c r="E3846" t="s">
        <v>50</v>
      </c>
      <c r="F3846">
        <v>3</v>
      </c>
      <c r="G3846">
        <v>0.1</v>
      </c>
      <c r="H3846">
        <v>35100</v>
      </c>
      <c r="I3846">
        <v>7038.16</v>
      </c>
      <c r="J3846" t="s">
        <v>65</v>
      </c>
      <c r="K3846" t="s">
        <v>40</v>
      </c>
      <c r="L3846">
        <v>11700</v>
      </c>
      <c r="M3846">
        <v>20.05173789173789</v>
      </c>
      <c r="N3846" t="s">
        <v>8</v>
      </c>
      <c r="O3846" t="s">
        <v>418</v>
      </c>
      <c r="P3846" t="s">
        <v>29</v>
      </c>
      <c r="Q3846" t="s">
        <v>30</v>
      </c>
      <c r="R3846" t="s">
        <v>60</v>
      </c>
      <c r="S3846" t="s">
        <v>61</v>
      </c>
      <c r="T3846" t="s">
        <v>419</v>
      </c>
      <c r="U3846" t="s">
        <v>34</v>
      </c>
      <c r="V3846">
        <v>2346.0533333333328</v>
      </c>
    </row>
    <row r="3847" spans="1:22" x14ac:dyDescent="0.3">
      <c r="A3847" t="s">
        <v>5325</v>
      </c>
      <c r="B3847" s="2">
        <v>45931</v>
      </c>
      <c r="C3847" t="s">
        <v>3203</v>
      </c>
      <c r="D3847" t="s">
        <v>70</v>
      </c>
      <c r="E3847" t="s">
        <v>165</v>
      </c>
      <c r="F3847">
        <v>2</v>
      </c>
      <c r="G3847">
        <v>0.1</v>
      </c>
      <c r="H3847">
        <v>4500</v>
      </c>
      <c r="I3847">
        <v>-198.85</v>
      </c>
      <c r="J3847" t="s">
        <v>65</v>
      </c>
      <c r="K3847" t="s">
        <v>80</v>
      </c>
      <c r="L3847">
        <v>2250</v>
      </c>
      <c r="M3847">
        <v>-4.4188888888888886</v>
      </c>
      <c r="N3847" t="s">
        <v>81</v>
      </c>
      <c r="O3847" t="s">
        <v>1353</v>
      </c>
      <c r="P3847" t="s">
        <v>83</v>
      </c>
      <c r="Q3847" t="s">
        <v>74</v>
      </c>
      <c r="R3847" t="s">
        <v>75</v>
      </c>
      <c r="S3847" t="s">
        <v>75</v>
      </c>
      <c r="T3847" t="s">
        <v>3204</v>
      </c>
      <c r="U3847" t="s">
        <v>46</v>
      </c>
      <c r="V3847">
        <v>-99.424999999999997</v>
      </c>
    </row>
    <row r="3848" spans="1:22" x14ac:dyDescent="0.3">
      <c r="A3848" t="s">
        <v>5326</v>
      </c>
      <c r="B3848" s="2">
        <v>45956</v>
      </c>
      <c r="C3848" t="s">
        <v>4865</v>
      </c>
      <c r="D3848" t="s">
        <v>37</v>
      </c>
      <c r="E3848" t="s">
        <v>170</v>
      </c>
      <c r="F3848">
        <v>2</v>
      </c>
      <c r="G3848">
        <v>0.2</v>
      </c>
      <c r="H3848">
        <v>2240</v>
      </c>
      <c r="I3848">
        <v>740.73</v>
      </c>
      <c r="J3848" t="s">
        <v>26</v>
      </c>
      <c r="K3848" t="s">
        <v>40</v>
      </c>
      <c r="L3848">
        <v>1120</v>
      </c>
      <c r="M3848">
        <v>33.068303571428572</v>
      </c>
      <c r="N3848" t="s">
        <v>8</v>
      </c>
      <c r="O3848" t="s">
        <v>4866</v>
      </c>
      <c r="P3848" t="s">
        <v>29</v>
      </c>
      <c r="Q3848" t="s">
        <v>131</v>
      </c>
      <c r="R3848" t="s">
        <v>289</v>
      </c>
      <c r="S3848" t="s">
        <v>290</v>
      </c>
      <c r="T3848" t="s">
        <v>1801</v>
      </c>
      <c r="U3848" t="s">
        <v>100</v>
      </c>
      <c r="V3848">
        <v>370.36500000000001</v>
      </c>
    </row>
    <row r="3849" spans="1:22" x14ac:dyDescent="0.3">
      <c r="A3849" t="s">
        <v>5327</v>
      </c>
      <c r="B3849" s="2">
        <v>46111</v>
      </c>
      <c r="C3849" t="s">
        <v>1589</v>
      </c>
      <c r="D3849" t="s">
        <v>49</v>
      </c>
      <c r="E3849" t="s">
        <v>58</v>
      </c>
      <c r="F3849">
        <v>3</v>
      </c>
      <c r="G3849">
        <v>0.1</v>
      </c>
      <c r="H3849">
        <v>40500</v>
      </c>
      <c r="I3849">
        <v>8087.81</v>
      </c>
      <c r="J3849" t="s">
        <v>39</v>
      </c>
      <c r="K3849" t="s">
        <v>40</v>
      </c>
      <c r="L3849">
        <v>13500</v>
      </c>
      <c r="M3849">
        <v>19.969901234567899</v>
      </c>
      <c r="N3849" t="s">
        <v>8</v>
      </c>
      <c r="O3849" t="s">
        <v>984</v>
      </c>
      <c r="P3849" t="s">
        <v>29</v>
      </c>
      <c r="Q3849" t="s">
        <v>131</v>
      </c>
      <c r="R3849" t="s">
        <v>132</v>
      </c>
      <c r="S3849" t="s">
        <v>133</v>
      </c>
      <c r="T3849" t="s">
        <v>1590</v>
      </c>
      <c r="U3849" t="s">
        <v>34</v>
      </c>
      <c r="V3849">
        <v>2695.936666666667</v>
      </c>
    </row>
    <row r="3850" spans="1:22" x14ac:dyDescent="0.3">
      <c r="A3850" t="s">
        <v>5328</v>
      </c>
      <c r="B3850" s="2">
        <v>46217</v>
      </c>
      <c r="C3850" t="s">
        <v>204</v>
      </c>
      <c r="D3850" t="s">
        <v>37</v>
      </c>
      <c r="E3850" t="s">
        <v>190</v>
      </c>
      <c r="F3850">
        <v>3</v>
      </c>
      <c r="G3850">
        <v>0.15</v>
      </c>
      <c r="H3850">
        <v>10710</v>
      </c>
      <c r="I3850">
        <v>2028.57</v>
      </c>
      <c r="J3850" t="s">
        <v>65</v>
      </c>
      <c r="K3850" t="s">
        <v>40</v>
      </c>
      <c r="L3850">
        <v>3570</v>
      </c>
      <c r="M3850">
        <v>18.940896358543419</v>
      </c>
      <c r="N3850" t="s">
        <v>8</v>
      </c>
      <c r="O3850" t="s">
        <v>205</v>
      </c>
      <c r="P3850" t="s">
        <v>29</v>
      </c>
      <c r="Q3850" t="s">
        <v>30</v>
      </c>
      <c r="R3850" t="s">
        <v>98</v>
      </c>
      <c r="S3850" t="s">
        <v>54</v>
      </c>
      <c r="T3850" t="s">
        <v>206</v>
      </c>
      <c r="U3850" t="s">
        <v>34</v>
      </c>
      <c r="V3850">
        <v>676.18999999999994</v>
      </c>
    </row>
    <row r="3851" spans="1:22" x14ac:dyDescent="0.3">
      <c r="A3851" t="s">
        <v>5329</v>
      </c>
      <c r="B3851" s="2">
        <v>46003</v>
      </c>
      <c r="C3851" t="s">
        <v>2396</v>
      </c>
      <c r="D3851" t="s">
        <v>49</v>
      </c>
      <c r="E3851" t="s">
        <v>79</v>
      </c>
      <c r="F3851">
        <v>1</v>
      </c>
      <c r="G3851">
        <v>0.2</v>
      </c>
      <c r="H3851">
        <v>8800</v>
      </c>
      <c r="I3851">
        <v>1148.07</v>
      </c>
      <c r="J3851" t="s">
        <v>65</v>
      </c>
      <c r="K3851" t="s">
        <v>40</v>
      </c>
      <c r="L3851">
        <v>8800</v>
      </c>
      <c r="M3851">
        <v>13.046250000000001</v>
      </c>
      <c r="N3851" t="s">
        <v>8</v>
      </c>
      <c r="O3851" t="s">
        <v>2397</v>
      </c>
      <c r="P3851" t="s">
        <v>73</v>
      </c>
      <c r="Q3851" t="s">
        <v>131</v>
      </c>
      <c r="R3851" t="s">
        <v>132</v>
      </c>
      <c r="S3851" t="s">
        <v>133</v>
      </c>
      <c r="T3851" t="s">
        <v>2398</v>
      </c>
      <c r="U3851" t="s">
        <v>34</v>
      </c>
      <c r="V3851">
        <v>1148.07</v>
      </c>
    </row>
    <row r="3852" spans="1:22" x14ac:dyDescent="0.3">
      <c r="A3852" t="s">
        <v>5330</v>
      </c>
      <c r="B3852" s="2">
        <v>45944</v>
      </c>
      <c r="C3852" t="s">
        <v>1313</v>
      </c>
      <c r="D3852" t="s">
        <v>70</v>
      </c>
      <c r="E3852" t="s">
        <v>71</v>
      </c>
      <c r="F3852">
        <v>2</v>
      </c>
      <c r="G3852">
        <v>0</v>
      </c>
      <c r="H3852">
        <v>36000</v>
      </c>
      <c r="I3852">
        <v>-6633.16</v>
      </c>
      <c r="J3852" t="s">
        <v>26</v>
      </c>
      <c r="K3852" t="s">
        <v>80</v>
      </c>
      <c r="L3852">
        <v>18000</v>
      </c>
      <c r="M3852">
        <v>-18.425444444444441</v>
      </c>
      <c r="N3852" t="s">
        <v>81</v>
      </c>
      <c r="O3852" t="s">
        <v>1314</v>
      </c>
      <c r="P3852" t="s">
        <v>73</v>
      </c>
      <c r="Q3852" t="s">
        <v>131</v>
      </c>
      <c r="R3852" t="s">
        <v>289</v>
      </c>
      <c r="S3852" t="s">
        <v>290</v>
      </c>
      <c r="T3852" t="s">
        <v>1161</v>
      </c>
      <c r="U3852" t="s">
        <v>105</v>
      </c>
      <c r="V3852">
        <v>-3316.58</v>
      </c>
    </row>
    <row r="3853" spans="1:22" x14ac:dyDescent="0.3">
      <c r="A3853" t="s">
        <v>5331</v>
      </c>
      <c r="B3853" s="2">
        <v>46025</v>
      </c>
      <c r="C3853" t="s">
        <v>869</v>
      </c>
      <c r="D3853" t="s">
        <v>70</v>
      </c>
      <c r="E3853" t="s">
        <v>165</v>
      </c>
      <c r="F3853">
        <v>5</v>
      </c>
      <c r="G3853">
        <v>0.1</v>
      </c>
      <c r="H3853">
        <v>11250</v>
      </c>
      <c r="I3853">
        <v>2940.9</v>
      </c>
      <c r="J3853" t="s">
        <v>39</v>
      </c>
      <c r="K3853" t="s">
        <v>40</v>
      </c>
      <c r="L3853">
        <v>2250</v>
      </c>
      <c r="M3853">
        <v>26.141333333333328</v>
      </c>
      <c r="N3853" t="s">
        <v>8</v>
      </c>
      <c r="O3853" t="s">
        <v>870</v>
      </c>
      <c r="P3853" t="s">
        <v>73</v>
      </c>
      <c r="Q3853" t="s">
        <v>30</v>
      </c>
      <c r="R3853" t="s">
        <v>98</v>
      </c>
      <c r="S3853" t="s">
        <v>54</v>
      </c>
      <c r="T3853" t="s">
        <v>859</v>
      </c>
      <c r="U3853" t="s">
        <v>34</v>
      </c>
      <c r="V3853">
        <v>588.18000000000006</v>
      </c>
    </row>
    <row r="3854" spans="1:22" x14ac:dyDescent="0.3">
      <c r="A3854" t="s">
        <v>5332</v>
      </c>
      <c r="B3854" s="2">
        <v>46101</v>
      </c>
      <c r="C3854" t="s">
        <v>1791</v>
      </c>
      <c r="D3854" t="s">
        <v>37</v>
      </c>
      <c r="E3854" t="s">
        <v>190</v>
      </c>
      <c r="F3854">
        <v>3</v>
      </c>
      <c r="G3854">
        <v>0.05</v>
      </c>
      <c r="H3854">
        <v>11970</v>
      </c>
      <c r="I3854">
        <v>3313.27</v>
      </c>
      <c r="J3854" t="s">
        <v>65</v>
      </c>
      <c r="K3854" t="s">
        <v>40</v>
      </c>
      <c r="L3854">
        <v>3990</v>
      </c>
      <c r="M3854">
        <v>27.679782790309101</v>
      </c>
      <c r="N3854" t="s">
        <v>8</v>
      </c>
      <c r="O3854" t="s">
        <v>851</v>
      </c>
      <c r="P3854" t="s">
        <v>83</v>
      </c>
      <c r="Q3854" t="s">
        <v>30</v>
      </c>
      <c r="R3854" t="s">
        <v>60</v>
      </c>
      <c r="S3854" t="s">
        <v>61</v>
      </c>
      <c r="T3854" t="s">
        <v>1792</v>
      </c>
      <c r="U3854" t="s">
        <v>105</v>
      </c>
      <c r="V3854">
        <v>1104.4233333333329</v>
      </c>
    </row>
    <row r="3855" spans="1:22" x14ac:dyDescent="0.3">
      <c r="A3855" t="s">
        <v>5333</v>
      </c>
      <c r="B3855" s="2">
        <v>46014</v>
      </c>
      <c r="C3855" t="s">
        <v>409</v>
      </c>
      <c r="D3855" t="s">
        <v>37</v>
      </c>
      <c r="E3855" t="s">
        <v>170</v>
      </c>
      <c r="F3855">
        <v>2</v>
      </c>
      <c r="G3855">
        <v>0.2</v>
      </c>
      <c r="H3855">
        <v>2240</v>
      </c>
      <c r="I3855">
        <v>-185.29</v>
      </c>
      <c r="J3855" t="s">
        <v>39</v>
      </c>
      <c r="K3855" t="s">
        <v>434</v>
      </c>
      <c r="L3855">
        <v>1120</v>
      </c>
      <c r="M3855">
        <v>-8.2718749999999996</v>
      </c>
      <c r="N3855" t="s">
        <v>81</v>
      </c>
      <c r="O3855" t="s">
        <v>410</v>
      </c>
      <c r="P3855" t="s">
        <v>73</v>
      </c>
      <c r="Q3855" t="s">
        <v>131</v>
      </c>
      <c r="R3855" t="s">
        <v>200</v>
      </c>
      <c r="S3855" t="s">
        <v>201</v>
      </c>
      <c r="T3855" t="s">
        <v>411</v>
      </c>
      <c r="U3855" t="s">
        <v>100</v>
      </c>
      <c r="V3855">
        <v>-92.644999999999996</v>
      </c>
    </row>
    <row r="3856" spans="1:22" x14ac:dyDescent="0.3">
      <c r="A3856" t="s">
        <v>5334</v>
      </c>
      <c r="B3856" s="2">
        <v>46007</v>
      </c>
      <c r="C3856" t="s">
        <v>2154</v>
      </c>
      <c r="D3856" t="s">
        <v>37</v>
      </c>
      <c r="E3856" t="s">
        <v>170</v>
      </c>
      <c r="F3856">
        <v>3</v>
      </c>
      <c r="G3856">
        <v>0</v>
      </c>
      <c r="H3856">
        <v>4200</v>
      </c>
      <c r="I3856">
        <v>1500</v>
      </c>
      <c r="J3856" t="s">
        <v>39</v>
      </c>
      <c r="K3856" t="s">
        <v>40</v>
      </c>
      <c r="L3856">
        <v>1400</v>
      </c>
      <c r="M3856">
        <v>35.714285714285722</v>
      </c>
      <c r="N3856" t="s">
        <v>8</v>
      </c>
      <c r="O3856" t="s">
        <v>1606</v>
      </c>
      <c r="P3856" t="s">
        <v>83</v>
      </c>
      <c r="Q3856" t="s">
        <v>42</v>
      </c>
      <c r="R3856" t="s">
        <v>110</v>
      </c>
      <c r="S3856" t="s">
        <v>111</v>
      </c>
      <c r="T3856" t="s">
        <v>2155</v>
      </c>
      <c r="U3856" t="s">
        <v>34</v>
      </c>
      <c r="V3856">
        <v>500</v>
      </c>
    </row>
    <row r="3857" spans="1:22" x14ac:dyDescent="0.3">
      <c r="A3857" t="s">
        <v>5335</v>
      </c>
      <c r="B3857" s="2">
        <v>46259</v>
      </c>
      <c r="C3857" t="s">
        <v>2511</v>
      </c>
      <c r="D3857" t="s">
        <v>24</v>
      </c>
      <c r="E3857" t="s">
        <v>92</v>
      </c>
      <c r="F3857">
        <v>3</v>
      </c>
      <c r="G3857">
        <v>0.1</v>
      </c>
      <c r="H3857">
        <v>2430</v>
      </c>
      <c r="I3857">
        <v>712.62</v>
      </c>
      <c r="J3857" t="s">
        <v>39</v>
      </c>
      <c r="K3857" t="s">
        <v>27</v>
      </c>
      <c r="L3857">
        <v>810</v>
      </c>
      <c r="M3857">
        <v>29.32592592592593</v>
      </c>
      <c r="N3857" t="s">
        <v>8</v>
      </c>
      <c r="O3857" t="s">
        <v>1695</v>
      </c>
      <c r="P3857" t="s">
        <v>83</v>
      </c>
      <c r="Q3857" t="s">
        <v>30</v>
      </c>
      <c r="R3857" t="s">
        <v>98</v>
      </c>
      <c r="S3857" t="s">
        <v>54</v>
      </c>
      <c r="T3857" t="s">
        <v>2512</v>
      </c>
      <c r="U3857" t="s">
        <v>46</v>
      </c>
      <c r="V3857">
        <v>237.54</v>
      </c>
    </row>
    <row r="3858" spans="1:22" x14ac:dyDescent="0.3">
      <c r="A3858" t="s">
        <v>5336</v>
      </c>
      <c r="B3858" s="2">
        <v>46129</v>
      </c>
      <c r="C3858" t="s">
        <v>3828</v>
      </c>
      <c r="D3858" t="s">
        <v>37</v>
      </c>
      <c r="E3858" t="s">
        <v>38</v>
      </c>
      <c r="F3858">
        <v>3</v>
      </c>
      <c r="G3858">
        <v>0.1</v>
      </c>
      <c r="H3858">
        <v>4860</v>
      </c>
      <c r="I3858">
        <v>1598.77</v>
      </c>
      <c r="J3858" t="s">
        <v>39</v>
      </c>
      <c r="K3858" t="s">
        <v>40</v>
      </c>
      <c r="L3858">
        <v>1620</v>
      </c>
      <c r="M3858">
        <v>32.896502057613169</v>
      </c>
      <c r="N3858" t="s">
        <v>8</v>
      </c>
      <c r="O3858" t="s">
        <v>798</v>
      </c>
      <c r="P3858" t="s">
        <v>73</v>
      </c>
      <c r="Q3858" t="s">
        <v>42</v>
      </c>
      <c r="R3858" t="s">
        <v>121</v>
      </c>
      <c r="S3858" t="s">
        <v>44</v>
      </c>
      <c r="T3858" t="s">
        <v>812</v>
      </c>
      <c r="U3858" t="s">
        <v>46</v>
      </c>
      <c r="V3858">
        <v>532.92333333333329</v>
      </c>
    </row>
    <row r="3859" spans="1:22" x14ac:dyDescent="0.3">
      <c r="A3859" t="s">
        <v>5337</v>
      </c>
      <c r="B3859" s="2">
        <v>46080</v>
      </c>
      <c r="C3859" t="s">
        <v>1791</v>
      </c>
      <c r="D3859" t="s">
        <v>49</v>
      </c>
      <c r="E3859" t="s">
        <v>58</v>
      </c>
      <c r="F3859">
        <v>1</v>
      </c>
      <c r="G3859">
        <v>0.15</v>
      </c>
      <c r="H3859">
        <v>12750</v>
      </c>
      <c r="I3859">
        <v>-3805.25</v>
      </c>
      <c r="J3859" t="s">
        <v>39</v>
      </c>
      <c r="K3859" t="s">
        <v>434</v>
      </c>
      <c r="L3859">
        <v>12750</v>
      </c>
      <c r="M3859">
        <v>-29.845098039215689</v>
      </c>
      <c r="N3859" t="s">
        <v>81</v>
      </c>
      <c r="O3859" t="s">
        <v>851</v>
      </c>
      <c r="P3859" t="s">
        <v>83</v>
      </c>
      <c r="Q3859" t="s">
        <v>30</v>
      </c>
      <c r="R3859" t="s">
        <v>60</v>
      </c>
      <c r="S3859" t="s">
        <v>61</v>
      </c>
      <c r="T3859" t="s">
        <v>1792</v>
      </c>
      <c r="U3859" t="s">
        <v>105</v>
      </c>
      <c r="V3859">
        <v>-3805.25</v>
      </c>
    </row>
    <row r="3860" spans="1:22" x14ac:dyDescent="0.3">
      <c r="A3860" t="s">
        <v>5338</v>
      </c>
      <c r="B3860" s="2">
        <v>45842</v>
      </c>
      <c r="C3860" t="s">
        <v>540</v>
      </c>
      <c r="D3860" t="s">
        <v>37</v>
      </c>
      <c r="E3860" t="s">
        <v>190</v>
      </c>
      <c r="F3860">
        <v>3</v>
      </c>
      <c r="G3860">
        <v>0.1</v>
      </c>
      <c r="H3860">
        <v>11340</v>
      </c>
      <c r="I3860">
        <v>2555.12</v>
      </c>
      <c r="J3860" t="s">
        <v>26</v>
      </c>
      <c r="K3860" t="s">
        <v>40</v>
      </c>
      <c r="L3860">
        <v>3780</v>
      </c>
      <c r="M3860">
        <v>22.53192239858906</v>
      </c>
      <c r="N3860" t="s">
        <v>8</v>
      </c>
      <c r="O3860" t="s">
        <v>435</v>
      </c>
      <c r="P3860" t="s">
        <v>83</v>
      </c>
      <c r="Q3860" t="s">
        <v>74</v>
      </c>
      <c r="R3860" t="s">
        <v>237</v>
      </c>
      <c r="S3860" t="s">
        <v>238</v>
      </c>
      <c r="T3860" t="s">
        <v>541</v>
      </c>
      <c r="U3860" t="s">
        <v>100</v>
      </c>
      <c r="V3860">
        <v>851.70666666666659</v>
      </c>
    </row>
    <row r="3861" spans="1:22" x14ac:dyDescent="0.3">
      <c r="A3861" t="s">
        <v>5339</v>
      </c>
      <c r="B3861" s="2">
        <v>45843</v>
      </c>
      <c r="C3861" t="s">
        <v>2684</v>
      </c>
      <c r="D3861" t="s">
        <v>70</v>
      </c>
      <c r="E3861" t="s">
        <v>71</v>
      </c>
      <c r="F3861">
        <v>1</v>
      </c>
      <c r="G3861">
        <v>0.05</v>
      </c>
      <c r="H3861">
        <v>17100</v>
      </c>
      <c r="I3861">
        <v>2768.05</v>
      </c>
      <c r="J3861" t="s">
        <v>51</v>
      </c>
      <c r="K3861" t="s">
        <v>27</v>
      </c>
      <c r="L3861">
        <v>17100</v>
      </c>
      <c r="M3861">
        <v>16.1874269005848</v>
      </c>
      <c r="N3861" t="s">
        <v>8</v>
      </c>
      <c r="O3861" t="s">
        <v>41</v>
      </c>
      <c r="P3861" t="s">
        <v>73</v>
      </c>
      <c r="Q3861" t="s">
        <v>131</v>
      </c>
      <c r="R3861" t="s">
        <v>289</v>
      </c>
      <c r="S3861" t="s">
        <v>290</v>
      </c>
      <c r="T3861" t="s">
        <v>2685</v>
      </c>
      <c r="U3861" t="s">
        <v>46</v>
      </c>
      <c r="V3861">
        <v>2768.05</v>
      </c>
    </row>
    <row r="3862" spans="1:22" x14ac:dyDescent="0.3">
      <c r="A3862" t="s">
        <v>5340</v>
      </c>
      <c r="B3862" s="2">
        <v>45860</v>
      </c>
      <c r="C3862" t="s">
        <v>2635</v>
      </c>
      <c r="D3862" t="s">
        <v>49</v>
      </c>
      <c r="E3862" t="s">
        <v>119</v>
      </c>
      <c r="F3862">
        <v>3</v>
      </c>
      <c r="G3862">
        <v>0.2</v>
      </c>
      <c r="H3862">
        <v>21600</v>
      </c>
      <c r="I3862">
        <v>-5372.32</v>
      </c>
      <c r="J3862" t="s">
        <v>65</v>
      </c>
      <c r="K3862" t="s">
        <v>434</v>
      </c>
      <c r="L3862">
        <v>7200</v>
      </c>
      <c r="M3862">
        <v>-24.871851851851851</v>
      </c>
      <c r="N3862" t="s">
        <v>81</v>
      </c>
      <c r="O3862" t="s">
        <v>2636</v>
      </c>
      <c r="P3862" t="s">
        <v>29</v>
      </c>
      <c r="Q3862" t="s">
        <v>42</v>
      </c>
      <c r="R3862" t="s">
        <v>121</v>
      </c>
      <c r="S3862" t="s">
        <v>44</v>
      </c>
      <c r="T3862" t="s">
        <v>252</v>
      </c>
      <c r="U3862" t="s">
        <v>34</v>
      </c>
      <c r="V3862">
        <v>-1790.7733333333331</v>
      </c>
    </row>
    <row r="3863" spans="1:22" x14ac:dyDescent="0.3">
      <c r="A3863" t="s">
        <v>5341</v>
      </c>
      <c r="B3863" s="2">
        <v>45887</v>
      </c>
      <c r="C3863" t="s">
        <v>1403</v>
      </c>
      <c r="D3863" t="s">
        <v>49</v>
      </c>
      <c r="E3863" t="s">
        <v>79</v>
      </c>
      <c r="F3863">
        <v>2</v>
      </c>
      <c r="G3863">
        <v>0</v>
      </c>
      <c r="H3863">
        <v>22000</v>
      </c>
      <c r="I3863">
        <v>5200</v>
      </c>
      <c r="J3863" t="s">
        <v>39</v>
      </c>
      <c r="K3863" t="s">
        <v>27</v>
      </c>
      <c r="L3863">
        <v>11000</v>
      </c>
      <c r="M3863">
        <v>23.63636363636364</v>
      </c>
      <c r="N3863" t="s">
        <v>8</v>
      </c>
      <c r="O3863" t="s">
        <v>723</v>
      </c>
      <c r="P3863" t="s">
        <v>73</v>
      </c>
      <c r="Q3863" t="s">
        <v>42</v>
      </c>
      <c r="R3863" t="s">
        <v>43</v>
      </c>
      <c r="S3863" t="s">
        <v>44</v>
      </c>
      <c r="T3863" t="s">
        <v>1404</v>
      </c>
      <c r="U3863" t="s">
        <v>46</v>
      </c>
      <c r="V3863">
        <v>2600</v>
      </c>
    </row>
    <row r="3864" spans="1:22" x14ac:dyDescent="0.3">
      <c r="A3864" t="s">
        <v>5342</v>
      </c>
      <c r="B3864" s="2">
        <v>46026</v>
      </c>
      <c r="C3864" t="s">
        <v>838</v>
      </c>
      <c r="D3864" t="s">
        <v>24</v>
      </c>
      <c r="E3864" t="s">
        <v>242</v>
      </c>
      <c r="F3864">
        <v>1</v>
      </c>
      <c r="G3864">
        <v>0.05</v>
      </c>
      <c r="H3864">
        <v>427.5</v>
      </c>
      <c r="I3864">
        <v>98.85</v>
      </c>
      <c r="J3864" t="s">
        <v>51</v>
      </c>
      <c r="K3864" t="s">
        <v>40</v>
      </c>
      <c r="L3864">
        <v>427.5</v>
      </c>
      <c r="M3864">
        <v>23.12280701754386</v>
      </c>
      <c r="N3864" t="s">
        <v>8</v>
      </c>
      <c r="O3864" t="s">
        <v>839</v>
      </c>
      <c r="P3864" t="s">
        <v>73</v>
      </c>
      <c r="Q3864" t="s">
        <v>30</v>
      </c>
      <c r="R3864" t="s">
        <v>31</v>
      </c>
      <c r="S3864" t="s">
        <v>32</v>
      </c>
      <c r="T3864" t="s">
        <v>840</v>
      </c>
      <c r="U3864" t="s">
        <v>100</v>
      </c>
      <c r="V3864">
        <v>98.85</v>
      </c>
    </row>
    <row r="3865" spans="1:22" x14ac:dyDescent="0.3">
      <c r="A3865" t="s">
        <v>5343</v>
      </c>
      <c r="B3865" s="2">
        <v>45921</v>
      </c>
      <c r="C3865" t="s">
        <v>258</v>
      </c>
      <c r="D3865" t="s">
        <v>24</v>
      </c>
      <c r="E3865" t="s">
        <v>92</v>
      </c>
      <c r="F3865">
        <v>3</v>
      </c>
      <c r="G3865">
        <v>0</v>
      </c>
      <c r="H3865">
        <v>2700</v>
      </c>
      <c r="I3865">
        <v>840</v>
      </c>
      <c r="J3865" t="s">
        <v>65</v>
      </c>
      <c r="K3865" t="s">
        <v>40</v>
      </c>
      <c r="L3865">
        <v>900</v>
      </c>
      <c r="M3865">
        <v>31.111111111111111</v>
      </c>
      <c r="N3865" t="s">
        <v>8</v>
      </c>
      <c r="O3865" t="s">
        <v>259</v>
      </c>
      <c r="P3865" t="s">
        <v>73</v>
      </c>
      <c r="Q3865" t="s">
        <v>30</v>
      </c>
      <c r="R3865" t="s">
        <v>60</v>
      </c>
      <c r="S3865" t="s">
        <v>61</v>
      </c>
      <c r="T3865" t="s">
        <v>260</v>
      </c>
      <c r="U3865" t="s">
        <v>105</v>
      </c>
      <c r="V3865">
        <v>280</v>
      </c>
    </row>
    <row r="3866" spans="1:22" x14ac:dyDescent="0.3">
      <c r="A3866" t="s">
        <v>5344</v>
      </c>
      <c r="B3866" s="2">
        <v>45897</v>
      </c>
      <c r="C3866" t="s">
        <v>481</v>
      </c>
      <c r="D3866" t="s">
        <v>24</v>
      </c>
      <c r="E3866" t="s">
        <v>92</v>
      </c>
      <c r="F3866">
        <v>2</v>
      </c>
      <c r="G3866">
        <v>0.15</v>
      </c>
      <c r="H3866">
        <v>1530</v>
      </c>
      <c r="I3866">
        <v>342.08</v>
      </c>
      <c r="J3866" t="s">
        <v>26</v>
      </c>
      <c r="K3866" t="s">
        <v>40</v>
      </c>
      <c r="L3866">
        <v>765</v>
      </c>
      <c r="M3866">
        <v>22.358169934640522</v>
      </c>
      <c r="N3866" t="s">
        <v>8</v>
      </c>
      <c r="O3866" t="s">
        <v>482</v>
      </c>
      <c r="P3866" t="s">
        <v>83</v>
      </c>
      <c r="Q3866" t="s">
        <v>30</v>
      </c>
      <c r="R3866" t="s">
        <v>31</v>
      </c>
      <c r="S3866" t="s">
        <v>32</v>
      </c>
      <c r="T3866" t="s">
        <v>483</v>
      </c>
      <c r="U3866" t="s">
        <v>46</v>
      </c>
      <c r="V3866">
        <v>171.04</v>
      </c>
    </row>
    <row r="3867" spans="1:22" x14ac:dyDescent="0.3">
      <c r="A3867" t="s">
        <v>5345</v>
      </c>
      <c r="B3867" s="2">
        <v>46117</v>
      </c>
      <c r="C3867" t="s">
        <v>1136</v>
      </c>
      <c r="D3867" t="s">
        <v>49</v>
      </c>
      <c r="E3867" t="s">
        <v>58</v>
      </c>
      <c r="F3867">
        <v>3</v>
      </c>
      <c r="G3867">
        <v>0.05</v>
      </c>
      <c r="H3867">
        <v>42750</v>
      </c>
      <c r="I3867">
        <v>-10317.870000000001</v>
      </c>
      <c r="J3867" t="s">
        <v>51</v>
      </c>
      <c r="K3867" t="s">
        <v>80</v>
      </c>
      <c r="L3867">
        <v>14250</v>
      </c>
      <c r="M3867">
        <v>-24.135368421052629</v>
      </c>
      <c r="N3867" t="s">
        <v>81</v>
      </c>
      <c r="O3867" t="s">
        <v>1137</v>
      </c>
      <c r="P3867" t="s">
        <v>73</v>
      </c>
      <c r="Q3867" t="s">
        <v>74</v>
      </c>
      <c r="R3867" t="s">
        <v>75</v>
      </c>
      <c r="S3867" t="s">
        <v>75</v>
      </c>
      <c r="T3867" t="s">
        <v>1138</v>
      </c>
      <c r="U3867" t="s">
        <v>46</v>
      </c>
      <c r="V3867">
        <v>-3439.29</v>
      </c>
    </row>
    <row r="3868" spans="1:22" x14ac:dyDescent="0.3">
      <c r="A3868" t="s">
        <v>5346</v>
      </c>
      <c r="B3868" s="2">
        <v>46105</v>
      </c>
      <c r="C3868" t="s">
        <v>208</v>
      </c>
      <c r="D3868" t="s">
        <v>24</v>
      </c>
      <c r="E3868" t="s">
        <v>242</v>
      </c>
      <c r="F3868">
        <v>2</v>
      </c>
      <c r="G3868">
        <v>0.2</v>
      </c>
      <c r="H3868">
        <v>720</v>
      </c>
      <c r="I3868">
        <v>100.25</v>
      </c>
      <c r="J3868" t="s">
        <v>51</v>
      </c>
      <c r="K3868" t="s">
        <v>40</v>
      </c>
      <c r="L3868">
        <v>360</v>
      </c>
      <c r="M3868">
        <v>13.923611111111111</v>
      </c>
      <c r="N3868" t="s">
        <v>8</v>
      </c>
      <c r="O3868" t="s">
        <v>209</v>
      </c>
      <c r="P3868" t="s">
        <v>29</v>
      </c>
      <c r="Q3868" t="s">
        <v>30</v>
      </c>
      <c r="R3868" t="s">
        <v>60</v>
      </c>
      <c r="S3868" t="s">
        <v>61</v>
      </c>
      <c r="T3868" t="s">
        <v>210</v>
      </c>
      <c r="U3868" t="s">
        <v>46</v>
      </c>
      <c r="V3868">
        <v>50.125</v>
      </c>
    </row>
    <row r="3869" spans="1:22" x14ac:dyDescent="0.3">
      <c r="A3869" t="s">
        <v>5347</v>
      </c>
      <c r="B3869" s="2">
        <v>46145</v>
      </c>
      <c r="C3869" t="s">
        <v>2925</v>
      </c>
      <c r="D3869" t="s">
        <v>24</v>
      </c>
      <c r="E3869" t="s">
        <v>87</v>
      </c>
      <c r="F3869">
        <v>1</v>
      </c>
      <c r="G3869">
        <v>0</v>
      </c>
      <c r="H3869">
        <v>350</v>
      </c>
      <c r="I3869">
        <v>120</v>
      </c>
      <c r="J3869" t="s">
        <v>39</v>
      </c>
      <c r="K3869" t="s">
        <v>27</v>
      </c>
      <c r="L3869">
        <v>350</v>
      </c>
      <c r="M3869">
        <v>34.285714285714278</v>
      </c>
      <c r="N3869" t="s">
        <v>8</v>
      </c>
      <c r="O3869" t="s">
        <v>1117</v>
      </c>
      <c r="P3869" t="s">
        <v>29</v>
      </c>
      <c r="Q3869" t="s">
        <v>74</v>
      </c>
      <c r="R3869" t="s">
        <v>493</v>
      </c>
      <c r="S3869" t="s">
        <v>494</v>
      </c>
      <c r="T3869" t="s">
        <v>395</v>
      </c>
      <c r="U3869" t="s">
        <v>105</v>
      </c>
      <c r="V3869">
        <v>120</v>
      </c>
    </row>
    <row r="3870" spans="1:22" x14ac:dyDescent="0.3">
      <c r="A3870" t="s">
        <v>5348</v>
      </c>
      <c r="B3870" s="2">
        <v>46040</v>
      </c>
      <c r="C3870" t="s">
        <v>1281</v>
      </c>
      <c r="D3870" t="s">
        <v>49</v>
      </c>
      <c r="E3870" t="s">
        <v>50</v>
      </c>
      <c r="F3870">
        <v>3</v>
      </c>
      <c r="G3870">
        <v>0</v>
      </c>
      <c r="H3870">
        <v>39000</v>
      </c>
      <c r="I3870">
        <v>9600</v>
      </c>
      <c r="J3870" t="s">
        <v>65</v>
      </c>
      <c r="K3870" t="s">
        <v>40</v>
      </c>
      <c r="L3870">
        <v>13000</v>
      </c>
      <c r="M3870">
        <v>24.61538461538462</v>
      </c>
      <c r="N3870" t="s">
        <v>8</v>
      </c>
      <c r="O3870" t="s">
        <v>1282</v>
      </c>
      <c r="P3870" t="s">
        <v>29</v>
      </c>
      <c r="Q3870" t="s">
        <v>74</v>
      </c>
      <c r="R3870" t="s">
        <v>237</v>
      </c>
      <c r="S3870" t="s">
        <v>238</v>
      </c>
      <c r="T3870" t="s">
        <v>1283</v>
      </c>
      <c r="U3870" t="s">
        <v>34</v>
      </c>
      <c r="V3870">
        <v>3200</v>
      </c>
    </row>
    <row r="3871" spans="1:22" x14ac:dyDescent="0.3">
      <c r="A3871" t="s">
        <v>5349</v>
      </c>
      <c r="B3871" s="2">
        <v>46215</v>
      </c>
      <c r="C3871" t="s">
        <v>1702</v>
      </c>
      <c r="D3871" t="s">
        <v>49</v>
      </c>
      <c r="E3871" t="s">
        <v>50</v>
      </c>
      <c r="F3871">
        <v>2</v>
      </c>
      <c r="G3871">
        <v>0.15</v>
      </c>
      <c r="H3871">
        <v>22100</v>
      </c>
      <c r="I3871">
        <v>3476.83</v>
      </c>
      <c r="J3871" t="s">
        <v>39</v>
      </c>
      <c r="K3871" t="s">
        <v>40</v>
      </c>
      <c r="L3871">
        <v>11050</v>
      </c>
      <c r="M3871">
        <v>15.732262443438909</v>
      </c>
      <c r="N3871" t="s">
        <v>8</v>
      </c>
      <c r="O3871" t="s">
        <v>314</v>
      </c>
      <c r="P3871" t="s">
        <v>29</v>
      </c>
      <c r="Q3871" t="s">
        <v>42</v>
      </c>
      <c r="R3871" t="s">
        <v>214</v>
      </c>
      <c r="S3871" t="s">
        <v>111</v>
      </c>
      <c r="T3871" t="s">
        <v>568</v>
      </c>
      <c r="U3871" t="s">
        <v>34</v>
      </c>
      <c r="V3871">
        <v>1738.415</v>
      </c>
    </row>
    <row r="3872" spans="1:22" x14ac:dyDescent="0.3">
      <c r="A3872" t="s">
        <v>5350</v>
      </c>
      <c r="B3872" s="2">
        <v>46001</v>
      </c>
      <c r="C3872" t="s">
        <v>3930</v>
      </c>
      <c r="D3872" t="s">
        <v>24</v>
      </c>
      <c r="E3872" t="s">
        <v>92</v>
      </c>
      <c r="F3872">
        <v>5</v>
      </c>
      <c r="G3872">
        <v>0</v>
      </c>
      <c r="H3872">
        <v>4500</v>
      </c>
      <c r="I3872">
        <v>1400</v>
      </c>
      <c r="J3872" t="s">
        <v>51</v>
      </c>
      <c r="K3872" t="s">
        <v>40</v>
      </c>
      <c r="L3872">
        <v>900</v>
      </c>
      <c r="M3872">
        <v>31.111111111111111</v>
      </c>
      <c r="N3872" t="s">
        <v>8</v>
      </c>
      <c r="O3872" t="s">
        <v>3931</v>
      </c>
      <c r="P3872" t="s">
        <v>29</v>
      </c>
      <c r="Q3872" t="s">
        <v>74</v>
      </c>
      <c r="R3872" t="s">
        <v>115</v>
      </c>
      <c r="S3872" t="s">
        <v>115</v>
      </c>
      <c r="T3872" t="s">
        <v>3932</v>
      </c>
      <c r="U3872" t="s">
        <v>100</v>
      </c>
      <c r="V3872">
        <v>280</v>
      </c>
    </row>
    <row r="3873" spans="1:22" x14ac:dyDescent="0.3">
      <c r="A3873" t="s">
        <v>5351</v>
      </c>
      <c r="B3873" s="2">
        <v>46080</v>
      </c>
      <c r="C3873" t="s">
        <v>529</v>
      </c>
      <c r="D3873" t="s">
        <v>70</v>
      </c>
      <c r="E3873" t="s">
        <v>129</v>
      </c>
      <c r="F3873">
        <v>6</v>
      </c>
      <c r="G3873">
        <v>0.1</v>
      </c>
      <c r="H3873">
        <v>297000</v>
      </c>
      <c r="I3873">
        <v>36237.9</v>
      </c>
      <c r="J3873" t="s">
        <v>26</v>
      </c>
      <c r="K3873" t="s">
        <v>27</v>
      </c>
      <c r="L3873">
        <v>49500</v>
      </c>
      <c r="M3873">
        <v>12.20131313131313</v>
      </c>
      <c r="N3873" t="s">
        <v>8</v>
      </c>
      <c r="O3873" t="s">
        <v>530</v>
      </c>
      <c r="P3873" t="s">
        <v>29</v>
      </c>
      <c r="Q3873" t="s">
        <v>30</v>
      </c>
      <c r="R3873" t="s">
        <v>98</v>
      </c>
      <c r="S3873" t="s">
        <v>54</v>
      </c>
      <c r="T3873" t="s">
        <v>531</v>
      </c>
      <c r="U3873" t="s">
        <v>105</v>
      </c>
      <c r="V3873">
        <v>6039.6500000000005</v>
      </c>
    </row>
    <row r="3874" spans="1:22" x14ac:dyDescent="0.3">
      <c r="A3874" t="s">
        <v>5352</v>
      </c>
      <c r="B3874" s="2">
        <v>46002</v>
      </c>
      <c r="C3874" t="s">
        <v>3313</v>
      </c>
      <c r="D3874" t="s">
        <v>24</v>
      </c>
      <c r="E3874" t="s">
        <v>242</v>
      </c>
      <c r="F3874">
        <v>6</v>
      </c>
      <c r="G3874">
        <v>0.15</v>
      </c>
      <c r="H3874">
        <v>2295</v>
      </c>
      <c r="I3874">
        <v>349.83</v>
      </c>
      <c r="J3874" t="s">
        <v>39</v>
      </c>
      <c r="K3874" t="s">
        <v>40</v>
      </c>
      <c r="L3874">
        <v>382.5</v>
      </c>
      <c r="M3874">
        <v>15.24313725490196</v>
      </c>
      <c r="N3874" t="s">
        <v>8</v>
      </c>
      <c r="O3874" t="s">
        <v>3314</v>
      </c>
      <c r="P3874" t="s">
        <v>29</v>
      </c>
      <c r="Q3874" t="s">
        <v>42</v>
      </c>
      <c r="R3874" t="s">
        <v>121</v>
      </c>
      <c r="S3874" t="s">
        <v>44</v>
      </c>
      <c r="T3874" t="s">
        <v>3315</v>
      </c>
      <c r="U3874" t="s">
        <v>105</v>
      </c>
      <c r="V3874">
        <v>58.305</v>
      </c>
    </row>
    <row r="3875" spans="1:22" x14ac:dyDescent="0.3">
      <c r="A3875" t="s">
        <v>5353</v>
      </c>
      <c r="B3875" s="2">
        <v>46017</v>
      </c>
      <c r="C3875" t="s">
        <v>1637</v>
      </c>
      <c r="D3875" t="s">
        <v>37</v>
      </c>
      <c r="E3875" t="s">
        <v>190</v>
      </c>
      <c r="F3875">
        <v>1</v>
      </c>
      <c r="G3875">
        <v>0.1</v>
      </c>
      <c r="H3875">
        <v>3780</v>
      </c>
      <c r="I3875">
        <v>-612.33000000000004</v>
      </c>
      <c r="J3875" t="s">
        <v>51</v>
      </c>
      <c r="K3875" t="s">
        <v>80</v>
      </c>
      <c r="L3875">
        <v>3780</v>
      </c>
      <c r="M3875">
        <v>-16.199206349206349</v>
      </c>
      <c r="N3875" t="s">
        <v>81</v>
      </c>
      <c r="O3875" t="s">
        <v>697</v>
      </c>
      <c r="P3875" t="s">
        <v>29</v>
      </c>
      <c r="Q3875" t="s">
        <v>30</v>
      </c>
      <c r="R3875" t="s">
        <v>31</v>
      </c>
      <c r="S3875" t="s">
        <v>32</v>
      </c>
      <c r="T3875" t="s">
        <v>1638</v>
      </c>
      <c r="U3875" t="s">
        <v>46</v>
      </c>
      <c r="V3875">
        <v>-612.33000000000004</v>
      </c>
    </row>
    <row r="3876" spans="1:22" x14ac:dyDescent="0.3">
      <c r="A3876" t="s">
        <v>5354</v>
      </c>
      <c r="B3876" s="2">
        <v>46218</v>
      </c>
      <c r="C3876" t="s">
        <v>1748</v>
      </c>
      <c r="D3876" t="s">
        <v>70</v>
      </c>
      <c r="E3876" t="s">
        <v>108</v>
      </c>
      <c r="F3876">
        <v>1</v>
      </c>
      <c r="G3876">
        <v>0</v>
      </c>
      <c r="H3876">
        <v>4500</v>
      </c>
      <c r="I3876">
        <v>1500</v>
      </c>
      <c r="J3876" t="s">
        <v>51</v>
      </c>
      <c r="K3876" t="s">
        <v>40</v>
      </c>
      <c r="L3876">
        <v>4500</v>
      </c>
      <c r="M3876">
        <v>33.333333333333329</v>
      </c>
      <c r="N3876" t="s">
        <v>8</v>
      </c>
      <c r="O3876" t="s">
        <v>1749</v>
      </c>
      <c r="P3876" t="s">
        <v>83</v>
      </c>
      <c r="Q3876" t="s">
        <v>42</v>
      </c>
      <c r="R3876" t="s">
        <v>121</v>
      </c>
      <c r="S3876" t="s">
        <v>44</v>
      </c>
      <c r="T3876" t="s">
        <v>1221</v>
      </c>
      <c r="U3876" t="s">
        <v>34</v>
      </c>
      <c r="V3876">
        <v>1500</v>
      </c>
    </row>
    <row r="3877" spans="1:22" x14ac:dyDescent="0.3">
      <c r="A3877" t="s">
        <v>5355</v>
      </c>
      <c r="B3877" s="2">
        <v>46094</v>
      </c>
      <c r="C3877" t="s">
        <v>2257</v>
      </c>
      <c r="D3877" t="s">
        <v>24</v>
      </c>
      <c r="E3877" t="s">
        <v>92</v>
      </c>
      <c r="F3877">
        <v>3</v>
      </c>
      <c r="G3877">
        <v>0.15</v>
      </c>
      <c r="H3877">
        <v>2295</v>
      </c>
      <c r="I3877">
        <v>553.61</v>
      </c>
      <c r="J3877" t="s">
        <v>26</v>
      </c>
      <c r="K3877" t="s">
        <v>40</v>
      </c>
      <c r="L3877">
        <v>765</v>
      </c>
      <c r="M3877">
        <v>24.122440087145971</v>
      </c>
      <c r="N3877" t="s">
        <v>8</v>
      </c>
      <c r="O3877" t="s">
        <v>626</v>
      </c>
      <c r="P3877" t="s">
        <v>29</v>
      </c>
      <c r="Q3877" t="s">
        <v>42</v>
      </c>
      <c r="R3877" t="s">
        <v>110</v>
      </c>
      <c r="S3877" t="s">
        <v>111</v>
      </c>
      <c r="T3877" t="s">
        <v>2258</v>
      </c>
      <c r="U3877" t="s">
        <v>46</v>
      </c>
      <c r="V3877">
        <v>184.53666666666669</v>
      </c>
    </row>
    <row r="3878" spans="1:22" x14ac:dyDescent="0.3">
      <c r="A3878" t="s">
        <v>5356</v>
      </c>
      <c r="B3878" s="2">
        <v>45858</v>
      </c>
      <c r="C3878" t="s">
        <v>189</v>
      </c>
      <c r="D3878" t="s">
        <v>24</v>
      </c>
      <c r="E3878" t="s">
        <v>242</v>
      </c>
      <c r="F3878">
        <v>3</v>
      </c>
      <c r="G3878">
        <v>0.15</v>
      </c>
      <c r="H3878">
        <v>1147.5</v>
      </c>
      <c r="I3878">
        <v>170.05</v>
      </c>
      <c r="J3878" t="s">
        <v>39</v>
      </c>
      <c r="K3878" t="s">
        <v>40</v>
      </c>
      <c r="L3878">
        <v>382.5</v>
      </c>
      <c r="M3878">
        <v>14.81917211328976</v>
      </c>
      <c r="N3878" t="s">
        <v>8</v>
      </c>
      <c r="O3878" t="s">
        <v>191</v>
      </c>
      <c r="P3878" t="s">
        <v>29</v>
      </c>
      <c r="Q3878" t="s">
        <v>30</v>
      </c>
      <c r="R3878" t="s">
        <v>31</v>
      </c>
      <c r="S3878" t="s">
        <v>32</v>
      </c>
      <c r="T3878" t="s">
        <v>192</v>
      </c>
      <c r="U3878" t="s">
        <v>34</v>
      </c>
      <c r="V3878">
        <v>56.683333333333337</v>
      </c>
    </row>
    <row r="3879" spans="1:22" x14ac:dyDescent="0.3">
      <c r="A3879" t="s">
        <v>5357</v>
      </c>
      <c r="B3879" s="2">
        <v>46240</v>
      </c>
      <c r="C3879" t="s">
        <v>457</v>
      </c>
      <c r="D3879" t="s">
        <v>70</v>
      </c>
      <c r="E3879" t="s">
        <v>129</v>
      </c>
      <c r="F3879">
        <v>2</v>
      </c>
      <c r="G3879">
        <v>0</v>
      </c>
      <c r="H3879">
        <v>110000</v>
      </c>
      <c r="I3879">
        <v>18000</v>
      </c>
      <c r="J3879" t="s">
        <v>65</v>
      </c>
      <c r="K3879" t="s">
        <v>40</v>
      </c>
      <c r="L3879">
        <v>55000</v>
      </c>
      <c r="M3879">
        <v>16.36363636363636</v>
      </c>
      <c r="N3879" t="s">
        <v>8</v>
      </c>
      <c r="O3879" t="s">
        <v>458</v>
      </c>
      <c r="P3879" t="s">
        <v>73</v>
      </c>
      <c r="Q3879" t="s">
        <v>30</v>
      </c>
      <c r="R3879" t="s">
        <v>60</v>
      </c>
      <c r="S3879" t="s">
        <v>61</v>
      </c>
      <c r="T3879" t="s">
        <v>459</v>
      </c>
      <c r="U3879" t="s">
        <v>34</v>
      </c>
      <c r="V3879">
        <v>9000</v>
      </c>
    </row>
    <row r="3880" spans="1:22" x14ac:dyDescent="0.3">
      <c r="A3880" t="s">
        <v>5358</v>
      </c>
      <c r="B3880" s="2">
        <v>45939</v>
      </c>
      <c r="C3880" t="s">
        <v>1324</v>
      </c>
      <c r="D3880" t="s">
        <v>24</v>
      </c>
      <c r="E3880" t="s">
        <v>92</v>
      </c>
      <c r="F3880">
        <v>10</v>
      </c>
      <c r="G3880">
        <v>0</v>
      </c>
      <c r="H3880">
        <v>9000</v>
      </c>
      <c r="I3880">
        <v>2800</v>
      </c>
      <c r="J3880" t="s">
        <v>51</v>
      </c>
      <c r="K3880" t="s">
        <v>40</v>
      </c>
      <c r="L3880">
        <v>900</v>
      </c>
      <c r="M3880">
        <v>31.111111111111111</v>
      </c>
      <c r="N3880" t="s">
        <v>8</v>
      </c>
      <c r="O3880" t="s">
        <v>1325</v>
      </c>
      <c r="P3880" t="s">
        <v>83</v>
      </c>
      <c r="Q3880" t="s">
        <v>74</v>
      </c>
      <c r="R3880" t="s">
        <v>115</v>
      </c>
      <c r="S3880" t="s">
        <v>115</v>
      </c>
      <c r="T3880" t="s">
        <v>1326</v>
      </c>
      <c r="U3880" t="s">
        <v>34</v>
      </c>
      <c r="V3880">
        <v>280</v>
      </c>
    </row>
    <row r="3881" spans="1:22" x14ac:dyDescent="0.3">
      <c r="A3881" t="s">
        <v>5359</v>
      </c>
      <c r="B3881" s="2">
        <v>45849</v>
      </c>
      <c r="C3881" t="s">
        <v>946</v>
      </c>
      <c r="D3881" t="s">
        <v>70</v>
      </c>
      <c r="E3881" t="s">
        <v>108</v>
      </c>
      <c r="F3881">
        <v>2</v>
      </c>
      <c r="G3881">
        <v>0.2</v>
      </c>
      <c r="H3881">
        <v>7200</v>
      </c>
      <c r="I3881">
        <v>1727.95</v>
      </c>
      <c r="J3881" t="s">
        <v>39</v>
      </c>
      <c r="K3881" t="s">
        <v>40</v>
      </c>
      <c r="L3881">
        <v>3600</v>
      </c>
      <c r="M3881">
        <v>23.999305555555559</v>
      </c>
      <c r="N3881" t="s">
        <v>8</v>
      </c>
      <c r="O3881" t="s">
        <v>947</v>
      </c>
      <c r="P3881" t="s">
        <v>73</v>
      </c>
      <c r="Q3881" t="s">
        <v>74</v>
      </c>
      <c r="R3881" t="s">
        <v>75</v>
      </c>
      <c r="S3881" t="s">
        <v>75</v>
      </c>
      <c r="T3881" t="s">
        <v>948</v>
      </c>
      <c r="U3881" t="s">
        <v>100</v>
      </c>
      <c r="V3881">
        <v>863.97500000000002</v>
      </c>
    </row>
    <row r="3882" spans="1:22" x14ac:dyDescent="0.3">
      <c r="A3882" t="s">
        <v>5360</v>
      </c>
      <c r="B3882" s="2">
        <v>45909</v>
      </c>
      <c r="C3882" t="s">
        <v>4375</v>
      </c>
      <c r="D3882" t="s">
        <v>49</v>
      </c>
      <c r="E3882" t="s">
        <v>58</v>
      </c>
      <c r="F3882">
        <v>4</v>
      </c>
      <c r="G3882">
        <v>0.05</v>
      </c>
      <c r="H3882">
        <v>57000</v>
      </c>
      <c r="I3882">
        <v>12041.56</v>
      </c>
      <c r="J3882" t="s">
        <v>51</v>
      </c>
      <c r="K3882" t="s">
        <v>40</v>
      </c>
      <c r="L3882">
        <v>14250</v>
      </c>
      <c r="M3882">
        <v>21.12554385964912</v>
      </c>
      <c r="N3882" t="s">
        <v>8</v>
      </c>
      <c r="O3882" t="s">
        <v>1256</v>
      </c>
      <c r="P3882" t="s">
        <v>29</v>
      </c>
      <c r="Q3882" t="s">
        <v>74</v>
      </c>
      <c r="R3882" t="s">
        <v>115</v>
      </c>
      <c r="S3882" t="s">
        <v>115</v>
      </c>
      <c r="T3882" t="s">
        <v>281</v>
      </c>
      <c r="U3882" t="s">
        <v>46</v>
      </c>
      <c r="V3882">
        <v>3010.39</v>
      </c>
    </row>
    <row r="3883" spans="1:22" x14ac:dyDescent="0.3">
      <c r="A3883" t="s">
        <v>5361</v>
      </c>
      <c r="B3883" s="2">
        <v>45897</v>
      </c>
      <c r="C3883" t="s">
        <v>212</v>
      </c>
      <c r="D3883" t="s">
        <v>49</v>
      </c>
      <c r="E3883" t="s">
        <v>119</v>
      </c>
      <c r="F3883">
        <v>3</v>
      </c>
      <c r="G3883">
        <v>0.15</v>
      </c>
      <c r="H3883">
        <v>22950</v>
      </c>
      <c r="I3883">
        <v>4044.26</v>
      </c>
      <c r="J3883" t="s">
        <v>26</v>
      </c>
      <c r="K3883" t="s">
        <v>40</v>
      </c>
      <c r="L3883">
        <v>7650</v>
      </c>
      <c r="M3883">
        <v>17.62204793028322</v>
      </c>
      <c r="N3883" t="s">
        <v>8</v>
      </c>
      <c r="O3883" t="s">
        <v>213</v>
      </c>
      <c r="P3883" t="s">
        <v>29</v>
      </c>
      <c r="Q3883" t="s">
        <v>42</v>
      </c>
      <c r="R3883" t="s">
        <v>214</v>
      </c>
      <c r="S3883" t="s">
        <v>111</v>
      </c>
      <c r="T3883" t="s">
        <v>215</v>
      </c>
      <c r="U3883" t="s">
        <v>105</v>
      </c>
      <c r="V3883">
        <v>1348.086666666667</v>
      </c>
    </row>
    <row r="3884" spans="1:22" x14ac:dyDescent="0.3">
      <c r="A3884" t="s">
        <v>5362</v>
      </c>
      <c r="B3884" s="2">
        <v>45989</v>
      </c>
      <c r="C3884" t="s">
        <v>1391</v>
      </c>
      <c r="D3884" t="s">
        <v>49</v>
      </c>
      <c r="E3884" t="s">
        <v>79</v>
      </c>
      <c r="F3884">
        <v>1</v>
      </c>
      <c r="G3884">
        <v>0.05</v>
      </c>
      <c r="H3884">
        <v>10450</v>
      </c>
      <c r="I3884">
        <v>2294.16</v>
      </c>
      <c r="J3884" t="s">
        <v>26</v>
      </c>
      <c r="K3884" t="s">
        <v>40</v>
      </c>
      <c r="L3884">
        <v>10450</v>
      </c>
      <c r="M3884">
        <v>21.953684210526319</v>
      </c>
      <c r="N3884" t="s">
        <v>8</v>
      </c>
      <c r="O3884" t="s">
        <v>844</v>
      </c>
      <c r="P3884" t="s">
        <v>29</v>
      </c>
      <c r="Q3884" t="s">
        <v>30</v>
      </c>
      <c r="R3884" t="s">
        <v>60</v>
      </c>
      <c r="S3884" t="s">
        <v>61</v>
      </c>
      <c r="T3884" t="s">
        <v>1392</v>
      </c>
      <c r="U3884" t="s">
        <v>34</v>
      </c>
      <c r="V3884">
        <v>2294.16</v>
      </c>
    </row>
    <row r="3885" spans="1:22" x14ac:dyDescent="0.3">
      <c r="A3885" t="s">
        <v>5363</v>
      </c>
      <c r="B3885" s="2">
        <v>46190</v>
      </c>
      <c r="C3885" t="s">
        <v>2177</v>
      </c>
      <c r="D3885" t="s">
        <v>70</v>
      </c>
      <c r="E3885" t="s">
        <v>71</v>
      </c>
      <c r="F3885">
        <v>4</v>
      </c>
      <c r="G3885">
        <v>0.15</v>
      </c>
      <c r="H3885">
        <v>61200</v>
      </c>
      <c r="I3885">
        <v>-25934.91</v>
      </c>
      <c r="J3885" t="s">
        <v>26</v>
      </c>
      <c r="K3885" t="s">
        <v>434</v>
      </c>
      <c r="L3885">
        <v>15300</v>
      </c>
      <c r="M3885">
        <v>-42.377303921568632</v>
      </c>
      <c r="N3885" t="s">
        <v>81</v>
      </c>
      <c r="O3885" t="s">
        <v>175</v>
      </c>
      <c r="P3885" t="s">
        <v>29</v>
      </c>
      <c r="Q3885" t="s">
        <v>30</v>
      </c>
      <c r="R3885" t="s">
        <v>98</v>
      </c>
      <c r="S3885" t="s">
        <v>54</v>
      </c>
      <c r="T3885" t="s">
        <v>2178</v>
      </c>
      <c r="U3885" t="s">
        <v>46</v>
      </c>
      <c r="V3885">
        <v>-6483.7275</v>
      </c>
    </row>
    <row r="3886" spans="1:22" x14ac:dyDescent="0.3">
      <c r="A3886" t="s">
        <v>5364</v>
      </c>
      <c r="B3886" s="2">
        <v>45881</v>
      </c>
      <c r="C3886" t="s">
        <v>1509</v>
      </c>
      <c r="D3886" t="s">
        <v>24</v>
      </c>
      <c r="E3886" t="s">
        <v>242</v>
      </c>
      <c r="F3886">
        <v>5</v>
      </c>
      <c r="G3886">
        <v>0</v>
      </c>
      <c r="H3886">
        <v>2250</v>
      </c>
      <c r="I3886">
        <v>550</v>
      </c>
      <c r="J3886" t="s">
        <v>65</v>
      </c>
      <c r="K3886" t="s">
        <v>40</v>
      </c>
      <c r="L3886">
        <v>450</v>
      </c>
      <c r="M3886">
        <v>24.444444444444439</v>
      </c>
      <c r="N3886" t="s">
        <v>8</v>
      </c>
      <c r="O3886" t="s">
        <v>1510</v>
      </c>
      <c r="P3886" t="s">
        <v>73</v>
      </c>
      <c r="Q3886" t="s">
        <v>74</v>
      </c>
      <c r="R3886" t="s">
        <v>75</v>
      </c>
      <c r="S3886" t="s">
        <v>75</v>
      </c>
      <c r="T3886" t="s">
        <v>1511</v>
      </c>
      <c r="U3886" t="s">
        <v>46</v>
      </c>
      <c r="V3886">
        <v>110</v>
      </c>
    </row>
    <row r="3887" spans="1:22" x14ac:dyDescent="0.3">
      <c r="A3887" t="s">
        <v>5365</v>
      </c>
      <c r="B3887" s="2">
        <v>45943</v>
      </c>
      <c r="C3887" t="s">
        <v>3512</v>
      </c>
      <c r="D3887" t="s">
        <v>49</v>
      </c>
      <c r="E3887" t="s">
        <v>119</v>
      </c>
      <c r="F3887">
        <v>3</v>
      </c>
      <c r="G3887">
        <v>0</v>
      </c>
      <c r="H3887">
        <v>27000</v>
      </c>
      <c r="I3887">
        <v>6900</v>
      </c>
      <c r="J3887" t="s">
        <v>51</v>
      </c>
      <c r="K3887" t="s">
        <v>40</v>
      </c>
      <c r="L3887">
        <v>9000</v>
      </c>
      <c r="M3887">
        <v>25.55555555555555</v>
      </c>
      <c r="N3887" t="s">
        <v>8</v>
      </c>
      <c r="O3887" t="s">
        <v>648</v>
      </c>
      <c r="P3887" t="s">
        <v>83</v>
      </c>
      <c r="Q3887" t="s">
        <v>74</v>
      </c>
      <c r="R3887" t="s">
        <v>115</v>
      </c>
      <c r="S3887" t="s">
        <v>115</v>
      </c>
      <c r="T3887" t="s">
        <v>3513</v>
      </c>
      <c r="U3887" t="s">
        <v>34</v>
      </c>
      <c r="V3887">
        <v>2300</v>
      </c>
    </row>
    <row r="3888" spans="1:22" x14ac:dyDescent="0.3">
      <c r="A3888" t="s">
        <v>5366</v>
      </c>
      <c r="B3888" s="2">
        <v>46136</v>
      </c>
      <c r="C3888" t="s">
        <v>824</v>
      </c>
      <c r="D3888" t="s">
        <v>24</v>
      </c>
      <c r="E3888" t="s">
        <v>25</v>
      </c>
      <c r="F3888">
        <v>1</v>
      </c>
      <c r="G3888">
        <v>0.05</v>
      </c>
      <c r="H3888">
        <v>13300</v>
      </c>
      <c r="I3888">
        <v>2414.11</v>
      </c>
      <c r="J3888" t="s">
        <v>65</v>
      </c>
      <c r="K3888" t="s">
        <v>40</v>
      </c>
      <c r="L3888">
        <v>13300</v>
      </c>
      <c r="M3888">
        <v>18.151203007518799</v>
      </c>
      <c r="N3888" t="s">
        <v>8</v>
      </c>
      <c r="O3888" t="s">
        <v>825</v>
      </c>
      <c r="P3888" t="s">
        <v>29</v>
      </c>
      <c r="Q3888" t="s">
        <v>30</v>
      </c>
      <c r="R3888" t="s">
        <v>53</v>
      </c>
      <c r="S3888" t="s">
        <v>54</v>
      </c>
      <c r="T3888" t="s">
        <v>826</v>
      </c>
      <c r="U3888" t="s">
        <v>105</v>
      </c>
      <c r="V3888">
        <v>2414.11</v>
      </c>
    </row>
    <row r="3889" spans="1:22" x14ac:dyDescent="0.3">
      <c r="A3889" t="s">
        <v>5367</v>
      </c>
      <c r="B3889" s="2">
        <v>46062</v>
      </c>
      <c r="C3889" t="s">
        <v>4423</v>
      </c>
      <c r="D3889" t="s">
        <v>49</v>
      </c>
      <c r="E3889" t="s">
        <v>50</v>
      </c>
      <c r="F3889">
        <v>2</v>
      </c>
      <c r="G3889">
        <v>0.1</v>
      </c>
      <c r="H3889">
        <v>23400</v>
      </c>
      <c r="I3889">
        <v>4892.8100000000004</v>
      </c>
      <c r="J3889" t="s">
        <v>26</v>
      </c>
      <c r="K3889" t="s">
        <v>40</v>
      </c>
      <c r="L3889">
        <v>11700</v>
      </c>
      <c r="M3889">
        <v>20.90944444444445</v>
      </c>
      <c r="N3889" t="s">
        <v>8</v>
      </c>
      <c r="O3889" t="s">
        <v>329</v>
      </c>
      <c r="P3889" t="s">
        <v>29</v>
      </c>
      <c r="Q3889" t="s">
        <v>42</v>
      </c>
      <c r="R3889" t="s">
        <v>43</v>
      </c>
      <c r="S3889" t="s">
        <v>44</v>
      </c>
      <c r="T3889" t="s">
        <v>1561</v>
      </c>
      <c r="U3889" t="s">
        <v>105</v>
      </c>
      <c r="V3889">
        <v>2446.4050000000002</v>
      </c>
    </row>
    <row r="3890" spans="1:22" x14ac:dyDescent="0.3">
      <c r="A3890" t="s">
        <v>5368</v>
      </c>
      <c r="B3890" s="2">
        <v>45925</v>
      </c>
      <c r="C3890" t="s">
        <v>1308</v>
      </c>
      <c r="D3890" t="s">
        <v>24</v>
      </c>
      <c r="E3890" t="s">
        <v>242</v>
      </c>
      <c r="F3890">
        <v>3</v>
      </c>
      <c r="G3890">
        <v>0.15</v>
      </c>
      <c r="H3890">
        <v>1147.5</v>
      </c>
      <c r="I3890">
        <v>176.49</v>
      </c>
      <c r="J3890" t="s">
        <v>65</v>
      </c>
      <c r="K3890" t="s">
        <v>40</v>
      </c>
      <c r="L3890">
        <v>382.5</v>
      </c>
      <c r="M3890">
        <v>15.380392156862751</v>
      </c>
      <c r="N3890" t="s">
        <v>8</v>
      </c>
      <c r="O3890" t="s">
        <v>1309</v>
      </c>
      <c r="P3890" t="s">
        <v>29</v>
      </c>
      <c r="Q3890" t="s">
        <v>131</v>
      </c>
      <c r="R3890" t="s">
        <v>132</v>
      </c>
      <c r="S3890" t="s">
        <v>133</v>
      </c>
      <c r="T3890" t="s">
        <v>1310</v>
      </c>
      <c r="U3890" t="s">
        <v>46</v>
      </c>
      <c r="V3890">
        <v>58.830000000000013</v>
      </c>
    </row>
    <row r="3891" spans="1:22" x14ac:dyDescent="0.3">
      <c r="A3891" t="s">
        <v>5369</v>
      </c>
      <c r="B3891" s="2">
        <v>45848</v>
      </c>
      <c r="C3891" t="s">
        <v>1557</v>
      </c>
      <c r="D3891" t="s">
        <v>49</v>
      </c>
      <c r="E3891" t="s">
        <v>79</v>
      </c>
      <c r="F3891">
        <v>6</v>
      </c>
      <c r="G3891">
        <v>0.3</v>
      </c>
      <c r="H3891">
        <v>46200</v>
      </c>
      <c r="I3891">
        <v>-14409.57</v>
      </c>
      <c r="J3891" t="s">
        <v>51</v>
      </c>
      <c r="K3891" t="s">
        <v>80</v>
      </c>
      <c r="L3891">
        <v>7700</v>
      </c>
      <c r="M3891">
        <v>-31.189545454545449</v>
      </c>
      <c r="N3891" t="s">
        <v>81</v>
      </c>
      <c r="O3891" t="s">
        <v>821</v>
      </c>
      <c r="P3891" t="s">
        <v>73</v>
      </c>
      <c r="Q3891" t="s">
        <v>42</v>
      </c>
      <c r="R3891" t="s">
        <v>121</v>
      </c>
      <c r="S3891" t="s">
        <v>44</v>
      </c>
      <c r="T3891" t="s">
        <v>1558</v>
      </c>
      <c r="U3891" t="s">
        <v>105</v>
      </c>
      <c r="V3891">
        <v>-2401.5949999999998</v>
      </c>
    </row>
    <row r="3892" spans="1:22" x14ac:dyDescent="0.3">
      <c r="A3892" t="s">
        <v>5370</v>
      </c>
      <c r="B3892" s="2">
        <v>46129</v>
      </c>
      <c r="C3892" t="s">
        <v>1360</v>
      </c>
      <c r="D3892" t="s">
        <v>37</v>
      </c>
      <c r="E3892" t="s">
        <v>170</v>
      </c>
      <c r="F3892">
        <v>5</v>
      </c>
      <c r="G3892">
        <v>0.05</v>
      </c>
      <c r="H3892">
        <v>6650</v>
      </c>
      <c r="I3892">
        <v>2301.48</v>
      </c>
      <c r="J3892" t="s">
        <v>65</v>
      </c>
      <c r="K3892" t="s">
        <v>40</v>
      </c>
      <c r="L3892">
        <v>1330</v>
      </c>
      <c r="M3892">
        <v>34.608721804511283</v>
      </c>
      <c r="N3892" t="s">
        <v>8</v>
      </c>
      <c r="O3892" t="s">
        <v>553</v>
      </c>
      <c r="P3892" t="s">
        <v>83</v>
      </c>
      <c r="Q3892" t="s">
        <v>30</v>
      </c>
      <c r="R3892" t="s">
        <v>31</v>
      </c>
      <c r="S3892" t="s">
        <v>32</v>
      </c>
      <c r="T3892" t="s">
        <v>1361</v>
      </c>
      <c r="U3892" t="s">
        <v>34</v>
      </c>
      <c r="V3892">
        <v>460.29599999999999</v>
      </c>
    </row>
    <row r="3893" spans="1:22" x14ac:dyDescent="0.3">
      <c r="A3893" t="s">
        <v>5371</v>
      </c>
      <c r="B3893" s="2">
        <v>46221</v>
      </c>
      <c r="C3893" t="s">
        <v>818</v>
      </c>
      <c r="D3893" t="s">
        <v>49</v>
      </c>
      <c r="E3893" t="s">
        <v>79</v>
      </c>
      <c r="F3893">
        <v>2</v>
      </c>
      <c r="G3893">
        <v>0</v>
      </c>
      <c r="H3893">
        <v>22000</v>
      </c>
      <c r="I3893">
        <v>5200</v>
      </c>
      <c r="J3893" t="s">
        <v>26</v>
      </c>
      <c r="K3893" t="s">
        <v>40</v>
      </c>
      <c r="L3893">
        <v>11000</v>
      </c>
      <c r="M3893">
        <v>23.63636363636364</v>
      </c>
      <c r="N3893" t="s">
        <v>8</v>
      </c>
      <c r="O3893" t="s">
        <v>209</v>
      </c>
      <c r="P3893" t="s">
        <v>29</v>
      </c>
      <c r="Q3893" t="s">
        <v>42</v>
      </c>
      <c r="R3893" t="s">
        <v>110</v>
      </c>
      <c r="S3893" t="s">
        <v>111</v>
      </c>
      <c r="T3893" t="s">
        <v>162</v>
      </c>
      <c r="U3893" t="s">
        <v>105</v>
      </c>
      <c r="V3893">
        <v>2600</v>
      </c>
    </row>
    <row r="3894" spans="1:22" x14ac:dyDescent="0.3">
      <c r="A3894" t="s">
        <v>5372</v>
      </c>
      <c r="B3894" s="2">
        <v>45944</v>
      </c>
      <c r="C3894" t="s">
        <v>838</v>
      </c>
      <c r="D3894" t="s">
        <v>49</v>
      </c>
      <c r="E3894" t="s">
        <v>79</v>
      </c>
      <c r="F3894">
        <v>6</v>
      </c>
      <c r="G3894">
        <v>0.15</v>
      </c>
      <c r="H3894">
        <v>56100</v>
      </c>
      <c r="I3894">
        <v>7272.7</v>
      </c>
      <c r="J3894" t="s">
        <v>26</v>
      </c>
      <c r="K3894" t="s">
        <v>40</v>
      </c>
      <c r="L3894">
        <v>9350</v>
      </c>
      <c r="M3894">
        <v>12.963814616755791</v>
      </c>
      <c r="N3894" t="s">
        <v>8</v>
      </c>
      <c r="O3894" t="s">
        <v>839</v>
      </c>
      <c r="P3894" t="s">
        <v>73</v>
      </c>
      <c r="Q3894" t="s">
        <v>30</v>
      </c>
      <c r="R3894" t="s">
        <v>31</v>
      </c>
      <c r="S3894" t="s">
        <v>32</v>
      </c>
      <c r="T3894" t="s">
        <v>840</v>
      </c>
      <c r="U3894" t="s">
        <v>100</v>
      </c>
      <c r="V3894">
        <v>1212.116666666667</v>
      </c>
    </row>
    <row r="3895" spans="1:22" x14ac:dyDescent="0.3">
      <c r="A3895" t="s">
        <v>5373</v>
      </c>
      <c r="B3895" s="2">
        <v>46012</v>
      </c>
      <c r="C3895" t="s">
        <v>1602</v>
      </c>
      <c r="D3895" t="s">
        <v>70</v>
      </c>
      <c r="E3895" t="s">
        <v>129</v>
      </c>
      <c r="F3895">
        <v>2</v>
      </c>
      <c r="G3895">
        <v>0.05</v>
      </c>
      <c r="H3895">
        <v>104500</v>
      </c>
      <c r="I3895">
        <v>13483.93</v>
      </c>
      <c r="J3895" t="s">
        <v>65</v>
      </c>
      <c r="K3895" t="s">
        <v>40</v>
      </c>
      <c r="L3895">
        <v>52250</v>
      </c>
      <c r="M3895">
        <v>12.903282296650721</v>
      </c>
      <c r="N3895" t="s">
        <v>8</v>
      </c>
      <c r="O3895" t="s">
        <v>1237</v>
      </c>
      <c r="P3895" t="s">
        <v>73</v>
      </c>
      <c r="Q3895" t="s">
        <v>131</v>
      </c>
      <c r="R3895" t="s">
        <v>449</v>
      </c>
      <c r="S3895" t="s">
        <v>450</v>
      </c>
      <c r="T3895" t="s">
        <v>880</v>
      </c>
      <c r="U3895" t="s">
        <v>105</v>
      </c>
      <c r="V3895">
        <v>6741.9650000000001</v>
      </c>
    </row>
    <row r="3896" spans="1:22" x14ac:dyDescent="0.3">
      <c r="A3896" t="s">
        <v>5374</v>
      </c>
      <c r="B3896" s="2">
        <v>45925</v>
      </c>
      <c r="C3896" t="s">
        <v>1589</v>
      </c>
      <c r="D3896" t="s">
        <v>37</v>
      </c>
      <c r="E3896" t="s">
        <v>38</v>
      </c>
      <c r="F3896">
        <v>4</v>
      </c>
      <c r="G3896">
        <v>0</v>
      </c>
      <c r="H3896">
        <v>7200</v>
      </c>
      <c r="I3896">
        <v>2600</v>
      </c>
      <c r="J3896" t="s">
        <v>51</v>
      </c>
      <c r="K3896" t="s">
        <v>40</v>
      </c>
      <c r="L3896">
        <v>1800</v>
      </c>
      <c r="M3896">
        <v>36.111111111111107</v>
      </c>
      <c r="N3896" t="s">
        <v>8</v>
      </c>
      <c r="O3896" t="s">
        <v>984</v>
      </c>
      <c r="P3896" t="s">
        <v>29</v>
      </c>
      <c r="Q3896" t="s">
        <v>131</v>
      </c>
      <c r="R3896" t="s">
        <v>132</v>
      </c>
      <c r="S3896" t="s">
        <v>133</v>
      </c>
      <c r="T3896" t="s">
        <v>1590</v>
      </c>
      <c r="U3896" t="s">
        <v>34</v>
      </c>
      <c r="V3896">
        <v>650</v>
      </c>
    </row>
    <row r="3897" spans="1:22" x14ac:dyDescent="0.3">
      <c r="A3897" t="s">
        <v>5375</v>
      </c>
      <c r="B3897" s="2">
        <v>45860</v>
      </c>
      <c r="C3897" t="s">
        <v>465</v>
      </c>
      <c r="D3897" t="s">
        <v>70</v>
      </c>
      <c r="E3897" t="s">
        <v>71</v>
      </c>
      <c r="F3897">
        <v>1</v>
      </c>
      <c r="G3897">
        <v>0.1</v>
      </c>
      <c r="H3897">
        <v>16200</v>
      </c>
      <c r="I3897">
        <v>2052.0500000000002</v>
      </c>
      <c r="J3897" t="s">
        <v>26</v>
      </c>
      <c r="K3897" t="s">
        <v>40</v>
      </c>
      <c r="L3897">
        <v>16200</v>
      </c>
      <c r="M3897">
        <v>12.66697530864197</v>
      </c>
      <c r="N3897" t="s">
        <v>8</v>
      </c>
      <c r="O3897" t="s">
        <v>362</v>
      </c>
      <c r="P3897" t="s">
        <v>29</v>
      </c>
      <c r="Q3897" t="s">
        <v>42</v>
      </c>
      <c r="R3897" t="s">
        <v>121</v>
      </c>
      <c r="S3897" t="s">
        <v>44</v>
      </c>
      <c r="T3897" t="s">
        <v>466</v>
      </c>
      <c r="U3897" t="s">
        <v>100</v>
      </c>
      <c r="V3897">
        <v>2052.0500000000002</v>
      </c>
    </row>
    <row r="3898" spans="1:22" x14ac:dyDescent="0.3">
      <c r="A3898" t="s">
        <v>5376</v>
      </c>
      <c r="B3898" s="2">
        <v>45954</v>
      </c>
      <c r="C3898" t="s">
        <v>1382</v>
      </c>
      <c r="D3898" t="s">
        <v>24</v>
      </c>
      <c r="E3898" t="s">
        <v>242</v>
      </c>
      <c r="F3898">
        <v>15</v>
      </c>
      <c r="G3898">
        <v>0.2</v>
      </c>
      <c r="H3898">
        <v>5400</v>
      </c>
      <c r="I3898">
        <v>946.19</v>
      </c>
      <c r="J3898" t="s">
        <v>51</v>
      </c>
      <c r="K3898" t="s">
        <v>40</v>
      </c>
      <c r="L3898">
        <v>360</v>
      </c>
      <c r="M3898">
        <v>17.522037037037041</v>
      </c>
      <c r="N3898" t="s">
        <v>8</v>
      </c>
      <c r="O3898" t="s">
        <v>1383</v>
      </c>
      <c r="P3898" t="s">
        <v>83</v>
      </c>
      <c r="Q3898" t="s">
        <v>30</v>
      </c>
      <c r="R3898" t="s">
        <v>60</v>
      </c>
      <c r="S3898" t="s">
        <v>61</v>
      </c>
      <c r="T3898" t="s">
        <v>227</v>
      </c>
      <c r="U3898" t="s">
        <v>46</v>
      </c>
      <c r="V3898">
        <v>63.079333333333338</v>
      </c>
    </row>
    <row r="3899" spans="1:22" x14ac:dyDescent="0.3">
      <c r="A3899" t="s">
        <v>5377</v>
      </c>
      <c r="B3899" s="2">
        <v>46255</v>
      </c>
      <c r="C3899" t="s">
        <v>640</v>
      </c>
      <c r="D3899" t="s">
        <v>49</v>
      </c>
      <c r="E3899" t="s">
        <v>50</v>
      </c>
      <c r="F3899">
        <v>3</v>
      </c>
      <c r="G3899">
        <v>0</v>
      </c>
      <c r="H3899">
        <v>39000</v>
      </c>
      <c r="I3899">
        <v>9600</v>
      </c>
      <c r="J3899" t="s">
        <v>51</v>
      </c>
      <c r="K3899" t="s">
        <v>40</v>
      </c>
      <c r="L3899">
        <v>13000</v>
      </c>
      <c r="M3899">
        <v>24.61538461538462</v>
      </c>
      <c r="N3899" t="s">
        <v>8</v>
      </c>
      <c r="O3899" t="s">
        <v>641</v>
      </c>
      <c r="P3899" t="s">
        <v>29</v>
      </c>
      <c r="Q3899" t="s">
        <v>30</v>
      </c>
      <c r="R3899" t="s">
        <v>31</v>
      </c>
      <c r="S3899" t="s">
        <v>32</v>
      </c>
      <c r="T3899" t="s">
        <v>642</v>
      </c>
      <c r="U3899" t="s">
        <v>34</v>
      </c>
      <c r="V3899">
        <v>3200</v>
      </c>
    </row>
    <row r="3900" spans="1:22" x14ac:dyDescent="0.3">
      <c r="A3900" t="s">
        <v>5378</v>
      </c>
      <c r="B3900" s="2">
        <v>45974</v>
      </c>
      <c r="C3900" t="s">
        <v>229</v>
      </c>
      <c r="D3900" t="s">
        <v>70</v>
      </c>
      <c r="E3900" t="s">
        <v>165</v>
      </c>
      <c r="F3900">
        <v>4</v>
      </c>
      <c r="G3900">
        <v>0.1</v>
      </c>
      <c r="H3900">
        <v>9000</v>
      </c>
      <c r="I3900">
        <v>2577.25</v>
      </c>
      <c r="J3900" t="s">
        <v>26</v>
      </c>
      <c r="K3900" t="s">
        <v>40</v>
      </c>
      <c r="L3900">
        <v>2250</v>
      </c>
      <c r="M3900">
        <v>28.636111111111109</v>
      </c>
      <c r="N3900" t="s">
        <v>8</v>
      </c>
      <c r="O3900" t="s">
        <v>103</v>
      </c>
      <c r="P3900" t="s">
        <v>29</v>
      </c>
      <c r="Q3900" t="s">
        <v>30</v>
      </c>
      <c r="R3900" t="s">
        <v>60</v>
      </c>
      <c r="S3900" t="s">
        <v>61</v>
      </c>
      <c r="T3900" t="s">
        <v>230</v>
      </c>
      <c r="U3900" t="s">
        <v>105</v>
      </c>
      <c r="V3900">
        <v>644.3125</v>
      </c>
    </row>
    <row r="3901" spans="1:22" x14ac:dyDescent="0.3">
      <c r="A3901" t="s">
        <v>5379</v>
      </c>
      <c r="B3901" s="2">
        <v>45969</v>
      </c>
      <c r="C3901" t="s">
        <v>780</v>
      </c>
      <c r="D3901" t="s">
        <v>49</v>
      </c>
      <c r="E3901" t="s">
        <v>119</v>
      </c>
      <c r="F3901">
        <v>4</v>
      </c>
      <c r="G3901">
        <v>0.1</v>
      </c>
      <c r="H3901">
        <v>32400</v>
      </c>
      <c r="I3901">
        <v>7494.03</v>
      </c>
      <c r="J3901" t="s">
        <v>65</v>
      </c>
      <c r="K3901" t="s">
        <v>40</v>
      </c>
      <c r="L3901">
        <v>8100</v>
      </c>
      <c r="M3901">
        <v>23.12972222222222</v>
      </c>
      <c r="N3901" t="s">
        <v>8</v>
      </c>
      <c r="O3901" t="s">
        <v>781</v>
      </c>
      <c r="P3901" t="s">
        <v>73</v>
      </c>
      <c r="Q3901" t="s">
        <v>30</v>
      </c>
      <c r="R3901" t="s">
        <v>31</v>
      </c>
      <c r="S3901" t="s">
        <v>32</v>
      </c>
      <c r="T3901" t="s">
        <v>572</v>
      </c>
      <c r="U3901" t="s">
        <v>100</v>
      </c>
      <c r="V3901">
        <v>1873.5074999999999</v>
      </c>
    </row>
    <row r="3902" spans="1:22" x14ac:dyDescent="0.3">
      <c r="A3902" t="s">
        <v>5380</v>
      </c>
      <c r="B3902" s="2">
        <v>45934</v>
      </c>
      <c r="C3902" t="s">
        <v>3002</v>
      </c>
      <c r="D3902" t="s">
        <v>70</v>
      </c>
      <c r="E3902" t="s">
        <v>129</v>
      </c>
      <c r="F3902">
        <v>4</v>
      </c>
      <c r="G3902">
        <v>0</v>
      </c>
      <c r="H3902">
        <v>220000</v>
      </c>
      <c r="I3902">
        <v>36000</v>
      </c>
      <c r="J3902" t="s">
        <v>51</v>
      </c>
      <c r="K3902" t="s">
        <v>40</v>
      </c>
      <c r="L3902">
        <v>55000</v>
      </c>
      <c r="M3902">
        <v>16.36363636363636</v>
      </c>
      <c r="N3902" t="s">
        <v>8</v>
      </c>
      <c r="O3902" t="s">
        <v>3003</v>
      </c>
      <c r="P3902" t="s">
        <v>83</v>
      </c>
      <c r="Q3902" t="s">
        <v>42</v>
      </c>
      <c r="R3902" t="s">
        <v>121</v>
      </c>
      <c r="S3902" t="s">
        <v>44</v>
      </c>
      <c r="T3902" t="s">
        <v>3004</v>
      </c>
      <c r="U3902" t="s">
        <v>34</v>
      </c>
      <c r="V3902">
        <v>9000</v>
      </c>
    </row>
    <row r="3903" spans="1:22" x14ac:dyDescent="0.3">
      <c r="A3903" t="s">
        <v>5381</v>
      </c>
      <c r="B3903" s="2">
        <v>46052</v>
      </c>
      <c r="C3903" t="s">
        <v>1806</v>
      </c>
      <c r="D3903" t="s">
        <v>70</v>
      </c>
      <c r="E3903" t="s">
        <v>71</v>
      </c>
      <c r="F3903">
        <v>2</v>
      </c>
      <c r="G3903">
        <v>0.1</v>
      </c>
      <c r="H3903">
        <v>32400</v>
      </c>
      <c r="I3903">
        <v>3998.05</v>
      </c>
      <c r="J3903" t="s">
        <v>51</v>
      </c>
      <c r="K3903" t="s">
        <v>40</v>
      </c>
      <c r="L3903">
        <v>16200</v>
      </c>
      <c r="M3903">
        <v>12.339660493827161</v>
      </c>
      <c r="N3903" t="s">
        <v>8</v>
      </c>
      <c r="O3903" t="s">
        <v>1033</v>
      </c>
      <c r="P3903" t="s">
        <v>73</v>
      </c>
      <c r="Q3903" t="s">
        <v>42</v>
      </c>
      <c r="R3903" t="s">
        <v>110</v>
      </c>
      <c r="S3903" t="s">
        <v>111</v>
      </c>
      <c r="T3903" t="s">
        <v>759</v>
      </c>
      <c r="U3903" t="s">
        <v>34</v>
      </c>
      <c r="V3903">
        <v>1999.0250000000001</v>
      </c>
    </row>
    <row r="3904" spans="1:22" x14ac:dyDescent="0.3">
      <c r="A3904" t="s">
        <v>5382</v>
      </c>
      <c r="B3904" s="2">
        <v>46172</v>
      </c>
      <c r="C3904" t="s">
        <v>136</v>
      </c>
      <c r="D3904" t="s">
        <v>49</v>
      </c>
      <c r="E3904" t="s">
        <v>119</v>
      </c>
      <c r="F3904">
        <v>3</v>
      </c>
      <c r="G3904">
        <v>0.15</v>
      </c>
      <c r="H3904">
        <v>22950</v>
      </c>
      <c r="I3904">
        <v>3661.39</v>
      </c>
      <c r="J3904" t="s">
        <v>39</v>
      </c>
      <c r="K3904" t="s">
        <v>27</v>
      </c>
      <c r="L3904">
        <v>7650</v>
      </c>
      <c r="M3904">
        <v>15.953769063180831</v>
      </c>
      <c r="N3904" t="s">
        <v>8</v>
      </c>
      <c r="O3904" t="s">
        <v>137</v>
      </c>
      <c r="P3904" t="s">
        <v>83</v>
      </c>
      <c r="Q3904" t="s">
        <v>42</v>
      </c>
      <c r="R3904" t="s">
        <v>110</v>
      </c>
      <c r="S3904" t="s">
        <v>111</v>
      </c>
      <c r="T3904" t="s">
        <v>138</v>
      </c>
      <c r="U3904" t="s">
        <v>34</v>
      </c>
      <c r="V3904">
        <v>1220.4633333333329</v>
      </c>
    </row>
    <row r="3905" spans="1:22" x14ac:dyDescent="0.3">
      <c r="A3905" t="s">
        <v>5383</v>
      </c>
      <c r="B3905" s="2">
        <v>45952</v>
      </c>
      <c r="C3905" t="s">
        <v>1812</v>
      </c>
      <c r="D3905" t="s">
        <v>49</v>
      </c>
      <c r="E3905" t="s">
        <v>79</v>
      </c>
      <c r="F3905">
        <v>3</v>
      </c>
      <c r="G3905">
        <v>0.1</v>
      </c>
      <c r="H3905">
        <v>29700</v>
      </c>
      <c r="I3905">
        <v>5982.82</v>
      </c>
      <c r="J3905" t="s">
        <v>39</v>
      </c>
      <c r="K3905" t="s">
        <v>40</v>
      </c>
      <c r="L3905">
        <v>9900</v>
      </c>
      <c r="M3905">
        <v>20.144175084175089</v>
      </c>
      <c r="N3905" t="s">
        <v>8</v>
      </c>
      <c r="O3905" t="s">
        <v>1813</v>
      </c>
      <c r="P3905" t="s">
        <v>83</v>
      </c>
      <c r="Q3905" t="s">
        <v>30</v>
      </c>
      <c r="R3905" t="s">
        <v>98</v>
      </c>
      <c r="S3905" t="s">
        <v>54</v>
      </c>
      <c r="T3905" t="s">
        <v>1089</v>
      </c>
      <c r="U3905" t="s">
        <v>34</v>
      </c>
      <c r="V3905">
        <v>1994.2733333333331</v>
      </c>
    </row>
    <row r="3906" spans="1:22" x14ac:dyDescent="0.3">
      <c r="A3906" t="s">
        <v>5384</v>
      </c>
      <c r="B3906" s="2">
        <v>45847</v>
      </c>
      <c r="C3906" t="s">
        <v>241</v>
      </c>
      <c r="D3906" t="s">
        <v>70</v>
      </c>
      <c r="E3906" t="s">
        <v>71</v>
      </c>
      <c r="F3906">
        <v>3</v>
      </c>
      <c r="G3906">
        <v>0</v>
      </c>
      <c r="H3906">
        <v>54000</v>
      </c>
      <c r="I3906">
        <v>10500</v>
      </c>
      <c r="J3906" t="s">
        <v>65</v>
      </c>
      <c r="K3906" t="s">
        <v>40</v>
      </c>
      <c r="L3906">
        <v>18000</v>
      </c>
      <c r="M3906">
        <v>19.44444444444445</v>
      </c>
      <c r="N3906" t="s">
        <v>8</v>
      </c>
      <c r="O3906" t="s">
        <v>243</v>
      </c>
      <c r="P3906" t="s">
        <v>73</v>
      </c>
      <c r="Q3906" t="s">
        <v>74</v>
      </c>
      <c r="R3906" t="s">
        <v>75</v>
      </c>
      <c r="S3906" t="s">
        <v>75</v>
      </c>
      <c r="T3906" t="s">
        <v>244</v>
      </c>
      <c r="U3906" t="s">
        <v>34</v>
      </c>
      <c r="V3906">
        <v>3500</v>
      </c>
    </row>
    <row r="3907" spans="1:22" x14ac:dyDescent="0.3">
      <c r="A3907" t="s">
        <v>5385</v>
      </c>
      <c r="B3907" s="2">
        <v>46018</v>
      </c>
      <c r="C3907" t="s">
        <v>174</v>
      </c>
      <c r="D3907" t="s">
        <v>49</v>
      </c>
      <c r="E3907" t="s">
        <v>119</v>
      </c>
      <c r="F3907">
        <v>1</v>
      </c>
      <c r="G3907">
        <v>0.05</v>
      </c>
      <c r="H3907">
        <v>8550</v>
      </c>
      <c r="I3907">
        <v>2092.0300000000002</v>
      </c>
      <c r="J3907" t="s">
        <v>65</v>
      </c>
      <c r="K3907" t="s">
        <v>40</v>
      </c>
      <c r="L3907">
        <v>8550</v>
      </c>
      <c r="M3907">
        <v>24.46818713450293</v>
      </c>
      <c r="N3907" t="s">
        <v>8</v>
      </c>
      <c r="O3907" t="s">
        <v>175</v>
      </c>
      <c r="P3907" t="s">
        <v>29</v>
      </c>
      <c r="Q3907" t="s">
        <v>30</v>
      </c>
      <c r="R3907" t="s">
        <v>53</v>
      </c>
      <c r="S3907" t="s">
        <v>54</v>
      </c>
      <c r="T3907" t="s">
        <v>176</v>
      </c>
      <c r="U3907" t="s">
        <v>34</v>
      </c>
      <c r="V3907">
        <v>2092.0300000000002</v>
      </c>
    </row>
    <row r="3908" spans="1:22" x14ac:dyDescent="0.3">
      <c r="A3908" t="s">
        <v>5386</v>
      </c>
      <c r="B3908" s="2">
        <v>45958</v>
      </c>
      <c r="C3908" t="s">
        <v>1410</v>
      </c>
      <c r="D3908" t="s">
        <v>70</v>
      </c>
      <c r="E3908" t="s">
        <v>129</v>
      </c>
      <c r="F3908">
        <v>3</v>
      </c>
      <c r="G3908">
        <v>0</v>
      </c>
      <c r="H3908">
        <v>165000</v>
      </c>
      <c r="I3908">
        <v>27000</v>
      </c>
      <c r="J3908" t="s">
        <v>26</v>
      </c>
      <c r="K3908" t="s">
        <v>40</v>
      </c>
      <c r="L3908">
        <v>55000</v>
      </c>
      <c r="M3908">
        <v>16.36363636363636</v>
      </c>
      <c r="N3908" t="s">
        <v>8</v>
      </c>
      <c r="O3908" t="s">
        <v>995</v>
      </c>
      <c r="P3908" t="s">
        <v>73</v>
      </c>
      <c r="Q3908" t="s">
        <v>30</v>
      </c>
      <c r="R3908" t="s">
        <v>60</v>
      </c>
      <c r="S3908" t="s">
        <v>61</v>
      </c>
      <c r="T3908" t="s">
        <v>1411</v>
      </c>
      <c r="U3908" t="s">
        <v>34</v>
      </c>
      <c r="V3908">
        <v>9000</v>
      </c>
    </row>
    <row r="3909" spans="1:22" x14ac:dyDescent="0.3">
      <c r="A3909" t="s">
        <v>5387</v>
      </c>
      <c r="B3909" s="2">
        <v>46188</v>
      </c>
      <c r="C3909" t="s">
        <v>664</v>
      </c>
      <c r="D3909" t="s">
        <v>37</v>
      </c>
      <c r="E3909" t="s">
        <v>170</v>
      </c>
      <c r="F3909">
        <v>3</v>
      </c>
      <c r="G3909">
        <v>0.15</v>
      </c>
      <c r="H3909">
        <v>3570</v>
      </c>
      <c r="I3909">
        <v>1124.54</v>
      </c>
      <c r="J3909" t="s">
        <v>39</v>
      </c>
      <c r="K3909" t="s">
        <v>40</v>
      </c>
      <c r="L3909">
        <v>1190</v>
      </c>
      <c r="M3909">
        <v>31.49971988795518</v>
      </c>
      <c r="N3909" t="s">
        <v>8</v>
      </c>
      <c r="O3909" t="s">
        <v>665</v>
      </c>
      <c r="P3909" t="s">
        <v>29</v>
      </c>
      <c r="Q3909" t="s">
        <v>30</v>
      </c>
      <c r="R3909" t="s">
        <v>31</v>
      </c>
      <c r="S3909" t="s">
        <v>32</v>
      </c>
      <c r="T3909" t="s">
        <v>256</v>
      </c>
      <c r="U3909" t="s">
        <v>34</v>
      </c>
      <c r="V3909">
        <v>374.84666666666658</v>
      </c>
    </row>
    <row r="3910" spans="1:22" x14ac:dyDescent="0.3">
      <c r="A3910" t="s">
        <v>5388</v>
      </c>
      <c r="B3910" s="2">
        <v>45989</v>
      </c>
      <c r="C3910" t="s">
        <v>1694</v>
      </c>
      <c r="D3910" t="s">
        <v>24</v>
      </c>
      <c r="E3910" t="s">
        <v>25</v>
      </c>
      <c r="F3910">
        <v>1</v>
      </c>
      <c r="G3910">
        <v>0.15</v>
      </c>
      <c r="H3910">
        <v>11900</v>
      </c>
      <c r="I3910">
        <v>1191.1600000000001</v>
      </c>
      <c r="J3910" t="s">
        <v>51</v>
      </c>
      <c r="K3910" t="s">
        <v>40</v>
      </c>
      <c r="L3910">
        <v>11900</v>
      </c>
      <c r="M3910">
        <v>10.00974789915966</v>
      </c>
      <c r="N3910" t="s">
        <v>8</v>
      </c>
      <c r="O3910" t="s">
        <v>1695</v>
      </c>
      <c r="P3910" t="s">
        <v>73</v>
      </c>
      <c r="Q3910" t="s">
        <v>30</v>
      </c>
      <c r="R3910" t="s">
        <v>60</v>
      </c>
      <c r="S3910" t="s">
        <v>61</v>
      </c>
      <c r="T3910" t="s">
        <v>1696</v>
      </c>
      <c r="U3910" t="s">
        <v>100</v>
      </c>
      <c r="V3910">
        <v>1191.1600000000001</v>
      </c>
    </row>
    <row r="3911" spans="1:22" x14ac:dyDescent="0.3">
      <c r="A3911" t="s">
        <v>5389</v>
      </c>
      <c r="B3911" s="2">
        <v>46142</v>
      </c>
      <c r="C3911" t="s">
        <v>2034</v>
      </c>
      <c r="D3911" t="s">
        <v>37</v>
      </c>
      <c r="E3911" t="s">
        <v>190</v>
      </c>
      <c r="F3911">
        <v>3</v>
      </c>
      <c r="G3911">
        <v>0.15</v>
      </c>
      <c r="H3911">
        <v>10710</v>
      </c>
      <c r="I3911">
        <v>2420.7800000000002</v>
      </c>
      <c r="J3911" t="s">
        <v>39</v>
      </c>
      <c r="K3911" t="s">
        <v>40</v>
      </c>
      <c r="L3911">
        <v>3570</v>
      </c>
      <c r="M3911">
        <v>22.602987861811389</v>
      </c>
      <c r="N3911" t="s">
        <v>8</v>
      </c>
      <c r="O3911" t="s">
        <v>502</v>
      </c>
      <c r="P3911" t="s">
        <v>29</v>
      </c>
      <c r="Q3911" t="s">
        <v>30</v>
      </c>
      <c r="R3911" t="s">
        <v>98</v>
      </c>
      <c r="S3911" t="s">
        <v>54</v>
      </c>
      <c r="T3911" t="s">
        <v>2035</v>
      </c>
      <c r="U3911" t="s">
        <v>34</v>
      </c>
      <c r="V3911">
        <v>806.92666666666673</v>
      </c>
    </row>
    <row r="3912" spans="1:22" x14ac:dyDescent="0.3">
      <c r="A3912" t="s">
        <v>5390</v>
      </c>
      <c r="B3912" s="2">
        <v>45864</v>
      </c>
      <c r="C3912" t="s">
        <v>96</v>
      </c>
      <c r="D3912" t="s">
        <v>24</v>
      </c>
      <c r="E3912" t="s">
        <v>25</v>
      </c>
      <c r="F3912">
        <v>3</v>
      </c>
      <c r="G3912">
        <v>0.05</v>
      </c>
      <c r="H3912">
        <v>39900</v>
      </c>
      <c r="I3912">
        <v>6987.81</v>
      </c>
      <c r="J3912" t="s">
        <v>39</v>
      </c>
      <c r="K3912" t="s">
        <v>40</v>
      </c>
      <c r="L3912">
        <v>13300</v>
      </c>
      <c r="M3912">
        <v>17.513308270676688</v>
      </c>
      <c r="N3912" t="s">
        <v>8</v>
      </c>
      <c r="O3912" t="s">
        <v>97</v>
      </c>
      <c r="P3912" t="s">
        <v>73</v>
      </c>
      <c r="Q3912" t="s">
        <v>30</v>
      </c>
      <c r="R3912" t="s">
        <v>98</v>
      </c>
      <c r="S3912" t="s">
        <v>54</v>
      </c>
      <c r="T3912" t="s">
        <v>99</v>
      </c>
      <c r="U3912" t="s">
        <v>100</v>
      </c>
      <c r="V3912">
        <v>2329.27</v>
      </c>
    </row>
    <row r="3913" spans="1:22" x14ac:dyDescent="0.3">
      <c r="A3913" t="s">
        <v>5391</v>
      </c>
      <c r="B3913" s="2">
        <v>45934</v>
      </c>
      <c r="C3913" t="s">
        <v>1852</v>
      </c>
      <c r="D3913" t="s">
        <v>70</v>
      </c>
      <c r="E3913" t="s">
        <v>129</v>
      </c>
      <c r="F3913">
        <v>1</v>
      </c>
      <c r="G3913">
        <v>0.1</v>
      </c>
      <c r="H3913">
        <v>49500</v>
      </c>
      <c r="I3913">
        <v>4827.7</v>
      </c>
      <c r="J3913" t="s">
        <v>26</v>
      </c>
      <c r="K3913" t="s">
        <v>40</v>
      </c>
      <c r="L3913">
        <v>49500</v>
      </c>
      <c r="M3913">
        <v>9.7529292929292932</v>
      </c>
      <c r="N3913" t="s">
        <v>8</v>
      </c>
      <c r="O3913" t="s">
        <v>1325</v>
      </c>
      <c r="P3913" t="s">
        <v>29</v>
      </c>
      <c r="Q3913" t="s">
        <v>74</v>
      </c>
      <c r="R3913" t="s">
        <v>75</v>
      </c>
      <c r="S3913" t="s">
        <v>75</v>
      </c>
      <c r="T3913" t="s">
        <v>1745</v>
      </c>
      <c r="U3913" t="s">
        <v>100</v>
      </c>
      <c r="V3913">
        <v>4827.7</v>
      </c>
    </row>
    <row r="3914" spans="1:22" x14ac:dyDescent="0.3">
      <c r="A3914" t="s">
        <v>5392</v>
      </c>
      <c r="B3914" s="2">
        <v>46188</v>
      </c>
      <c r="C3914" t="s">
        <v>1094</v>
      </c>
      <c r="D3914" t="s">
        <v>70</v>
      </c>
      <c r="E3914" t="s">
        <v>108</v>
      </c>
      <c r="F3914">
        <v>4</v>
      </c>
      <c r="G3914">
        <v>0.15</v>
      </c>
      <c r="H3914">
        <v>15300</v>
      </c>
      <c r="I3914">
        <v>4490.99</v>
      </c>
      <c r="J3914" t="s">
        <v>26</v>
      </c>
      <c r="K3914" t="s">
        <v>40</v>
      </c>
      <c r="L3914">
        <v>3825</v>
      </c>
      <c r="M3914">
        <v>29.35287581699346</v>
      </c>
      <c r="N3914" t="s">
        <v>8</v>
      </c>
      <c r="O3914" t="s">
        <v>183</v>
      </c>
      <c r="P3914" t="s">
        <v>73</v>
      </c>
      <c r="Q3914" t="s">
        <v>30</v>
      </c>
      <c r="R3914" t="s">
        <v>31</v>
      </c>
      <c r="S3914" t="s">
        <v>32</v>
      </c>
      <c r="T3914" t="s">
        <v>1095</v>
      </c>
      <c r="U3914" t="s">
        <v>105</v>
      </c>
      <c r="V3914">
        <v>1122.7474999999999</v>
      </c>
    </row>
    <row r="3915" spans="1:22" x14ac:dyDescent="0.3">
      <c r="A3915" t="s">
        <v>5393</v>
      </c>
      <c r="B3915" s="2">
        <v>45987</v>
      </c>
      <c r="C3915" t="s">
        <v>1869</v>
      </c>
      <c r="D3915" t="s">
        <v>37</v>
      </c>
      <c r="E3915" t="s">
        <v>190</v>
      </c>
      <c r="F3915">
        <v>5</v>
      </c>
      <c r="G3915">
        <v>0.1</v>
      </c>
      <c r="H3915">
        <v>18900</v>
      </c>
      <c r="I3915">
        <v>4451.88</v>
      </c>
      <c r="J3915" t="s">
        <v>26</v>
      </c>
      <c r="K3915" t="s">
        <v>40</v>
      </c>
      <c r="L3915">
        <v>3780</v>
      </c>
      <c r="M3915">
        <v>23.554920634920631</v>
      </c>
      <c r="N3915" t="s">
        <v>8</v>
      </c>
      <c r="O3915" t="s">
        <v>789</v>
      </c>
      <c r="P3915" t="s">
        <v>29</v>
      </c>
      <c r="Q3915" t="s">
        <v>42</v>
      </c>
      <c r="R3915" t="s">
        <v>214</v>
      </c>
      <c r="S3915" t="s">
        <v>111</v>
      </c>
      <c r="T3915" t="s">
        <v>1870</v>
      </c>
      <c r="U3915" t="s">
        <v>34</v>
      </c>
      <c r="V3915">
        <v>890.37599999999998</v>
      </c>
    </row>
    <row r="3916" spans="1:22" x14ac:dyDescent="0.3">
      <c r="A3916" t="s">
        <v>5394</v>
      </c>
      <c r="B3916" s="2">
        <v>45874</v>
      </c>
      <c r="C3916" t="s">
        <v>1615</v>
      </c>
      <c r="D3916" t="s">
        <v>70</v>
      </c>
      <c r="E3916" t="s">
        <v>108</v>
      </c>
      <c r="F3916">
        <v>2</v>
      </c>
      <c r="G3916">
        <v>0.1</v>
      </c>
      <c r="H3916">
        <v>8100</v>
      </c>
      <c r="I3916">
        <v>-1310.67</v>
      </c>
      <c r="J3916" t="s">
        <v>26</v>
      </c>
      <c r="K3916" t="s">
        <v>80</v>
      </c>
      <c r="L3916">
        <v>4050</v>
      </c>
      <c r="M3916">
        <v>-16.181111111111111</v>
      </c>
      <c r="N3916" t="s">
        <v>81</v>
      </c>
      <c r="O3916" t="s">
        <v>398</v>
      </c>
      <c r="P3916" t="s">
        <v>73</v>
      </c>
      <c r="Q3916" t="s">
        <v>131</v>
      </c>
      <c r="R3916" t="s">
        <v>449</v>
      </c>
      <c r="S3916" t="s">
        <v>450</v>
      </c>
      <c r="T3916" t="s">
        <v>1616</v>
      </c>
      <c r="U3916" t="s">
        <v>100</v>
      </c>
      <c r="V3916">
        <v>-655.33500000000004</v>
      </c>
    </row>
    <row r="3917" spans="1:22" x14ac:dyDescent="0.3">
      <c r="A3917" t="s">
        <v>5395</v>
      </c>
      <c r="B3917" s="2">
        <v>46065</v>
      </c>
      <c r="C3917" t="s">
        <v>3238</v>
      </c>
      <c r="D3917" t="s">
        <v>37</v>
      </c>
      <c r="E3917" t="s">
        <v>310</v>
      </c>
      <c r="F3917">
        <v>2</v>
      </c>
      <c r="G3917">
        <v>0.1</v>
      </c>
      <c r="H3917">
        <v>3960</v>
      </c>
      <c r="I3917">
        <v>-710.37</v>
      </c>
      <c r="J3917" t="s">
        <v>65</v>
      </c>
      <c r="K3917" t="s">
        <v>434</v>
      </c>
      <c r="L3917">
        <v>1980</v>
      </c>
      <c r="M3917">
        <v>-17.93863636363637</v>
      </c>
      <c r="N3917" t="s">
        <v>81</v>
      </c>
      <c r="O3917" t="s">
        <v>3239</v>
      </c>
      <c r="P3917" t="s">
        <v>83</v>
      </c>
      <c r="Q3917" t="s">
        <v>74</v>
      </c>
      <c r="R3917" t="s">
        <v>237</v>
      </c>
      <c r="S3917" t="s">
        <v>238</v>
      </c>
      <c r="T3917" t="s">
        <v>3240</v>
      </c>
      <c r="U3917" t="s">
        <v>46</v>
      </c>
      <c r="V3917">
        <v>-355.185</v>
      </c>
    </row>
    <row r="3918" spans="1:22" x14ac:dyDescent="0.3">
      <c r="A3918" t="s">
        <v>5396</v>
      </c>
      <c r="B3918" s="2">
        <v>46201</v>
      </c>
      <c r="C3918" t="s">
        <v>1605</v>
      </c>
      <c r="D3918" t="s">
        <v>70</v>
      </c>
      <c r="E3918" t="s">
        <v>129</v>
      </c>
      <c r="F3918">
        <v>4</v>
      </c>
      <c r="G3918">
        <v>0.2</v>
      </c>
      <c r="H3918">
        <v>176000</v>
      </c>
      <c r="I3918">
        <v>14513.21</v>
      </c>
      <c r="J3918" t="s">
        <v>65</v>
      </c>
      <c r="K3918" t="s">
        <v>40</v>
      </c>
      <c r="L3918">
        <v>44000</v>
      </c>
      <c r="M3918">
        <v>8.2461420454545458</v>
      </c>
      <c r="N3918" t="s">
        <v>8</v>
      </c>
      <c r="O3918" t="s">
        <v>1606</v>
      </c>
      <c r="P3918" t="s">
        <v>73</v>
      </c>
      <c r="Q3918" t="s">
        <v>30</v>
      </c>
      <c r="R3918" t="s">
        <v>53</v>
      </c>
      <c r="S3918" t="s">
        <v>54</v>
      </c>
      <c r="T3918" t="s">
        <v>1607</v>
      </c>
      <c r="U3918" t="s">
        <v>34</v>
      </c>
      <c r="V3918">
        <v>3628.3024999999998</v>
      </c>
    </row>
    <row r="3919" spans="1:22" x14ac:dyDescent="0.3">
      <c r="A3919" t="s">
        <v>5397</v>
      </c>
      <c r="B3919" s="2">
        <v>46212</v>
      </c>
      <c r="C3919" t="s">
        <v>1078</v>
      </c>
      <c r="D3919" t="s">
        <v>24</v>
      </c>
      <c r="E3919" t="s">
        <v>92</v>
      </c>
      <c r="F3919">
        <v>2</v>
      </c>
      <c r="G3919">
        <v>0.15</v>
      </c>
      <c r="H3919">
        <v>1530</v>
      </c>
      <c r="I3919">
        <v>332.07</v>
      </c>
      <c r="J3919" t="s">
        <v>51</v>
      </c>
      <c r="K3919" t="s">
        <v>40</v>
      </c>
      <c r="L3919">
        <v>765</v>
      </c>
      <c r="M3919">
        <v>21.70392156862745</v>
      </c>
      <c r="N3919" t="s">
        <v>8</v>
      </c>
      <c r="O3919" t="s">
        <v>1079</v>
      </c>
      <c r="P3919" t="s">
        <v>83</v>
      </c>
      <c r="Q3919" t="s">
        <v>30</v>
      </c>
      <c r="R3919" t="s">
        <v>31</v>
      </c>
      <c r="S3919" t="s">
        <v>32</v>
      </c>
      <c r="T3919" t="s">
        <v>948</v>
      </c>
      <c r="U3919" t="s">
        <v>34</v>
      </c>
      <c r="V3919">
        <v>166.035</v>
      </c>
    </row>
    <row r="3920" spans="1:22" x14ac:dyDescent="0.3">
      <c r="A3920" t="s">
        <v>5398</v>
      </c>
      <c r="B3920" s="2">
        <v>46189</v>
      </c>
      <c r="C3920" t="s">
        <v>2472</v>
      </c>
      <c r="D3920" t="s">
        <v>37</v>
      </c>
      <c r="E3920" t="s">
        <v>310</v>
      </c>
      <c r="F3920">
        <v>4</v>
      </c>
      <c r="G3920">
        <v>0</v>
      </c>
      <c r="H3920">
        <v>8800</v>
      </c>
      <c r="I3920">
        <v>-1750.57</v>
      </c>
      <c r="J3920" t="s">
        <v>39</v>
      </c>
      <c r="K3920" t="s">
        <v>434</v>
      </c>
      <c r="L3920">
        <v>2200</v>
      </c>
      <c r="M3920">
        <v>-19.892840909090911</v>
      </c>
      <c r="N3920" t="s">
        <v>81</v>
      </c>
      <c r="O3920" t="s">
        <v>2473</v>
      </c>
      <c r="P3920" t="s">
        <v>73</v>
      </c>
      <c r="Q3920" t="s">
        <v>74</v>
      </c>
      <c r="R3920" t="s">
        <v>115</v>
      </c>
      <c r="S3920" t="s">
        <v>115</v>
      </c>
      <c r="T3920" t="s">
        <v>2474</v>
      </c>
      <c r="U3920" t="s">
        <v>105</v>
      </c>
      <c r="V3920">
        <v>-437.64249999999998</v>
      </c>
    </row>
    <row r="3921" spans="1:22" x14ac:dyDescent="0.3">
      <c r="A3921" t="s">
        <v>5399</v>
      </c>
      <c r="B3921" s="2">
        <v>46105</v>
      </c>
      <c r="C3921" t="s">
        <v>1060</v>
      </c>
      <c r="D3921" t="s">
        <v>49</v>
      </c>
      <c r="E3921" t="s">
        <v>50</v>
      </c>
      <c r="F3921">
        <v>3</v>
      </c>
      <c r="G3921">
        <v>0.2</v>
      </c>
      <c r="H3921">
        <v>31200</v>
      </c>
      <c r="I3921">
        <v>5549.76</v>
      </c>
      <c r="J3921" t="s">
        <v>26</v>
      </c>
      <c r="K3921" t="s">
        <v>40</v>
      </c>
      <c r="L3921">
        <v>10400</v>
      </c>
      <c r="M3921">
        <v>17.787692307692311</v>
      </c>
      <c r="N3921" t="s">
        <v>8</v>
      </c>
      <c r="O3921" t="s">
        <v>1061</v>
      </c>
      <c r="P3921" t="s">
        <v>73</v>
      </c>
      <c r="Q3921" t="s">
        <v>30</v>
      </c>
      <c r="R3921" t="s">
        <v>31</v>
      </c>
      <c r="S3921" t="s">
        <v>32</v>
      </c>
      <c r="T3921" t="s">
        <v>1062</v>
      </c>
      <c r="U3921" t="s">
        <v>46</v>
      </c>
      <c r="V3921">
        <v>1849.92</v>
      </c>
    </row>
    <row r="3922" spans="1:22" x14ac:dyDescent="0.3">
      <c r="A3922" t="s">
        <v>5400</v>
      </c>
      <c r="B3922" s="2">
        <v>46127</v>
      </c>
      <c r="C3922" t="s">
        <v>1670</v>
      </c>
      <c r="D3922" t="s">
        <v>70</v>
      </c>
      <c r="E3922" t="s">
        <v>108</v>
      </c>
      <c r="F3922">
        <v>3</v>
      </c>
      <c r="G3922">
        <v>0</v>
      </c>
      <c r="H3922">
        <v>13500</v>
      </c>
      <c r="I3922">
        <v>4500</v>
      </c>
      <c r="J3922" t="s">
        <v>26</v>
      </c>
      <c r="K3922" t="s">
        <v>40</v>
      </c>
      <c r="L3922">
        <v>4500</v>
      </c>
      <c r="M3922">
        <v>33.333333333333329</v>
      </c>
      <c r="N3922" t="s">
        <v>8</v>
      </c>
      <c r="O3922" t="s">
        <v>1383</v>
      </c>
      <c r="P3922" t="s">
        <v>29</v>
      </c>
      <c r="Q3922" t="s">
        <v>42</v>
      </c>
      <c r="R3922" t="s">
        <v>121</v>
      </c>
      <c r="S3922" t="s">
        <v>44</v>
      </c>
      <c r="T3922" t="s">
        <v>1671</v>
      </c>
      <c r="U3922" t="s">
        <v>34</v>
      </c>
      <c r="V3922">
        <v>1500</v>
      </c>
    </row>
    <row r="3923" spans="1:22" x14ac:dyDescent="0.3">
      <c r="A3923" t="s">
        <v>5401</v>
      </c>
      <c r="B3923" s="2">
        <v>45894</v>
      </c>
      <c r="C3923" t="s">
        <v>3440</v>
      </c>
      <c r="D3923" t="s">
        <v>24</v>
      </c>
      <c r="E3923" t="s">
        <v>25</v>
      </c>
      <c r="F3923">
        <v>2</v>
      </c>
      <c r="G3923">
        <v>0.05</v>
      </c>
      <c r="H3923">
        <v>26600</v>
      </c>
      <c r="I3923">
        <v>4666.1400000000003</v>
      </c>
      <c r="J3923" t="s">
        <v>51</v>
      </c>
      <c r="K3923" t="s">
        <v>40</v>
      </c>
      <c r="L3923">
        <v>13300</v>
      </c>
      <c r="M3923">
        <v>17.541879699248121</v>
      </c>
      <c r="N3923" t="s">
        <v>8</v>
      </c>
      <c r="O3923" t="s">
        <v>847</v>
      </c>
      <c r="P3923" t="s">
        <v>29</v>
      </c>
      <c r="Q3923" t="s">
        <v>42</v>
      </c>
      <c r="R3923" t="s">
        <v>121</v>
      </c>
      <c r="S3923" t="s">
        <v>44</v>
      </c>
      <c r="T3923" t="s">
        <v>3441</v>
      </c>
      <c r="U3923" t="s">
        <v>34</v>
      </c>
      <c r="V3923">
        <v>2333.0700000000002</v>
      </c>
    </row>
    <row r="3924" spans="1:22" x14ac:dyDescent="0.3">
      <c r="A3924" t="s">
        <v>5402</v>
      </c>
      <c r="B3924" s="2">
        <v>46075</v>
      </c>
      <c r="C3924" t="s">
        <v>776</v>
      </c>
      <c r="D3924" t="s">
        <v>24</v>
      </c>
      <c r="E3924" t="s">
        <v>92</v>
      </c>
      <c r="F3924">
        <v>1</v>
      </c>
      <c r="G3924">
        <v>0</v>
      </c>
      <c r="H3924">
        <v>900</v>
      </c>
      <c r="I3924">
        <v>280</v>
      </c>
      <c r="J3924" t="s">
        <v>26</v>
      </c>
      <c r="K3924" t="s">
        <v>40</v>
      </c>
      <c r="L3924">
        <v>900</v>
      </c>
      <c r="M3924">
        <v>31.111111111111111</v>
      </c>
      <c r="N3924" t="s">
        <v>8</v>
      </c>
      <c r="O3924" t="s">
        <v>777</v>
      </c>
      <c r="P3924" t="s">
        <v>29</v>
      </c>
      <c r="Q3924" t="s">
        <v>74</v>
      </c>
      <c r="R3924" t="s">
        <v>493</v>
      </c>
      <c r="S3924" t="s">
        <v>494</v>
      </c>
      <c r="T3924" t="s">
        <v>778</v>
      </c>
      <c r="U3924" t="s">
        <v>100</v>
      </c>
      <c r="V3924">
        <v>280</v>
      </c>
    </row>
    <row r="3925" spans="1:22" x14ac:dyDescent="0.3">
      <c r="A3925" t="s">
        <v>5403</v>
      </c>
      <c r="B3925" s="2">
        <v>45943</v>
      </c>
      <c r="C3925" t="s">
        <v>1181</v>
      </c>
      <c r="D3925" t="s">
        <v>70</v>
      </c>
      <c r="E3925" t="s">
        <v>108</v>
      </c>
      <c r="F3925">
        <v>1</v>
      </c>
      <c r="G3925">
        <v>0</v>
      </c>
      <c r="H3925">
        <v>4500</v>
      </c>
      <c r="I3925">
        <v>1500</v>
      </c>
      <c r="J3925" t="s">
        <v>65</v>
      </c>
      <c r="K3925" t="s">
        <v>40</v>
      </c>
      <c r="L3925">
        <v>4500</v>
      </c>
      <c r="M3925">
        <v>33.333333333333329</v>
      </c>
      <c r="N3925" t="s">
        <v>8</v>
      </c>
      <c r="O3925" t="s">
        <v>1182</v>
      </c>
      <c r="P3925" t="s">
        <v>29</v>
      </c>
      <c r="Q3925" t="s">
        <v>30</v>
      </c>
      <c r="R3925" t="s">
        <v>31</v>
      </c>
      <c r="S3925" t="s">
        <v>32</v>
      </c>
      <c r="T3925" t="s">
        <v>206</v>
      </c>
      <c r="U3925" t="s">
        <v>46</v>
      </c>
      <c r="V3925">
        <v>1500</v>
      </c>
    </row>
    <row r="3926" spans="1:22" x14ac:dyDescent="0.3">
      <c r="A3926" t="s">
        <v>5404</v>
      </c>
      <c r="B3926" s="2">
        <v>46132</v>
      </c>
      <c r="C3926" t="s">
        <v>732</v>
      </c>
      <c r="D3926" t="s">
        <v>49</v>
      </c>
      <c r="E3926" t="s">
        <v>50</v>
      </c>
      <c r="F3926">
        <v>1</v>
      </c>
      <c r="G3926">
        <v>0.1</v>
      </c>
      <c r="H3926">
        <v>11700</v>
      </c>
      <c r="I3926">
        <v>-6700.54</v>
      </c>
      <c r="J3926" t="s">
        <v>39</v>
      </c>
      <c r="K3926" t="s">
        <v>80</v>
      </c>
      <c r="L3926">
        <v>11700</v>
      </c>
      <c r="M3926">
        <v>-57.269572649572652</v>
      </c>
      <c r="N3926" t="s">
        <v>81</v>
      </c>
      <c r="O3926" t="s">
        <v>733</v>
      </c>
      <c r="P3926" t="s">
        <v>29</v>
      </c>
      <c r="Q3926" t="s">
        <v>131</v>
      </c>
      <c r="R3926" t="s">
        <v>449</v>
      </c>
      <c r="S3926" t="s">
        <v>450</v>
      </c>
      <c r="T3926" t="s">
        <v>734</v>
      </c>
      <c r="U3926" t="s">
        <v>34</v>
      </c>
      <c r="V3926">
        <v>-6700.54</v>
      </c>
    </row>
    <row r="3927" spans="1:22" x14ac:dyDescent="0.3">
      <c r="A3927" t="s">
        <v>5405</v>
      </c>
      <c r="B3927" s="2">
        <v>45856</v>
      </c>
      <c r="C3927" t="s">
        <v>1297</v>
      </c>
      <c r="D3927" t="s">
        <v>70</v>
      </c>
      <c r="E3927" t="s">
        <v>108</v>
      </c>
      <c r="F3927">
        <v>10</v>
      </c>
      <c r="G3927">
        <v>0</v>
      </c>
      <c r="H3927">
        <v>45000</v>
      </c>
      <c r="I3927">
        <v>15000</v>
      </c>
      <c r="J3927" t="s">
        <v>39</v>
      </c>
      <c r="K3927" t="s">
        <v>40</v>
      </c>
      <c r="L3927">
        <v>4500</v>
      </c>
      <c r="M3927">
        <v>33.333333333333329</v>
      </c>
      <c r="N3927" t="s">
        <v>8</v>
      </c>
      <c r="O3927" t="s">
        <v>781</v>
      </c>
      <c r="P3927" t="s">
        <v>29</v>
      </c>
      <c r="Q3927" t="s">
        <v>30</v>
      </c>
      <c r="R3927" t="s">
        <v>31</v>
      </c>
      <c r="S3927" t="s">
        <v>32</v>
      </c>
      <c r="T3927" t="s">
        <v>1298</v>
      </c>
      <c r="U3927" t="s">
        <v>100</v>
      </c>
      <c r="V3927">
        <v>1500</v>
      </c>
    </row>
    <row r="3928" spans="1:22" x14ac:dyDescent="0.3">
      <c r="A3928" t="s">
        <v>5406</v>
      </c>
      <c r="B3928" s="2">
        <v>46058</v>
      </c>
      <c r="C3928" t="s">
        <v>246</v>
      </c>
      <c r="D3928" t="s">
        <v>24</v>
      </c>
      <c r="E3928" t="s">
        <v>92</v>
      </c>
      <c r="F3928">
        <v>3</v>
      </c>
      <c r="G3928">
        <v>0.1</v>
      </c>
      <c r="H3928">
        <v>2430</v>
      </c>
      <c r="I3928">
        <v>641.41</v>
      </c>
      <c r="J3928" t="s">
        <v>51</v>
      </c>
      <c r="K3928" t="s">
        <v>40</v>
      </c>
      <c r="L3928">
        <v>810</v>
      </c>
      <c r="M3928">
        <v>26.395473251028811</v>
      </c>
      <c r="N3928" t="s">
        <v>8</v>
      </c>
      <c r="O3928" t="s">
        <v>247</v>
      </c>
      <c r="P3928" t="s">
        <v>73</v>
      </c>
      <c r="Q3928" t="s">
        <v>30</v>
      </c>
      <c r="R3928" t="s">
        <v>53</v>
      </c>
      <c r="S3928" t="s">
        <v>54</v>
      </c>
      <c r="T3928" t="s">
        <v>248</v>
      </c>
      <c r="U3928" t="s">
        <v>100</v>
      </c>
      <c r="V3928">
        <v>213.80333333333331</v>
      </c>
    </row>
    <row r="3929" spans="1:22" x14ac:dyDescent="0.3">
      <c r="A3929" t="s">
        <v>5407</v>
      </c>
      <c r="B3929" s="2">
        <v>45846</v>
      </c>
      <c r="C3929" t="s">
        <v>5186</v>
      </c>
      <c r="D3929" t="s">
        <v>24</v>
      </c>
      <c r="E3929" t="s">
        <v>87</v>
      </c>
      <c r="F3929">
        <v>1</v>
      </c>
      <c r="G3929">
        <v>0.05</v>
      </c>
      <c r="H3929">
        <v>332.5</v>
      </c>
      <c r="I3929">
        <v>110.13</v>
      </c>
      <c r="J3929" t="s">
        <v>51</v>
      </c>
      <c r="K3929" t="s">
        <v>40</v>
      </c>
      <c r="L3929">
        <v>332.5</v>
      </c>
      <c r="M3929">
        <v>33.121804511278199</v>
      </c>
      <c r="N3929" t="s">
        <v>8</v>
      </c>
      <c r="O3929" t="s">
        <v>191</v>
      </c>
      <c r="P3929" t="s">
        <v>29</v>
      </c>
      <c r="Q3929" t="s">
        <v>131</v>
      </c>
      <c r="R3929" t="s">
        <v>449</v>
      </c>
      <c r="S3929" t="s">
        <v>450</v>
      </c>
      <c r="T3929" t="s">
        <v>5187</v>
      </c>
      <c r="U3929" t="s">
        <v>34</v>
      </c>
      <c r="V3929">
        <v>110.13</v>
      </c>
    </row>
    <row r="3930" spans="1:22" x14ac:dyDescent="0.3">
      <c r="A3930" t="s">
        <v>5408</v>
      </c>
      <c r="B3930" s="2">
        <v>46214</v>
      </c>
      <c r="C3930" t="s">
        <v>1497</v>
      </c>
      <c r="D3930" t="s">
        <v>24</v>
      </c>
      <c r="E3930" t="s">
        <v>25</v>
      </c>
      <c r="F3930">
        <v>1</v>
      </c>
      <c r="G3930">
        <v>0.15</v>
      </c>
      <c r="H3930">
        <v>11900</v>
      </c>
      <c r="I3930">
        <v>-5103.25</v>
      </c>
      <c r="J3930" t="s">
        <v>39</v>
      </c>
      <c r="K3930" t="s">
        <v>80</v>
      </c>
      <c r="L3930">
        <v>11900</v>
      </c>
      <c r="M3930">
        <v>-42.884453781512597</v>
      </c>
      <c r="N3930" t="s">
        <v>81</v>
      </c>
      <c r="O3930" t="s">
        <v>88</v>
      </c>
      <c r="P3930" t="s">
        <v>73</v>
      </c>
      <c r="Q3930" t="s">
        <v>30</v>
      </c>
      <c r="R3930" t="s">
        <v>31</v>
      </c>
      <c r="S3930" t="s">
        <v>32</v>
      </c>
      <c r="T3930" t="s">
        <v>1498</v>
      </c>
      <c r="U3930" t="s">
        <v>46</v>
      </c>
      <c r="V3930">
        <v>-5103.25</v>
      </c>
    </row>
    <row r="3931" spans="1:22" x14ac:dyDescent="0.3">
      <c r="A3931" t="s">
        <v>5409</v>
      </c>
      <c r="B3931" s="2">
        <v>45936</v>
      </c>
      <c r="C3931" t="s">
        <v>212</v>
      </c>
      <c r="D3931" t="s">
        <v>37</v>
      </c>
      <c r="E3931" t="s">
        <v>310</v>
      </c>
      <c r="F3931">
        <v>5</v>
      </c>
      <c r="G3931">
        <v>0.05</v>
      </c>
      <c r="H3931">
        <v>10450</v>
      </c>
      <c r="I3931">
        <v>3316.99</v>
      </c>
      <c r="J3931" t="s">
        <v>51</v>
      </c>
      <c r="K3931" t="s">
        <v>40</v>
      </c>
      <c r="L3931">
        <v>2090</v>
      </c>
      <c r="M3931">
        <v>31.741531100478461</v>
      </c>
      <c r="N3931" t="s">
        <v>8</v>
      </c>
      <c r="O3931" t="s">
        <v>213</v>
      </c>
      <c r="P3931" t="s">
        <v>29</v>
      </c>
      <c r="Q3931" t="s">
        <v>42</v>
      </c>
      <c r="R3931" t="s">
        <v>214</v>
      </c>
      <c r="S3931" t="s">
        <v>111</v>
      </c>
      <c r="T3931" t="s">
        <v>215</v>
      </c>
      <c r="U3931" t="s">
        <v>105</v>
      </c>
      <c r="V3931">
        <v>663.39799999999991</v>
      </c>
    </row>
    <row r="3932" spans="1:22" x14ac:dyDescent="0.3">
      <c r="A3932" t="s">
        <v>5410</v>
      </c>
      <c r="B3932" s="2">
        <v>46262</v>
      </c>
      <c r="C3932" t="s">
        <v>1143</v>
      </c>
      <c r="D3932" t="s">
        <v>49</v>
      </c>
      <c r="E3932" t="s">
        <v>58</v>
      </c>
      <c r="F3932">
        <v>1</v>
      </c>
      <c r="G3932">
        <v>0.1</v>
      </c>
      <c r="H3932">
        <v>13500</v>
      </c>
      <c r="I3932">
        <v>-4516.8900000000003</v>
      </c>
      <c r="J3932" t="s">
        <v>39</v>
      </c>
      <c r="K3932" t="s">
        <v>80</v>
      </c>
      <c r="L3932">
        <v>13500</v>
      </c>
      <c r="M3932">
        <v>-33.458444444444453</v>
      </c>
      <c r="N3932" t="s">
        <v>81</v>
      </c>
      <c r="O3932" t="s">
        <v>1144</v>
      </c>
      <c r="P3932" t="s">
        <v>29</v>
      </c>
      <c r="Q3932" t="s">
        <v>30</v>
      </c>
      <c r="R3932" t="s">
        <v>31</v>
      </c>
      <c r="S3932" t="s">
        <v>32</v>
      </c>
      <c r="T3932" t="s">
        <v>1145</v>
      </c>
      <c r="U3932" t="s">
        <v>100</v>
      </c>
      <c r="V3932">
        <v>-4516.8900000000003</v>
      </c>
    </row>
    <row r="3933" spans="1:22" x14ac:dyDescent="0.3">
      <c r="A3933" t="s">
        <v>5411</v>
      </c>
      <c r="B3933" s="2">
        <v>45875</v>
      </c>
      <c r="C3933" t="s">
        <v>1036</v>
      </c>
      <c r="D3933" t="s">
        <v>70</v>
      </c>
      <c r="E3933" t="s">
        <v>71</v>
      </c>
      <c r="F3933">
        <v>2</v>
      </c>
      <c r="G3933">
        <v>0.1</v>
      </c>
      <c r="H3933">
        <v>32400</v>
      </c>
      <c r="I3933">
        <v>4068.29</v>
      </c>
      <c r="J3933" t="s">
        <v>65</v>
      </c>
      <c r="K3933" t="s">
        <v>40</v>
      </c>
      <c r="L3933">
        <v>16200</v>
      </c>
      <c r="M3933">
        <v>12.55645061728395</v>
      </c>
      <c r="N3933" t="s">
        <v>8</v>
      </c>
      <c r="O3933" t="s">
        <v>149</v>
      </c>
      <c r="P3933" t="s">
        <v>83</v>
      </c>
      <c r="Q3933" t="s">
        <v>30</v>
      </c>
      <c r="R3933" t="s">
        <v>53</v>
      </c>
      <c r="S3933" t="s">
        <v>54</v>
      </c>
      <c r="T3933" t="s">
        <v>1037</v>
      </c>
      <c r="U3933" t="s">
        <v>46</v>
      </c>
      <c r="V3933">
        <v>2034.145</v>
      </c>
    </row>
    <row r="3934" spans="1:22" x14ac:dyDescent="0.3">
      <c r="A3934" t="s">
        <v>5412</v>
      </c>
      <c r="B3934" s="2">
        <v>45839</v>
      </c>
      <c r="C3934" t="s">
        <v>485</v>
      </c>
      <c r="D3934" t="s">
        <v>70</v>
      </c>
      <c r="E3934" t="s">
        <v>129</v>
      </c>
      <c r="F3934">
        <v>2</v>
      </c>
      <c r="G3934">
        <v>0.1</v>
      </c>
      <c r="H3934">
        <v>99000</v>
      </c>
      <c r="I3934">
        <v>13012.19</v>
      </c>
      <c r="J3934" t="s">
        <v>65</v>
      </c>
      <c r="K3934" t="s">
        <v>40</v>
      </c>
      <c r="L3934">
        <v>49500</v>
      </c>
      <c r="M3934">
        <v>13.14362626262626</v>
      </c>
      <c r="N3934" t="s">
        <v>8</v>
      </c>
      <c r="O3934" t="s">
        <v>59</v>
      </c>
      <c r="P3934" t="s">
        <v>73</v>
      </c>
      <c r="Q3934" t="s">
        <v>131</v>
      </c>
      <c r="R3934" t="s">
        <v>289</v>
      </c>
      <c r="S3934" t="s">
        <v>290</v>
      </c>
      <c r="T3934" t="s">
        <v>486</v>
      </c>
      <c r="U3934" t="s">
        <v>46</v>
      </c>
      <c r="V3934">
        <v>6506.0950000000003</v>
      </c>
    </row>
    <row r="3935" spans="1:22" x14ac:dyDescent="0.3">
      <c r="A3935" t="s">
        <v>5413</v>
      </c>
      <c r="B3935" s="2">
        <v>46025</v>
      </c>
      <c r="C3935" t="s">
        <v>328</v>
      </c>
      <c r="D3935" t="s">
        <v>70</v>
      </c>
      <c r="E3935" t="s">
        <v>129</v>
      </c>
      <c r="F3935">
        <v>1</v>
      </c>
      <c r="G3935">
        <v>0.1</v>
      </c>
      <c r="H3935">
        <v>49500</v>
      </c>
      <c r="I3935">
        <v>6369.09</v>
      </c>
      <c r="J3935" t="s">
        <v>51</v>
      </c>
      <c r="K3935" t="s">
        <v>40</v>
      </c>
      <c r="L3935">
        <v>49500</v>
      </c>
      <c r="M3935">
        <v>12.866848484848481</v>
      </c>
      <c r="N3935" t="s">
        <v>8</v>
      </c>
      <c r="O3935" t="s">
        <v>329</v>
      </c>
      <c r="P3935" t="s">
        <v>83</v>
      </c>
      <c r="Q3935" t="s">
        <v>74</v>
      </c>
      <c r="R3935" t="s">
        <v>75</v>
      </c>
      <c r="S3935" t="s">
        <v>75</v>
      </c>
      <c r="T3935" t="s">
        <v>330</v>
      </c>
      <c r="U3935" t="s">
        <v>34</v>
      </c>
      <c r="V3935">
        <v>6369.09</v>
      </c>
    </row>
    <row r="3936" spans="1:22" x14ac:dyDescent="0.3">
      <c r="A3936" t="s">
        <v>5414</v>
      </c>
      <c r="B3936" s="2">
        <v>46112</v>
      </c>
      <c r="C3936" t="s">
        <v>644</v>
      </c>
      <c r="D3936" t="s">
        <v>37</v>
      </c>
      <c r="E3936" t="s">
        <v>190</v>
      </c>
      <c r="F3936">
        <v>3</v>
      </c>
      <c r="G3936">
        <v>0.1</v>
      </c>
      <c r="H3936">
        <v>11340</v>
      </c>
      <c r="I3936">
        <v>2930.85</v>
      </c>
      <c r="J3936" t="s">
        <v>51</v>
      </c>
      <c r="K3936" t="s">
        <v>40</v>
      </c>
      <c r="L3936">
        <v>3780</v>
      </c>
      <c r="M3936">
        <v>25.845238095238091</v>
      </c>
      <c r="N3936" t="s">
        <v>8</v>
      </c>
      <c r="O3936" t="s">
        <v>213</v>
      </c>
      <c r="P3936" t="s">
        <v>29</v>
      </c>
      <c r="Q3936" t="s">
        <v>30</v>
      </c>
      <c r="R3936" t="s">
        <v>31</v>
      </c>
      <c r="S3936" t="s">
        <v>32</v>
      </c>
      <c r="T3936" t="s">
        <v>645</v>
      </c>
      <c r="U3936" t="s">
        <v>46</v>
      </c>
      <c r="V3936">
        <v>976.94999999999993</v>
      </c>
    </row>
    <row r="3937" spans="1:22" x14ac:dyDescent="0.3">
      <c r="A3937" t="s">
        <v>5415</v>
      </c>
      <c r="B3937" s="2">
        <v>45860</v>
      </c>
      <c r="C3937" t="s">
        <v>1809</v>
      </c>
      <c r="D3937" t="s">
        <v>70</v>
      </c>
      <c r="E3937" t="s">
        <v>71</v>
      </c>
      <c r="F3937">
        <v>3</v>
      </c>
      <c r="G3937">
        <v>0.15</v>
      </c>
      <c r="H3937">
        <v>45900</v>
      </c>
      <c r="I3937">
        <v>6538.12</v>
      </c>
      <c r="J3937" t="s">
        <v>26</v>
      </c>
      <c r="K3937" t="s">
        <v>27</v>
      </c>
      <c r="L3937">
        <v>15300</v>
      </c>
      <c r="M3937">
        <v>14.24427015250545</v>
      </c>
      <c r="N3937" t="s">
        <v>8</v>
      </c>
      <c r="O3937" t="s">
        <v>730</v>
      </c>
      <c r="P3937" t="s">
        <v>29</v>
      </c>
      <c r="Q3937" t="s">
        <v>74</v>
      </c>
      <c r="R3937" t="s">
        <v>115</v>
      </c>
      <c r="S3937" t="s">
        <v>115</v>
      </c>
      <c r="T3937" t="s">
        <v>1203</v>
      </c>
      <c r="U3937" t="s">
        <v>46</v>
      </c>
      <c r="V3937">
        <v>2179.373333333333</v>
      </c>
    </row>
    <row r="3938" spans="1:22" x14ac:dyDescent="0.3">
      <c r="A3938" t="s">
        <v>5416</v>
      </c>
      <c r="B3938" s="2">
        <v>46041</v>
      </c>
      <c r="C3938" t="s">
        <v>1869</v>
      </c>
      <c r="D3938" t="s">
        <v>37</v>
      </c>
      <c r="E3938" t="s">
        <v>170</v>
      </c>
      <c r="F3938">
        <v>2</v>
      </c>
      <c r="G3938">
        <v>0.1</v>
      </c>
      <c r="H3938">
        <v>2520</v>
      </c>
      <c r="I3938">
        <v>767.21</v>
      </c>
      <c r="J3938" t="s">
        <v>65</v>
      </c>
      <c r="K3938" t="s">
        <v>40</v>
      </c>
      <c r="L3938">
        <v>1260</v>
      </c>
      <c r="M3938">
        <v>30.44484126984127</v>
      </c>
      <c r="N3938" t="s">
        <v>8</v>
      </c>
      <c r="O3938" t="s">
        <v>789</v>
      </c>
      <c r="P3938" t="s">
        <v>29</v>
      </c>
      <c r="Q3938" t="s">
        <v>42</v>
      </c>
      <c r="R3938" t="s">
        <v>214</v>
      </c>
      <c r="S3938" t="s">
        <v>111</v>
      </c>
      <c r="T3938" t="s">
        <v>1870</v>
      </c>
      <c r="U3938" t="s">
        <v>34</v>
      </c>
      <c r="V3938">
        <v>383.60500000000002</v>
      </c>
    </row>
    <row r="3939" spans="1:22" x14ac:dyDescent="0.3">
      <c r="A3939" t="s">
        <v>5417</v>
      </c>
      <c r="B3939" s="2">
        <v>46066</v>
      </c>
      <c r="C3939" t="s">
        <v>1173</v>
      </c>
      <c r="D3939" t="s">
        <v>37</v>
      </c>
      <c r="E3939" t="s">
        <v>170</v>
      </c>
      <c r="F3939">
        <v>3</v>
      </c>
      <c r="G3939">
        <v>0.05</v>
      </c>
      <c r="H3939">
        <v>3990</v>
      </c>
      <c r="I3939">
        <v>1377.24</v>
      </c>
      <c r="J3939" t="s">
        <v>26</v>
      </c>
      <c r="K3939" t="s">
        <v>40</v>
      </c>
      <c r="L3939">
        <v>1330</v>
      </c>
      <c r="M3939">
        <v>34.517293233082711</v>
      </c>
      <c r="N3939" t="s">
        <v>8</v>
      </c>
      <c r="O3939" t="s">
        <v>406</v>
      </c>
      <c r="P3939" t="s">
        <v>83</v>
      </c>
      <c r="Q3939" t="s">
        <v>131</v>
      </c>
      <c r="R3939" t="s">
        <v>289</v>
      </c>
      <c r="S3939" t="s">
        <v>290</v>
      </c>
      <c r="T3939" t="s">
        <v>1174</v>
      </c>
      <c r="U3939" t="s">
        <v>34</v>
      </c>
      <c r="V3939">
        <v>459.08</v>
      </c>
    </row>
    <row r="3940" spans="1:22" x14ac:dyDescent="0.3">
      <c r="A3940" t="s">
        <v>5418</v>
      </c>
      <c r="B3940" s="2">
        <v>46016</v>
      </c>
      <c r="C3940" t="s">
        <v>936</v>
      </c>
      <c r="D3940" t="s">
        <v>49</v>
      </c>
      <c r="E3940" t="s">
        <v>50</v>
      </c>
      <c r="F3940">
        <v>1</v>
      </c>
      <c r="G3940">
        <v>0.15</v>
      </c>
      <c r="H3940">
        <v>11050</v>
      </c>
      <c r="I3940">
        <v>1916.76</v>
      </c>
      <c r="J3940" t="s">
        <v>51</v>
      </c>
      <c r="K3940" t="s">
        <v>40</v>
      </c>
      <c r="L3940">
        <v>11050</v>
      </c>
      <c r="M3940">
        <v>17.346244343891399</v>
      </c>
      <c r="N3940" t="s">
        <v>8</v>
      </c>
      <c r="O3940" t="s">
        <v>937</v>
      </c>
      <c r="P3940" t="s">
        <v>73</v>
      </c>
      <c r="Q3940" t="s">
        <v>30</v>
      </c>
      <c r="R3940" t="s">
        <v>53</v>
      </c>
      <c r="S3940" t="s">
        <v>54</v>
      </c>
      <c r="T3940" t="s">
        <v>938</v>
      </c>
      <c r="U3940" t="s">
        <v>34</v>
      </c>
      <c r="V3940">
        <v>1916.76</v>
      </c>
    </row>
    <row r="3941" spans="1:22" x14ac:dyDescent="0.3">
      <c r="A3941" t="s">
        <v>5419</v>
      </c>
      <c r="B3941" s="2">
        <v>46000</v>
      </c>
      <c r="C3941" t="s">
        <v>1152</v>
      </c>
      <c r="D3941" t="s">
        <v>24</v>
      </c>
      <c r="E3941" t="s">
        <v>92</v>
      </c>
      <c r="F3941">
        <v>1</v>
      </c>
      <c r="G3941">
        <v>0</v>
      </c>
      <c r="H3941">
        <v>900</v>
      </c>
      <c r="I3941">
        <v>280</v>
      </c>
      <c r="J3941" t="s">
        <v>65</v>
      </c>
      <c r="K3941" t="s">
        <v>40</v>
      </c>
      <c r="L3941">
        <v>900</v>
      </c>
      <c r="M3941">
        <v>31.111111111111111</v>
      </c>
      <c r="N3941" t="s">
        <v>8</v>
      </c>
      <c r="O3941" t="s">
        <v>995</v>
      </c>
      <c r="P3941" t="s">
        <v>29</v>
      </c>
      <c r="Q3941" t="s">
        <v>30</v>
      </c>
      <c r="R3941" t="s">
        <v>31</v>
      </c>
      <c r="S3941" t="s">
        <v>32</v>
      </c>
      <c r="T3941" t="s">
        <v>960</v>
      </c>
      <c r="U3941" t="s">
        <v>100</v>
      </c>
      <c r="V3941">
        <v>280</v>
      </c>
    </row>
    <row r="3942" spans="1:22" x14ac:dyDescent="0.3">
      <c r="A3942" t="s">
        <v>5420</v>
      </c>
      <c r="B3942" s="2">
        <v>46203</v>
      </c>
      <c r="C3942" t="s">
        <v>3771</v>
      </c>
      <c r="D3942" t="s">
        <v>70</v>
      </c>
      <c r="E3942" t="s">
        <v>165</v>
      </c>
      <c r="F3942">
        <v>2</v>
      </c>
      <c r="G3942">
        <v>0.15</v>
      </c>
      <c r="H3942">
        <v>4250</v>
      </c>
      <c r="I3942">
        <v>-729.78</v>
      </c>
      <c r="J3942" t="s">
        <v>26</v>
      </c>
      <c r="K3942" t="s">
        <v>434</v>
      </c>
      <c r="L3942">
        <v>2125</v>
      </c>
      <c r="M3942">
        <v>-17.171294117647061</v>
      </c>
      <c r="N3942" t="s">
        <v>81</v>
      </c>
      <c r="O3942" t="s">
        <v>482</v>
      </c>
      <c r="P3942" t="s">
        <v>73</v>
      </c>
      <c r="Q3942" t="s">
        <v>74</v>
      </c>
      <c r="R3942" t="s">
        <v>75</v>
      </c>
      <c r="S3942" t="s">
        <v>75</v>
      </c>
      <c r="T3942" t="s">
        <v>3772</v>
      </c>
      <c r="U3942" t="s">
        <v>34</v>
      </c>
      <c r="V3942">
        <v>-364.89</v>
      </c>
    </row>
    <row r="3943" spans="1:22" x14ac:dyDescent="0.3">
      <c r="A3943" t="s">
        <v>5421</v>
      </c>
      <c r="B3943" s="2">
        <v>46142</v>
      </c>
      <c r="C3943" t="s">
        <v>994</v>
      </c>
      <c r="D3943" t="s">
        <v>70</v>
      </c>
      <c r="E3943" t="s">
        <v>108</v>
      </c>
      <c r="F3943">
        <v>2</v>
      </c>
      <c r="G3943">
        <v>0.2</v>
      </c>
      <c r="H3943">
        <v>7200</v>
      </c>
      <c r="I3943">
        <v>1519.02</v>
      </c>
      <c r="J3943" t="s">
        <v>26</v>
      </c>
      <c r="K3943" t="s">
        <v>40</v>
      </c>
      <c r="L3943">
        <v>3600</v>
      </c>
      <c r="M3943">
        <v>21.0975</v>
      </c>
      <c r="N3943" t="s">
        <v>8</v>
      </c>
      <c r="O3943" t="s">
        <v>995</v>
      </c>
      <c r="P3943" t="s">
        <v>29</v>
      </c>
      <c r="Q3943" t="s">
        <v>131</v>
      </c>
      <c r="R3943" t="s">
        <v>449</v>
      </c>
      <c r="S3943" t="s">
        <v>450</v>
      </c>
      <c r="T3943" t="s">
        <v>184</v>
      </c>
      <c r="U3943" t="s">
        <v>105</v>
      </c>
      <c r="V3943">
        <v>759.51</v>
      </c>
    </row>
    <row r="3944" spans="1:22" x14ac:dyDescent="0.3">
      <c r="A3944" t="s">
        <v>5422</v>
      </c>
      <c r="B3944" s="2">
        <v>45883</v>
      </c>
      <c r="C3944" t="s">
        <v>272</v>
      </c>
      <c r="D3944" t="s">
        <v>37</v>
      </c>
      <c r="E3944" t="s">
        <v>310</v>
      </c>
      <c r="F3944">
        <v>1</v>
      </c>
      <c r="G3944">
        <v>0</v>
      </c>
      <c r="H3944">
        <v>2200</v>
      </c>
      <c r="I3944">
        <v>750</v>
      </c>
      <c r="J3944" t="s">
        <v>26</v>
      </c>
      <c r="K3944" t="s">
        <v>40</v>
      </c>
      <c r="L3944">
        <v>2200</v>
      </c>
      <c r="M3944">
        <v>34.090909090909093</v>
      </c>
      <c r="N3944" t="s">
        <v>8</v>
      </c>
      <c r="O3944" t="s">
        <v>166</v>
      </c>
      <c r="P3944" t="s">
        <v>73</v>
      </c>
      <c r="Q3944" t="s">
        <v>30</v>
      </c>
      <c r="R3944" t="s">
        <v>98</v>
      </c>
      <c r="S3944" t="s">
        <v>54</v>
      </c>
      <c r="T3944" t="s">
        <v>273</v>
      </c>
      <c r="U3944" t="s">
        <v>105</v>
      </c>
      <c r="V3944">
        <v>750</v>
      </c>
    </row>
    <row r="3945" spans="1:22" x14ac:dyDescent="0.3">
      <c r="A3945" t="s">
        <v>5423</v>
      </c>
      <c r="B3945" s="2">
        <v>46042</v>
      </c>
      <c r="C3945" t="s">
        <v>1615</v>
      </c>
      <c r="D3945" t="s">
        <v>24</v>
      </c>
      <c r="E3945" t="s">
        <v>92</v>
      </c>
      <c r="F3945">
        <v>1</v>
      </c>
      <c r="G3945">
        <v>0.1</v>
      </c>
      <c r="H3945">
        <v>810</v>
      </c>
      <c r="I3945">
        <v>234.14</v>
      </c>
      <c r="J3945" t="s">
        <v>39</v>
      </c>
      <c r="K3945" t="s">
        <v>27</v>
      </c>
      <c r="L3945">
        <v>810</v>
      </c>
      <c r="M3945">
        <v>28.906172839506169</v>
      </c>
      <c r="N3945" t="s">
        <v>8</v>
      </c>
      <c r="O3945" t="s">
        <v>398</v>
      </c>
      <c r="P3945" t="s">
        <v>73</v>
      </c>
      <c r="Q3945" t="s">
        <v>131</v>
      </c>
      <c r="R3945" t="s">
        <v>449</v>
      </c>
      <c r="S3945" t="s">
        <v>450</v>
      </c>
      <c r="T3945" t="s">
        <v>1616</v>
      </c>
      <c r="U3945" t="s">
        <v>100</v>
      </c>
      <c r="V3945">
        <v>234.14</v>
      </c>
    </row>
    <row r="3946" spans="1:22" x14ac:dyDescent="0.3">
      <c r="A3946" t="s">
        <v>5424</v>
      </c>
      <c r="B3946" s="2">
        <v>46016</v>
      </c>
      <c r="C3946" t="s">
        <v>1809</v>
      </c>
      <c r="D3946" t="s">
        <v>49</v>
      </c>
      <c r="E3946" t="s">
        <v>58</v>
      </c>
      <c r="F3946">
        <v>4</v>
      </c>
      <c r="G3946">
        <v>0.05</v>
      </c>
      <c r="H3946">
        <v>57000</v>
      </c>
      <c r="I3946">
        <v>11525.54</v>
      </c>
      <c r="J3946" t="s">
        <v>65</v>
      </c>
      <c r="K3946" t="s">
        <v>40</v>
      </c>
      <c r="L3946">
        <v>14250</v>
      </c>
      <c r="M3946">
        <v>20.22024561403509</v>
      </c>
      <c r="N3946" t="s">
        <v>8</v>
      </c>
      <c r="O3946" t="s">
        <v>730</v>
      </c>
      <c r="P3946" t="s">
        <v>29</v>
      </c>
      <c r="Q3946" t="s">
        <v>74</v>
      </c>
      <c r="R3946" t="s">
        <v>115</v>
      </c>
      <c r="S3946" t="s">
        <v>115</v>
      </c>
      <c r="T3946" t="s">
        <v>1203</v>
      </c>
      <c r="U3946" t="s">
        <v>46</v>
      </c>
      <c r="V3946">
        <v>2881.3850000000002</v>
      </c>
    </row>
    <row r="3947" spans="1:22" x14ac:dyDescent="0.3">
      <c r="A3947" t="s">
        <v>5425</v>
      </c>
      <c r="B3947" s="2">
        <v>46216</v>
      </c>
      <c r="C3947" t="s">
        <v>814</v>
      </c>
      <c r="D3947" t="s">
        <v>24</v>
      </c>
      <c r="E3947" t="s">
        <v>25</v>
      </c>
      <c r="F3947">
        <v>1</v>
      </c>
      <c r="G3947">
        <v>0.1</v>
      </c>
      <c r="H3947">
        <v>12600</v>
      </c>
      <c r="I3947">
        <v>1970.69</v>
      </c>
      <c r="J3947" t="s">
        <v>65</v>
      </c>
      <c r="K3947" t="s">
        <v>27</v>
      </c>
      <c r="L3947">
        <v>12600</v>
      </c>
      <c r="M3947">
        <v>15.640396825396831</v>
      </c>
      <c r="N3947" t="s">
        <v>8</v>
      </c>
      <c r="O3947" t="s">
        <v>815</v>
      </c>
      <c r="P3947" t="s">
        <v>73</v>
      </c>
      <c r="Q3947" t="s">
        <v>42</v>
      </c>
      <c r="R3947" t="s">
        <v>121</v>
      </c>
      <c r="S3947" t="s">
        <v>44</v>
      </c>
      <c r="T3947" t="s">
        <v>816</v>
      </c>
      <c r="U3947" t="s">
        <v>46</v>
      </c>
      <c r="V3947">
        <v>1970.69</v>
      </c>
    </row>
    <row r="3948" spans="1:22" x14ac:dyDescent="0.3">
      <c r="A3948" t="s">
        <v>5426</v>
      </c>
      <c r="B3948" s="2">
        <v>45848</v>
      </c>
      <c r="C3948" t="s">
        <v>1164</v>
      </c>
      <c r="D3948" t="s">
        <v>37</v>
      </c>
      <c r="E3948" t="s">
        <v>310</v>
      </c>
      <c r="F3948">
        <v>2</v>
      </c>
      <c r="G3948">
        <v>0.2</v>
      </c>
      <c r="H3948">
        <v>3520</v>
      </c>
      <c r="I3948">
        <v>785.9</v>
      </c>
      <c r="J3948" t="s">
        <v>26</v>
      </c>
      <c r="K3948" t="s">
        <v>40</v>
      </c>
      <c r="L3948">
        <v>1760</v>
      </c>
      <c r="M3948">
        <v>22.32670454545455</v>
      </c>
      <c r="N3948" t="s">
        <v>8</v>
      </c>
      <c r="O3948" t="s">
        <v>284</v>
      </c>
      <c r="P3948" t="s">
        <v>29</v>
      </c>
      <c r="Q3948" t="s">
        <v>30</v>
      </c>
      <c r="R3948" t="s">
        <v>98</v>
      </c>
      <c r="S3948" t="s">
        <v>54</v>
      </c>
      <c r="T3948" t="s">
        <v>1165</v>
      </c>
      <c r="U3948" t="s">
        <v>105</v>
      </c>
      <c r="V3948">
        <v>392.95</v>
      </c>
    </row>
    <row r="3949" spans="1:22" x14ac:dyDescent="0.3">
      <c r="A3949" t="s">
        <v>5427</v>
      </c>
      <c r="B3949" s="2">
        <v>46252</v>
      </c>
      <c r="C3949" t="s">
        <v>1382</v>
      </c>
      <c r="D3949" t="s">
        <v>49</v>
      </c>
      <c r="E3949" t="s">
        <v>79</v>
      </c>
      <c r="F3949">
        <v>2</v>
      </c>
      <c r="G3949">
        <v>0.3</v>
      </c>
      <c r="H3949">
        <v>15400</v>
      </c>
      <c r="I3949">
        <v>2167.52</v>
      </c>
      <c r="J3949" t="s">
        <v>65</v>
      </c>
      <c r="K3949" t="s">
        <v>40</v>
      </c>
      <c r="L3949">
        <v>7700</v>
      </c>
      <c r="M3949">
        <v>14.074805194805201</v>
      </c>
      <c r="N3949" t="s">
        <v>8</v>
      </c>
      <c r="O3949" t="s">
        <v>1383</v>
      </c>
      <c r="P3949" t="s">
        <v>83</v>
      </c>
      <c r="Q3949" t="s">
        <v>30</v>
      </c>
      <c r="R3949" t="s">
        <v>60</v>
      </c>
      <c r="S3949" t="s">
        <v>61</v>
      </c>
      <c r="T3949" t="s">
        <v>227</v>
      </c>
      <c r="U3949" t="s">
        <v>46</v>
      </c>
      <c r="V3949">
        <v>1083.76</v>
      </c>
    </row>
    <row r="3950" spans="1:22" x14ac:dyDescent="0.3">
      <c r="A3950" t="s">
        <v>5428</v>
      </c>
      <c r="B3950" s="2">
        <v>45863</v>
      </c>
      <c r="C3950" t="s">
        <v>2348</v>
      </c>
      <c r="D3950" t="s">
        <v>70</v>
      </c>
      <c r="E3950" t="s">
        <v>129</v>
      </c>
      <c r="F3950">
        <v>1</v>
      </c>
      <c r="G3950">
        <v>0.15</v>
      </c>
      <c r="H3950">
        <v>46750</v>
      </c>
      <c r="I3950">
        <v>5085.95</v>
      </c>
      <c r="J3950" t="s">
        <v>26</v>
      </c>
      <c r="K3950" t="s">
        <v>40</v>
      </c>
      <c r="L3950">
        <v>46750</v>
      </c>
      <c r="M3950">
        <v>10.87903743315508</v>
      </c>
      <c r="N3950" t="s">
        <v>8</v>
      </c>
      <c r="O3950" t="s">
        <v>2349</v>
      </c>
      <c r="P3950" t="s">
        <v>73</v>
      </c>
      <c r="Q3950" t="s">
        <v>74</v>
      </c>
      <c r="R3950" t="s">
        <v>75</v>
      </c>
      <c r="S3950" t="s">
        <v>75</v>
      </c>
      <c r="T3950" t="s">
        <v>2350</v>
      </c>
      <c r="U3950" t="s">
        <v>34</v>
      </c>
      <c r="V3950">
        <v>5085.95</v>
      </c>
    </row>
    <row r="3951" spans="1:22" x14ac:dyDescent="0.3">
      <c r="A3951" t="s">
        <v>5429</v>
      </c>
      <c r="B3951" s="2">
        <v>46220</v>
      </c>
      <c r="C3951" t="s">
        <v>3532</v>
      </c>
      <c r="D3951" t="s">
        <v>37</v>
      </c>
      <c r="E3951" t="s">
        <v>190</v>
      </c>
      <c r="F3951">
        <v>4</v>
      </c>
      <c r="G3951">
        <v>0</v>
      </c>
      <c r="H3951">
        <v>16800</v>
      </c>
      <c r="I3951">
        <v>4800</v>
      </c>
      <c r="J3951" t="s">
        <v>51</v>
      </c>
      <c r="K3951" t="s">
        <v>40</v>
      </c>
      <c r="L3951">
        <v>4200</v>
      </c>
      <c r="M3951">
        <v>28.571428571428569</v>
      </c>
      <c r="N3951" t="s">
        <v>8</v>
      </c>
      <c r="O3951" t="s">
        <v>3533</v>
      </c>
      <c r="P3951" t="s">
        <v>29</v>
      </c>
      <c r="Q3951" t="s">
        <v>131</v>
      </c>
      <c r="R3951" t="s">
        <v>132</v>
      </c>
      <c r="S3951" t="s">
        <v>133</v>
      </c>
      <c r="T3951" t="s">
        <v>3534</v>
      </c>
      <c r="U3951" t="s">
        <v>34</v>
      </c>
      <c r="V3951">
        <v>1200</v>
      </c>
    </row>
    <row r="3952" spans="1:22" x14ac:dyDescent="0.3">
      <c r="A3952" t="s">
        <v>5430</v>
      </c>
      <c r="B3952" s="2">
        <v>45995</v>
      </c>
      <c r="C3952" t="s">
        <v>156</v>
      </c>
      <c r="D3952" t="s">
        <v>49</v>
      </c>
      <c r="E3952" t="s">
        <v>50</v>
      </c>
      <c r="F3952">
        <v>3</v>
      </c>
      <c r="G3952">
        <v>0.1</v>
      </c>
      <c r="H3952">
        <v>35100</v>
      </c>
      <c r="I3952">
        <v>6379.65</v>
      </c>
      <c r="J3952" t="s">
        <v>26</v>
      </c>
      <c r="K3952" t="s">
        <v>40</v>
      </c>
      <c r="L3952">
        <v>11700</v>
      </c>
      <c r="M3952">
        <v>18.175641025641021</v>
      </c>
      <c r="N3952" t="s">
        <v>8</v>
      </c>
      <c r="O3952" t="s">
        <v>157</v>
      </c>
      <c r="P3952" t="s">
        <v>83</v>
      </c>
      <c r="Q3952" t="s">
        <v>30</v>
      </c>
      <c r="R3952" t="s">
        <v>31</v>
      </c>
      <c r="S3952" t="s">
        <v>32</v>
      </c>
      <c r="T3952" t="s">
        <v>158</v>
      </c>
      <c r="U3952" t="s">
        <v>34</v>
      </c>
      <c r="V3952">
        <v>2126.5500000000002</v>
      </c>
    </row>
    <row r="3953" spans="1:22" x14ac:dyDescent="0.3">
      <c r="A3953" t="s">
        <v>5431</v>
      </c>
      <c r="B3953" s="2">
        <v>46098</v>
      </c>
      <c r="C3953" t="s">
        <v>978</v>
      </c>
      <c r="D3953" t="s">
        <v>37</v>
      </c>
      <c r="E3953" t="s">
        <v>38</v>
      </c>
      <c r="F3953">
        <v>2</v>
      </c>
      <c r="G3953">
        <v>0.3</v>
      </c>
      <c r="H3953">
        <v>2520</v>
      </c>
      <c r="I3953">
        <v>641.72</v>
      </c>
      <c r="J3953" t="s">
        <v>65</v>
      </c>
      <c r="K3953" t="s">
        <v>40</v>
      </c>
      <c r="L3953">
        <v>1260</v>
      </c>
      <c r="M3953">
        <v>25.465079365079369</v>
      </c>
      <c r="N3953" t="s">
        <v>8</v>
      </c>
      <c r="O3953" t="s">
        <v>979</v>
      </c>
      <c r="P3953" t="s">
        <v>29</v>
      </c>
      <c r="Q3953" t="s">
        <v>42</v>
      </c>
      <c r="R3953" t="s">
        <v>121</v>
      </c>
      <c r="S3953" t="s">
        <v>44</v>
      </c>
      <c r="T3953" t="s">
        <v>415</v>
      </c>
      <c r="U3953" t="s">
        <v>34</v>
      </c>
      <c r="V3953">
        <v>320.86</v>
      </c>
    </row>
    <row r="3954" spans="1:22" x14ac:dyDescent="0.3">
      <c r="A3954" t="s">
        <v>5432</v>
      </c>
      <c r="B3954" s="2">
        <v>46012</v>
      </c>
      <c r="C3954" t="s">
        <v>156</v>
      </c>
      <c r="D3954" t="s">
        <v>49</v>
      </c>
      <c r="E3954" t="s">
        <v>50</v>
      </c>
      <c r="F3954">
        <v>2</v>
      </c>
      <c r="G3954">
        <v>0</v>
      </c>
      <c r="H3954">
        <v>26000</v>
      </c>
      <c r="I3954">
        <v>6400</v>
      </c>
      <c r="J3954" t="s">
        <v>39</v>
      </c>
      <c r="K3954" t="s">
        <v>40</v>
      </c>
      <c r="L3954">
        <v>13000</v>
      </c>
      <c r="M3954">
        <v>24.61538461538462</v>
      </c>
      <c r="N3954" t="s">
        <v>8</v>
      </c>
      <c r="O3954" t="s">
        <v>157</v>
      </c>
      <c r="P3954" t="s">
        <v>83</v>
      </c>
      <c r="Q3954" t="s">
        <v>30</v>
      </c>
      <c r="R3954" t="s">
        <v>31</v>
      </c>
      <c r="S3954" t="s">
        <v>32</v>
      </c>
      <c r="T3954" t="s">
        <v>158</v>
      </c>
      <c r="U3954" t="s">
        <v>34</v>
      </c>
      <c r="V3954">
        <v>3200</v>
      </c>
    </row>
    <row r="3955" spans="1:22" x14ac:dyDescent="0.3">
      <c r="A3955" t="s">
        <v>5433</v>
      </c>
      <c r="B3955" s="2">
        <v>46174</v>
      </c>
      <c r="C3955" t="s">
        <v>1688</v>
      </c>
      <c r="D3955" t="s">
        <v>37</v>
      </c>
      <c r="E3955" t="s">
        <v>190</v>
      </c>
      <c r="F3955">
        <v>6</v>
      </c>
      <c r="G3955">
        <v>0.2</v>
      </c>
      <c r="H3955">
        <v>20160</v>
      </c>
      <c r="I3955">
        <v>3769.09</v>
      </c>
      <c r="J3955" t="s">
        <v>26</v>
      </c>
      <c r="K3955" t="s">
        <v>40</v>
      </c>
      <c r="L3955">
        <v>3360</v>
      </c>
      <c r="M3955">
        <v>18.695882936507939</v>
      </c>
      <c r="N3955" t="s">
        <v>8</v>
      </c>
      <c r="O3955" t="s">
        <v>883</v>
      </c>
      <c r="P3955" t="s">
        <v>73</v>
      </c>
      <c r="Q3955" t="s">
        <v>30</v>
      </c>
      <c r="R3955" t="s">
        <v>31</v>
      </c>
      <c r="S3955" t="s">
        <v>32</v>
      </c>
      <c r="T3955" t="s">
        <v>575</v>
      </c>
      <c r="U3955" t="s">
        <v>34</v>
      </c>
      <c r="V3955">
        <v>628.18166666666673</v>
      </c>
    </row>
    <row r="3956" spans="1:22" x14ac:dyDescent="0.3">
      <c r="A3956" t="s">
        <v>5434</v>
      </c>
      <c r="B3956" s="2">
        <v>46222</v>
      </c>
      <c r="C3956" t="s">
        <v>1824</v>
      </c>
      <c r="D3956" t="s">
        <v>70</v>
      </c>
      <c r="E3956" t="s">
        <v>129</v>
      </c>
      <c r="F3956">
        <v>1</v>
      </c>
      <c r="G3956">
        <v>0</v>
      </c>
      <c r="H3956">
        <v>55000</v>
      </c>
      <c r="I3956">
        <v>-33842.11</v>
      </c>
      <c r="J3956" t="s">
        <v>39</v>
      </c>
      <c r="K3956" t="s">
        <v>434</v>
      </c>
      <c r="L3956">
        <v>55000</v>
      </c>
      <c r="M3956">
        <v>-61.531109090909098</v>
      </c>
      <c r="N3956" t="s">
        <v>81</v>
      </c>
      <c r="O3956" t="s">
        <v>205</v>
      </c>
      <c r="P3956" t="s">
        <v>83</v>
      </c>
      <c r="Q3956" t="s">
        <v>30</v>
      </c>
      <c r="R3956" t="s">
        <v>31</v>
      </c>
      <c r="S3956" t="s">
        <v>32</v>
      </c>
      <c r="T3956" t="s">
        <v>303</v>
      </c>
      <c r="U3956" t="s">
        <v>46</v>
      </c>
      <c r="V3956">
        <v>-33842.11</v>
      </c>
    </row>
    <row r="3957" spans="1:22" x14ac:dyDescent="0.3">
      <c r="A3957" t="s">
        <v>5435</v>
      </c>
      <c r="B3957" s="2">
        <v>45845</v>
      </c>
      <c r="C3957" t="s">
        <v>1087</v>
      </c>
      <c r="D3957" t="s">
        <v>49</v>
      </c>
      <c r="E3957" t="s">
        <v>119</v>
      </c>
      <c r="F3957">
        <v>4</v>
      </c>
      <c r="G3957">
        <v>0.1</v>
      </c>
      <c r="H3957">
        <v>32400</v>
      </c>
      <c r="I3957">
        <v>7247.45</v>
      </c>
      <c r="J3957" t="s">
        <v>65</v>
      </c>
      <c r="K3957" t="s">
        <v>40</v>
      </c>
      <c r="L3957">
        <v>8100</v>
      </c>
      <c r="M3957">
        <v>22.368672839506171</v>
      </c>
      <c r="N3957" t="s">
        <v>8</v>
      </c>
      <c r="O3957" t="s">
        <v>1088</v>
      </c>
      <c r="P3957" t="s">
        <v>73</v>
      </c>
      <c r="Q3957" t="s">
        <v>131</v>
      </c>
      <c r="R3957" t="s">
        <v>200</v>
      </c>
      <c r="S3957" t="s">
        <v>201</v>
      </c>
      <c r="T3957" t="s">
        <v>1089</v>
      </c>
      <c r="U3957" t="s">
        <v>46</v>
      </c>
      <c r="V3957">
        <v>1811.8625</v>
      </c>
    </row>
    <row r="3958" spans="1:22" x14ac:dyDescent="0.3">
      <c r="A3958" t="s">
        <v>5436</v>
      </c>
      <c r="B3958" s="2">
        <v>46213</v>
      </c>
      <c r="C3958" t="s">
        <v>2327</v>
      </c>
      <c r="D3958" t="s">
        <v>49</v>
      </c>
      <c r="E3958" t="s">
        <v>58</v>
      </c>
      <c r="F3958">
        <v>2</v>
      </c>
      <c r="G3958">
        <v>0</v>
      </c>
      <c r="H3958">
        <v>30000</v>
      </c>
      <c r="I3958">
        <v>7000</v>
      </c>
      <c r="J3958" t="s">
        <v>39</v>
      </c>
      <c r="K3958" t="s">
        <v>40</v>
      </c>
      <c r="L3958">
        <v>15000</v>
      </c>
      <c r="M3958">
        <v>23.333333333333329</v>
      </c>
      <c r="N3958" t="s">
        <v>8</v>
      </c>
      <c r="O3958" t="s">
        <v>825</v>
      </c>
      <c r="P3958" t="s">
        <v>73</v>
      </c>
      <c r="Q3958" t="s">
        <v>30</v>
      </c>
      <c r="R3958" t="s">
        <v>31</v>
      </c>
      <c r="S3958" t="s">
        <v>32</v>
      </c>
      <c r="T3958" t="s">
        <v>55</v>
      </c>
      <c r="U3958" t="s">
        <v>46</v>
      </c>
      <c r="V3958">
        <v>3500</v>
      </c>
    </row>
    <row r="3959" spans="1:22" x14ac:dyDescent="0.3">
      <c r="A3959" t="s">
        <v>5437</v>
      </c>
      <c r="B3959" s="2">
        <v>46099</v>
      </c>
      <c r="C3959" t="s">
        <v>258</v>
      </c>
      <c r="D3959" t="s">
        <v>24</v>
      </c>
      <c r="E3959" t="s">
        <v>92</v>
      </c>
      <c r="F3959">
        <v>2</v>
      </c>
      <c r="G3959">
        <v>0</v>
      </c>
      <c r="H3959">
        <v>1800</v>
      </c>
      <c r="I3959">
        <v>560</v>
      </c>
      <c r="J3959" t="s">
        <v>26</v>
      </c>
      <c r="K3959" t="s">
        <v>40</v>
      </c>
      <c r="L3959">
        <v>900</v>
      </c>
      <c r="M3959">
        <v>31.111111111111111</v>
      </c>
      <c r="N3959" t="s">
        <v>8</v>
      </c>
      <c r="O3959" t="s">
        <v>259</v>
      </c>
      <c r="P3959" t="s">
        <v>73</v>
      </c>
      <c r="Q3959" t="s">
        <v>30</v>
      </c>
      <c r="R3959" t="s">
        <v>60</v>
      </c>
      <c r="S3959" t="s">
        <v>61</v>
      </c>
      <c r="T3959" t="s">
        <v>260</v>
      </c>
      <c r="U3959" t="s">
        <v>105</v>
      </c>
      <c r="V3959">
        <v>280</v>
      </c>
    </row>
    <row r="3960" spans="1:22" x14ac:dyDescent="0.3">
      <c r="A3960" t="s">
        <v>5438</v>
      </c>
      <c r="B3960" s="2">
        <v>45959</v>
      </c>
      <c r="C3960" t="s">
        <v>481</v>
      </c>
      <c r="D3960" t="s">
        <v>49</v>
      </c>
      <c r="E3960" t="s">
        <v>58</v>
      </c>
      <c r="F3960">
        <v>5</v>
      </c>
      <c r="G3960">
        <v>0.15</v>
      </c>
      <c r="H3960">
        <v>63750</v>
      </c>
      <c r="I3960">
        <v>9576.68</v>
      </c>
      <c r="J3960" t="s">
        <v>51</v>
      </c>
      <c r="K3960" t="s">
        <v>40</v>
      </c>
      <c r="L3960">
        <v>12750</v>
      </c>
      <c r="M3960">
        <v>15.0222431372549</v>
      </c>
      <c r="N3960" t="s">
        <v>8</v>
      </c>
      <c r="O3960" t="s">
        <v>482</v>
      </c>
      <c r="P3960" t="s">
        <v>83</v>
      </c>
      <c r="Q3960" t="s">
        <v>30</v>
      </c>
      <c r="R3960" t="s">
        <v>31</v>
      </c>
      <c r="S3960" t="s">
        <v>32</v>
      </c>
      <c r="T3960" t="s">
        <v>483</v>
      </c>
      <c r="U3960" t="s">
        <v>46</v>
      </c>
      <c r="V3960">
        <v>1915.336</v>
      </c>
    </row>
    <row r="3961" spans="1:22" x14ac:dyDescent="0.3">
      <c r="A3961" t="s">
        <v>5439</v>
      </c>
      <c r="B3961" s="2">
        <v>46041</v>
      </c>
      <c r="C3961" t="s">
        <v>1202</v>
      </c>
      <c r="D3961" t="s">
        <v>70</v>
      </c>
      <c r="E3961" t="s">
        <v>108</v>
      </c>
      <c r="F3961">
        <v>5</v>
      </c>
      <c r="G3961">
        <v>0</v>
      </c>
      <c r="H3961">
        <v>22500</v>
      </c>
      <c r="I3961">
        <v>7500</v>
      </c>
      <c r="J3961" t="s">
        <v>39</v>
      </c>
      <c r="K3961" t="s">
        <v>27</v>
      </c>
      <c r="L3961">
        <v>4500</v>
      </c>
      <c r="M3961">
        <v>33.333333333333329</v>
      </c>
      <c r="N3961" t="s">
        <v>8</v>
      </c>
      <c r="O3961" t="s">
        <v>251</v>
      </c>
      <c r="P3961" t="s">
        <v>29</v>
      </c>
      <c r="Q3961" t="s">
        <v>131</v>
      </c>
      <c r="R3961" t="s">
        <v>132</v>
      </c>
      <c r="S3961" t="s">
        <v>133</v>
      </c>
      <c r="T3961" t="s">
        <v>1203</v>
      </c>
      <c r="U3961" t="s">
        <v>34</v>
      </c>
      <c r="V3961">
        <v>1500</v>
      </c>
    </row>
    <row r="3962" spans="1:22" x14ac:dyDescent="0.3">
      <c r="A3962" t="s">
        <v>5440</v>
      </c>
      <c r="B3962" s="2">
        <v>46139</v>
      </c>
      <c r="C3962" t="s">
        <v>797</v>
      </c>
      <c r="D3962" t="s">
        <v>49</v>
      </c>
      <c r="E3962" t="s">
        <v>119</v>
      </c>
      <c r="F3962">
        <v>2</v>
      </c>
      <c r="G3962">
        <v>0.15</v>
      </c>
      <c r="H3962">
        <v>15300</v>
      </c>
      <c r="I3962">
        <v>2999.64</v>
      </c>
      <c r="J3962" t="s">
        <v>39</v>
      </c>
      <c r="K3962" t="s">
        <v>40</v>
      </c>
      <c r="L3962">
        <v>7650</v>
      </c>
      <c r="M3962">
        <v>19.605490196078431</v>
      </c>
      <c r="N3962" t="s">
        <v>8</v>
      </c>
      <c r="O3962" t="s">
        <v>798</v>
      </c>
      <c r="P3962" t="s">
        <v>73</v>
      </c>
      <c r="Q3962" t="s">
        <v>42</v>
      </c>
      <c r="R3962" t="s">
        <v>110</v>
      </c>
      <c r="S3962" t="s">
        <v>111</v>
      </c>
      <c r="T3962" t="s">
        <v>799</v>
      </c>
      <c r="U3962" t="s">
        <v>34</v>
      </c>
      <c r="V3962">
        <v>1499.82</v>
      </c>
    </row>
    <row r="3963" spans="1:22" x14ac:dyDescent="0.3">
      <c r="A3963" t="s">
        <v>5441</v>
      </c>
      <c r="B3963" s="2">
        <v>45994</v>
      </c>
      <c r="C3963" t="s">
        <v>23</v>
      </c>
      <c r="D3963" t="s">
        <v>49</v>
      </c>
      <c r="E3963" t="s">
        <v>58</v>
      </c>
      <c r="F3963">
        <v>3</v>
      </c>
      <c r="G3963">
        <v>0</v>
      </c>
      <c r="H3963">
        <v>45000</v>
      </c>
      <c r="I3963">
        <v>-9458.7999999999993</v>
      </c>
      <c r="J3963" t="s">
        <v>51</v>
      </c>
      <c r="K3963" t="s">
        <v>80</v>
      </c>
      <c r="L3963">
        <v>15000</v>
      </c>
      <c r="M3963">
        <v>-21.019555555555559</v>
      </c>
      <c r="N3963" t="s">
        <v>81</v>
      </c>
      <c r="O3963" t="s">
        <v>28</v>
      </c>
      <c r="P3963" t="s">
        <v>29</v>
      </c>
      <c r="Q3963" t="s">
        <v>30</v>
      </c>
      <c r="R3963" t="s">
        <v>31</v>
      </c>
      <c r="S3963" t="s">
        <v>32</v>
      </c>
      <c r="T3963" t="s">
        <v>33</v>
      </c>
      <c r="U3963" t="s">
        <v>34</v>
      </c>
      <c r="V3963">
        <v>-3152.9333333333329</v>
      </c>
    </row>
    <row r="3964" spans="1:22" x14ac:dyDescent="0.3">
      <c r="A3964" t="s">
        <v>5442</v>
      </c>
      <c r="B3964" s="2">
        <v>45858</v>
      </c>
      <c r="C3964" t="s">
        <v>1177</v>
      </c>
      <c r="D3964" t="s">
        <v>24</v>
      </c>
      <c r="E3964" t="s">
        <v>242</v>
      </c>
      <c r="F3964">
        <v>2</v>
      </c>
      <c r="G3964">
        <v>0.2</v>
      </c>
      <c r="H3964">
        <v>720</v>
      </c>
      <c r="I3964">
        <v>82.25</v>
      </c>
      <c r="J3964" t="s">
        <v>65</v>
      </c>
      <c r="K3964" t="s">
        <v>40</v>
      </c>
      <c r="L3964">
        <v>360</v>
      </c>
      <c r="M3964">
        <v>11.423611111111111</v>
      </c>
      <c r="N3964" t="s">
        <v>8</v>
      </c>
      <c r="O3964" t="s">
        <v>984</v>
      </c>
      <c r="P3964" t="s">
        <v>29</v>
      </c>
      <c r="Q3964" t="s">
        <v>74</v>
      </c>
      <c r="R3964" t="s">
        <v>237</v>
      </c>
      <c r="S3964" t="s">
        <v>238</v>
      </c>
      <c r="T3964" t="s">
        <v>1178</v>
      </c>
      <c r="U3964" t="s">
        <v>46</v>
      </c>
      <c r="V3964">
        <v>41.125</v>
      </c>
    </row>
    <row r="3965" spans="1:22" x14ac:dyDescent="0.3">
      <c r="A3965" t="s">
        <v>5443</v>
      </c>
      <c r="B3965" s="2">
        <v>45865</v>
      </c>
      <c r="C3965" t="s">
        <v>907</v>
      </c>
      <c r="D3965" t="s">
        <v>49</v>
      </c>
      <c r="E3965" t="s">
        <v>79</v>
      </c>
      <c r="F3965">
        <v>3</v>
      </c>
      <c r="G3965">
        <v>0.1</v>
      </c>
      <c r="H3965">
        <v>29700</v>
      </c>
      <c r="I3965">
        <v>5027.32</v>
      </c>
      <c r="J3965" t="s">
        <v>51</v>
      </c>
      <c r="K3965" t="s">
        <v>40</v>
      </c>
      <c r="L3965">
        <v>9900</v>
      </c>
      <c r="M3965">
        <v>16.927003367003369</v>
      </c>
      <c r="N3965" t="s">
        <v>8</v>
      </c>
      <c r="O3965" t="s">
        <v>908</v>
      </c>
      <c r="P3965" t="s">
        <v>29</v>
      </c>
      <c r="Q3965" t="s">
        <v>30</v>
      </c>
      <c r="R3965" t="s">
        <v>60</v>
      </c>
      <c r="S3965" t="s">
        <v>61</v>
      </c>
      <c r="T3965" t="s">
        <v>486</v>
      </c>
      <c r="U3965" t="s">
        <v>34</v>
      </c>
      <c r="V3965">
        <v>1675.7733333333331</v>
      </c>
    </row>
    <row r="3966" spans="1:22" x14ac:dyDescent="0.3">
      <c r="A3966" t="s">
        <v>5444</v>
      </c>
      <c r="B3966" s="2">
        <v>46153</v>
      </c>
      <c r="C3966" t="s">
        <v>1939</v>
      </c>
      <c r="D3966" t="s">
        <v>49</v>
      </c>
      <c r="E3966" t="s">
        <v>50</v>
      </c>
      <c r="F3966">
        <v>2</v>
      </c>
      <c r="G3966">
        <v>0.1</v>
      </c>
      <c r="H3966">
        <v>23400</v>
      </c>
      <c r="I3966">
        <v>4779.13</v>
      </c>
      <c r="J3966" t="s">
        <v>65</v>
      </c>
      <c r="K3966" t="s">
        <v>27</v>
      </c>
      <c r="L3966">
        <v>11700</v>
      </c>
      <c r="M3966">
        <v>20.423632478632481</v>
      </c>
      <c r="N3966" t="s">
        <v>8</v>
      </c>
      <c r="O3966" t="s">
        <v>1940</v>
      </c>
      <c r="P3966" t="s">
        <v>29</v>
      </c>
      <c r="Q3966" t="s">
        <v>74</v>
      </c>
      <c r="R3966" t="s">
        <v>237</v>
      </c>
      <c r="S3966" t="s">
        <v>238</v>
      </c>
      <c r="T3966" t="s">
        <v>1839</v>
      </c>
      <c r="U3966" t="s">
        <v>46</v>
      </c>
      <c r="V3966">
        <v>2389.5650000000001</v>
      </c>
    </row>
    <row r="3967" spans="1:22" x14ac:dyDescent="0.3">
      <c r="A3967" t="s">
        <v>5445</v>
      </c>
      <c r="B3967" s="2">
        <v>46102</v>
      </c>
      <c r="C3967" t="s">
        <v>1637</v>
      </c>
      <c r="D3967" t="s">
        <v>24</v>
      </c>
      <c r="E3967" t="s">
        <v>242</v>
      </c>
      <c r="F3967">
        <v>1</v>
      </c>
      <c r="G3967">
        <v>0.1</v>
      </c>
      <c r="H3967">
        <v>405</v>
      </c>
      <c r="I3967">
        <v>79.06</v>
      </c>
      <c r="J3967" t="s">
        <v>39</v>
      </c>
      <c r="K3967" t="s">
        <v>40</v>
      </c>
      <c r="L3967">
        <v>405</v>
      </c>
      <c r="M3967">
        <v>19.52098765432099</v>
      </c>
      <c r="N3967" t="s">
        <v>8</v>
      </c>
      <c r="O3967" t="s">
        <v>697</v>
      </c>
      <c r="P3967" t="s">
        <v>29</v>
      </c>
      <c r="Q3967" t="s">
        <v>30</v>
      </c>
      <c r="R3967" t="s">
        <v>31</v>
      </c>
      <c r="S3967" t="s">
        <v>32</v>
      </c>
      <c r="T3967" t="s">
        <v>1638</v>
      </c>
      <c r="U3967" t="s">
        <v>46</v>
      </c>
      <c r="V3967">
        <v>79.06</v>
      </c>
    </row>
    <row r="3968" spans="1:22" x14ac:dyDescent="0.3">
      <c r="A3968" t="s">
        <v>5446</v>
      </c>
      <c r="B3968" s="2">
        <v>45920</v>
      </c>
      <c r="C3968" t="s">
        <v>69</v>
      </c>
      <c r="D3968" t="s">
        <v>24</v>
      </c>
      <c r="E3968" t="s">
        <v>92</v>
      </c>
      <c r="F3968">
        <v>1</v>
      </c>
      <c r="G3968">
        <v>0.05</v>
      </c>
      <c r="H3968">
        <v>855</v>
      </c>
      <c r="I3968">
        <v>255.43</v>
      </c>
      <c r="J3968" t="s">
        <v>39</v>
      </c>
      <c r="K3968" t="s">
        <v>40</v>
      </c>
      <c r="L3968">
        <v>855</v>
      </c>
      <c r="M3968">
        <v>29.874853801169589</v>
      </c>
      <c r="N3968" t="s">
        <v>8</v>
      </c>
      <c r="O3968" t="s">
        <v>72</v>
      </c>
      <c r="P3968" t="s">
        <v>73</v>
      </c>
      <c r="Q3968" t="s">
        <v>74</v>
      </c>
      <c r="R3968" t="s">
        <v>75</v>
      </c>
      <c r="S3968" t="s">
        <v>75</v>
      </c>
      <c r="T3968" t="s">
        <v>76</v>
      </c>
      <c r="U3968" t="s">
        <v>34</v>
      </c>
      <c r="V3968">
        <v>255.43</v>
      </c>
    </row>
    <row r="3969" spans="1:22" x14ac:dyDescent="0.3">
      <c r="A3969" t="s">
        <v>5447</v>
      </c>
      <c r="B3969" s="2">
        <v>46200</v>
      </c>
      <c r="C3969" t="s">
        <v>426</v>
      </c>
      <c r="D3969" t="s">
        <v>37</v>
      </c>
      <c r="E3969" t="s">
        <v>38</v>
      </c>
      <c r="F3969">
        <v>3</v>
      </c>
      <c r="G3969">
        <v>0.15</v>
      </c>
      <c r="H3969">
        <v>4590</v>
      </c>
      <c r="I3969">
        <v>-695.45</v>
      </c>
      <c r="J3969" t="s">
        <v>51</v>
      </c>
      <c r="K3969" t="s">
        <v>434</v>
      </c>
      <c r="L3969">
        <v>1530</v>
      </c>
      <c r="M3969">
        <v>-15.15141612200436</v>
      </c>
      <c r="N3969" t="s">
        <v>81</v>
      </c>
      <c r="O3969" t="s">
        <v>427</v>
      </c>
      <c r="P3969" t="s">
        <v>73</v>
      </c>
      <c r="Q3969" t="s">
        <v>30</v>
      </c>
      <c r="R3969" t="s">
        <v>60</v>
      </c>
      <c r="S3969" t="s">
        <v>61</v>
      </c>
      <c r="T3969" t="s">
        <v>428</v>
      </c>
      <c r="U3969" t="s">
        <v>34</v>
      </c>
      <c r="V3969">
        <v>-231.81666666666669</v>
      </c>
    </row>
    <row r="3970" spans="1:22" x14ac:dyDescent="0.3">
      <c r="A3970" t="s">
        <v>5448</v>
      </c>
      <c r="B3970" s="2">
        <v>46197</v>
      </c>
      <c r="C3970" t="s">
        <v>1210</v>
      </c>
      <c r="D3970" t="s">
        <v>37</v>
      </c>
      <c r="E3970" t="s">
        <v>38</v>
      </c>
      <c r="F3970">
        <v>1</v>
      </c>
      <c r="G3970">
        <v>0.1</v>
      </c>
      <c r="H3970">
        <v>1620</v>
      </c>
      <c r="I3970">
        <v>551.52</v>
      </c>
      <c r="J3970" t="s">
        <v>51</v>
      </c>
      <c r="K3970" t="s">
        <v>40</v>
      </c>
      <c r="L3970">
        <v>1620</v>
      </c>
      <c r="M3970">
        <v>34.044444444444437</v>
      </c>
      <c r="N3970" t="s">
        <v>8</v>
      </c>
      <c r="O3970" t="s">
        <v>1190</v>
      </c>
      <c r="P3970" t="s">
        <v>73</v>
      </c>
      <c r="Q3970" t="s">
        <v>30</v>
      </c>
      <c r="R3970" t="s">
        <v>31</v>
      </c>
      <c r="S3970" t="s">
        <v>32</v>
      </c>
      <c r="T3970" t="s">
        <v>1211</v>
      </c>
      <c r="U3970" t="s">
        <v>46</v>
      </c>
      <c r="V3970">
        <v>551.52</v>
      </c>
    </row>
    <row r="3971" spans="1:22" x14ac:dyDescent="0.3">
      <c r="A3971" t="s">
        <v>5449</v>
      </c>
      <c r="B3971" s="2">
        <v>45994</v>
      </c>
      <c r="C3971" t="s">
        <v>3090</v>
      </c>
      <c r="D3971" t="s">
        <v>49</v>
      </c>
      <c r="E3971" t="s">
        <v>50</v>
      </c>
      <c r="F3971">
        <v>2</v>
      </c>
      <c r="G3971">
        <v>0.1</v>
      </c>
      <c r="H3971">
        <v>23400</v>
      </c>
      <c r="I3971">
        <v>4214.42</v>
      </c>
      <c r="J3971" t="s">
        <v>39</v>
      </c>
      <c r="K3971" t="s">
        <v>40</v>
      </c>
      <c r="L3971">
        <v>11700</v>
      </c>
      <c r="M3971">
        <v>18.01034188034188</v>
      </c>
      <c r="N3971" t="s">
        <v>8</v>
      </c>
      <c r="O3971" t="s">
        <v>526</v>
      </c>
      <c r="P3971" t="s">
        <v>29</v>
      </c>
      <c r="Q3971" t="s">
        <v>42</v>
      </c>
      <c r="R3971" t="s">
        <v>121</v>
      </c>
      <c r="S3971" t="s">
        <v>44</v>
      </c>
      <c r="T3971" t="s">
        <v>1612</v>
      </c>
      <c r="U3971" t="s">
        <v>34</v>
      </c>
      <c r="V3971">
        <v>2107.21</v>
      </c>
    </row>
    <row r="3972" spans="1:22" x14ac:dyDescent="0.3">
      <c r="A3972" t="s">
        <v>5450</v>
      </c>
      <c r="B3972" s="2">
        <v>45882</v>
      </c>
      <c r="C3972" t="s">
        <v>2511</v>
      </c>
      <c r="D3972" t="s">
        <v>24</v>
      </c>
      <c r="E3972" t="s">
        <v>87</v>
      </c>
      <c r="F3972">
        <v>3</v>
      </c>
      <c r="G3972">
        <v>0.1</v>
      </c>
      <c r="H3972">
        <v>945</v>
      </c>
      <c r="I3972">
        <v>295.91000000000003</v>
      </c>
      <c r="J3972" t="s">
        <v>65</v>
      </c>
      <c r="K3972" t="s">
        <v>40</v>
      </c>
      <c r="L3972">
        <v>315</v>
      </c>
      <c r="M3972">
        <v>31.31322751322752</v>
      </c>
      <c r="N3972" t="s">
        <v>8</v>
      </c>
      <c r="O3972" t="s">
        <v>1695</v>
      </c>
      <c r="P3972" t="s">
        <v>83</v>
      </c>
      <c r="Q3972" t="s">
        <v>30</v>
      </c>
      <c r="R3972" t="s">
        <v>98</v>
      </c>
      <c r="S3972" t="s">
        <v>54</v>
      </c>
      <c r="T3972" t="s">
        <v>2512</v>
      </c>
      <c r="U3972" t="s">
        <v>46</v>
      </c>
      <c r="V3972">
        <v>98.63666666666667</v>
      </c>
    </row>
    <row r="3973" spans="1:22" x14ac:dyDescent="0.3">
      <c r="A3973" t="s">
        <v>5451</v>
      </c>
      <c r="B3973" s="2">
        <v>46081</v>
      </c>
      <c r="C3973" t="s">
        <v>929</v>
      </c>
      <c r="D3973" t="s">
        <v>37</v>
      </c>
      <c r="E3973" t="s">
        <v>190</v>
      </c>
      <c r="F3973">
        <v>3</v>
      </c>
      <c r="G3973">
        <v>0.05</v>
      </c>
      <c r="H3973">
        <v>11970</v>
      </c>
      <c r="I3973">
        <v>-1472.4</v>
      </c>
      <c r="J3973" t="s">
        <v>51</v>
      </c>
      <c r="K3973" t="s">
        <v>80</v>
      </c>
      <c r="L3973">
        <v>3990</v>
      </c>
      <c r="M3973">
        <v>-12.30075187969925</v>
      </c>
      <c r="N3973" t="s">
        <v>81</v>
      </c>
      <c r="O3973" t="s">
        <v>930</v>
      </c>
      <c r="P3973" t="s">
        <v>83</v>
      </c>
      <c r="Q3973" t="s">
        <v>74</v>
      </c>
      <c r="R3973" t="s">
        <v>493</v>
      </c>
      <c r="S3973" t="s">
        <v>494</v>
      </c>
      <c r="T3973" t="s">
        <v>931</v>
      </c>
      <c r="U3973" t="s">
        <v>46</v>
      </c>
      <c r="V3973">
        <v>-490.8</v>
      </c>
    </row>
    <row r="3974" spans="1:22" x14ac:dyDescent="0.3">
      <c r="A3974" t="s">
        <v>5452</v>
      </c>
      <c r="B3974" s="2">
        <v>46184</v>
      </c>
      <c r="C3974" t="s">
        <v>2014</v>
      </c>
      <c r="D3974" t="s">
        <v>24</v>
      </c>
      <c r="E3974" t="s">
        <v>92</v>
      </c>
      <c r="F3974">
        <v>1</v>
      </c>
      <c r="G3974">
        <v>0.15</v>
      </c>
      <c r="H3974">
        <v>765</v>
      </c>
      <c r="I3974">
        <v>-45.79</v>
      </c>
      <c r="J3974" t="s">
        <v>26</v>
      </c>
      <c r="K3974" t="s">
        <v>434</v>
      </c>
      <c r="L3974">
        <v>765</v>
      </c>
      <c r="M3974">
        <v>-5.9856209150326789</v>
      </c>
      <c r="N3974" t="s">
        <v>81</v>
      </c>
      <c r="O3974" t="s">
        <v>911</v>
      </c>
      <c r="P3974" t="s">
        <v>29</v>
      </c>
      <c r="Q3974" t="s">
        <v>42</v>
      </c>
      <c r="R3974" t="s">
        <v>214</v>
      </c>
      <c r="S3974" t="s">
        <v>111</v>
      </c>
      <c r="T3974" t="s">
        <v>2015</v>
      </c>
      <c r="U3974" t="s">
        <v>105</v>
      </c>
      <c r="V3974">
        <v>-45.79</v>
      </c>
    </row>
    <row r="3975" spans="1:22" x14ac:dyDescent="0.3">
      <c r="A3975" t="s">
        <v>5453</v>
      </c>
      <c r="B3975" s="2">
        <v>45866</v>
      </c>
      <c r="C3975" t="s">
        <v>838</v>
      </c>
      <c r="D3975" t="s">
        <v>24</v>
      </c>
      <c r="E3975" t="s">
        <v>242</v>
      </c>
      <c r="F3975">
        <v>1</v>
      </c>
      <c r="G3975">
        <v>0.15</v>
      </c>
      <c r="H3975">
        <v>382.5</v>
      </c>
      <c r="I3975">
        <v>78.489999999999995</v>
      </c>
      <c r="J3975" t="s">
        <v>65</v>
      </c>
      <c r="K3975" t="s">
        <v>40</v>
      </c>
      <c r="L3975">
        <v>382.5</v>
      </c>
      <c r="M3975">
        <v>20.520261437908491</v>
      </c>
      <c r="N3975" t="s">
        <v>8</v>
      </c>
      <c r="O3975" t="s">
        <v>839</v>
      </c>
      <c r="P3975" t="s">
        <v>73</v>
      </c>
      <c r="Q3975" t="s">
        <v>30</v>
      </c>
      <c r="R3975" t="s">
        <v>31</v>
      </c>
      <c r="S3975" t="s">
        <v>32</v>
      </c>
      <c r="T3975" t="s">
        <v>840</v>
      </c>
      <c r="U3975" t="s">
        <v>100</v>
      </c>
      <c r="V3975">
        <v>78.489999999999995</v>
      </c>
    </row>
    <row r="3976" spans="1:22" x14ac:dyDescent="0.3">
      <c r="A3976" t="s">
        <v>5454</v>
      </c>
      <c r="B3976" s="2">
        <v>46205</v>
      </c>
      <c r="C3976" t="s">
        <v>1751</v>
      </c>
      <c r="D3976" t="s">
        <v>37</v>
      </c>
      <c r="E3976" t="s">
        <v>190</v>
      </c>
      <c r="F3976">
        <v>3</v>
      </c>
      <c r="G3976">
        <v>0.15</v>
      </c>
      <c r="H3976">
        <v>10710</v>
      </c>
      <c r="I3976">
        <v>2275.63</v>
      </c>
      <c r="J3976" t="s">
        <v>51</v>
      </c>
      <c r="K3976" t="s">
        <v>40</v>
      </c>
      <c r="L3976">
        <v>3570</v>
      </c>
      <c r="M3976">
        <v>21.247712418300651</v>
      </c>
      <c r="N3976" t="s">
        <v>8</v>
      </c>
      <c r="O3976" t="s">
        <v>537</v>
      </c>
      <c r="P3976" t="s">
        <v>83</v>
      </c>
      <c r="Q3976" t="s">
        <v>74</v>
      </c>
      <c r="R3976" t="s">
        <v>115</v>
      </c>
      <c r="S3976" t="s">
        <v>115</v>
      </c>
      <c r="T3976" t="s">
        <v>1752</v>
      </c>
      <c r="U3976" t="s">
        <v>46</v>
      </c>
      <c r="V3976">
        <v>758.54333333333341</v>
      </c>
    </row>
    <row r="3977" spans="1:22" x14ac:dyDescent="0.3">
      <c r="A3977" t="s">
        <v>5455</v>
      </c>
      <c r="B3977" s="2">
        <v>46234</v>
      </c>
      <c r="C3977" t="s">
        <v>321</v>
      </c>
      <c r="D3977" t="s">
        <v>37</v>
      </c>
      <c r="E3977" t="s">
        <v>310</v>
      </c>
      <c r="F3977">
        <v>3</v>
      </c>
      <c r="G3977">
        <v>0</v>
      </c>
      <c r="H3977">
        <v>6600</v>
      </c>
      <c r="I3977">
        <v>2250</v>
      </c>
      <c r="J3977" t="s">
        <v>39</v>
      </c>
      <c r="K3977" t="s">
        <v>40</v>
      </c>
      <c r="L3977">
        <v>2200</v>
      </c>
      <c r="M3977">
        <v>34.090909090909093</v>
      </c>
      <c r="N3977" t="s">
        <v>8</v>
      </c>
      <c r="O3977" t="s">
        <v>322</v>
      </c>
      <c r="P3977" t="s">
        <v>29</v>
      </c>
      <c r="Q3977" t="s">
        <v>30</v>
      </c>
      <c r="R3977" t="s">
        <v>31</v>
      </c>
      <c r="S3977" t="s">
        <v>32</v>
      </c>
      <c r="T3977" t="s">
        <v>323</v>
      </c>
      <c r="U3977" t="s">
        <v>34</v>
      </c>
      <c r="V3977">
        <v>750</v>
      </c>
    </row>
    <row r="3978" spans="1:22" x14ac:dyDescent="0.3">
      <c r="A3978" t="s">
        <v>5456</v>
      </c>
      <c r="B3978" s="2">
        <v>46193</v>
      </c>
      <c r="C3978" t="s">
        <v>1094</v>
      </c>
      <c r="D3978" t="s">
        <v>24</v>
      </c>
      <c r="E3978" t="s">
        <v>242</v>
      </c>
      <c r="F3978">
        <v>2</v>
      </c>
      <c r="G3978">
        <v>0.1</v>
      </c>
      <c r="H3978">
        <v>810</v>
      </c>
      <c r="I3978">
        <v>167.72</v>
      </c>
      <c r="J3978" t="s">
        <v>39</v>
      </c>
      <c r="K3978" t="s">
        <v>40</v>
      </c>
      <c r="L3978">
        <v>405</v>
      </c>
      <c r="M3978">
        <v>20.70617283950617</v>
      </c>
      <c r="N3978" t="s">
        <v>8</v>
      </c>
      <c r="O3978" t="s">
        <v>183</v>
      </c>
      <c r="P3978" t="s">
        <v>73</v>
      </c>
      <c r="Q3978" t="s">
        <v>30</v>
      </c>
      <c r="R3978" t="s">
        <v>31</v>
      </c>
      <c r="S3978" t="s">
        <v>32</v>
      </c>
      <c r="T3978" t="s">
        <v>1095</v>
      </c>
      <c r="U3978" t="s">
        <v>105</v>
      </c>
      <c r="V3978">
        <v>83.86</v>
      </c>
    </row>
    <row r="3979" spans="1:22" x14ac:dyDescent="0.3">
      <c r="A3979" t="s">
        <v>5457</v>
      </c>
      <c r="B3979" s="2">
        <v>46118</v>
      </c>
      <c r="C3979" t="s">
        <v>1690</v>
      </c>
      <c r="D3979" t="s">
        <v>24</v>
      </c>
      <c r="E3979" t="s">
        <v>242</v>
      </c>
      <c r="F3979">
        <v>2</v>
      </c>
      <c r="G3979">
        <v>0</v>
      </c>
      <c r="H3979">
        <v>900</v>
      </c>
      <c r="I3979">
        <v>220</v>
      </c>
      <c r="J3979" t="s">
        <v>51</v>
      </c>
      <c r="K3979" t="s">
        <v>27</v>
      </c>
      <c r="L3979">
        <v>450</v>
      </c>
      <c r="M3979">
        <v>24.444444444444439</v>
      </c>
      <c r="N3979" t="s">
        <v>8</v>
      </c>
      <c r="O3979" t="s">
        <v>1566</v>
      </c>
      <c r="P3979" t="s">
        <v>73</v>
      </c>
      <c r="Q3979" t="s">
        <v>30</v>
      </c>
      <c r="R3979" t="s">
        <v>53</v>
      </c>
      <c r="S3979" t="s">
        <v>54</v>
      </c>
      <c r="T3979" t="s">
        <v>1691</v>
      </c>
      <c r="U3979" t="s">
        <v>105</v>
      </c>
      <c r="V3979">
        <v>110</v>
      </c>
    </row>
    <row r="3980" spans="1:22" x14ac:dyDescent="0.3">
      <c r="A3980" t="s">
        <v>5458</v>
      </c>
      <c r="B3980" s="2">
        <v>45898</v>
      </c>
      <c r="C3980" t="s">
        <v>1232</v>
      </c>
      <c r="D3980" t="s">
        <v>24</v>
      </c>
      <c r="E3980" t="s">
        <v>92</v>
      </c>
      <c r="F3980">
        <v>4</v>
      </c>
      <c r="G3980">
        <v>0</v>
      </c>
      <c r="H3980">
        <v>3600</v>
      </c>
      <c r="I3980">
        <v>1120</v>
      </c>
      <c r="J3980" t="s">
        <v>39</v>
      </c>
      <c r="K3980" t="s">
        <v>40</v>
      </c>
      <c r="L3980">
        <v>900</v>
      </c>
      <c r="M3980">
        <v>31.111111111111111</v>
      </c>
      <c r="N3980" t="s">
        <v>8</v>
      </c>
      <c r="O3980" t="s">
        <v>1233</v>
      </c>
      <c r="P3980" t="s">
        <v>29</v>
      </c>
      <c r="Q3980" t="s">
        <v>74</v>
      </c>
      <c r="R3980" t="s">
        <v>237</v>
      </c>
      <c r="S3980" t="s">
        <v>238</v>
      </c>
      <c r="T3980" t="s">
        <v>1234</v>
      </c>
      <c r="U3980" t="s">
        <v>100</v>
      </c>
      <c r="V3980">
        <v>280</v>
      </c>
    </row>
    <row r="3981" spans="1:22" x14ac:dyDescent="0.3">
      <c r="A3981" t="s">
        <v>5459</v>
      </c>
      <c r="B3981" s="2">
        <v>45968</v>
      </c>
      <c r="C3981" t="s">
        <v>585</v>
      </c>
      <c r="D3981" t="s">
        <v>24</v>
      </c>
      <c r="E3981" t="s">
        <v>25</v>
      </c>
      <c r="F3981">
        <v>1</v>
      </c>
      <c r="G3981">
        <v>0.05</v>
      </c>
      <c r="H3981">
        <v>13300</v>
      </c>
      <c r="I3981">
        <v>2466.59</v>
      </c>
      <c r="J3981" t="s">
        <v>39</v>
      </c>
      <c r="K3981" t="s">
        <v>40</v>
      </c>
      <c r="L3981">
        <v>13300</v>
      </c>
      <c r="M3981">
        <v>18.545789473684209</v>
      </c>
      <c r="N3981" t="s">
        <v>8</v>
      </c>
      <c r="O3981" t="s">
        <v>586</v>
      </c>
      <c r="P3981" t="s">
        <v>73</v>
      </c>
      <c r="Q3981" t="s">
        <v>30</v>
      </c>
      <c r="R3981" t="s">
        <v>98</v>
      </c>
      <c r="S3981" t="s">
        <v>54</v>
      </c>
      <c r="T3981" t="s">
        <v>587</v>
      </c>
      <c r="U3981" t="s">
        <v>46</v>
      </c>
      <c r="V3981">
        <v>2466.59</v>
      </c>
    </row>
    <row r="3982" spans="1:22" x14ac:dyDescent="0.3">
      <c r="A3982" t="s">
        <v>5460</v>
      </c>
      <c r="B3982" s="2">
        <v>46070</v>
      </c>
      <c r="C3982" t="s">
        <v>776</v>
      </c>
      <c r="D3982" t="s">
        <v>24</v>
      </c>
      <c r="E3982" t="s">
        <v>87</v>
      </c>
      <c r="F3982">
        <v>6</v>
      </c>
      <c r="G3982">
        <v>0.05</v>
      </c>
      <c r="H3982">
        <v>1995</v>
      </c>
      <c r="I3982">
        <v>631.57000000000005</v>
      </c>
      <c r="J3982" t="s">
        <v>51</v>
      </c>
      <c r="K3982" t="s">
        <v>40</v>
      </c>
      <c r="L3982">
        <v>332.5</v>
      </c>
      <c r="M3982">
        <v>31.65764411027569</v>
      </c>
      <c r="N3982" t="s">
        <v>8</v>
      </c>
      <c r="O3982" t="s">
        <v>777</v>
      </c>
      <c r="P3982" t="s">
        <v>29</v>
      </c>
      <c r="Q3982" t="s">
        <v>74</v>
      </c>
      <c r="R3982" t="s">
        <v>493</v>
      </c>
      <c r="S3982" t="s">
        <v>494</v>
      </c>
      <c r="T3982" t="s">
        <v>778</v>
      </c>
      <c r="U3982" t="s">
        <v>100</v>
      </c>
      <c r="V3982">
        <v>105.2616666666667</v>
      </c>
    </row>
    <row r="3983" spans="1:22" x14ac:dyDescent="0.3">
      <c r="A3983" t="s">
        <v>5461</v>
      </c>
      <c r="B3983" s="2">
        <v>45973</v>
      </c>
      <c r="C3983" t="s">
        <v>678</v>
      </c>
      <c r="D3983" t="s">
        <v>70</v>
      </c>
      <c r="E3983" t="s">
        <v>108</v>
      </c>
      <c r="F3983">
        <v>1</v>
      </c>
      <c r="G3983">
        <v>0.15</v>
      </c>
      <c r="H3983">
        <v>3825</v>
      </c>
      <c r="I3983">
        <v>1081.8800000000001</v>
      </c>
      <c r="J3983" t="s">
        <v>65</v>
      </c>
      <c r="K3983" t="s">
        <v>40</v>
      </c>
      <c r="L3983">
        <v>3825</v>
      </c>
      <c r="M3983">
        <v>28.28444444444445</v>
      </c>
      <c r="N3983" t="s">
        <v>8</v>
      </c>
      <c r="O3983" t="s">
        <v>657</v>
      </c>
      <c r="P3983" t="s">
        <v>83</v>
      </c>
      <c r="Q3983" t="s">
        <v>30</v>
      </c>
      <c r="R3983" t="s">
        <v>31</v>
      </c>
      <c r="S3983" t="s">
        <v>32</v>
      </c>
      <c r="T3983" t="s">
        <v>679</v>
      </c>
      <c r="U3983" t="s">
        <v>100</v>
      </c>
      <c r="V3983">
        <v>1081.8800000000001</v>
      </c>
    </row>
    <row r="3984" spans="1:22" x14ac:dyDescent="0.3">
      <c r="A3984" t="s">
        <v>5462</v>
      </c>
      <c r="B3984" s="2">
        <v>46219</v>
      </c>
      <c r="C3984" t="s">
        <v>91</v>
      </c>
      <c r="D3984" t="s">
        <v>24</v>
      </c>
      <c r="E3984" t="s">
        <v>25</v>
      </c>
      <c r="F3984">
        <v>1</v>
      </c>
      <c r="G3984">
        <v>0.05</v>
      </c>
      <c r="H3984">
        <v>13300</v>
      </c>
      <c r="I3984">
        <v>2447.3000000000002</v>
      </c>
      <c r="J3984" t="s">
        <v>26</v>
      </c>
      <c r="K3984" t="s">
        <v>40</v>
      </c>
      <c r="L3984">
        <v>13300</v>
      </c>
      <c r="M3984">
        <v>18.40075187969925</v>
      </c>
      <c r="N3984" t="s">
        <v>8</v>
      </c>
      <c r="O3984" t="s">
        <v>93</v>
      </c>
      <c r="P3984" t="s">
        <v>73</v>
      </c>
      <c r="Q3984" t="s">
        <v>30</v>
      </c>
      <c r="R3984" t="s">
        <v>60</v>
      </c>
      <c r="S3984" t="s">
        <v>61</v>
      </c>
      <c r="T3984" t="s">
        <v>94</v>
      </c>
      <c r="U3984" t="s">
        <v>34</v>
      </c>
      <c r="V3984">
        <v>2447.3000000000002</v>
      </c>
    </row>
    <row r="3985" spans="1:22" x14ac:dyDescent="0.3">
      <c r="A3985" t="s">
        <v>5463</v>
      </c>
      <c r="B3985" s="2">
        <v>46044</v>
      </c>
      <c r="C3985" t="s">
        <v>2353</v>
      </c>
      <c r="D3985" t="s">
        <v>24</v>
      </c>
      <c r="E3985" t="s">
        <v>25</v>
      </c>
      <c r="F3985">
        <v>1</v>
      </c>
      <c r="G3985">
        <v>0</v>
      </c>
      <c r="H3985">
        <v>14000</v>
      </c>
      <c r="I3985">
        <v>-7681.9</v>
      </c>
      <c r="J3985" t="s">
        <v>26</v>
      </c>
      <c r="K3985" t="s">
        <v>80</v>
      </c>
      <c r="L3985">
        <v>14000</v>
      </c>
      <c r="M3985">
        <v>-54.870714285714293</v>
      </c>
      <c r="N3985" t="s">
        <v>81</v>
      </c>
      <c r="O3985" t="s">
        <v>2127</v>
      </c>
      <c r="P3985" t="s">
        <v>29</v>
      </c>
      <c r="Q3985" t="s">
        <v>30</v>
      </c>
      <c r="R3985" t="s">
        <v>31</v>
      </c>
      <c r="S3985" t="s">
        <v>32</v>
      </c>
      <c r="T3985" t="s">
        <v>1283</v>
      </c>
      <c r="U3985" t="s">
        <v>46</v>
      </c>
      <c r="V3985">
        <v>-7681.9</v>
      </c>
    </row>
    <row r="3986" spans="1:22" x14ac:dyDescent="0.3">
      <c r="A3986" t="s">
        <v>5464</v>
      </c>
      <c r="B3986" s="2">
        <v>46193</v>
      </c>
      <c r="C3986" t="s">
        <v>1382</v>
      </c>
      <c r="D3986" t="s">
        <v>24</v>
      </c>
      <c r="E3986" t="s">
        <v>242</v>
      </c>
      <c r="F3986">
        <v>5</v>
      </c>
      <c r="G3986">
        <v>0</v>
      </c>
      <c r="H3986">
        <v>2250</v>
      </c>
      <c r="I3986">
        <v>-320.58</v>
      </c>
      <c r="J3986" t="s">
        <v>39</v>
      </c>
      <c r="K3986" t="s">
        <v>80</v>
      </c>
      <c r="L3986">
        <v>450</v>
      </c>
      <c r="M3986">
        <v>-14.247999999999999</v>
      </c>
      <c r="N3986" t="s">
        <v>81</v>
      </c>
      <c r="O3986" t="s">
        <v>1383</v>
      </c>
      <c r="P3986" t="s">
        <v>83</v>
      </c>
      <c r="Q3986" t="s">
        <v>30</v>
      </c>
      <c r="R3986" t="s">
        <v>60</v>
      </c>
      <c r="S3986" t="s">
        <v>61</v>
      </c>
      <c r="T3986" t="s">
        <v>227</v>
      </c>
      <c r="U3986" t="s">
        <v>46</v>
      </c>
      <c r="V3986">
        <v>-64.116</v>
      </c>
    </row>
    <row r="3987" spans="1:22" x14ac:dyDescent="0.3">
      <c r="A3987" t="s">
        <v>5465</v>
      </c>
      <c r="B3987" s="2">
        <v>46045</v>
      </c>
      <c r="C3987" t="s">
        <v>2145</v>
      </c>
      <c r="D3987" t="s">
        <v>24</v>
      </c>
      <c r="E3987" t="s">
        <v>92</v>
      </c>
      <c r="F3987">
        <v>3</v>
      </c>
      <c r="G3987">
        <v>0.15</v>
      </c>
      <c r="H3987">
        <v>2295</v>
      </c>
      <c r="I3987">
        <v>-334.58</v>
      </c>
      <c r="J3987" t="s">
        <v>39</v>
      </c>
      <c r="K3987" t="s">
        <v>80</v>
      </c>
      <c r="L3987">
        <v>765</v>
      </c>
      <c r="M3987">
        <v>-14.578649237472771</v>
      </c>
      <c r="N3987" t="s">
        <v>81</v>
      </c>
      <c r="O3987" t="s">
        <v>302</v>
      </c>
      <c r="P3987" t="s">
        <v>29</v>
      </c>
      <c r="Q3987" t="s">
        <v>30</v>
      </c>
      <c r="R3987" t="s">
        <v>98</v>
      </c>
      <c r="S3987" t="s">
        <v>54</v>
      </c>
      <c r="T3987" t="s">
        <v>601</v>
      </c>
      <c r="U3987" t="s">
        <v>46</v>
      </c>
      <c r="V3987">
        <v>-111.5266666666667</v>
      </c>
    </row>
    <row r="3988" spans="1:22" x14ac:dyDescent="0.3">
      <c r="A3988" t="s">
        <v>5466</v>
      </c>
      <c r="B3988" s="2">
        <v>46056</v>
      </c>
      <c r="C3988" t="s">
        <v>2261</v>
      </c>
      <c r="D3988" t="s">
        <v>24</v>
      </c>
      <c r="E3988" t="s">
        <v>92</v>
      </c>
      <c r="F3988">
        <v>3</v>
      </c>
      <c r="G3988">
        <v>0.05</v>
      </c>
      <c r="H3988">
        <v>2565</v>
      </c>
      <c r="I3988">
        <v>756.72</v>
      </c>
      <c r="J3988" t="s">
        <v>65</v>
      </c>
      <c r="K3988" t="s">
        <v>40</v>
      </c>
      <c r="L3988">
        <v>855</v>
      </c>
      <c r="M3988">
        <v>29.501754385964912</v>
      </c>
      <c r="N3988" t="s">
        <v>8</v>
      </c>
      <c r="O3988" t="s">
        <v>1237</v>
      </c>
      <c r="P3988" t="s">
        <v>73</v>
      </c>
      <c r="Q3988" t="s">
        <v>74</v>
      </c>
      <c r="R3988" t="s">
        <v>237</v>
      </c>
      <c r="S3988" t="s">
        <v>238</v>
      </c>
      <c r="T3988" t="s">
        <v>2262</v>
      </c>
      <c r="U3988" t="s">
        <v>100</v>
      </c>
      <c r="V3988">
        <v>252.24</v>
      </c>
    </row>
    <row r="3989" spans="1:22" x14ac:dyDescent="0.3">
      <c r="A3989" t="s">
        <v>5467</v>
      </c>
      <c r="B3989" s="2">
        <v>46236</v>
      </c>
      <c r="C3989" t="s">
        <v>5468</v>
      </c>
      <c r="D3989" t="s">
        <v>24</v>
      </c>
      <c r="E3989" t="s">
        <v>92</v>
      </c>
      <c r="F3989">
        <v>1</v>
      </c>
      <c r="G3989">
        <v>0.05</v>
      </c>
      <c r="H3989">
        <v>855</v>
      </c>
      <c r="I3989">
        <v>243.74</v>
      </c>
      <c r="J3989" t="s">
        <v>39</v>
      </c>
      <c r="K3989" t="s">
        <v>40</v>
      </c>
      <c r="L3989">
        <v>855</v>
      </c>
      <c r="M3989">
        <v>28.50760233918129</v>
      </c>
      <c r="N3989" t="s">
        <v>8</v>
      </c>
      <c r="O3989" t="s">
        <v>5469</v>
      </c>
      <c r="P3989" t="s">
        <v>29</v>
      </c>
      <c r="Q3989" t="s">
        <v>42</v>
      </c>
      <c r="R3989" t="s">
        <v>110</v>
      </c>
      <c r="S3989" t="s">
        <v>111</v>
      </c>
      <c r="T3989" t="s">
        <v>5470</v>
      </c>
      <c r="U3989" t="s">
        <v>34</v>
      </c>
      <c r="V3989">
        <v>243.74</v>
      </c>
    </row>
    <row r="3990" spans="1:22" x14ac:dyDescent="0.3">
      <c r="A3990" t="s">
        <v>5471</v>
      </c>
      <c r="B3990" s="2">
        <v>46066</v>
      </c>
      <c r="C3990" t="s">
        <v>1830</v>
      </c>
      <c r="D3990" t="s">
        <v>24</v>
      </c>
      <c r="E3990" t="s">
        <v>92</v>
      </c>
      <c r="F3990">
        <v>4</v>
      </c>
      <c r="G3990">
        <v>0.15</v>
      </c>
      <c r="H3990">
        <v>3060</v>
      </c>
      <c r="I3990">
        <v>867.84</v>
      </c>
      <c r="J3990" t="s">
        <v>26</v>
      </c>
      <c r="K3990" t="s">
        <v>40</v>
      </c>
      <c r="L3990">
        <v>765</v>
      </c>
      <c r="M3990">
        <v>28.360784313725489</v>
      </c>
      <c r="N3990" t="s">
        <v>8</v>
      </c>
      <c r="O3990" t="s">
        <v>1831</v>
      </c>
      <c r="P3990" t="s">
        <v>29</v>
      </c>
      <c r="Q3990" t="s">
        <v>30</v>
      </c>
      <c r="R3990" t="s">
        <v>60</v>
      </c>
      <c r="S3990" t="s">
        <v>61</v>
      </c>
      <c r="T3990" t="s">
        <v>1832</v>
      </c>
      <c r="U3990" t="s">
        <v>34</v>
      </c>
      <c r="V3990">
        <v>216.96</v>
      </c>
    </row>
    <row r="3991" spans="1:22" x14ac:dyDescent="0.3">
      <c r="A3991" t="s">
        <v>5472</v>
      </c>
      <c r="B3991" s="2">
        <v>45890</v>
      </c>
      <c r="C3991" t="s">
        <v>1799</v>
      </c>
      <c r="D3991" t="s">
        <v>49</v>
      </c>
      <c r="E3991" t="s">
        <v>58</v>
      </c>
      <c r="F3991">
        <v>3</v>
      </c>
      <c r="G3991">
        <v>0.05</v>
      </c>
      <c r="H3991">
        <v>42750</v>
      </c>
      <c r="I3991">
        <v>9409.07</v>
      </c>
      <c r="J3991" t="s">
        <v>26</v>
      </c>
      <c r="K3991" t="s">
        <v>40</v>
      </c>
      <c r="L3991">
        <v>14250</v>
      </c>
      <c r="M3991">
        <v>22.009520467836261</v>
      </c>
      <c r="N3991" t="s">
        <v>8</v>
      </c>
      <c r="O3991" t="s">
        <v>1800</v>
      </c>
      <c r="P3991" t="s">
        <v>73</v>
      </c>
      <c r="Q3991" t="s">
        <v>30</v>
      </c>
      <c r="R3991" t="s">
        <v>98</v>
      </c>
      <c r="S3991" t="s">
        <v>54</v>
      </c>
      <c r="T3991" t="s">
        <v>1801</v>
      </c>
      <c r="U3991" t="s">
        <v>100</v>
      </c>
      <c r="V3991">
        <v>3136.356666666667</v>
      </c>
    </row>
    <row r="3992" spans="1:22" x14ac:dyDescent="0.3">
      <c r="A3992" t="s">
        <v>5473</v>
      </c>
      <c r="B3992" s="2">
        <v>46107</v>
      </c>
      <c r="C3992" t="s">
        <v>305</v>
      </c>
      <c r="D3992" t="s">
        <v>24</v>
      </c>
      <c r="E3992" t="s">
        <v>242</v>
      </c>
      <c r="F3992">
        <v>2</v>
      </c>
      <c r="G3992">
        <v>0.15</v>
      </c>
      <c r="H3992">
        <v>765</v>
      </c>
      <c r="I3992">
        <v>110</v>
      </c>
      <c r="J3992" t="s">
        <v>51</v>
      </c>
      <c r="K3992" t="s">
        <v>40</v>
      </c>
      <c r="L3992">
        <v>382.5</v>
      </c>
      <c r="M3992">
        <v>14.37908496732026</v>
      </c>
      <c r="N3992" t="s">
        <v>8</v>
      </c>
      <c r="O3992" t="s">
        <v>306</v>
      </c>
      <c r="P3992" t="s">
        <v>29</v>
      </c>
      <c r="Q3992" t="s">
        <v>30</v>
      </c>
      <c r="R3992" t="s">
        <v>60</v>
      </c>
      <c r="S3992" t="s">
        <v>61</v>
      </c>
      <c r="T3992" t="s">
        <v>307</v>
      </c>
      <c r="U3992" t="s">
        <v>34</v>
      </c>
      <c r="V3992">
        <v>55</v>
      </c>
    </row>
    <row r="3993" spans="1:22" x14ac:dyDescent="0.3">
      <c r="A3993" t="s">
        <v>5474</v>
      </c>
      <c r="B3993" s="2">
        <v>45921</v>
      </c>
      <c r="C3993" t="s">
        <v>589</v>
      </c>
      <c r="D3993" t="s">
        <v>37</v>
      </c>
      <c r="E3993" t="s">
        <v>310</v>
      </c>
      <c r="F3993">
        <v>1</v>
      </c>
      <c r="G3993">
        <v>0.1</v>
      </c>
      <c r="H3993">
        <v>1980</v>
      </c>
      <c r="I3993">
        <v>574.17999999999995</v>
      </c>
      <c r="J3993" t="s">
        <v>26</v>
      </c>
      <c r="K3993" t="s">
        <v>40</v>
      </c>
      <c r="L3993">
        <v>1980</v>
      </c>
      <c r="M3993">
        <v>28.998989898989901</v>
      </c>
      <c r="N3993" t="s">
        <v>8</v>
      </c>
      <c r="O3993" t="s">
        <v>590</v>
      </c>
      <c r="P3993" t="s">
        <v>83</v>
      </c>
      <c r="Q3993" t="s">
        <v>74</v>
      </c>
      <c r="R3993" t="s">
        <v>493</v>
      </c>
      <c r="S3993" t="s">
        <v>494</v>
      </c>
      <c r="T3993" t="s">
        <v>591</v>
      </c>
      <c r="U3993" t="s">
        <v>100</v>
      </c>
      <c r="V3993">
        <v>574.17999999999995</v>
      </c>
    </row>
    <row r="3994" spans="1:22" x14ac:dyDescent="0.3">
      <c r="A3994" t="s">
        <v>5475</v>
      </c>
      <c r="B3994" s="2">
        <v>46265</v>
      </c>
      <c r="C3994" t="s">
        <v>1181</v>
      </c>
      <c r="D3994" t="s">
        <v>49</v>
      </c>
      <c r="E3994" t="s">
        <v>119</v>
      </c>
      <c r="F3994">
        <v>6</v>
      </c>
      <c r="G3994">
        <v>0</v>
      </c>
      <c r="H3994">
        <v>54000</v>
      </c>
      <c r="I3994">
        <v>13800</v>
      </c>
      <c r="J3994" t="s">
        <v>65</v>
      </c>
      <c r="K3994" t="s">
        <v>40</v>
      </c>
      <c r="L3994">
        <v>9000</v>
      </c>
      <c r="M3994">
        <v>25.55555555555555</v>
      </c>
      <c r="N3994" t="s">
        <v>8</v>
      </c>
      <c r="O3994" t="s">
        <v>1182</v>
      </c>
      <c r="P3994" t="s">
        <v>29</v>
      </c>
      <c r="Q3994" t="s">
        <v>30</v>
      </c>
      <c r="R3994" t="s">
        <v>31</v>
      </c>
      <c r="S3994" t="s">
        <v>32</v>
      </c>
      <c r="T3994" t="s">
        <v>206</v>
      </c>
      <c r="U3994" t="s">
        <v>46</v>
      </c>
      <c r="V3994">
        <v>2300</v>
      </c>
    </row>
    <row r="3995" spans="1:22" x14ac:dyDescent="0.3">
      <c r="A3995" t="s">
        <v>5476</v>
      </c>
      <c r="B3995" s="2">
        <v>45989</v>
      </c>
      <c r="C3995" t="s">
        <v>1101</v>
      </c>
      <c r="D3995" t="s">
        <v>24</v>
      </c>
      <c r="E3995" t="s">
        <v>25</v>
      </c>
      <c r="F3995">
        <v>1</v>
      </c>
      <c r="G3995">
        <v>0.1</v>
      </c>
      <c r="H3995">
        <v>12600</v>
      </c>
      <c r="I3995">
        <v>1768.37</v>
      </c>
      <c r="J3995" t="s">
        <v>39</v>
      </c>
      <c r="K3995" t="s">
        <v>40</v>
      </c>
      <c r="L3995">
        <v>12600</v>
      </c>
      <c r="M3995">
        <v>14.034682539682541</v>
      </c>
      <c r="N3995" t="s">
        <v>8</v>
      </c>
      <c r="O3995" t="s">
        <v>1102</v>
      </c>
      <c r="P3995" t="s">
        <v>29</v>
      </c>
      <c r="Q3995" t="s">
        <v>42</v>
      </c>
      <c r="R3995" t="s">
        <v>110</v>
      </c>
      <c r="S3995" t="s">
        <v>111</v>
      </c>
      <c r="T3995" t="s">
        <v>1103</v>
      </c>
      <c r="U3995" t="s">
        <v>100</v>
      </c>
      <c r="V3995">
        <v>1768.37</v>
      </c>
    </row>
    <row r="3996" spans="1:22" x14ac:dyDescent="0.3">
      <c r="A3996" t="s">
        <v>5477</v>
      </c>
      <c r="B3996" s="2">
        <v>45846</v>
      </c>
      <c r="C3996" t="s">
        <v>854</v>
      </c>
      <c r="D3996" t="s">
        <v>49</v>
      </c>
      <c r="E3996" t="s">
        <v>58</v>
      </c>
      <c r="F3996">
        <v>4</v>
      </c>
      <c r="G3996">
        <v>0</v>
      </c>
      <c r="H3996">
        <v>60000</v>
      </c>
      <c r="I3996">
        <v>14000</v>
      </c>
      <c r="J3996" t="s">
        <v>39</v>
      </c>
      <c r="K3996" t="s">
        <v>40</v>
      </c>
      <c r="L3996">
        <v>15000</v>
      </c>
      <c r="M3996">
        <v>23.333333333333329</v>
      </c>
      <c r="N3996" t="s">
        <v>8</v>
      </c>
      <c r="O3996" t="s">
        <v>855</v>
      </c>
      <c r="P3996" t="s">
        <v>29</v>
      </c>
      <c r="Q3996" t="s">
        <v>74</v>
      </c>
      <c r="R3996" t="s">
        <v>493</v>
      </c>
      <c r="S3996" t="s">
        <v>494</v>
      </c>
      <c r="T3996" t="s">
        <v>856</v>
      </c>
      <c r="U3996" t="s">
        <v>100</v>
      </c>
      <c r="V3996">
        <v>3500</v>
      </c>
    </row>
    <row r="3997" spans="1:22" x14ac:dyDescent="0.3">
      <c r="A3997" t="s">
        <v>5478</v>
      </c>
      <c r="B3997" s="2">
        <v>46027</v>
      </c>
      <c r="C3997" t="s">
        <v>2177</v>
      </c>
      <c r="D3997" t="s">
        <v>70</v>
      </c>
      <c r="E3997" t="s">
        <v>165</v>
      </c>
      <c r="F3997">
        <v>2</v>
      </c>
      <c r="G3997">
        <v>0</v>
      </c>
      <c r="H3997">
        <v>5000</v>
      </c>
      <c r="I3997">
        <v>1600</v>
      </c>
      <c r="J3997" t="s">
        <v>39</v>
      </c>
      <c r="K3997" t="s">
        <v>40</v>
      </c>
      <c r="L3997">
        <v>2500</v>
      </c>
      <c r="M3997">
        <v>32</v>
      </c>
      <c r="N3997" t="s">
        <v>8</v>
      </c>
      <c r="O3997" t="s">
        <v>175</v>
      </c>
      <c r="P3997" t="s">
        <v>29</v>
      </c>
      <c r="Q3997" t="s">
        <v>30</v>
      </c>
      <c r="R3997" t="s">
        <v>98</v>
      </c>
      <c r="S3997" t="s">
        <v>54</v>
      </c>
      <c r="T3997" t="s">
        <v>2178</v>
      </c>
      <c r="U3997" t="s">
        <v>46</v>
      </c>
      <c r="V3997">
        <v>800</v>
      </c>
    </row>
    <row r="3998" spans="1:22" x14ac:dyDescent="0.3">
      <c r="A3998" t="s">
        <v>5479</v>
      </c>
      <c r="B3998" s="2">
        <v>46217</v>
      </c>
      <c r="C3998" t="s">
        <v>2415</v>
      </c>
      <c r="D3998" t="s">
        <v>70</v>
      </c>
      <c r="E3998" t="s">
        <v>165</v>
      </c>
      <c r="F3998">
        <v>2</v>
      </c>
      <c r="G3998">
        <v>0.15</v>
      </c>
      <c r="H3998">
        <v>4250</v>
      </c>
      <c r="I3998">
        <v>1038.21</v>
      </c>
      <c r="J3998" t="s">
        <v>26</v>
      </c>
      <c r="K3998" t="s">
        <v>40</v>
      </c>
      <c r="L3998">
        <v>2125</v>
      </c>
      <c r="M3998">
        <v>24.428470588235299</v>
      </c>
      <c r="N3998" t="s">
        <v>8</v>
      </c>
      <c r="O3998" t="s">
        <v>1098</v>
      </c>
      <c r="P3998" t="s">
        <v>29</v>
      </c>
      <c r="Q3998" t="s">
        <v>30</v>
      </c>
      <c r="R3998" t="s">
        <v>53</v>
      </c>
      <c r="S3998" t="s">
        <v>54</v>
      </c>
      <c r="T3998" t="s">
        <v>2416</v>
      </c>
      <c r="U3998" t="s">
        <v>34</v>
      </c>
      <c r="V3998">
        <v>519.10500000000002</v>
      </c>
    </row>
    <row r="3999" spans="1:22" x14ac:dyDescent="0.3">
      <c r="A3999" t="s">
        <v>5480</v>
      </c>
      <c r="B3999" s="2">
        <v>45986</v>
      </c>
      <c r="C3999" t="s">
        <v>1391</v>
      </c>
      <c r="D3999" t="s">
        <v>37</v>
      </c>
      <c r="E3999" t="s">
        <v>190</v>
      </c>
      <c r="F3999">
        <v>3</v>
      </c>
      <c r="G3999">
        <v>0.1</v>
      </c>
      <c r="H3999">
        <v>11340</v>
      </c>
      <c r="I3999">
        <v>2796.33</v>
      </c>
      <c r="J3999" t="s">
        <v>51</v>
      </c>
      <c r="K3999" t="s">
        <v>40</v>
      </c>
      <c r="L3999">
        <v>3780</v>
      </c>
      <c r="M3999">
        <v>24.658994708994712</v>
      </c>
      <c r="N3999" t="s">
        <v>8</v>
      </c>
      <c r="O3999" t="s">
        <v>844</v>
      </c>
      <c r="P3999" t="s">
        <v>29</v>
      </c>
      <c r="Q3999" t="s">
        <v>30</v>
      </c>
      <c r="R3999" t="s">
        <v>60</v>
      </c>
      <c r="S3999" t="s">
        <v>61</v>
      </c>
      <c r="T3999" t="s">
        <v>1392</v>
      </c>
      <c r="U3999" t="s">
        <v>34</v>
      </c>
      <c r="V3999">
        <v>932.11</v>
      </c>
    </row>
    <row r="4000" spans="1:22" x14ac:dyDescent="0.3">
      <c r="A4000" t="s">
        <v>5481</v>
      </c>
      <c r="B4000" s="2">
        <v>46056</v>
      </c>
      <c r="C4000" t="s">
        <v>1164</v>
      </c>
      <c r="D4000" t="s">
        <v>70</v>
      </c>
      <c r="E4000" t="s">
        <v>108</v>
      </c>
      <c r="F4000">
        <v>2</v>
      </c>
      <c r="G4000">
        <v>0.3</v>
      </c>
      <c r="H4000">
        <v>6300</v>
      </c>
      <c r="I4000">
        <v>1619.29</v>
      </c>
      <c r="J4000" t="s">
        <v>39</v>
      </c>
      <c r="K4000" t="s">
        <v>40</v>
      </c>
      <c r="L4000">
        <v>3150</v>
      </c>
      <c r="M4000">
        <v>25.703015873015872</v>
      </c>
      <c r="N4000" t="s">
        <v>8</v>
      </c>
      <c r="O4000" t="s">
        <v>284</v>
      </c>
      <c r="P4000" t="s">
        <v>29</v>
      </c>
      <c r="Q4000" t="s">
        <v>30</v>
      </c>
      <c r="R4000" t="s">
        <v>98</v>
      </c>
      <c r="S4000" t="s">
        <v>54</v>
      </c>
      <c r="T4000" t="s">
        <v>1165</v>
      </c>
      <c r="U4000" t="s">
        <v>105</v>
      </c>
      <c r="V4000">
        <v>809.64499999999998</v>
      </c>
    </row>
    <row r="4001" spans="1:22" x14ac:dyDescent="0.3">
      <c r="A4001" t="s">
        <v>5482</v>
      </c>
      <c r="B4001" s="2">
        <v>46115</v>
      </c>
      <c r="C4001" t="s">
        <v>1700</v>
      </c>
      <c r="D4001" t="s">
        <v>24</v>
      </c>
      <c r="E4001" t="s">
        <v>242</v>
      </c>
      <c r="F4001">
        <v>4</v>
      </c>
      <c r="G4001">
        <v>0.3</v>
      </c>
      <c r="H4001">
        <v>1260</v>
      </c>
      <c r="I4001">
        <v>54.97</v>
      </c>
      <c r="J4001" t="s">
        <v>39</v>
      </c>
      <c r="K4001" t="s">
        <v>40</v>
      </c>
      <c r="L4001">
        <v>315</v>
      </c>
      <c r="M4001">
        <v>4.3626984126984123</v>
      </c>
      <c r="N4001" t="s">
        <v>8</v>
      </c>
      <c r="O4001" t="s">
        <v>1009</v>
      </c>
      <c r="P4001" t="s">
        <v>73</v>
      </c>
      <c r="Q4001" t="s">
        <v>30</v>
      </c>
      <c r="R4001" t="s">
        <v>53</v>
      </c>
      <c r="S4001" t="s">
        <v>54</v>
      </c>
      <c r="T4001" t="s">
        <v>172</v>
      </c>
      <c r="U4001" t="s">
        <v>34</v>
      </c>
      <c r="V4001">
        <v>13.7425</v>
      </c>
    </row>
    <row r="4002" spans="1:22" x14ac:dyDescent="0.3">
      <c r="A4002" t="s">
        <v>5483</v>
      </c>
      <c r="B4002" s="2">
        <v>45894</v>
      </c>
      <c r="C4002" t="s">
        <v>481</v>
      </c>
      <c r="D4002" t="s">
        <v>24</v>
      </c>
      <c r="E4002" t="s">
        <v>25</v>
      </c>
      <c r="F4002">
        <v>1</v>
      </c>
      <c r="G4002">
        <v>0</v>
      </c>
      <c r="H4002">
        <v>14000</v>
      </c>
      <c r="I4002">
        <v>2800</v>
      </c>
      <c r="J4002" t="s">
        <v>26</v>
      </c>
      <c r="K4002" t="s">
        <v>40</v>
      </c>
      <c r="L4002">
        <v>14000</v>
      </c>
      <c r="M4002">
        <v>20</v>
      </c>
      <c r="N4002" t="s">
        <v>8</v>
      </c>
      <c r="O4002" t="s">
        <v>482</v>
      </c>
      <c r="P4002" t="s">
        <v>83</v>
      </c>
      <c r="Q4002" t="s">
        <v>30</v>
      </c>
      <c r="R4002" t="s">
        <v>31</v>
      </c>
      <c r="S4002" t="s">
        <v>32</v>
      </c>
      <c r="T4002" t="s">
        <v>483</v>
      </c>
      <c r="U4002" t="s">
        <v>46</v>
      </c>
      <c r="V4002">
        <v>2800</v>
      </c>
    </row>
    <row r="4003" spans="1:22" x14ac:dyDescent="0.3">
      <c r="A4003" t="s">
        <v>5484</v>
      </c>
      <c r="B4003" s="2">
        <v>46222</v>
      </c>
      <c r="C4003" t="s">
        <v>1120</v>
      </c>
      <c r="D4003" t="s">
        <v>70</v>
      </c>
      <c r="E4003" t="s">
        <v>129</v>
      </c>
      <c r="F4003">
        <v>3</v>
      </c>
      <c r="G4003">
        <v>0.1</v>
      </c>
      <c r="H4003">
        <v>148500</v>
      </c>
      <c r="I4003">
        <v>13940.5</v>
      </c>
      <c r="J4003" t="s">
        <v>65</v>
      </c>
      <c r="K4003" t="s">
        <v>40</v>
      </c>
      <c r="L4003">
        <v>49500</v>
      </c>
      <c r="M4003">
        <v>9.3875420875420872</v>
      </c>
      <c r="N4003" t="s">
        <v>8</v>
      </c>
      <c r="O4003" t="s">
        <v>1121</v>
      </c>
      <c r="P4003" t="s">
        <v>73</v>
      </c>
      <c r="Q4003" t="s">
        <v>74</v>
      </c>
      <c r="R4003" t="s">
        <v>493</v>
      </c>
      <c r="S4003" t="s">
        <v>494</v>
      </c>
      <c r="T4003" t="s">
        <v>1122</v>
      </c>
      <c r="U4003" t="s">
        <v>34</v>
      </c>
      <c r="V4003">
        <v>4646.833333333333</v>
      </c>
    </row>
    <row r="4004" spans="1:22" x14ac:dyDescent="0.3">
      <c r="A4004" t="s">
        <v>5485</v>
      </c>
      <c r="B4004" s="2">
        <v>45927</v>
      </c>
      <c r="C4004" t="s">
        <v>225</v>
      </c>
      <c r="D4004" t="s">
        <v>24</v>
      </c>
      <c r="E4004" t="s">
        <v>92</v>
      </c>
      <c r="F4004">
        <v>3</v>
      </c>
      <c r="G4004">
        <v>0.15</v>
      </c>
      <c r="H4004">
        <v>2295</v>
      </c>
      <c r="I4004">
        <v>520.94000000000005</v>
      </c>
      <c r="J4004" t="s">
        <v>65</v>
      </c>
      <c r="K4004" t="s">
        <v>40</v>
      </c>
      <c r="L4004">
        <v>765</v>
      </c>
      <c r="M4004">
        <v>22.69891067538126</v>
      </c>
      <c r="N4004" t="s">
        <v>8</v>
      </c>
      <c r="O4004" t="s">
        <v>226</v>
      </c>
      <c r="P4004" t="s">
        <v>29</v>
      </c>
      <c r="Q4004" t="s">
        <v>30</v>
      </c>
      <c r="R4004" t="s">
        <v>31</v>
      </c>
      <c r="S4004" t="s">
        <v>32</v>
      </c>
      <c r="T4004" t="s">
        <v>227</v>
      </c>
      <c r="U4004" t="s">
        <v>100</v>
      </c>
      <c r="V4004">
        <v>173.6466666666667</v>
      </c>
    </row>
    <row r="4005" spans="1:22" x14ac:dyDescent="0.3">
      <c r="A4005" t="s">
        <v>5486</v>
      </c>
      <c r="B4005" s="2">
        <v>46025</v>
      </c>
      <c r="C4005" t="s">
        <v>1232</v>
      </c>
      <c r="D4005" t="s">
        <v>49</v>
      </c>
      <c r="E4005" t="s">
        <v>58</v>
      </c>
      <c r="F4005">
        <v>3</v>
      </c>
      <c r="G4005">
        <v>0.05</v>
      </c>
      <c r="H4005">
        <v>42750</v>
      </c>
      <c r="I4005">
        <v>9046.1200000000008</v>
      </c>
      <c r="J4005" t="s">
        <v>39</v>
      </c>
      <c r="K4005" t="s">
        <v>40</v>
      </c>
      <c r="L4005">
        <v>14250</v>
      </c>
      <c r="M4005">
        <v>21.160514619883038</v>
      </c>
      <c r="N4005" t="s">
        <v>8</v>
      </c>
      <c r="O4005" t="s">
        <v>1233</v>
      </c>
      <c r="P4005" t="s">
        <v>29</v>
      </c>
      <c r="Q4005" t="s">
        <v>74</v>
      </c>
      <c r="R4005" t="s">
        <v>237</v>
      </c>
      <c r="S4005" t="s">
        <v>238</v>
      </c>
      <c r="T4005" t="s">
        <v>1234</v>
      </c>
      <c r="U4005" t="s">
        <v>100</v>
      </c>
      <c r="V4005">
        <v>3015.373333333333</v>
      </c>
    </row>
    <row r="4006" spans="1:22" x14ac:dyDescent="0.3">
      <c r="A4006" t="s">
        <v>5487</v>
      </c>
      <c r="B4006" s="2">
        <v>46178</v>
      </c>
      <c r="C4006" t="s">
        <v>3002</v>
      </c>
      <c r="D4006" t="s">
        <v>70</v>
      </c>
      <c r="E4006" t="s">
        <v>108</v>
      </c>
      <c r="F4006">
        <v>4</v>
      </c>
      <c r="G4006">
        <v>0</v>
      </c>
      <c r="H4006">
        <v>18000</v>
      </c>
      <c r="I4006">
        <v>6000</v>
      </c>
      <c r="J4006" t="s">
        <v>65</v>
      </c>
      <c r="K4006" t="s">
        <v>40</v>
      </c>
      <c r="L4006">
        <v>4500</v>
      </c>
      <c r="M4006">
        <v>33.333333333333329</v>
      </c>
      <c r="N4006" t="s">
        <v>8</v>
      </c>
      <c r="O4006" t="s">
        <v>3003</v>
      </c>
      <c r="P4006" t="s">
        <v>83</v>
      </c>
      <c r="Q4006" t="s">
        <v>42</v>
      </c>
      <c r="R4006" t="s">
        <v>121</v>
      </c>
      <c r="S4006" t="s">
        <v>44</v>
      </c>
      <c r="T4006" t="s">
        <v>3004</v>
      </c>
      <c r="U4006" t="s">
        <v>34</v>
      </c>
      <c r="V4006">
        <v>1500</v>
      </c>
    </row>
    <row r="4007" spans="1:22" x14ac:dyDescent="0.3">
      <c r="A4007" t="s">
        <v>5488</v>
      </c>
      <c r="B4007" s="2">
        <v>45864</v>
      </c>
      <c r="C4007" t="s">
        <v>834</v>
      </c>
      <c r="D4007" t="s">
        <v>24</v>
      </c>
      <c r="E4007" t="s">
        <v>242</v>
      </c>
      <c r="F4007">
        <v>3</v>
      </c>
      <c r="G4007">
        <v>0.1</v>
      </c>
      <c r="H4007">
        <v>1215</v>
      </c>
      <c r="I4007">
        <v>218.28</v>
      </c>
      <c r="J4007" t="s">
        <v>39</v>
      </c>
      <c r="K4007" t="s">
        <v>40</v>
      </c>
      <c r="L4007">
        <v>405</v>
      </c>
      <c r="M4007">
        <v>17.965432098765429</v>
      </c>
      <c r="N4007" t="s">
        <v>8</v>
      </c>
      <c r="O4007" t="s">
        <v>549</v>
      </c>
      <c r="P4007" t="s">
        <v>29</v>
      </c>
      <c r="Q4007" t="s">
        <v>74</v>
      </c>
      <c r="R4007" t="s">
        <v>115</v>
      </c>
      <c r="S4007" t="s">
        <v>115</v>
      </c>
      <c r="T4007" t="s">
        <v>835</v>
      </c>
      <c r="U4007" t="s">
        <v>34</v>
      </c>
      <c r="V4007">
        <v>72.760000000000005</v>
      </c>
    </row>
    <row r="4008" spans="1:22" x14ac:dyDescent="0.3">
      <c r="A4008" t="s">
        <v>5489</v>
      </c>
      <c r="B4008" s="2">
        <v>46241</v>
      </c>
      <c r="C4008" t="s">
        <v>2925</v>
      </c>
      <c r="D4008" t="s">
        <v>49</v>
      </c>
      <c r="E4008" t="s">
        <v>50</v>
      </c>
      <c r="F4008">
        <v>2</v>
      </c>
      <c r="G4008">
        <v>0</v>
      </c>
      <c r="H4008">
        <v>26000</v>
      </c>
      <c r="I4008">
        <v>6400</v>
      </c>
      <c r="J4008" t="s">
        <v>39</v>
      </c>
      <c r="K4008" t="s">
        <v>27</v>
      </c>
      <c r="L4008">
        <v>13000</v>
      </c>
      <c r="M4008">
        <v>24.61538461538462</v>
      </c>
      <c r="N4008" t="s">
        <v>8</v>
      </c>
      <c r="O4008" t="s">
        <v>1117</v>
      </c>
      <c r="P4008" t="s">
        <v>29</v>
      </c>
      <c r="Q4008" t="s">
        <v>74</v>
      </c>
      <c r="R4008" t="s">
        <v>493</v>
      </c>
      <c r="S4008" t="s">
        <v>494</v>
      </c>
      <c r="T4008" t="s">
        <v>395</v>
      </c>
      <c r="U4008" t="s">
        <v>105</v>
      </c>
      <c r="V4008">
        <v>3200</v>
      </c>
    </row>
    <row r="4009" spans="1:22" x14ac:dyDescent="0.3">
      <c r="A4009" t="s">
        <v>5490</v>
      </c>
      <c r="B4009" s="2">
        <v>46126</v>
      </c>
      <c r="C4009" t="s">
        <v>566</v>
      </c>
      <c r="D4009" t="s">
        <v>37</v>
      </c>
      <c r="E4009" t="s">
        <v>170</v>
      </c>
      <c r="F4009">
        <v>2</v>
      </c>
      <c r="G4009">
        <v>0.05</v>
      </c>
      <c r="H4009">
        <v>2660</v>
      </c>
      <c r="I4009">
        <v>890.92</v>
      </c>
      <c r="J4009" t="s">
        <v>39</v>
      </c>
      <c r="K4009" t="s">
        <v>27</v>
      </c>
      <c r="L4009">
        <v>1330</v>
      </c>
      <c r="M4009">
        <v>33.493233082706773</v>
      </c>
      <c r="N4009" t="s">
        <v>8</v>
      </c>
      <c r="O4009" t="s">
        <v>567</v>
      </c>
      <c r="P4009" t="s">
        <v>29</v>
      </c>
      <c r="Q4009" t="s">
        <v>131</v>
      </c>
      <c r="R4009" t="s">
        <v>289</v>
      </c>
      <c r="S4009" t="s">
        <v>290</v>
      </c>
      <c r="T4009" t="s">
        <v>568</v>
      </c>
      <c r="U4009" t="s">
        <v>46</v>
      </c>
      <c r="V4009">
        <v>445.46</v>
      </c>
    </row>
    <row r="4010" spans="1:22" x14ac:dyDescent="0.3">
      <c r="A4010" t="s">
        <v>5491</v>
      </c>
      <c r="B4010" s="2">
        <v>46239</v>
      </c>
      <c r="C4010" t="s">
        <v>1812</v>
      </c>
      <c r="D4010" t="s">
        <v>70</v>
      </c>
      <c r="E4010" t="s">
        <v>71</v>
      </c>
      <c r="F4010">
        <v>1</v>
      </c>
      <c r="G4010">
        <v>0.2</v>
      </c>
      <c r="H4010">
        <v>14400</v>
      </c>
      <c r="I4010">
        <v>822.98</v>
      </c>
      <c r="J4010" t="s">
        <v>51</v>
      </c>
      <c r="K4010" t="s">
        <v>40</v>
      </c>
      <c r="L4010">
        <v>14400</v>
      </c>
      <c r="M4010">
        <v>5.7151388888888892</v>
      </c>
      <c r="N4010" t="s">
        <v>8</v>
      </c>
      <c r="O4010" t="s">
        <v>1813</v>
      </c>
      <c r="P4010" t="s">
        <v>83</v>
      </c>
      <c r="Q4010" t="s">
        <v>30</v>
      </c>
      <c r="R4010" t="s">
        <v>98</v>
      </c>
      <c r="S4010" t="s">
        <v>54</v>
      </c>
      <c r="T4010" t="s">
        <v>1089</v>
      </c>
      <c r="U4010" t="s">
        <v>34</v>
      </c>
      <c r="V4010">
        <v>822.98</v>
      </c>
    </row>
    <row r="4011" spans="1:22" x14ac:dyDescent="0.3">
      <c r="A4011" t="s">
        <v>5492</v>
      </c>
      <c r="B4011" s="2">
        <v>46248</v>
      </c>
      <c r="C4011" t="s">
        <v>1812</v>
      </c>
      <c r="D4011" t="s">
        <v>24</v>
      </c>
      <c r="E4011" t="s">
        <v>25</v>
      </c>
      <c r="F4011">
        <v>3</v>
      </c>
      <c r="G4011">
        <v>0.2</v>
      </c>
      <c r="H4011">
        <v>33600</v>
      </c>
      <c r="I4011">
        <v>4170.0200000000004</v>
      </c>
      <c r="J4011" t="s">
        <v>65</v>
      </c>
      <c r="K4011" t="s">
        <v>40</v>
      </c>
      <c r="L4011">
        <v>11200</v>
      </c>
      <c r="M4011">
        <v>12.41077380952381</v>
      </c>
      <c r="N4011" t="s">
        <v>8</v>
      </c>
      <c r="O4011" t="s">
        <v>1813</v>
      </c>
      <c r="P4011" t="s">
        <v>83</v>
      </c>
      <c r="Q4011" t="s">
        <v>30</v>
      </c>
      <c r="R4011" t="s">
        <v>98</v>
      </c>
      <c r="S4011" t="s">
        <v>54</v>
      </c>
      <c r="T4011" t="s">
        <v>1089</v>
      </c>
      <c r="U4011" t="s">
        <v>34</v>
      </c>
      <c r="V4011">
        <v>1390.0066666666669</v>
      </c>
    </row>
    <row r="4012" spans="1:22" x14ac:dyDescent="0.3">
      <c r="A4012" t="s">
        <v>5493</v>
      </c>
      <c r="B4012" s="2">
        <v>46201</v>
      </c>
      <c r="C4012" t="s">
        <v>2424</v>
      </c>
      <c r="D4012" t="s">
        <v>37</v>
      </c>
      <c r="E4012" t="s">
        <v>38</v>
      </c>
      <c r="F4012">
        <v>4</v>
      </c>
      <c r="G4012">
        <v>0.05</v>
      </c>
      <c r="H4012">
        <v>6840</v>
      </c>
      <c r="I4012">
        <v>2375.64</v>
      </c>
      <c r="J4012" t="s">
        <v>26</v>
      </c>
      <c r="K4012" t="s">
        <v>40</v>
      </c>
      <c r="L4012">
        <v>1710</v>
      </c>
      <c r="M4012">
        <v>34.731578947368419</v>
      </c>
      <c r="N4012" t="s">
        <v>8</v>
      </c>
      <c r="O4012" t="s">
        <v>1668</v>
      </c>
      <c r="P4012" t="s">
        <v>29</v>
      </c>
      <c r="Q4012" t="s">
        <v>42</v>
      </c>
      <c r="R4012" t="s">
        <v>43</v>
      </c>
      <c r="S4012" t="s">
        <v>44</v>
      </c>
      <c r="T4012" t="s">
        <v>2425</v>
      </c>
      <c r="U4012" t="s">
        <v>100</v>
      </c>
      <c r="V4012">
        <v>593.91</v>
      </c>
    </row>
    <row r="4013" spans="1:22" x14ac:dyDescent="0.3">
      <c r="A4013" t="s">
        <v>5494</v>
      </c>
      <c r="B4013" s="2">
        <v>46151</v>
      </c>
      <c r="C4013" t="s">
        <v>393</v>
      </c>
      <c r="D4013" t="s">
        <v>24</v>
      </c>
      <c r="E4013" t="s">
        <v>87</v>
      </c>
      <c r="F4013">
        <v>2</v>
      </c>
      <c r="G4013">
        <v>0.1</v>
      </c>
      <c r="H4013">
        <v>630</v>
      </c>
      <c r="I4013">
        <v>191.35</v>
      </c>
      <c r="J4013" t="s">
        <v>26</v>
      </c>
      <c r="K4013" t="s">
        <v>40</v>
      </c>
      <c r="L4013">
        <v>315</v>
      </c>
      <c r="M4013">
        <v>30.37301587301587</v>
      </c>
      <c r="N4013" t="s">
        <v>8</v>
      </c>
      <c r="O4013" t="s">
        <v>394</v>
      </c>
      <c r="P4013" t="s">
        <v>73</v>
      </c>
      <c r="Q4013" t="s">
        <v>131</v>
      </c>
      <c r="R4013" t="s">
        <v>200</v>
      </c>
      <c r="S4013" t="s">
        <v>201</v>
      </c>
      <c r="T4013" t="s">
        <v>395</v>
      </c>
      <c r="U4013" t="s">
        <v>46</v>
      </c>
      <c r="V4013">
        <v>95.674999999999997</v>
      </c>
    </row>
    <row r="4014" spans="1:22" x14ac:dyDescent="0.3">
      <c r="A4014" t="s">
        <v>5495</v>
      </c>
      <c r="B4014" s="2">
        <v>46255</v>
      </c>
      <c r="C4014" t="s">
        <v>2278</v>
      </c>
      <c r="D4014" t="s">
        <v>49</v>
      </c>
      <c r="E4014" t="s">
        <v>50</v>
      </c>
      <c r="F4014">
        <v>5</v>
      </c>
      <c r="G4014">
        <v>0.2</v>
      </c>
      <c r="H4014">
        <v>52000</v>
      </c>
      <c r="I4014">
        <v>-31265.41</v>
      </c>
      <c r="J4014" t="s">
        <v>39</v>
      </c>
      <c r="K4014" t="s">
        <v>434</v>
      </c>
      <c r="L4014">
        <v>10400</v>
      </c>
      <c r="M4014">
        <v>-60.125788461538463</v>
      </c>
      <c r="N4014" t="s">
        <v>81</v>
      </c>
      <c r="O4014" t="s">
        <v>470</v>
      </c>
      <c r="P4014" t="s">
        <v>29</v>
      </c>
      <c r="Q4014" t="s">
        <v>30</v>
      </c>
      <c r="R4014" t="s">
        <v>98</v>
      </c>
      <c r="S4014" t="s">
        <v>54</v>
      </c>
      <c r="T4014" t="s">
        <v>2279</v>
      </c>
      <c r="U4014" t="s">
        <v>105</v>
      </c>
      <c r="V4014">
        <v>-6253.0820000000003</v>
      </c>
    </row>
    <row r="4015" spans="1:22" x14ac:dyDescent="0.3">
      <c r="A4015" t="s">
        <v>5496</v>
      </c>
      <c r="B4015" s="2">
        <v>46015</v>
      </c>
      <c r="C4015" t="s">
        <v>3077</v>
      </c>
      <c r="D4015" t="s">
        <v>24</v>
      </c>
      <c r="E4015" t="s">
        <v>242</v>
      </c>
      <c r="F4015">
        <v>1</v>
      </c>
      <c r="G4015">
        <v>0</v>
      </c>
      <c r="H4015">
        <v>450</v>
      </c>
      <c r="I4015">
        <v>-19.739999999999998</v>
      </c>
      <c r="J4015" t="s">
        <v>51</v>
      </c>
      <c r="K4015" t="s">
        <v>434</v>
      </c>
      <c r="L4015">
        <v>450</v>
      </c>
      <c r="M4015">
        <v>-4.3866666666666667</v>
      </c>
      <c r="N4015" t="s">
        <v>81</v>
      </c>
      <c r="O4015" t="s">
        <v>3078</v>
      </c>
      <c r="P4015" t="s">
        <v>83</v>
      </c>
      <c r="Q4015" t="s">
        <v>42</v>
      </c>
      <c r="R4015" t="s">
        <v>214</v>
      </c>
      <c r="S4015" t="s">
        <v>111</v>
      </c>
      <c r="T4015" t="s">
        <v>3079</v>
      </c>
      <c r="U4015" t="s">
        <v>46</v>
      </c>
      <c r="V4015">
        <v>-19.739999999999998</v>
      </c>
    </row>
    <row r="4016" spans="1:22" x14ac:dyDescent="0.3">
      <c r="A4016" t="s">
        <v>5497</v>
      </c>
      <c r="B4016" s="2">
        <v>45928</v>
      </c>
      <c r="C4016" t="s">
        <v>678</v>
      </c>
      <c r="D4016" t="s">
        <v>70</v>
      </c>
      <c r="E4016" t="s">
        <v>165</v>
      </c>
      <c r="F4016">
        <v>3</v>
      </c>
      <c r="G4016">
        <v>0.15</v>
      </c>
      <c r="H4016">
        <v>6375</v>
      </c>
      <c r="I4016">
        <v>1774.11</v>
      </c>
      <c r="J4016" t="s">
        <v>51</v>
      </c>
      <c r="K4016" t="s">
        <v>40</v>
      </c>
      <c r="L4016">
        <v>2125</v>
      </c>
      <c r="M4016">
        <v>27.82917647058823</v>
      </c>
      <c r="N4016" t="s">
        <v>8</v>
      </c>
      <c r="O4016" t="s">
        <v>657</v>
      </c>
      <c r="P4016" t="s">
        <v>83</v>
      </c>
      <c r="Q4016" t="s">
        <v>30</v>
      </c>
      <c r="R4016" t="s">
        <v>31</v>
      </c>
      <c r="S4016" t="s">
        <v>32</v>
      </c>
      <c r="T4016" t="s">
        <v>679</v>
      </c>
      <c r="U4016" t="s">
        <v>100</v>
      </c>
      <c r="V4016">
        <v>591.37</v>
      </c>
    </row>
    <row r="4017" spans="1:22" x14ac:dyDescent="0.3">
      <c r="A4017" t="s">
        <v>5498</v>
      </c>
      <c r="B4017" s="2">
        <v>46221</v>
      </c>
      <c r="C4017" t="s">
        <v>878</v>
      </c>
      <c r="D4017" t="s">
        <v>49</v>
      </c>
      <c r="E4017" t="s">
        <v>58</v>
      </c>
      <c r="F4017">
        <v>4</v>
      </c>
      <c r="G4017">
        <v>0.1</v>
      </c>
      <c r="H4017">
        <v>54000</v>
      </c>
      <c r="I4017">
        <v>9595.35</v>
      </c>
      <c r="J4017" t="s">
        <v>51</v>
      </c>
      <c r="K4017" t="s">
        <v>27</v>
      </c>
      <c r="L4017">
        <v>13500</v>
      </c>
      <c r="M4017">
        <v>17.769166666666671</v>
      </c>
      <c r="N4017" t="s">
        <v>8</v>
      </c>
      <c r="O4017" t="s">
        <v>879</v>
      </c>
      <c r="P4017" t="s">
        <v>83</v>
      </c>
      <c r="Q4017" t="s">
        <v>30</v>
      </c>
      <c r="R4017" t="s">
        <v>98</v>
      </c>
      <c r="S4017" t="s">
        <v>54</v>
      </c>
      <c r="T4017" t="s">
        <v>880</v>
      </c>
      <c r="U4017" t="s">
        <v>46</v>
      </c>
      <c r="V4017">
        <v>2398.8375000000001</v>
      </c>
    </row>
    <row r="4018" spans="1:22" x14ac:dyDescent="0.3">
      <c r="A4018" t="s">
        <v>5499</v>
      </c>
      <c r="B4018" s="2">
        <v>46183</v>
      </c>
      <c r="C4018" t="s">
        <v>1164</v>
      </c>
      <c r="D4018" t="s">
        <v>24</v>
      </c>
      <c r="E4018" t="s">
        <v>25</v>
      </c>
      <c r="F4018">
        <v>1</v>
      </c>
      <c r="G4018">
        <v>0</v>
      </c>
      <c r="H4018">
        <v>14000</v>
      </c>
      <c r="I4018">
        <v>2800</v>
      </c>
      <c r="J4018" t="s">
        <v>39</v>
      </c>
      <c r="K4018" t="s">
        <v>40</v>
      </c>
      <c r="L4018">
        <v>14000</v>
      </c>
      <c r="M4018">
        <v>20</v>
      </c>
      <c r="N4018" t="s">
        <v>8</v>
      </c>
      <c r="O4018" t="s">
        <v>284</v>
      </c>
      <c r="P4018" t="s">
        <v>29</v>
      </c>
      <c r="Q4018" t="s">
        <v>30</v>
      </c>
      <c r="R4018" t="s">
        <v>98</v>
      </c>
      <c r="S4018" t="s">
        <v>54</v>
      </c>
      <c r="T4018" t="s">
        <v>1165</v>
      </c>
      <c r="U4018" t="s">
        <v>105</v>
      </c>
      <c r="V4018">
        <v>2800</v>
      </c>
    </row>
    <row r="4019" spans="1:22" x14ac:dyDescent="0.3">
      <c r="A4019" t="s">
        <v>5500</v>
      </c>
      <c r="B4019" s="2">
        <v>46116</v>
      </c>
      <c r="C4019" t="s">
        <v>1533</v>
      </c>
      <c r="D4019" t="s">
        <v>49</v>
      </c>
      <c r="E4019" t="s">
        <v>119</v>
      </c>
      <c r="F4019">
        <v>3</v>
      </c>
      <c r="G4019">
        <v>0.1</v>
      </c>
      <c r="H4019">
        <v>24300</v>
      </c>
      <c r="I4019">
        <v>-13730.09</v>
      </c>
      <c r="J4019" t="s">
        <v>51</v>
      </c>
      <c r="K4019" t="s">
        <v>434</v>
      </c>
      <c r="L4019">
        <v>8100</v>
      </c>
      <c r="M4019">
        <v>-56.502427983539093</v>
      </c>
      <c r="N4019" t="s">
        <v>81</v>
      </c>
      <c r="O4019" t="s">
        <v>1534</v>
      </c>
      <c r="P4019" t="s">
        <v>83</v>
      </c>
      <c r="Q4019" t="s">
        <v>42</v>
      </c>
      <c r="R4019" t="s">
        <v>110</v>
      </c>
      <c r="S4019" t="s">
        <v>111</v>
      </c>
      <c r="T4019" t="s">
        <v>503</v>
      </c>
      <c r="U4019" t="s">
        <v>46</v>
      </c>
      <c r="V4019">
        <v>-4576.6966666666667</v>
      </c>
    </row>
    <row r="4020" spans="1:22" x14ac:dyDescent="0.3">
      <c r="A4020" t="s">
        <v>5501</v>
      </c>
      <c r="B4020" s="2">
        <v>46225</v>
      </c>
      <c r="C4020" t="s">
        <v>189</v>
      </c>
      <c r="D4020" t="s">
        <v>70</v>
      </c>
      <c r="E4020" t="s">
        <v>108</v>
      </c>
      <c r="F4020">
        <v>1</v>
      </c>
      <c r="G4020">
        <v>0.05</v>
      </c>
      <c r="H4020">
        <v>4275</v>
      </c>
      <c r="I4020">
        <v>1321.85</v>
      </c>
      <c r="J4020" t="s">
        <v>39</v>
      </c>
      <c r="K4020" t="s">
        <v>40</v>
      </c>
      <c r="L4020">
        <v>4275</v>
      </c>
      <c r="M4020">
        <v>30.920467836257309</v>
      </c>
      <c r="N4020" t="s">
        <v>8</v>
      </c>
      <c r="O4020" t="s">
        <v>191</v>
      </c>
      <c r="P4020" t="s">
        <v>29</v>
      </c>
      <c r="Q4020" t="s">
        <v>30</v>
      </c>
      <c r="R4020" t="s">
        <v>31</v>
      </c>
      <c r="S4020" t="s">
        <v>32</v>
      </c>
      <c r="T4020" t="s">
        <v>192</v>
      </c>
      <c r="U4020" t="s">
        <v>34</v>
      </c>
      <c r="V4020">
        <v>1321.85</v>
      </c>
    </row>
    <row r="4021" spans="1:22" x14ac:dyDescent="0.3">
      <c r="A4021" t="s">
        <v>5502</v>
      </c>
      <c r="B4021" s="2">
        <v>45877</v>
      </c>
      <c r="C4021" t="s">
        <v>348</v>
      </c>
      <c r="D4021" t="s">
        <v>37</v>
      </c>
      <c r="E4021" t="s">
        <v>310</v>
      </c>
      <c r="F4021">
        <v>4</v>
      </c>
      <c r="G4021">
        <v>0</v>
      </c>
      <c r="H4021">
        <v>8800</v>
      </c>
      <c r="I4021">
        <v>3000</v>
      </c>
      <c r="J4021" t="s">
        <v>65</v>
      </c>
      <c r="K4021" t="s">
        <v>40</v>
      </c>
      <c r="L4021">
        <v>2200</v>
      </c>
      <c r="M4021">
        <v>34.090909090909093</v>
      </c>
      <c r="N4021" t="s">
        <v>8</v>
      </c>
      <c r="O4021" t="s">
        <v>349</v>
      </c>
      <c r="P4021" t="s">
        <v>83</v>
      </c>
      <c r="Q4021" t="s">
        <v>30</v>
      </c>
      <c r="R4021" t="s">
        <v>31</v>
      </c>
      <c r="S4021" t="s">
        <v>32</v>
      </c>
      <c r="T4021" t="s">
        <v>307</v>
      </c>
      <c r="U4021" t="s">
        <v>100</v>
      </c>
      <c r="V4021">
        <v>750</v>
      </c>
    </row>
    <row r="4022" spans="1:22" x14ac:dyDescent="0.3">
      <c r="A4022" t="s">
        <v>5503</v>
      </c>
      <c r="B4022" s="2">
        <v>45974</v>
      </c>
      <c r="C4022" t="s">
        <v>3024</v>
      </c>
      <c r="D4022" t="s">
        <v>70</v>
      </c>
      <c r="E4022" t="s">
        <v>129</v>
      </c>
      <c r="F4022">
        <v>1</v>
      </c>
      <c r="G4022">
        <v>0.05</v>
      </c>
      <c r="H4022">
        <v>52250</v>
      </c>
      <c r="I4022">
        <v>7079.5</v>
      </c>
      <c r="J4022" t="s">
        <v>65</v>
      </c>
      <c r="K4022" t="s">
        <v>40</v>
      </c>
      <c r="L4022">
        <v>52250</v>
      </c>
      <c r="M4022">
        <v>13.54928229665072</v>
      </c>
      <c r="N4022" t="s">
        <v>8</v>
      </c>
      <c r="O4022" t="s">
        <v>1466</v>
      </c>
      <c r="P4022" t="s">
        <v>29</v>
      </c>
      <c r="Q4022" t="s">
        <v>42</v>
      </c>
      <c r="R4022" t="s">
        <v>214</v>
      </c>
      <c r="S4022" t="s">
        <v>111</v>
      </c>
      <c r="T4022" t="s">
        <v>2425</v>
      </c>
      <c r="U4022" t="s">
        <v>34</v>
      </c>
      <c r="V4022">
        <v>7079.5</v>
      </c>
    </row>
    <row r="4023" spans="1:22" x14ac:dyDescent="0.3">
      <c r="A4023" t="s">
        <v>5504</v>
      </c>
      <c r="B4023" s="2">
        <v>46066</v>
      </c>
      <c r="C4023" t="s">
        <v>1568</v>
      </c>
      <c r="D4023" t="s">
        <v>24</v>
      </c>
      <c r="E4023" t="s">
        <v>92</v>
      </c>
      <c r="F4023">
        <v>1</v>
      </c>
      <c r="G4023">
        <v>0.1</v>
      </c>
      <c r="H4023">
        <v>810</v>
      </c>
      <c r="I4023">
        <v>233.93</v>
      </c>
      <c r="J4023" t="s">
        <v>26</v>
      </c>
      <c r="K4023" t="s">
        <v>40</v>
      </c>
      <c r="L4023">
        <v>810</v>
      </c>
      <c r="M4023">
        <v>28.880246913580251</v>
      </c>
      <c r="N4023" t="s">
        <v>8</v>
      </c>
      <c r="O4023" t="s">
        <v>1569</v>
      </c>
      <c r="P4023" t="s">
        <v>83</v>
      </c>
      <c r="Q4023" t="s">
        <v>42</v>
      </c>
      <c r="R4023" t="s">
        <v>121</v>
      </c>
      <c r="S4023" t="s">
        <v>44</v>
      </c>
      <c r="T4023" t="s">
        <v>1570</v>
      </c>
      <c r="U4023" t="s">
        <v>46</v>
      </c>
      <c r="V4023">
        <v>233.93</v>
      </c>
    </row>
    <row r="4024" spans="1:22" x14ac:dyDescent="0.3">
      <c r="A4024" t="s">
        <v>5505</v>
      </c>
      <c r="B4024" s="2">
        <v>46135</v>
      </c>
      <c r="C4024" t="s">
        <v>1901</v>
      </c>
      <c r="D4024" t="s">
        <v>49</v>
      </c>
      <c r="E4024" t="s">
        <v>79</v>
      </c>
      <c r="F4024">
        <v>2</v>
      </c>
      <c r="G4024">
        <v>0.05</v>
      </c>
      <c r="H4024">
        <v>20900</v>
      </c>
      <c r="I4024">
        <v>4366.17</v>
      </c>
      <c r="J4024" t="s">
        <v>26</v>
      </c>
      <c r="K4024" t="s">
        <v>40</v>
      </c>
      <c r="L4024">
        <v>10450</v>
      </c>
      <c r="M4024">
        <v>20.89076555023923</v>
      </c>
      <c r="N4024" t="s">
        <v>8</v>
      </c>
      <c r="O4024" t="s">
        <v>1902</v>
      </c>
      <c r="P4024" t="s">
        <v>83</v>
      </c>
      <c r="Q4024" t="s">
        <v>42</v>
      </c>
      <c r="R4024" t="s">
        <v>121</v>
      </c>
      <c r="S4024" t="s">
        <v>44</v>
      </c>
      <c r="T4024" t="s">
        <v>1051</v>
      </c>
      <c r="U4024" t="s">
        <v>100</v>
      </c>
      <c r="V4024">
        <v>2183.085</v>
      </c>
    </row>
    <row r="4025" spans="1:22" x14ac:dyDescent="0.3">
      <c r="A4025" t="s">
        <v>5506</v>
      </c>
      <c r="B4025" s="2">
        <v>45991</v>
      </c>
      <c r="C4025" t="s">
        <v>1648</v>
      </c>
      <c r="D4025" t="s">
        <v>49</v>
      </c>
      <c r="E4025" t="s">
        <v>79</v>
      </c>
      <c r="F4025">
        <v>2</v>
      </c>
      <c r="G4025">
        <v>0.15</v>
      </c>
      <c r="H4025">
        <v>18700</v>
      </c>
      <c r="I4025">
        <v>3642.06</v>
      </c>
      <c r="J4025" t="s">
        <v>65</v>
      </c>
      <c r="K4025" t="s">
        <v>40</v>
      </c>
      <c r="L4025">
        <v>9350</v>
      </c>
      <c r="M4025">
        <v>19.476256684491979</v>
      </c>
      <c r="N4025" t="s">
        <v>8</v>
      </c>
      <c r="O4025" t="s">
        <v>1649</v>
      </c>
      <c r="P4025" t="s">
        <v>73</v>
      </c>
      <c r="Q4025" t="s">
        <v>30</v>
      </c>
      <c r="R4025" t="s">
        <v>98</v>
      </c>
      <c r="S4025" t="s">
        <v>54</v>
      </c>
      <c r="T4025" t="s">
        <v>1650</v>
      </c>
      <c r="U4025" t="s">
        <v>34</v>
      </c>
      <c r="V4025">
        <v>1821.03</v>
      </c>
    </row>
    <row r="4026" spans="1:22" x14ac:dyDescent="0.3">
      <c r="A4026" t="s">
        <v>5507</v>
      </c>
      <c r="B4026" s="2">
        <v>45862</v>
      </c>
      <c r="C4026" t="s">
        <v>481</v>
      </c>
      <c r="D4026" t="s">
        <v>24</v>
      </c>
      <c r="E4026" t="s">
        <v>92</v>
      </c>
      <c r="F4026">
        <v>1</v>
      </c>
      <c r="G4026">
        <v>0.05</v>
      </c>
      <c r="H4026">
        <v>855</v>
      </c>
      <c r="I4026">
        <v>-414.88</v>
      </c>
      <c r="J4026" t="s">
        <v>39</v>
      </c>
      <c r="K4026" t="s">
        <v>80</v>
      </c>
      <c r="L4026">
        <v>855</v>
      </c>
      <c r="M4026">
        <v>-48.523976608187127</v>
      </c>
      <c r="N4026" t="s">
        <v>81</v>
      </c>
      <c r="O4026" t="s">
        <v>482</v>
      </c>
      <c r="P4026" t="s">
        <v>83</v>
      </c>
      <c r="Q4026" t="s">
        <v>30</v>
      </c>
      <c r="R4026" t="s">
        <v>31</v>
      </c>
      <c r="S4026" t="s">
        <v>32</v>
      </c>
      <c r="T4026" t="s">
        <v>483</v>
      </c>
      <c r="U4026" t="s">
        <v>46</v>
      </c>
      <c r="V4026">
        <v>-414.88</v>
      </c>
    </row>
    <row r="4027" spans="1:22" x14ac:dyDescent="0.3">
      <c r="A4027" t="s">
        <v>5508</v>
      </c>
      <c r="B4027" s="2">
        <v>45913</v>
      </c>
      <c r="C4027" t="s">
        <v>2101</v>
      </c>
      <c r="D4027" t="s">
        <v>24</v>
      </c>
      <c r="E4027" t="s">
        <v>25</v>
      </c>
      <c r="F4027">
        <v>1</v>
      </c>
      <c r="G4027">
        <v>0.2</v>
      </c>
      <c r="H4027">
        <v>11200</v>
      </c>
      <c r="I4027">
        <v>-6888.27</v>
      </c>
      <c r="J4027" t="s">
        <v>65</v>
      </c>
      <c r="K4027" t="s">
        <v>434</v>
      </c>
      <c r="L4027">
        <v>11200</v>
      </c>
      <c r="M4027">
        <v>-61.502410714285723</v>
      </c>
      <c r="N4027" t="s">
        <v>81</v>
      </c>
      <c r="O4027" t="s">
        <v>2102</v>
      </c>
      <c r="P4027" t="s">
        <v>29</v>
      </c>
      <c r="Q4027" t="s">
        <v>131</v>
      </c>
      <c r="R4027" t="s">
        <v>289</v>
      </c>
      <c r="S4027" t="s">
        <v>290</v>
      </c>
      <c r="T4027" t="s">
        <v>2103</v>
      </c>
      <c r="U4027" t="s">
        <v>34</v>
      </c>
      <c r="V4027">
        <v>-6888.27</v>
      </c>
    </row>
    <row r="4028" spans="1:22" x14ac:dyDescent="0.3">
      <c r="A4028" t="s">
        <v>5509</v>
      </c>
      <c r="B4028" s="2">
        <v>46110</v>
      </c>
      <c r="C4028" t="s">
        <v>4906</v>
      </c>
      <c r="D4028" t="s">
        <v>24</v>
      </c>
      <c r="E4028" t="s">
        <v>25</v>
      </c>
      <c r="F4028">
        <v>3</v>
      </c>
      <c r="G4028">
        <v>0.05</v>
      </c>
      <c r="H4028">
        <v>39900</v>
      </c>
      <c r="I4028">
        <v>7373.6</v>
      </c>
      <c r="J4028" t="s">
        <v>39</v>
      </c>
      <c r="K4028" t="s">
        <v>40</v>
      </c>
      <c r="L4028">
        <v>13300</v>
      </c>
      <c r="M4028">
        <v>18.48020050125313</v>
      </c>
      <c r="N4028" t="s">
        <v>8</v>
      </c>
      <c r="O4028" t="s">
        <v>1695</v>
      </c>
      <c r="P4028" t="s">
        <v>83</v>
      </c>
      <c r="Q4028" t="s">
        <v>74</v>
      </c>
      <c r="R4028" t="s">
        <v>493</v>
      </c>
      <c r="S4028" t="s">
        <v>494</v>
      </c>
      <c r="T4028" t="s">
        <v>4907</v>
      </c>
      <c r="U4028" t="s">
        <v>46</v>
      </c>
      <c r="V4028">
        <v>2457.8666666666668</v>
      </c>
    </row>
    <row r="4029" spans="1:22" x14ac:dyDescent="0.3">
      <c r="A4029" t="s">
        <v>5510</v>
      </c>
      <c r="B4029" s="2">
        <v>45872</v>
      </c>
      <c r="C4029" t="s">
        <v>1143</v>
      </c>
      <c r="D4029" t="s">
        <v>70</v>
      </c>
      <c r="E4029" t="s">
        <v>108</v>
      </c>
      <c r="F4029">
        <v>3</v>
      </c>
      <c r="G4029">
        <v>0.2</v>
      </c>
      <c r="H4029">
        <v>10800</v>
      </c>
      <c r="I4029">
        <v>2267.5100000000002</v>
      </c>
      <c r="J4029" t="s">
        <v>51</v>
      </c>
      <c r="K4029" t="s">
        <v>40</v>
      </c>
      <c r="L4029">
        <v>3600</v>
      </c>
      <c r="M4029">
        <v>20.995462962962961</v>
      </c>
      <c r="N4029" t="s">
        <v>8</v>
      </c>
      <c r="O4029" t="s">
        <v>1144</v>
      </c>
      <c r="P4029" t="s">
        <v>29</v>
      </c>
      <c r="Q4029" t="s">
        <v>30</v>
      </c>
      <c r="R4029" t="s">
        <v>31</v>
      </c>
      <c r="S4029" t="s">
        <v>32</v>
      </c>
      <c r="T4029" t="s">
        <v>1145</v>
      </c>
      <c r="U4029" t="s">
        <v>100</v>
      </c>
      <c r="V4029">
        <v>755.8366666666667</v>
      </c>
    </row>
    <row r="4030" spans="1:22" x14ac:dyDescent="0.3">
      <c r="A4030" t="s">
        <v>5511</v>
      </c>
      <c r="B4030" s="2">
        <v>46068</v>
      </c>
      <c r="C4030" t="s">
        <v>438</v>
      </c>
      <c r="D4030" t="s">
        <v>49</v>
      </c>
      <c r="E4030" t="s">
        <v>50</v>
      </c>
      <c r="F4030">
        <v>6</v>
      </c>
      <c r="G4030">
        <v>0.2</v>
      </c>
      <c r="H4030">
        <v>62400</v>
      </c>
      <c r="I4030">
        <v>11495.28</v>
      </c>
      <c r="J4030" t="s">
        <v>51</v>
      </c>
      <c r="K4030" t="s">
        <v>40</v>
      </c>
      <c r="L4030">
        <v>10400</v>
      </c>
      <c r="M4030">
        <v>18.421923076923079</v>
      </c>
      <c r="N4030" t="s">
        <v>8</v>
      </c>
      <c r="O4030" t="s">
        <v>439</v>
      </c>
      <c r="P4030" t="s">
        <v>83</v>
      </c>
      <c r="Q4030" t="s">
        <v>30</v>
      </c>
      <c r="R4030" t="s">
        <v>98</v>
      </c>
      <c r="S4030" t="s">
        <v>54</v>
      </c>
      <c r="T4030" t="s">
        <v>440</v>
      </c>
      <c r="U4030" t="s">
        <v>34</v>
      </c>
      <c r="V4030">
        <v>1915.88</v>
      </c>
    </row>
    <row r="4031" spans="1:22" x14ac:dyDescent="0.3">
      <c r="A4031" t="s">
        <v>5512</v>
      </c>
      <c r="B4031" s="2">
        <v>45996</v>
      </c>
      <c r="C4031" t="s">
        <v>1529</v>
      </c>
      <c r="D4031" t="s">
        <v>37</v>
      </c>
      <c r="E4031" t="s">
        <v>170</v>
      </c>
      <c r="F4031">
        <v>4</v>
      </c>
      <c r="G4031">
        <v>0.2</v>
      </c>
      <c r="H4031">
        <v>4480</v>
      </c>
      <c r="I4031">
        <v>1101.69</v>
      </c>
      <c r="J4031" t="s">
        <v>26</v>
      </c>
      <c r="K4031" t="s">
        <v>40</v>
      </c>
      <c r="L4031">
        <v>1120</v>
      </c>
      <c r="M4031">
        <v>24.59129464285715</v>
      </c>
      <c r="N4031" t="s">
        <v>8</v>
      </c>
      <c r="O4031" t="s">
        <v>717</v>
      </c>
      <c r="P4031" t="s">
        <v>73</v>
      </c>
      <c r="Q4031" t="s">
        <v>131</v>
      </c>
      <c r="R4031" t="s">
        <v>132</v>
      </c>
      <c r="S4031" t="s">
        <v>133</v>
      </c>
      <c r="T4031" t="s">
        <v>1530</v>
      </c>
      <c r="U4031" t="s">
        <v>46</v>
      </c>
      <c r="V4031">
        <v>275.42250000000001</v>
      </c>
    </row>
    <row r="4032" spans="1:22" x14ac:dyDescent="0.3">
      <c r="A4032" t="s">
        <v>5513</v>
      </c>
      <c r="B4032" s="2">
        <v>46167</v>
      </c>
      <c r="C4032" t="s">
        <v>447</v>
      </c>
      <c r="D4032" t="s">
        <v>49</v>
      </c>
      <c r="E4032" t="s">
        <v>119</v>
      </c>
      <c r="F4032">
        <v>2</v>
      </c>
      <c r="G4032">
        <v>0.15</v>
      </c>
      <c r="H4032">
        <v>15300</v>
      </c>
      <c r="I4032">
        <v>-9223.2800000000007</v>
      </c>
      <c r="J4032" t="s">
        <v>26</v>
      </c>
      <c r="K4032" t="s">
        <v>434</v>
      </c>
      <c r="L4032">
        <v>7650</v>
      </c>
      <c r="M4032">
        <v>-60.282875816993467</v>
      </c>
      <c r="N4032" t="s">
        <v>81</v>
      </c>
      <c r="O4032" t="s">
        <v>448</v>
      </c>
      <c r="P4032" t="s">
        <v>29</v>
      </c>
      <c r="Q4032" t="s">
        <v>131</v>
      </c>
      <c r="R4032" t="s">
        <v>449</v>
      </c>
      <c r="S4032" t="s">
        <v>450</v>
      </c>
      <c r="T4032" t="s">
        <v>451</v>
      </c>
      <c r="U4032" t="s">
        <v>34</v>
      </c>
      <c r="V4032">
        <v>-4611.6400000000003</v>
      </c>
    </row>
    <row r="4033" spans="1:22" x14ac:dyDescent="0.3">
      <c r="A4033" t="s">
        <v>5514</v>
      </c>
      <c r="B4033" s="2">
        <v>45972</v>
      </c>
      <c r="C4033" t="s">
        <v>2670</v>
      </c>
      <c r="D4033" t="s">
        <v>70</v>
      </c>
      <c r="E4033" t="s">
        <v>165</v>
      </c>
      <c r="F4033">
        <v>1</v>
      </c>
      <c r="G4033">
        <v>0.1</v>
      </c>
      <c r="H4033">
        <v>2250</v>
      </c>
      <c r="I4033">
        <v>-202.33</v>
      </c>
      <c r="J4033" t="s">
        <v>51</v>
      </c>
      <c r="K4033" t="s">
        <v>80</v>
      </c>
      <c r="L4033">
        <v>2250</v>
      </c>
      <c r="M4033">
        <v>-8.9924444444444447</v>
      </c>
      <c r="N4033" t="s">
        <v>81</v>
      </c>
      <c r="O4033" t="s">
        <v>1383</v>
      </c>
      <c r="P4033" t="s">
        <v>29</v>
      </c>
      <c r="Q4033" t="s">
        <v>42</v>
      </c>
      <c r="R4033" t="s">
        <v>110</v>
      </c>
      <c r="S4033" t="s">
        <v>111</v>
      </c>
      <c r="T4033" t="s">
        <v>2114</v>
      </c>
      <c r="U4033" t="s">
        <v>100</v>
      </c>
      <c r="V4033">
        <v>-202.33</v>
      </c>
    </row>
    <row r="4034" spans="1:22" x14ac:dyDescent="0.3">
      <c r="A4034" t="s">
        <v>5515</v>
      </c>
      <c r="B4034" s="2">
        <v>46223</v>
      </c>
      <c r="C4034" t="s">
        <v>250</v>
      </c>
      <c r="D4034" t="s">
        <v>49</v>
      </c>
      <c r="E4034" t="s">
        <v>79</v>
      </c>
      <c r="F4034">
        <v>3</v>
      </c>
      <c r="G4034">
        <v>0.1</v>
      </c>
      <c r="H4034">
        <v>29700</v>
      </c>
      <c r="I4034">
        <v>6290.73</v>
      </c>
      <c r="J4034" t="s">
        <v>39</v>
      </c>
      <c r="K4034" t="s">
        <v>40</v>
      </c>
      <c r="L4034">
        <v>9900</v>
      </c>
      <c r="M4034">
        <v>21.18090909090909</v>
      </c>
      <c r="N4034" t="s">
        <v>8</v>
      </c>
      <c r="O4034" t="s">
        <v>251</v>
      </c>
      <c r="P4034" t="s">
        <v>29</v>
      </c>
      <c r="Q4034" t="s">
        <v>74</v>
      </c>
      <c r="R4034" t="s">
        <v>115</v>
      </c>
      <c r="S4034" t="s">
        <v>115</v>
      </c>
      <c r="T4034" t="s">
        <v>252</v>
      </c>
      <c r="U4034" t="s">
        <v>34</v>
      </c>
      <c r="V4034">
        <v>2096.91</v>
      </c>
    </row>
    <row r="4035" spans="1:22" x14ac:dyDescent="0.3">
      <c r="A4035" t="s">
        <v>5516</v>
      </c>
      <c r="B4035" s="2">
        <v>46075</v>
      </c>
      <c r="C4035" t="s">
        <v>929</v>
      </c>
      <c r="D4035" t="s">
        <v>24</v>
      </c>
      <c r="E4035" t="s">
        <v>242</v>
      </c>
      <c r="F4035">
        <v>3</v>
      </c>
      <c r="G4035">
        <v>0.15</v>
      </c>
      <c r="H4035">
        <v>1147.5</v>
      </c>
      <c r="I4035">
        <v>158.28</v>
      </c>
      <c r="J4035" t="s">
        <v>65</v>
      </c>
      <c r="K4035" t="s">
        <v>40</v>
      </c>
      <c r="L4035">
        <v>382.5</v>
      </c>
      <c r="M4035">
        <v>13.793464052287581</v>
      </c>
      <c r="N4035" t="s">
        <v>8</v>
      </c>
      <c r="O4035" t="s">
        <v>930</v>
      </c>
      <c r="P4035" t="s">
        <v>83</v>
      </c>
      <c r="Q4035" t="s">
        <v>74</v>
      </c>
      <c r="R4035" t="s">
        <v>493</v>
      </c>
      <c r="S4035" t="s">
        <v>494</v>
      </c>
      <c r="T4035" t="s">
        <v>931</v>
      </c>
      <c r="U4035" t="s">
        <v>46</v>
      </c>
      <c r="V4035">
        <v>52.76</v>
      </c>
    </row>
    <row r="4036" spans="1:22" x14ac:dyDescent="0.3">
      <c r="A4036" t="s">
        <v>5517</v>
      </c>
      <c r="B4036" s="2">
        <v>45938</v>
      </c>
      <c r="C4036" t="s">
        <v>23</v>
      </c>
      <c r="D4036" t="s">
        <v>37</v>
      </c>
      <c r="E4036" t="s">
        <v>38</v>
      </c>
      <c r="F4036">
        <v>2</v>
      </c>
      <c r="G4036">
        <v>0.2</v>
      </c>
      <c r="H4036">
        <v>2880</v>
      </c>
      <c r="I4036">
        <v>744.7</v>
      </c>
      <c r="J4036" t="s">
        <v>26</v>
      </c>
      <c r="K4036" t="s">
        <v>40</v>
      </c>
      <c r="L4036">
        <v>1440</v>
      </c>
      <c r="M4036">
        <v>25.857638888888889</v>
      </c>
      <c r="N4036" t="s">
        <v>8</v>
      </c>
      <c r="O4036" t="s">
        <v>28</v>
      </c>
      <c r="P4036" t="s">
        <v>29</v>
      </c>
      <c r="Q4036" t="s">
        <v>30</v>
      </c>
      <c r="R4036" t="s">
        <v>31</v>
      </c>
      <c r="S4036" t="s">
        <v>32</v>
      </c>
      <c r="T4036" t="s">
        <v>33</v>
      </c>
      <c r="U4036" t="s">
        <v>34</v>
      </c>
      <c r="V4036">
        <v>372.35</v>
      </c>
    </row>
    <row r="4037" spans="1:22" x14ac:dyDescent="0.3">
      <c r="A4037" t="s">
        <v>5518</v>
      </c>
      <c r="B4037" s="2">
        <v>46192</v>
      </c>
      <c r="C4037" t="s">
        <v>671</v>
      </c>
      <c r="D4037" t="s">
        <v>24</v>
      </c>
      <c r="E4037" t="s">
        <v>242</v>
      </c>
      <c r="F4037">
        <v>1</v>
      </c>
      <c r="G4037">
        <v>0.3</v>
      </c>
      <c r="H4037">
        <v>315</v>
      </c>
      <c r="I4037">
        <v>7.24</v>
      </c>
      <c r="J4037" t="s">
        <v>65</v>
      </c>
      <c r="K4037" t="s">
        <v>40</v>
      </c>
      <c r="L4037">
        <v>315</v>
      </c>
      <c r="M4037">
        <v>2.2984126984126991</v>
      </c>
      <c r="N4037" t="s">
        <v>8</v>
      </c>
      <c r="O4037" t="s">
        <v>582</v>
      </c>
      <c r="P4037" t="s">
        <v>73</v>
      </c>
      <c r="Q4037" t="s">
        <v>30</v>
      </c>
      <c r="R4037" t="s">
        <v>53</v>
      </c>
      <c r="S4037" t="s">
        <v>54</v>
      </c>
      <c r="T4037" t="s">
        <v>672</v>
      </c>
      <c r="U4037" t="s">
        <v>46</v>
      </c>
      <c r="V4037">
        <v>7.24</v>
      </c>
    </row>
    <row r="4038" spans="1:22" x14ac:dyDescent="0.3">
      <c r="A4038" t="s">
        <v>5519</v>
      </c>
      <c r="B4038" s="2">
        <v>45933</v>
      </c>
      <c r="C4038" t="s">
        <v>182</v>
      </c>
      <c r="D4038" t="s">
        <v>37</v>
      </c>
      <c r="E4038" t="s">
        <v>190</v>
      </c>
      <c r="F4038">
        <v>5</v>
      </c>
      <c r="G4038">
        <v>0.05</v>
      </c>
      <c r="H4038">
        <v>19950</v>
      </c>
      <c r="I4038">
        <v>5189.8500000000004</v>
      </c>
      <c r="J4038" t="s">
        <v>26</v>
      </c>
      <c r="K4038" t="s">
        <v>40</v>
      </c>
      <c r="L4038">
        <v>3990</v>
      </c>
      <c r="M4038">
        <v>26.01428571428572</v>
      </c>
      <c r="N4038" t="s">
        <v>8</v>
      </c>
      <c r="O4038" t="s">
        <v>183</v>
      </c>
      <c r="P4038" t="s">
        <v>73</v>
      </c>
      <c r="Q4038" t="s">
        <v>30</v>
      </c>
      <c r="R4038" t="s">
        <v>53</v>
      </c>
      <c r="S4038" t="s">
        <v>54</v>
      </c>
      <c r="T4038" t="s">
        <v>184</v>
      </c>
      <c r="U4038" t="s">
        <v>34</v>
      </c>
      <c r="V4038">
        <v>1037.97</v>
      </c>
    </row>
    <row r="4039" spans="1:22" x14ac:dyDescent="0.3">
      <c r="A4039" t="s">
        <v>5520</v>
      </c>
      <c r="B4039" s="2">
        <v>45933</v>
      </c>
      <c r="C4039" t="s">
        <v>297</v>
      </c>
      <c r="D4039" t="s">
        <v>24</v>
      </c>
      <c r="E4039" t="s">
        <v>92</v>
      </c>
      <c r="F4039">
        <v>6</v>
      </c>
      <c r="G4039">
        <v>0</v>
      </c>
      <c r="H4039">
        <v>5400</v>
      </c>
      <c r="I4039">
        <v>1680</v>
      </c>
      <c r="J4039" t="s">
        <v>51</v>
      </c>
      <c r="K4039" t="s">
        <v>40</v>
      </c>
      <c r="L4039">
        <v>900</v>
      </c>
      <c r="M4039">
        <v>31.111111111111111</v>
      </c>
      <c r="N4039" t="s">
        <v>8</v>
      </c>
      <c r="O4039" t="s">
        <v>298</v>
      </c>
      <c r="P4039" t="s">
        <v>83</v>
      </c>
      <c r="Q4039" t="s">
        <v>30</v>
      </c>
      <c r="R4039" t="s">
        <v>60</v>
      </c>
      <c r="S4039" t="s">
        <v>61</v>
      </c>
      <c r="T4039" t="s">
        <v>299</v>
      </c>
      <c r="U4039" t="s">
        <v>46</v>
      </c>
      <c r="V4039">
        <v>280</v>
      </c>
    </row>
    <row r="4040" spans="1:22" x14ac:dyDescent="0.3">
      <c r="A4040" t="s">
        <v>5521</v>
      </c>
      <c r="B4040" s="2">
        <v>45912</v>
      </c>
      <c r="C4040" t="s">
        <v>2635</v>
      </c>
      <c r="D4040" t="s">
        <v>70</v>
      </c>
      <c r="E4040" t="s">
        <v>129</v>
      </c>
      <c r="F4040">
        <v>5</v>
      </c>
      <c r="G4040">
        <v>0.2</v>
      </c>
      <c r="H4040">
        <v>220000</v>
      </c>
      <c r="I4040">
        <v>12133.16</v>
      </c>
      <c r="J4040" t="s">
        <v>39</v>
      </c>
      <c r="K4040" t="s">
        <v>40</v>
      </c>
      <c r="L4040">
        <v>44000</v>
      </c>
      <c r="M4040">
        <v>5.5150727272727273</v>
      </c>
      <c r="N4040" t="s">
        <v>8</v>
      </c>
      <c r="O4040" t="s">
        <v>2636</v>
      </c>
      <c r="P4040" t="s">
        <v>29</v>
      </c>
      <c r="Q4040" t="s">
        <v>42</v>
      </c>
      <c r="R4040" t="s">
        <v>121</v>
      </c>
      <c r="S4040" t="s">
        <v>44</v>
      </c>
      <c r="T4040" t="s">
        <v>252</v>
      </c>
      <c r="U4040" t="s">
        <v>34</v>
      </c>
      <c r="V4040">
        <v>2426.6320000000001</v>
      </c>
    </row>
    <row r="4041" spans="1:22" x14ac:dyDescent="0.3">
      <c r="A4041" t="s">
        <v>5522</v>
      </c>
      <c r="B4041" s="2">
        <v>45905</v>
      </c>
      <c r="C4041" t="s">
        <v>1220</v>
      </c>
      <c r="D4041" t="s">
        <v>70</v>
      </c>
      <c r="E4041" t="s">
        <v>71</v>
      </c>
      <c r="F4041">
        <v>2</v>
      </c>
      <c r="G4041">
        <v>0.3</v>
      </c>
      <c r="H4041">
        <v>25200</v>
      </c>
      <c r="I4041">
        <v>-2090.5</v>
      </c>
      <c r="J4041" t="s">
        <v>51</v>
      </c>
      <c r="K4041" t="s">
        <v>40</v>
      </c>
      <c r="L4041">
        <v>12600</v>
      </c>
      <c r="M4041">
        <v>-8.2956349206349209</v>
      </c>
      <c r="N4041" t="s">
        <v>81</v>
      </c>
      <c r="O4041" t="s">
        <v>333</v>
      </c>
      <c r="P4041" t="s">
        <v>29</v>
      </c>
      <c r="Q4041" t="s">
        <v>74</v>
      </c>
      <c r="R4041" t="s">
        <v>75</v>
      </c>
      <c r="S4041" t="s">
        <v>75</v>
      </c>
      <c r="T4041" t="s">
        <v>1221</v>
      </c>
      <c r="U4041" t="s">
        <v>105</v>
      </c>
      <c r="V4041">
        <v>-1045.25</v>
      </c>
    </row>
    <row r="4042" spans="1:22" x14ac:dyDescent="0.3">
      <c r="A4042" t="s">
        <v>5523</v>
      </c>
      <c r="B4042" s="2">
        <v>46131</v>
      </c>
      <c r="C4042" t="s">
        <v>696</v>
      </c>
      <c r="D4042" t="s">
        <v>70</v>
      </c>
      <c r="E4042" t="s">
        <v>165</v>
      </c>
      <c r="F4042">
        <v>6</v>
      </c>
      <c r="G4042">
        <v>0</v>
      </c>
      <c r="H4042">
        <v>15000</v>
      </c>
      <c r="I4042">
        <v>4800</v>
      </c>
      <c r="J4042" t="s">
        <v>51</v>
      </c>
      <c r="K4042" t="s">
        <v>27</v>
      </c>
      <c r="L4042">
        <v>2500</v>
      </c>
      <c r="M4042">
        <v>32</v>
      </c>
      <c r="N4042" t="s">
        <v>8</v>
      </c>
      <c r="O4042" t="s">
        <v>697</v>
      </c>
      <c r="P4042" t="s">
        <v>29</v>
      </c>
      <c r="Q4042" t="s">
        <v>74</v>
      </c>
      <c r="R4042" t="s">
        <v>237</v>
      </c>
      <c r="S4042" t="s">
        <v>238</v>
      </c>
      <c r="T4042" t="s">
        <v>698</v>
      </c>
      <c r="U4042" t="s">
        <v>46</v>
      </c>
      <c r="V4042">
        <v>800</v>
      </c>
    </row>
    <row r="4043" spans="1:22" x14ac:dyDescent="0.3">
      <c r="A4043" t="s">
        <v>5524</v>
      </c>
      <c r="B4043" s="2">
        <v>45994</v>
      </c>
      <c r="C4043" t="s">
        <v>1849</v>
      </c>
      <c r="D4043" t="s">
        <v>70</v>
      </c>
      <c r="E4043" t="s">
        <v>71</v>
      </c>
      <c r="F4043">
        <v>5</v>
      </c>
      <c r="G4043">
        <v>0.05</v>
      </c>
      <c r="H4043">
        <v>85500</v>
      </c>
      <c r="I4043">
        <v>15244.07</v>
      </c>
      <c r="J4043" t="s">
        <v>51</v>
      </c>
      <c r="K4043" t="s">
        <v>40</v>
      </c>
      <c r="L4043">
        <v>17100</v>
      </c>
      <c r="M4043">
        <v>17.829321637426901</v>
      </c>
      <c r="N4043" t="s">
        <v>8</v>
      </c>
      <c r="O4043" t="s">
        <v>171</v>
      </c>
      <c r="P4043" t="s">
        <v>83</v>
      </c>
      <c r="Q4043" t="s">
        <v>131</v>
      </c>
      <c r="R4043" t="s">
        <v>289</v>
      </c>
      <c r="S4043" t="s">
        <v>290</v>
      </c>
      <c r="T4043" t="s">
        <v>1850</v>
      </c>
      <c r="U4043" t="s">
        <v>34</v>
      </c>
      <c r="V4043">
        <v>3048.8139999999999</v>
      </c>
    </row>
    <row r="4044" spans="1:22" x14ac:dyDescent="0.3">
      <c r="A4044" t="s">
        <v>5525</v>
      </c>
      <c r="B4044" s="2">
        <v>46157</v>
      </c>
      <c r="C4044" t="s">
        <v>160</v>
      </c>
      <c r="D4044" t="s">
        <v>49</v>
      </c>
      <c r="E4044" t="s">
        <v>58</v>
      </c>
      <c r="F4044">
        <v>6</v>
      </c>
      <c r="G4044">
        <v>0.05</v>
      </c>
      <c r="H4044">
        <v>85500</v>
      </c>
      <c r="I4044">
        <v>17845.150000000001</v>
      </c>
      <c r="J4044" t="s">
        <v>65</v>
      </c>
      <c r="K4044" t="s">
        <v>27</v>
      </c>
      <c r="L4044">
        <v>14250</v>
      </c>
      <c r="M4044">
        <v>20.871520467836259</v>
      </c>
      <c r="N4044" t="s">
        <v>8</v>
      </c>
      <c r="O4044" t="s">
        <v>161</v>
      </c>
      <c r="P4044" t="s">
        <v>29</v>
      </c>
      <c r="Q4044" t="s">
        <v>30</v>
      </c>
      <c r="R4044" t="s">
        <v>98</v>
      </c>
      <c r="S4044" t="s">
        <v>54</v>
      </c>
      <c r="T4044" t="s">
        <v>162</v>
      </c>
      <c r="U4044" t="s">
        <v>34</v>
      </c>
      <c r="V4044">
        <v>2974.1916666666671</v>
      </c>
    </row>
    <row r="4045" spans="1:22" x14ac:dyDescent="0.3">
      <c r="A4045" t="s">
        <v>5526</v>
      </c>
      <c r="B4045" s="2">
        <v>46195</v>
      </c>
      <c r="C4045" t="s">
        <v>3203</v>
      </c>
      <c r="D4045" t="s">
        <v>37</v>
      </c>
      <c r="E4045" t="s">
        <v>170</v>
      </c>
      <c r="F4045">
        <v>1</v>
      </c>
      <c r="G4045">
        <v>0.1</v>
      </c>
      <c r="H4045">
        <v>1260</v>
      </c>
      <c r="I4045">
        <v>416.33</v>
      </c>
      <c r="J4045" t="s">
        <v>65</v>
      </c>
      <c r="K4045" t="s">
        <v>40</v>
      </c>
      <c r="L4045">
        <v>1260</v>
      </c>
      <c r="M4045">
        <v>33.042063492063491</v>
      </c>
      <c r="N4045" t="s">
        <v>8</v>
      </c>
      <c r="O4045" t="s">
        <v>1353</v>
      </c>
      <c r="P4045" t="s">
        <v>83</v>
      </c>
      <c r="Q4045" t="s">
        <v>74</v>
      </c>
      <c r="R4045" t="s">
        <v>75</v>
      </c>
      <c r="S4045" t="s">
        <v>75</v>
      </c>
      <c r="T4045" t="s">
        <v>3204</v>
      </c>
      <c r="U4045" t="s">
        <v>46</v>
      </c>
      <c r="V4045">
        <v>416.33</v>
      </c>
    </row>
    <row r="4046" spans="1:22" x14ac:dyDescent="0.3">
      <c r="A4046" t="s">
        <v>5527</v>
      </c>
      <c r="B4046" s="2">
        <v>46000</v>
      </c>
      <c r="C4046" t="s">
        <v>1812</v>
      </c>
      <c r="D4046" t="s">
        <v>49</v>
      </c>
      <c r="E4046" t="s">
        <v>50</v>
      </c>
      <c r="F4046">
        <v>3</v>
      </c>
      <c r="G4046">
        <v>0.05</v>
      </c>
      <c r="H4046">
        <v>37050</v>
      </c>
      <c r="I4046">
        <v>8059.08</v>
      </c>
      <c r="J4046" t="s">
        <v>51</v>
      </c>
      <c r="K4046" t="s">
        <v>40</v>
      </c>
      <c r="L4046">
        <v>12350</v>
      </c>
      <c r="M4046">
        <v>21.751902834008099</v>
      </c>
      <c r="N4046" t="s">
        <v>8</v>
      </c>
      <c r="O4046" t="s">
        <v>1813</v>
      </c>
      <c r="P4046" t="s">
        <v>83</v>
      </c>
      <c r="Q4046" t="s">
        <v>30</v>
      </c>
      <c r="R4046" t="s">
        <v>98</v>
      </c>
      <c r="S4046" t="s">
        <v>54</v>
      </c>
      <c r="T4046" t="s">
        <v>1089</v>
      </c>
      <c r="U4046" t="s">
        <v>34</v>
      </c>
      <c r="V4046">
        <v>2686.36</v>
      </c>
    </row>
    <row r="4047" spans="1:22" x14ac:dyDescent="0.3">
      <c r="A4047" t="s">
        <v>5528</v>
      </c>
      <c r="B4047" s="2">
        <v>45979</v>
      </c>
      <c r="C4047" t="s">
        <v>1229</v>
      </c>
      <c r="D4047" t="s">
        <v>37</v>
      </c>
      <c r="E4047" t="s">
        <v>170</v>
      </c>
      <c r="F4047">
        <v>4</v>
      </c>
      <c r="G4047">
        <v>0.05</v>
      </c>
      <c r="H4047">
        <v>5320</v>
      </c>
      <c r="I4047">
        <v>1826.37</v>
      </c>
      <c r="J4047" t="s">
        <v>39</v>
      </c>
      <c r="K4047" t="s">
        <v>40</v>
      </c>
      <c r="L4047">
        <v>1330</v>
      </c>
      <c r="M4047">
        <v>34.330263157894727</v>
      </c>
      <c r="N4047" t="s">
        <v>8</v>
      </c>
      <c r="O4047" t="s">
        <v>1102</v>
      </c>
      <c r="P4047" t="s">
        <v>83</v>
      </c>
      <c r="Q4047" t="s">
        <v>42</v>
      </c>
      <c r="R4047" t="s">
        <v>110</v>
      </c>
      <c r="S4047" t="s">
        <v>111</v>
      </c>
      <c r="T4047" t="s">
        <v>912</v>
      </c>
      <c r="U4047" t="s">
        <v>46</v>
      </c>
      <c r="V4047">
        <v>456.59249999999997</v>
      </c>
    </row>
    <row r="4048" spans="1:22" x14ac:dyDescent="0.3">
      <c r="A4048" t="s">
        <v>5529</v>
      </c>
      <c r="B4048" s="2">
        <v>45896</v>
      </c>
      <c r="C4048" t="s">
        <v>1377</v>
      </c>
      <c r="D4048" t="s">
        <v>24</v>
      </c>
      <c r="E4048" t="s">
        <v>25</v>
      </c>
      <c r="F4048">
        <v>6</v>
      </c>
      <c r="G4048">
        <v>0.2</v>
      </c>
      <c r="H4048">
        <v>67200</v>
      </c>
      <c r="I4048">
        <v>7216.27</v>
      </c>
      <c r="J4048" t="s">
        <v>51</v>
      </c>
      <c r="K4048" t="s">
        <v>40</v>
      </c>
      <c r="L4048">
        <v>11200</v>
      </c>
      <c r="M4048">
        <v>10.738497023809529</v>
      </c>
      <c r="N4048" t="s">
        <v>8</v>
      </c>
      <c r="O4048" t="s">
        <v>1378</v>
      </c>
      <c r="P4048" t="s">
        <v>29</v>
      </c>
      <c r="Q4048" t="s">
        <v>30</v>
      </c>
      <c r="R4048" t="s">
        <v>53</v>
      </c>
      <c r="S4048" t="s">
        <v>54</v>
      </c>
      <c r="T4048" t="s">
        <v>1379</v>
      </c>
      <c r="U4048" t="s">
        <v>100</v>
      </c>
      <c r="V4048">
        <v>1202.711666666667</v>
      </c>
    </row>
    <row r="4049" spans="1:22" x14ac:dyDescent="0.3">
      <c r="A4049" t="s">
        <v>5530</v>
      </c>
      <c r="B4049" s="2">
        <v>45950</v>
      </c>
      <c r="C4049" t="s">
        <v>2756</v>
      </c>
      <c r="D4049" t="s">
        <v>49</v>
      </c>
      <c r="E4049" t="s">
        <v>50</v>
      </c>
      <c r="F4049">
        <v>2</v>
      </c>
      <c r="G4049">
        <v>0</v>
      </c>
      <c r="H4049">
        <v>26000</v>
      </c>
      <c r="I4049">
        <v>6400</v>
      </c>
      <c r="J4049" t="s">
        <v>51</v>
      </c>
      <c r="K4049" t="s">
        <v>40</v>
      </c>
      <c r="L4049">
        <v>13000</v>
      </c>
      <c r="M4049">
        <v>24.61538461538462</v>
      </c>
      <c r="N4049" t="s">
        <v>8</v>
      </c>
      <c r="O4049" t="s">
        <v>213</v>
      </c>
      <c r="P4049" t="s">
        <v>73</v>
      </c>
      <c r="Q4049" t="s">
        <v>42</v>
      </c>
      <c r="R4049" t="s">
        <v>121</v>
      </c>
      <c r="S4049" t="s">
        <v>44</v>
      </c>
      <c r="T4049" t="s">
        <v>2757</v>
      </c>
      <c r="U4049" t="s">
        <v>105</v>
      </c>
      <c r="V4049">
        <v>3200</v>
      </c>
    </row>
    <row r="4050" spans="1:22" x14ac:dyDescent="0.3">
      <c r="A4050" t="s">
        <v>5531</v>
      </c>
      <c r="B4050" s="2">
        <v>45924</v>
      </c>
      <c r="C4050" t="s">
        <v>1410</v>
      </c>
      <c r="D4050" t="s">
        <v>37</v>
      </c>
      <c r="E4050" t="s">
        <v>310</v>
      </c>
      <c r="F4050">
        <v>6</v>
      </c>
      <c r="G4050">
        <v>0.1</v>
      </c>
      <c r="H4050">
        <v>11880</v>
      </c>
      <c r="I4050">
        <v>3704.71</v>
      </c>
      <c r="J4050" t="s">
        <v>39</v>
      </c>
      <c r="K4050" t="s">
        <v>40</v>
      </c>
      <c r="L4050">
        <v>1980</v>
      </c>
      <c r="M4050">
        <v>31.184427609427608</v>
      </c>
      <c r="N4050" t="s">
        <v>8</v>
      </c>
      <c r="O4050" t="s">
        <v>995</v>
      </c>
      <c r="P4050" t="s">
        <v>73</v>
      </c>
      <c r="Q4050" t="s">
        <v>30</v>
      </c>
      <c r="R4050" t="s">
        <v>60</v>
      </c>
      <c r="S4050" t="s">
        <v>61</v>
      </c>
      <c r="T4050" t="s">
        <v>1411</v>
      </c>
      <c r="U4050" t="s">
        <v>34</v>
      </c>
      <c r="V4050">
        <v>617.45166666666671</v>
      </c>
    </row>
    <row r="4051" spans="1:22" x14ac:dyDescent="0.3">
      <c r="A4051" t="s">
        <v>5532</v>
      </c>
      <c r="B4051" s="2">
        <v>45934</v>
      </c>
      <c r="C4051" t="s">
        <v>1519</v>
      </c>
      <c r="D4051" t="s">
        <v>24</v>
      </c>
      <c r="E4051" t="s">
        <v>242</v>
      </c>
      <c r="F4051">
        <v>3</v>
      </c>
      <c r="G4051">
        <v>0.1</v>
      </c>
      <c r="H4051">
        <v>1215</v>
      </c>
      <c r="I4051">
        <v>233.52</v>
      </c>
      <c r="J4051" t="s">
        <v>51</v>
      </c>
      <c r="K4051" t="s">
        <v>40</v>
      </c>
      <c r="L4051">
        <v>405</v>
      </c>
      <c r="M4051">
        <v>19.21975308641975</v>
      </c>
      <c r="N4051" t="s">
        <v>8</v>
      </c>
      <c r="O4051" t="s">
        <v>1520</v>
      </c>
      <c r="P4051" t="s">
        <v>83</v>
      </c>
      <c r="Q4051" t="s">
        <v>30</v>
      </c>
      <c r="R4051" t="s">
        <v>31</v>
      </c>
      <c r="S4051" t="s">
        <v>32</v>
      </c>
      <c r="T4051" t="s">
        <v>1521</v>
      </c>
      <c r="U4051" t="s">
        <v>105</v>
      </c>
      <c r="V4051">
        <v>77.84</v>
      </c>
    </row>
    <row r="4052" spans="1:22" x14ac:dyDescent="0.3">
      <c r="A4052" t="s">
        <v>5533</v>
      </c>
      <c r="B4052" s="2">
        <v>45972</v>
      </c>
      <c r="C4052" t="s">
        <v>570</v>
      </c>
      <c r="D4052" t="s">
        <v>37</v>
      </c>
      <c r="E4052" t="s">
        <v>190</v>
      </c>
      <c r="F4052">
        <v>6</v>
      </c>
      <c r="G4052">
        <v>0.05</v>
      </c>
      <c r="H4052">
        <v>23940</v>
      </c>
      <c r="I4052">
        <v>6566.72</v>
      </c>
      <c r="J4052" t="s">
        <v>65</v>
      </c>
      <c r="K4052" t="s">
        <v>40</v>
      </c>
      <c r="L4052">
        <v>3990</v>
      </c>
      <c r="M4052">
        <v>27.429908103592311</v>
      </c>
      <c r="N4052" t="s">
        <v>8</v>
      </c>
      <c r="O4052" t="s">
        <v>571</v>
      </c>
      <c r="P4052" t="s">
        <v>29</v>
      </c>
      <c r="Q4052" t="s">
        <v>30</v>
      </c>
      <c r="R4052" t="s">
        <v>31</v>
      </c>
      <c r="S4052" t="s">
        <v>32</v>
      </c>
      <c r="T4052" t="s">
        <v>572</v>
      </c>
      <c r="U4052" t="s">
        <v>100</v>
      </c>
      <c r="V4052">
        <v>1094.4533333333329</v>
      </c>
    </row>
    <row r="4053" spans="1:22" x14ac:dyDescent="0.3">
      <c r="A4053" t="s">
        <v>5534</v>
      </c>
      <c r="B4053" s="2">
        <v>45849</v>
      </c>
      <c r="C4053" t="s">
        <v>287</v>
      </c>
      <c r="D4053" t="s">
        <v>24</v>
      </c>
      <c r="E4053" t="s">
        <v>25</v>
      </c>
      <c r="F4053">
        <v>1</v>
      </c>
      <c r="G4053">
        <v>0</v>
      </c>
      <c r="H4053">
        <v>14000</v>
      </c>
      <c r="I4053">
        <v>-4105.6499999999996</v>
      </c>
      <c r="J4053" t="s">
        <v>65</v>
      </c>
      <c r="K4053" t="s">
        <v>80</v>
      </c>
      <c r="L4053">
        <v>14000</v>
      </c>
      <c r="M4053">
        <v>-29.326071428571431</v>
      </c>
      <c r="N4053" t="s">
        <v>81</v>
      </c>
      <c r="O4053" t="s">
        <v>288</v>
      </c>
      <c r="P4053" t="s">
        <v>83</v>
      </c>
      <c r="Q4053" t="s">
        <v>131</v>
      </c>
      <c r="R4053" t="s">
        <v>289</v>
      </c>
      <c r="S4053" t="s">
        <v>290</v>
      </c>
      <c r="T4053" t="s">
        <v>291</v>
      </c>
      <c r="U4053" t="s">
        <v>105</v>
      </c>
      <c r="V4053">
        <v>-4105.6499999999996</v>
      </c>
    </row>
    <row r="4054" spans="1:22" x14ac:dyDescent="0.3">
      <c r="A4054" t="s">
        <v>5535</v>
      </c>
      <c r="B4054" s="2">
        <v>45957</v>
      </c>
      <c r="C4054" t="s">
        <v>1243</v>
      </c>
      <c r="D4054" t="s">
        <v>49</v>
      </c>
      <c r="E4054" t="s">
        <v>50</v>
      </c>
      <c r="F4054">
        <v>1</v>
      </c>
      <c r="G4054">
        <v>0.15</v>
      </c>
      <c r="H4054">
        <v>11050</v>
      </c>
      <c r="I4054">
        <v>1882.92</v>
      </c>
      <c r="J4054" t="s">
        <v>39</v>
      </c>
      <c r="K4054" t="s">
        <v>40</v>
      </c>
      <c r="L4054">
        <v>11050</v>
      </c>
      <c r="M4054">
        <v>17.04</v>
      </c>
      <c r="N4054" t="s">
        <v>8</v>
      </c>
      <c r="O4054" t="s">
        <v>754</v>
      </c>
      <c r="P4054" t="s">
        <v>73</v>
      </c>
      <c r="Q4054" t="s">
        <v>42</v>
      </c>
      <c r="R4054" t="s">
        <v>110</v>
      </c>
      <c r="S4054" t="s">
        <v>111</v>
      </c>
      <c r="T4054" t="s">
        <v>1244</v>
      </c>
      <c r="U4054" t="s">
        <v>105</v>
      </c>
      <c r="V4054">
        <v>1882.92</v>
      </c>
    </row>
    <row r="4055" spans="1:22" x14ac:dyDescent="0.3">
      <c r="A4055" t="s">
        <v>5536</v>
      </c>
      <c r="B4055" s="2">
        <v>45985</v>
      </c>
      <c r="C4055" t="s">
        <v>156</v>
      </c>
      <c r="D4055" t="s">
        <v>49</v>
      </c>
      <c r="E4055" t="s">
        <v>58</v>
      </c>
      <c r="F4055">
        <v>1</v>
      </c>
      <c r="G4055">
        <v>0.2</v>
      </c>
      <c r="H4055">
        <v>12000</v>
      </c>
      <c r="I4055">
        <v>1108.3399999999999</v>
      </c>
      <c r="J4055" t="s">
        <v>39</v>
      </c>
      <c r="K4055" t="s">
        <v>27</v>
      </c>
      <c r="L4055">
        <v>12000</v>
      </c>
      <c r="M4055">
        <v>9.2361666666666657</v>
      </c>
      <c r="N4055" t="s">
        <v>8</v>
      </c>
      <c r="O4055" t="s">
        <v>157</v>
      </c>
      <c r="P4055" t="s">
        <v>83</v>
      </c>
      <c r="Q4055" t="s">
        <v>30</v>
      </c>
      <c r="R4055" t="s">
        <v>31</v>
      </c>
      <c r="S4055" t="s">
        <v>32</v>
      </c>
      <c r="T4055" t="s">
        <v>158</v>
      </c>
      <c r="U4055" t="s">
        <v>34</v>
      </c>
      <c r="V4055">
        <v>1108.3399999999999</v>
      </c>
    </row>
    <row r="4056" spans="1:22" x14ac:dyDescent="0.3">
      <c r="A4056" t="s">
        <v>5537</v>
      </c>
      <c r="B4056" s="2">
        <v>46021</v>
      </c>
      <c r="C4056" t="s">
        <v>726</v>
      </c>
      <c r="D4056" t="s">
        <v>70</v>
      </c>
      <c r="E4056" t="s">
        <v>129</v>
      </c>
      <c r="F4056">
        <v>1</v>
      </c>
      <c r="G4056">
        <v>0</v>
      </c>
      <c r="H4056">
        <v>55000</v>
      </c>
      <c r="I4056">
        <v>9000</v>
      </c>
      <c r="J4056" t="s">
        <v>26</v>
      </c>
      <c r="K4056" t="s">
        <v>40</v>
      </c>
      <c r="L4056">
        <v>55000</v>
      </c>
      <c r="M4056">
        <v>16.36363636363636</v>
      </c>
      <c r="N4056" t="s">
        <v>8</v>
      </c>
      <c r="O4056" t="s">
        <v>727</v>
      </c>
      <c r="P4056" t="s">
        <v>29</v>
      </c>
      <c r="Q4056" t="s">
        <v>30</v>
      </c>
      <c r="R4056" t="s">
        <v>31</v>
      </c>
      <c r="S4056" t="s">
        <v>32</v>
      </c>
      <c r="T4056" t="s">
        <v>33</v>
      </c>
      <c r="U4056" t="s">
        <v>34</v>
      </c>
      <c r="V4056">
        <v>9000</v>
      </c>
    </row>
    <row r="4057" spans="1:22" x14ac:dyDescent="0.3">
      <c r="A4057" t="s">
        <v>5538</v>
      </c>
      <c r="B4057" s="2">
        <v>45976</v>
      </c>
      <c r="C4057" t="s">
        <v>3294</v>
      </c>
      <c r="D4057" t="s">
        <v>70</v>
      </c>
      <c r="E4057" t="s">
        <v>129</v>
      </c>
      <c r="F4057">
        <v>3</v>
      </c>
      <c r="G4057">
        <v>0.05</v>
      </c>
      <c r="H4057">
        <v>156750</v>
      </c>
      <c r="I4057">
        <v>22802.44</v>
      </c>
      <c r="J4057" t="s">
        <v>26</v>
      </c>
      <c r="K4057" t="s">
        <v>40</v>
      </c>
      <c r="L4057">
        <v>52250</v>
      </c>
      <c r="M4057">
        <v>14.54701116427432</v>
      </c>
      <c r="N4057" t="s">
        <v>8</v>
      </c>
      <c r="O4057" t="s">
        <v>454</v>
      </c>
      <c r="P4057" t="s">
        <v>83</v>
      </c>
      <c r="Q4057" t="s">
        <v>74</v>
      </c>
      <c r="R4057" t="s">
        <v>75</v>
      </c>
      <c r="S4057" t="s">
        <v>75</v>
      </c>
      <c r="T4057" t="s">
        <v>2189</v>
      </c>
      <c r="U4057" t="s">
        <v>105</v>
      </c>
      <c r="V4057">
        <v>7600.8133333333326</v>
      </c>
    </row>
    <row r="4058" spans="1:22" x14ac:dyDescent="0.3">
      <c r="A4058" t="s">
        <v>5539</v>
      </c>
      <c r="B4058" s="2">
        <v>46212</v>
      </c>
      <c r="C4058" t="s">
        <v>1106</v>
      </c>
      <c r="D4058" t="s">
        <v>70</v>
      </c>
      <c r="E4058" t="s">
        <v>129</v>
      </c>
      <c r="F4058">
        <v>2</v>
      </c>
      <c r="G4058">
        <v>0.1</v>
      </c>
      <c r="H4058">
        <v>99000</v>
      </c>
      <c r="I4058">
        <v>11230.75</v>
      </c>
      <c r="J4058" t="s">
        <v>39</v>
      </c>
      <c r="K4058" t="s">
        <v>40</v>
      </c>
      <c r="L4058">
        <v>49500</v>
      </c>
      <c r="M4058">
        <v>11.344191919191919</v>
      </c>
      <c r="N4058" t="s">
        <v>8</v>
      </c>
      <c r="O4058" t="s">
        <v>789</v>
      </c>
      <c r="P4058" t="s">
        <v>29</v>
      </c>
      <c r="Q4058" t="s">
        <v>74</v>
      </c>
      <c r="R4058" t="s">
        <v>237</v>
      </c>
      <c r="S4058" t="s">
        <v>238</v>
      </c>
      <c r="T4058" t="s">
        <v>1107</v>
      </c>
      <c r="U4058" t="s">
        <v>105</v>
      </c>
      <c r="V4058">
        <v>5615.375</v>
      </c>
    </row>
    <row r="4059" spans="1:22" x14ac:dyDescent="0.3">
      <c r="A4059" t="s">
        <v>5540</v>
      </c>
      <c r="B4059" s="2">
        <v>46168</v>
      </c>
      <c r="C4059" t="s">
        <v>1767</v>
      </c>
      <c r="D4059" t="s">
        <v>37</v>
      </c>
      <c r="E4059" t="s">
        <v>170</v>
      </c>
      <c r="F4059">
        <v>4</v>
      </c>
      <c r="G4059">
        <v>0.05</v>
      </c>
      <c r="H4059">
        <v>5320</v>
      </c>
      <c r="I4059">
        <v>1824.86</v>
      </c>
      <c r="J4059" t="s">
        <v>51</v>
      </c>
      <c r="K4059" t="s">
        <v>40</v>
      </c>
      <c r="L4059">
        <v>1330</v>
      </c>
      <c r="M4059">
        <v>34.301879699248119</v>
      </c>
      <c r="N4059" t="s">
        <v>8</v>
      </c>
      <c r="O4059" t="s">
        <v>1768</v>
      </c>
      <c r="P4059" t="s">
        <v>29</v>
      </c>
      <c r="Q4059" t="s">
        <v>131</v>
      </c>
      <c r="R4059" t="s">
        <v>289</v>
      </c>
      <c r="S4059" t="s">
        <v>290</v>
      </c>
      <c r="T4059" t="s">
        <v>1469</v>
      </c>
      <c r="U4059" t="s">
        <v>100</v>
      </c>
      <c r="V4059">
        <v>456.21499999999997</v>
      </c>
    </row>
    <row r="4060" spans="1:22" x14ac:dyDescent="0.3">
      <c r="A4060" t="s">
        <v>5541</v>
      </c>
      <c r="B4060" s="2">
        <v>45844</v>
      </c>
      <c r="C4060" t="s">
        <v>1220</v>
      </c>
      <c r="D4060" t="s">
        <v>49</v>
      </c>
      <c r="E4060" t="s">
        <v>50</v>
      </c>
      <c r="F4060">
        <v>1</v>
      </c>
      <c r="G4060">
        <v>0</v>
      </c>
      <c r="H4060">
        <v>13000</v>
      </c>
      <c r="I4060">
        <v>3200</v>
      </c>
      <c r="J4060" t="s">
        <v>65</v>
      </c>
      <c r="K4060" t="s">
        <v>40</v>
      </c>
      <c r="L4060">
        <v>13000</v>
      </c>
      <c r="M4060">
        <v>24.61538461538462</v>
      </c>
      <c r="N4060" t="s">
        <v>8</v>
      </c>
      <c r="O4060" t="s">
        <v>333</v>
      </c>
      <c r="P4060" t="s">
        <v>29</v>
      </c>
      <c r="Q4060" t="s">
        <v>74</v>
      </c>
      <c r="R4060" t="s">
        <v>75</v>
      </c>
      <c r="S4060" t="s">
        <v>75</v>
      </c>
      <c r="T4060" t="s">
        <v>1221</v>
      </c>
      <c r="U4060" t="s">
        <v>105</v>
      </c>
      <c r="V4060">
        <v>3200</v>
      </c>
    </row>
    <row r="4061" spans="1:22" x14ac:dyDescent="0.3">
      <c r="A4061" t="s">
        <v>5542</v>
      </c>
      <c r="B4061" s="2">
        <v>46009</v>
      </c>
      <c r="C4061" t="s">
        <v>1785</v>
      </c>
      <c r="D4061" t="s">
        <v>37</v>
      </c>
      <c r="E4061" t="s">
        <v>190</v>
      </c>
      <c r="F4061">
        <v>1</v>
      </c>
      <c r="G4061">
        <v>0.15</v>
      </c>
      <c r="H4061">
        <v>3570</v>
      </c>
      <c r="I4061">
        <v>794.61</v>
      </c>
      <c r="J4061" t="s">
        <v>39</v>
      </c>
      <c r="K4061" t="s">
        <v>40</v>
      </c>
      <c r="L4061">
        <v>3570</v>
      </c>
      <c r="M4061">
        <v>22.257983193277308</v>
      </c>
      <c r="N4061" t="s">
        <v>8</v>
      </c>
      <c r="O4061" t="s">
        <v>1786</v>
      </c>
      <c r="P4061" t="s">
        <v>83</v>
      </c>
      <c r="Q4061" t="s">
        <v>30</v>
      </c>
      <c r="R4061" t="s">
        <v>53</v>
      </c>
      <c r="S4061" t="s">
        <v>54</v>
      </c>
      <c r="T4061" t="s">
        <v>227</v>
      </c>
      <c r="U4061" t="s">
        <v>46</v>
      </c>
      <c r="V4061">
        <v>794.61</v>
      </c>
    </row>
    <row r="4062" spans="1:22" x14ac:dyDescent="0.3">
      <c r="A4062" t="s">
        <v>5543</v>
      </c>
      <c r="B4062" s="2">
        <v>46123</v>
      </c>
      <c r="C4062" t="s">
        <v>1589</v>
      </c>
      <c r="D4062" t="s">
        <v>49</v>
      </c>
      <c r="E4062" t="s">
        <v>50</v>
      </c>
      <c r="F4062">
        <v>4</v>
      </c>
      <c r="G4062">
        <v>0.05</v>
      </c>
      <c r="H4062">
        <v>49400</v>
      </c>
      <c r="I4062">
        <v>11174.26</v>
      </c>
      <c r="J4062" t="s">
        <v>26</v>
      </c>
      <c r="K4062" t="s">
        <v>40</v>
      </c>
      <c r="L4062">
        <v>12350</v>
      </c>
      <c r="M4062">
        <v>22.619959514170041</v>
      </c>
      <c r="N4062" t="s">
        <v>8</v>
      </c>
      <c r="O4062" t="s">
        <v>984</v>
      </c>
      <c r="P4062" t="s">
        <v>29</v>
      </c>
      <c r="Q4062" t="s">
        <v>131</v>
      </c>
      <c r="R4062" t="s">
        <v>132</v>
      </c>
      <c r="S4062" t="s">
        <v>133</v>
      </c>
      <c r="T4062" t="s">
        <v>1590</v>
      </c>
      <c r="U4062" t="s">
        <v>34</v>
      </c>
      <c r="V4062">
        <v>2793.5650000000001</v>
      </c>
    </row>
    <row r="4063" spans="1:22" x14ac:dyDescent="0.3">
      <c r="A4063" t="s">
        <v>5544</v>
      </c>
      <c r="B4063" s="2">
        <v>46016</v>
      </c>
      <c r="C4063" t="s">
        <v>1662</v>
      </c>
      <c r="D4063" t="s">
        <v>24</v>
      </c>
      <c r="E4063" t="s">
        <v>87</v>
      </c>
      <c r="F4063">
        <v>1</v>
      </c>
      <c r="G4063">
        <v>0.1</v>
      </c>
      <c r="H4063">
        <v>315</v>
      </c>
      <c r="I4063">
        <v>100.58</v>
      </c>
      <c r="J4063" t="s">
        <v>26</v>
      </c>
      <c r="K4063" t="s">
        <v>40</v>
      </c>
      <c r="L4063">
        <v>315</v>
      </c>
      <c r="M4063">
        <v>31.93015873015873</v>
      </c>
      <c r="N4063" t="s">
        <v>8</v>
      </c>
      <c r="O4063" t="s">
        <v>1663</v>
      </c>
      <c r="P4063" t="s">
        <v>29</v>
      </c>
      <c r="Q4063" t="s">
        <v>131</v>
      </c>
      <c r="R4063" t="s">
        <v>200</v>
      </c>
      <c r="S4063" t="s">
        <v>201</v>
      </c>
      <c r="T4063" t="s">
        <v>1664</v>
      </c>
      <c r="U4063" t="s">
        <v>34</v>
      </c>
      <c r="V4063">
        <v>100.58</v>
      </c>
    </row>
    <row r="4064" spans="1:22" x14ac:dyDescent="0.3">
      <c r="A4064" t="s">
        <v>5545</v>
      </c>
      <c r="B4064" s="2">
        <v>45865</v>
      </c>
      <c r="C4064" t="s">
        <v>1041</v>
      </c>
      <c r="D4064" t="s">
        <v>49</v>
      </c>
      <c r="E4064" t="s">
        <v>58</v>
      </c>
      <c r="F4064">
        <v>2</v>
      </c>
      <c r="G4064">
        <v>0.1</v>
      </c>
      <c r="H4064">
        <v>27000</v>
      </c>
      <c r="I4064">
        <v>4943.9399999999996</v>
      </c>
      <c r="J4064" t="s">
        <v>39</v>
      </c>
      <c r="K4064" t="s">
        <v>40</v>
      </c>
      <c r="L4064">
        <v>13500</v>
      </c>
      <c r="M4064">
        <v>18.31088888888889</v>
      </c>
      <c r="N4064" t="s">
        <v>8</v>
      </c>
      <c r="O4064" t="s">
        <v>153</v>
      </c>
      <c r="P4064" t="s">
        <v>83</v>
      </c>
      <c r="Q4064" t="s">
        <v>74</v>
      </c>
      <c r="R4064" t="s">
        <v>237</v>
      </c>
      <c r="S4064" t="s">
        <v>238</v>
      </c>
      <c r="T4064" t="s">
        <v>1042</v>
      </c>
      <c r="U4064" t="s">
        <v>46</v>
      </c>
      <c r="V4064">
        <v>2471.9699999999998</v>
      </c>
    </row>
    <row r="4065" spans="1:22" x14ac:dyDescent="0.3">
      <c r="A4065" t="s">
        <v>5546</v>
      </c>
      <c r="B4065" s="2">
        <v>46056</v>
      </c>
      <c r="C4065" t="s">
        <v>3828</v>
      </c>
      <c r="D4065" t="s">
        <v>49</v>
      </c>
      <c r="E4065" t="s">
        <v>79</v>
      </c>
      <c r="F4065">
        <v>1</v>
      </c>
      <c r="G4065">
        <v>0.05</v>
      </c>
      <c r="H4065">
        <v>10450</v>
      </c>
      <c r="I4065">
        <v>-1193</v>
      </c>
      <c r="J4065" t="s">
        <v>39</v>
      </c>
      <c r="K4065" t="s">
        <v>434</v>
      </c>
      <c r="L4065">
        <v>10450</v>
      </c>
      <c r="M4065">
        <v>-11.41626794258373</v>
      </c>
      <c r="N4065" t="s">
        <v>81</v>
      </c>
      <c r="O4065" t="s">
        <v>798</v>
      </c>
      <c r="P4065" t="s">
        <v>73</v>
      </c>
      <c r="Q4065" t="s">
        <v>42</v>
      </c>
      <c r="R4065" t="s">
        <v>121</v>
      </c>
      <c r="S4065" t="s">
        <v>44</v>
      </c>
      <c r="T4065" t="s">
        <v>812</v>
      </c>
      <c r="U4065" t="s">
        <v>46</v>
      </c>
      <c r="V4065">
        <v>-1193</v>
      </c>
    </row>
    <row r="4066" spans="1:22" x14ac:dyDescent="0.3">
      <c r="A4066" t="s">
        <v>5547</v>
      </c>
      <c r="B4066" s="2">
        <v>46189</v>
      </c>
      <c r="C4066" t="s">
        <v>997</v>
      </c>
      <c r="D4066" t="s">
        <v>24</v>
      </c>
      <c r="E4066" t="s">
        <v>92</v>
      </c>
      <c r="F4066">
        <v>5</v>
      </c>
      <c r="G4066">
        <v>0.3</v>
      </c>
      <c r="H4066">
        <v>3150</v>
      </c>
      <c r="I4066">
        <v>777.61</v>
      </c>
      <c r="J4066" t="s">
        <v>39</v>
      </c>
      <c r="K4066" t="s">
        <v>40</v>
      </c>
      <c r="L4066">
        <v>630</v>
      </c>
      <c r="M4066">
        <v>24.686031746031752</v>
      </c>
      <c r="N4066" t="s">
        <v>8</v>
      </c>
      <c r="O4066" t="s">
        <v>166</v>
      </c>
      <c r="P4066" t="s">
        <v>73</v>
      </c>
      <c r="Q4066" t="s">
        <v>131</v>
      </c>
      <c r="R4066" t="s">
        <v>449</v>
      </c>
      <c r="S4066" t="s">
        <v>450</v>
      </c>
      <c r="T4066" t="s">
        <v>515</v>
      </c>
      <c r="U4066" t="s">
        <v>46</v>
      </c>
      <c r="V4066">
        <v>155.52199999999999</v>
      </c>
    </row>
    <row r="4067" spans="1:22" x14ac:dyDescent="0.3">
      <c r="A4067" t="s">
        <v>5548</v>
      </c>
      <c r="B4067" s="2">
        <v>46246</v>
      </c>
      <c r="C4067" t="s">
        <v>1017</v>
      </c>
      <c r="D4067" t="s">
        <v>24</v>
      </c>
      <c r="E4067" t="s">
        <v>242</v>
      </c>
      <c r="F4067">
        <v>4</v>
      </c>
      <c r="G4067">
        <v>0</v>
      </c>
      <c r="H4067">
        <v>1800</v>
      </c>
      <c r="I4067">
        <v>440</v>
      </c>
      <c r="J4067" t="s">
        <v>65</v>
      </c>
      <c r="K4067" t="s">
        <v>40</v>
      </c>
      <c r="L4067">
        <v>450</v>
      </c>
      <c r="M4067">
        <v>24.444444444444439</v>
      </c>
      <c r="N4067" t="s">
        <v>8</v>
      </c>
      <c r="O4067" t="s">
        <v>1018</v>
      </c>
      <c r="P4067" t="s">
        <v>83</v>
      </c>
      <c r="Q4067" t="s">
        <v>30</v>
      </c>
      <c r="R4067" t="s">
        <v>98</v>
      </c>
      <c r="S4067" t="s">
        <v>54</v>
      </c>
      <c r="T4067" t="s">
        <v>1019</v>
      </c>
      <c r="U4067" t="s">
        <v>46</v>
      </c>
      <c r="V4067">
        <v>110</v>
      </c>
    </row>
    <row r="4068" spans="1:22" x14ac:dyDescent="0.3">
      <c r="A4068" t="s">
        <v>5549</v>
      </c>
      <c r="B4068" s="2">
        <v>45862</v>
      </c>
      <c r="C4068" t="s">
        <v>221</v>
      </c>
      <c r="D4068" t="s">
        <v>37</v>
      </c>
      <c r="E4068" t="s">
        <v>38</v>
      </c>
      <c r="F4068">
        <v>1</v>
      </c>
      <c r="G4068">
        <v>0</v>
      </c>
      <c r="H4068">
        <v>1800</v>
      </c>
      <c r="I4068">
        <v>650</v>
      </c>
      <c r="J4068" t="s">
        <v>26</v>
      </c>
      <c r="K4068" t="s">
        <v>27</v>
      </c>
      <c r="L4068">
        <v>1800</v>
      </c>
      <c r="M4068">
        <v>36.111111111111107</v>
      </c>
      <c r="N4068" t="s">
        <v>8</v>
      </c>
      <c r="O4068" t="s">
        <v>222</v>
      </c>
      <c r="P4068" t="s">
        <v>29</v>
      </c>
      <c r="Q4068" t="s">
        <v>30</v>
      </c>
      <c r="R4068" t="s">
        <v>53</v>
      </c>
      <c r="S4068" t="s">
        <v>54</v>
      </c>
      <c r="T4068" t="s">
        <v>223</v>
      </c>
      <c r="U4068" t="s">
        <v>100</v>
      </c>
      <c r="V4068">
        <v>650</v>
      </c>
    </row>
    <row r="4069" spans="1:22" x14ac:dyDescent="0.3">
      <c r="A4069" t="s">
        <v>5550</v>
      </c>
      <c r="B4069" s="2">
        <v>46007</v>
      </c>
      <c r="C4069" t="s">
        <v>2271</v>
      </c>
      <c r="D4069" t="s">
        <v>37</v>
      </c>
      <c r="E4069" t="s">
        <v>38</v>
      </c>
      <c r="F4069">
        <v>2</v>
      </c>
      <c r="G4069">
        <v>0</v>
      </c>
      <c r="H4069">
        <v>3600</v>
      </c>
      <c r="I4069">
        <v>-971.66</v>
      </c>
      <c r="J4069" t="s">
        <v>39</v>
      </c>
      <c r="K4069" t="s">
        <v>434</v>
      </c>
      <c r="L4069">
        <v>1800</v>
      </c>
      <c r="M4069">
        <v>-26.990555555555559</v>
      </c>
      <c r="N4069" t="s">
        <v>81</v>
      </c>
      <c r="O4069" t="s">
        <v>1538</v>
      </c>
      <c r="P4069" t="s">
        <v>73</v>
      </c>
      <c r="Q4069" t="s">
        <v>131</v>
      </c>
      <c r="R4069" t="s">
        <v>200</v>
      </c>
      <c r="S4069" t="s">
        <v>201</v>
      </c>
      <c r="T4069" t="s">
        <v>2272</v>
      </c>
      <c r="U4069" t="s">
        <v>34</v>
      </c>
      <c r="V4069">
        <v>-485.83</v>
      </c>
    </row>
    <row r="4070" spans="1:22" x14ac:dyDescent="0.3">
      <c r="A4070" t="s">
        <v>5551</v>
      </c>
      <c r="B4070" s="2">
        <v>45865</v>
      </c>
      <c r="C4070" t="s">
        <v>2921</v>
      </c>
      <c r="D4070" t="s">
        <v>70</v>
      </c>
      <c r="E4070" t="s">
        <v>71</v>
      </c>
      <c r="F4070">
        <v>1</v>
      </c>
      <c r="G4070">
        <v>0</v>
      </c>
      <c r="H4070">
        <v>18000</v>
      </c>
      <c r="I4070">
        <v>-5364.13</v>
      </c>
      <c r="J4070" t="s">
        <v>26</v>
      </c>
      <c r="K4070" t="s">
        <v>434</v>
      </c>
      <c r="L4070">
        <v>18000</v>
      </c>
      <c r="M4070">
        <v>-29.80072222222222</v>
      </c>
      <c r="N4070" t="s">
        <v>81</v>
      </c>
      <c r="O4070" t="s">
        <v>537</v>
      </c>
      <c r="P4070" t="s">
        <v>83</v>
      </c>
      <c r="Q4070" t="s">
        <v>42</v>
      </c>
      <c r="R4070" t="s">
        <v>121</v>
      </c>
      <c r="S4070" t="s">
        <v>44</v>
      </c>
      <c r="T4070" t="s">
        <v>2004</v>
      </c>
      <c r="U4070" t="s">
        <v>34</v>
      </c>
      <c r="V4070">
        <v>-5364.13</v>
      </c>
    </row>
    <row r="4071" spans="1:22" x14ac:dyDescent="0.3">
      <c r="A4071" t="s">
        <v>5552</v>
      </c>
      <c r="B4071" s="2">
        <v>45986</v>
      </c>
      <c r="C4071" t="s">
        <v>1243</v>
      </c>
      <c r="D4071" t="s">
        <v>70</v>
      </c>
      <c r="E4071" t="s">
        <v>71</v>
      </c>
      <c r="F4071">
        <v>3</v>
      </c>
      <c r="G4071">
        <v>0</v>
      </c>
      <c r="H4071">
        <v>54000</v>
      </c>
      <c r="I4071">
        <v>10500</v>
      </c>
      <c r="J4071" t="s">
        <v>39</v>
      </c>
      <c r="K4071" t="s">
        <v>40</v>
      </c>
      <c r="L4071">
        <v>18000</v>
      </c>
      <c r="M4071">
        <v>19.44444444444445</v>
      </c>
      <c r="N4071" t="s">
        <v>8</v>
      </c>
      <c r="O4071" t="s">
        <v>754</v>
      </c>
      <c r="P4071" t="s">
        <v>73</v>
      </c>
      <c r="Q4071" t="s">
        <v>42</v>
      </c>
      <c r="R4071" t="s">
        <v>110</v>
      </c>
      <c r="S4071" t="s">
        <v>111</v>
      </c>
      <c r="T4071" t="s">
        <v>1244</v>
      </c>
      <c r="U4071" t="s">
        <v>105</v>
      </c>
      <c r="V4071">
        <v>3500</v>
      </c>
    </row>
    <row r="4072" spans="1:22" x14ac:dyDescent="0.3">
      <c r="A4072" t="s">
        <v>5553</v>
      </c>
      <c r="B4072" s="2">
        <v>46142</v>
      </c>
      <c r="C4072" t="s">
        <v>3196</v>
      </c>
      <c r="D4072" t="s">
        <v>24</v>
      </c>
      <c r="E4072" t="s">
        <v>87</v>
      </c>
      <c r="F4072">
        <v>2</v>
      </c>
      <c r="G4072">
        <v>0.1</v>
      </c>
      <c r="H4072">
        <v>630</v>
      </c>
      <c r="I4072">
        <v>187.57</v>
      </c>
      <c r="J4072" t="s">
        <v>51</v>
      </c>
      <c r="K4072" t="s">
        <v>40</v>
      </c>
      <c r="L4072">
        <v>315</v>
      </c>
      <c r="M4072">
        <v>29.773015873015868</v>
      </c>
      <c r="N4072" t="s">
        <v>8</v>
      </c>
      <c r="O4072" t="s">
        <v>563</v>
      </c>
      <c r="P4072" t="s">
        <v>83</v>
      </c>
      <c r="Q4072" t="s">
        <v>131</v>
      </c>
      <c r="R4072" t="s">
        <v>200</v>
      </c>
      <c r="S4072" t="s">
        <v>201</v>
      </c>
      <c r="T4072" t="s">
        <v>3197</v>
      </c>
      <c r="U4072" t="s">
        <v>46</v>
      </c>
      <c r="V4072">
        <v>93.784999999999997</v>
      </c>
    </row>
    <row r="4073" spans="1:22" x14ac:dyDescent="0.3">
      <c r="A4073" t="s">
        <v>5554</v>
      </c>
      <c r="B4073" s="2">
        <v>45967</v>
      </c>
      <c r="C4073" t="s">
        <v>1281</v>
      </c>
      <c r="D4073" t="s">
        <v>70</v>
      </c>
      <c r="E4073" t="s">
        <v>108</v>
      </c>
      <c r="F4073">
        <v>1</v>
      </c>
      <c r="G4073">
        <v>0.1</v>
      </c>
      <c r="H4073">
        <v>4050</v>
      </c>
      <c r="I4073">
        <v>1285.27</v>
      </c>
      <c r="J4073" t="s">
        <v>39</v>
      </c>
      <c r="K4073" t="s">
        <v>40</v>
      </c>
      <c r="L4073">
        <v>4050</v>
      </c>
      <c r="M4073">
        <v>31.73506172839506</v>
      </c>
      <c r="N4073" t="s">
        <v>8</v>
      </c>
      <c r="O4073" t="s">
        <v>1282</v>
      </c>
      <c r="P4073" t="s">
        <v>29</v>
      </c>
      <c r="Q4073" t="s">
        <v>74</v>
      </c>
      <c r="R4073" t="s">
        <v>237</v>
      </c>
      <c r="S4073" t="s">
        <v>238</v>
      </c>
      <c r="T4073" t="s">
        <v>1283</v>
      </c>
      <c r="U4073" t="s">
        <v>34</v>
      </c>
      <c r="V4073">
        <v>1285.27</v>
      </c>
    </row>
    <row r="4074" spans="1:22" x14ac:dyDescent="0.3">
      <c r="A4074" t="s">
        <v>5555</v>
      </c>
      <c r="B4074" s="2">
        <v>46094</v>
      </c>
      <c r="C4074" t="s">
        <v>1818</v>
      </c>
      <c r="D4074" t="s">
        <v>37</v>
      </c>
      <c r="E4074" t="s">
        <v>190</v>
      </c>
      <c r="F4074">
        <v>2</v>
      </c>
      <c r="G4074">
        <v>0.3</v>
      </c>
      <c r="H4074">
        <v>5880</v>
      </c>
      <c r="I4074">
        <v>657.98</v>
      </c>
      <c r="J4074" t="s">
        <v>39</v>
      </c>
      <c r="K4074" t="s">
        <v>40</v>
      </c>
      <c r="L4074">
        <v>2940</v>
      </c>
      <c r="M4074">
        <v>11.190136054421769</v>
      </c>
      <c r="N4074" t="s">
        <v>8</v>
      </c>
      <c r="O4074" t="s">
        <v>243</v>
      </c>
      <c r="P4074" t="s">
        <v>29</v>
      </c>
      <c r="Q4074" t="s">
        <v>131</v>
      </c>
      <c r="R4074" t="s">
        <v>449</v>
      </c>
      <c r="S4074" t="s">
        <v>450</v>
      </c>
      <c r="T4074" t="s">
        <v>1819</v>
      </c>
      <c r="U4074" t="s">
        <v>100</v>
      </c>
      <c r="V4074">
        <v>328.99</v>
      </c>
    </row>
    <row r="4075" spans="1:22" x14ac:dyDescent="0.3">
      <c r="A4075" t="s">
        <v>5556</v>
      </c>
      <c r="B4075" s="2">
        <v>45975</v>
      </c>
      <c r="C4075" t="s">
        <v>1220</v>
      </c>
      <c r="D4075" t="s">
        <v>70</v>
      </c>
      <c r="E4075" t="s">
        <v>165</v>
      </c>
      <c r="F4075">
        <v>1</v>
      </c>
      <c r="G4075">
        <v>0.15</v>
      </c>
      <c r="H4075">
        <v>2125</v>
      </c>
      <c r="I4075">
        <v>579.79999999999995</v>
      </c>
      <c r="J4075" t="s">
        <v>39</v>
      </c>
      <c r="K4075" t="s">
        <v>40</v>
      </c>
      <c r="L4075">
        <v>2125</v>
      </c>
      <c r="M4075">
        <v>27.284705882352942</v>
      </c>
      <c r="N4075" t="s">
        <v>8</v>
      </c>
      <c r="O4075" t="s">
        <v>333</v>
      </c>
      <c r="P4075" t="s">
        <v>29</v>
      </c>
      <c r="Q4075" t="s">
        <v>74</v>
      </c>
      <c r="R4075" t="s">
        <v>75</v>
      </c>
      <c r="S4075" t="s">
        <v>75</v>
      </c>
      <c r="T4075" t="s">
        <v>1221</v>
      </c>
      <c r="U4075" t="s">
        <v>105</v>
      </c>
      <c r="V4075">
        <v>579.79999999999995</v>
      </c>
    </row>
    <row r="4076" spans="1:22" x14ac:dyDescent="0.3">
      <c r="A4076" t="s">
        <v>5557</v>
      </c>
      <c r="B4076" s="2">
        <v>45875</v>
      </c>
      <c r="C4076" t="s">
        <v>736</v>
      </c>
      <c r="D4076" t="s">
        <v>70</v>
      </c>
      <c r="E4076" t="s">
        <v>108</v>
      </c>
      <c r="F4076">
        <v>2</v>
      </c>
      <c r="G4076">
        <v>0</v>
      </c>
      <c r="H4076">
        <v>9000</v>
      </c>
      <c r="I4076">
        <v>3000</v>
      </c>
      <c r="J4076" t="s">
        <v>26</v>
      </c>
      <c r="K4076" t="s">
        <v>40</v>
      </c>
      <c r="L4076">
        <v>4500</v>
      </c>
      <c r="M4076">
        <v>33.333333333333329</v>
      </c>
      <c r="N4076" t="s">
        <v>8</v>
      </c>
      <c r="O4076" t="s">
        <v>648</v>
      </c>
      <c r="P4076" t="s">
        <v>29</v>
      </c>
      <c r="Q4076" t="s">
        <v>30</v>
      </c>
      <c r="R4076" t="s">
        <v>60</v>
      </c>
      <c r="S4076" t="s">
        <v>61</v>
      </c>
      <c r="T4076" t="s">
        <v>311</v>
      </c>
      <c r="U4076" t="s">
        <v>34</v>
      </c>
      <c r="V4076">
        <v>1500</v>
      </c>
    </row>
    <row r="4077" spans="1:22" x14ac:dyDescent="0.3">
      <c r="A4077" t="s">
        <v>5558</v>
      </c>
      <c r="B4077" s="2">
        <v>46235</v>
      </c>
      <c r="C4077" t="s">
        <v>389</v>
      </c>
      <c r="D4077" t="s">
        <v>49</v>
      </c>
      <c r="E4077" t="s">
        <v>58</v>
      </c>
      <c r="F4077">
        <v>2</v>
      </c>
      <c r="G4077">
        <v>0.3</v>
      </c>
      <c r="H4077">
        <v>21000</v>
      </c>
      <c r="I4077">
        <v>1891.04</v>
      </c>
      <c r="J4077" t="s">
        <v>65</v>
      </c>
      <c r="K4077" t="s">
        <v>40</v>
      </c>
      <c r="L4077">
        <v>10500</v>
      </c>
      <c r="M4077">
        <v>9.0049523809523802</v>
      </c>
      <c r="N4077" t="s">
        <v>8</v>
      </c>
      <c r="O4077" t="s">
        <v>390</v>
      </c>
      <c r="P4077" t="s">
        <v>29</v>
      </c>
      <c r="Q4077" t="s">
        <v>30</v>
      </c>
      <c r="R4077" t="s">
        <v>53</v>
      </c>
      <c r="S4077" t="s">
        <v>54</v>
      </c>
      <c r="T4077" t="s">
        <v>391</v>
      </c>
      <c r="U4077" t="s">
        <v>100</v>
      </c>
      <c r="V4077">
        <v>945.52</v>
      </c>
    </row>
    <row r="4078" spans="1:22" x14ac:dyDescent="0.3">
      <c r="A4078" t="s">
        <v>5559</v>
      </c>
      <c r="B4078" s="2">
        <v>45954</v>
      </c>
      <c r="C4078" t="s">
        <v>417</v>
      </c>
      <c r="D4078" t="s">
        <v>24</v>
      </c>
      <c r="E4078" t="s">
        <v>242</v>
      </c>
      <c r="F4078">
        <v>2</v>
      </c>
      <c r="G4078">
        <v>0.1</v>
      </c>
      <c r="H4078">
        <v>810</v>
      </c>
      <c r="I4078">
        <v>176.18</v>
      </c>
      <c r="J4078" t="s">
        <v>65</v>
      </c>
      <c r="K4078" t="s">
        <v>40</v>
      </c>
      <c r="L4078">
        <v>405</v>
      </c>
      <c r="M4078">
        <v>21.750617283950621</v>
      </c>
      <c r="N4078" t="s">
        <v>8</v>
      </c>
      <c r="O4078" t="s">
        <v>418</v>
      </c>
      <c r="P4078" t="s">
        <v>29</v>
      </c>
      <c r="Q4078" t="s">
        <v>30</v>
      </c>
      <c r="R4078" t="s">
        <v>60</v>
      </c>
      <c r="S4078" t="s">
        <v>61</v>
      </c>
      <c r="T4078" t="s">
        <v>419</v>
      </c>
      <c r="U4078" t="s">
        <v>34</v>
      </c>
      <c r="V4078">
        <v>88.09</v>
      </c>
    </row>
    <row r="4079" spans="1:22" x14ac:dyDescent="0.3">
      <c r="A4079" t="s">
        <v>5560</v>
      </c>
      <c r="B4079" s="2">
        <v>46032</v>
      </c>
      <c r="C4079" t="s">
        <v>780</v>
      </c>
      <c r="D4079" t="s">
        <v>70</v>
      </c>
      <c r="E4079" t="s">
        <v>129</v>
      </c>
      <c r="F4079">
        <v>3</v>
      </c>
      <c r="G4079">
        <v>0.1</v>
      </c>
      <c r="H4079">
        <v>148500</v>
      </c>
      <c r="I4079">
        <v>14711.17</v>
      </c>
      <c r="J4079" t="s">
        <v>26</v>
      </c>
      <c r="K4079" t="s">
        <v>27</v>
      </c>
      <c r="L4079">
        <v>49500</v>
      </c>
      <c r="M4079">
        <v>9.9065117845117854</v>
      </c>
      <c r="N4079" t="s">
        <v>8</v>
      </c>
      <c r="O4079" t="s">
        <v>781</v>
      </c>
      <c r="P4079" t="s">
        <v>73</v>
      </c>
      <c r="Q4079" t="s">
        <v>30</v>
      </c>
      <c r="R4079" t="s">
        <v>31</v>
      </c>
      <c r="S4079" t="s">
        <v>32</v>
      </c>
      <c r="T4079" t="s">
        <v>572</v>
      </c>
      <c r="U4079" t="s">
        <v>100</v>
      </c>
      <c r="V4079">
        <v>4903.7233333333334</v>
      </c>
    </row>
    <row r="4080" spans="1:22" x14ac:dyDescent="0.3">
      <c r="A4080" t="s">
        <v>5561</v>
      </c>
      <c r="B4080" s="2">
        <v>46182</v>
      </c>
      <c r="C4080" t="s">
        <v>189</v>
      </c>
      <c r="D4080" t="s">
        <v>49</v>
      </c>
      <c r="E4080" t="s">
        <v>79</v>
      </c>
      <c r="F4080">
        <v>2</v>
      </c>
      <c r="G4080">
        <v>0</v>
      </c>
      <c r="H4080">
        <v>22000</v>
      </c>
      <c r="I4080">
        <v>5200</v>
      </c>
      <c r="J4080" t="s">
        <v>65</v>
      </c>
      <c r="K4080" t="s">
        <v>40</v>
      </c>
      <c r="L4080">
        <v>11000</v>
      </c>
      <c r="M4080">
        <v>23.63636363636364</v>
      </c>
      <c r="N4080" t="s">
        <v>8</v>
      </c>
      <c r="O4080" t="s">
        <v>191</v>
      </c>
      <c r="P4080" t="s">
        <v>29</v>
      </c>
      <c r="Q4080" t="s">
        <v>30</v>
      </c>
      <c r="R4080" t="s">
        <v>31</v>
      </c>
      <c r="S4080" t="s">
        <v>32</v>
      </c>
      <c r="T4080" t="s">
        <v>192</v>
      </c>
      <c r="U4080" t="s">
        <v>34</v>
      </c>
      <c r="V4080">
        <v>2600</v>
      </c>
    </row>
    <row r="4081" spans="1:22" x14ac:dyDescent="0.3">
      <c r="A4081" t="s">
        <v>5562</v>
      </c>
      <c r="B4081" s="2">
        <v>46239</v>
      </c>
      <c r="C4081" t="s">
        <v>4588</v>
      </c>
      <c r="D4081" t="s">
        <v>24</v>
      </c>
      <c r="E4081" t="s">
        <v>25</v>
      </c>
      <c r="F4081">
        <v>2</v>
      </c>
      <c r="G4081">
        <v>0.05</v>
      </c>
      <c r="H4081">
        <v>26600</v>
      </c>
      <c r="I4081">
        <v>4802.08</v>
      </c>
      <c r="J4081" t="s">
        <v>26</v>
      </c>
      <c r="K4081" t="s">
        <v>27</v>
      </c>
      <c r="L4081">
        <v>13300</v>
      </c>
      <c r="M4081">
        <v>18.052932330827069</v>
      </c>
      <c r="N4081" t="s">
        <v>8</v>
      </c>
      <c r="O4081" t="s">
        <v>844</v>
      </c>
      <c r="P4081" t="s">
        <v>29</v>
      </c>
      <c r="Q4081" t="s">
        <v>42</v>
      </c>
      <c r="R4081" t="s">
        <v>43</v>
      </c>
      <c r="S4081" t="s">
        <v>44</v>
      </c>
      <c r="T4081" t="s">
        <v>4589</v>
      </c>
      <c r="U4081" t="s">
        <v>46</v>
      </c>
      <c r="V4081">
        <v>2401.04</v>
      </c>
    </row>
    <row r="4082" spans="1:22" x14ac:dyDescent="0.3">
      <c r="A4082" t="s">
        <v>5563</v>
      </c>
      <c r="B4082" s="2">
        <v>46146</v>
      </c>
      <c r="C4082" t="s">
        <v>1116</v>
      </c>
      <c r="D4082" t="s">
        <v>49</v>
      </c>
      <c r="E4082" t="s">
        <v>79</v>
      </c>
      <c r="F4082">
        <v>4</v>
      </c>
      <c r="G4082">
        <v>0</v>
      </c>
      <c r="H4082">
        <v>44000</v>
      </c>
      <c r="I4082">
        <v>10400</v>
      </c>
      <c r="J4082" t="s">
        <v>39</v>
      </c>
      <c r="K4082" t="s">
        <v>27</v>
      </c>
      <c r="L4082">
        <v>11000</v>
      </c>
      <c r="M4082">
        <v>23.63636363636364</v>
      </c>
      <c r="N4082" t="s">
        <v>8</v>
      </c>
      <c r="O4082" t="s">
        <v>1117</v>
      </c>
      <c r="P4082" t="s">
        <v>29</v>
      </c>
      <c r="Q4082" t="s">
        <v>30</v>
      </c>
      <c r="R4082" t="s">
        <v>98</v>
      </c>
      <c r="S4082" t="s">
        <v>54</v>
      </c>
      <c r="T4082" t="s">
        <v>1118</v>
      </c>
      <c r="U4082" t="s">
        <v>34</v>
      </c>
      <c r="V4082">
        <v>2600</v>
      </c>
    </row>
    <row r="4083" spans="1:22" x14ac:dyDescent="0.3">
      <c r="A4083" t="s">
        <v>5564</v>
      </c>
      <c r="B4083" s="2">
        <v>46084</v>
      </c>
      <c r="C4083" t="s">
        <v>1872</v>
      </c>
      <c r="D4083" t="s">
        <v>70</v>
      </c>
      <c r="E4083" t="s">
        <v>165</v>
      </c>
      <c r="F4083">
        <v>3</v>
      </c>
      <c r="G4083">
        <v>0.1</v>
      </c>
      <c r="H4083">
        <v>6750</v>
      </c>
      <c r="I4083">
        <v>-1381.7</v>
      </c>
      <c r="J4083" t="s">
        <v>39</v>
      </c>
      <c r="K4083" t="s">
        <v>80</v>
      </c>
      <c r="L4083">
        <v>2250</v>
      </c>
      <c r="M4083">
        <v>-20.46962962962963</v>
      </c>
      <c r="N4083" t="s">
        <v>81</v>
      </c>
      <c r="O4083" t="s">
        <v>386</v>
      </c>
      <c r="P4083" t="s">
        <v>73</v>
      </c>
      <c r="Q4083" t="s">
        <v>42</v>
      </c>
      <c r="R4083" t="s">
        <v>110</v>
      </c>
      <c r="S4083" t="s">
        <v>111</v>
      </c>
      <c r="T4083" t="s">
        <v>852</v>
      </c>
      <c r="U4083" t="s">
        <v>34</v>
      </c>
      <c r="V4083">
        <v>-460.56666666666672</v>
      </c>
    </row>
    <row r="4084" spans="1:22" x14ac:dyDescent="0.3">
      <c r="A4084" t="s">
        <v>5565</v>
      </c>
      <c r="B4084" s="2">
        <v>46257</v>
      </c>
      <c r="C4084" t="s">
        <v>421</v>
      </c>
      <c r="D4084" t="s">
        <v>24</v>
      </c>
      <c r="E4084" t="s">
        <v>92</v>
      </c>
      <c r="F4084">
        <v>5</v>
      </c>
      <c r="G4084">
        <v>0.05</v>
      </c>
      <c r="H4084">
        <v>4275</v>
      </c>
      <c r="I4084">
        <v>1211.05</v>
      </c>
      <c r="J4084" t="s">
        <v>26</v>
      </c>
      <c r="K4084" t="s">
        <v>40</v>
      </c>
      <c r="L4084">
        <v>855</v>
      </c>
      <c r="M4084">
        <v>28.32865497076023</v>
      </c>
      <c r="N4084" t="s">
        <v>8</v>
      </c>
      <c r="O4084" t="s">
        <v>422</v>
      </c>
      <c r="P4084" t="s">
        <v>73</v>
      </c>
      <c r="Q4084" t="s">
        <v>30</v>
      </c>
      <c r="R4084" t="s">
        <v>98</v>
      </c>
      <c r="S4084" t="s">
        <v>54</v>
      </c>
      <c r="T4084" t="s">
        <v>423</v>
      </c>
      <c r="U4084" t="s">
        <v>34</v>
      </c>
      <c r="V4084">
        <v>242.21</v>
      </c>
    </row>
    <row r="4085" spans="1:22" x14ac:dyDescent="0.3">
      <c r="A4085" t="s">
        <v>5566</v>
      </c>
      <c r="B4085" s="2">
        <v>46098</v>
      </c>
      <c r="C4085" t="s">
        <v>1164</v>
      </c>
      <c r="D4085" t="s">
        <v>24</v>
      </c>
      <c r="E4085" t="s">
        <v>87</v>
      </c>
      <c r="F4085">
        <v>6</v>
      </c>
      <c r="G4085">
        <v>0.1</v>
      </c>
      <c r="H4085">
        <v>1890</v>
      </c>
      <c r="I4085">
        <v>560.67999999999995</v>
      </c>
      <c r="J4085" t="s">
        <v>26</v>
      </c>
      <c r="K4085" t="s">
        <v>40</v>
      </c>
      <c r="L4085">
        <v>315</v>
      </c>
      <c r="M4085">
        <v>29.665608465608461</v>
      </c>
      <c r="N4085" t="s">
        <v>8</v>
      </c>
      <c r="O4085" t="s">
        <v>284</v>
      </c>
      <c r="P4085" t="s">
        <v>29</v>
      </c>
      <c r="Q4085" t="s">
        <v>30</v>
      </c>
      <c r="R4085" t="s">
        <v>98</v>
      </c>
      <c r="S4085" t="s">
        <v>54</v>
      </c>
      <c r="T4085" t="s">
        <v>1165</v>
      </c>
      <c r="U4085" t="s">
        <v>105</v>
      </c>
      <c r="V4085">
        <v>93.446666666666658</v>
      </c>
    </row>
    <row r="4086" spans="1:22" x14ac:dyDescent="0.3">
      <c r="A4086" t="s">
        <v>5567</v>
      </c>
      <c r="B4086" s="2">
        <v>46210</v>
      </c>
      <c r="C4086" t="s">
        <v>283</v>
      </c>
      <c r="D4086" t="s">
        <v>49</v>
      </c>
      <c r="E4086" t="s">
        <v>50</v>
      </c>
      <c r="F4086">
        <v>3</v>
      </c>
      <c r="G4086">
        <v>0.05</v>
      </c>
      <c r="H4086">
        <v>37050</v>
      </c>
      <c r="I4086">
        <v>8429.1200000000008</v>
      </c>
      <c r="J4086" t="s">
        <v>26</v>
      </c>
      <c r="K4086" t="s">
        <v>40</v>
      </c>
      <c r="L4086">
        <v>12350</v>
      </c>
      <c r="M4086">
        <v>22.750661268556009</v>
      </c>
      <c r="N4086" t="s">
        <v>8</v>
      </c>
      <c r="O4086" t="s">
        <v>284</v>
      </c>
      <c r="P4086" t="s">
        <v>29</v>
      </c>
      <c r="Q4086" t="s">
        <v>30</v>
      </c>
      <c r="R4086" t="s">
        <v>53</v>
      </c>
      <c r="S4086" t="s">
        <v>54</v>
      </c>
      <c r="T4086" t="s">
        <v>285</v>
      </c>
      <c r="U4086" t="s">
        <v>34</v>
      </c>
      <c r="V4086">
        <v>2809.7066666666669</v>
      </c>
    </row>
    <row r="4087" spans="1:22" x14ac:dyDescent="0.3">
      <c r="A4087" t="s">
        <v>5568</v>
      </c>
      <c r="B4087" s="2">
        <v>46152</v>
      </c>
      <c r="C4087" t="s">
        <v>2126</v>
      </c>
      <c r="D4087" t="s">
        <v>37</v>
      </c>
      <c r="E4087" t="s">
        <v>170</v>
      </c>
      <c r="F4087">
        <v>3</v>
      </c>
      <c r="G4087">
        <v>0</v>
      </c>
      <c r="H4087">
        <v>4200</v>
      </c>
      <c r="I4087">
        <v>1500</v>
      </c>
      <c r="J4087" t="s">
        <v>39</v>
      </c>
      <c r="K4087" t="s">
        <v>40</v>
      </c>
      <c r="L4087">
        <v>1400</v>
      </c>
      <c r="M4087">
        <v>35.714285714285722</v>
      </c>
      <c r="N4087" t="s">
        <v>8</v>
      </c>
      <c r="O4087" t="s">
        <v>2127</v>
      </c>
      <c r="P4087" t="s">
        <v>83</v>
      </c>
      <c r="Q4087" t="s">
        <v>131</v>
      </c>
      <c r="R4087" t="s">
        <v>200</v>
      </c>
      <c r="S4087" t="s">
        <v>201</v>
      </c>
      <c r="T4087" t="s">
        <v>2128</v>
      </c>
      <c r="U4087" t="s">
        <v>46</v>
      </c>
      <c r="V4087">
        <v>500</v>
      </c>
    </row>
    <row r="4088" spans="1:22" x14ac:dyDescent="0.3">
      <c r="A4088" t="s">
        <v>5569</v>
      </c>
      <c r="B4088" s="2">
        <v>46068</v>
      </c>
      <c r="C4088" t="s">
        <v>1865</v>
      </c>
      <c r="D4088" t="s">
        <v>70</v>
      </c>
      <c r="E4088" t="s">
        <v>71</v>
      </c>
      <c r="F4088">
        <v>4</v>
      </c>
      <c r="G4088">
        <v>0</v>
      </c>
      <c r="H4088">
        <v>72000</v>
      </c>
      <c r="I4088">
        <v>14000</v>
      </c>
      <c r="J4088" t="s">
        <v>51</v>
      </c>
      <c r="K4088" t="s">
        <v>40</v>
      </c>
      <c r="L4088">
        <v>18000</v>
      </c>
      <c r="M4088">
        <v>19.44444444444445</v>
      </c>
      <c r="N4088" t="s">
        <v>8</v>
      </c>
      <c r="O4088" t="s">
        <v>1866</v>
      </c>
      <c r="P4088" t="s">
        <v>29</v>
      </c>
      <c r="Q4088" t="s">
        <v>42</v>
      </c>
      <c r="R4088" t="s">
        <v>214</v>
      </c>
      <c r="S4088" t="s">
        <v>111</v>
      </c>
      <c r="T4088" t="s">
        <v>1867</v>
      </c>
      <c r="U4088" t="s">
        <v>34</v>
      </c>
      <c r="V4088">
        <v>3500</v>
      </c>
    </row>
    <row r="4089" spans="1:22" x14ac:dyDescent="0.3">
      <c r="A4089" t="s">
        <v>5570</v>
      </c>
      <c r="B4089" s="2">
        <v>46228</v>
      </c>
      <c r="C4089" t="s">
        <v>1519</v>
      </c>
      <c r="D4089" t="s">
        <v>49</v>
      </c>
      <c r="E4089" t="s">
        <v>50</v>
      </c>
      <c r="F4089">
        <v>1</v>
      </c>
      <c r="G4089">
        <v>0.1</v>
      </c>
      <c r="H4089">
        <v>11700</v>
      </c>
      <c r="I4089">
        <v>2168.13</v>
      </c>
      <c r="J4089" t="s">
        <v>39</v>
      </c>
      <c r="K4089" t="s">
        <v>40</v>
      </c>
      <c r="L4089">
        <v>11700</v>
      </c>
      <c r="M4089">
        <v>18.531025641025639</v>
      </c>
      <c r="N4089" t="s">
        <v>8</v>
      </c>
      <c r="O4089" t="s">
        <v>1520</v>
      </c>
      <c r="P4089" t="s">
        <v>83</v>
      </c>
      <c r="Q4089" t="s">
        <v>30</v>
      </c>
      <c r="R4089" t="s">
        <v>31</v>
      </c>
      <c r="S4089" t="s">
        <v>32</v>
      </c>
      <c r="T4089" t="s">
        <v>1521</v>
      </c>
      <c r="U4089" t="s">
        <v>105</v>
      </c>
      <c r="V4089">
        <v>2168.13</v>
      </c>
    </row>
    <row r="4090" spans="1:22" x14ac:dyDescent="0.3">
      <c r="A4090" t="s">
        <v>5571</v>
      </c>
      <c r="B4090" s="2">
        <v>45918</v>
      </c>
      <c r="C4090" t="s">
        <v>1926</v>
      </c>
      <c r="D4090" t="s">
        <v>37</v>
      </c>
      <c r="E4090" t="s">
        <v>170</v>
      </c>
      <c r="F4090">
        <v>1</v>
      </c>
      <c r="G4090">
        <v>0</v>
      </c>
      <c r="H4090">
        <v>1400</v>
      </c>
      <c r="I4090">
        <v>-590.20000000000005</v>
      </c>
      <c r="J4090" t="s">
        <v>51</v>
      </c>
      <c r="K4090" t="s">
        <v>434</v>
      </c>
      <c r="L4090">
        <v>1400</v>
      </c>
      <c r="M4090">
        <v>-42.157142857142858</v>
      </c>
      <c r="N4090" t="s">
        <v>81</v>
      </c>
      <c r="O4090" t="s">
        <v>352</v>
      </c>
      <c r="P4090" t="s">
        <v>73</v>
      </c>
      <c r="Q4090" t="s">
        <v>131</v>
      </c>
      <c r="R4090" t="s">
        <v>289</v>
      </c>
      <c r="S4090" t="s">
        <v>290</v>
      </c>
      <c r="T4090" t="s">
        <v>1927</v>
      </c>
      <c r="U4090" t="s">
        <v>34</v>
      </c>
      <c r="V4090">
        <v>-590.20000000000005</v>
      </c>
    </row>
    <row r="4091" spans="1:22" x14ac:dyDescent="0.3">
      <c r="A4091" t="s">
        <v>5572</v>
      </c>
      <c r="B4091" s="2">
        <v>45846</v>
      </c>
      <c r="C4091" t="s">
        <v>766</v>
      </c>
      <c r="D4091" t="s">
        <v>70</v>
      </c>
      <c r="E4091" t="s">
        <v>108</v>
      </c>
      <c r="F4091">
        <v>2</v>
      </c>
      <c r="G4091">
        <v>0.05</v>
      </c>
      <c r="H4091">
        <v>8550</v>
      </c>
      <c r="I4091">
        <v>23.44</v>
      </c>
      <c r="J4091" t="s">
        <v>65</v>
      </c>
      <c r="K4091" t="s">
        <v>434</v>
      </c>
      <c r="L4091">
        <v>4275</v>
      </c>
      <c r="M4091">
        <v>0.27415204678362581</v>
      </c>
      <c r="N4091" t="s">
        <v>8</v>
      </c>
      <c r="O4091" t="s">
        <v>195</v>
      </c>
      <c r="P4091" t="s">
        <v>29</v>
      </c>
      <c r="Q4091" t="s">
        <v>42</v>
      </c>
      <c r="R4091" t="s">
        <v>43</v>
      </c>
      <c r="S4091" t="s">
        <v>44</v>
      </c>
      <c r="T4091" t="s">
        <v>767</v>
      </c>
      <c r="U4091" t="s">
        <v>105</v>
      </c>
      <c r="V4091">
        <v>11.72</v>
      </c>
    </row>
    <row r="4092" spans="1:22" x14ac:dyDescent="0.3">
      <c r="A4092" t="s">
        <v>5573</v>
      </c>
      <c r="B4092" s="2">
        <v>46236</v>
      </c>
      <c r="C4092" t="s">
        <v>2483</v>
      </c>
      <c r="D4092" t="s">
        <v>24</v>
      </c>
      <c r="E4092" t="s">
        <v>87</v>
      </c>
      <c r="F4092">
        <v>2</v>
      </c>
      <c r="G4092">
        <v>0.2</v>
      </c>
      <c r="H4092">
        <v>560</v>
      </c>
      <c r="I4092">
        <v>-75000</v>
      </c>
      <c r="J4092" t="s">
        <v>26</v>
      </c>
      <c r="K4092" t="s">
        <v>40</v>
      </c>
      <c r="L4092">
        <v>280</v>
      </c>
      <c r="M4092">
        <v>-13392.857142857139</v>
      </c>
      <c r="N4092" t="s">
        <v>81</v>
      </c>
      <c r="O4092" t="s">
        <v>1786</v>
      </c>
      <c r="P4092" t="s">
        <v>73</v>
      </c>
      <c r="Q4092" t="s">
        <v>74</v>
      </c>
      <c r="R4092" t="s">
        <v>237</v>
      </c>
      <c r="S4092" t="s">
        <v>238</v>
      </c>
      <c r="T4092" t="s">
        <v>2484</v>
      </c>
      <c r="U4092" t="s">
        <v>46</v>
      </c>
      <c r="V4092">
        <v>-37500</v>
      </c>
    </row>
    <row r="4093" spans="1:22" x14ac:dyDescent="0.3">
      <c r="A4093" t="s">
        <v>5574</v>
      </c>
      <c r="B4093" s="2">
        <v>46038</v>
      </c>
      <c r="C4093" t="s">
        <v>925</v>
      </c>
      <c r="D4093" t="s">
        <v>49</v>
      </c>
      <c r="E4093" t="s">
        <v>79</v>
      </c>
      <c r="F4093">
        <v>6</v>
      </c>
      <c r="G4093">
        <v>0.1</v>
      </c>
      <c r="H4093">
        <v>59400</v>
      </c>
      <c r="I4093">
        <v>10464.99</v>
      </c>
      <c r="J4093" t="s">
        <v>51</v>
      </c>
      <c r="K4093" t="s">
        <v>40</v>
      </c>
      <c r="L4093">
        <v>9900</v>
      </c>
      <c r="M4093">
        <v>17.617828282828281</v>
      </c>
      <c r="N4093" t="s">
        <v>8</v>
      </c>
      <c r="O4093" t="s">
        <v>926</v>
      </c>
      <c r="P4093" t="s">
        <v>83</v>
      </c>
      <c r="Q4093" t="s">
        <v>74</v>
      </c>
      <c r="R4093" t="s">
        <v>75</v>
      </c>
      <c r="S4093" t="s">
        <v>75</v>
      </c>
      <c r="T4093" t="s">
        <v>927</v>
      </c>
      <c r="U4093" t="s">
        <v>34</v>
      </c>
      <c r="V4093">
        <v>1744.165</v>
      </c>
    </row>
    <row r="4094" spans="1:22" x14ac:dyDescent="0.3">
      <c r="A4094" t="s">
        <v>5575</v>
      </c>
      <c r="B4094" s="2">
        <v>45917</v>
      </c>
      <c r="C4094" t="s">
        <v>2915</v>
      </c>
      <c r="D4094" t="s">
        <v>24</v>
      </c>
      <c r="E4094" t="s">
        <v>92</v>
      </c>
      <c r="F4094">
        <v>3</v>
      </c>
      <c r="G4094">
        <v>0.15</v>
      </c>
      <c r="H4094">
        <v>2295</v>
      </c>
      <c r="I4094">
        <v>520.41</v>
      </c>
      <c r="J4094" t="s">
        <v>26</v>
      </c>
      <c r="K4094" t="s">
        <v>40</v>
      </c>
      <c r="L4094">
        <v>765</v>
      </c>
      <c r="M4094">
        <v>22.67581699346405</v>
      </c>
      <c r="N4094" t="s">
        <v>8</v>
      </c>
      <c r="O4094" t="s">
        <v>2323</v>
      </c>
      <c r="P4094" t="s">
        <v>73</v>
      </c>
      <c r="Q4094" t="s">
        <v>131</v>
      </c>
      <c r="R4094" t="s">
        <v>132</v>
      </c>
      <c r="S4094" t="s">
        <v>133</v>
      </c>
      <c r="T4094" t="s">
        <v>2916</v>
      </c>
      <c r="U4094" t="s">
        <v>34</v>
      </c>
      <c r="V4094">
        <v>173.47</v>
      </c>
    </row>
    <row r="4095" spans="1:22" x14ac:dyDescent="0.3">
      <c r="A4095" t="s">
        <v>5576</v>
      </c>
      <c r="B4095" s="2">
        <v>46257</v>
      </c>
      <c r="C4095" t="s">
        <v>1824</v>
      </c>
      <c r="D4095" t="s">
        <v>70</v>
      </c>
      <c r="E4095" t="s">
        <v>108</v>
      </c>
      <c r="F4095">
        <v>2</v>
      </c>
      <c r="G4095">
        <v>0.15</v>
      </c>
      <c r="H4095">
        <v>7650</v>
      </c>
      <c r="I4095">
        <v>2076</v>
      </c>
      <c r="J4095" t="s">
        <v>39</v>
      </c>
      <c r="K4095" t="s">
        <v>40</v>
      </c>
      <c r="L4095">
        <v>3825</v>
      </c>
      <c r="M4095">
        <v>27.13725490196078</v>
      </c>
      <c r="N4095" t="s">
        <v>8</v>
      </c>
      <c r="O4095" t="s">
        <v>205</v>
      </c>
      <c r="P4095" t="s">
        <v>83</v>
      </c>
      <c r="Q4095" t="s">
        <v>30</v>
      </c>
      <c r="R4095" t="s">
        <v>31</v>
      </c>
      <c r="S4095" t="s">
        <v>32</v>
      </c>
      <c r="T4095" t="s">
        <v>303</v>
      </c>
      <c r="U4095" t="s">
        <v>46</v>
      </c>
      <c r="V4095">
        <v>1038</v>
      </c>
    </row>
    <row r="4096" spans="1:22" x14ac:dyDescent="0.3">
      <c r="A4096" t="s">
        <v>5577</v>
      </c>
      <c r="B4096" s="2">
        <v>45981</v>
      </c>
      <c r="C4096" t="s">
        <v>263</v>
      </c>
      <c r="D4096" t="s">
        <v>37</v>
      </c>
      <c r="E4096" t="s">
        <v>170</v>
      </c>
      <c r="F4096">
        <v>5</v>
      </c>
      <c r="G4096">
        <v>0.1</v>
      </c>
      <c r="H4096">
        <v>6300</v>
      </c>
      <c r="I4096">
        <v>2041.69</v>
      </c>
      <c r="J4096" t="s">
        <v>26</v>
      </c>
      <c r="K4096" t="s">
        <v>40</v>
      </c>
      <c r="L4096">
        <v>1260</v>
      </c>
      <c r="M4096">
        <v>32.407777777777781</v>
      </c>
      <c r="N4096" t="s">
        <v>8</v>
      </c>
      <c r="O4096" t="s">
        <v>265</v>
      </c>
      <c r="P4096" t="s">
        <v>73</v>
      </c>
      <c r="Q4096" t="s">
        <v>30</v>
      </c>
      <c r="R4096" t="s">
        <v>31</v>
      </c>
      <c r="S4096" t="s">
        <v>32</v>
      </c>
      <c r="T4096" t="s">
        <v>266</v>
      </c>
      <c r="U4096" t="s">
        <v>46</v>
      </c>
      <c r="V4096">
        <v>408.33800000000002</v>
      </c>
    </row>
    <row r="4097" spans="1:22" x14ac:dyDescent="0.3">
      <c r="A4097" t="s">
        <v>5578</v>
      </c>
      <c r="B4097" s="2">
        <v>46208</v>
      </c>
      <c r="C4097" t="s">
        <v>1164</v>
      </c>
      <c r="D4097" t="s">
        <v>70</v>
      </c>
      <c r="E4097" t="s">
        <v>129</v>
      </c>
      <c r="F4097">
        <v>1</v>
      </c>
      <c r="G4097">
        <v>0.2</v>
      </c>
      <c r="H4097">
        <v>44000</v>
      </c>
      <c r="I4097">
        <v>1967.64</v>
      </c>
      <c r="J4097" t="s">
        <v>65</v>
      </c>
      <c r="K4097" t="s">
        <v>40</v>
      </c>
      <c r="L4097">
        <v>44000</v>
      </c>
      <c r="M4097">
        <v>4.4719090909090911</v>
      </c>
      <c r="N4097" t="s">
        <v>8</v>
      </c>
      <c r="O4097" t="s">
        <v>284</v>
      </c>
      <c r="P4097" t="s">
        <v>29</v>
      </c>
      <c r="Q4097" t="s">
        <v>30</v>
      </c>
      <c r="R4097" t="s">
        <v>98</v>
      </c>
      <c r="S4097" t="s">
        <v>54</v>
      </c>
      <c r="T4097" t="s">
        <v>1165</v>
      </c>
      <c r="U4097" t="s">
        <v>105</v>
      </c>
      <c r="V4097">
        <v>1967.64</v>
      </c>
    </row>
    <row r="4098" spans="1:22" x14ac:dyDescent="0.3">
      <c r="A4098" t="s">
        <v>5579</v>
      </c>
      <c r="B4098" s="2">
        <v>45996</v>
      </c>
      <c r="C4098" t="s">
        <v>878</v>
      </c>
      <c r="D4098" t="s">
        <v>37</v>
      </c>
      <c r="E4098" t="s">
        <v>170</v>
      </c>
      <c r="F4098">
        <v>2</v>
      </c>
      <c r="G4098">
        <v>0.1</v>
      </c>
      <c r="H4098">
        <v>2520</v>
      </c>
      <c r="I4098">
        <v>815.3</v>
      </c>
      <c r="J4098" t="s">
        <v>51</v>
      </c>
      <c r="K4098" t="s">
        <v>40</v>
      </c>
      <c r="L4098">
        <v>1260</v>
      </c>
      <c r="M4098">
        <v>32.353174603174601</v>
      </c>
      <c r="N4098" t="s">
        <v>8</v>
      </c>
      <c r="O4098" t="s">
        <v>879</v>
      </c>
      <c r="P4098" t="s">
        <v>83</v>
      </c>
      <c r="Q4098" t="s">
        <v>30</v>
      </c>
      <c r="R4098" t="s">
        <v>98</v>
      </c>
      <c r="S4098" t="s">
        <v>54</v>
      </c>
      <c r="T4098" t="s">
        <v>880</v>
      </c>
      <c r="U4098" t="s">
        <v>46</v>
      </c>
      <c r="V4098">
        <v>407.65</v>
      </c>
    </row>
    <row r="4099" spans="1:22" x14ac:dyDescent="0.3">
      <c r="A4099" t="s">
        <v>5580</v>
      </c>
      <c r="B4099" s="2">
        <v>46203</v>
      </c>
      <c r="C4099" t="s">
        <v>2003</v>
      </c>
      <c r="D4099" t="s">
        <v>49</v>
      </c>
      <c r="E4099" t="s">
        <v>50</v>
      </c>
      <c r="F4099">
        <v>1</v>
      </c>
      <c r="G4099">
        <v>0.15</v>
      </c>
      <c r="H4099">
        <v>11050</v>
      </c>
      <c r="I4099">
        <v>2230.5700000000002</v>
      </c>
      <c r="J4099" t="s">
        <v>65</v>
      </c>
      <c r="K4099" t="s">
        <v>40</v>
      </c>
      <c r="L4099">
        <v>11050</v>
      </c>
      <c r="M4099">
        <v>20.18615384615385</v>
      </c>
      <c r="N4099" t="s">
        <v>8</v>
      </c>
      <c r="O4099" t="s">
        <v>1494</v>
      </c>
      <c r="P4099" t="s">
        <v>73</v>
      </c>
      <c r="Q4099" t="s">
        <v>74</v>
      </c>
      <c r="R4099" t="s">
        <v>115</v>
      </c>
      <c r="S4099" t="s">
        <v>115</v>
      </c>
      <c r="T4099" t="s">
        <v>2004</v>
      </c>
      <c r="U4099" t="s">
        <v>46</v>
      </c>
      <c r="V4099">
        <v>2230.5700000000002</v>
      </c>
    </row>
    <row r="4100" spans="1:22" x14ac:dyDescent="0.3">
      <c r="A4100" t="s">
        <v>5581</v>
      </c>
      <c r="B4100" s="2">
        <v>45936</v>
      </c>
      <c r="C4100" t="s">
        <v>1427</v>
      </c>
      <c r="D4100" t="s">
        <v>24</v>
      </c>
      <c r="E4100" t="s">
        <v>242</v>
      </c>
      <c r="F4100">
        <v>10</v>
      </c>
      <c r="G4100">
        <v>0.05</v>
      </c>
      <c r="H4100">
        <v>4275</v>
      </c>
      <c r="I4100">
        <v>992.6</v>
      </c>
      <c r="J4100" t="s">
        <v>65</v>
      </c>
      <c r="K4100" t="s">
        <v>40</v>
      </c>
      <c r="L4100">
        <v>427.5</v>
      </c>
      <c r="M4100">
        <v>23.218713450292402</v>
      </c>
      <c r="N4100" t="s">
        <v>8</v>
      </c>
      <c r="O4100" t="s">
        <v>1102</v>
      </c>
      <c r="P4100" t="s">
        <v>83</v>
      </c>
      <c r="Q4100" t="s">
        <v>74</v>
      </c>
      <c r="R4100" t="s">
        <v>493</v>
      </c>
      <c r="S4100" t="s">
        <v>494</v>
      </c>
      <c r="T4100" t="s">
        <v>1428</v>
      </c>
      <c r="U4100" t="s">
        <v>46</v>
      </c>
      <c r="V4100">
        <v>99.26</v>
      </c>
    </row>
    <row r="4101" spans="1:22" x14ac:dyDescent="0.3">
      <c r="A4101" t="s">
        <v>5582</v>
      </c>
      <c r="B4101" s="2">
        <v>45858</v>
      </c>
      <c r="C4101" t="s">
        <v>2017</v>
      </c>
      <c r="D4101" t="s">
        <v>70</v>
      </c>
      <c r="E4101" t="s">
        <v>165</v>
      </c>
      <c r="F4101">
        <v>1</v>
      </c>
      <c r="G4101">
        <v>0.05</v>
      </c>
      <c r="H4101">
        <v>2375</v>
      </c>
      <c r="I4101">
        <v>724.59</v>
      </c>
      <c r="J4101" t="s">
        <v>39</v>
      </c>
      <c r="K4101" t="s">
        <v>40</v>
      </c>
      <c r="L4101">
        <v>2375</v>
      </c>
      <c r="M4101">
        <v>30.50905263157895</v>
      </c>
      <c r="N4101" t="s">
        <v>8</v>
      </c>
      <c r="O4101" t="s">
        <v>844</v>
      </c>
      <c r="P4101" t="s">
        <v>29</v>
      </c>
      <c r="Q4101" t="s">
        <v>30</v>
      </c>
      <c r="R4101" t="s">
        <v>31</v>
      </c>
      <c r="S4101" t="s">
        <v>32</v>
      </c>
      <c r="T4101" t="s">
        <v>2018</v>
      </c>
      <c r="U4101" t="s">
        <v>34</v>
      </c>
      <c r="V4101">
        <v>724.59</v>
      </c>
    </row>
    <row r="4102" spans="1:22" x14ac:dyDescent="0.3">
      <c r="A4102" t="s">
        <v>5583</v>
      </c>
      <c r="B4102" s="2">
        <v>45867</v>
      </c>
      <c r="C4102" t="s">
        <v>1575</v>
      </c>
      <c r="D4102" t="s">
        <v>37</v>
      </c>
      <c r="E4102" t="s">
        <v>170</v>
      </c>
      <c r="F4102">
        <v>3</v>
      </c>
      <c r="G4102">
        <v>0.15</v>
      </c>
      <c r="H4102">
        <v>3570</v>
      </c>
      <c r="I4102">
        <v>1203.6600000000001</v>
      </c>
      <c r="J4102" t="s">
        <v>51</v>
      </c>
      <c r="K4102" t="s">
        <v>40</v>
      </c>
      <c r="L4102">
        <v>1190</v>
      </c>
      <c r="M4102">
        <v>33.715966386554634</v>
      </c>
      <c r="N4102" t="s">
        <v>8</v>
      </c>
      <c r="O4102" t="s">
        <v>349</v>
      </c>
      <c r="P4102" t="s">
        <v>83</v>
      </c>
      <c r="Q4102" t="s">
        <v>74</v>
      </c>
      <c r="R4102" t="s">
        <v>75</v>
      </c>
      <c r="S4102" t="s">
        <v>75</v>
      </c>
      <c r="T4102" t="s">
        <v>1576</v>
      </c>
      <c r="U4102" t="s">
        <v>34</v>
      </c>
      <c r="V4102">
        <v>401.22</v>
      </c>
    </row>
    <row r="4103" spans="1:22" x14ac:dyDescent="0.3">
      <c r="A4103" t="s">
        <v>5584</v>
      </c>
      <c r="B4103" s="2">
        <v>46109</v>
      </c>
      <c r="C4103" t="s">
        <v>1799</v>
      </c>
      <c r="D4103" t="s">
        <v>24</v>
      </c>
      <c r="E4103" t="s">
        <v>87</v>
      </c>
      <c r="F4103">
        <v>5</v>
      </c>
      <c r="G4103">
        <v>0.05</v>
      </c>
      <c r="H4103">
        <v>1662.5</v>
      </c>
      <c r="I4103">
        <v>532.54</v>
      </c>
      <c r="J4103" t="s">
        <v>65</v>
      </c>
      <c r="K4103" t="s">
        <v>27</v>
      </c>
      <c r="L4103">
        <v>332.5</v>
      </c>
      <c r="M4103">
        <v>32.032481203007521</v>
      </c>
      <c r="N4103" t="s">
        <v>8</v>
      </c>
      <c r="O4103" t="s">
        <v>1800</v>
      </c>
      <c r="P4103" t="s">
        <v>73</v>
      </c>
      <c r="Q4103" t="s">
        <v>30</v>
      </c>
      <c r="R4103" t="s">
        <v>98</v>
      </c>
      <c r="S4103" t="s">
        <v>54</v>
      </c>
      <c r="T4103" t="s">
        <v>1801</v>
      </c>
      <c r="U4103" t="s">
        <v>100</v>
      </c>
      <c r="V4103">
        <v>106.508</v>
      </c>
    </row>
    <row r="4104" spans="1:22" x14ac:dyDescent="0.3">
      <c r="A4104" t="s">
        <v>5585</v>
      </c>
      <c r="B4104" s="2">
        <v>46153</v>
      </c>
      <c r="C4104" t="s">
        <v>497</v>
      </c>
      <c r="D4104" t="s">
        <v>70</v>
      </c>
      <c r="E4104" t="s">
        <v>129</v>
      </c>
      <c r="F4104">
        <v>2</v>
      </c>
      <c r="G4104">
        <v>0.05</v>
      </c>
      <c r="H4104">
        <v>104500</v>
      </c>
      <c r="I4104">
        <v>14093.66</v>
      </c>
      <c r="J4104" t="s">
        <v>65</v>
      </c>
      <c r="K4104" t="s">
        <v>40</v>
      </c>
      <c r="L4104">
        <v>52250</v>
      </c>
      <c r="M4104">
        <v>13.48675598086124</v>
      </c>
      <c r="N4104" t="s">
        <v>8</v>
      </c>
      <c r="O4104" t="s">
        <v>498</v>
      </c>
      <c r="P4104" t="s">
        <v>29</v>
      </c>
      <c r="Q4104" t="s">
        <v>42</v>
      </c>
      <c r="R4104" t="s">
        <v>43</v>
      </c>
      <c r="S4104" t="s">
        <v>44</v>
      </c>
      <c r="T4104" t="s">
        <v>499</v>
      </c>
      <c r="U4104" t="s">
        <v>46</v>
      </c>
      <c r="V4104">
        <v>7046.83</v>
      </c>
    </row>
    <row r="4105" spans="1:22" x14ac:dyDescent="0.3">
      <c r="A4105" t="s">
        <v>5586</v>
      </c>
      <c r="B4105" s="2">
        <v>45946</v>
      </c>
      <c r="C4105" t="s">
        <v>577</v>
      </c>
      <c r="D4105" t="s">
        <v>70</v>
      </c>
      <c r="E4105" t="s">
        <v>129</v>
      </c>
      <c r="F4105">
        <v>1</v>
      </c>
      <c r="G4105">
        <v>0.1</v>
      </c>
      <c r="H4105">
        <v>49500</v>
      </c>
      <c r="I4105">
        <v>6431.53</v>
      </c>
      <c r="J4105" t="s">
        <v>51</v>
      </c>
      <c r="K4105" t="s">
        <v>40</v>
      </c>
      <c r="L4105">
        <v>49500</v>
      </c>
      <c r="M4105">
        <v>12.992989898989901</v>
      </c>
      <c r="N4105" t="s">
        <v>8</v>
      </c>
      <c r="O4105" t="s">
        <v>578</v>
      </c>
      <c r="P4105" t="s">
        <v>73</v>
      </c>
      <c r="Q4105" t="s">
        <v>30</v>
      </c>
      <c r="R4105" t="s">
        <v>98</v>
      </c>
      <c r="S4105" t="s">
        <v>54</v>
      </c>
      <c r="T4105" t="s">
        <v>579</v>
      </c>
      <c r="U4105" t="s">
        <v>46</v>
      </c>
      <c r="V4105">
        <v>6431.53</v>
      </c>
    </row>
    <row r="4106" spans="1:22" x14ac:dyDescent="0.3">
      <c r="A4106" t="s">
        <v>5587</v>
      </c>
      <c r="B4106" s="2">
        <v>46028</v>
      </c>
      <c r="C4106" t="s">
        <v>810</v>
      </c>
      <c r="D4106" t="s">
        <v>24</v>
      </c>
      <c r="E4106" t="s">
        <v>87</v>
      </c>
      <c r="F4106">
        <v>4</v>
      </c>
      <c r="G4106">
        <v>0</v>
      </c>
      <c r="H4106">
        <v>1400</v>
      </c>
      <c r="I4106">
        <v>480</v>
      </c>
      <c r="J4106" t="s">
        <v>65</v>
      </c>
      <c r="K4106" t="s">
        <v>27</v>
      </c>
      <c r="L4106">
        <v>350</v>
      </c>
      <c r="M4106">
        <v>34.285714285714278</v>
      </c>
      <c r="N4106" t="s">
        <v>8</v>
      </c>
      <c r="O4106" t="s">
        <v>811</v>
      </c>
      <c r="P4106" t="s">
        <v>73</v>
      </c>
      <c r="Q4106" t="s">
        <v>30</v>
      </c>
      <c r="R4106" t="s">
        <v>60</v>
      </c>
      <c r="S4106" t="s">
        <v>61</v>
      </c>
      <c r="T4106" t="s">
        <v>812</v>
      </c>
      <c r="U4106" t="s">
        <v>34</v>
      </c>
      <c r="V4106">
        <v>120</v>
      </c>
    </row>
    <row r="4107" spans="1:22" x14ac:dyDescent="0.3">
      <c r="A4107" t="s">
        <v>5588</v>
      </c>
      <c r="B4107" s="2">
        <v>46187</v>
      </c>
      <c r="C4107" t="s">
        <v>1433</v>
      </c>
      <c r="D4107" t="s">
        <v>49</v>
      </c>
      <c r="E4107" t="s">
        <v>58</v>
      </c>
      <c r="F4107">
        <v>3</v>
      </c>
      <c r="G4107">
        <v>0.1</v>
      </c>
      <c r="H4107">
        <v>40500</v>
      </c>
      <c r="I4107">
        <v>7033.72</v>
      </c>
      <c r="J4107" t="s">
        <v>65</v>
      </c>
      <c r="K4107" t="s">
        <v>40</v>
      </c>
      <c r="L4107">
        <v>13500</v>
      </c>
      <c r="M4107">
        <v>17.36720987654321</v>
      </c>
      <c r="N4107" t="s">
        <v>8</v>
      </c>
      <c r="O4107" t="s">
        <v>318</v>
      </c>
      <c r="P4107" t="s">
        <v>73</v>
      </c>
      <c r="Q4107" t="s">
        <v>30</v>
      </c>
      <c r="R4107" t="s">
        <v>53</v>
      </c>
      <c r="S4107" t="s">
        <v>54</v>
      </c>
      <c r="T4107" t="s">
        <v>1434</v>
      </c>
      <c r="U4107" t="s">
        <v>34</v>
      </c>
      <c r="V4107">
        <v>2344.5733333333328</v>
      </c>
    </row>
    <row r="4108" spans="1:22" x14ac:dyDescent="0.3">
      <c r="A4108" t="s">
        <v>5589</v>
      </c>
      <c r="B4108" s="2">
        <v>46236</v>
      </c>
      <c r="C4108" t="s">
        <v>788</v>
      </c>
      <c r="D4108" t="s">
        <v>70</v>
      </c>
      <c r="E4108" t="s">
        <v>71</v>
      </c>
      <c r="F4108">
        <v>1</v>
      </c>
      <c r="G4108">
        <v>0.15</v>
      </c>
      <c r="H4108">
        <v>15300</v>
      </c>
      <c r="I4108">
        <v>2247.64</v>
      </c>
      <c r="J4108" t="s">
        <v>65</v>
      </c>
      <c r="K4108" t="s">
        <v>40</v>
      </c>
      <c r="L4108">
        <v>15300</v>
      </c>
      <c r="M4108">
        <v>14.690457516339871</v>
      </c>
      <c r="N4108" t="s">
        <v>8</v>
      </c>
      <c r="O4108" t="s">
        <v>789</v>
      </c>
      <c r="P4108" t="s">
        <v>83</v>
      </c>
      <c r="Q4108" t="s">
        <v>74</v>
      </c>
      <c r="R4108" t="s">
        <v>75</v>
      </c>
      <c r="S4108" t="s">
        <v>75</v>
      </c>
      <c r="T4108" t="s">
        <v>790</v>
      </c>
      <c r="U4108" t="s">
        <v>34</v>
      </c>
      <c r="V4108">
        <v>2247.64</v>
      </c>
    </row>
    <row r="4109" spans="1:22" x14ac:dyDescent="0.3">
      <c r="A4109" t="s">
        <v>5590</v>
      </c>
      <c r="B4109" s="2">
        <v>46004</v>
      </c>
      <c r="C4109" t="s">
        <v>1148</v>
      </c>
      <c r="D4109" t="s">
        <v>70</v>
      </c>
      <c r="E4109" t="s">
        <v>129</v>
      </c>
      <c r="F4109">
        <v>1</v>
      </c>
      <c r="G4109">
        <v>0.05</v>
      </c>
      <c r="H4109">
        <v>52250</v>
      </c>
      <c r="I4109">
        <v>7337.45</v>
      </c>
      <c r="J4109" t="s">
        <v>65</v>
      </c>
      <c r="K4109" t="s">
        <v>27</v>
      </c>
      <c r="L4109">
        <v>52250</v>
      </c>
      <c r="M4109">
        <v>14.042966507177031</v>
      </c>
      <c r="N4109" t="s">
        <v>8</v>
      </c>
      <c r="O4109" t="s">
        <v>302</v>
      </c>
      <c r="P4109" t="s">
        <v>73</v>
      </c>
      <c r="Q4109" t="s">
        <v>42</v>
      </c>
      <c r="R4109" t="s">
        <v>214</v>
      </c>
      <c r="S4109" t="s">
        <v>111</v>
      </c>
      <c r="T4109" t="s">
        <v>1149</v>
      </c>
      <c r="U4109" t="s">
        <v>34</v>
      </c>
      <c r="V4109">
        <v>7337.45</v>
      </c>
    </row>
    <row r="4110" spans="1:22" x14ac:dyDescent="0.3">
      <c r="A4110" t="s">
        <v>5591</v>
      </c>
      <c r="B4110" s="2">
        <v>46099</v>
      </c>
      <c r="C4110" t="s">
        <v>152</v>
      </c>
      <c r="D4110" t="s">
        <v>70</v>
      </c>
      <c r="E4110" t="s">
        <v>129</v>
      </c>
      <c r="F4110">
        <v>3</v>
      </c>
      <c r="G4110">
        <v>0.1</v>
      </c>
      <c r="H4110">
        <v>148500</v>
      </c>
      <c r="I4110">
        <v>-70315.86</v>
      </c>
      <c r="J4110" t="s">
        <v>65</v>
      </c>
      <c r="K4110" t="s">
        <v>80</v>
      </c>
      <c r="L4110">
        <v>49500</v>
      </c>
      <c r="M4110">
        <v>-47.350747474747472</v>
      </c>
      <c r="N4110" t="s">
        <v>81</v>
      </c>
      <c r="O4110" t="s">
        <v>153</v>
      </c>
      <c r="P4110" t="s">
        <v>83</v>
      </c>
      <c r="Q4110" t="s">
        <v>30</v>
      </c>
      <c r="R4110" t="s">
        <v>53</v>
      </c>
      <c r="S4110" t="s">
        <v>54</v>
      </c>
      <c r="T4110" t="s">
        <v>154</v>
      </c>
      <c r="U4110" t="s">
        <v>100</v>
      </c>
      <c r="V4110">
        <v>-23438.62</v>
      </c>
    </row>
    <row r="4111" spans="1:22" x14ac:dyDescent="0.3">
      <c r="A4111" t="s">
        <v>5592</v>
      </c>
      <c r="B4111" s="2">
        <v>46171</v>
      </c>
      <c r="C4111" t="s">
        <v>1803</v>
      </c>
      <c r="D4111" t="s">
        <v>24</v>
      </c>
      <c r="E4111" t="s">
        <v>242</v>
      </c>
      <c r="F4111">
        <v>2</v>
      </c>
      <c r="G4111">
        <v>0.05</v>
      </c>
      <c r="H4111">
        <v>855</v>
      </c>
      <c r="I4111">
        <v>183.55</v>
      </c>
      <c r="J4111" t="s">
        <v>26</v>
      </c>
      <c r="K4111" t="s">
        <v>40</v>
      </c>
      <c r="L4111">
        <v>427.5</v>
      </c>
      <c r="M4111">
        <v>21.467836257309941</v>
      </c>
      <c r="N4111" t="s">
        <v>8</v>
      </c>
      <c r="O4111" t="s">
        <v>1804</v>
      </c>
      <c r="P4111" t="s">
        <v>29</v>
      </c>
      <c r="Q4111" t="s">
        <v>74</v>
      </c>
      <c r="R4111" t="s">
        <v>115</v>
      </c>
      <c r="S4111" t="s">
        <v>115</v>
      </c>
      <c r="T4111" t="s">
        <v>604</v>
      </c>
      <c r="U4111" t="s">
        <v>46</v>
      </c>
      <c r="V4111">
        <v>91.775000000000006</v>
      </c>
    </row>
    <row r="4112" spans="1:22" x14ac:dyDescent="0.3">
      <c r="A4112" t="s">
        <v>5593</v>
      </c>
      <c r="B4112" s="2">
        <v>45860</v>
      </c>
      <c r="C4112" t="s">
        <v>1152</v>
      </c>
      <c r="D4112" t="s">
        <v>24</v>
      </c>
      <c r="E4112" t="s">
        <v>92</v>
      </c>
      <c r="F4112">
        <v>2</v>
      </c>
      <c r="G4112">
        <v>0.1</v>
      </c>
      <c r="H4112">
        <v>1620</v>
      </c>
      <c r="I4112">
        <v>455.18</v>
      </c>
      <c r="J4112" t="s">
        <v>39</v>
      </c>
      <c r="K4112" t="s">
        <v>40</v>
      </c>
      <c r="L4112">
        <v>810</v>
      </c>
      <c r="M4112">
        <v>28.09753086419753</v>
      </c>
      <c r="N4112" t="s">
        <v>8</v>
      </c>
      <c r="O4112" t="s">
        <v>995</v>
      </c>
      <c r="P4112" t="s">
        <v>29</v>
      </c>
      <c r="Q4112" t="s">
        <v>30</v>
      </c>
      <c r="R4112" t="s">
        <v>31</v>
      </c>
      <c r="S4112" t="s">
        <v>32</v>
      </c>
      <c r="T4112" t="s">
        <v>960</v>
      </c>
      <c r="U4112" t="s">
        <v>100</v>
      </c>
      <c r="V4112">
        <v>227.59</v>
      </c>
    </row>
    <row r="4113" spans="1:22" x14ac:dyDescent="0.3">
      <c r="A4113" t="s">
        <v>5594</v>
      </c>
      <c r="B4113" s="2">
        <v>45987</v>
      </c>
      <c r="C4113" t="s">
        <v>726</v>
      </c>
      <c r="D4113" t="s">
        <v>70</v>
      </c>
      <c r="E4113" t="s">
        <v>71</v>
      </c>
      <c r="F4113">
        <v>3</v>
      </c>
      <c r="G4113">
        <v>0.15</v>
      </c>
      <c r="H4113">
        <v>45900</v>
      </c>
      <c r="I4113">
        <v>6258.61</v>
      </c>
      <c r="J4113" t="s">
        <v>51</v>
      </c>
      <c r="K4113" t="s">
        <v>40</v>
      </c>
      <c r="L4113">
        <v>15300</v>
      </c>
      <c r="M4113">
        <v>13.63531590413943</v>
      </c>
      <c r="N4113" t="s">
        <v>8</v>
      </c>
      <c r="O4113" t="s">
        <v>727</v>
      </c>
      <c r="P4113" t="s">
        <v>29</v>
      </c>
      <c r="Q4113" t="s">
        <v>30</v>
      </c>
      <c r="R4113" t="s">
        <v>31</v>
      </c>
      <c r="S4113" t="s">
        <v>32</v>
      </c>
      <c r="T4113" t="s">
        <v>33</v>
      </c>
      <c r="U4113" t="s">
        <v>34</v>
      </c>
      <c r="V4113">
        <v>2086.2033333333329</v>
      </c>
    </row>
    <row r="4114" spans="1:22" x14ac:dyDescent="0.3">
      <c r="A4114" t="s">
        <v>5595</v>
      </c>
      <c r="B4114" s="2">
        <v>45880</v>
      </c>
      <c r="C4114" t="s">
        <v>978</v>
      </c>
      <c r="D4114" t="s">
        <v>49</v>
      </c>
      <c r="E4114" t="s">
        <v>58</v>
      </c>
      <c r="F4114">
        <v>3</v>
      </c>
      <c r="G4114">
        <v>0</v>
      </c>
      <c r="H4114">
        <v>45000</v>
      </c>
      <c r="I4114">
        <v>-5257.26</v>
      </c>
      <c r="J4114" t="s">
        <v>51</v>
      </c>
      <c r="K4114" t="s">
        <v>434</v>
      </c>
      <c r="L4114">
        <v>15000</v>
      </c>
      <c r="M4114">
        <v>-11.6828</v>
      </c>
      <c r="N4114" t="s">
        <v>81</v>
      </c>
      <c r="O4114" t="s">
        <v>979</v>
      </c>
      <c r="P4114" t="s">
        <v>29</v>
      </c>
      <c r="Q4114" t="s">
        <v>42</v>
      </c>
      <c r="R4114" t="s">
        <v>121</v>
      </c>
      <c r="S4114" t="s">
        <v>44</v>
      </c>
      <c r="T4114" t="s">
        <v>415</v>
      </c>
      <c r="U4114" t="s">
        <v>34</v>
      </c>
      <c r="V4114">
        <v>-1752.42</v>
      </c>
    </row>
    <row r="4115" spans="1:22" x14ac:dyDescent="0.3">
      <c r="A4115" t="s">
        <v>5596</v>
      </c>
      <c r="B4115" s="2">
        <v>46115</v>
      </c>
      <c r="C4115" t="s">
        <v>1164</v>
      </c>
      <c r="D4115" t="s">
        <v>70</v>
      </c>
      <c r="E4115" t="s">
        <v>129</v>
      </c>
      <c r="F4115">
        <v>3</v>
      </c>
      <c r="G4115">
        <v>0.1</v>
      </c>
      <c r="H4115">
        <v>148500</v>
      </c>
      <c r="I4115">
        <v>-32085.32</v>
      </c>
      <c r="J4115" t="s">
        <v>26</v>
      </c>
      <c r="K4115" t="s">
        <v>434</v>
      </c>
      <c r="L4115">
        <v>49500</v>
      </c>
      <c r="M4115">
        <v>-21.60627609427609</v>
      </c>
      <c r="N4115" t="s">
        <v>81</v>
      </c>
      <c r="O4115" t="s">
        <v>284</v>
      </c>
      <c r="P4115" t="s">
        <v>29</v>
      </c>
      <c r="Q4115" t="s">
        <v>30</v>
      </c>
      <c r="R4115" t="s">
        <v>98</v>
      </c>
      <c r="S4115" t="s">
        <v>54</v>
      </c>
      <c r="T4115" t="s">
        <v>1165</v>
      </c>
      <c r="U4115" t="s">
        <v>105</v>
      </c>
      <c r="V4115">
        <v>-10695.10666666667</v>
      </c>
    </row>
    <row r="4116" spans="1:22" x14ac:dyDescent="0.3">
      <c r="A4116" t="s">
        <v>5597</v>
      </c>
      <c r="B4116" s="2">
        <v>46165</v>
      </c>
      <c r="C4116" t="s">
        <v>780</v>
      </c>
      <c r="D4116" t="s">
        <v>70</v>
      </c>
      <c r="E4116" t="s">
        <v>71</v>
      </c>
      <c r="F4116">
        <v>6</v>
      </c>
      <c r="G4116">
        <v>0.15</v>
      </c>
      <c r="H4116">
        <v>91800</v>
      </c>
      <c r="I4116">
        <v>9330.82</v>
      </c>
      <c r="J4116" t="s">
        <v>39</v>
      </c>
      <c r="K4116" t="s">
        <v>40</v>
      </c>
      <c r="L4116">
        <v>15300</v>
      </c>
      <c r="M4116">
        <v>10.16429193899782</v>
      </c>
      <c r="N4116" t="s">
        <v>8</v>
      </c>
      <c r="O4116" t="s">
        <v>781</v>
      </c>
      <c r="P4116" t="s">
        <v>73</v>
      </c>
      <c r="Q4116" t="s">
        <v>30</v>
      </c>
      <c r="R4116" t="s">
        <v>31</v>
      </c>
      <c r="S4116" t="s">
        <v>32</v>
      </c>
      <c r="T4116" t="s">
        <v>572</v>
      </c>
      <c r="U4116" t="s">
        <v>100</v>
      </c>
      <c r="V4116">
        <v>1555.136666666667</v>
      </c>
    </row>
    <row r="4117" spans="1:22" x14ac:dyDescent="0.3">
      <c r="A4117" t="s">
        <v>5598</v>
      </c>
      <c r="B4117" s="2">
        <v>45946</v>
      </c>
      <c r="C4117" t="s">
        <v>1276</v>
      </c>
      <c r="D4117" t="s">
        <v>24</v>
      </c>
      <c r="E4117" t="s">
        <v>242</v>
      </c>
      <c r="F4117">
        <v>4</v>
      </c>
      <c r="G4117">
        <v>0.05</v>
      </c>
      <c r="H4117">
        <v>1710</v>
      </c>
      <c r="I4117">
        <v>394.59</v>
      </c>
      <c r="J4117" t="s">
        <v>65</v>
      </c>
      <c r="K4117" t="s">
        <v>40</v>
      </c>
      <c r="L4117">
        <v>427.5</v>
      </c>
      <c r="M4117">
        <v>23.075438596491232</v>
      </c>
      <c r="N4117" t="s">
        <v>8</v>
      </c>
      <c r="O4117" t="s">
        <v>1277</v>
      </c>
      <c r="P4117" t="s">
        <v>73</v>
      </c>
      <c r="Q4117" t="s">
        <v>74</v>
      </c>
      <c r="R4117" t="s">
        <v>75</v>
      </c>
      <c r="S4117" t="s">
        <v>75</v>
      </c>
      <c r="T4117" t="s">
        <v>1278</v>
      </c>
      <c r="U4117" t="s">
        <v>34</v>
      </c>
      <c r="V4117">
        <v>98.647499999999994</v>
      </c>
    </row>
    <row r="4118" spans="1:22" x14ac:dyDescent="0.3">
      <c r="A4118" t="s">
        <v>5599</v>
      </c>
      <c r="B4118" s="2">
        <v>45886</v>
      </c>
      <c r="C4118" t="s">
        <v>4423</v>
      </c>
      <c r="D4118" t="s">
        <v>24</v>
      </c>
      <c r="E4118" t="s">
        <v>242</v>
      </c>
      <c r="F4118">
        <v>3</v>
      </c>
      <c r="G4118">
        <v>0.1</v>
      </c>
      <c r="H4118">
        <v>1215</v>
      </c>
      <c r="I4118">
        <v>263.39999999999998</v>
      </c>
      <c r="J4118" t="s">
        <v>26</v>
      </c>
      <c r="K4118" t="s">
        <v>40</v>
      </c>
      <c r="L4118">
        <v>405</v>
      </c>
      <c r="M4118">
        <v>21.679012345679009</v>
      </c>
      <c r="N4118" t="s">
        <v>8</v>
      </c>
      <c r="O4118" t="s">
        <v>329</v>
      </c>
      <c r="P4118" t="s">
        <v>29</v>
      </c>
      <c r="Q4118" t="s">
        <v>42</v>
      </c>
      <c r="R4118" t="s">
        <v>43</v>
      </c>
      <c r="S4118" t="s">
        <v>44</v>
      </c>
      <c r="T4118" t="s">
        <v>1561</v>
      </c>
      <c r="U4118" t="s">
        <v>105</v>
      </c>
      <c r="V4118">
        <v>87.8</v>
      </c>
    </row>
    <row r="4119" spans="1:22" x14ac:dyDescent="0.3">
      <c r="A4119" t="s">
        <v>5600</v>
      </c>
      <c r="B4119" s="2">
        <v>46203</v>
      </c>
      <c r="C4119" t="s">
        <v>1041</v>
      </c>
      <c r="D4119" t="s">
        <v>37</v>
      </c>
      <c r="E4119" t="s">
        <v>38</v>
      </c>
      <c r="F4119">
        <v>5</v>
      </c>
      <c r="G4119">
        <v>0.1</v>
      </c>
      <c r="H4119">
        <v>8100</v>
      </c>
      <c r="I4119">
        <v>2601.7199999999998</v>
      </c>
      <c r="J4119" t="s">
        <v>65</v>
      </c>
      <c r="K4119" t="s">
        <v>40</v>
      </c>
      <c r="L4119">
        <v>1620</v>
      </c>
      <c r="M4119">
        <v>32.119999999999997</v>
      </c>
      <c r="N4119" t="s">
        <v>8</v>
      </c>
      <c r="O4119" t="s">
        <v>153</v>
      </c>
      <c r="P4119" t="s">
        <v>83</v>
      </c>
      <c r="Q4119" t="s">
        <v>74</v>
      </c>
      <c r="R4119" t="s">
        <v>237</v>
      </c>
      <c r="S4119" t="s">
        <v>238</v>
      </c>
      <c r="T4119" t="s">
        <v>1042</v>
      </c>
      <c r="U4119" t="s">
        <v>46</v>
      </c>
      <c r="V4119">
        <v>520.34399999999994</v>
      </c>
    </row>
    <row r="4120" spans="1:22" x14ac:dyDescent="0.3">
      <c r="A4120" t="s">
        <v>5601</v>
      </c>
      <c r="B4120" s="2">
        <v>46021</v>
      </c>
      <c r="C4120" t="s">
        <v>301</v>
      </c>
      <c r="D4120" t="s">
        <v>70</v>
      </c>
      <c r="E4120" t="s">
        <v>165</v>
      </c>
      <c r="F4120">
        <v>1</v>
      </c>
      <c r="G4120">
        <v>0.1</v>
      </c>
      <c r="H4120">
        <v>2250</v>
      </c>
      <c r="I4120">
        <v>643</v>
      </c>
      <c r="J4120" t="s">
        <v>26</v>
      </c>
      <c r="K4120" t="s">
        <v>40</v>
      </c>
      <c r="L4120">
        <v>2250</v>
      </c>
      <c r="M4120">
        <v>28.577777777777779</v>
      </c>
      <c r="N4120" t="s">
        <v>8</v>
      </c>
      <c r="O4120" t="s">
        <v>302</v>
      </c>
      <c r="P4120" t="s">
        <v>29</v>
      </c>
      <c r="Q4120" t="s">
        <v>42</v>
      </c>
      <c r="R4120" t="s">
        <v>110</v>
      </c>
      <c r="S4120" t="s">
        <v>111</v>
      </c>
      <c r="T4120" t="s">
        <v>303</v>
      </c>
      <c r="U4120" t="s">
        <v>46</v>
      </c>
      <c r="V4120">
        <v>643</v>
      </c>
    </row>
    <row r="4121" spans="1:22" x14ac:dyDescent="0.3">
      <c r="A4121" t="s">
        <v>5602</v>
      </c>
      <c r="B4121" s="2">
        <v>46042</v>
      </c>
      <c r="C4121" t="s">
        <v>744</v>
      </c>
      <c r="D4121" t="s">
        <v>70</v>
      </c>
      <c r="E4121" t="s">
        <v>108</v>
      </c>
      <c r="F4121">
        <v>5</v>
      </c>
      <c r="G4121">
        <v>0.3</v>
      </c>
      <c r="H4121">
        <v>15750</v>
      </c>
      <c r="I4121">
        <v>3145.88</v>
      </c>
      <c r="J4121" t="s">
        <v>39</v>
      </c>
      <c r="K4121" t="s">
        <v>40</v>
      </c>
      <c r="L4121">
        <v>3150</v>
      </c>
      <c r="M4121">
        <v>19.97384126984127</v>
      </c>
      <c r="N4121" t="s">
        <v>8</v>
      </c>
      <c r="O4121" t="s">
        <v>745</v>
      </c>
      <c r="P4121" t="s">
        <v>29</v>
      </c>
      <c r="Q4121" t="s">
        <v>131</v>
      </c>
      <c r="R4121" t="s">
        <v>449</v>
      </c>
      <c r="S4121" t="s">
        <v>450</v>
      </c>
      <c r="T4121" t="s">
        <v>746</v>
      </c>
      <c r="U4121" t="s">
        <v>46</v>
      </c>
      <c r="V4121">
        <v>629.17600000000004</v>
      </c>
    </row>
    <row r="4122" spans="1:22" x14ac:dyDescent="0.3">
      <c r="A4122" t="s">
        <v>5603</v>
      </c>
      <c r="B4122" s="2">
        <v>45923</v>
      </c>
      <c r="C4122" t="s">
        <v>477</v>
      </c>
      <c r="D4122" t="s">
        <v>24</v>
      </c>
      <c r="E4122" t="s">
        <v>25</v>
      </c>
      <c r="F4122">
        <v>5</v>
      </c>
      <c r="G4122">
        <v>0</v>
      </c>
      <c r="H4122">
        <v>70000</v>
      </c>
      <c r="I4122">
        <v>-20145.72</v>
      </c>
      <c r="J4122" t="s">
        <v>39</v>
      </c>
      <c r="K4122" t="s">
        <v>80</v>
      </c>
      <c r="L4122">
        <v>14000</v>
      </c>
      <c r="M4122">
        <v>-28.779599999999999</v>
      </c>
      <c r="N4122" t="s">
        <v>81</v>
      </c>
      <c r="O4122" t="s">
        <v>478</v>
      </c>
      <c r="P4122" t="s">
        <v>73</v>
      </c>
      <c r="Q4122" t="s">
        <v>131</v>
      </c>
      <c r="R4122" t="s">
        <v>289</v>
      </c>
      <c r="S4122" t="s">
        <v>290</v>
      </c>
      <c r="T4122" t="s">
        <v>479</v>
      </c>
      <c r="U4122" t="s">
        <v>100</v>
      </c>
      <c r="V4122">
        <v>-4029.1439999999998</v>
      </c>
    </row>
    <row r="4123" spans="1:22" x14ac:dyDescent="0.3">
      <c r="A4123" t="s">
        <v>5604</v>
      </c>
      <c r="B4123" s="2">
        <v>46068</v>
      </c>
      <c r="C4123" t="s">
        <v>1050</v>
      </c>
      <c r="D4123" t="s">
        <v>37</v>
      </c>
      <c r="E4123" t="s">
        <v>170</v>
      </c>
      <c r="F4123">
        <v>2</v>
      </c>
      <c r="G4123">
        <v>0.1</v>
      </c>
      <c r="H4123">
        <v>2520</v>
      </c>
      <c r="I4123">
        <v>-280.64</v>
      </c>
      <c r="J4123" t="s">
        <v>51</v>
      </c>
      <c r="K4123" t="s">
        <v>80</v>
      </c>
      <c r="L4123">
        <v>1260</v>
      </c>
      <c r="M4123">
        <v>-11.13650793650794</v>
      </c>
      <c r="N4123" t="s">
        <v>81</v>
      </c>
      <c r="O4123" t="s">
        <v>82</v>
      </c>
      <c r="P4123" t="s">
        <v>73</v>
      </c>
      <c r="Q4123" t="s">
        <v>42</v>
      </c>
      <c r="R4123" t="s">
        <v>121</v>
      </c>
      <c r="S4123" t="s">
        <v>44</v>
      </c>
      <c r="T4123" t="s">
        <v>1051</v>
      </c>
      <c r="U4123" t="s">
        <v>34</v>
      </c>
      <c r="V4123">
        <v>-140.32</v>
      </c>
    </row>
    <row r="4124" spans="1:22" x14ac:dyDescent="0.3">
      <c r="A4124" t="s">
        <v>5605</v>
      </c>
      <c r="B4124" s="2">
        <v>46224</v>
      </c>
      <c r="C4124" t="s">
        <v>617</v>
      </c>
      <c r="D4124" t="s">
        <v>49</v>
      </c>
      <c r="E4124" t="s">
        <v>58</v>
      </c>
      <c r="F4124">
        <v>2</v>
      </c>
      <c r="G4124">
        <v>0.1</v>
      </c>
      <c r="H4124">
        <v>27000</v>
      </c>
      <c r="I4124">
        <v>5425.79</v>
      </c>
      <c r="J4124" t="s">
        <v>39</v>
      </c>
      <c r="K4124" t="s">
        <v>40</v>
      </c>
      <c r="L4124">
        <v>13500</v>
      </c>
      <c r="M4124">
        <v>20.095518518518521</v>
      </c>
      <c r="N4124" t="s">
        <v>8</v>
      </c>
      <c r="O4124" t="s">
        <v>618</v>
      </c>
      <c r="P4124" t="s">
        <v>83</v>
      </c>
      <c r="Q4124" t="s">
        <v>30</v>
      </c>
      <c r="R4124" t="s">
        <v>98</v>
      </c>
      <c r="S4124" t="s">
        <v>54</v>
      </c>
      <c r="T4124" t="s">
        <v>619</v>
      </c>
      <c r="U4124" t="s">
        <v>100</v>
      </c>
      <c r="V4124">
        <v>2712.895</v>
      </c>
    </row>
    <row r="4125" spans="1:22" x14ac:dyDescent="0.3">
      <c r="A4125" t="s">
        <v>5606</v>
      </c>
      <c r="B4125" s="2">
        <v>46265</v>
      </c>
      <c r="C4125" t="s">
        <v>340</v>
      </c>
      <c r="D4125" t="s">
        <v>49</v>
      </c>
      <c r="E4125" t="s">
        <v>119</v>
      </c>
      <c r="F4125">
        <v>1</v>
      </c>
      <c r="G4125">
        <v>0.05</v>
      </c>
      <c r="H4125">
        <v>8550</v>
      </c>
      <c r="I4125">
        <v>-232.47</v>
      </c>
      <c r="J4125" t="s">
        <v>51</v>
      </c>
      <c r="K4125" t="s">
        <v>434</v>
      </c>
      <c r="L4125">
        <v>8550</v>
      </c>
      <c r="M4125">
        <v>-2.7189473684210528</v>
      </c>
      <c r="N4125" t="s">
        <v>81</v>
      </c>
      <c r="O4125" t="s">
        <v>341</v>
      </c>
      <c r="P4125" t="s">
        <v>29</v>
      </c>
      <c r="Q4125" t="s">
        <v>30</v>
      </c>
      <c r="R4125" t="s">
        <v>98</v>
      </c>
      <c r="S4125" t="s">
        <v>54</v>
      </c>
      <c r="T4125" t="s">
        <v>342</v>
      </c>
      <c r="U4125" t="s">
        <v>100</v>
      </c>
      <c r="V4125">
        <v>-232.47</v>
      </c>
    </row>
    <row r="4126" spans="1:22" x14ac:dyDescent="0.3">
      <c r="A4126" t="s">
        <v>5607</v>
      </c>
      <c r="B4126" s="2">
        <v>46249</v>
      </c>
      <c r="C4126" t="s">
        <v>358</v>
      </c>
      <c r="D4126" t="s">
        <v>49</v>
      </c>
      <c r="E4126" t="s">
        <v>50</v>
      </c>
      <c r="F4126">
        <v>1</v>
      </c>
      <c r="G4126">
        <v>0.05</v>
      </c>
      <c r="H4126">
        <v>12350</v>
      </c>
      <c r="I4126">
        <v>-5290.49</v>
      </c>
      <c r="J4126" t="s">
        <v>65</v>
      </c>
      <c r="K4126" t="s">
        <v>80</v>
      </c>
      <c r="L4126">
        <v>12350</v>
      </c>
      <c r="M4126">
        <v>-42.837975708502022</v>
      </c>
      <c r="N4126" t="s">
        <v>81</v>
      </c>
      <c r="O4126" t="s">
        <v>359</v>
      </c>
      <c r="P4126" t="s">
        <v>83</v>
      </c>
      <c r="Q4126" t="s">
        <v>42</v>
      </c>
      <c r="R4126" t="s">
        <v>214</v>
      </c>
      <c r="S4126" t="s">
        <v>111</v>
      </c>
      <c r="T4126" t="s">
        <v>256</v>
      </c>
      <c r="U4126" t="s">
        <v>46</v>
      </c>
      <c r="V4126">
        <v>-5290.49</v>
      </c>
    </row>
    <row r="4127" spans="1:22" x14ac:dyDescent="0.3">
      <c r="A4127" t="s">
        <v>5608</v>
      </c>
      <c r="B4127" s="2">
        <v>45921</v>
      </c>
      <c r="C4127" t="s">
        <v>3024</v>
      </c>
      <c r="D4127" t="s">
        <v>70</v>
      </c>
      <c r="E4127" t="s">
        <v>71</v>
      </c>
      <c r="F4127">
        <v>2</v>
      </c>
      <c r="G4127">
        <v>0.05</v>
      </c>
      <c r="H4127">
        <v>34200</v>
      </c>
      <c r="I4127">
        <v>5674.85</v>
      </c>
      <c r="J4127" t="s">
        <v>39</v>
      </c>
      <c r="K4127" t="s">
        <v>40</v>
      </c>
      <c r="L4127">
        <v>17100</v>
      </c>
      <c r="M4127">
        <v>16.593128654970759</v>
      </c>
      <c r="N4127" t="s">
        <v>8</v>
      </c>
      <c r="O4127" t="s">
        <v>1466</v>
      </c>
      <c r="P4127" t="s">
        <v>29</v>
      </c>
      <c r="Q4127" t="s">
        <v>42</v>
      </c>
      <c r="R4127" t="s">
        <v>214</v>
      </c>
      <c r="S4127" t="s">
        <v>111</v>
      </c>
      <c r="T4127" t="s">
        <v>2425</v>
      </c>
      <c r="U4127" t="s">
        <v>34</v>
      </c>
      <c r="V4127">
        <v>2837.4250000000002</v>
      </c>
    </row>
    <row r="4128" spans="1:22" x14ac:dyDescent="0.3">
      <c r="A4128" t="s">
        <v>5609</v>
      </c>
      <c r="B4128" s="2">
        <v>45991</v>
      </c>
      <c r="C4128" t="s">
        <v>640</v>
      </c>
      <c r="D4128" t="s">
        <v>49</v>
      </c>
      <c r="E4128" t="s">
        <v>119</v>
      </c>
      <c r="F4128">
        <v>2</v>
      </c>
      <c r="G4128">
        <v>0.1</v>
      </c>
      <c r="H4128">
        <v>16200</v>
      </c>
      <c r="I4128">
        <v>3500.7</v>
      </c>
      <c r="J4128" t="s">
        <v>51</v>
      </c>
      <c r="K4128" t="s">
        <v>40</v>
      </c>
      <c r="L4128">
        <v>8100</v>
      </c>
      <c r="M4128">
        <v>21.609259259259261</v>
      </c>
      <c r="N4128" t="s">
        <v>8</v>
      </c>
      <c r="O4128" t="s">
        <v>641</v>
      </c>
      <c r="P4128" t="s">
        <v>29</v>
      </c>
      <c r="Q4128" t="s">
        <v>30</v>
      </c>
      <c r="R4128" t="s">
        <v>31</v>
      </c>
      <c r="S4128" t="s">
        <v>32</v>
      </c>
      <c r="T4128" t="s">
        <v>642</v>
      </c>
      <c r="U4128" t="s">
        <v>34</v>
      </c>
      <c r="V4128">
        <v>1750.35</v>
      </c>
    </row>
    <row r="4129" spans="1:22" x14ac:dyDescent="0.3">
      <c r="A4129" t="s">
        <v>5610</v>
      </c>
      <c r="B4129" s="2">
        <v>45939</v>
      </c>
      <c r="C4129" t="s">
        <v>1143</v>
      </c>
      <c r="D4129" t="s">
        <v>70</v>
      </c>
      <c r="E4129" t="s">
        <v>165</v>
      </c>
      <c r="F4129">
        <v>2</v>
      </c>
      <c r="G4129">
        <v>0.15</v>
      </c>
      <c r="H4129">
        <v>4250</v>
      </c>
      <c r="I4129">
        <v>1166.8900000000001</v>
      </c>
      <c r="J4129" t="s">
        <v>39</v>
      </c>
      <c r="K4129" t="s">
        <v>40</v>
      </c>
      <c r="L4129">
        <v>2125</v>
      </c>
      <c r="M4129">
        <v>27.456235294117651</v>
      </c>
      <c r="N4129" t="s">
        <v>8</v>
      </c>
      <c r="O4129" t="s">
        <v>1144</v>
      </c>
      <c r="P4129" t="s">
        <v>29</v>
      </c>
      <c r="Q4129" t="s">
        <v>30</v>
      </c>
      <c r="R4129" t="s">
        <v>31</v>
      </c>
      <c r="S4129" t="s">
        <v>32</v>
      </c>
      <c r="T4129" t="s">
        <v>1145</v>
      </c>
      <c r="U4129" t="s">
        <v>100</v>
      </c>
      <c r="V4129">
        <v>583.44500000000005</v>
      </c>
    </row>
    <row r="4130" spans="1:22" x14ac:dyDescent="0.3">
      <c r="A4130" t="s">
        <v>5611</v>
      </c>
      <c r="B4130" s="2">
        <v>46080</v>
      </c>
      <c r="C4130" t="s">
        <v>1433</v>
      </c>
      <c r="D4130" t="s">
        <v>49</v>
      </c>
      <c r="E4130" t="s">
        <v>79</v>
      </c>
      <c r="F4130">
        <v>3</v>
      </c>
      <c r="G4130">
        <v>0.2</v>
      </c>
      <c r="H4130">
        <v>26400</v>
      </c>
      <c r="I4130">
        <v>3953.56</v>
      </c>
      <c r="J4130" t="s">
        <v>39</v>
      </c>
      <c r="K4130" t="s">
        <v>40</v>
      </c>
      <c r="L4130">
        <v>8800</v>
      </c>
      <c r="M4130">
        <v>14.97560606060606</v>
      </c>
      <c r="N4130" t="s">
        <v>8</v>
      </c>
      <c r="O4130" t="s">
        <v>318</v>
      </c>
      <c r="P4130" t="s">
        <v>73</v>
      </c>
      <c r="Q4130" t="s">
        <v>30</v>
      </c>
      <c r="R4130" t="s">
        <v>53</v>
      </c>
      <c r="S4130" t="s">
        <v>54</v>
      </c>
      <c r="T4130" t="s">
        <v>1434</v>
      </c>
      <c r="U4130" t="s">
        <v>34</v>
      </c>
      <c r="V4130">
        <v>1317.853333333333</v>
      </c>
    </row>
    <row r="4131" spans="1:22" x14ac:dyDescent="0.3">
      <c r="A4131" t="s">
        <v>5612</v>
      </c>
      <c r="B4131" s="2">
        <v>46224</v>
      </c>
      <c r="C4131" t="s">
        <v>1193</v>
      </c>
      <c r="D4131" t="s">
        <v>70</v>
      </c>
      <c r="E4131" t="s">
        <v>165</v>
      </c>
      <c r="F4131">
        <v>3</v>
      </c>
      <c r="G4131">
        <v>0</v>
      </c>
      <c r="H4131">
        <v>7500</v>
      </c>
      <c r="I4131">
        <v>2400</v>
      </c>
      <c r="J4131" t="s">
        <v>51</v>
      </c>
      <c r="K4131" t="s">
        <v>40</v>
      </c>
      <c r="L4131">
        <v>2500</v>
      </c>
      <c r="M4131">
        <v>32</v>
      </c>
      <c r="N4131" t="s">
        <v>8</v>
      </c>
      <c r="O4131" t="s">
        <v>781</v>
      </c>
      <c r="P4131" t="s">
        <v>29</v>
      </c>
      <c r="Q4131" t="s">
        <v>30</v>
      </c>
      <c r="R4131" t="s">
        <v>31</v>
      </c>
      <c r="S4131" t="s">
        <v>32</v>
      </c>
      <c r="T4131" t="s">
        <v>1194</v>
      </c>
      <c r="U4131" t="s">
        <v>46</v>
      </c>
      <c r="V4131">
        <v>800</v>
      </c>
    </row>
    <row r="4132" spans="1:22" x14ac:dyDescent="0.3">
      <c r="A4132" t="s">
        <v>5613</v>
      </c>
      <c r="B4132" s="2">
        <v>45930</v>
      </c>
      <c r="C4132" t="s">
        <v>1346</v>
      </c>
      <c r="D4132" t="s">
        <v>49</v>
      </c>
      <c r="E4132" t="s">
        <v>119</v>
      </c>
      <c r="F4132">
        <v>1</v>
      </c>
      <c r="G4132">
        <v>0.1</v>
      </c>
      <c r="H4132">
        <v>8100</v>
      </c>
      <c r="I4132">
        <v>1814.78</v>
      </c>
      <c r="J4132" t="s">
        <v>39</v>
      </c>
      <c r="K4132" t="s">
        <v>40</v>
      </c>
      <c r="L4132">
        <v>8100</v>
      </c>
      <c r="M4132">
        <v>22.404691358024689</v>
      </c>
      <c r="N4132" t="s">
        <v>8</v>
      </c>
      <c r="O4132" t="s">
        <v>825</v>
      </c>
      <c r="P4132" t="s">
        <v>73</v>
      </c>
      <c r="Q4132" t="s">
        <v>30</v>
      </c>
      <c r="R4132" t="s">
        <v>98</v>
      </c>
      <c r="S4132" t="s">
        <v>54</v>
      </c>
      <c r="T4132" t="s">
        <v>1347</v>
      </c>
      <c r="U4132" t="s">
        <v>34</v>
      </c>
      <c r="V4132">
        <v>1814.78</v>
      </c>
    </row>
    <row r="4133" spans="1:22" x14ac:dyDescent="0.3">
      <c r="A4133" t="s">
        <v>5614</v>
      </c>
      <c r="B4133" s="2">
        <v>46130</v>
      </c>
      <c r="C4133" t="s">
        <v>667</v>
      </c>
      <c r="D4133" t="s">
        <v>24</v>
      </c>
      <c r="E4133" t="s">
        <v>92</v>
      </c>
      <c r="F4133">
        <v>4</v>
      </c>
      <c r="G4133">
        <v>0</v>
      </c>
      <c r="H4133">
        <v>3600</v>
      </c>
      <c r="I4133">
        <v>1120</v>
      </c>
      <c r="J4133" t="s">
        <v>39</v>
      </c>
      <c r="K4133" t="s">
        <v>40</v>
      </c>
      <c r="L4133">
        <v>900</v>
      </c>
      <c r="M4133">
        <v>31.111111111111111</v>
      </c>
      <c r="N4133" t="s">
        <v>8</v>
      </c>
      <c r="O4133" t="s">
        <v>668</v>
      </c>
      <c r="P4133" t="s">
        <v>29</v>
      </c>
      <c r="Q4133" t="s">
        <v>30</v>
      </c>
      <c r="R4133" t="s">
        <v>31</v>
      </c>
      <c r="S4133" t="s">
        <v>32</v>
      </c>
      <c r="T4133" t="s">
        <v>669</v>
      </c>
      <c r="U4133" t="s">
        <v>46</v>
      </c>
      <c r="V4133">
        <v>280</v>
      </c>
    </row>
    <row r="4134" spans="1:22" x14ac:dyDescent="0.3">
      <c r="A4134" t="s">
        <v>5615</v>
      </c>
      <c r="B4134" s="2">
        <v>46142</v>
      </c>
      <c r="C4134" t="s">
        <v>983</v>
      </c>
      <c r="D4134" t="s">
        <v>70</v>
      </c>
      <c r="E4134" t="s">
        <v>108</v>
      </c>
      <c r="F4134">
        <v>1</v>
      </c>
      <c r="G4134">
        <v>0</v>
      </c>
      <c r="H4134">
        <v>4500</v>
      </c>
      <c r="I4134">
        <v>1500</v>
      </c>
      <c r="J4134" t="s">
        <v>51</v>
      </c>
      <c r="K4134" t="s">
        <v>40</v>
      </c>
      <c r="L4134">
        <v>4500</v>
      </c>
      <c r="M4134">
        <v>33.333333333333329</v>
      </c>
      <c r="N4134" t="s">
        <v>8</v>
      </c>
      <c r="O4134" t="s">
        <v>984</v>
      </c>
      <c r="P4134" t="s">
        <v>29</v>
      </c>
      <c r="Q4134" t="s">
        <v>30</v>
      </c>
      <c r="R4134" t="s">
        <v>31</v>
      </c>
      <c r="S4134" t="s">
        <v>32</v>
      </c>
      <c r="T4134" t="s">
        <v>985</v>
      </c>
      <c r="U4134" t="s">
        <v>46</v>
      </c>
      <c r="V4134">
        <v>1500</v>
      </c>
    </row>
    <row r="4135" spans="1:22" x14ac:dyDescent="0.3">
      <c r="A4135" t="s">
        <v>5616</v>
      </c>
      <c r="B4135" s="2">
        <v>45987</v>
      </c>
      <c r="C4135" t="s">
        <v>1659</v>
      </c>
      <c r="D4135" t="s">
        <v>24</v>
      </c>
      <c r="E4135" t="s">
        <v>25</v>
      </c>
      <c r="F4135">
        <v>4</v>
      </c>
      <c r="G4135">
        <v>0.1</v>
      </c>
      <c r="H4135">
        <v>50400</v>
      </c>
      <c r="I4135">
        <v>-16336.21</v>
      </c>
      <c r="J4135" t="s">
        <v>65</v>
      </c>
      <c r="K4135" t="s">
        <v>434</v>
      </c>
      <c r="L4135">
        <v>12600</v>
      </c>
      <c r="M4135">
        <v>-32.413115079365078</v>
      </c>
      <c r="N4135" t="s">
        <v>81</v>
      </c>
      <c r="O4135" t="s">
        <v>166</v>
      </c>
      <c r="P4135" t="s">
        <v>83</v>
      </c>
      <c r="Q4135" t="s">
        <v>42</v>
      </c>
      <c r="R4135" t="s">
        <v>121</v>
      </c>
      <c r="S4135" t="s">
        <v>44</v>
      </c>
      <c r="T4135" t="s">
        <v>1660</v>
      </c>
      <c r="U4135" t="s">
        <v>100</v>
      </c>
      <c r="V4135">
        <v>-4084.0524999999998</v>
      </c>
    </row>
    <row r="4136" spans="1:22" x14ac:dyDescent="0.3">
      <c r="A4136" t="s">
        <v>5617</v>
      </c>
      <c r="B4136" s="2">
        <v>45839</v>
      </c>
      <c r="C4136" t="s">
        <v>2467</v>
      </c>
      <c r="D4136" t="s">
        <v>49</v>
      </c>
      <c r="E4136" t="s">
        <v>50</v>
      </c>
      <c r="F4136">
        <v>1</v>
      </c>
      <c r="G4136">
        <v>0</v>
      </c>
      <c r="H4136">
        <v>13000</v>
      </c>
      <c r="I4136">
        <v>3200</v>
      </c>
      <c r="J4136" t="s">
        <v>39</v>
      </c>
      <c r="K4136" t="s">
        <v>40</v>
      </c>
      <c r="L4136">
        <v>13000</v>
      </c>
      <c r="M4136">
        <v>24.61538461538462</v>
      </c>
      <c r="N4136" t="s">
        <v>8</v>
      </c>
      <c r="O4136" t="s">
        <v>213</v>
      </c>
      <c r="P4136" t="s">
        <v>29</v>
      </c>
      <c r="Q4136" t="s">
        <v>42</v>
      </c>
      <c r="R4136" t="s">
        <v>214</v>
      </c>
      <c r="S4136" t="s">
        <v>111</v>
      </c>
      <c r="T4136" t="s">
        <v>1103</v>
      </c>
      <c r="U4136" t="s">
        <v>46</v>
      </c>
      <c r="V4136">
        <v>3200</v>
      </c>
    </row>
    <row r="4137" spans="1:22" x14ac:dyDescent="0.3">
      <c r="A4137" t="s">
        <v>5618</v>
      </c>
      <c r="B4137" s="2">
        <v>45898</v>
      </c>
      <c r="C4137" t="s">
        <v>974</v>
      </c>
      <c r="D4137" t="s">
        <v>70</v>
      </c>
      <c r="E4137" t="s">
        <v>165</v>
      </c>
      <c r="F4137">
        <v>4</v>
      </c>
      <c r="G4137">
        <v>0.05</v>
      </c>
      <c r="H4137">
        <v>9500</v>
      </c>
      <c r="I4137">
        <v>2938.49</v>
      </c>
      <c r="J4137" t="s">
        <v>51</v>
      </c>
      <c r="K4137" t="s">
        <v>40</v>
      </c>
      <c r="L4137">
        <v>2375</v>
      </c>
      <c r="M4137">
        <v>30.93147368421053</v>
      </c>
      <c r="N4137" t="s">
        <v>8</v>
      </c>
      <c r="O4137" t="s">
        <v>975</v>
      </c>
      <c r="P4137" t="s">
        <v>73</v>
      </c>
      <c r="Q4137" t="s">
        <v>42</v>
      </c>
      <c r="R4137" t="s">
        <v>43</v>
      </c>
      <c r="S4137" t="s">
        <v>44</v>
      </c>
      <c r="T4137" t="s">
        <v>976</v>
      </c>
      <c r="U4137" t="s">
        <v>100</v>
      </c>
      <c r="V4137">
        <v>734.62249999999995</v>
      </c>
    </row>
    <row r="4138" spans="1:22" x14ac:dyDescent="0.3">
      <c r="A4138" t="s">
        <v>5619</v>
      </c>
      <c r="B4138" s="2">
        <v>46137</v>
      </c>
      <c r="C4138" t="s">
        <v>685</v>
      </c>
      <c r="D4138" t="s">
        <v>49</v>
      </c>
      <c r="E4138" t="s">
        <v>79</v>
      </c>
      <c r="F4138">
        <v>10</v>
      </c>
      <c r="G4138">
        <v>0.05</v>
      </c>
      <c r="H4138">
        <v>104500</v>
      </c>
      <c r="I4138">
        <v>23025.14</v>
      </c>
      <c r="J4138" t="s">
        <v>39</v>
      </c>
      <c r="K4138" t="s">
        <v>40</v>
      </c>
      <c r="L4138">
        <v>10450</v>
      </c>
      <c r="M4138">
        <v>22.033626794258371</v>
      </c>
      <c r="N4138" t="s">
        <v>8</v>
      </c>
      <c r="O4138" t="s">
        <v>686</v>
      </c>
      <c r="P4138" t="s">
        <v>29</v>
      </c>
      <c r="Q4138" t="s">
        <v>42</v>
      </c>
      <c r="R4138" t="s">
        <v>121</v>
      </c>
      <c r="S4138" t="s">
        <v>44</v>
      </c>
      <c r="T4138" t="s">
        <v>687</v>
      </c>
      <c r="U4138" t="s">
        <v>105</v>
      </c>
      <c r="V4138">
        <v>2302.5140000000001</v>
      </c>
    </row>
    <row r="4139" spans="1:22" x14ac:dyDescent="0.3">
      <c r="A4139" t="s">
        <v>5620</v>
      </c>
      <c r="B4139" s="2">
        <v>46244</v>
      </c>
      <c r="C4139" t="s">
        <v>152</v>
      </c>
      <c r="D4139" t="s">
        <v>24</v>
      </c>
      <c r="E4139" t="s">
        <v>87</v>
      </c>
      <c r="F4139">
        <v>1</v>
      </c>
      <c r="G4139">
        <v>0</v>
      </c>
      <c r="H4139">
        <v>350</v>
      </c>
      <c r="I4139">
        <v>-96.31</v>
      </c>
      <c r="J4139" t="s">
        <v>65</v>
      </c>
      <c r="K4139" t="s">
        <v>80</v>
      </c>
      <c r="L4139">
        <v>350</v>
      </c>
      <c r="M4139">
        <v>-27.517142857142861</v>
      </c>
      <c r="N4139" t="s">
        <v>81</v>
      </c>
      <c r="O4139" t="s">
        <v>153</v>
      </c>
      <c r="P4139" t="s">
        <v>83</v>
      </c>
      <c r="Q4139" t="s">
        <v>30</v>
      </c>
      <c r="R4139" t="s">
        <v>53</v>
      </c>
      <c r="S4139" t="s">
        <v>54</v>
      </c>
      <c r="T4139" t="s">
        <v>154</v>
      </c>
      <c r="U4139" t="s">
        <v>100</v>
      </c>
      <c r="V4139">
        <v>-96.31</v>
      </c>
    </row>
    <row r="4140" spans="1:22" x14ac:dyDescent="0.3">
      <c r="A4140" t="s">
        <v>5621</v>
      </c>
      <c r="B4140" s="2">
        <v>46086</v>
      </c>
      <c r="C4140" t="s">
        <v>1155</v>
      </c>
      <c r="D4140" t="s">
        <v>24</v>
      </c>
      <c r="E4140" t="s">
        <v>87</v>
      </c>
      <c r="F4140">
        <v>3</v>
      </c>
      <c r="G4140">
        <v>0.1</v>
      </c>
      <c r="H4140">
        <v>945</v>
      </c>
      <c r="I4140">
        <v>273.58</v>
      </c>
      <c r="J4140" t="s">
        <v>65</v>
      </c>
      <c r="K4140" t="s">
        <v>40</v>
      </c>
      <c r="L4140">
        <v>315</v>
      </c>
      <c r="M4140">
        <v>28.950264550264549</v>
      </c>
      <c r="N4140" t="s">
        <v>8</v>
      </c>
      <c r="O4140" t="s">
        <v>975</v>
      </c>
      <c r="P4140" t="s">
        <v>73</v>
      </c>
      <c r="Q4140" t="s">
        <v>74</v>
      </c>
      <c r="R4140" t="s">
        <v>75</v>
      </c>
      <c r="S4140" t="s">
        <v>75</v>
      </c>
      <c r="T4140" t="s">
        <v>1156</v>
      </c>
      <c r="U4140" t="s">
        <v>100</v>
      </c>
      <c r="V4140">
        <v>91.193333333333328</v>
      </c>
    </row>
    <row r="4141" spans="1:22" x14ac:dyDescent="0.3">
      <c r="A4141" t="s">
        <v>5622</v>
      </c>
      <c r="B4141" s="2">
        <v>45906</v>
      </c>
      <c r="C4141" t="s">
        <v>577</v>
      </c>
      <c r="D4141" t="s">
        <v>49</v>
      </c>
      <c r="E4141" t="s">
        <v>79</v>
      </c>
      <c r="F4141">
        <v>1</v>
      </c>
      <c r="G4141">
        <v>0.05</v>
      </c>
      <c r="H4141">
        <v>10450</v>
      </c>
      <c r="I4141">
        <v>2182.7399999999998</v>
      </c>
      <c r="J4141" t="s">
        <v>39</v>
      </c>
      <c r="K4141" t="s">
        <v>40</v>
      </c>
      <c r="L4141">
        <v>10450</v>
      </c>
      <c r="M4141">
        <v>20.88746411483254</v>
      </c>
      <c r="N4141" t="s">
        <v>8</v>
      </c>
      <c r="O4141" t="s">
        <v>578</v>
      </c>
      <c r="P4141" t="s">
        <v>73</v>
      </c>
      <c r="Q4141" t="s">
        <v>30</v>
      </c>
      <c r="R4141" t="s">
        <v>98</v>
      </c>
      <c r="S4141" t="s">
        <v>54</v>
      </c>
      <c r="T4141" t="s">
        <v>579</v>
      </c>
      <c r="U4141" t="s">
        <v>46</v>
      </c>
      <c r="V4141">
        <v>2182.7399999999998</v>
      </c>
    </row>
    <row r="4142" spans="1:22" x14ac:dyDescent="0.3">
      <c r="A4142" t="s">
        <v>5623</v>
      </c>
      <c r="B4142" s="2">
        <v>45910</v>
      </c>
      <c r="C4142" t="s">
        <v>2034</v>
      </c>
      <c r="D4142" t="s">
        <v>37</v>
      </c>
      <c r="E4142" t="s">
        <v>310</v>
      </c>
      <c r="F4142">
        <v>1</v>
      </c>
      <c r="G4142">
        <v>0.2</v>
      </c>
      <c r="H4142">
        <v>1760</v>
      </c>
      <c r="I4142">
        <v>478.09</v>
      </c>
      <c r="J4142" t="s">
        <v>65</v>
      </c>
      <c r="K4142" t="s">
        <v>40</v>
      </c>
      <c r="L4142">
        <v>1760</v>
      </c>
      <c r="M4142">
        <v>27.164204545454549</v>
      </c>
      <c r="N4142" t="s">
        <v>8</v>
      </c>
      <c r="O4142" t="s">
        <v>502</v>
      </c>
      <c r="P4142" t="s">
        <v>29</v>
      </c>
      <c r="Q4142" t="s">
        <v>30</v>
      </c>
      <c r="R4142" t="s">
        <v>98</v>
      </c>
      <c r="S4142" t="s">
        <v>54</v>
      </c>
      <c r="T4142" t="s">
        <v>2035</v>
      </c>
      <c r="U4142" t="s">
        <v>34</v>
      </c>
      <c r="V4142">
        <v>478.09</v>
      </c>
    </row>
    <row r="4143" spans="1:22" x14ac:dyDescent="0.3">
      <c r="A4143" t="s">
        <v>5624</v>
      </c>
      <c r="B4143" s="2">
        <v>45889</v>
      </c>
      <c r="C4143" t="s">
        <v>2182</v>
      </c>
      <c r="D4143" t="s">
        <v>70</v>
      </c>
      <c r="E4143" t="s">
        <v>129</v>
      </c>
      <c r="F4143">
        <v>1</v>
      </c>
      <c r="G4143">
        <v>0.1</v>
      </c>
      <c r="H4143">
        <v>49500</v>
      </c>
      <c r="I4143">
        <v>6113.71</v>
      </c>
      <c r="J4143" t="s">
        <v>51</v>
      </c>
      <c r="K4143" t="s">
        <v>40</v>
      </c>
      <c r="L4143">
        <v>49500</v>
      </c>
      <c r="M4143">
        <v>12.35092929292929</v>
      </c>
      <c r="N4143" t="s">
        <v>8</v>
      </c>
      <c r="O4143" t="s">
        <v>2183</v>
      </c>
      <c r="P4143" t="s">
        <v>73</v>
      </c>
      <c r="Q4143" t="s">
        <v>30</v>
      </c>
      <c r="R4143" t="s">
        <v>98</v>
      </c>
      <c r="S4143" t="s">
        <v>54</v>
      </c>
      <c r="T4143" t="s">
        <v>2184</v>
      </c>
      <c r="U4143" t="s">
        <v>105</v>
      </c>
      <c r="V4143">
        <v>6113.71</v>
      </c>
    </row>
    <row r="4144" spans="1:22" x14ac:dyDescent="0.3">
      <c r="A4144" t="s">
        <v>5625</v>
      </c>
      <c r="B4144" s="2">
        <v>46220</v>
      </c>
      <c r="C4144" t="s">
        <v>704</v>
      </c>
      <c r="D4144" t="s">
        <v>70</v>
      </c>
      <c r="E4144" t="s">
        <v>71</v>
      </c>
      <c r="F4144">
        <v>1</v>
      </c>
      <c r="G4144">
        <v>0.1</v>
      </c>
      <c r="H4144">
        <v>16200</v>
      </c>
      <c r="I4144">
        <v>-4694.13</v>
      </c>
      <c r="J4144" t="s">
        <v>65</v>
      </c>
      <c r="K4144" t="s">
        <v>80</v>
      </c>
      <c r="L4144">
        <v>16200</v>
      </c>
      <c r="M4144">
        <v>-28.976111111111109</v>
      </c>
      <c r="N4144" t="s">
        <v>81</v>
      </c>
      <c r="O4144" t="s">
        <v>705</v>
      </c>
      <c r="P4144" t="s">
        <v>83</v>
      </c>
      <c r="Q4144" t="s">
        <v>42</v>
      </c>
      <c r="R4144" t="s">
        <v>43</v>
      </c>
      <c r="S4144" t="s">
        <v>44</v>
      </c>
      <c r="T4144" t="s">
        <v>706</v>
      </c>
      <c r="U4144" t="s">
        <v>34</v>
      </c>
      <c r="V4144">
        <v>-4694.13</v>
      </c>
    </row>
    <row r="4145" spans="1:22" x14ac:dyDescent="0.3">
      <c r="A4145" t="s">
        <v>5626</v>
      </c>
      <c r="B4145" s="2">
        <v>45934</v>
      </c>
      <c r="C4145" t="s">
        <v>485</v>
      </c>
      <c r="D4145" t="s">
        <v>70</v>
      </c>
      <c r="E4145" t="s">
        <v>71</v>
      </c>
      <c r="F4145">
        <v>3</v>
      </c>
      <c r="G4145">
        <v>0.05</v>
      </c>
      <c r="H4145">
        <v>51300</v>
      </c>
      <c r="I4145">
        <v>8763.57</v>
      </c>
      <c r="J4145" t="s">
        <v>39</v>
      </c>
      <c r="K4145" t="s">
        <v>40</v>
      </c>
      <c r="L4145">
        <v>17100</v>
      </c>
      <c r="M4145">
        <v>17.08298245614035</v>
      </c>
      <c r="N4145" t="s">
        <v>8</v>
      </c>
      <c r="O4145" t="s">
        <v>59</v>
      </c>
      <c r="P4145" t="s">
        <v>73</v>
      </c>
      <c r="Q4145" t="s">
        <v>131</v>
      </c>
      <c r="R4145" t="s">
        <v>289</v>
      </c>
      <c r="S4145" t="s">
        <v>290</v>
      </c>
      <c r="T4145" t="s">
        <v>486</v>
      </c>
      <c r="U4145" t="s">
        <v>46</v>
      </c>
      <c r="V4145">
        <v>2921.19</v>
      </c>
    </row>
    <row r="4146" spans="1:22" x14ac:dyDescent="0.3">
      <c r="A4146" t="s">
        <v>5627</v>
      </c>
      <c r="B4146" s="2">
        <v>45922</v>
      </c>
      <c r="C4146" t="s">
        <v>1648</v>
      </c>
      <c r="D4146" t="s">
        <v>37</v>
      </c>
      <c r="E4146" t="s">
        <v>310</v>
      </c>
      <c r="F4146">
        <v>2</v>
      </c>
      <c r="G4146">
        <v>0.05</v>
      </c>
      <c r="H4146">
        <v>4180</v>
      </c>
      <c r="I4146">
        <v>1384.15</v>
      </c>
      <c r="J4146" t="s">
        <v>26</v>
      </c>
      <c r="K4146" t="s">
        <v>40</v>
      </c>
      <c r="L4146">
        <v>2090</v>
      </c>
      <c r="M4146">
        <v>33.113636363636367</v>
      </c>
      <c r="N4146" t="s">
        <v>8</v>
      </c>
      <c r="O4146" t="s">
        <v>1649</v>
      </c>
      <c r="P4146" t="s">
        <v>73</v>
      </c>
      <c r="Q4146" t="s">
        <v>30</v>
      </c>
      <c r="R4146" t="s">
        <v>98</v>
      </c>
      <c r="S4146" t="s">
        <v>54</v>
      </c>
      <c r="T4146" t="s">
        <v>1650</v>
      </c>
      <c r="U4146" t="s">
        <v>34</v>
      </c>
      <c r="V4146">
        <v>692.07500000000005</v>
      </c>
    </row>
    <row r="4147" spans="1:22" x14ac:dyDescent="0.3">
      <c r="A4147" t="s">
        <v>5628</v>
      </c>
      <c r="B4147" s="2">
        <v>46206</v>
      </c>
      <c r="C4147" t="s">
        <v>647</v>
      </c>
      <c r="D4147" t="s">
        <v>70</v>
      </c>
      <c r="E4147" t="s">
        <v>129</v>
      </c>
      <c r="F4147">
        <v>4</v>
      </c>
      <c r="G4147">
        <v>0.15</v>
      </c>
      <c r="H4147">
        <v>187000</v>
      </c>
      <c r="I4147">
        <v>10637.43</v>
      </c>
      <c r="J4147" t="s">
        <v>51</v>
      </c>
      <c r="K4147" t="s">
        <v>40</v>
      </c>
      <c r="L4147">
        <v>46750</v>
      </c>
      <c r="M4147">
        <v>5.6884652406417118</v>
      </c>
      <c r="N4147" t="s">
        <v>8</v>
      </c>
      <c r="O4147" t="s">
        <v>648</v>
      </c>
      <c r="P4147" t="s">
        <v>83</v>
      </c>
      <c r="Q4147" t="s">
        <v>42</v>
      </c>
      <c r="R4147" t="s">
        <v>43</v>
      </c>
      <c r="S4147" t="s">
        <v>44</v>
      </c>
      <c r="T4147" t="s">
        <v>649</v>
      </c>
      <c r="U4147" t="s">
        <v>100</v>
      </c>
      <c r="V4147">
        <v>2659.3575000000001</v>
      </c>
    </row>
    <row r="4148" spans="1:22" x14ac:dyDescent="0.3">
      <c r="A4148" t="s">
        <v>5629</v>
      </c>
      <c r="B4148" s="2">
        <v>45969</v>
      </c>
      <c r="C4148" t="s">
        <v>1809</v>
      </c>
      <c r="D4148" t="s">
        <v>49</v>
      </c>
      <c r="E4148" t="s">
        <v>50</v>
      </c>
      <c r="F4148">
        <v>2</v>
      </c>
      <c r="G4148">
        <v>0.2</v>
      </c>
      <c r="H4148">
        <v>20800</v>
      </c>
      <c r="I4148">
        <v>2203.63</v>
      </c>
      <c r="J4148" t="s">
        <v>51</v>
      </c>
      <c r="K4148" t="s">
        <v>40</v>
      </c>
      <c r="L4148">
        <v>10400</v>
      </c>
      <c r="M4148">
        <v>10.594374999999999</v>
      </c>
      <c r="N4148" t="s">
        <v>8</v>
      </c>
      <c r="O4148" t="s">
        <v>730</v>
      </c>
      <c r="P4148" t="s">
        <v>29</v>
      </c>
      <c r="Q4148" t="s">
        <v>74</v>
      </c>
      <c r="R4148" t="s">
        <v>115</v>
      </c>
      <c r="S4148" t="s">
        <v>115</v>
      </c>
      <c r="T4148" t="s">
        <v>1203</v>
      </c>
      <c r="U4148" t="s">
        <v>46</v>
      </c>
      <c r="V4148">
        <v>1101.8150000000001</v>
      </c>
    </row>
    <row r="4149" spans="1:22" x14ac:dyDescent="0.3">
      <c r="A4149" t="s">
        <v>5630</v>
      </c>
      <c r="B4149" s="2">
        <v>45978</v>
      </c>
      <c r="C4149" t="s">
        <v>57</v>
      </c>
      <c r="D4149" t="s">
        <v>24</v>
      </c>
      <c r="E4149" t="s">
        <v>242</v>
      </c>
      <c r="F4149">
        <v>2</v>
      </c>
      <c r="G4149">
        <v>0</v>
      </c>
      <c r="H4149">
        <v>900</v>
      </c>
      <c r="I4149">
        <v>-422.49</v>
      </c>
      <c r="J4149" t="s">
        <v>51</v>
      </c>
      <c r="K4149" t="s">
        <v>80</v>
      </c>
      <c r="L4149">
        <v>450</v>
      </c>
      <c r="M4149">
        <v>-46.943333333333342</v>
      </c>
      <c r="N4149" t="s">
        <v>81</v>
      </c>
      <c r="O4149" t="s">
        <v>59</v>
      </c>
      <c r="P4149" t="s">
        <v>29</v>
      </c>
      <c r="Q4149" t="s">
        <v>30</v>
      </c>
      <c r="R4149" t="s">
        <v>60</v>
      </c>
      <c r="S4149" t="s">
        <v>61</v>
      </c>
      <c r="T4149" t="s">
        <v>62</v>
      </c>
      <c r="U4149" t="s">
        <v>34</v>
      </c>
      <c r="V4149">
        <v>-211.245</v>
      </c>
    </row>
    <row r="4150" spans="1:22" x14ac:dyDescent="0.3">
      <c r="A4150" t="s">
        <v>5631</v>
      </c>
      <c r="B4150" s="2">
        <v>45979</v>
      </c>
      <c r="C4150" t="s">
        <v>3649</v>
      </c>
      <c r="D4150" t="s">
        <v>24</v>
      </c>
      <c r="E4150" t="s">
        <v>92</v>
      </c>
      <c r="F4150">
        <v>2</v>
      </c>
      <c r="G4150">
        <v>0.1</v>
      </c>
      <c r="H4150">
        <v>1620</v>
      </c>
      <c r="I4150">
        <v>417.23</v>
      </c>
      <c r="J4150" t="s">
        <v>39</v>
      </c>
      <c r="K4150" t="s">
        <v>40</v>
      </c>
      <c r="L4150">
        <v>810</v>
      </c>
      <c r="M4150">
        <v>25.754938271604939</v>
      </c>
      <c r="N4150" t="s">
        <v>8</v>
      </c>
      <c r="O4150" t="s">
        <v>255</v>
      </c>
      <c r="P4150" t="s">
        <v>29</v>
      </c>
      <c r="Q4150" t="s">
        <v>42</v>
      </c>
      <c r="R4150" t="s">
        <v>110</v>
      </c>
      <c r="S4150" t="s">
        <v>111</v>
      </c>
      <c r="T4150" t="s">
        <v>436</v>
      </c>
      <c r="U4150" t="s">
        <v>46</v>
      </c>
      <c r="V4150">
        <v>208.61500000000001</v>
      </c>
    </row>
    <row r="4151" spans="1:22" x14ac:dyDescent="0.3">
      <c r="A4151" t="s">
        <v>5632</v>
      </c>
      <c r="B4151" s="2">
        <v>46030</v>
      </c>
      <c r="C4151" t="s">
        <v>279</v>
      </c>
      <c r="D4151" t="s">
        <v>49</v>
      </c>
      <c r="E4151" t="s">
        <v>119</v>
      </c>
      <c r="F4151">
        <v>1</v>
      </c>
      <c r="G4151">
        <v>0.2</v>
      </c>
      <c r="H4151">
        <v>7200</v>
      </c>
      <c r="I4151">
        <v>-3553.82</v>
      </c>
      <c r="J4151" t="s">
        <v>65</v>
      </c>
      <c r="K4151" t="s">
        <v>434</v>
      </c>
      <c r="L4151">
        <v>7200</v>
      </c>
      <c r="M4151">
        <v>-49.358611111111109</v>
      </c>
      <c r="N4151" t="s">
        <v>81</v>
      </c>
      <c r="O4151" t="s">
        <v>280</v>
      </c>
      <c r="P4151" t="s">
        <v>73</v>
      </c>
      <c r="Q4151" t="s">
        <v>30</v>
      </c>
      <c r="R4151" t="s">
        <v>31</v>
      </c>
      <c r="S4151" t="s">
        <v>32</v>
      </c>
      <c r="T4151" t="s">
        <v>281</v>
      </c>
      <c r="U4151" t="s">
        <v>46</v>
      </c>
      <c r="V4151">
        <v>-3553.82</v>
      </c>
    </row>
    <row r="4152" spans="1:22" x14ac:dyDescent="0.3">
      <c r="A4152" t="s">
        <v>5633</v>
      </c>
      <c r="B4152" s="2">
        <v>46024</v>
      </c>
      <c r="C4152" t="s">
        <v>700</v>
      </c>
      <c r="D4152" t="s">
        <v>37</v>
      </c>
      <c r="E4152" t="s">
        <v>170</v>
      </c>
      <c r="F4152">
        <v>3</v>
      </c>
      <c r="G4152">
        <v>0.1</v>
      </c>
      <c r="H4152">
        <v>3780</v>
      </c>
      <c r="I4152">
        <v>1168.1400000000001</v>
      </c>
      <c r="J4152" t="s">
        <v>26</v>
      </c>
      <c r="K4152" t="s">
        <v>40</v>
      </c>
      <c r="L4152">
        <v>1260</v>
      </c>
      <c r="M4152">
        <v>30.903174603174609</v>
      </c>
      <c r="N4152" t="s">
        <v>8</v>
      </c>
      <c r="O4152" t="s">
        <v>701</v>
      </c>
      <c r="P4152" t="s">
        <v>29</v>
      </c>
      <c r="Q4152" t="s">
        <v>30</v>
      </c>
      <c r="R4152" t="s">
        <v>60</v>
      </c>
      <c r="S4152" t="s">
        <v>61</v>
      </c>
      <c r="T4152" t="s">
        <v>702</v>
      </c>
      <c r="U4152" t="s">
        <v>34</v>
      </c>
      <c r="V4152">
        <v>389.38000000000011</v>
      </c>
    </row>
    <row r="4153" spans="1:22" x14ac:dyDescent="0.3">
      <c r="A4153" t="s">
        <v>5634</v>
      </c>
      <c r="B4153" s="2">
        <v>46234</v>
      </c>
      <c r="C4153" t="s">
        <v>1060</v>
      </c>
      <c r="D4153" t="s">
        <v>70</v>
      </c>
      <c r="E4153" t="s">
        <v>129</v>
      </c>
      <c r="F4153">
        <v>3</v>
      </c>
      <c r="G4153">
        <v>0.3</v>
      </c>
      <c r="H4153">
        <v>115500</v>
      </c>
      <c r="I4153">
        <v>441.1</v>
      </c>
      <c r="J4153" t="s">
        <v>39</v>
      </c>
      <c r="K4153" t="s">
        <v>40</v>
      </c>
      <c r="L4153">
        <v>38500</v>
      </c>
      <c r="M4153">
        <v>0.38190476190476191</v>
      </c>
      <c r="N4153" t="s">
        <v>8</v>
      </c>
      <c r="O4153" t="s">
        <v>1061</v>
      </c>
      <c r="P4153" t="s">
        <v>73</v>
      </c>
      <c r="Q4153" t="s">
        <v>30</v>
      </c>
      <c r="R4153" t="s">
        <v>31</v>
      </c>
      <c r="S4153" t="s">
        <v>32</v>
      </c>
      <c r="T4153" t="s">
        <v>1062</v>
      </c>
      <c r="U4153" t="s">
        <v>46</v>
      </c>
      <c r="V4153">
        <v>147.0333333333333</v>
      </c>
    </row>
    <row r="4154" spans="1:22" x14ac:dyDescent="0.3">
      <c r="A4154" t="s">
        <v>5635</v>
      </c>
      <c r="B4154" s="2">
        <v>45872</v>
      </c>
      <c r="C4154" t="s">
        <v>1189</v>
      </c>
      <c r="D4154" t="s">
        <v>70</v>
      </c>
      <c r="E4154" t="s">
        <v>165</v>
      </c>
      <c r="F4154">
        <v>1</v>
      </c>
      <c r="G4154">
        <v>0.1</v>
      </c>
      <c r="H4154">
        <v>2250</v>
      </c>
      <c r="I4154">
        <v>631.69000000000005</v>
      </c>
      <c r="J4154" t="s">
        <v>65</v>
      </c>
      <c r="K4154" t="s">
        <v>40</v>
      </c>
      <c r="L4154">
        <v>2250</v>
      </c>
      <c r="M4154">
        <v>28.075111111111109</v>
      </c>
      <c r="N4154" t="s">
        <v>8</v>
      </c>
      <c r="O4154" t="s">
        <v>1190</v>
      </c>
      <c r="P4154" t="s">
        <v>83</v>
      </c>
      <c r="Q4154" t="s">
        <v>30</v>
      </c>
      <c r="R4154" t="s">
        <v>53</v>
      </c>
      <c r="S4154" t="s">
        <v>54</v>
      </c>
      <c r="T4154" t="s">
        <v>1191</v>
      </c>
      <c r="U4154" t="s">
        <v>34</v>
      </c>
      <c r="V4154">
        <v>631.69000000000005</v>
      </c>
    </row>
    <row r="4155" spans="1:22" x14ac:dyDescent="0.3">
      <c r="A4155" t="s">
        <v>5636</v>
      </c>
      <c r="B4155" s="2">
        <v>46168</v>
      </c>
      <c r="C4155" t="s">
        <v>1529</v>
      </c>
      <c r="D4155" t="s">
        <v>49</v>
      </c>
      <c r="E4155" t="s">
        <v>79</v>
      </c>
      <c r="F4155">
        <v>4</v>
      </c>
      <c r="G4155">
        <v>0.1</v>
      </c>
      <c r="H4155">
        <v>39600</v>
      </c>
      <c r="I4155">
        <v>8152.03</v>
      </c>
      <c r="J4155" t="s">
        <v>39</v>
      </c>
      <c r="K4155" t="s">
        <v>27</v>
      </c>
      <c r="L4155">
        <v>9900</v>
      </c>
      <c r="M4155">
        <v>20.585934343434339</v>
      </c>
      <c r="N4155" t="s">
        <v>8</v>
      </c>
      <c r="O4155" t="s">
        <v>717</v>
      </c>
      <c r="P4155" t="s">
        <v>73</v>
      </c>
      <c r="Q4155" t="s">
        <v>131</v>
      </c>
      <c r="R4155" t="s">
        <v>132</v>
      </c>
      <c r="S4155" t="s">
        <v>133</v>
      </c>
      <c r="T4155" t="s">
        <v>1530</v>
      </c>
      <c r="U4155" t="s">
        <v>46</v>
      </c>
      <c r="V4155">
        <v>2038.0074999999999</v>
      </c>
    </row>
    <row r="4156" spans="1:22" x14ac:dyDescent="0.3">
      <c r="A4156" t="s">
        <v>5637</v>
      </c>
      <c r="B4156" s="2">
        <v>45880</v>
      </c>
      <c r="C4156" t="s">
        <v>2271</v>
      </c>
      <c r="D4156" t="s">
        <v>24</v>
      </c>
      <c r="E4156" t="s">
        <v>25</v>
      </c>
      <c r="F4156">
        <v>3</v>
      </c>
      <c r="G4156">
        <v>0.1</v>
      </c>
      <c r="H4156">
        <v>37800</v>
      </c>
      <c r="I4156">
        <v>4859.3599999999997</v>
      </c>
      <c r="J4156" t="s">
        <v>39</v>
      </c>
      <c r="K4156" t="s">
        <v>27</v>
      </c>
      <c r="L4156">
        <v>12600</v>
      </c>
      <c r="M4156">
        <v>12.85544973544973</v>
      </c>
      <c r="N4156" t="s">
        <v>8</v>
      </c>
      <c r="O4156" t="s">
        <v>1538</v>
      </c>
      <c r="P4156" t="s">
        <v>73</v>
      </c>
      <c r="Q4156" t="s">
        <v>131</v>
      </c>
      <c r="R4156" t="s">
        <v>200</v>
      </c>
      <c r="S4156" t="s">
        <v>201</v>
      </c>
      <c r="T4156" t="s">
        <v>2272</v>
      </c>
      <c r="U4156" t="s">
        <v>34</v>
      </c>
      <c r="V4156">
        <v>1619.7866666666671</v>
      </c>
    </row>
    <row r="4157" spans="1:22" x14ac:dyDescent="0.3">
      <c r="A4157" t="s">
        <v>5638</v>
      </c>
      <c r="B4157" s="2">
        <v>45910</v>
      </c>
      <c r="C4157" t="s">
        <v>824</v>
      </c>
      <c r="D4157" t="s">
        <v>49</v>
      </c>
      <c r="E4157" t="s">
        <v>79</v>
      </c>
      <c r="F4157">
        <v>3</v>
      </c>
      <c r="G4157">
        <v>0.1</v>
      </c>
      <c r="H4157">
        <v>29700</v>
      </c>
      <c r="I4157">
        <v>5621.75</v>
      </c>
      <c r="J4157" t="s">
        <v>51</v>
      </c>
      <c r="K4157" t="s">
        <v>40</v>
      </c>
      <c r="L4157">
        <v>9900</v>
      </c>
      <c r="M4157">
        <v>18.92845117845118</v>
      </c>
      <c r="N4157" t="s">
        <v>8</v>
      </c>
      <c r="O4157" t="s">
        <v>825</v>
      </c>
      <c r="P4157" t="s">
        <v>29</v>
      </c>
      <c r="Q4157" t="s">
        <v>30</v>
      </c>
      <c r="R4157" t="s">
        <v>53</v>
      </c>
      <c r="S4157" t="s">
        <v>54</v>
      </c>
      <c r="T4157" t="s">
        <v>826</v>
      </c>
      <c r="U4157" t="s">
        <v>105</v>
      </c>
      <c r="V4157">
        <v>1873.916666666667</v>
      </c>
    </row>
    <row r="4158" spans="1:22" x14ac:dyDescent="0.3">
      <c r="A4158" t="s">
        <v>5639</v>
      </c>
      <c r="B4158" s="2">
        <v>46119</v>
      </c>
      <c r="C4158" t="s">
        <v>2327</v>
      </c>
      <c r="D4158" t="s">
        <v>24</v>
      </c>
      <c r="E4158" t="s">
        <v>87</v>
      </c>
      <c r="F4158">
        <v>3</v>
      </c>
      <c r="G4158">
        <v>0.05</v>
      </c>
      <c r="H4158">
        <v>997.5</v>
      </c>
      <c r="I4158">
        <v>325.72000000000003</v>
      </c>
      <c r="J4158" t="s">
        <v>39</v>
      </c>
      <c r="K4158" t="s">
        <v>40</v>
      </c>
      <c r="L4158">
        <v>332.5</v>
      </c>
      <c r="M4158">
        <v>32.653634085213042</v>
      </c>
      <c r="N4158" t="s">
        <v>8</v>
      </c>
      <c r="O4158" t="s">
        <v>825</v>
      </c>
      <c r="P4158" t="s">
        <v>73</v>
      </c>
      <c r="Q4158" t="s">
        <v>30</v>
      </c>
      <c r="R4158" t="s">
        <v>31</v>
      </c>
      <c r="S4158" t="s">
        <v>32</v>
      </c>
      <c r="T4158" t="s">
        <v>55</v>
      </c>
      <c r="U4158" t="s">
        <v>46</v>
      </c>
      <c r="V4158">
        <v>108.5733333333333</v>
      </c>
    </row>
    <row r="4159" spans="1:22" x14ac:dyDescent="0.3">
      <c r="A4159" t="s">
        <v>5640</v>
      </c>
      <c r="B4159" s="2">
        <v>46221</v>
      </c>
      <c r="C4159" t="s">
        <v>164</v>
      </c>
      <c r="D4159" t="s">
        <v>24</v>
      </c>
      <c r="E4159" t="s">
        <v>25</v>
      </c>
      <c r="F4159">
        <v>4</v>
      </c>
      <c r="G4159">
        <v>0.15</v>
      </c>
      <c r="H4159">
        <v>47600</v>
      </c>
      <c r="I4159">
        <v>-20945.009999999998</v>
      </c>
      <c r="J4159" t="s">
        <v>65</v>
      </c>
      <c r="K4159" t="s">
        <v>80</v>
      </c>
      <c r="L4159">
        <v>11900</v>
      </c>
      <c r="M4159">
        <v>-44.002121848739492</v>
      </c>
      <c r="N4159" t="s">
        <v>81</v>
      </c>
      <c r="O4159" t="s">
        <v>166</v>
      </c>
      <c r="P4159" t="s">
        <v>73</v>
      </c>
      <c r="Q4159" t="s">
        <v>30</v>
      </c>
      <c r="R4159" t="s">
        <v>53</v>
      </c>
      <c r="S4159" t="s">
        <v>54</v>
      </c>
      <c r="T4159" t="s">
        <v>167</v>
      </c>
      <c r="U4159" t="s">
        <v>46</v>
      </c>
      <c r="V4159">
        <v>-5236.2524999999996</v>
      </c>
    </row>
    <row r="4160" spans="1:22" x14ac:dyDescent="0.3">
      <c r="A4160" t="s">
        <v>5641</v>
      </c>
      <c r="B4160" s="2">
        <v>46133</v>
      </c>
      <c r="C4160" t="s">
        <v>313</v>
      </c>
      <c r="D4160" t="s">
        <v>70</v>
      </c>
      <c r="E4160" t="s">
        <v>71</v>
      </c>
      <c r="F4160">
        <v>3</v>
      </c>
      <c r="G4160">
        <v>0.1</v>
      </c>
      <c r="H4160">
        <v>48600</v>
      </c>
      <c r="I4160">
        <v>6720.19</v>
      </c>
      <c r="J4160" t="s">
        <v>39</v>
      </c>
      <c r="K4160" t="s">
        <v>40</v>
      </c>
      <c r="L4160">
        <v>16200</v>
      </c>
      <c r="M4160">
        <v>13.82755144032922</v>
      </c>
      <c r="N4160" t="s">
        <v>8</v>
      </c>
      <c r="O4160" t="s">
        <v>314</v>
      </c>
      <c r="P4160" t="s">
        <v>29</v>
      </c>
      <c r="Q4160" t="s">
        <v>30</v>
      </c>
      <c r="R4160" t="s">
        <v>98</v>
      </c>
      <c r="S4160" t="s">
        <v>54</v>
      </c>
      <c r="T4160" t="s">
        <v>315</v>
      </c>
      <c r="U4160" t="s">
        <v>100</v>
      </c>
      <c r="V4160">
        <v>2240.063333333333</v>
      </c>
    </row>
    <row r="4161" spans="1:22" x14ac:dyDescent="0.3">
      <c r="A4161" t="s">
        <v>5642</v>
      </c>
      <c r="B4161" s="2">
        <v>46170</v>
      </c>
      <c r="C4161" t="s">
        <v>91</v>
      </c>
      <c r="D4161" t="s">
        <v>24</v>
      </c>
      <c r="E4161" t="s">
        <v>87</v>
      </c>
      <c r="F4161">
        <v>1</v>
      </c>
      <c r="G4161">
        <v>0.05</v>
      </c>
      <c r="H4161">
        <v>332.5</v>
      </c>
      <c r="I4161">
        <v>108.72</v>
      </c>
      <c r="J4161" t="s">
        <v>39</v>
      </c>
      <c r="K4161" t="s">
        <v>40</v>
      </c>
      <c r="L4161">
        <v>332.5</v>
      </c>
      <c r="M4161">
        <v>32.697744360902263</v>
      </c>
      <c r="N4161" t="s">
        <v>8</v>
      </c>
      <c r="O4161" t="s">
        <v>93</v>
      </c>
      <c r="P4161" t="s">
        <v>73</v>
      </c>
      <c r="Q4161" t="s">
        <v>30</v>
      </c>
      <c r="R4161" t="s">
        <v>60</v>
      </c>
      <c r="S4161" t="s">
        <v>61</v>
      </c>
      <c r="T4161" t="s">
        <v>94</v>
      </c>
      <c r="U4161" t="s">
        <v>34</v>
      </c>
      <c r="V4161">
        <v>108.72</v>
      </c>
    </row>
    <row r="4162" spans="1:22" x14ac:dyDescent="0.3">
      <c r="A4162" t="s">
        <v>5643</v>
      </c>
      <c r="B4162" s="2">
        <v>45840</v>
      </c>
      <c r="C4162" t="s">
        <v>1028</v>
      </c>
      <c r="D4162" t="s">
        <v>49</v>
      </c>
      <c r="E4162" t="s">
        <v>50</v>
      </c>
      <c r="F4162">
        <v>4</v>
      </c>
      <c r="G4162">
        <v>0.15</v>
      </c>
      <c r="H4162">
        <v>44200</v>
      </c>
      <c r="I4162">
        <v>6260.18</v>
      </c>
      <c r="J4162" t="s">
        <v>65</v>
      </c>
      <c r="K4162" t="s">
        <v>40</v>
      </c>
      <c r="L4162">
        <v>11050</v>
      </c>
      <c r="M4162">
        <v>14.163303167420819</v>
      </c>
      <c r="N4162" t="s">
        <v>8</v>
      </c>
      <c r="O4162" t="s">
        <v>390</v>
      </c>
      <c r="P4162" t="s">
        <v>29</v>
      </c>
      <c r="Q4162" t="s">
        <v>74</v>
      </c>
      <c r="R4162" t="s">
        <v>237</v>
      </c>
      <c r="S4162" t="s">
        <v>238</v>
      </c>
      <c r="T4162" t="s">
        <v>1029</v>
      </c>
      <c r="U4162" t="s">
        <v>46</v>
      </c>
      <c r="V4162">
        <v>1565.0450000000001</v>
      </c>
    </row>
    <row r="4163" spans="1:22" x14ac:dyDescent="0.3">
      <c r="A4163" t="s">
        <v>5644</v>
      </c>
      <c r="B4163" s="2">
        <v>46196</v>
      </c>
      <c r="C4163" t="s">
        <v>5645</v>
      </c>
      <c r="D4163" t="s">
        <v>70</v>
      </c>
      <c r="E4163" t="s">
        <v>71</v>
      </c>
      <c r="F4163">
        <v>3</v>
      </c>
      <c r="G4163">
        <v>0.1</v>
      </c>
      <c r="H4163">
        <v>48600</v>
      </c>
      <c r="I4163">
        <v>7683.2</v>
      </c>
      <c r="J4163" t="s">
        <v>51</v>
      </c>
      <c r="K4163" t="s">
        <v>27</v>
      </c>
      <c r="L4163">
        <v>16200</v>
      </c>
      <c r="M4163">
        <v>15.809053497942379</v>
      </c>
      <c r="N4163" t="s">
        <v>8</v>
      </c>
      <c r="O4163" t="s">
        <v>1945</v>
      </c>
      <c r="P4163" t="s">
        <v>29</v>
      </c>
      <c r="Q4163" t="s">
        <v>74</v>
      </c>
      <c r="R4163" t="s">
        <v>493</v>
      </c>
      <c r="S4163" t="s">
        <v>494</v>
      </c>
      <c r="T4163" t="s">
        <v>1469</v>
      </c>
      <c r="U4163" t="s">
        <v>34</v>
      </c>
      <c r="V4163">
        <v>2561.0666666666671</v>
      </c>
    </row>
    <row r="4164" spans="1:22" x14ac:dyDescent="0.3">
      <c r="A4164" t="s">
        <v>5646</v>
      </c>
      <c r="B4164" s="2">
        <v>46124</v>
      </c>
      <c r="C4164" t="s">
        <v>1519</v>
      </c>
      <c r="D4164" t="s">
        <v>49</v>
      </c>
      <c r="E4164" t="s">
        <v>50</v>
      </c>
      <c r="F4164">
        <v>3</v>
      </c>
      <c r="G4164">
        <v>0</v>
      </c>
      <c r="H4164">
        <v>39000</v>
      </c>
      <c r="I4164">
        <v>9600</v>
      </c>
      <c r="J4164" t="s">
        <v>65</v>
      </c>
      <c r="K4164" t="s">
        <v>40</v>
      </c>
      <c r="L4164">
        <v>13000</v>
      </c>
      <c r="M4164">
        <v>24.61538461538462</v>
      </c>
      <c r="N4164" t="s">
        <v>8</v>
      </c>
      <c r="O4164" t="s">
        <v>1520</v>
      </c>
      <c r="P4164" t="s">
        <v>83</v>
      </c>
      <c r="Q4164" t="s">
        <v>30</v>
      </c>
      <c r="R4164" t="s">
        <v>31</v>
      </c>
      <c r="S4164" t="s">
        <v>32</v>
      </c>
      <c r="T4164" t="s">
        <v>1521</v>
      </c>
      <c r="U4164" t="s">
        <v>105</v>
      </c>
      <c r="V4164">
        <v>3200</v>
      </c>
    </row>
    <row r="4165" spans="1:22" x14ac:dyDescent="0.3">
      <c r="A4165" t="s">
        <v>5647</v>
      </c>
      <c r="B4165" s="2">
        <v>46077</v>
      </c>
      <c r="C4165" t="s">
        <v>1634</v>
      </c>
      <c r="D4165" t="s">
        <v>37</v>
      </c>
      <c r="E4165" t="s">
        <v>190</v>
      </c>
      <c r="F4165">
        <v>1</v>
      </c>
      <c r="G4165">
        <v>0.2</v>
      </c>
      <c r="H4165">
        <v>3360</v>
      </c>
      <c r="I4165">
        <v>567.47</v>
      </c>
      <c r="J4165" t="s">
        <v>51</v>
      </c>
      <c r="K4165" t="s">
        <v>27</v>
      </c>
      <c r="L4165">
        <v>3360</v>
      </c>
      <c r="M4165">
        <v>16.888988095238101</v>
      </c>
      <c r="N4165" t="s">
        <v>8</v>
      </c>
      <c r="O4165" t="s">
        <v>233</v>
      </c>
      <c r="P4165" t="s">
        <v>29</v>
      </c>
      <c r="Q4165" t="s">
        <v>600</v>
      </c>
      <c r="R4165" t="s">
        <v>237</v>
      </c>
      <c r="S4165" t="s">
        <v>238</v>
      </c>
      <c r="T4165" t="s">
        <v>1635</v>
      </c>
      <c r="U4165" t="s">
        <v>34</v>
      </c>
      <c r="V4165">
        <v>567.47</v>
      </c>
    </row>
    <row r="4166" spans="1:22" x14ac:dyDescent="0.3">
      <c r="A4166" t="s">
        <v>5648</v>
      </c>
      <c r="B4166" s="2">
        <v>45922</v>
      </c>
      <c r="C4166" t="s">
        <v>2500</v>
      </c>
      <c r="D4166" t="s">
        <v>37</v>
      </c>
      <c r="E4166" t="s">
        <v>310</v>
      </c>
      <c r="F4166">
        <v>2</v>
      </c>
      <c r="G4166">
        <v>0.05</v>
      </c>
      <c r="H4166">
        <v>4180</v>
      </c>
      <c r="I4166">
        <v>1359.62</v>
      </c>
      <c r="J4166" t="s">
        <v>65</v>
      </c>
      <c r="K4166" t="s">
        <v>40</v>
      </c>
      <c r="L4166">
        <v>2090</v>
      </c>
      <c r="M4166">
        <v>32.526794258373201</v>
      </c>
      <c r="N4166" t="s">
        <v>8</v>
      </c>
      <c r="O4166" t="s">
        <v>1169</v>
      </c>
      <c r="P4166" t="s">
        <v>29</v>
      </c>
      <c r="Q4166" t="s">
        <v>131</v>
      </c>
      <c r="R4166" t="s">
        <v>289</v>
      </c>
      <c r="S4166" t="s">
        <v>290</v>
      </c>
      <c r="T4166" t="s">
        <v>2501</v>
      </c>
      <c r="U4166" t="s">
        <v>105</v>
      </c>
      <c r="V4166">
        <v>679.81</v>
      </c>
    </row>
    <row r="4167" spans="1:22" x14ac:dyDescent="0.3">
      <c r="A4167" t="s">
        <v>5649</v>
      </c>
      <c r="B4167" s="2">
        <v>46219</v>
      </c>
      <c r="C4167" t="s">
        <v>272</v>
      </c>
      <c r="D4167" t="s">
        <v>49</v>
      </c>
      <c r="E4167" t="s">
        <v>119</v>
      </c>
      <c r="F4167">
        <v>1</v>
      </c>
      <c r="G4167">
        <v>0</v>
      </c>
      <c r="H4167">
        <v>9000</v>
      </c>
      <c r="I4167">
        <v>-2733.54</v>
      </c>
      <c r="J4167" t="s">
        <v>65</v>
      </c>
      <c r="K4167" t="s">
        <v>80</v>
      </c>
      <c r="L4167">
        <v>9000</v>
      </c>
      <c r="M4167">
        <v>-30.37266666666666</v>
      </c>
      <c r="N4167" t="s">
        <v>81</v>
      </c>
      <c r="O4167" t="s">
        <v>166</v>
      </c>
      <c r="P4167" t="s">
        <v>73</v>
      </c>
      <c r="Q4167" t="s">
        <v>30</v>
      </c>
      <c r="R4167" t="s">
        <v>98</v>
      </c>
      <c r="S4167" t="s">
        <v>54</v>
      </c>
      <c r="T4167" t="s">
        <v>273</v>
      </c>
      <c r="U4167" t="s">
        <v>105</v>
      </c>
      <c r="V4167">
        <v>-2733.54</v>
      </c>
    </row>
    <row r="4168" spans="1:22" x14ac:dyDescent="0.3">
      <c r="A4168" t="s">
        <v>5650</v>
      </c>
      <c r="B4168" s="2">
        <v>46087</v>
      </c>
      <c r="C4168" t="s">
        <v>1640</v>
      </c>
      <c r="D4168" t="s">
        <v>70</v>
      </c>
      <c r="E4168" t="s">
        <v>108</v>
      </c>
      <c r="F4168">
        <v>2</v>
      </c>
      <c r="G4168">
        <v>0.05</v>
      </c>
      <c r="H4168">
        <v>8550</v>
      </c>
      <c r="I4168">
        <v>2699.07</v>
      </c>
      <c r="J4168" t="s">
        <v>39</v>
      </c>
      <c r="K4168" t="s">
        <v>40</v>
      </c>
      <c r="L4168">
        <v>4275</v>
      </c>
      <c r="M4168">
        <v>31.568070175438599</v>
      </c>
      <c r="N4168" t="s">
        <v>8</v>
      </c>
      <c r="O4168" t="s">
        <v>1641</v>
      </c>
      <c r="P4168" t="s">
        <v>29</v>
      </c>
      <c r="Q4168" t="s">
        <v>42</v>
      </c>
      <c r="R4168" t="s">
        <v>121</v>
      </c>
      <c r="S4168" t="s">
        <v>44</v>
      </c>
      <c r="T4168" t="s">
        <v>790</v>
      </c>
      <c r="U4168" t="s">
        <v>46</v>
      </c>
      <c r="V4168">
        <v>1349.5350000000001</v>
      </c>
    </row>
    <row r="4169" spans="1:22" x14ac:dyDescent="0.3">
      <c r="A4169" t="s">
        <v>5651</v>
      </c>
      <c r="B4169" s="2">
        <v>46223</v>
      </c>
      <c r="C4169" t="s">
        <v>3640</v>
      </c>
      <c r="D4169" t="s">
        <v>49</v>
      </c>
      <c r="E4169" t="s">
        <v>50</v>
      </c>
      <c r="F4169">
        <v>1</v>
      </c>
      <c r="G4169">
        <v>0</v>
      </c>
      <c r="H4169">
        <v>13000</v>
      </c>
      <c r="I4169">
        <v>3200</v>
      </c>
      <c r="J4169" t="s">
        <v>51</v>
      </c>
      <c r="K4169" t="s">
        <v>40</v>
      </c>
      <c r="L4169">
        <v>13000</v>
      </c>
      <c r="M4169">
        <v>24.61538461538462</v>
      </c>
      <c r="N4169" t="s">
        <v>8</v>
      </c>
      <c r="O4169" t="s">
        <v>692</v>
      </c>
      <c r="P4169" t="s">
        <v>73</v>
      </c>
      <c r="Q4169" t="s">
        <v>42</v>
      </c>
      <c r="R4169" t="s">
        <v>214</v>
      </c>
      <c r="S4169" t="s">
        <v>111</v>
      </c>
      <c r="T4169" t="s">
        <v>62</v>
      </c>
      <c r="U4169" t="s">
        <v>46</v>
      </c>
      <c r="V4169">
        <v>3200</v>
      </c>
    </row>
    <row r="4170" spans="1:22" x14ac:dyDescent="0.3">
      <c r="A4170" t="s">
        <v>5652</v>
      </c>
      <c r="B4170" s="2">
        <v>46167</v>
      </c>
      <c r="C4170" t="s">
        <v>1427</v>
      </c>
      <c r="D4170" t="s">
        <v>37</v>
      </c>
      <c r="E4170" t="s">
        <v>38</v>
      </c>
      <c r="F4170">
        <v>1</v>
      </c>
      <c r="G4170">
        <v>0.1</v>
      </c>
      <c r="H4170">
        <v>1620</v>
      </c>
      <c r="I4170">
        <v>563.13</v>
      </c>
      <c r="J4170" t="s">
        <v>51</v>
      </c>
      <c r="K4170" t="s">
        <v>40</v>
      </c>
      <c r="L4170">
        <v>1620</v>
      </c>
      <c r="M4170">
        <v>34.761111111111113</v>
      </c>
      <c r="N4170" t="s">
        <v>8</v>
      </c>
      <c r="O4170" t="s">
        <v>1102</v>
      </c>
      <c r="P4170" t="s">
        <v>83</v>
      </c>
      <c r="Q4170" t="s">
        <v>74</v>
      </c>
      <c r="R4170" t="s">
        <v>493</v>
      </c>
      <c r="S4170" t="s">
        <v>494</v>
      </c>
      <c r="T4170" t="s">
        <v>1428</v>
      </c>
      <c r="U4170" t="s">
        <v>46</v>
      </c>
      <c r="V4170">
        <v>563.13</v>
      </c>
    </row>
    <row r="4171" spans="1:22" x14ac:dyDescent="0.3">
      <c r="A4171" t="s">
        <v>5653</v>
      </c>
      <c r="B4171" s="2">
        <v>45894</v>
      </c>
      <c r="C4171" t="s">
        <v>430</v>
      </c>
      <c r="D4171" t="s">
        <v>24</v>
      </c>
      <c r="E4171" t="s">
        <v>87</v>
      </c>
      <c r="F4171">
        <v>5</v>
      </c>
      <c r="G4171">
        <v>0.05</v>
      </c>
      <c r="H4171">
        <v>1662.5</v>
      </c>
      <c r="I4171">
        <v>555.66</v>
      </c>
      <c r="J4171" t="s">
        <v>26</v>
      </c>
      <c r="K4171" t="s">
        <v>40</v>
      </c>
      <c r="L4171">
        <v>332.5</v>
      </c>
      <c r="M4171">
        <v>33.423157894736839</v>
      </c>
      <c r="N4171" t="s">
        <v>8</v>
      </c>
      <c r="O4171" t="s">
        <v>431</v>
      </c>
      <c r="P4171" t="s">
        <v>29</v>
      </c>
      <c r="Q4171" t="s">
        <v>30</v>
      </c>
      <c r="R4171" t="s">
        <v>53</v>
      </c>
      <c r="S4171" t="s">
        <v>54</v>
      </c>
      <c r="T4171" t="s">
        <v>256</v>
      </c>
      <c r="U4171" t="s">
        <v>46</v>
      </c>
      <c r="V4171">
        <v>111.13200000000001</v>
      </c>
    </row>
    <row r="4172" spans="1:22" x14ac:dyDescent="0.3">
      <c r="A4172" t="s">
        <v>5654</v>
      </c>
      <c r="B4172" s="2">
        <v>46126</v>
      </c>
      <c r="C4172" t="s">
        <v>850</v>
      </c>
      <c r="D4172" t="s">
        <v>24</v>
      </c>
      <c r="E4172" t="s">
        <v>92</v>
      </c>
      <c r="F4172">
        <v>6</v>
      </c>
      <c r="G4172">
        <v>0.2</v>
      </c>
      <c r="H4172">
        <v>4320</v>
      </c>
      <c r="I4172">
        <v>941.22</v>
      </c>
      <c r="J4172" t="s">
        <v>65</v>
      </c>
      <c r="K4172" t="s">
        <v>40</v>
      </c>
      <c r="L4172">
        <v>720</v>
      </c>
      <c r="M4172">
        <v>21.787500000000001</v>
      </c>
      <c r="N4172" t="s">
        <v>8</v>
      </c>
      <c r="O4172" t="s">
        <v>851</v>
      </c>
      <c r="P4172" t="s">
        <v>29</v>
      </c>
      <c r="Q4172" t="s">
        <v>30</v>
      </c>
      <c r="R4172" t="s">
        <v>60</v>
      </c>
      <c r="S4172" t="s">
        <v>61</v>
      </c>
      <c r="T4172" t="s">
        <v>852</v>
      </c>
      <c r="U4172" t="s">
        <v>46</v>
      </c>
      <c r="V4172">
        <v>156.87</v>
      </c>
    </row>
    <row r="4173" spans="1:22" x14ac:dyDescent="0.3">
      <c r="A4173" t="s">
        <v>5655</v>
      </c>
      <c r="B4173" s="2">
        <v>46022</v>
      </c>
      <c r="C4173" t="s">
        <v>481</v>
      </c>
      <c r="D4173" t="s">
        <v>49</v>
      </c>
      <c r="E4173" t="s">
        <v>58</v>
      </c>
      <c r="F4173">
        <v>2</v>
      </c>
      <c r="G4173">
        <v>0.05</v>
      </c>
      <c r="H4173">
        <v>28500</v>
      </c>
      <c r="I4173">
        <v>6089.57</v>
      </c>
      <c r="J4173" t="s">
        <v>26</v>
      </c>
      <c r="K4173" t="s">
        <v>27</v>
      </c>
      <c r="L4173">
        <v>14250</v>
      </c>
      <c r="M4173">
        <v>21.366912280701751</v>
      </c>
      <c r="N4173" t="s">
        <v>8</v>
      </c>
      <c r="O4173" t="s">
        <v>482</v>
      </c>
      <c r="P4173" t="s">
        <v>83</v>
      </c>
      <c r="Q4173" t="s">
        <v>30</v>
      </c>
      <c r="R4173" t="s">
        <v>31</v>
      </c>
      <c r="S4173" t="s">
        <v>32</v>
      </c>
      <c r="T4173" t="s">
        <v>483</v>
      </c>
      <c r="U4173" t="s">
        <v>46</v>
      </c>
      <c r="V4173">
        <v>3044.7849999999999</v>
      </c>
    </row>
    <row r="4174" spans="1:22" x14ac:dyDescent="0.3">
      <c r="A4174" t="s">
        <v>5656</v>
      </c>
      <c r="B4174" s="2">
        <v>46053</v>
      </c>
      <c r="C4174" t="s">
        <v>426</v>
      </c>
      <c r="D4174" t="s">
        <v>24</v>
      </c>
      <c r="E4174" t="s">
        <v>87</v>
      </c>
      <c r="F4174">
        <v>3</v>
      </c>
      <c r="G4174">
        <v>0</v>
      </c>
      <c r="H4174">
        <v>1050</v>
      </c>
      <c r="I4174">
        <v>360</v>
      </c>
      <c r="J4174" t="s">
        <v>39</v>
      </c>
      <c r="K4174" t="s">
        <v>27</v>
      </c>
      <c r="L4174">
        <v>350</v>
      </c>
      <c r="M4174">
        <v>34.285714285714278</v>
      </c>
      <c r="N4174" t="s">
        <v>8</v>
      </c>
      <c r="O4174" t="s">
        <v>427</v>
      </c>
      <c r="P4174" t="s">
        <v>73</v>
      </c>
      <c r="Q4174" t="s">
        <v>30</v>
      </c>
      <c r="R4174" t="s">
        <v>60</v>
      </c>
      <c r="S4174" t="s">
        <v>61</v>
      </c>
      <c r="T4174" t="s">
        <v>428</v>
      </c>
      <c r="U4174" t="s">
        <v>34</v>
      </c>
      <c r="V4174">
        <v>120</v>
      </c>
    </row>
    <row r="4175" spans="1:22" x14ac:dyDescent="0.3">
      <c r="A4175" t="s">
        <v>5657</v>
      </c>
      <c r="B4175" s="2">
        <v>45996</v>
      </c>
      <c r="C4175" t="s">
        <v>1849</v>
      </c>
      <c r="D4175" t="s">
        <v>24</v>
      </c>
      <c r="E4175" t="s">
        <v>87</v>
      </c>
      <c r="F4175">
        <v>3</v>
      </c>
      <c r="G4175">
        <v>0.1</v>
      </c>
      <c r="H4175">
        <v>945</v>
      </c>
      <c r="I4175">
        <v>290.69</v>
      </c>
      <c r="J4175" t="s">
        <v>65</v>
      </c>
      <c r="K4175" t="s">
        <v>40</v>
      </c>
      <c r="L4175">
        <v>315</v>
      </c>
      <c r="M4175">
        <v>30.760846560846559</v>
      </c>
      <c r="N4175" t="s">
        <v>8</v>
      </c>
      <c r="O4175" t="s">
        <v>171</v>
      </c>
      <c r="P4175" t="s">
        <v>83</v>
      </c>
      <c r="Q4175" t="s">
        <v>131</v>
      </c>
      <c r="R4175" t="s">
        <v>289</v>
      </c>
      <c r="S4175" t="s">
        <v>290</v>
      </c>
      <c r="T4175" t="s">
        <v>1850</v>
      </c>
      <c r="U4175" t="s">
        <v>34</v>
      </c>
      <c r="V4175">
        <v>96.896666666666661</v>
      </c>
    </row>
    <row r="4176" spans="1:22" x14ac:dyDescent="0.3">
      <c r="A4176" t="s">
        <v>5658</v>
      </c>
      <c r="B4176" s="2">
        <v>46070</v>
      </c>
      <c r="C4176" t="s">
        <v>635</v>
      </c>
      <c r="D4176" t="s">
        <v>49</v>
      </c>
      <c r="E4176" t="s">
        <v>50</v>
      </c>
      <c r="F4176">
        <v>1</v>
      </c>
      <c r="G4176">
        <v>0.15</v>
      </c>
      <c r="H4176">
        <v>11050</v>
      </c>
      <c r="I4176">
        <v>1655.21</v>
      </c>
      <c r="J4176" t="s">
        <v>65</v>
      </c>
      <c r="K4176" t="s">
        <v>40</v>
      </c>
      <c r="L4176">
        <v>11050</v>
      </c>
      <c r="M4176">
        <v>14.979276018099551</v>
      </c>
      <c r="N4176" t="s">
        <v>8</v>
      </c>
      <c r="O4176" t="s">
        <v>636</v>
      </c>
      <c r="P4176" t="s">
        <v>29</v>
      </c>
      <c r="Q4176" t="s">
        <v>42</v>
      </c>
      <c r="R4176" t="s">
        <v>214</v>
      </c>
      <c r="S4176" t="s">
        <v>111</v>
      </c>
      <c r="T4176" t="s">
        <v>637</v>
      </c>
      <c r="U4176" t="s">
        <v>100</v>
      </c>
      <c r="V4176">
        <v>1655.21</v>
      </c>
    </row>
    <row r="4177" spans="1:22" x14ac:dyDescent="0.3">
      <c r="A4177" t="s">
        <v>5659</v>
      </c>
      <c r="B4177" s="2">
        <v>45887</v>
      </c>
      <c r="C4177" t="s">
        <v>321</v>
      </c>
      <c r="D4177" t="s">
        <v>37</v>
      </c>
      <c r="E4177" t="s">
        <v>190</v>
      </c>
      <c r="F4177">
        <v>1</v>
      </c>
      <c r="G4177">
        <v>0.15</v>
      </c>
      <c r="H4177">
        <v>3570</v>
      </c>
      <c r="I4177">
        <v>-1905</v>
      </c>
      <c r="J4177" t="s">
        <v>51</v>
      </c>
      <c r="K4177" t="s">
        <v>434</v>
      </c>
      <c r="L4177">
        <v>3570</v>
      </c>
      <c r="M4177">
        <v>-53.361344537815128</v>
      </c>
      <c r="N4177" t="s">
        <v>81</v>
      </c>
      <c r="O4177" t="s">
        <v>322</v>
      </c>
      <c r="P4177" t="s">
        <v>29</v>
      </c>
      <c r="Q4177" t="s">
        <v>30</v>
      </c>
      <c r="R4177" t="s">
        <v>31</v>
      </c>
      <c r="S4177" t="s">
        <v>32</v>
      </c>
      <c r="T4177" t="s">
        <v>323</v>
      </c>
      <c r="U4177" t="s">
        <v>34</v>
      </c>
      <c r="V4177">
        <v>-1905</v>
      </c>
    </row>
    <row r="4178" spans="1:22" x14ac:dyDescent="0.3">
      <c r="A4178" t="s">
        <v>5660</v>
      </c>
      <c r="B4178" s="2">
        <v>45993</v>
      </c>
      <c r="C4178" t="s">
        <v>866</v>
      </c>
      <c r="D4178" t="s">
        <v>24</v>
      </c>
      <c r="E4178" t="s">
        <v>25</v>
      </c>
      <c r="F4178">
        <v>3</v>
      </c>
      <c r="G4178">
        <v>0.2</v>
      </c>
      <c r="H4178">
        <v>33600</v>
      </c>
      <c r="I4178">
        <v>3398.37</v>
      </c>
      <c r="J4178" t="s">
        <v>51</v>
      </c>
      <c r="K4178" t="s">
        <v>40</v>
      </c>
      <c r="L4178">
        <v>11200</v>
      </c>
      <c r="M4178">
        <v>10.114196428571431</v>
      </c>
      <c r="N4178" t="s">
        <v>8</v>
      </c>
      <c r="O4178" t="s">
        <v>247</v>
      </c>
      <c r="P4178" t="s">
        <v>73</v>
      </c>
      <c r="Q4178" t="s">
        <v>30</v>
      </c>
      <c r="R4178" t="s">
        <v>98</v>
      </c>
      <c r="S4178" t="s">
        <v>54</v>
      </c>
      <c r="T4178" t="s">
        <v>319</v>
      </c>
      <c r="U4178" t="s">
        <v>34</v>
      </c>
      <c r="V4178">
        <v>1132.79</v>
      </c>
    </row>
    <row r="4179" spans="1:22" x14ac:dyDescent="0.3">
      <c r="A4179" t="s">
        <v>5661</v>
      </c>
      <c r="B4179" s="2">
        <v>46118</v>
      </c>
      <c r="C4179" t="s">
        <v>361</v>
      </c>
      <c r="D4179" t="s">
        <v>37</v>
      </c>
      <c r="E4179" t="s">
        <v>190</v>
      </c>
      <c r="F4179">
        <v>6</v>
      </c>
      <c r="G4179">
        <v>0.15</v>
      </c>
      <c r="H4179">
        <v>21420</v>
      </c>
      <c r="I4179">
        <v>5312.77</v>
      </c>
      <c r="J4179" t="s">
        <v>65</v>
      </c>
      <c r="K4179" t="s">
        <v>27</v>
      </c>
      <c r="L4179">
        <v>3570</v>
      </c>
      <c r="M4179">
        <v>24.802847805788989</v>
      </c>
      <c r="N4179" t="s">
        <v>8</v>
      </c>
      <c r="O4179" t="s">
        <v>362</v>
      </c>
      <c r="P4179" t="s">
        <v>73</v>
      </c>
      <c r="Q4179" t="s">
        <v>42</v>
      </c>
      <c r="R4179" t="s">
        <v>43</v>
      </c>
      <c r="S4179" t="s">
        <v>44</v>
      </c>
      <c r="T4179" t="s">
        <v>363</v>
      </c>
      <c r="U4179" t="s">
        <v>105</v>
      </c>
      <c r="V4179">
        <v>885.4616666666667</v>
      </c>
    </row>
    <row r="4180" spans="1:22" x14ac:dyDescent="0.3">
      <c r="A4180" t="s">
        <v>5662</v>
      </c>
      <c r="B4180" s="2">
        <v>46215</v>
      </c>
      <c r="C4180" t="s">
        <v>485</v>
      </c>
      <c r="D4180" t="s">
        <v>24</v>
      </c>
      <c r="E4180" t="s">
        <v>242</v>
      </c>
      <c r="F4180">
        <v>2</v>
      </c>
      <c r="G4180">
        <v>0.05</v>
      </c>
      <c r="H4180">
        <v>855</v>
      </c>
      <c r="I4180">
        <v>184.26</v>
      </c>
      <c r="J4180" t="s">
        <v>65</v>
      </c>
      <c r="K4180" t="s">
        <v>40</v>
      </c>
      <c r="L4180">
        <v>427.5</v>
      </c>
      <c r="M4180">
        <v>21.550877192982451</v>
      </c>
      <c r="N4180" t="s">
        <v>8</v>
      </c>
      <c r="O4180" t="s">
        <v>59</v>
      </c>
      <c r="P4180" t="s">
        <v>73</v>
      </c>
      <c r="Q4180" t="s">
        <v>131</v>
      </c>
      <c r="R4180" t="s">
        <v>289</v>
      </c>
      <c r="S4180" t="s">
        <v>290</v>
      </c>
      <c r="T4180" t="s">
        <v>486</v>
      </c>
      <c r="U4180" t="s">
        <v>46</v>
      </c>
      <c r="V4180">
        <v>92.13</v>
      </c>
    </row>
    <row r="4181" spans="1:22" x14ac:dyDescent="0.3">
      <c r="A4181" t="s">
        <v>5663</v>
      </c>
      <c r="B4181" s="2">
        <v>45908</v>
      </c>
      <c r="C4181" t="s">
        <v>788</v>
      </c>
      <c r="D4181" t="s">
        <v>37</v>
      </c>
      <c r="E4181" t="s">
        <v>190</v>
      </c>
      <c r="F4181">
        <v>4</v>
      </c>
      <c r="G4181">
        <v>0.2</v>
      </c>
      <c r="H4181">
        <v>13440</v>
      </c>
      <c r="I4181">
        <v>2106.9499999999998</v>
      </c>
      <c r="J4181" t="s">
        <v>26</v>
      </c>
      <c r="K4181" t="s">
        <v>40</v>
      </c>
      <c r="L4181">
        <v>3360</v>
      </c>
      <c r="M4181">
        <v>15.67671130952381</v>
      </c>
      <c r="N4181" t="s">
        <v>8</v>
      </c>
      <c r="O4181" t="s">
        <v>789</v>
      </c>
      <c r="P4181" t="s">
        <v>83</v>
      </c>
      <c r="Q4181" t="s">
        <v>74</v>
      </c>
      <c r="R4181" t="s">
        <v>75</v>
      </c>
      <c r="S4181" t="s">
        <v>75</v>
      </c>
      <c r="T4181" t="s">
        <v>790</v>
      </c>
      <c r="U4181" t="s">
        <v>34</v>
      </c>
      <c r="V4181">
        <v>526.73749999999995</v>
      </c>
    </row>
    <row r="4182" spans="1:22" x14ac:dyDescent="0.3">
      <c r="A4182" t="s">
        <v>5664</v>
      </c>
      <c r="B4182" s="2">
        <v>46248</v>
      </c>
      <c r="C4182" t="s">
        <v>321</v>
      </c>
      <c r="D4182" t="s">
        <v>70</v>
      </c>
      <c r="E4182" t="s">
        <v>108</v>
      </c>
      <c r="F4182">
        <v>3</v>
      </c>
      <c r="G4182">
        <v>0.05</v>
      </c>
      <c r="H4182">
        <v>12825</v>
      </c>
      <c r="I4182">
        <v>4037.09</v>
      </c>
      <c r="J4182" t="s">
        <v>51</v>
      </c>
      <c r="K4182" t="s">
        <v>40</v>
      </c>
      <c r="L4182">
        <v>4275</v>
      </c>
      <c r="M4182">
        <v>31.47828460038987</v>
      </c>
      <c r="N4182" t="s">
        <v>8</v>
      </c>
      <c r="O4182" t="s">
        <v>322</v>
      </c>
      <c r="P4182" t="s">
        <v>29</v>
      </c>
      <c r="Q4182" t="s">
        <v>30</v>
      </c>
      <c r="R4182" t="s">
        <v>31</v>
      </c>
      <c r="S4182" t="s">
        <v>32</v>
      </c>
      <c r="T4182" t="s">
        <v>323</v>
      </c>
      <c r="U4182" t="s">
        <v>34</v>
      </c>
      <c r="V4182">
        <v>1345.6966666666669</v>
      </c>
    </row>
    <row r="4183" spans="1:22" x14ac:dyDescent="0.3">
      <c r="A4183" t="s">
        <v>5665</v>
      </c>
      <c r="B4183" s="2">
        <v>45869</v>
      </c>
      <c r="C4183" t="s">
        <v>3440</v>
      </c>
      <c r="D4183" t="s">
        <v>70</v>
      </c>
      <c r="E4183" t="s">
        <v>165</v>
      </c>
      <c r="F4183">
        <v>1</v>
      </c>
      <c r="G4183">
        <v>0</v>
      </c>
      <c r="H4183">
        <v>2500</v>
      </c>
      <c r="I4183">
        <v>800</v>
      </c>
      <c r="J4183" t="s">
        <v>51</v>
      </c>
      <c r="K4183" t="s">
        <v>27</v>
      </c>
      <c r="L4183">
        <v>2500</v>
      </c>
      <c r="M4183">
        <v>32</v>
      </c>
      <c r="N4183" t="s">
        <v>8</v>
      </c>
      <c r="O4183" t="s">
        <v>847</v>
      </c>
      <c r="P4183" t="s">
        <v>29</v>
      </c>
      <c r="Q4183" t="s">
        <v>42</v>
      </c>
      <c r="R4183" t="s">
        <v>121</v>
      </c>
      <c r="S4183" t="s">
        <v>44</v>
      </c>
      <c r="T4183" t="s">
        <v>3441</v>
      </c>
      <c r="U4183" t="s">
        <v>34</v>
      </c>
      <c r="V4183">
        <v>800</v>
      </c>
    </row>
    <row r="4184" spans="1:22" x14ac:dyDescent="0.3">
      <c r="A4184" t="s">
        <v>5666</v>
      </c>
      <c r="B4184" s="2">
        <v>45922</v>
      </c>
      <c r="C4184" t="s">
        <v>1785</v>
      </c>
      <c r="D4184" t="s">
        <v>24</v>
      </c>
      <c r="E4184" t="s">
        <v>92</v>
      </c>
      <c r="F4184">
        <v>2</v>
      </c>
      <c r="G4184">
        <v>0.05</v>
      </c>
      <c r="H4184">
        <v>1710</v>
      </c>
      <c r="I4184">
        <v>-123.39</v>
      </c>
      <c r="J4184" t="s">
        <v>65</v>
      </c>
      <c r="K4184" t="s">
        <v>80</v>
      </c>
      <c r="L4184">
        <v>855</v>
      </c>
      <c r="M4184">
        <v>-7.2157894736842101</v>
      </c>
      <c r="N4184" t="s">
        <v>81</v>
      </c>
      <c r="O4184" t="s">
        <v>1786</v>
      </c>
      <c r="P4184" t="s">
        <v>83</v>
      </c>
      <c r="Q4184" t="s">
        <v>30</v>
      </c>
      <c r="R4184" t="s">
        <v>53</v>
      </c>
      <c r="S4184" t="s">
        <v>54</v>
      </c>
      <c r="T4184" t="s">
        <v>227</v>
      </c>
      <c r="U4184" t="s">
        <v>46</v>
      </c>
      <c r="V4184">
        <v>-61.695</v>
      </c>
    </row>
    <row r="4185" spans="1:22" x14ac:dyDescent="0.3">
      <c r="A4185" t="s">
        <v>5667</v>
      </c>
      <c r="B4185" s="2">
        <v>46010</v>
      </c>
      <c r="C4185" t="s">
        <v>1537</v>
      </c>
      <c r="D4185" t="s">
        <v>49</v>
      </c>
      <c r="E4185" t="s">
        <v>119</v>
      </c>
      <c r="F4185">
        <v>5</v>
      </c>
      <c r="G4185">
        <v>0.05</v>
      </c>
      <c r="H4185">
        <v>42750</v>
      </c>
      <c r="I4185">
        <v>9955.4599999999991</v>
      </c>
      <c r="J4185" t="s">
        <v>39</v>
      </c>
      <c r="K4185" t="s">
        <v>40</v>
      </c>
      <c r="L4185">
        <v>8550</v>
      </c>
      <c r="M4185">
        <v>23.287625730994151</v>
      </c>
      <c r="N4185" t="s">
        <v>8</v>
      </c>
      <c r="O4185" t="s">
        <v>1538</v>
      </c>
      <c r="P4185" t="s">
        <v>73</v>
      </c>
      <c r="Q4185" t="s">
        <v>131</v>
      </c>
      <c r="R4185" t="s">
        <v>289</v>
      </c>
      <c r="S4185" t="s">
        <v>290</v>
      </c>
      <c r="T4185" t="s">
        <v>1539</v>
      </c>
      <c r="U4185" t="s">
        <v>34</v>
      </c>
      <c r="V4185">
        <v>1991.0920000000001</v>
      </c>
    </row>
    <row r="4186" spans="1:22" x14ac:dyDescent="0.3">
      <c r="A4186" t="s">
        <v>5668</v>
      </c>
      <c r="B4186" s="2">
        <v>46030</v>
      </c>
      <c r="C4186" t="s">
        <v>1791</v>
      </c>
      <c r="D4186" t="s">
        <v>70</v>
      </c>
      <c r="E4186" t="s">
        <v>108</v>
      </c>
      <c r="F4186">
        <v>2</v>
      </c>
      <c r="G4186">
        <v>0.1</v>
      </c>
      <c r="H4186">
        <v>8100</v>
      </c>
      <c r="I4186">
        <v>2409.9299999999998</v>
      </c>
      <c r="J4186" t="s">
        <v>39</v>
      </c>
      <c r="K4186" t="s">
        <v>40</v>
      </c>
      <c r="L4186">
        <v>4050</v>
      </c>
      <c r="M4186">
        <v>29.752222222222219</v>
      </c>
      <c r="N4186" t="s">
        <v>8</v>
      </c>
      <c r="O4186" t="s">
        <v>851</v>
      </c>
      <c r="P4186" t="s">
        <v>83</v>
      </c>
      <c r="Q4186" t="s">
        <v>30</v>
      </c>
      <c r="R4186" t="s">
        <v>60</v>
      </c>
      <c r="S4186" t="s">
        <v>61</v>
      </c>
      <c r="T4186" t="s">
        <v>1792</v>
      </c>
      <c r="U4186" t="s">
        <v>105</v>
      </c>
      <c r="V4186">
        <v>1204.9649999999999</v>
      </c>
    </row>
    <row r="4187" spans="1:22" x14ac:dyDescent="0.3">
      <c r="A4187" t="s">
        <v>5669</v>
      </c>
      <c r="B4187" s="2">
        <v>45895</v>
      </c>
      <c r="C4187" t="s">
        <v>1210</v>
      </c>
      <c r="D4187" t="s">
        <v>37</v>
      </c>
      <c r="E4187" t="s">
        <v>38</v>
      </c>
      <c r="F4187">
        <v>6</v>
      </c>
      <c r="G4187">
        <v>0.15</v>
      </c>
      <c r="H4187">
        <v>9180</v>
      </c>
      <c r="I4187">
        <v>3149.22</v>
      </c>
      <c r="J4187" t="s">
        <v>51</v>
      </c>
      <c r="K4187" t="s">
        <v>40</v>
      </c>
      <c r="L4187">
        <v>1530</v>
      </c>
      <c r="M4187">
        <v>34.305228758169932</v>
      </c>
      <c r="N4187" t="s">
        <v>8</v>
      </c>
      <c r="O4187" t="s">
        <v>1190</v>
      </c>
      <c r="P4187" t="s">
        <v>73</v>
      </c>
      <c r="Q4187" t="s">
        <v>30</v>
      </c>
      <c r="R4187" t="s">
        <v>31</v>
      </c>
      <c r="S4187" t="s">
        <v>32</v>
      </c>
      <c r="T4187" t="s">
        <v>1211</v>
      </c>
      <c r="U4187" t="s">
        <v>46</v>
      </c>
      <c r="V4187">
        <v>524.87</v>
      </c>
    </row>
    <row r="4188" spans="1:22" x14ac:dyDescent="0.3">
      <c r="A4188" t="s">
        <v>5670</v>
      </c>
      <c r="B4188" s="2">
        <v>46175</v>
      </c>
      <c r="C4188" t="s">
        <v>2322</v>
      </c>
      <c r="D4188" t="s">
        <v>24</v>
      </c>
      <c r="E4188" t="s">
        <v>87</v>
      </c>
      <c r="F4188">
        <v>5</v>
      </c>
      <c r="G4188">
        <v>0.15</v>
      </c>
      <c r="H4188">
        <v>1487.5</v>
      </c>
      <c r="I4188">
        <v>-386.29</v>
      </c>
      <c r="J4188" t="s">
        <v>39</v>
      </c>
      <c r="K4188" t="s">
        <v>434</v>
      </c>
      <c r="L4188">
        <v>297.5</v>
      </c>
      <c r="M4188">
        <v>-25.9690756302521</v>
      </c>
      <c r="N4188" t="s">
        <v>81</v>
      </c>
      <c r="O4188" t="s">
        <v>2323</v>
      </c>
      <c r="P4188" t="s">
        <v>29</v>
      </c>
      <c r="Q4188" t="s">
        <v>74</v>
      </c>
      <c r="R4188" t="s">
        <v>75</v>
      </c>
      <c r="S4188" t="s">
        <v>75</v>
      </c>
      <c r="T4188" t="s">
        <v>463</v>
      </c>
      <c r="U4188" t="s">
        <v>100</v>
      </c>
      <c r="V4188">
        <v>-77.25800000000001</v>
      </c>
    </row>
    <row r="4189" spans="1:22" x14ac:dyDescent="0.3">
      <c r="A4189" t="s">
        <v>5671</v>
      </c>
      <c r="B4189" s="2">
        <v>46006</v>
      </c>
      <c r="C4189" t="s">
        <v>614</v>
      </c>
      <c r="D4189" t="s">
        <v>49</v>
      </c>
      <c r="E4189" t="s">
        <v>58</v>
      </c>
      <c r="F4189">
        <v>1</v>
      </c>
      <c r="G4189">
        <v>0</v>
      </c>
      <c r="H4189">
        <v>15000</v>
      </c>
      <c r="I4189">
        <v>3500</v>
      </c>
      <c r="J4189" t="s">
        <v>65</v>
      </c>
      <c r="K4189" t="s">
        <v>40</v>
      </c>
      <c r="L4189">
        <v>15000</v>
      </c>
      <c r="M4189">
        <v>23.333333333333329</v>
      </c>
      <c r="N4189" t="s">
        <v>8</v>
      </c>
      <c r="O4189" t="s">
        <v>259</v>
      </c>
      <c r="P4189" t="s">
        <v>29</v>
      </c>
      <c r="Q4189" t="s">
        <v>74</v>
      </c>
      <c r="R4189" t="s">
        <v>75</v>
      </c>
      <c r="S4189" t="s">
        <v>75</v>
      </c>
      <c r="T4189" t="s">
        <v>615</v>
      </c>
      <c r="U4189" t="s">
        <v>100</v>
      </c>
      <c r="V4189">
        <v>3500</v>
      </c>
    </row>
    <row r="4190" spans="1:22" x14ac:dyDescent="0.3">
      <c r="A4190" t="s">
        <v>5672</v>
      </c>
      <c r="B4190" s="2">
        <v>45901</v>
      </c>
      <c r="C4190" t="s">
        <v>48</v>
      </c>
      <c r="D4190" t="s">
        <v>49</v>
      </c>
      <c r="E4190" t="s">
        <v>58</v>
      </c>
      <c r="F4190">
        <v>4</v>
      </c>
      <c r="G4190">
        <v>0.1</v>
      </c>
      <c r="H4190">
        <v>54000</v>
      </c>
      <c r="I4190">
        <v>9939.73</v>
      </c>
      <c r="J4190" t="s">
        <v>39</v>
      </c>
      <c r="K4190" t="s">
        <v>40</v>
      </c>
      <c r="L4190">
        <v>13500</v>
      </c>
      <c r="M4190">
        <v>18.406907407407409</v>
      </c>
      <c r="N4190" t="s">
        <v>8</v>
      </c>
      <c r="O4190" t="s">
        <v>52</v>
      </c>
      <c r="P4190" t="s">
        <v>29</v>
      </c>
      <c r="Q4190" t="s">
        <v>30</v>
      </c>
      <c r="R4190" t="s">
        <v>53</v>
      </c>
      <c r="S4190" t="s">
        <v>54</v>
      </c>
      <c r="T4190" t="s">
        <v>55</v>
      </c>
      <c r="U4190" t="s">
        <v>34</v>
      </c>
      <c r="V4190">
        <v>2484.9324999999999</v>
      </c>
    </row>
    <row r="4191" spans="1:22" x14ac:dyDescent="0.3">
      <c r="A4191" t="s">
        <v>5673</v>
      </c>
      <c r="B4191" s="2">
        <v>46150</v>
      </c>
      <c r="C4191" t="s">
        <v>344</v>
      </c>
      <c r="D4191" t="s">
        <v>24</v>
      </c>
      <c r="E4191" t="s">
        <v>242</v>
      </c>
      <c r="F4191">
        <v>3</v>
      </c>
      <c r="G4191">
        <v>0.1</v>
      </c>
      <c r="H4191">
        <v>1215</v>
      </c>
      <c r="I4191">
        <v>226.75</v>
      </c>
      <c r="J4191" t="s">
        <v>26</v>
      </c>
      <c r="K4191" t="s">
        <v>40</v>
      </c>
      <c r="L4191">
        <v>405</v>
      </c>
      <c r="M4191">
        <v>18.662551440329221</v>
      </c>
      <c r="N4191" t="s">
        <v>8</v>
      </c>
      <c r="O4191" t="s">
        <v>345</v>
      </c>
      <c r="P4191" t="s">
        <v>29</v>
      </c>
      <c r="Q4191" t="s">
        <v>74</v>
      </c>
      <c r="R4191" t="s">
        <v>115</v>
      </c>
      <c r="S4191" t="s">
        <v>115</v>
      </c>
      <c r="T4191" t="s">
        <v>346</v>
      </c>
      <c r="U4191" t="s">
        <v>46</v>
      </c>
      <c r="V4191">
        <v>75.583333333333329</v>
      </c>
    </row>
    <row r="4192" spans="1:22" x14ac:dyDescent="0.3">
      <c r="A4192" t="s">
        <v>5674</v>
      </c>
      <c r="B4192" s="2">
        <v>46258</v>
      </c>
      <c r="C4192" t="s">
        <v>559</v>
      </c>
      <c r="D4192" t="s">
        <v>37</v>
      </c>
      <c r="E4192" t="s">
        <v>310</v>
      </c>
      <c r="F4192">
        <v>6</v>
      </c>
      <c r="G4192">
        <v>0.1</v>
      </c>
      <c r="H4192">
        <v>11880</v>
      </c>
      <c r="I4192">
        <v>-42000</v>
      </c>
      <c r="J4192" t="s">
        <v>51</v>
      </c>
      <c r="K4192" t="s">
        <v>40</v>
      </c>
      <c r="L4192">
        <v>1980</v>
      </c>
      <c r="M4192">
        <v>-353.53535353535352</v>
      </c>
      <c r="N4192" t="s">
        <v>81</v>
      </c>
      <c r="O4192" t="s">
        <v>478</v>
      </c>
      <c r="P4192" t="s">
        <v>29</v>
      </c>
      <c r="Q4192" t="s">
        <v>30</v>
      </c>
      <c r="R4192" t="s">
        <v>53</v>
      </c>
      <c r="S4192" t="s">
        <v>54</v>
      </c>
      <c r="T4192" t="s">
        <v>560</v>
      </c>
      <c r="U4192" t="s">
        <v>34</v>
      </c>
      <c r="V4192">
        <v>-7000</v>
      </c>
    </row>
    <row r="4193" spans="1:22" x14ac:dyDescent="0.3">
      <c r="A4193" t="s">
        <v>5675</v>
      </c>
      <c r="B4193" s="2">
        <v>46246</v>
      </c>
      <c r="C4193" t="s">
        <v>962</v>
      </c>
      <c r="D4193" t="s">
        <v>49</v>
      </c>
      <c r="E4193" t="s">
        <v>50</v>
      </c>
      <c r="F4193">
        <v>3</v>
      </c>
      <c r="G4193">
        <v>0.1</v>
      </c>
      <c r="H4193">
        <v>35100</v>
      </c>
      <c r="I4193">
        <v>7666.26</v>
      </c>
      <c r="J4193" t="s">
        <v>51</v>
      </c>
      <c r="K4193" t="s">
        <v>40</v>
      </c>
      <c r="L4193">
        <v>11700</v>
      </c>
      <c r="M4193">
        <v>21.841196581196581</v>
      </c>
      <c r="N4193" t="s">
        <v>8</v>
      </c>
      <c r="O4193" t="s">
        <v>963</v>
      </c>
      <c r="P4193" t="s">
        <v>29</v>
      </c>
      <c r="Q4193" t="s">
        <v>42</v>
      </c>
      <c r="R4193" t="s">
        <v>214</v>
      </c>
      <c r="S4193" t="s">
        <v>111</v>
      </c>
      <c r="T4193" t="s">
        <v>964</v>
      </c>
      <c r="U4193" t="s">
        <v>100</v>
      </c>
      <c r="V4193">
        <v>2555.42</v>
      </c>
    </row>
    <row r="4194" spans="1:22" x14ac:dyDescent="0.3">
      <c r="A4194" t="s">
        <v>5676</v>
      </c>
      <c r="B4194" s="2">
        <v>45893</v>
      </c>
      <c r="C4194" t="s">
        <v>413</v>
      </c>
      <c r="D4194" t="s">
        <v>70</v>
      </c>
      <c r="E4194" t="s">
        <v>71</v>
      </c>
      <c r="F4194">
        <v>2</v>
      </c>
      <c r="G4194">
        <v>0.2</v>
      </c>
      <c r="H4194">
        <v>28800</v>
      </c>
      <c r="I4194">
        <v>1506.72</v>
      </c>
      <c r="J4194" t="s">
        <v>51</v>
      </c>
      <c r="K4194" t="s">
        <v>27</v>
      </c>
      <c r="L4194">
        <v>14400</v>
      </c>
      <c r="M4194">
        <v>5.2316666666666674</v>
      </c>
      <c r="N4194" t="s">
        <v>8</v>
      </c>
      <c r="O4194" t="s">
        <v>414</v>
      </c>
      <c r="P4194" t="s">
        <v>73</v>
      </c>
      <c r="Q4194" t="s">
        <v>74</v>
      </c>
      <c r="R4194" t="s">
        <v>115</v>
      </c>
      <c r="S4194" t="s">
        <v>115</v>
      </c>
      <c r="T4194" t="s">
        <v>415</v>
      </c>
      <c r="U4194" t="s">
        <v>34</v>
      </c>
      <c r="V4194">
        <v>753.36</v>
      </c>
    </row>
    <row r="4195" spans="1:22" x14ac:dyDescent="0.3">
      <c r="A4195" t="s">
        <v>5677</v>
      </c>
      <c r="B4195" s="2">
        <v>46251</v>
      </c>
      <c r="C4195" t="s">
        <v>1777</v>
      </c>
      <c r="D4195" t="s">
        <v>24</v>
      </c>
      <c r="E4195" t="s">
        <v>242</v>
      </c>
      <c r="F4195">
        <v>3</v>
      </c>
      <c r="G4195">
        <v>0</v>
      </c>
      <c r="H4195">
        <v>1350</v>
      </c>
      <c r="I4195">
        <v>330</v>
      </c>
      <c r="J4195" t="s">
        <v>51</v>
      </c>
      <c r="K4195" t="s">
        <v>40</v>
      </c>
      <c r="L4195">
        <v>450</v>
      </c>
      <c r="M4195">
        <v>24.444444444444439</v>
      </c>
      <c r="N4195" t="s">
        <v>8</v>
      </c>
      <c r="O4195" t="s">
        <v>322</v>
      </c>
      <c r="P4195" t="s">
        <v>83</v>
      </c>
      <c r="Q4195" t="s">
        <v>30</v>
      </c>
      <c r="R4195" t="s">
        <v>31</v>
      </c>
      <c r="S4195" t="s">
        <v>32</v>
      </c>
      <c r="T4195" t="s">
        <v>1778</v>
      </c>
      <c r="U4195" t="s">
        <v>34</v>
      </c>
      <c r="V4195">
        <v>110</v>
      </c>
    </row>
    <row r="4196" spans="1:22" x14ac:dyDescent="0.3">
      <c r="A4196" t="s">
        <v>5678</v>
      </c>
      <c r="B4196" s="2">
        <v>45913</v>
      </c>
      <c r="C4196" t="s">
        <v>1087</v>
      </c>
      <c r="D4196" t="s">
        <v>49</v>
      </c>
      <c r="E4196" t="s">
        <v>119</v>
      </c>
      <c r="F4196">
        <v>1</v>
      </c>
      <c r="G4196">
        <v>0.1</v>
      </c>
      <c r="H4196">
        <v>8100</v>
      </c>
      <c r="I4196">
        <v>-1625.18</v>
      </c>
      <c r="J4196" t="s">
        <v>26</v>
      </c>
      <c r="K4196" t="s">
        <v>434</v>
      </c>
      <c r="L4196">
        <v>8100</v>
      </c>
      <c r="M4196">
        <v>-20.06395061728395</v>
      </c>
      <c r="N4196" t="s">
        <v>81</v>
      </c>
      <c r="O4196" t="s">
        <v>1088</v>
      </c>
      <c r="P4196" t="s">
        <v>73</v>
      </c>
      <c r="Q4196" t="s">
        <v>131</v>
      </c>
      <c r="R4196" t="s">
        <v>200</v>
      </c>
      <c r="S4196" t="s">
        <v>201</v>
      </c>
      <c r="T4196" t="s">
        <v>1089</v>
      </c>
      <c r="U4196" t="s">
        <v>46</v>
      </c>
      <c r="V4196">
        <v>-1625.18</v>
      </c>
    </row>
    <row r="4197" spans="1:22" x14ac:dyDescent="0.3">
      <c r="A4197" t="s">
        <v>5679</v>
      </c>
      <c r="B4197" s="2">
        <v>45936</v>
      </c>
      <c r="C4197" t="s">
        <v>878</v>
      </c>
      <c r="D4197" t="s">
        <v>49</v>
      </c>
      <c r="E4197" t="s">
        <v>50</v>
      </c>
      <c r="F4197">
        <v>5</v>
      </c>
      <c r="G4197">
        <v>0.1</v>
      </c>
      <c r="H4197">
        <v>58500</v>
      </c>
      <c r="I4197">
        <v>11018.82</v>
      </c>
      <c r="J4197" t="s">
        <v>26</v>
      </c>
      <c r="K4197" t="s">
        <v>27</v>
      </c>
      <c r="L4197">
        <v>11700</v>
      </c>
      <c r="M4197">
        <v>18.83558974358974</v>
      </c>
      <c r="N4197" t="s">
        <v>8</v>
      </c>
      <c r="O4197" t="s">
        <v>879</v>
      </c>
      <c r="P4197" t="s">
        <v>83</v>
      </c>
      <c r="Q4197" t="s">
        <v>30</v>
      </c>
      <c r="R4197" t="s">
        <v>98</v>
      </c>
      <c r="S4197" t="s">
        <v>54</v>
      </c>
      <c r="T4197" t="s">
        <v>880</v>
      </c>
      <c r="U4197" t="s">
        <v>46</v>
      </c>
      <c r="V4197">
        <v>2203.7640000000001</v>
      </c>
    </row>
    <row r="4198" spans="1:22" x14ac:dyDescent="0.3">
      <c r="A4198" t="s">
        <v>5680</v>
      </c>
      <c r="B4198" s="2">
        <v>45933</v>
      </c>
      <c r="C4198" t="s">
        <v>438</v>
      </c>
      <c r="D4198" t="s">
        <v>49</v>
      </c>
      <c r="E4198" t="s">
        <v>50</v>
      </c>
      <c r="F4198">
        <v>1</v>
      </c>
      <c r="G4198">
        <v>0.2</v>
      </c>
      <c r="H4198">
        <v>10400</v>
      </c>
      <c r="I4198">
        <v>1718.93</v>
      </c>
      <c r="J4198" t="s">
        <v>26</v>
      </c>
      <c r="K4198" t="s">
        <v>40</v>
      </c>
      <c r="L4198">
        <v>10400</v>
      </c>
      <c r="M4198">
        <v>16.528173076923078</v>
      </c>
      <c r="N4198" t="s">
        <v>8</v>
      </c>
      <c r="O4198" t="s">
        <v>439</v>
      </c>
      <c r="P4198" t="s">
        <v>83</v>
      </c>
      <c r="Q4198" t="s">
        <v>30</v>
      </c>
      <c r="R4198" t="s">
        <v>98</v>
      </c>
      <c r="S4198" t="s">
        <v>54</v>
      </c>
      <c r="T4198" t="s">
        <v>440</v>
      </c>
      <c r="U4198" t="s">
        <v>34</v>
      </c>
      <c r="V4198">
        <v>1718.93</v>
      </c>
    </row>
    <row r="4199" spans="1:22" x14ac:dyDescent="0.3">
      <c r="A4199" t="s">
        <v>5681</v>
      </c>
      <c r="B4199" s="2">
        <v>46168</v>
      </c>
      <c r="C4199" t="s">
        <v>570</v>
      </c>
      <c r="D4199" t="s">
        <v>70</v>
      </c>
      <c r="E4199" t="s">
        <v>129</v>
      </c>
      <c r="F4199">
        <v>1</v>
      </c>
      <c r="G4199">
        <v>0.05</v>
      </c>
      <c r="H4199">
        <v>52250</v>
      </c>
      <c r="I4199">
        <v>7538.43</v>
      </c>
      <c r="J4199" t="s">
        <v>51</v>
      </c>
      <c r="K4199" t="s">
        <v>27</v>
      </c>
      <c r="L4199">
        <v>52250</v>
      </c>
      <c r="M4199">
        <v>14.427617224880381</v>
      </c>
      <c r="N4199" t="s">
        <v>8</v>
      </c>
      <c r="O4199" t="s">
        <v>571</v>
      </c>
      <c r="P4199" t="s">
        <v>29</v>
      </c>
      <c r="Q4199" t="s">
        <v>30</v>
      </c>
      <c r="R4199" t="s">
        <v>31</v>
      </c>
      <c r="S4199" t="s">
        <v>32</v>
      </c>
      <c r="T4199" t="s">
        <v>572</v>
      </c>
      <c r="U4199" t="s">
        <v>100</v>
      </c>
      <c r="V4199">
        <v>7538.43</v>
      </c>
    </row>
    <row r="4200" spans="1:22" x14ac:dyDescent="0.3">
      <c r="A4200" t="s">
        <v>5682</v>
      </c>
      <c r="B4200" s="2">
        <v>45871</v>
      </c>
      <c r="C4200" t="s">
        <v>921</v>
      </c>
      <c r="D4200" t="s">
        <v>24</v>
      </c>
      <c r="E4200" t="s">
        <v>92</v>
      </c>
      <c r="F4200">
        <v>2</v>
      </c>
      <c r="G4200">
        <v>0.15</v>
      </c>
      <c r="H4200">
        <v>1530</v>
      </c>
      <c r="I4200">
        <v>405.88</v>
      </c>
      <c r="J4200" t="s">
        <v>26</v>
      </c>
      <c r="K4200" t="s">
        <v>40</v>
      </c>
      <c r="L4200">
        <v>765</v>
      </c>
      <c r="M4200">
        <v>26.5281045751634</v>
      </c>
      <c r="N4200" t="s">
        <v>8</v>
      </c>
      <c r="O4200" t="s">
        <v>922</v>
      </c>
      <c r="P4200" t="s">
        <v>29</v>
      </c>
      <c r="Q4200" t="s">
        <v>30</v>
      </c>
      <c r="R4200" t="s">
        <v>53</v>
      </c>
      <c r="S4200" t="s">
        <v>54</v>
      </c>
      <c r="T4200" t="s">
        <v>923</v>
      </c>
      <c r="U4200" t="s">
        <v>105</v>
      </c>
      <c r="V4200">
        <v>202.94</v>
      </c>
    </row>
    <row r="4201" spans="1:22" x14ac:dyDescent="0.3">
      <c r="A4201" t="s">
        <v>5683</v>
      </c>
      <c r="B4201" s="2">
        <v>46095</v>
      </c>
      <c r="C4201" t="s">
        <v>780</v>
      </c>
      <c r="D4201" t="s">
        <v>70</v>
      </c>
      <c r="E4201" t="s">
        <v>71</v>
      </c>
      <c r="F4201">
        <v>2</v>
      </c>
      <c r="G4201">
        <v>0.05</v>
      </c>
      <c r="H4201">
        <v>34200</v>
      </c>
      <c r="I4201">
        <v>-4454.33</v>
      </c>
      <c r="J4201" t="s">
        <v>65</v>
      </c>
      <c r="K4201" t="s">
        <v>80</v>
      </c>
      <c r="L4201">
        <v>17100</v>
      </c>
      <c r="M4201">
        <v>-13.0243567251462</v>
      </c>
      <c r="N4201" t="s">
        <v>81</v>
      </c>
      <c r="O4201" t="s">
        <v>781</v>
      </c>
      <c r="P4201" t="s">
        <v>73</v>
      </c>
      <c r="Q4201" t="s">
        <v>30</v>
      </c>
      <c r="R4201" t="s">
        <v>31</v>
      </c>
      <c r="S4201" t="s">
        <v>32</v>
      </c>
      <c r="T4201" t="s">
        <v>572</v>
      </c>
      <c r="U4201" t="s">
        <v>100</v>
      </c>
      <c r="V4201">
        <v>-2227.165</v>
      </c>
    </row>
    <row r="4202" spans="1:22" x14ac:dyDescent="0.3">
      <c r="A4202" t="s">
        <v>5684</v>
      </c>
      <c r="B4202" s="2">
        <v>45844</v>
      </c>
      <c r="C4202" t="s">
        <v>675</v>
      </c>
      <c r="D4202" t="s">
        <v>24</v>
      </c>
      <c r="E4202" t="s">
        <v>25</v>
      </c>
      <c r="F4202">
        <v>3</v>
      </c>
      <c r="G4202">
        <v>0</v>
      </c>
      <c r="H4202">
        <v>42000</v>
      </c>
      <c r="I4202">
        <v>8400</v>
      </c>
      <c r="J4202" t="s">
        <v>39</v>
      </c>
      <c r="K4202" t="s">
        <v>40</v>
      </c>
      <c r="L4202">
        <v>14000</v>
      </c>
      <c r="M4202">
        <v>20</v>
      </c>
      <c r="N4202" t="s">
        <v>8</v>
      </c>
      <c r="O4202" t="s">
        <v>255</v>
      </c>
      <c r="P4202" t="s">
        <v>29</v>
      </c>
      <c r="Q4202" t="s">
        <v>30</v>
      </c>
      <c r="R4202" t="s">
        <v>60</v>
      </c>
      <c r="S4202" t="s">
        <v>61</v>
      </c>
      <c r="T4202" t="s">
        <v>676</v>
      </c>
      <c r="U4202" t="s">
        <v>105</v>
      </c>
      <c r="V4202">
        <v>2800</v>
      </c>
    </row>
    <row r="4203" spans="1:22" x14ac:dyDescent="0.3">
      <c r="A4203" t="s">
        <v>5685</v>
      </c>
      <c r="B4203" s="2">
        <v>45863</v>
      </c>
      <c r="C4203" t="s">
        <v>301</v>
      </c>
      <c r="D4203" t="s">
        <v>70</v>
      </c>
      <c r="E4203" t="s">
        <v>165</v>
      </c>
      <c r="F4203">
        <v>3</v>
      </c>
      <c r="G4203">
        <v>0.1</v>
      </c>
      <c r="H4203">
        <v>6750</v>
      </c>
      <c r="I4203">
        <v>1840.85</v>
      </c>
      <c r="J4203" t="s">
        <v>65</v>
      </c>
      <c r="K4203" t="s">
        <v>40</v>
      </c>
      <c r="L4203">
        <v>2250</v>
      </c>
      <c r="M4203">
        <v>27.271851851851849</v>
      </c>
      <c r="N4203" t="s">
        <v>8</v>
      </c>
      <c r="O4203" t="s">
        <v>302</v>
      </c>
      <c r="P4203" t="s">
        <v>29</v>
      </c>
      <c r="Q4203" t="s">
        <v>42</v>
      </c>
      <c r="R4203" t="s">
        <v>110</v>
      </c>
      <c r="S4203" t="s">
        <v>111</v>
      </c>
      <c r="T4203" t="s">
        <v>303</v>
      </c>
      <c r="U4203" t="s">
        <v>46</v>
      </c>
      <c r="V4203">
        <v>613.61666666666667</v>
      </c>
    </row>
    <row r="4204" spans="1:22" x14ac:dyDescent="0.3">
      <c r="A4204" t="s">
        <v>5686</v>
      </c>
      <c r="B4204" s="2">
        <v>45893</v>
      </c>
      <c r="C4204" t="s">
        <v>1352</v>
      </c>
      <c r="D4204" t="s">
        <v>37</v>
      </c>
      <c r="E4204" t="s">
        <v>310</v>
      </c>
      <c r="F4204">
        <v>2</v>
      </c>
      <c r="G4204">
        <v>0</v>
      </c>
      <c r="H4204">
        <v>4400</v>
      </c>
      <c r="I4204">
        <v>1500</v>
      </c>
      <c r="J4204" t="s">
        <v>26</v>
      </c>
      <c r="K4204" t="s">
        <v>40</v>
      </c>
      <c r="L4204">
        <v>2200</v>
      </c>
      <c r="M4204">
        <v>34.090909090909093</v>
      </c>
      <c r="N4204" t="s">
        <v>8</v>
      </c>
      <c r="O4204" t="s">
        <v>1353</v>
      </c>
      <c r="P4204" t="s">
        <v>29</v>
      </c>
      <c r="Q4204" t="s">
        <v>42</v>
      </c>
      <c r="R4204" t="s">
        <v>214</v>
      </c>
      <c r="S4204" t="s">
        <v>111</v>
      </c>
      <c r="T4204" t="s">
        <v>1354</v>
      </c>
      <c r="U4204" t="s">
        <v>34</v>
      </c>
      <c r="V4204">
        <v>750</v>
      </c>
    </row>
    <row r="4205" spans="1:22" x14ac:dyDescent="0.3">
      <c r="A4205" t="s">
        <v>5687</v>
      </c>
      <c r="B4205" s="2">
        <v>45864</v>
      </c>
      <c r="C4205" t="s">
        <v>617</v>
      </c>
      <c r="D4205" t="s">
        <v>24</v>
      </c>
      <c r="E4205" t="s">
        <v>92</v>
      </c>
      <c r="F4205">
        <v>2</v>
      </c>
      <c r="G4205">
        <v>0</v>
      </c>
      <c r="H4205">
        <v>1800</v>
      </c>
      <c r="I4205">
        <v>-661.31</v>
      </c>
      <c r="J4205" t="s">
        <v>65</v>
      </c>
      <c r="K4205" t="s">
        <v>80</v>
      </c>
      <c r="L4205">
        <v>900</v>
      </c>
      <c r="M4205">
        <v>-36.739444444444437</v>
      </c>
      <c r="N4205" t="s">
        <v>81</v>
      </c>
      <c r="O4205" t="s">
        <v>618</v>
      </c>
      <c r="P4205" t="s">
        <v>83</v>
      </c>
      <c r="Q4205" t="s">
        <v>30</v>
      </c>
      <c r="R4205" t="s">
        <v>98</v>
      </c>
      <c r="S4205" t="s">
        <v>54</v>
      </c>
      <c r="T4205" t="s">
        <v>619</v>
      </c>
      <c r="U4205" t="s">
        <v>100</v>
      </c>
      <c r="V4205">
        <v>-330.65499999999997</v>
      </c>
    </row>
    <row r="4206" spans="1:22" x14ac:dyDescent="0.3">
      <c r="A4206" t="s">
        <v>5688</v>
      </c>
      <c r="B4206" s="2">
        <v>45973</v>
      </c>
      <c r="C4206" t="s">
        <v>501</v>
      </c>
      <c r="D4206" t="s">
        <v>70</v>
      </c>
      <c r="E4206" t="s">
        <v>71</v>
      </c>
      <c r="F4206">
        <v>2</v>
      </c>
      <c r="G4206">
        <v>0.1</v>
      </c>
      <c r="H4206">
        <v>32400</v>
      </c>
      <c r="I4206">
        <v>4531.43</v>
      </c>
      <c r="J4206" t="s">
        <v>26</v>
      </c>
      <c r="K4206" t="s">
        <v>27</v>
      </c>
      <c r="L4206">
        <v>16200</v>
      </c>
      <c r="M4206">
        <v>13.985895061728399</v>
      </c>
      <c r="N4206" t="s">
        <v>8</v>
      </c>
      <c r="O4206" t="s">
        <v>502</v>
      </c>
      <c r="P4206" t="s">
        <v>29</v>
      </c>
      <c r="Q4206" t="s">
        <v>30</v>
      </c>
      <c r="R4206" t="s">
        <v>31</v>
      </c>
      <c r="S4206" t="s">
        <v>32</v>
      </c>
      <c r="T4206" t="s">
        <v>503</v>
      </c>
      <c r="U4206" t="s">
        <v>100</v>
      </c>
      <c r="V4206">
        <v>2265.7150000000001</v>
      </c>
    </row>
    <row r="4207" spans="1:22" x14ac:dyDescent="0.3">
      <c r="A4207" t="s">
        <v>5689</v>
      </c>
      <c r="B4207" s="2">
        <v>46120</v>
      </c>
      <c r="C4207" t="s">
        <v>1734</v>
      </c>
      <c r="D4207" t="s">
        <v>70</v>
      </c>
      <c r="E4207" t="s">
        <v>108</v>
      </c>
      <c r="F4207">
        <v>2</v>
      </c>
      <c r="G4207">
        <v>0.2</v>
      </c>
      <c r="H4207">
        <v>7200</v>
      </c>
      <c r="I4207">
        <v>1538.59</v>
      </c>
      <c r="J4207" t="s">
        <v>39</v>
      </c>
      <c r="K4207" t="s">
        <v>40</v>
      </c>
      <c r="L4207">
        <v>3600</v>
      </c>
      <c r="M4207">
        <v>21.369305555555549</v>
      </c>
      <c r="N4207" t="s">
        <v>8</v>
      </c>
      <c r="O4207" t="s">
        <v>1735</v>
      </c>
      <c r="P4207" t="s">
        <v>29</v>
      </c>
      <c r="Q4207" t="s">
        <v>74</v>
      </c>
      <c r="R4207" t="s">
        <v>237</v>
      </c>
      <c r="S4207" t="s">
        <v>238</v>
      </c>
      <c r="T4207" t="s">
        <v>1736</v>
      </c>
      <c r="U4207" t="s">
        <v>34</v>
      </c>
      <c r="V4207">
        <v>769.29499999999996</v>
      </c>
    </row>
    <row r="4208" spans="1:22" x14ac:dyDescent="0.3">
      <c r="A4208" t="s">
        <v>5690</v>
      </c>
      <c r="B4208" s="2">
        <v>46144</v>
      </c>
      <c r="C4208" t="s">
        <v>148</v>
      </c>
      <c r="D4208" t="s">
        <v>70</v>
      </c>
      <c r="E4208" t="s">
        <v>108</v>
      </c>
      <c r="F4208">
        <v>1</v>
      </c>
      <c r="G4208">
        <v>0.3</v>
      </c>
      <c r="H4208">
        <v>3150</v>
      </c>
      <c r="I4208">
        <v>422.72</v>
      </c>
      <c r="J4208" t="s">
        <v>26</v>
      </c>
      <c r="K4208" t="s">
        <v>27</v>
      </c>
      <c r="L4208">
        <v>3150</v>
      </c>
      <c r="M4208">
        <v>13.41968253968254</v>
      </c>
      <c r="N4208" t="s">
        <v>8</v>
      </c>
      <c r="O4208" t="s">
        <v>149</v>
      </c>
      <c r="P4208" t="s">
        <v>29</v>
      </c>
      <c r="Q4208" t="s">
        <v>30</v>
      </c>
      <c r="R4208" t="s">
        <v>60</v>
      </c>
      <c r="S4208" t="s">
        <v>61</v>
      </c>
      <c r="T4208" t="s">
        <v>150</v>
      </c>
      <c r="U4208" t="s">
        <v>105</v>
      </c>
      <c r="V4208">
        <v>422.72</v>
      </c>
    </row>
    <row r="4209" spans="1:22" x14ac:dyDescent="0.3">
      <c r="A4209" t="s">
        <v>5691</v>
      </c>
      <c r="B4209" s="2">
        <v>46134</v>
      </c>
      <c r="C4209" t="s">
        <v>540</v>
      </c>
      <c r="D4209" t="s">
        <v>49</v>
      </c>
      <c r="E4209" t="s">
        <v>50</v>
      </c>
      <c r="F4209">
        <v>3</v>
      </c>
      <c r="G4209">
        <v>0.1</v>
      </c>
      <c r="H4209">
        <v>35100</v>
      </c>
      <c r="I4209">
        <v>7780.73</v>
      </c>
      <c r="J4209" t="s">
        <v>65</v>
      </c>
      <c r="K4209" t="s">
        <v>40</v>
      </c>
      <c r="L4209">
        <v>11700</v>
      </c>
      <c r="M4209">
        <v>22.16732193732193</v>
      </c>
      <c r="N4209" t="s">
        <v>8</v>
      </c>
      <c r="O4209" t="s">
        <v>435</v>
      </c>
      <c r="P4209" t="s">
        <v>83</v>
      </c>
      <c r="Q4209" t="s">
        <v>74</v>
      </c>
      <c r="R4209" t="s">
        <v>237</v>
      </c>
      <c r="S4209" t="s">
        <v>238</v>
      </c>
      <c r="T4209" t="s">
        <v>541</v>
      </c>
      <c r="U4209" t="s">
        <v>100</v>
      </c>
      <c r="V4209">
        <v>2593.5766666666659</v>
      </c>
    </row>
    <row r="4210" spans="1:22" x14ac:dyDescent="0.3">
      <c r="A4210" t="s">
        <v>5692</v>
      </c>
      <c r="B4210" s="2">
        <v>46004</v>
      </c>
      <c r="C4210" t="s">
        <v>2737</v>
      </c>
      <c r="D4210" t="s">
        <v>49</v>
      </c>
      <c r="E4210" t="s">
        <v>79</v>
      </c>
      <c r="F4210">
        <v>3</v>
      </c>
      <c r="G4210">
        <v>0.05</v>
      </c>
      <c r="H4210">
        <v>31350</v>
      </c>
      <c r="I4210">
        <v>6651.22</v>
      </c>
      <c r="J4210" t="s">
        <v>65</v>
      </c>
      <c r="K4210" t="s">
        <v>40</v>
      </c>
      <c r="L4210">
        <v>10450</v>
      </c>
      <c r="M4210">
        <v>21.21601275917066</v>
      </c>
      <c r="N4210" t="s">
        <v>8</v>
      </c>
      <c r="O4210" t="s">
        <v>567</v>
      </c>
      <c r="P4210" t="s">
        <v>29</v>
      </c>
      <c r="Q4210" t="s">
        <v>42</v>
      </c>
      <c r="R4210" t="s">
        <v>121</v>
      </c>
      <c r="S4210" t="s">
        <v>44</v>
      </c>
      <c r="T4210" t="s">
        <v>2738</v>
      </c>
      <c r="U4210" t="s">
        <v>46</v>
      </c>
      <c r="V4210">
        <v>2217.0733333333328</v>
      </c>
    </row>
    <row r="4211" spans="1:22" x14ac:dyDescent="0.3">
      <c r="A4211" t="s">
        <v>5693</v>
      </c>
      <c r="B4211" s="2">
        <v>46033</v>
      </c>
      <c r="C4211" t="s">
        <v>401</v>
      </c>
      <c r="D4211" t="s">
        <v>24</v>
      </c>
      <c r="E4211" t="s">
        <v>242</v>
      </c>
      <c r="F4211">
        <v>3</v>
      </c>
      <c r="G4211">
        <v>0</v>
      </c>
      <c r="H4211">
        <v>1350</v>
      </c>
      <c r="I4211">
        <v>-596.96</v>
      </c>
      <c r="J4211" t="s">
        <v>65</v>
      </c>
      <c r="K4211" t="s">
        <v>434</v>
      </c>
      <c r="L4211">
        <v>450</v>
      </c>
      <c r="M4211">
        <v>-44.21925925925926</v>
      </c>
      <c r="N4211" t="s">
        <v>81</v>
      </c>
      <c r="O4211" t="s">
        <v>402</v>
      </c>
      <c r="P4211" t="s">
        <v>29</v>
      </c>
      <c r="Q4211" t="s">
        <v>30</v>
      </c>
      <c r="R4211" t="s">
        <v>60</v>
      </c>
      <c r="S4211" t="s">
        <v>61</v>
      </c>
      <c r="T4211" t="s">
        <v>403</v>
      </c>
      <c r="U4211" t="s">
        <v>46</v>
      </c>
      <c r="V4211">
        <v>-198.98666666666671</v>
      </c>
    </row>
    <row r="4212" spans="1:22" x14ac:dyDescent="0.3">
      <c r="A4212" t="s">
        <v>5694</v>
      </c>
      <c r="B4212" s="2">
        <v>45915</v>
      </c>
      <c r="C4212" t="s">
        <v>5645</v>
      </c>
      <c r="D4212" t="s">
        <v>70</v>
      </c>
      <c r="E4212" t="s">
        <v>165</v>
      </c>
      <c r="F4212">
        <v>6</v>
      </c>
      <c r="G4212">
        <v>0.1</v>
      </c>
      <c r="H4212">
        <v>13500</v>
      </c>
      <c r="I4212">
        <v>3613.18</v>
      </c>
      <c r="J4212" t="s">
        <v>39</v>
      </c>
      <c r="K4212" t="s">
        <v>40</v>
      </c>
      <c r="L4212">
        <v>2250</v>
      </c>
      <c r="M4212">
        <v>26.764296296296301</v>
      </c>
      <c r="N4212" t="s">
        <v>8</v>
      </c>
      <c r="O4212" t="s">
        <v>1945</v>
      </c>
      <c r="P4212" t="s">
        <v>29</v>
      </c>
      <c r="Q4212" t="s">
        <v>74</v>
      </c>
      <c r="R4212" t="s">
        <v>493</v>
      </c>
      <c r="S4212" t="s">
        <v>494</v>
      </c>
      <c r="T4212" t="s">
        <v>1469</v>
      </c>
      <c r="U4212" t="s">
        <v>34</v>
      </c>
      <c r="V4212">
        <v>602.1966666666666</v>
      </c>
    </row>
    <row r="4213" spans="1:22" x14ac:dyDescent="0.3">
      <c r="A4213" t="s">
        <v>5695</v>
      </c>
      <c r="B4213" s="2">
        <v>46007</v>
      </c>
      <c r="C4213" t="s">
        <v>540</v>
      </c>
      <c r="D4213" t="s">
        <v>24</v>
      </c>
      <c r="E4213" t="s">
        <v>92</v>
      </c>
      <c r="F4213">
        <v>3</v>
      </c>
      <c r="G4213">
        <v>0.05</v>
      </c>
      <c r="H4213">
        <v>2565</v>
      </c>
      <c r="I4213">
        <v>733.58</v>
      </c>
      <c r="J4213" t="s">
        <v>26</v>
      </c>
      <c r="K4213" t="s">
        <v>40</v>
      </c>
      <c r="L4213">
        <v>855</v>
      </c>
      <c r="M4213">
        <v>28.599610136452242</v>
      </c>
      <c r="N4213" t="s">
        <v>8</v>
      </c>
      <c r="O4213" t="s">
        <v>435</v>
      </c>
      <c r="P4213" t="s">
        <v>83</v>
      </c>
      <c r="Q4213" t="s">
        <v>74</v>
      </c>
      <c r="R4213" t="s">
        <v>237</v>
      </c>
      <c r="S4213" t="s">
        <v>238</v>
      </c>
      <c r="T4213" t="s">
        <v>541</v>
      </c>
      <c r="U4213" t="s">
        <v>100</v>
      </c>
      <c r="V4213">
        <v>244.5266666666667</v>
      </c>
    </row>
    <row r="4214" spans="1:22" x14ac:dyDescent="0.3">
      <c r="A4214" t="s">
        <v>5696</v>
      </c>
      <c r="B4214" s="2">
        <v>46042</v>
      </c>
      <c r="C4214" t="s">
        <v>1524</v>
      </c>
      <c r="D4214" t="s">
        <v>70</v>
      </c>
      <c r="E4214" t="s">
        <v>71</v>
      </c>
      <c r="F4214">
        <v>4</v>
      </c>
      <c r="G4214">
        <v>0.05</v>
      </c>
      <c r="H4214">
        <v>68400</v>
      </c>
      <c r="I4214">
        <v>-18704.060000000001</v>
      </c>
      <c r="J4214" t="s">
        <v>65</v>
      </c>
      <c r="K4214" t="s">
        <v>434</v>
      </c>
      <c r="L4214">
        <v>17100</v>
      </c>
      <c r="M4214">
        <v>-27.345116959064331</v>
      </c>
      <c r="N4214" t="s">
        <v>81</v>
      </c>
      <c r="O4214" t="s">
        <v>243</v>
      </c>
      <c r="P4214" t="s">
        <v>73</v>
      </c>
      <c r="Q4214" t="s">
        <v>74</v>
      </c>
      <c r="R4214" t="s">
        <v>493</v>
      </c>
      <c r="S4214" t="s">
        <v>494</v>
      </c>
      <c r="T4214" t="s">
        <v>1525</v>
      </c>
      <c r="U4214" t="s">
        <v>34</v>
      </c>
      <c r="V4214">
        <v>-4676.0150000000003</v>
      </c>
    </row>
    <row r="4215" spans="1:22" x14ac:dyDescent="0.3">
      <c r="A4215" t="s">
        <v>5697</v>
      </c>
      <c r="B4215" s="2">
        <v>45937</v>
      </c>
      <c r="C4215" t="s">
        <v>921</v>
      </c>
      <c r="D4215" t="s">
        <v>24</v>
      </c>
      <c r="E4215" t="s">
        <v>87</v>
      </c>
      <c r="F4215">
        <v>2</v>
      </c>
      <c r="G4215">
        <v>0.2</v>
      </c>
      <c r="H4215">
        <v>560</v>
      </c>
      <c r="I4215">
        <v>175.31</v>
      </c>
      <c r="J4215" t="s">
        <v>65</v>
      </c>
      <c r="K4215" t="s">
        <v>40</v>
      </c>
      <c r="L4215">
        <v>280</v>
      </c>
      <c r="M4215">
        <v>31.30535714285714</v>
      </c>
      <c r="N4215" t="s">
        <v>8</v>
      </c>
      <c r="O4215" t="s">
        <v>922</v>
      </c>
      <c r="P4215" t="s">
        <v>29</v>
      </c>
      <c r="Q4215" t="s">
        <v>30</v>
      </c>
      <c r="R4215" t="s">
        <v>53</v>
      </c>
      <c r="S4215" t="s">
        <v>54</v>
      </c>
      <c r="T4215" t="s">
        <v>923</v>
      </c>
      <c r="U4215" t="s">
        <v>105</v>
      </c>
      <c r="V4215">
        <v>87.655000000000001</v>
      </c>
    </row>
    <row r="4216" spans="1:22" x14ac:dyDescent="0.3">
      <c r="A4216" t="s">
        <v>5698</v>
      </c>
      <c r="B4216" s="2">
        <v>45941</v>
      </c>
      <c r="C4216" t="s">
        <v>189</v>
      </c>
      <c r="D4216" t="s">
        <v>49</v>
      </c>
      <c r="E4216" t="s">
        <v>119</v>
      </c>
      <c r="F4216">
        <v>10</v>
      </c>
      <c r="G4216">
        <v>0.1</v>
      </c>
      <c r="H4216">
        <v>81000</v>
      </c>
      <c r="I4216">
        <v>17237.25</v>
      </c>
      <c r="J4216" t="s">
        <v>26</v>
      </c>
      <c r="K4216" t="s">
        <v>40</v>
      </c>
      <c r="L4216">
        <v>8100</v>
      </c>
      <c r="M4216">
        <v>21.280555555555559</v>
      </c>
      <c r="N4216" t="s">
        <v>8</v>
      </c>
      <c r="O4216" t="s">
        <v>191</v>
      </c>
      <c r="P4216" t="s">
        <v>29</v>
      </c>
      <c r="Q4216" t="s">
        <v>30</v>
      </c>
      <c r="R4216" t="s">
        <v>31</v>
      </c>
      <c r="S4216" t="s">
        <v>32</v>
      </c>
      <c r="T4216" t="s">
        <v>192</v>
      </c>
      <c r="U4216" t="s">
        <v>34</v>
      </c>
      <c r="V4216">
        <v>1723.7249999999999</v>
      </c>
    </row>
    <row r="4217" spans="1:22" x14ac:dyDescent="0.3">
      <c r="A4217" t="s">
        <v>5699</v>
      </c>
      <c r="B4217" s="2">
        <v>46128</v>
      </c>
      <c r="C4217" t="s">
        <v>3463</v>
      </c>
      <c r="D4217" t="s">
        <v>24</v>
      </c>
      <c r="E4217" t="s">
        <v>92</v>
      </c>
      <c r="F4217">
        <v>3</v>
      </c>
      <c r="G4217">
        <v>0.1</v>
      </c>
      <c r="H4217">
        <v>2430</v>
      </c>
      <c r="I4217">
        <v>621.02</v>
      </c>
      <c r="J4217" t="s">
        <v>26</v>
      </c>
      <c r="K4217" t="s">
        <v>40</v>
      </c>
      <c r="L4217">
        <v>810</v>
      </c>
      <c r="M4217">
        <v>25.556378600823042</v>
      </c>
      <c r="N4217" t="s">
        <v>8</v>
      </c>
      <c r="O4217" t="s">
        <v>692</v>
      </c>
      <c r="P4217" t="s">
        <v>29</v>
      </c>
      <c r="Q4217" t="s">
        <v>42</v>
      </c>
      <c r="R4217" t="s">
        <v>110</v>
      </c>
      <c r="S4217" t="s">
        <v>111</v>
      </c>
      <c r="T4217" t="s">
        <v>1671</v>
      </c>
      <c r="U4217" t="s">
        <v>46</v>
      </c>
      <c r="V4217">
        <v>207.00666666666669</v>
      </c>
    </row>
    <row r="4218" spans="1:22" x14ac:dyDescent="0.3">
      <c r="A4218" t="s">
        <v>5700</v>
      </c>
      <c r="B4218" s="2">
        <v>46046</v>
      </c>
      <c r="C4218" t="s">
        <v>810</v>
      </c>
      <c r="D4218" t="s">
        <v>24</v>
      </c>
      <c r="E4218" t="s">
        <v>25</v>
      </c>
      <c r="F4218">
        <v>4</v>
      </c>
      <c r="G4218">
        <v>0.05</v>
      </c>
      <c r="H4218">
        <v>53200</v>
      </c>
      <c r="I4218">
        <v>9531</v>
      </c>
      <c r="J4218" t="s">
        <v>51</v>
      </c>
      <c r="K4218" t="s">
        <v>40</v>
      </c>
      <c r="L4218">
        <v>13300</v>
      </c>
      <c r="M4218">
        <v>17.915413533834592</v>
      </c>
      <c r="N4218" t="s">
        <v>8</v>
      </c>
      <c r="O4218" t="s">
        <v>811</v>
      </c>
      <c r="P4218" t="s">
        <v>73</v>
      </c>
      <c r="Q4218" t="s">
        <v>30</v>
      </c>
      <c r="R4218" t="s">
        <v>60</v>
      </c>
      <c r="S4218" t="s">
        <v>61</v>
      </c>
      <c r="T4218" t="s">
        <v>812</v>
      </c>
      <c r="U4218" t="s">
        <v>34</v>
      </c>
      <c r="V4218">
        <v>2382.75</v>
      </c>
    </row>
    <row r="4219" spans="1:22" x14ac:dyDescent="0.3">
      <c r="A4219" t="s">
        <v>5701</v>
      </c>
      <c r="B4219" s="2">
        <v>46180</v>
      </c>
      <c r="C4219" t="s">
        <v>301</v>
      </c>
      <c r="D4219" t="s">
        <v>49</v>
      </c>
      <c r="E4219" t="s">
        <v>79</v>
      </c>
      <c r="F4219">
        <v>4</v>
      </c>
      <c r="G4219">
        <v>0</v>
      </c>
      <c r="H4219">
        <v>44000</v>
      </c>
      <c r="I4219">
        <v>10400</v>
      </c>
      <c r="J4219" t="s">
        <v>26</v>
      </c>
      <c r="K4219" t="s">
        <v>40</v>
      </c>
      <c r="L4219">
        <v>11000</v>
      </c>
      <c r="M4219">
        <v>23.63636363636364</v>
      </c>
      <c r="N4219" t="s">
        <v>8</v>
      </c>
      <c r="O4219" t="s">
        <v>302</v>
      </c>
      <c r="P4219" t="s">
        <v>29</v>
      </c>
      <c r="Q4219" t="s">
        <v>42</v>
      </c>
      <c r="R4219" t="s">
        <v>110</v>
      </c>
      <c r="S4219" t="s">
        <v>111</v>
      </c>
      <c r="T4219" t="s">
        <v>303</v>
      </c>
      <c r="U4219" t="s">
        <v>46</v>
      </c>
      <c r="V4219">
        <v>2600</v>
      </c>
    </row>
    <row r="4220" spans="1:22" x14ac:dyDescent="0.3">
      <c r="A4220" t="s">
        <v>5702</v>
      </c>
      <c r="B4220" s="2">
        <v>46227</v>
      </c>
      <c r="C4220" t="s">
        <v>854</v>
      </c>
      <c r="D4220" t="s">
        <v>70</v>
      </c>
      <c r="E4220" t="s">
        <v>129</v>
      </c>
      <c r="F4220">
        <v>2</v>
      </c>
      <c r="G4220">
        <v>0.1</v>
      </c>
      <c r="H4220">
        <v>99000</v>
      </c>
      <c r="I4220">
        <v>12678.64</v>
      </c>
      <c r="J4220" t="s">
        <v>65</v>
      </c>
      <c r="K4220" t="s">
        <v>40</v>
      </c>
      <c r="L4220">
        <v>49500</v>
      </c>
      <c r="M4220">
        <v>12.80670707070707</v>
      </c>
      <c r="N4220" t="s">
        <v>8</v>
      </c>
      <c r="O4220" t="s">
        <v>855</v>
      </c>
      <c r="P4220" t="s">
        <v>29</v>
      </c>
      <c r="Q4220" t="s">
        <v>74</v>
      </c>
      <c r="R4220" t="s">
        <v>493</v>
      </c>
      <c r="S4220" t="s">
        <v>494</v>
      </c>
      <c r="T4220" t="s">
        <v>856</v>
      </c>
      <c r="U4220" t="s">
        <v>100</v>
      </c>
      <c r="V4220">
        <v>6339.32</v>
      </c>
    </row>
    <row r="4221" spans="1:22" x14ac:dyDescent="0.3">
      <c r="A4221" t="s">
        <v>5703</v>
      </c>
      <c r="B4221" s="2">
        <v>45934</v>
      </c>
      <c r="C4221" t="s">
        <v>659</v>
      </c>
      <c r="D4221" t="s">
        <v>24</v>
      </c>
      <c r="E4221" t="s">
        <v>92</v>
      </c>
      <c r="F4221">
        <v>2</v>
      </c>
      <c r="G4221">
        <v>0.05</v>
      </c>
      <c r="H4221">
        <v>1710</v>
      </c>
      <c r="I4221">
        <v>511.35</v>
      </c>
      <c r="J4221" t="s">
        <v>39</v>
      </c>
      <c r="K4221" t="s">
        <v>40</v>
      </c>
      <c r="L4221">
        <v>855</v>
      </c>
      <c r="M4221">
        <v>29.903508771929829</v>
      </c>
      <c r="N4221" t="s">
        <v>8</v>
      </c>
      <c r="O4221" t="s">
        <v>660</v>
      </c>
      <c r="P4221" t="s">
        <v>83</v>
      </c>
      <c r="Q4221" t="s">
        <v>30</v>
      </c>
      <c r="R4221" t="s">
        <v>60</v>
      </c>
      <c r="S4221" t="s">
        <v>61</v>
      </c>
      <c r="T4221" t="s">
        <v>475</v>
      </c>
      <c r="U4221" t="s">
        <v>46</v>
      </c>
      <c r="V4221">
        <v>255.67500000000001</v>
      </c>
    </row>
    <row r="4222" spans="1:22" x14ac:dyDescent="0.3">
      <c r="A4222" t="s">
        <v>5704</v>
      </c>
      <c r="B4222" s="2">
        <v>46237</v>
      </c>
      <c r="C4222" t="s">
        <v>732</v>
      </c>
      <c r="D4222" t="s">
        <v>37</v>
      </c>
      <c r="E4222" t="s">
        <v>310</v>
      </c>
      <c r="F4222">
        <v>2</v>
      </c>
      <c r="G4222">
        <v>0.1</v>
      </c>
      <c r="H4222">
        <v>3960</v>
      </c>
      <c r="I4222">
        <v>1222.81</v>
      </c>
      <c r="J4222" t="s">
        <v>51</v>
      </c>
      <c r="K4222" t="s">
        <v>40</v>
      </c>
      <c r="L4222">
        <v>1980</v>
      </c>
      <c r="M4222">
        <v>30.879040404040399</v>
      </c>
      <c r="N4222" t="s">
        <v>8</v>
      </c>
      <c r="O4222" t="s">
        <v>733</v>
      </c>
      <c r="P4222" t="s">
        <v>29</v>
      </c>
      <c r="Q4222" t="s">
        <v>131</v>
      </c>
      <c r="R4222" t="s">
        <v>449</v>
      </c>
      <c r="S4222" t="s">
        <v>450</v>
      </c>
      <c r="T4222" t="s">
        <v>734</v>
      </c>
      <c r="U4222" t="s">
        <v>34</v>
      </c>
      <c r="V4222">
        <v>611.40499999999997</v>
      </c>
    </row>
    <row r="4223" spans="1:22" x14ac:dyDescent="0.3">
      <c r="A4223" t="s">
        <v>5705</v>
      </c>
      <c r="B4223" s="2">
        <v>46226</v>
      </c>
      <c r="C4223" t="s">
        <v>907</v>
      </c>
      <c r="D4223" t="s">
        <v>70</v>
      </c>
      <c r="E4223" t="s">
        <v>165</v>
      </c>
      <c r="F4223">
        <v>2</v>
      </c>
      <c r="G4223">
        <v>0</v>
      </c>
      <c r="H4223">
        <v>5000</v>
      </c>
      <c r="I4223">
        <v>1600</v>
      </c>
      <c r="J4223" t="s">
        <v>39</v>
      </c>
      <c r="K4223" t="s">
        <v>40</v>
      </c>
      <c r="L4223">
        <v>2500</v>
      </c>
      <c r="M4223">
        <v>32</v>
      </c>
      <c r="N4223" t="s">
        <v>8</v>
      </c>
      <c r="O4223" t="s">
        <v>908</v>
      </c>
      <c r="P4223" t="s">
        <v>29</v>
      </c>
      <c r="Q4223" t="s">
        <v>30</v>
      </c>
      <c r="R4223" t="s">
        <v>60</v>
      </c>
      <c r="S4223" t="s">
        <v>61</v>
      </c>
      <c r="T4223" t="s">
        <v>486</v>
      </c>
      <c r="U4223" t="s">
        <v>34</v>
      </c>
      <c r="V4223">
        <v>800</v>
      </c>
    </row>
    <row r="4224" spans="1:22" x14ac:dyDescent="0.3">
      <c r="A4224" t="s">
        <v>5706</v>
      </c>
      <c r="B4224" s="2">
        <v>46263</v>
      </c>
      <c r="C4224" t="s">
        <v>2396</v>
      </c>
      <c r="D4224" t="s">
        <v>49</v>
      </c>
      <c r="E4224" t="s">
        <v>50</v>
      </c>
      <c r="F4224">
        <v>5</v>
      </c>
      <c r="G4224">
        <v>0.1</v>
      </c>
      <c r="H4224">
        <v>58500</v>
      </c>
      <c r="I4224">
        <v>11954.43</v>
      </c>
      <c r="J4224" t="s">
        <v>65</v>
      </c>
      <c r="K4224" t="s">
        <v>40</v>
      </c>
      <c r="L4224">
        <v>11700</v>
      </c>
      <c r="M4224">
        <v>20.434923076923081</v>
      </c>
      <c r="N4224" t="s">
        <v>8</v>
      </c>
      <c r="O4224" t="s">
        <v>2397</v>
      </c>
      <c r="P4224" t="s">
        <v>73</v>
      </c>
      <c r="Q4224" t="s">
        <v>131</v>
      </c>
      <c r="R4224" t="s">
        <v>132</v>
      </c>
      <c r="S4224" t="s">
        <v>133</v>
      </c>
      <c r="T4224" t="s">
        <v>2398</v>
      </c>
      <c r="U4224" t="s">
        <v>34</v>
      </c>
      <c r="V4224">
        <v>2390.886</v>
      </c>
    </row>
    <row r="4225" spans="1:22" x14ac:dyDescent="0.3">
      <c r="A4225" t="s">
        <v>5707</v>
      </c>
      <c r="B4225" s="2">
        <v>46111</v>
      </c>
      <c r="C4225" t="s">
        <v>501</v>
      </c>
      <c r="D4225" t="s">
        <v>37</v>
      </c>
      <c r="E4225" t="s">
        <v>38</v>
      </c>
      <c r="F4225">
        <v>2</v>
      </c>
      <c r="G4225">
        <v>0.3</v>
      </c>
      <c r="H4225">
        <v>2520</v>
      </c>
      <c r="I4225">
        <v>761.65</v>
      </c>
      <c r="J4225" t="s">
        <v>65</v>
      </c>
      <c r="K4225" t="s">
        <v>40</v>
      </c>
      <c r="L4225">
        <v>1260</v>
      </c>
      <c r="M4225">
        <v>30.224206349206352</v>
      </c>
      <c r="N4225" t="s">
        <v>8</v>
      </c>
      <c r="O4225" t="s">
        <v>502</v>
      </c>
      <c r="P4225" t="s">
        <v>29</v>
      </c>
      <c r="Q4225" t="s">
        <v>30</v>
      </c>
      <c r="R4225" t="s">
        <v>31</v>
      </c>
      <c r="S4225" t="s">
        <v>32</v>
      </c>
      <c r="T4225" t="s">
        <v>503</v>
      </c>
      <c r="U4225" t="s">
        <v>100</v>
      </c>
      <c r="V4225">
        <v>380.82499999999999</v>
      </c>
    </row>
    <row r="4226" spans="1:22" x14ac:dyDescent="0.3">
      <c r="A4226" t="s">
        <v>5708</v>
      </c>
      <c r="B4226" s="2">
        <v>46230</v>
      </c>
      <c r="C4226" t="s">
        <v>1250</v>
      </c>
      <c r="D4226" t="s">
        <v>24</v>
      </c>
      <c r="E4226" t="s">
        <v>242</v>
      </c>
      <c r="F4226">
        <v>2</v>
      </c>
      <c r="G4226">
        <v>0.15</v>
      </c>
      <c r="H4226">
        <v>765</v>
      </c>
      <c r="I4226">
        <v>131.1</v>
      </c>
      <c r="J4226" t="s">
        <v>65</v>
      </c>
      <c r="K4226" t="s">
        <v>27</v>
      </c>
      <c r="L4226">
        <v>382.5</v>
      </c>
      <c r="M4226">
        <v>17.13725490196078</v>
      </c>
      <c r="N4226" t="s">
        <v>8</v>
      </c>
      <c r="O4226" t="s">
        <v>1251</v>
      </c>
      <c r="P4226" t="s">
        <v>29</v>
      </c>
      <c r="Q4226" t="s">
        <v>42</v>
      </c>
      <c r="R4226" t="s">
        <v>43</v>
      </c>
      <c r="S4226" t="s">
        <v>44</v>
      </c>
      <c r="T4226" t="s">
        <v>1252</v>
      </c>
      <c r="U4226" t="s">
        <v>105</v>
      </c>
      <c r="V4226">
        <v>65.55</v>
      </c>
    </row>
    <row r="4227" spans="1:22" x14ac:dyDescent="0.3">
      <c r="A4227" t="s">
        <v>5709</v>
      </c>
      <c r="B4227" s="2">
        <v>45975</v>
      </c>
      <c r="C4227" t="s">
        <v>189</v>
      </c>
      <c r="D4227" t="s">
        <v>37</v>
      </c>
      <c r="E4227" t="s">
        <v>170</v>
      </c>
      <c r="F4227">
        <v>1</v>
      </c>
      <c r="G4227">
        <v>0.1</v>
      </c>
      <c r="H4227">
        <v>1260</v>
      </c>
      <c r="I4227">
        <v>390.53</v>
      </c>
      <c r="J4227" t="s">
        <v>26</v>
      </c>
      <c r="K4227" t="s">
        <v>40</v>
      </c>
      <c r="L4227">
        <v>1260</v>
      </c>
      <c r="M4227">
        <v>30.99444444444444</v>
      </c>
      <c r="N4227" t="s">
        <v>8</v>
      </c>
      <c r="O4227" t="s">
        <v>191</v>
      </c>
      <c r="P4227" t="s">
        <v>29</v>
      </c>
      <c r="Q4227" t="s">
        <v>30</v>
      </c>
      <c r="R4227" t="s">
        <v>31</v>
      </c>
      <c r="S4227" t="s">
        <v>32</v>
      </c>
      <c r="T4227" t="s">
        <v>192</v>
      </c>
      <c r="U4227" t="s">
        <v>34</v>
      </c>
      <c r="V4227">
        <v>390.53</v>
      </c>
    </row>
    <row r="4228" spans="1:22" x14ac:dyDescent="0.3">
      <c r="A4228" t="s">
        <v>5710</v>
      </c>
      <c r="B4228" s="2">
        <v>46159</v>
      </c>
      <c r="C4228" t="s">
        <v>1460</v>
      </c>
      <c r="D4228" t="s">
        <v>24</v>
      </c>
      <c r="E4228" t="s">
        <v>87</v>
      </c>
      <c r="F4228">
        <v>4</v>
      </c>
      <c r="G4228">
        <v>0</v>
      </c>
      <c r="H4228">
        <v>1400</v>
      </c>
      <c r="I4228">
        <v>480</v>
      </c>
      <c r="J4228" t="s">
        <v>65</v>
      </c>
      <c r="K4228" t="s">
        <v>40</v>
      </c>
      <c r="L4228">
        <v>350</v>
      </c>
      <c r="M4228">
        <v>34.285714285714278</v>
      </c>
      <c r="N4228" t="s">
        <v>8</v>
      </c>
      <c r="O4228" t="s">
        <v>1461</v>
      </c>
      <c r="P4228" t="s">
        <v>29</v>
      </c>
      <c r="Q4228" t="s">
        <v>42</v>
      </c>
      <c r="R4228" t="s">
        <v>110</v>
      </c>
      <c r="S4228" t="s">
        <v>111</v>
      </c>
      <c r="T4228" t="s">
        <v>1462</v>
      </c>
      <c r="U4228" t="s">
        <v>105</v>
      </c>
      <c r="V4228">
        <v>120</v>
      </c>
    </row>
    <row r="4229" spans="1:22" x14ac:dyDescent="0.3">
      <c r="A4229" t="s">
        <v>5711</v>
      </c>
      <c r="B4229" s="2">
        <v>45874</v>
      </c>
      <c r="C4229" t="s">
        <v>321</v>
      </c>
      <c r="D4229" t="s">
        <v>24</v>
      </c>
      <c r="E4229" t="s">
        <v>92</v>
      </c>
      <c r="F4229">
        <v>3</v>
      </c>
      <c r="G4229">
        <v>0.1</v>
      </c>
      <c r="H4229">
        <v>2430</v>
      </c>
      <c r="I4229">
        <v>676.44</v>
      </c>
      <c r="J4229" t="s">
        <v>39</v>
      </c>
      <c r="K4229" t="s">
        <v>40</v>
      </c>
      <c r="L4229">
        <v>810</v>
      </c>
      <c r="M4229">
        <v>27.837037037037039</v>
      </c>
      <c r="N4229" t="s">
        <v>8</v>
      </c>
      <c r="O4229" t="s">
        <v>322</v>
      </c>
      <c r="P4229" t="s">
        <v>29</v>
      </c>
      <c r="Q4229" t="s">
        <v>30</v>
      </c>
      <c r="R4229" t="s">
        <v>31</v>
      </c>
      <c r="S4229" t="s">
        <v>32</v>
      </c>
      <c r="T4229" t="s">
        <v>323</v>
      </c>
      <c r="U4229" t="s">
        <v>34</v>
      </c>
      <c r="V4229">
        <v>225.48</v>
      </c>
    </row>
    <row r="4230" spans="1:22" x14ac:dyDescent="0.3">
      <c r="A4230" t="s">
        <v>5712</v>
      </c>
      <c r="B4230" s="2">
        <v>46141</v>
      </c>
      <c r="C4230" t="s">
        <v>1582</v>
      </c>
      <c r="D4230" t="s">
        <v>49</v>
      </c>
      <c r="E4230" t="s">
        <v>119</v>
      </c>
      <c r="F4230">
        <v>4</v>
      </c>
      <c r="G4230">
        <v>0</v>
      </c>
      <c r="H4230">
        <v>36000</v>
      </c>
      <c r="I4230">
        <v>9200</v>
      </c>
      <c r="J4230" t="s">
        <v>65</v>
      </c>
      <c r="K4230" t="s">
        <v>40</v>
      </c>
      <c r="L4230">
        <v>9000</v>
      </c>
      <c r="M4230">
        <v>25.55555555555555</v>
      </c>
      <c r="N4230" t="s">
        <v>8</v>
      </c>
      <c r="O4230" t="s">
        <v>1583</v>
      </c>
      <c r="P4230" t="s">
        <v>73</v>
      </c>
      <c r="Q4230" t="s">
        <v>30</v>
      </c>
      <c r="R4230" t="s">
        <v>53</v>
      </c>
      <c r="S4230" t="s">
        <v>54</v>
      </c>
      <c r="T4230" t="s">
        <v>370</v>
      </c>
      <c r="U4230" t="s">
        <v>105</v>
      </c>
      <c r="V4230">
        <v>2300</v>
      </c>
    </row>
    <row r="4231" spans="1:22" x14ac:dyDescent="0.3">
      <c r="A4231" t="s">
        <v>5713</v>
      </c>
      <c r="B4231" s="2">
        <v>46116</v>
      </c>
      <c r="C4231" t="s">
        <v>194</v>
      </c>
      <c r="D4231" t="s">
        <v>37</v>
      </c>
      <c r="E4231" t="s">
        <v>38</v>
      </c>
      <c r="F4231">
        <v>5</v>
      </c>
      <c r="G4231">
        <v>0.1</v>
      </c>
      <c r="H4231">
        <v>8100</v>
      </c>
      <c r="I4231">
        <v>2545.6999999999998</v>
      </c>
      <c r="J4231" t="s">
        <v>26</v>
      </c>
      <c r="K4231" t="s">
        <v>40</v>
      </c>
      <c r="L4231">
        <v>1620</v>
      </c>
      <c r="M4231">
        <v>31.428395061728391</v>
      </c>
      <c r="N4231" t="s">
        <v>8</v>
      </c>
      <c r="O4231" t="s">
        <v>195</v>
      </c>
      <c r="P4231" t="s">
        <v>73</v>
      </c>
      <c r="Q4231" t="s">
        <v>30</v>
      </c>
      <c r="R4231" t="s">
        <v>98</v>
      </c>
      <c r="S4231" t="s">
        <v>54</v>
      </c>
      <c r="T4231" t="s">
        <v>196</v>
      </c>
      <c r="U4231" t="s">
        <v>105</v>
      </c>
      <c r="V4231">
        <v>509.14</v>
      </c>
    </row>
    <row r="4232" spans="1:22" x14ac:dyDescent="0.3">
      <c r="A4232" t="s">
        <v>5714</v>
      </c>
      <c r="B4232" s="2">
        <v>45989</v>
      </c>
      <c r="C4232" t="s">
        <v>3146</v>
      </c>
      <c r="D4232" t="s">
        <v>70</v>
      </c>
      <c r="E4232" t="s">
        <v>165</v>
      </c>
      <c r="F4232">
        <v>2</v>
      </c>
      <c r="G4232">
        <v>0.1</v>
      </c>
      <c r="H4232">
        <v>4500</v>
      </c>
      <c r="I4232">
        <v>-639.29999999999995</v>
      </c>
      <c r="J4232" t="s">
        <v>51</v>
      </c>
      <c r="K4232" t="s">
        <v>434</v>
      </c>
      <c r="L4232">
        <v>2250</v>
      </c>
      <c r="M4232">
        <v>-14.206666666666671</v>
      </c>
      <c r="N4232" t="s">
        <v>81</v>
      </c>
      <c r="O4232" t="s">
        <v>3147</v>
      </c>
      <c r="P4232" t="s">
        <v>73</v>
      </c>
      <c r="Q4232" t="s">
        <v>42</v>
      </c>
      <c r="R4232" t="s">
        <v>121</v>
      </c>
      <c r="S4232" t="s">
        <v>44</v>
      </c>
      <c r="T4232" t="s">
        <v>2122</v>
      </c>
      <c r="U4232" t="s">
        <v>34</v>
      </c>
      <c r="V4232">
        <v>-319.64999999999998</v>
      </c>
    </row>
    <row r="4233" spans="1:22" x14ac:dyDescent="0.3">
      <c r="A4233" t="s">
        <v>5715</v>
      </c>
      <c r="B4233" s="2">
        <v>46193</v>
      </c>
      <c r="C4233" t="s">
        <v>1951</v>
      </c>
      <c r="D4233" t="s">
        <v>49</v>
      </c>
      <c r="E4233" t="s">
        <v>50</v>
      </c>
      <c r="F4233">
        <v>1</v>
      </c>
      <c r="G4233">
        <v>0</v>
      </c>
      <c r="H4233">
        <v>13000</v>
      </c>
      <c r="I4233">
        <v>3200</v>
      </c>
      <c r="J4233" t="s">
        <v>26</v>
      </c>
      <c r="K4233" t="s">
        <v>40</v>
      </c>
      <c r="L4233">
        <v>13000</v>
      </c>
      <c r="M4233">
        <v>24.61538461538462</v>
      </c>
      <c r="N4233" t="s">
        <v>8</v>
      </c>
      <c r="O4233" t="s">
        <v>1952</v>
      </c>
      <c r="P4233" t="s">
        <v>29</v>
      </c>
      <c r="Q4233" t="s">
        <v>30</v>
      </c>
      <c r="R4233" t="s">
        <v>31</v>
      </c>
      <c r="S4233" t="s">
        <v>32</v>
      </c>
      <c r="T4233" t="s">
        <v>1953</v>
      </c>
      <c r="U4233" t="s">
        <v>34</v>
      </c>
      <c r="V4233">
        <v>3200</v>
      </c>
    </row>
    <row r="4234" spans="1:22" x14ac:dyDescent="0.3">
      <c r="A4234" t="s">
        <v>5716</v>
      </c>
      <c r="B4234" s="2">
        <v>46087</v>
      </c>
      <c r="C4234" t="s">
        <v>807</v>
      </c>
      <c r="D4234" t="s">
        <v>49</v>
      </c>
      <c r="E4234" t="s">
        <v>119</v>
      </c>
      <c r="F4234">
        <v>6</v>
      </c>
      <c r="G4234">
        <v>0.1</v>
      </c>
      <c r="H4234">
        <v>48600</v>
      </c>
      <c r="I4234">
        <v>10899.03</v>
      </c>
      <c r="J4234" t="s">
        <v>26</v>
      </c>
      <c r="K4234" t="s">
        <v>40</v>
      </c>
      <c r="L4234">
        <v>8100</v>
      </c>
      <c r="M4234">
        <v>22.425987654320991</v>
      </c>
      <c r="N4234" t="s">
        <v>8</v>
      </c>
      <c r="O4234" t="s">
        <v>545</v>
      </c>
      <c r="P4234" t="s">
        <v>73</v>
      </c>
      <c r="Q4234" t="s">
        <v>30</v>
      </c>
      <c r="R4234" t="s">
        <v>31</v>
      </c>
      <c r="S4234" t="s">
        <v>32</v>
      </c>
      <c r="T4234" t="s">
        <v>808</v>
      </c>
      <c r="U4234" t="s">
        <v>105</v>
      </c>
      <c r="V4234">
        <v>1816.5050000000001</v>
      </c>
    </row>
    <row r="4235" spans="1:22" x14ac:dyDescent="0.3">
      <c r="A4235" t="s">
        <v>5717</v>
      </c>
      <c r="B4235" s="2">
        <v>46137</v>
      </c>
      <c r="C4235" t="s">
        <v>838</v>
      </c>
      <c r="D4235" t="s">
        <v>70</v>
      </c>
      <c r="E4235" t="s">
        <v>129</v>
      </c>
      <c r="F4235">
        <v>2</v>
      </c>
      <c r="G4235">
        <v>0.05</v>
      </c>
      <c r="H4235">
        <v>104500</v>
      </c>
      <c r="I4235">
        <v>14753.9</v>
      </c>
      <c r="J4235" t="s">
        <v>51</v>
      </c>
      <c r="K4235" t="s">
        <v>27</v>
      </c>
      <c r="L4235">
        <v>52250</v>
      </c>
      <c r="M4235">
        <v>14.118564593301439</v>
      </c>
      <c r="N4235" t="s">
        <v>8</v>
      </c>
      <c r="O4235" t="s">
        <v>839</v>
      </c>
      <c r="P4235" t="s">
        <v>73</v>
      </c>
      <c r="Q4235" t="s">
        <v>30</v>
      </c>
      <c r="R4235" t="s">
        <v>31</v>
      </c>
      <c r="S4235" t="s">
        <v>32</v>
      </c>
      <c r="T4235" t="s">
        <v>840</v>
      </c>
      <c r="U4235" t="s">
        <v>100</v>
      </c>
      <c r="V4235">
        <v>7376.95</v>
      </c>
    </row>
    <row r="4236" spans="1:22" x14ac:dyDescent="0.3">
      <c r="A4236" t="s">
        <v>5718</v>
      </c>
      <c r="B4236" s="2">
        <v>46240</v>
      </c>
      <c r="C4236" t="s">
        <v>1655</v>
      </c>
      <c r="D4236" t="s">
        <v>70</v>
      </c>
      <c r="E4236" t="s">
        <v>71</v>
      </c>
      <c r="F4236">
        <v>4</v>
      </c>
      <c r="G4236">
        <v>0</v>
      </c>
      <c r="H4236">
        <v>72000</v>
      </c>
      <c r="I4236">
        <v>14000</v>
      </c>
      <c r="J4236" t="s">
        <v>39</v>
      </c>
      <c r="K4236" t="s">
        <v>40</v>
      </c>
      <c r="L4236">
        <v>18000</v>
      </c>
      <c r="M4236">
        <v>19.44444444444445</v>
      </c>
      <c r="N4236" t="s">
        <v>8</v>
      </c>
      <c r="O4236" t="s">
        <v>1656</v>
      </c>
      <c r="P4236" t="s">
        <v>29</v>
      </c>
      <c r="Q4236" t="s">
        <v>30</v>
      </c>
      <c r="R4236" t="s">
        <v>53</v>
      </c>
      <c r="S4236" t="s">
        <v>54</v>
      </c>
      <c r="T4236" t="s">
        <v>1657</v>
      </c>
      <c r="U4236" t="s">
        <v>34</v>
      </c>
      <c r="V4236">
        <v>3500</v>
      </c>
    </row>
    <row r="4237" spans="1:22" x14ac:dyDescent="0.3">
      <c r="A4237" t="s">
        <v>5719</v>
      </c>
      <c r="B4237" s="2">
        <v>46004</v>
      </c>
      <c r="C4237" t="s">
        <v>1548</v>
      </c>
      <c r="D4237" t="s">
        <v>49</v>
      </c>
      <c r="E4237" t="s">
        <v>58</v>
      </c>
      <c r="F4237">
        <v>1</v>
      </c>
      <c r="G4237">
        <v>0.1</v>
      </c>
      <c r="H4237">
        <v>13500</v>
      </c>
      <c r="I4237">
        <v>2749.49</v>
      </c>
      <c r="J4237" t="s">
        <v>39</v>
      </c>
      <c r="K4237" t="s">
        <v>27</v>
      </c>
      <c r="L4237">
        <v>13500</v>
      </c>
      <c r="M4237">
        <v>20.366592592592589</v>
      </c>
      <c r="N4237" t="s">
        <v>8</v>
      </c>
      <c r="O4237" t="s">
        <v>825</v>
      </c>
      <c r="P4237" t="s">
        <v>83</v>
      </c>
      <c r="Q4237" t="s">
        <v>30</v>
      </c>
      <c r="R4237" t="s">
        <v>98</v>
      </c>
      <c r="S4237" t="s">
        <v>54</v>
      </c>
      <c r="T4237" t="s">
        <v>1549</v>
      </c>
      <c r="U4237" t="s">
        <v>34</v>
      </c>
      <c r="V4237">
        <v>2749.49</v>
      </c>
    </row>
    <row r="4238" spans="1:22" x14ac:dyDescent="0.3">
      <c r="A4238" t="s">
        <v>5720</v>
      </c>
      <c r="B4238" s="2">
        <v>46017</v>
      </c>
      <c r="C4238" t="s">
        <v>678</v>
      </c>
      <c r="D4238" t="s">
        <v>49</v>
      </c>
      <c r="E4238" t="s">
        <v>119</v>
      </c>
      <c r="F4238">
        <v>1</v>
      </c>
      <c r="G4238">
        <v>0.05</v>
      </c>
      <c r="H4238">
        <v>8550</v>
      </c>
      <c r="I4238">
        <v>-4287.25</v>
      </c>
      <c r="J4238" t="s">
        <v>39</v>
      </c>
      <c r="K4238" t="s">
        <v>434</v>
      </c>
      <c r="L4238">
        <v>8550</v>
      </c>
      <c r="M4238">
        <v>-50.143274853801167</v>
      </c>
      <c r="N4238" t="s">
        <v>81</v>
      </c>
      <c r="O4238" t="s">
        <v>657</v>
      </c>
      <c r="P4238" t="s">
        <v>83</v>
      </c>
      <c r="Q4238" t="s">
        <v>30</v>
      </c>
      <c r="R4238" t="s">
        <v>31</v>
      </c>
      <c r="S4238" t="s">
        <v>32</v>
      </c>
      <c r="T4238" t="s">
        <v>679</v>
      </c>
      <c r="U4238" t="s">
        <v>100</v>
      </c>
      <c r="V4238">
        <v>-4287.25</v>
      </c>
    </row>
    <row r="4239" spans="1:22" x14ac:dyDescent="0.3">
      <c r="A4239" t="s">
        <v>5721</v>
      </c>
      <c r="B4239" s="2">
        <v>46142</v>
      </c>
      <c r="C4239" t="s">
        <v>640</v>
      </c>
      <c r="D4239" t="s">
        <v>49</v>
      </c>
      <c r="E4239" t="s">
        <v>119</v>
      </c>
      <c r="F4239">
        <v>3</v>
      </c>
      <c r="G4239">
        <v>0.1</v>
      </c>
      <c r="H4239">
        <v>24300</v>
      </c>
      <c r="I4239">
        <v>5379.32</v>
      </c>
      <c r="J4239" t="s">
        <v>26</v>
      </c>
      <c r="K4239" t="s">
        <v>40</v>
      </c>
      <c r="L4239">
        <v>8100</v>
      </c>
      <c r="M4239">
        <v>22.137119341563789</v>
      </c>
      <c r="N4239" t="s">
        <v>8</v>
      </c>
      <c r="O4239" t="s">
        <v>641</v>
      </c>
      <c r="P4239" t="s">
        <v>29</v>
      </c>
      <c r="Q4239" t="s">
        <v>30</v>
      </c>
      <c r="R4239" t="s">
        <v>31</v>
      </c>
      <c r="S4239" t="s">
        <v>32</v>
      </c>
      <c r="T4239" t="s">
        <v>642</v>
      </c>
      <c r="U4239" t="s">
        <v>34</v>
      </c>
      <c r="V4239">
        <v>1793.106666666667</v>
      </c>
    </row>
    <row r="4240" spans="1:22" x14ac:dyDescent="0.3">
      <c r="A4240" t="s">
        <v>5722</v>
      </c>
      <c r="B4240" s="2">
        <v>46018</v>
      </c>
      <c r="C4240" t="s">
        <v>351</v>
      </c>
      <c r="D4240" t="s">
        <v>24</v>
      </c>
      <c r="E4240" t="s">
        <v>25</v>
      </c>
      <c r="F4240">
        <v>1</v>
      </c>
      <c r="G4240">
        <v>0</v>
      </c>
      <c r="H4240">
        <v>14000</v>
      </c>
      <c r="I4240">
        <v>-990.45</v>
      </c>
      <c r="J4240" t="s">
        <v>39</v>
      </c>
      <c r="K4240" t="s">
        <v>434</v>
      </c>
      <c r="L4240">
        <v>14000</v>
      </c>
      <c r="M4240">
        <v>-7.074642857142857</v>
      </c>
      <c r="N4240" t="s">
        <v>81</v>
      </c>
      <c r="O4240" t="s">
        <v>352</v>
      </c>
      <c r="P4240" t="s">
        <v>73</v>
      </c>
      <c r="Q4240" t="s">
        <v>30</v>
      </c>
      <c r="R4240" t="s">
        <v>31</v>
      </c>
      <c r="S4240" t="s">
        <v>32</v>
      </c>
      <c r="T4240" t="s">
        <v>338</v>
      </c>
      <c r="U4240" t="s">
        <v>100</v>
      </c>
      <c r="V4240">
        <v>-990.45</v>
      </c>
    </row>
    <row r="4241" spans="1:22" x14ac:dyDescent="0.3">
      <c r="A4241" t="s">
        <v>5723</v>
      </c>
      <c r="B4241" s="2">
        <v>46081</v>
      </c>
      <c r="C4241" t="s">
        <v>1519</v>
      </c>
      <c r="D4241" t="s">
        <v>49</v>
      </c>
      <c r="E4241" t="s">
        <v>79</v>
      </c>
      <c r="F4241">
        <v>3</v>
      </c>
      <c r="G4241">
        <v>0.15</v>
      </c>
      <c r="H4241">
        <v>28050</v>
      </c>
      <c r="I4241">
        <v>5294.23</v>
      </c>
      <c r="J4241" t="s">
        <v>65</v>
      </c>
      <c r="K4241" t="s">
        <v>40</v>
      </c>
      <c r="L4241">
        <v>9350</v>
      </c>
      <c r="M4241">
        <v>18.874260249554361</v>
      </c>
      <c r="N4241" t="s">
        <v>8</v>
      </c>
      <c r="O4241" t="s">
        <v>1520</v>
      </c>
      <c r="P4241" t="s">
        <v>83</v>
      </c>
      <c r="Q4241" t="s">
        <v>30</v>
      </c>
      <c r="R4241" t="s">
        <v>31</v>
      </c>
      <c r="S4241" t="s">
        <v>32</v>
      </c>
      <c r="T4241" t="s">
        <v>1521</v>
      </c>
      <c r="U4241" t="s">
        <v>105</v>
      </c>
      <c r="V4241">
        <v>1764.7433333333331</v>
      </c>
    </row>
    <row r="4242" spans="1:22" x14ac:dyDescent="0.3">
      <c r="A4242" t="s">
        <v>5724</v>
      </c>
      <c r="B4242" s="2">
        <v>46104</v>
      </c>
      <c r="C4242" t="s">
        <v>2278</v>
      </c>
      <c r="D4242" t="s">
        <v>37</v>
      </c>
      <c r="E4242" t="s">
        <v>38</v>
      </c>
      <c r="F4242">
        <v>1</v>
      </c>
      <c r="G4242">
        <v>0.1</v>
      </c>
      <c r="H4242">
        <v>1620</v>
      </c>
      <c r="I4242">
        <v>562.79</v>
      </c>
      <c r="J4242" t="s">
        <v>65</v>
      </c>
      <c r="K4242" t="s">
        <v>40</v>
      </c>
      <c r="L4242">
        <v>1620</v>
      </c>
      <c r="M4242">
        <v>34.740123456790123</v>
      </c>
      <c r="N4242" t="s">
        <v>8</v>
      </c>
      <c r="O4242" t="s">
        <v>470</v>
      </c>
      <c r="P4242" t="s">
        <v>29</v>
      </c>
      <c r="Q4242" t="s">
        <v>30</v>
      </c>
      <c r="R4242" t="s">
        <v>98</v>
      </c>
      <c r="S4242" t="s">
        <v>54</v>
      </c>
      <c r="T4242" t="s">
        <v>2279</v>
      </c>
      <c r="U4242" t="s">
        <v>105</v>
      </c>
      <c r="V4242">
        <v>562.79</v>
      </c>
    </row>
    <row r="4243" spans="1:22" x14ac:dyDescent="0.3">
      <c r="A4243" t="s">
        <v>5725</v>
      </c>
      <c r="B4243" s="2">
        <v>45923</v>
      </c>
      <c r="C4243" t="s">
        <v>736</v>
      </c>
      <c r="D4243" t="s">
        <v>24</v>
      </c>
      <c r="E4243" t="s">
        <v>92</v>
      </c>
      <c r="F4243">
        <v>5</v>
      </c>
      <c r="G4243">
        <v>0.15</v>
      </c>
      <c r="H4243">
        <v>3825</v>
      </c>
      <c r="I4243">
        <v>919.42</v>
      </c>
      <c r="J4243" t="s">
        <v>26</v>
      </c>
      <c r="K4243" t="s">
        <v>27</v>
      </c>
      <c r="L4243">
        <v>765</v>
      </c>
      <c r="M4243">
        <v>24.037124183006529</v>
      </c>
      <c r="N4243" t="s">
        <v>8</v>
      </c>
      <c r="O4243" t="s">
        <v>648</v>
      </c>
      <c r="P4243" t="s">
        <v>29</v>
      </c>
      <c r="Q4243" t="s">
        <v>30</v>
      </c>
      <c r="R4243" t="s">
        <v>60</v>
      </c>
      <c r="S4243" t="s">
        <v>61</v>
      </c>
      <c r="T4243" t="s">
        <v>311</v>
      </c>
      <c r="U4243" t="s">
        <v>34</v>
      </c>
      <c r="V4243">
        <v>183.88399999999999</v>
      </c>
    </row>
    <row r="4244" spans="1:22" x14ac:dyDescent="0.3">
      <c r="A4244" t="s">
        <v>5726</v>
      </c>
      <c r="B4244" s="2">
        <v>46021</v>
      </c>
      <c r="C4244" t="s">
        <v>2756</v>
      </c>
      <c r="D4244" t="s">
        <v>70</v>
      </c>
      <c r="E4244" t="s">
        <v>129</v>
      </c>
      <c r="F4244">
        <v>2</v>
      </c>
      <c r="G4244">
        <v>0.1</v>
      </c>
      <c r="H4244">
        <v>99000</v>
      </c>
      <c r="I4244">
        <v>11468.76</v>
      </c>
      <c r="J4244" t="s">
        <v>51</v>
      </c>
      <c r="K4244" t="s">
        <v>40</v>
      </c>
      <c r="L4244">
        <v>49500</v>
      </c>
      <c r="M4244">
        <v>11.58460606060606</v>
      </c>
      <c r="N4244" t="s">
        <v>8</v>
      </c>
      <c r="O4244" t="s">
        <v>213</v>
      </c>
      <c r="P4244" t="s">
        <v>73</v>
      </c>
      <c r="Q4244" t="s">
        <v>42</v>
      </c>
      <c r="R4244" t="s">
        <v>121</v>
      </c>
      <c r="S4244" t="s">
        <v>44</v>
      </c>
      <c r="T4244" t="s">
        <v>2757</v>
      </c>
      <c r="U4244" t="s">
        <v>105</v>
      </c>
      <c r="V4244">
        <v>5734.38</v>
      </c>
    </row>
    <row r="4245" spans="1:22" x14ac:dyDescent="0.3">
      <c r="A4245" t="s">
        <v>5727</v>
      </c>
      <c r="B4245" s="2">
        <v>45931</v>
      </c>
      <c r="C4245" t="s">
        <v>1712</v>
      </c>
      <c r="D4245" t="s">
        <v>37</v>
      </c>
      <c r="E4245" t="s">
        <v>190</v>
      </c>
      <c r="F4245">
        <v>2</v>
      </c>
      <c r="G4245">
        <v>0.1</v>
      </c>
      <c r="H4245">
        <v>7560</v>
      </c>
      <c r="I4245">
        <v>1797.75</v>
      </c>
      <c r="J4245" t="s">
        <v>51</v>
      </c>
      <c r="K4245" t="s">
        <v>27</v>
      </c>
      <c r="L4245">
        <v>3780</v>
      </c>
      <c r="M4245">
        <v>23.779761904761909</v>
      </c>
      <c r="N4245" t="s">
        <v>8</v>
      </c>
      <c r="O4245" t="s">
        <v>390</v>
      </c>
      <c r="P4245" t="s">
        <v>29</v>
      </c>
      <c r="Q4245" t="s">
        <v>42</v>
      </c>
      <c r="R4245" t="s">
        <v>43</v>
      </c>
      <c r="S4245" t="s">
        <v>44</v>
      </c>
      <c r="T4245" t="s">
        <v>1713</v>
      </c>
      <c r="U4245" t="s">
        <v>46</v>
      </c>
      <c r="V4245">
        <v>898.875</v>
      </c>
    </row>
    <row r="4246" spans="1:22" x14ac:dyDescent="0.3">
      <c r="A4246" t="s">
        <v>5728</v>
      </c>
      <c r="B4246" s="2">
        <v>46179</v>
      </c>
      <c r="C4246" t="s">
        <v>1072</v>
      </c>
      <c r="D4246" t="s">
        <v>24</v>
      </c>
      <c r="E4246" t="s">
        <v>92</v>
      </c>
      <c r="F4246">
        <v>6</v>
      </c>
      <c r="G4246">
        <v>0</v>
      </c>
      <c r="H4246">
        <v>5400</v>
      </c>
      <c r="I4246">
        <v>1680</v>
      </c>
      <c r="J4246" t="s">
        <v>39</v>
      </c>
      <c r="K4246" t="s">
        <v>40</v>
      </c>
      <c r="L4246">
        <v>900</v>
      </c>
      <c r="M4246">
        <v>31.111111111111111</v>
      </c>
      <c r="N4246" t="s">
        <v>8</v>
      </c>
      <c r="O4246" t="s">
        <v>1073</v>
      </c>
      <c r="P4246" t="s">
        <v>73</v>
      </c>
      <c r="Q4246" t="s">
        <v>30</v>
      </c>
      <c r="R4246" t="s">
        <v>60</v>
      </c>
      <c r="S4246" t="s">
        <v>61</v>
      </c>
      <c r="T4246" t="s">
        <v>1074</v>
      </c>
      <c r="U4246" t="s">
        <v>34</v>
      </c>
      <c r="V4246">
        <v>280</v>
      </c>
    </row>
    <row r="4247" spans="1:22" x14ac:dyDescent="0.3">
      <c r="A4247" t="s">
        <v>5729</v>
      </c>
      <c r="B4247" s="2">
        <v>45971</v>
      </c>
      <c r="C4247" t="s">
        <v>413</v>
      </c>
      <c r="D4247" t="s">
        <v>37</v>
      </c>
      <c r="E4247" t="s">
        <v>310</v>
      </c>
      <c r="F4247">
        <v>1</v>
      </c>
      <c r="G4247">
        <v>0.1</v>
      </c>
      <c r="H4247">
        <v>1980</v>
      </c>
      <c r="I4247">
        <v>-440.34</v>
      </c>
      <c r="J4247" t="s">
        <v>51</v>
      </c>
      <c r="K4247" t="s">
        <v>434</v>
      </c>
      <c r="L4247">
        <v>1980</v>
      </c>
      <c r="M4247">
        <v>-22.239393939393938</v>
      </c>
      <c r="N4247" t="s">
        <v>81</v>
      </c>
      <c r="O4247" t="s">
        <v>414</v>
      </c>
      <c r="P4247" t="s">
        <v>73</v>
      </c>
      <c r="Q4247" t="s">
        <v>74</v>
      </c>
      <c r="R4247" t="s">
        <v>115</v>
      </c>
      <c r="S4247" t="s">
        <v>115</v>
      </c>
      <c r="T4247" t="s">
        <v>415</v>
      </c>
      <c r="U4247" t="s">
        <v>34</v>
      </c>
      <c r="V4247">
        <v>-440.34</v>
      </c>
    </row>
    <row r="4248" spans="1:22" x14ac:dyDescent="0.3">
      <c r="A4248" t="s">
        <v>5730</v>
      </c>
      <c r="B4248" s="2">
        <v>45898</v>
      </c>
      <c r="C4248" t="s">
        <v>1824</v>
      </c>
      <c r="D4248" t="s">
        <v>37</v>
      </c>
      <c r="E4248" t="s">
        <v>310</v>
      </c>
      <c r="F4248">
        <v>5</v>
      </c>
      <c r="G4248">
        <v>0.2</v>
      </c>
      <c r="H4248">
        <v>8800</v>
      </c>
      <c r="I4248">
        <v>2648.92</v>
      </c>
      <c r="J4248" t="s">
        <v>26</v>
      </c>
      <c r="K4248" t="s">
        <v>40</v>
      </c>
      <c r="L4248">
        <v>1760</v>
      </c>
      <c r="M4248">
        <v>30.10136363636364</v>
      </c>
      <c r="N4248" t="s">
        <v>8</v>
      </c>
      <c r="O4248" t="s">
        <v>205</v>
      </c>
      <c r="P4248" t="s">
        <v>83</v>
      </c>
      <c r="Q4248" t="s">
        <v>30</v>
      </c>
      <c r="R4248" t="s">
        <v>31</v>
      </c>
      <c r="S4248" t="s">
        <v>32</v>
      </c>
      <c r="T4248" t="s">
        <v>303</v>
      </c>
      <c r="U4248" t="s">
        <v>46</v>
      </c>
      <c r="V4248">
        <v>529.78399999999999</v>
      </c>
    </row>
    <row r="4249" spans="1:22" x14ac:dyDescent="0.3">
      <c r="A4249" t="s">
        <v>5731</v>
      </c>
      <c r="B4249" s="2">
        <v>46186</v>
      </c>
      <c r="C4249" t="s">
        <v>792</v>
      </c>
      <c r="D4249" t="s">
        <v>49</v>
      </c>
      <c r="E4249" t="s">
        <v>58</v>
      </c>
      <c r="F4249">
        <v>3</v>
      </c>
      <c r="G4249">
        <v>0.1</v>
      </c>
      <c r="H4249">
        <v>40500</v>
      </c>
      <c r="I4249">
        <v>8368.77</v>
      </c>
      <c r="J4249" t="s">
        <v>65</v>
      </c>
      <c r="K4249" t="s">
        <v>40</v>
      </c>
      <c r="L4249">
        <v>13500</v>
      </c>
      <c r="M4249">
        <v>20.663629629629629</v>
      </c>
      <c r="N4249" t="s">
        <v>8</v>
      </c>
      <c r="O4249" t="s">
        <v>359</v>
      </c>
      <c r="P4249" t="s">
        <v>83</v>
      </c>
      <c r="Q4249" t="s">
        <v>74</v>
      </c>
      <c r="R4249" t="s">
        <v>237</v>
      </c>
      <c r="S4249" t="s">
        <v>238</v>
      </c>
      <c r="T4249" t="s">
        <v>793</v>
      </c>
      <c r="U4249" t="s">
        <v>34</v>
      </c>
      <c r="V4249">
        <v>2789.59</v>
      </c>
    </row>
    <row r="4250" spans="1:22" x14ac:dyDescent="0.3">
      <c r="A4250" t="s">
        <v>5732</v>
      </c>
      <c r="B4250" s="2">
        <v>45842</v>
      </c>
      <c r="C4250" t="s">
        <v>1136</v>
      </c>
      <c r="D4250" t="s">
        <v>24</v>
      </c>
      <c r="E4250" t="s">
        <v>92</v>
      </c>
      <c r="F4250">
        <v>2</v>
      </c>
      <c r="G4250">
        <v>0.1</v>
      </c>
      <c r="H4250">
        <v>1620</v>
      </c>
      <c r="I4250">
        <v>474.64</v>
      </c>
      <c r="J4250" t="s">
        <v>26</v>
      </c>
      <c r="K4250" t="s">
        <v>40</v>
      </c>
      <c r="L4250">
        <v>810</v>
      </c>
      <c r="M4250">
        <v>29.298765432098769</v>
      </c>
      <c r="N4250" t="s">
        <v>8</v>
      </c>
      <c r="O4250" t="s">
        <v>1137</v>
      </c>
      <c r="P4250" t="s">
        <v>73</v>
      </c>
      <c r="Q4250" t="s">
        <v>74</v>
      </c>
      <c r="R4250" t="s">
        <v>75</v>
      </c>
      <c r="S4250" t="s">
        <v>75</v>
      </c>
      <c r="T4250" t="s">
        <v>1138</v>
      </c>
      <c r="U4250" t="s">
        <v>46</v>
      </c>
      <c r="V4250">
        <v>237.32</v>
      </c>
    </row>
    <row r="4251" spans="1:22" x14ac:dyDescent="0.3">
      <c r="A4251" t="s">
        <v>5733</v>
      </c>
      <c r="B4251" s="2">
        <v>46014</v>
      </c>
      <c r="C4251" t="s">
        <v>1436</v>
      </c>
      <c r="D4251" t="s">
        <v>70</v>
      </c>
      <c r="E4251" t="s">
        <v>165</v>
      </c>
      <c r="F4251">
        <v>5</v>
      </c>
      <c r="G4251">
        <v>0</v>
      </c>
      <c r="H4251">
        <v>12500</v>
      </c>
      <c r="I4251">
        <v>4000</v>
      </c>
      <c r="J4251" t="s">
        <v>65</v>
      </c>
      <c r="K4251" t="s">
        <v>40</v>
      </c>
      <c r="L4251">
        <v>2500</v>
      </c>
      <c r="M4251">
        <v>32</v>
      </c>
      <c r="N4251" t="s">
        <v>8</v>
      </c>
      <c r="O4251" t="s">
        <v>697</v>
      </c>
      <c r="P4251" t="s">
        <v>83</v>
      </c>
      <c r="Q4251" t="s">
        <v>30</v>
      </c>
      <c r="R4251" t="s">
        <v>60</v>
      </c>
      <c r="S4251" t="s">
        <v>61</v>
      </c>
      <c r="T4251" t="s">
        <v>1437</v>
      </c>
      <c r="U4251" t="s">
        <v>46</v>
      </c>
      <c r="V4251">
        <v>800</v>
      </c>
    </row>
    <row r="4252" spans="1:22" x14ac:dyDescent="0.3">
      <c r="A4252" t="s">
        <v>5734</v>
      </c>
      <c r="B4252" s="2">
        <v>45886</v>
      </c>
      <c r="C4252" t="s">
        <v>1548</v>
      </c>
      <c r="D4252" t="s">
        <v>49</v>
      </c>
      <c r="E4252" t="s">
        <v>58</v>
      </c>
      <c r="F4252">
        <v>2</v>
      </c>
      <c r="G4252">
        <v>0</v>
      </c>
      <c r="H4252">
        <v>30000</v>
      </c>
      <c r="I4252">
        <v>7000</v>
      </c>
      <c r="J4252" t="s">
        <v>65</v>
      </c>
      <c r="K4252" t="s">
        <v>27</v>
      </c>
      <c r="L4252">
        <v>15000</v>
      </c>
      <c r="M4252">
        <v>23.333333333333329</v>
      </c>
      <c r="N4252" t="s">
        <v>8</v>
      </c>
      <c r="O4252" t="s">
        <v>825</v>
      </c>
      <c r="P4252" t="s">
        <v>83</v>
      </c>
      <c r="Q4252" t="s">
        <v>30</v>
      </c>
      <c r="R4252" t="s">
        <v>98</v>
      </c>
      <c r="S4252" t="s">
        <v>54</v>
      </c>
      <c r="T4252" t="s">
        <v>1549</v>
      </c>
      <c r="U4252" t="s">
        <v>34</v>
      </c>
      <c r="V4252">
        <v>3500</v>
      </c>
    </row>
    <row r="4253" spans="1:22" x14ac:dyDescent="0.3">
      <c r="A4253" t="s">
        <v>5735</v>
      </c>
      <c r="B4253" s="2">
        <v>45917</v>
      </c>
      <c r="C4253" t="s">
        <v>1410</v>
      </c>
      <c r="D4253" t="s">
        <v>70</v>
      </c>
      <c r="E4253" t="s">
        <v>108</v>
      </c>
      <c r="F4253">
        <v>3</v>
      </c>
      <c r="G4253">
        <v>0.1</v>
      </c>
      <c r="H4253">
        <v>12150</v>
      </c>
      <c r="I4253">
        <v>3743.23</v>
      </c>
      <c r="J4253" t="s">
        <v>39</v>
      </c>
      <c r="K4253" t="s">
        <v>40</v>
      </c>
      <c r="L4253">
        <v>4050</v>
      </c>
      <c r="M4253">
        <v>30.80847736625514</v>
      </c>
      <c r="N4253" t="s">
        <v>8</v>
      </c>
      <c r="O4253" t="s">
        <v>995</v>
      </c>
      <c r="P4253" t="s">
        <v>73</v>
      </c>
      <c r="Q4253" t="s">
        <v>30</v>
      </c>
      <c r="R4253" t="s">
        <v>60</v>
      </c>
      <c r="S4253" t="s">
        <v>61</v>
      </c>
      <c r="T4253" t="s">
        <v>1411</v>
      </c>
      <c r="U4253" t="s">
        <v>34</v>
      </c>
      <c r="V4253">
        <v>1247.7433333333331</v>
      </c>
    </row>
    <row r="4254" spans="1:22" x14ac:dyDescent="0.3">
      <c r="A4254" t="s">
        <v>5736</v>
      </c>
      <c r="B4254" s="2">
        <v>46195</v>
      </c>
      <c r="C4254" t="s">
        <v>2223</v>
      </c>
      <c r="D4254" t="s">
        <v>24</v>
      </c>
      <c r="E4254" t="s">
        <v>92</v>
      </c>
      <c r="F4254">
        <v>1</v>
      </c>
      <c r="G4254">
        <v>0.1</v>
      </c>
      <c r="H4254">
        <v>810</v>
      </c>
      <c r="I4254">
        <v>-57.21</v>
      </c>
      <c r="J4254" t="s">
        <v>39</v>
      </c>
      <c r="K4254" t="s">
        <v>434</v>
      </c>
      <c r="L4254">
        <v>810</v>
      </c>
      <c r="M4254">
        <v>-7.0629629629629624</v>
      </c>
      <c r="N4254" t="s">
        <v>81</v>
      </c>
      <c r="O4254" t="s">
        <v>284</v>
      </c>
      <c r="P4254" t="s">
        <v>73</v>
      </c>
      <c r="Q4254" t="s">
        <v>131</v>
      </c>
      <c r="R4254" t="s">
        <v>132</v>
      </c>
      <c r="S4254" t="s">
        <v>133</v>
      </c>
      <c r="T4254" t="s">
        <v>2224</v>
      </c>
      <c r="U4254" t="s">
        <v>46</v>
      </c>
      <c r="V4254">
        <v>-57.21</v>
      </c>
    </row>
    <row r="4255" spans="1:22" x14ac:dyDescent="0.3">
      <c r="A4255" t="s">
        <v>5737</v>
      </c>
      <c r="B4255" s="2">
        <v>46108</v>
      </c>
      <c r="C4255" t="s">
        <v>2177</v>
      </c>
      <c r="D4255" t="s">
        <v>49</v>
      </c>
      <c r="E4255" t="s">
        <v>79</v>
      </c>
      <c r="F4255">
        <v>5</v>
      </c>
      <c r="G4255">
        <v>0</v>
      </c>
      <c r="H4255">
        <v>55000</v>
      </c>
      <c r="I4255">
        <v>13000</v>
      </c>
      <c r="J4255" t="s">
        <v>26</v>
      </c>
      <c r="K4255" t="s">
        <v>40</v>
      </c>
      <c r="L4255">
        <v>11000</v>
      </c>
      <c r="M4255">
        <v>23.63636363636364</v>
      </c>
      <c r="N4255" t="s">
        <v>8</v>
      </c>
      <c r="O4255" t="s">
        <v>175</v>
      </c>
      <c r="P4255" t="s">
        <v>29</v>
      </c>
      <c r="Q4255" t="s">
        <v>30</v>
      </c>
      <c r="R4255" t="s">
        <v>98</v>
      </c>
      <c r="S4255" t="s">
        <v>54</v>
      </c>
      <c r="T4255" t="s">
        <v>2178</v>
      </c>
      <c r="U4255" t="s">
        <v>46</v>
      </c>
      <c r="V4255">
        <v>2600</v>
      </c>
    </row>
    <row r="4256" spans="1:22" x14ac:dyDescent="0.3">
      <c r="A4256" t="s">
        <v>5738</v>
      </c>
      <c r="B4256" s="2">
        <v>46263</v>
      </c>
      <c r="C4256" t="s">
        <v>678</v>
      </c>
      <c r="D4256" t="s">
        <v>37</v>
      </c>
      <c r="E4256" t="s">
        <v>38</v>
      </c>
      <c r="F4256">
        <v>2</v>
      </c>
      <c r="G4256">
        <v>0.15</v>
      </c>
      <c r="H4256">
        <v>3060</v>
      </c>
      <c r="I4256">
        <v>1055.32</v>
      </c>
      <c r="J4256" t="s">
        <v>26</v>
      </c>
      <c r="K4256" t="s">
        <v>40</v>
      </c>
      <c r="L4256">
        <v>1530</v>
      </c>
      <c r="M4256">
        <v>34.487581699346407</v>
      </c>
      <c r="N4256" t="s">
        <v>8</v>
      </c>
      <c r="O4256" t="s">
        <v>657</v>
      </c>
      <c r="P4256" t="s">
        <v>83</v>
      </c>
      <c r="Q4256" t="s">
        <v>30</v>
      </c>
      <c r="R4256" t="s">
        <v>31</v>
      </c>
      <c r="S4256" t="s">
        <v>32</v>
      </c>
      <c r="T4256" t="s">
        <v>679</v>
      </c>
      <c r="U4256" t="s">
        <v>100</v>
      </c>
      <c r="V4256">
        <v>527.66</v>
      </c>
    </row>
    <row r="4257" spans="1:22" x14ac:dyDescent="0.3">
      <c r="A4257" t="s">
        <v>5739</v>
      </c>
      <c r="B4257" s="2">
        <v>46188</v>
      </c>
      <c r="C4257" t="s">
        <v>517</v>
      </c>
      <c r="D4257" t="s">
        <v>37</v>
      </c>
      <c r="E4257" t="s">
        <v>190</v>
      </c>
      <c r="F4257">
        <v>5</v>
      </c>
      <c r="G4257">
        <v>0.1</v>
      </c>
      <c r="H4257">
        <v>18900</v>
      </c>
      <c r="I4257">
        <v>4486.71</v>
      </c>
      <c r="J4257" t="s">
        <v>39</v>
      </c>
      <c r="K4257" t="s">
        <v>40</v>
      </c>
      <c r="L4257">
        <v>3780</v>
      </c>
      <c r="M4257">
        <v>23.739206349206349</v>
      </c>
      <c r="N4257" t="s">
        <v>8</v>
      </c>
      <c r="O4257" t="s">
        <v>518</v>
      </c>
      <c r="P4257" t="s">
        <v>29</v>
      </c>
      <c r="Q4257" t="s">
        <v>131</v>
      </c>
      <c r="R4257" t="s">
        <v>200</v>
      </c>
      <c r="S4257" t="s">
        <v>201</v>
      </c>
      <c r="T4257" t="s">
        <v>519</v>
      </c>
      <c r="U4257" t="s">
        <v>100</v>
      </c>
      <c r="V4257">
        <v>897.34199999999998</v>
      </c>
    </row>
    <row r="4258" spans="1:22" x14ac:dyDescent="0.3">
      <c r="A4258" t="s">
        <v>5740</v>
      </c>
      <c r="B4258" s="2">
        <v>45879</v>
      </c>
      <c r="C4258" t="s">
        <v>186</v>
      </c>
      <c r="D4258" t="s">
        <v>70</v>
      </c>
      <c r="E4258" t="s">
        <v>71</v>
      </c>
      <c r="F4258">
        <v>6</v>
      </c>
      <c r="G4258">
        <v>0</v>
      </c>
      <c r="H4258">
        <v>108000</v>
      </c>
      <c r="I4258">
        <v>21000</v>
      </c>
      <c r="J4258" t="s">
        <v>65</v>
      </c>
      <c r="K4258" t="s">
        <v>40</v>
      </c>
      <c r="L4258">
        <v>18000</v>
      </c>
      <c r="M4258">
        <v>19.44444444444445</v>
      </c>
      <c r="N4258" t="s">
        <v>8</v>
      </c>
      <c r="O4258" t="s">
        <v>187</v>
      </c>
      <c r="P4258" t="s">
        <v>83</v>
      </c>
      <c r="Q4258" t="s">
        <v>42</v>
      </c>
      <c r="R4258" t="s">
        <v>43</v>
      </c>
      <c r="S4258" t="s">
        <v>44</v>
      </c>
      <c r="T4258" t="s">
        <v>122</v>
      </c>
      <c r="U4258" t="s">
        <v>34</v>
      </c>
      <c r="V4258">
        <v>3500</v>
      </c>
    </row>
    <row r="4259" spans="1:22" x14ac:dyDescent="0.3">
      <c r="A4259" t="s">
        <v>5741</v>
      </c>
      <c r="B4259" s="2">
        <v>45892</v>
      </c>
      <c r="C4259" t="s">
        <v>807</v>
      </c>
      <c r="D4259" t="s">
        <v>24</v>
      </c>
      <c r="E4259" t="s">
        <v>87</v>
      </c>
      <c r="F4259">
        <v>1</v>
      </c>
      <c r="G4259">
        <v>0</v>
      </c>
      <c r="H4259">
        <v>350</v>
      </c>
      <c r="I4259">
        <v>120</v>
      </c>
      <c r="J4259" t="s">
        <v>39</v>
      </c>
      <c r="K4259" t="s">
        <v>40</v>
      </c>
      <c r="L4259">
        <v>350</v>
      </c>
      <c r="M4259">
        <v>34.285714285714278</v>
      </c>
      <c r="N4259" t="s">
        <v>8</v>
      </c>
      <c r="O4259" t="s">
        <v>545</v>
      </c>
      <c r="P4259" t="s">
        <v>73</v>
      </c>
      <c r="Q4259" t="s">
        <v>30</v>
      </c>
      <c r="R4259" t="s">
        <v>31</v>
      </c>
      <c r="S4259" t="s">
        <v>32</v>
      </c>
      <c r="T4259" t="s">
        <v>808</v>
      </c>
      <c r="U4259" t="s">
        <v>105</v>
      </c>
      <c r="V4259">
        <v>120</v>
      </c>
    </row>
    <row r="4260" spans="1:22" x14ac:dyDescent="0.3">
      <c r="A4260" t="s">
        <v>5742</v>
      </c>
      <c r="B4260" s="2">
        <v>45875</v>
      </c>
      <c r="C4260" t="s">
        <v>1382</v>
      </c>
      <c r="D4260" t="s">
        <v>24</v>
      </c>
      <c r="E4260" t="s">
        <v>25</v>
      </c>
      <c r="F4260">
        <v>4</v>
      </c>
      <c r="G4260">
        <v>0.15</v>
      </c>
      <c r="H4260">
        <v>47600</v>
      </c>
      <c r="I4260">
        <v>5101.38</v>
      </c>
      <c r="J4260" t="s">
        <v>65</v>
      </c>
      <c r="K4260" t="s">
        <v>40</v>
      </c>
      <c r="L4260">
        <v>11900</v>
      </c>
      <c r="M4260">
        <v>10.717184873949581</v>
      </c>
      <c r="N4260" t="s">
        <v>8</v>
      </c>
      <c r="O4260" t="s">
        <v>1383</v>
      </c>
      <c r="P4260" t="s">
        <v>83</v>
      </c>
      <c r="Q4260" t="s">
        <v>30</v>
      </c>
      <c r="R4260" t="s">
        <v>60</v>
      </c>
      <c r="S4260" t="s">
        <v>61</v>
      </c>
      <c r="T4260" t="s">
        <v>227</v>
      </c>
      <c r="U4260" t="s">
        <v>46</v>
      </c>
      <c r="V4260">
        <v>1275.345</v>
      </c>
    </row>
    <row r="4261" spans="1:22" x14ac:dyDescent="0.3">
      <c r="A4261" t="s">
        <v>5743</v>
      </c>
      <c r="B4261" s="2">
        <v>46167</v>
      </c>
      <c r="C4261" t="s">
        <v>313</v>
      </c>
      <c r="D4261" t="s">
        <v>24</v>
      </c>
      <c r="E4261" t="s">
        <v>25</v>
      </c>
      <c r="F4261">
        <v>3</v>
      </c>
      <c r="G4261">
        <v>0.1</v>
      </c>
      <c r="H4261">
        <v>37800</v>
      </c>
      <c r="I4261">
        <v>-13365.48</v>
      </c>
      <c r="J4261" t="s">
        <v>51</v>
      </c>
      <c r="K4261" t="s">
        <v>434</v>
      </c>
      <c r="L4261">
        <v>12600</v>
      </c>
      <c r="M4261">
        <v>-35.358412698412693</v>
      </c>
      <c r="N4261" t="s">
        <v>81</v>
      </c>
      <c r="O4261" t="s">
        <v>314</v>
      </c>
      <c r="P4261" t="s">
        <v>29</v>
      </c>
      <c r="Q4261" t="s">
        <v>30</v>
      </c>
      <c r="R4261" t="s">
        <v>98</v>
      </c>
      <c r="S4261" t="s">
        <v>54</v>
      </c>
      <c r="T4261" t="s">
        <v>315</v>
      </c>
      <c r="U4261" t="s">
        <v>100</v>
      </c>
      <c r="V4261">
        <v>-4455.16</v>
      </c>
    </row>
    <row r="4262" spans="1:22" x14ac:dyDescent="0.3">
      <c r="A4262" t="s">
        <v>5744</v>
      </c>
      <c r="B4262" s="2">
        <v>46073</v>
      </c>
      <c r="C4262" t="s">
        <v>1465</v>
      </c>
      <c r="D4262" t="s">
        <v>70</v>
      </c>
      <c r="E4262" t="s">
        <v>71</v>
      </c>
      <c r="F4262">
        <v>2</v>
      </c>
      <c r="G4262">
        <v>0.05</v>
      </c>
      <c r="H4262">
        <v>34200</v>
      </c>
      <c r="I4262">
        <v>-6402.25</v>
      </c>
      <c r="J4262" t="s">
        <v>65</v>
      </c>
      <c r="K4262" t="s">
        <v>434</v>
      </c>
      <c r="L4262">
        <v>17100</v>
      </c>
      <c r="M4262">
        <v>-18.720029239766081</v>
      </c>
      <c r="N4262" t="s">
        <v>81</v>
      </c>
      <c r="O4262" t="s">
        <v>1466</v>
      </c>
      <c r="P4262" t="s">
        <v>73</v>
      </c>
      <c r="Q4262" t="s">
        <v>74</v>
      </c>
      <c r="R4262" t="s">
        <v>237</v>
      </c>
      <c r="S4262" t="s">
        <v>238</v>
      </c>
      <c r="T4262" t="s">
        <v>831</v>
      </c>
      <c r="U4262" t="s">
        <v>34</v>
      </c>
      <c r="V4262">
        <v>-3201.125</v>
      </c>
    </row>
    <row r="4263" spans="1:22" x14ac:dyDescent="0.3">
      <c r="A4263" t="s">
        <v>5745</v>
      </c>
      <c r="B4263" s="2">
        <v>46260</v>
      </c>
      <c r="C4263" t="s">
        <v>3222</v>
      </c>
      <c r="D4263" t="s">
        <v>37</v>
      </c>
      <c r="E4263" t="s">
        <v>190</v>
      </c>
      <c r="F4263">
        <v>4</v>
      </c>
      <c r="G4263">
        <v>0</v>
      </c>
      <c r="H4263">
        <v>16800</v>
      </c>
      <c r="I4263">
        <v>4800</v>
      </c>
      <c r="J4263" t="s">
        <v>39</v>
      </c>
      <c r="K4263" t="s">
        <v>40</v>
      </c>
      <c r="L4263">
        <v>4200</v>
      </c>
      <c r="M4263">
        <v>28.571428571428569</v>
      </c>
      <c r="N4263" t="s">
        <v>8</v>
      </c>
      <c r="O4263" t="s">
        <v>3223</v>
      </c>
      <c r="P4263" t="s">
        <v>73</v>
      </c>
      <c r="Q4263" t="s">
        <v>42</v>
      </c>
      <c r="R4263" t="s">
        <v>214</v>
      </c>
      <c r="S4263" t="s">
        <v>111</v>
      </c>
      <c r="T4263" t="s">
        <v>2165</v>
      </c>
      <c r="U4263" t="s">
        <v>46</v>
      </c>
      <c r="V4263">
        <v>1200</v>
      </c>
    </row>
    <row r="4264" spans="1:22" x14ac:dyDescent="0.3">
      <c r="A4264" t="s">
        <v>5746</v>
      </c>
      <c r="B4264" s="2">
        <v>45890</v>
      </c>
      <c r="C4264" t="s">
        <v>1519</v>
      </c>
      <c r="D4264" t="s">
        <v>70</v>
      </c>
      <c r="E4264" t="s">
        <v>129</v>
      </c>
      <c r="F4264">
        <v>4</v>
      </c>
      <c r="G4264">
        <v>0.1</v>
      </c>
      <c r="H4264">
        <v>198000</v>
      </c>
      <c r="I4264">
        <v>18617.650000000001</v>
      </c>
      <c r="J4264" t="s">
        <v>51</v>
      </c>
      <c r="K4264" t="s">
        <v>40</v>
      </c>
      <c r="L4264">
        <v>49500</v>
      </c>
      <c r="M4264">
        <v>9.4028535353535361</v>
      </c>
      <c r="N4264" t="s">
        <v>8</v>
      </c>
      <c r="O4264" t="s">
        <v>1520</v>
      </c>
      <c r="P4264" t="s">
        <v>83</v>
      </c>
      <c r="Q4264" t="s">
        <v>30</v>
      </c>
      <c r="R4264" t="s">
        <v>31</v>
      </c>
      <c r="S4264" t="s">
        <v>32</v>
      </c>
      <c r="T4264" t="s">
        <v>1521</v>
      </c>
      <c r="U4264" t="s">
        <v>105</v>
      </c>
      <c r="V4264">
        <v>4654.4125000000004</v>
      </c>
    </row>
    <row r="4265" spans="1:22" x14ac:dyDescent="0.3">
      <c r="A4265" t="s">
        <v>5747</v>
      </c>
      <c r="B4265" s="2">
        <v>46014</v>
      </c>
      <c r="C4265" t="s">
        <v>1346</v>
      </c>
      <c r="D4265" t="s">
        <v>24</v>
      </c>
      <c r="E4265" t="s">
        <v>92</v>
      </c>
      <c r="F4265">
        <v>2</v>
      </c>
      <c r="G4265">
        <v>0.05</v>
      </c>
      <c r="H4265">
        <v>1710</v>
      </c>
      <c r="I4265">
        <v>505.75</v>
      </c>
      <c r="J4265" t="s">
        <v>65</v>
      </c>
      <c r="K4265" t="s">
        <v>40</v>
      </c>
      <c r="L4265">
        <v>855</v>
      </c>
      <c r="M4265">
        <v>29.576023391812871</v>
      </c>
      <c r="N4265" t="s">
        <v>8</v>
      </c>
      <c r="O4265" t="s">
        <v>825</v>
      </c>
      <c r="P4265" t="s">
        <v>73</v>
      </c>
      <c r="Q4265" t="s">
        <v>30</v>
      </c>
      <c r="R4265" t="s">
        <v>98</v>
      </c>
      <c r="S4265" t="s">
        <v>54</v>
      </c>
      <c r="T4265" t="s">
        <v>1347</v>
      </c>
      <c r="U4265" t="s">
        <v>34</v>
      </c>
      <c r="V4265">
        <v>252.875</v>
      </c>
    </row>
    <row r="4266" spans="1:22" x14ac:dyDescent="0.3">
      <c r="A4266" t="s">
        <v>5748</v>
      </c>
      <c r="B4266" s="2">
        <v>46181</v>
      </c>
      <c r="C4266" t="s">
        <v>659</v>
      </c>
      <c r="D4266" t="s">
        <v>70</v>
      </c>
      <c r="E4266" t="s">
        <v>165</v>
      </c>
      <c r="F4266">
        <v>1</v>
      </c>
      <c r="G4266">
        <v>0.05</v>
      </c>
      <c r="H4266">
        <v>2375</v>
      </c>
      <c r="I4266">
        <v>704.21</v>
      </c>
      <c r="J4266" t="s">
        <v>39</v>
      </c>
      <c r="K4266" t="s">
        <v>40</v>
      </c>
      <c r="L4266">
        <v>2375</v>
      </c>
      <c r="M4266">
        <v>29.65094736842105</v>
      </c>
      <c r="N4266" t="s">
        <v>8</v>
      </c>
      <c r="O4266" t="s">
        <v>660</v>
      </c>
      <c r="P4266" t="s">
        <v>83</v>
      </c>
      <c r="Q4266" t="s">
        <v>30</v>
      </c>
      <c r="R4266" t="s">
        <v>60</v>
      </c>
      <c r="S4266" t="s">
        <v>61</v>
      </c>
      <c r="T4266" t="s">
        <v>475</v>
      </c>
      <c r="U4266" t="s">
        <v>46</v>
      </c>
      <c r="V4266">
        <v>704.21</v>
      </c>
    </row>
    <row r="4267" spans="1:22" x14ac:dyDescent="0.3">
      <c r="A4267" t="s">
        <v>5749</v>
      </c>
      <c r="B4267" s="2">
        <v>46040</v>
      </c>
      <c r="C4267" t="s">
        <v>1189</v>
      </c>
      <c r="D4267" t="s">
        <v>70</v>
      </c>
      <c r="E4267" t="s">
        <v>129</v>
      </c>
      <c r="F4267">
        <v>3</v>
      </c>
      <c r="G4267">
        <v>0.2</v>
      </c>
      <c r="H4267">
        <v>132000</v>
      </c>
      <c r="I4267">
        <v>2632.57</v>
      </c>
      <c r="J4267" t="s">
        <v>26</v>
      </c>
      <c r="K4267" t="s">
        <v>27</v>
      </c>
      <c r="L4267">
        <v>44000</v>
      </c>
      <c r="M4267">
        <v>1.994371212121212</v>
      </c>
      <c r="N4267" t="s">
        <v>8</v>
      </c>
      <c r="O4267" t="s">
        <v>1190</v>
      </c>
      <c r="P4267" t="s">
        <v>83</v>
      </c>
      <c r="Q4267" t="s">
        <v>30</v>
      </c>
      <c r="R4267" t="s">
        <v>53</v>
      </c>
      <c r="S4267" t="s">
        <v>54</v>
      </c>
      <c r="T4267" t="s">
        <v>1191</v>
      </c>
      <c r="U4267" t="s">
        <v>34</v>
      </c>
      <c r="V4267">
        <v>877.52333333333343</v>
      </c>
    </row>
    <row r="4268" spans="1:22" x14ac:dyDescent="0.3">
      <c r="A4268" t="s">
        <v>5750</v>
      </c>
      <c r="B4268" s="2">
        <v>46067</v>
      </c>
      <c r="C4268" t="s">
        <v>1662</v>
      </c>
      <c r="D4268" t="s">
        <v>49</v>
      </c>
      <c r="E4268" t="s">
        <v>50</v>
      </c>
      <c r="F4268">
        <v>3</v>
      </c>
      <c r="G4268">
        <v>0.1</v>
      </c>
      <c r="H4268">
        <v>35100</v>
      </c>
      <c r="I4268">
        <v>7117.72</v>
      </c>
      <c r="J4268" t="s">
        <v>39</v>
      </c>
      <c r="K4268" t="s">
        <v>40</v>
      </c>
      <c r="L4268">
        <v>11700</v>
      </c>
      <c r="M4268">
        <v>20.27840455840456</v>
      </c>
      <c r="N4268" t="s">
        <v>8</v>
      </c>
      <c r="O4268" t="s">
        <v>1663</v>
      </c>
      <c r="P4268" t="s">
        <v>29</v>
      </c>
      <c r="Q4268" t="s">
        <v>131</v>
      </c>
      <c r="R4268" t="s">
        <v>200</v>
      </c>
      <c r="S4268" t="s">
        <v>201</v>
      </c>
      <c r="T4268" t="s">
        <v>1664</v>
      </c>
      <c r="U4268" t="s">
        <v>34</v>
      </c>
      <c r="V4268">
        <v>2372.5733333333328</v>
      </c>
    </row>
    <row r="4269" spans="1:22" x14ac:dyDescent="0.3">
      <c r="A4269" t="s">
        <v>5751</v>
      </c>
      <c r="B4269" s="2">
        <v>45951</v>
      </c>
      <c r="C4269" t="s">
        <v>1304</v>
      </c>
      <c r="D4269" t="s">
        <v>49</v>
      </c>
      <c r="E4269" t="s">
        <v>119</v>
      </c>
      <c r="F4269">
        <v>4</v>
      </c>
      <c r="G4269">
        <v>0.2</v>
      </c>
      <c r="H4269">
        <v>28800</v>
      </c>
      <c r="I4269">
        <v>5098.7700000000004</v>
      </c>
      <c r="J4269" t="s">
        <v>26</v>
      </c>
      <c r="K4269" t="s">
        <v>40</v>
      </c>
      <c r="L4269">
        <v>7200</v>
      </c>
      <c r="M4269">
        <v>17.704062499999999</v>
      </c>
      <c r="N4269" t="s">
        <v>8</v>
      </c>
      <c r="O4269" t="s">
        <v>1305</v>
      </c>
      <c r="P4269" t="s">
        <v>29</v>
      </c>
      <c r="Q4269" t="s">
        <v>30</v>
      </c>
      <c r="R4269" t="s">
        <v>53</v>
      </c>
      <c r="S4269" t="s">
        <v>54</v>
      </c>
      <c r="T4269" t="s">
        <v>1306</v>
      </c>
      <c r="U4269" t="s">
        <v>34</v>
      </c>
      <c r="V4269">
        <v>1274.6925000000001</v>
      </c>
    </row>
    <row r="4270" spans="1:22" x14ac:dyDescent="0.3">
      <c r="A4270" t="s">
        <v>5752</v>
      </c>
      <c r="B4270" s="2">
        <v>46229</v>
      </c>
      <c r="C4270" t="s">
        <v>907</v>
      </c>
      <c r="D4270" t="s">
        <v>70</v>
      </c>
      <c r="E4270" t="s">
        <v>165</v>
      </c>
      <c r="F4270">
        <v>1</v>
      </c>
      <c r="G4270">
        <v>0.15</v>
      </c>
      <c r="H4270">
        <v>2125</v>
      </c>
      <c r="I4270">
        <v>579.59</v>
      </c>
      <c r="J4270" t="s">
        <v>26</v>
      </c>
      <c r="K4270" t="s">
        <v>40</v>
      </c>
      <c r="L4270">
        <v>2125</v>
      </c>
      <c r="M4270">
        <v>27.274823529411769</v>
      </c>
      <c r="N4270" t="s">
        <v>8</v>
      </c>
      <c r="O4270" t="s">
        <v>908</v>
      </c>
      <c r="P4270" t="s">
        <v>29</v>
      </c>
      <c r="Q4270" t="s">
        <v>30</v>
      </c>
      <c r="R4270" t="s">
        <v>60</v>
      </c>
      <c r="S4270" t="s">
        <v>61</v>
      </c>
      <c r="T4270" t="s">
        <v>486</v>
      </c>
      <c r="U4270" t="s">
        <v>34</v>
      </c>
      <c r="V4270">
        <v>579.59</v>
      </c>
    </row>
    <row r="4271" spans="1:22" x14ac:dyDescent="0.3">
      <c r="A4271" t="s">
        <v>5753</v>
      </c>
      <c r="B4271" s="2">
        <v>46012</v>
      </c>
      <c r="C4271" t="s">
        <v>2295</v>
      </c>
      <c r="D4271" t="s">
        <v>24</v>
      </c>
      <c r="E4271" t="s">
        <v>242</v>
      </c>
      <c r="F4271">
        <v>2</v>
      </c>
      <c r="G4271">
        <v>0</v>
      </c>
      <c r="H4271">
        <v>900</v>
      </c>
      <c r="I4271">
        <v>220</v>
      </c>
      <c r="J4271" t="s">
        <v>26</v>
      </c>
      <c r="K4271" t="s">
        <v>40</v>
      </c>
      <c r="L4271">
        <v>450</v>
      </c>
      <c r="M4271">
        <v>24.444444444444439</v>
      </c>
      <c r="N4271" t="s">
        <v>8</v>
      </c>
      <c r="O4271" t="s">
        <v>2296</v>
      </c>
      <c r="P4271" t="s">
        <v>29</v>
      </c>
      <c r="Q4271" t="s">
        <v>74</v>
      </c>
      <c r="R4271" t="s">
        <v>493</v>
      </c>
      <c r="S4271" t="s">
        <v>494</v>
      </c>
      <c r="T4271" t="s">
        <v>2297</v>
      </c>
      <c r="U4271" t="s">
        <v>105</v>
      </c>
      <c r="V4271">
        <v>110</v>
      </c>
    </row>
    <row r="4272" spans="1:22" x14ac:dyDescent="0.3">
      <c r="A4272" t="s">
        <v>5754</v>
      </c>
      <c r="B4272" s="2">
        <v>45903</v>
      </c>
      <c r="C4272" t="s">
        <v>970</v>
      </c>
      <c r="D4272" t="s">
        <v>24</v>
      </c>
      <c r="E4272" t="s">
        <v>242</v>
      </c>
      <c r="F4272">
        <v>1</v>
      </c>
      <c r="G4272">
        <v>0.05</v>
      </c>
      <c r="H4272">
        <v>427.5</v>
      </c>
      <c r="I4272">
        <v>95.46</v>
      </c>
      <c r="J4272" t="s">
        <v>65</v>
      </c>
      <c r="K4272" t="s">
        <v>40</v>
      </c>
      <c r="L4272">
        <v>427.5</v>
      </c>
      <c r="M4272">
        <v>22.329824561403509</v>
      </c>
      <c r="N4272" t="s">
        <v>8</v>
      </c>
      <c r="O4272" t="s">
        <v>971</v>
      </c>
      <c r="P4272" t="s">
        <v>83</v>
      </c>
      <c r="Q4272" t="s">
        <v>30</v>
      </c>
      <c r="R4272" t="s">
        <v>31</v>
      </c>
      <c r="S4272" t="s">
        <v>32</v>
      </c>
      <c r="T4272" t="s">
        <v>972</v>
      </c>
      <c r="U4272" t="s">
        <v>34</v>
      </c>
      <c r="V4272">
        <v>95.46</v>
      </c>
    </row>
    <row r="4273" spans="1:22" x14ac:dyDescent="0.3">
      <c r="A4273" t="s">
        <v>5755</v>
      </c>
      <c r="B4273" s="2">
        <v>46048</v>
      </c>
      <c r="C4273" t="s">
        <v>1285</v>
      </c>
      <c r="D4273" t="s">
        <v>24</v>
      </c>
      <c r="E4273" t="s">
        <v>242</v>
      </c>
      <c r="F4273">
        <v>2</v>
      </c>
      <c r="G4273">
        <v>0.05</v>
      </c>
      <c r="H4273">
        <v>855</v>
      </c>
      <c r="I4273">
        <v>191.86</v>
      </c>
      <c r="J4273" t="s">
        <v>51</v>
      </c>
      <c r="K4273" t="s">
        <v>40</v>
      </c>
      <c r="L4273">
        <v>427.5</v>
      </c>
      <c r="M4273">
        <v>22.43976608187134</v>
      </c>
      <c r="N4273" t="s">
        <v>8</v>
      </c>
      <c r="O4273" t="s">
        <v>1286</v>
      </c>
      <c r="P4273" t="s">
        <v>29</v>
      </c>
      <c r="Q4273" t="s">
        <v>74</v>
      </c>
      <c r="R4273" t="s">
        <v>493</v>
      </c>
      <c r="S4273" t="s">
        <v>494</v>
      </c>
      <c r="T4273" t="s">
        <v>1287</v>
      </c>
      <c r="U4273" t="s">
        <v>46</v>
      </c>
      <c r="V4273">
        <v>95.93</v>
      </c>
    </row>
    <row r="4274" spans="1:22" x14ac:dyDescent="0.3">
      <c r="A4274" t="s">
        <v>5756</v>
      </c>
      <c r="B4274" s="2">
        <v>45972</v>
      </c>
      <c r="C4274" t="s">
        <v>1984</v>
      </c>
      <c r="D4274" t="s">
        <v>70</v>
      </c>
      <c r="E4274" t="s">
        <v>71</v>
      </c>
      <c r="F4274">
        <v>4</v>
      </c>
      <c r="G4274">
        <v>0</v>
      </c>
      <c r="H4274">
        <v>72000</v>
      </c>
      <c r="I4274">
        <v>14000</v>
      </c>
      <c r="J4274" t="s">
        <v>39</v>
      </c>
      <c r="K4274" t="s">
        <v>40</v>
      </c>
      <c r="L4274">
        <v>18000</v>
      </c>
      <c r="M4274">
        <v>19.44444444444445</v>
      </c>
      <c r="N4274" t="s">
        <v>8</v>
      </c>
      <c r="O4274" t="s">
        <v>959</v>
      </c>
      <c r="P4274" t="s">
        <v>73</v>
      </c>
      <c r="Q4274" t="s">
        <v>74</v>
      </c>
      <c r="R4274" t="s">
        <v>493</v>
      </c>
      <c r="S4274" t="s">
        <v>494</v>
      </c>
      <c r="T4274" t="s">
        <v>1985</v>
      </c>
      <c r="U4274" t="s">
        <v>100</v>
      </c>
      <c r="V4274">
        <v>3500</v>
      </c>
    </row>
    <row r="4275" spans="1:22" x14ac:dyDescent="0.3">
      <c r="A4275" t="s">
        <v>5757</v>
      </c>
      <c r="B4275" s="2">
        <v>46205</v>
      </c>
      <c r="C4275" t="s">
        <v>1398</v>
      </c>
      <c r="D4275" t="s">
        <v>37</v>
      </c>
      <c r="E4275" t="s">
        <v>38</v>
      </c>
      <c r="F4275">
        <v>3</v>
      </c>
      <c r="G4275">
        <v>0.05</v>
      </c>
      <c r="H4275">
        <v>5130</v>
      </c>
      <c r="I4275">
        <v>1804.52</v>
      </c>
      <c r="J4275" t="s">
        <v>26</v>
      </c>
      <c r="K4275" t="s">
        <v>40</v>
      </c>
      <c r="L4275">
        <v>1710</v>
      </c>
      <c r="M4275">
        <v>35.175828460038993</v>
      </c>
      <c r="N4275" t="s">
        <v>8</v>
      </c>
      <c r="O4275" t="s">
        <v>153</v>
      </c>
      <c r="P4275" t="s">
        <v>83</v>
      </c>
      <c r="Q4275" t="s">
        <v>30</v>
      </c>
      <c r="R4275" t="s">
        <v>53</v>
      </c>
      <c r="S4275" t="s">
        <v>54</v>
      </c>
      <c r="T4275" t="s">
        <v>734</v>
      </c>
      <c r="U4275" t="s">
        <v>46</v>
      </c>
      <c r="V4275">
        <v>601.50666666666666</v>
      </c>
    </row>
    <row r="4276" spans="1:22" x14ac:dyDescent="0.3">
      <c r="A4276" t="s">
        <v>5758</v>
      </c>
      <c r="B4276" s="2">
        <v>45850</v>
      </c>
      <c r="C4276" t="s">
        <v>3313</v>
      </c>
      <c r="D4276" t="s">
        <v>49</v>
      </c>
      <c r="E4276" t="s">
        <v>79</v>
      </c>
      <c r="F4276">
        <v>3</v>
      </c>
      <c r="G4276">
        <v>0.05</v>
      </c>
      <c r="H4276">
        <v>31350</v>
      </c>
      <c r="I4276">
        <v>6931.86</v>
      </c>
      <c r="J4276" t="s">
        <v>26</v>
      </c>
      <c r="K4276" t="s">
        <v>27</v>
      </c>
      <c r="L4276">
        <v>10450</v>
      </c>
      <c r="M4276">
        <v>22.1111961722488</v>
      </c>
      <c r="N4276" t="s">
        <v>8</v>
      </c>
      <c r="O4276" t="s">
        <v>3314</v>
      </c>
      <c r="P4276" t="s">
        <v>29</v>
      </c>
      <c r="Q4276" t="s">
        <v>42</v>
      </c>
      <c r="R4276" t="s">
        <v>121</v>
      </c>
      <c r="S4276" t="s">
        <v>44</v>
      </c>
      <c r="T4276" t="s">
        <v>3315</v>
      </c>
      <c r="U4276" t="s">
        <v>105</v>
      </c>
      <c r="V4276">
        <v>2310.62</v>
      </c>
    </row>
    <row r="4277" spans="1:22" x14ac:dyDescent="0.3">
      <c r="A4277" t="s">
        <v>5759</v>
      </c>
      <c r="B4277" s="2">
        <v>46042</v>
      </c>
      <c r="C4277" t="s">
        <v>457</v>
      </c>
      <c r="D4277" t="s">
        <v>70</v>
      </c>
      <c r="E4277" t="s">
        <v>129</v>
      </c>
      <c r="F4277">
        <v>1</v>
      </c>
      <c r="G4277">
        <v>0.15</v>
      </c>
      <c r="H4277">
        <v>46750</v>
      </c>
      <c r="I4277">
        <v>2020.54</v>
      </c>
      <c r="J4277" t="s">
        <v>39</v>
      </c>
      <c r="K4277" t="s">
        <v>27</v>
      </c>
      <c r="L4277">
        <v>46750</v>
      </c>
      <c r="M4277">
        <v>4.3220106951871662</v>
      </c>
      <c r="N4277" t="s">
        <v>8</v>
      </c>
      <c r="O4277" t="s">
        <v>458</v>
      </c>
      <c r="P4277" t="s">
        <v>73</v>
      </c>
      <c r="Q4277" t="s">
        <v>30</v>
      </c>
      <c r="R4277" t="s">
        <v>60</v>
      </c>
      <c r="S4277" t="s">
        <v>61</v>
      </c>
      <c r="T4277" t="s">
        <v>459</v>
      </c>
      <c r="U4277" t="s">
        <v>34</v>
      </c>
      <c r="V4277">
        <v>2020.54</v>
      </c>
    </row>
    <row r="4278" spans="1:22" x14ac:dyDescent="0.3">
      <c r="A4278" t="s">
        <v>5760</v>
      </c>
      <c r="B4278" s="2">
        <v>45920</v>
      </c>
      <c r="C4278" t="s">
        <v>2223</v>
      </c>
      <c r="D4278" t="s">
        <v>70</v>
      </c>
      <c r="E4278" t="s">
        <v>165</v>
      </c>
      <c r="F4278">
        <v>3</v>
      </c>
      <c r="G4278">
        <v>0.05</v>
      </c>
      <c r="H4278">
        <v>7125</v>
      </c>
      <c r="I4278">
        <v>242.98</v>
      </c>
      <c r="J4278" t="s">
        <v>39</v>
      </c>
      <c r="K4278" t="s">
        <v>434</v>
      </c>
      <c r="L4278">
        <v>2375</v>
      </c>
      <c r="M4278">
        <v>3.410245614035087</v>
      </c>
      <c r="N4278" t="s">
        <v>8</v>
      </c>
      <c r="O4278" t="s">
        <v>284</v>
      </c>
      <c r="P4278" t="s">
        <v>73</v>
      </c>
      <c r="Q4278" t="s">
        <v>131</v>
      </c>
      <c r="R4278" t="s">
        <v>132</v>
      </c>
      <c r="S4278" t="s">
        <v>133</v>
      </c>
      <c r="T4278" t="s">
        <v>2224</v>
      </c>
      <c r="U4278" t="s">
        <v>46</v>
      </c>
      <c r="V4278">
        <v>80.993333333333325</v>
      </c>
    </row>
    <row r="4279" spans="1:22" x14ac:dyDescent="0.3">
      <c r="A4279" t="s">
        <v>5761</v>
      </c>
      <c r="B4279" s="2">
        <v>46250</v>
      </c>
      <c r="C4279" t="s">
        <v>522</v>
      </c>
      <c r="D4279" t="s">
        <v>24</v>
      </c>
      <c r="E4279" t="s">
        <v>87</v>
      </c>
      <c r="F4279">
        <v>3</v>
      </c>
      <c r="G4279">
        <v>0.2</v>
      </c>
      <c r="H4279">
        <v>840</v>
      </c>
      <c r="I4279">
        <v>200.38</v>
      </c>
      <c r="J4279" t="s">
        <v>39</v>
      </c>
      <c r="K4279" t="s">
        <v>40</v>
      </c>
      <c r="L4279">
        <v>280</v>
      </c>
      <c r="M4279">
        <v>23.854761904761901</v>
      </c>
      <c r="N4279" t="s">
        <v>8</v>
      </c>
      <c r="O4279" t="s">
        <v>523</v>
      </c>
      <c r="P4279" t="s">
        <v>73</v>
      </c>
      <c r="Q4279" t="s">
        <v>30</v>
      </c>
      <c r="R4279" t="s">
        <v>98</v>
      </c>
      <c r="S4279" t="s">
        <v>54</v>
      </c>
      <c r="T4279" t="s">
        <v>62</v>
      </c>
      <c r="U4279" t="s">
        <v>46</v>
      </c>
      <c r="V4279">
        <v>66.793333333333337</v>
      </c>
    </row>
    <row r="4280" spans="1:22" x14ac:dyDescent="0.3">
      <c r="A4280" t="s">
        <v>5762</v>
      </c>
      <c r="B4280" s="2">
        <v>46236</v>
      </c>
      <c r="C4280" t="s">
        <v>2249</v>
      </c>
      <c r="D4280" t="s">
        <v>24</v>
      </c>
      <c r="E4280" t="s">
        <v>25</v>
      </c>
      <c r="F4280">
        <v>1</v>
      </c>
      <c r="G4280">
        <v>0</v>
      </c>
      <c r="H4280">
        <v>14000</v>
      </c>
      <c r="I4280">
        <v>2800</v>
      </c>
      <c r="J4280" t="s">
        <v>39</v>
      </c>
      <c r="K4280" t="s">
        <v>40</v>
      </c>
      <c r="L4280">
        <v>14000</v>
      </c>
      <c r="M4280">
        <v>20</v>
      </c>
      <c r="N4280" t="s">
        <v>8</v>
      </c>
      <c r="O4280" t="s">
        <v>1424</v>
      </c>
      <c r="P4280" t="s">
        <v>29</v>
      </c>
      <c r="Q4280" t="s">
        <v>74</v>
      </c>
      <c r="R4280" t="s">
        <v>237</v>
      </c>
      <c r="S4280" t="s">
        <v>238</v>
      </c>
      <c r="T4280" t="s">
        <v>2250</v>
      </c>
      <c r="U4280" t="s">
        <v>105</v>
      </c>
      <c r="V4280">
        <v>2800</v>
      </c>
    </row>
    <row r="4281" spans="1:22" x14ac:dyDescent="0.3">
      <c r="A4281" t="s">
        <v>5763</v>
      </c>
      <c r="B4281" s="2">
        <v>46241</v>
      </c>
      <c r="C4281" t="s">
        <v>858</v>
      </c>
      <c r="D4281" t="s">
        <v>24</v>
      </c>
      <c r="E4281" t="s">
        <v>25</v>
      </c>
      <c r="F4281">
        <v>1</v>
      </c>
      <c r="G4281">
        <v>0.1</v>
      </c>
      <c r="H4281">
        <v>12600</v>
      </c>
      <c r="I4281">
        <v>1653.4</v>
      </c>
      <c r="J4281" t="s">
        <v>39</v>
      </c>
      <c r="K4281" t="s">
        <v>40</v>
      </c>
      <c r="L4281">
        <v>12600</v>
      </c>
      <c r="M4281">
        <v>13.12222222222222</v>
      </c>
      <c r="N4281" t="s">
        <v>8</v>
      </c>
      <c r="O4281" t="s">
        <v>406</v>
      </c>
      <c r="P4281" t="s">
        <v>73</v>
      </c>
      <c r="Q4281" t="s">
        <v>30</v>
      </c>
      <c r="R4281" t="s">
        <v>53</v>
      </c>
      <c r="S4281" t="s">
        <v>54</v>
      </c>
      <c r="T4281" t="s">
        <v>859</v>
      </c>
      <c r="U4281" t="s">
        <v>105</v>
      </c>
      <c r="V4281">
        <v>1653.4</v>
      </c>
    </row>
    <row r="4282" spans="1:22" x14ac:dyDescent="0.3">
      <c r="A4282" t="s">
        <v>5764</v>
      </c>
      <c r="B4282" s="2">
        <v>46005</v>
      </c>
      <c r="C4282" t="s">
        <v>102</v>
      </c>
      <c r="D4282" t="s">
        <v>70</v>
      </c>
      <c r="E4282" t="s">
        <v>71</v>
      </c>
      <c r="F4282">
        <v>4</v>
      </c>
      <c r="G4282">
        <v>0.2</v>
      </c>
      <c r="H4282">
        <v>57600</v>
      </c>
      <c r="I4282">
        <v>-11895.5</v>
      </c>
      <c r="J4282" t="s">
        <v>39</v>
      </c>
      <c r="K4282" t="s">
        <v>434</v>
      </c>
      <c r="L4282">
        <v>14400</v>
      </c>
      <c r="M4282">
        <v>-20.651909722222221</v>
      </c>
      <c r="N4282" t="s">
        <v>81</v>
      </c>
      <c r="O4282" t="s">
        <v>103</v>
      </c>
      <c r="P4282" t="s">
        <v>29</v>
      </c>
      <c r="Q4282" t="s">
        <v>30</v>
      </c>
      <c r="R4282" t="s">
        <v>98</v>
      </c>
      <c r="S4282" t="s">
        <v>54</v>
      </c>
      <c r="T4282" t="s">
        <v>104</v>
      </c>
      <c r="U4282" t="s">
        <v>105</v>
      </c>
      <c r="V4282">
        <v>-2973.875</v>
      </c>
    </row>
    <row r="4283" spans="1:22" x14ac:dyDescent="0.3">
      <c r="A4283" t="s">
        <v>5765</v>
      </c>
      <c r="B4283" s="2">
        <v>45958</v>
      </c>
      <c r="C4283" t="s">
        <v>279</v>
      </c>
      <c r="D4283" t="s">
        <v>49</v>
      </c>
      <c r="E4283" t="s">
        <v>58</v>
      </c>
      <c r="F4283">
        <v>1</v>
      </c>
      <c r="G4283">
        <v>0.05</v>
      </c>
      <c r="H4283">
        <v>14250</v>
      </c>
      <c r="I4283">
        <v>-8049.55</v>
      </c>
      <c r="J4283" t="s">
        <v>26</v>
      </c>
      <c r="K4283" t="s">
        <v>80</v>
      </c>
      <c r="L4283">
        <v>14250</v>
      </c>
      <c r="M4283">
        <v>-56.488070175438601</v>
      </c>
      <c r="N4283" t="s">
        <v>81</v>
      </c>
      <c r="O4283" t="s">
        <v>280</v>
      </c>
      <c r="P4283" t="s">
        <v>73</v>
      </c>
      <c r="Q4283" t="s">
        <v>30</v>
      </c>
      <c r="R4283" t="s">
        <v>31</v>
      </c>
      <c r="S4283" t="s">
        <v>32</v>
      </c>
      <c r="T4283" t="s">
        <v>281</v>
      </c>
      <c r="U4283" t="s">
        <v>46</v>
      </c>
      <c r="V4283">
        <v>-8049.55</v>
      </c>
    </row>
    <row r="4284" spans="1:22" x14ac:dyDescent="0.3">
      <c r="A4284" t="s">
        <v>5766</v>
      </c>
      <c r="B4284" s="2">
        <v>46173</v>
      </c>
      <c r="C4284" t="s">
        <v>258</v>
      </c>
      <c r="D4284" t="s">
        <v>49</v>
      </c>
      <c r="E4284" t="s">
        <v>58</v>
      </c>
      <c r="F4284">
        <v>2</v>
      </c>
      <c r="G4284">
        <v>0.05</v>
      </c>
      <c r="H4284">
        <v>28500</v>
      </c>
      <c r="I4284">
        <v>5917.4</v>
      </c>
      <c r="J4284" t="s">
        <v>65</v>
      </c>
      <c r="K4284" t="s">
        <v>40</v>
      </c>
      <c r="L4284">
        <v>14250</v>
      </c>
      <c r="M4284">
        <v>20.76280701754386</v>
      </c>
      <c r="N4284" t="s">
        <v>8</v>
      </c>
      <c r="O4284" t="s">
        <v>259</v>
      </c>
      <c r="P4284" t="s">
        <v>73</v>
      </c>
      <c r="Q4284" t="s">
        <v>30</v>
      </c>
      <c r="R4284" t="s">
        <v>60</v>
      </c>
      <c r="S4284" t="s">
        <v>61</v>
      </c>
      <c r="T4284" t="s">
        <v>260</v>
      </c>
      <c r="U4284" t="s">
        <v>105</v>
      </c>
      <c r="V4284">
        <v>2958.7</v>
      </c>
    </row>
    <row r="4285" spans="1:22" x14ac:dyDescent="0.3">
      <c r="A4285" t="s">
        <v>5767</v>
      </c>
      <c r="B4285" s="2">
        <v>45983</v>
      </c>
      <c r="C4285" t="s">
        <v>2322</v>
      </c>
      <c r="D4285" t="s">
        <v>37</v>
      </c>
      <c r="E4285" t="s">
        <v>38</v>
      </c>
      <c r="F4285">
        <v>1</v>
      </c>
      <c r="G4285">
        <v>0.15</v>
      </c>
      <c r="H4285">
        <v>1530</v>
      </c>
      <c r="I4285">
        <v>517.35</v>
      </c>
      <c r="J4285" t="s">
        <v>51</v>
      </c>
      <c r="K4285" t="s">
        <v>40</v>
      </c>
      <c r="L4285">
        <v>1530</v>
      </c>
      <c r="M4285">
        <v>33.813725490196077</v>
      </c>
      <c r="N4285" t="s">
        <v>8</v>
      </c>
      <c r="O4285" t="s">
        <v>2323</v>
      </c>
      <c r="P4285" t="s">
        <v>29</v>
      </c>
      <c r="Q4285" t="s">
        <v>74</v>
      </c>
      <c r="R4285" t="s">
        <v>75</v>
      </c>
      <c r="S4285" t="s">
        <v>75</v>
      </c>
      <c r="T4285" t="s">
        <v>463</v>
      </c>
      <c r="U4285" t="s">
        <v>100</v>
      </c>
      <c r="V4285">
        <v>517.35</v>
      </c>
    </row>
    <row r="4286" spans="1:22" x14ac:dyDescent="0.3">
      <c r="A4286" t="s">
        <v>5768</v>
      </c>
      <c r="B4286" s="2">
        <v>45913</v>
      </c>
      <c r="C4286" t="s">
        <v>907</v>
      </c>
      <c r="D4286" t="s">
        <v>49</v>
      </c>
      <c r="E4286" t="s">
        <v>119</v>
      </c>
      <c r="F4286">
        <v>1</v>
      </c>
      <c r="G4286">
        <v>0.1</v>
      </c>
      <c r="H4286">
        <v>8100</v>
      </c>
      <c r="I4286">
        <v>1792.3</v>
      </c>
      <c r="J4286" t="s">
        <v>51</v>
      </c>
      <c r="K4286" t="s">
        <v>40</v>
      </c>
      <c r="L4286">
        <v>8100</v>
      </c>
      <c r="M4286">
        <v>22.127160493827159</v>
      </c>
      <c r="N4286" t="s">
        <v>8</v>
      </c>
      <c r="O4286" t="s">
        <v>908</v>
      </c>
      <c r="P4286" t="s">
        <v>29</v>
      </c>
      <c r="Q4286" t="s">
        <v>30</v>
      </c>
      <c r="R4286" t="s">
        <v>60</v>
      </c>
      <c r="S4286" t="s">
        <v>61</v>
      </c>
      <c r="T4286" t="s">
        <v>486</v>
      </c>
      <c r="U4286" t="s">
        <v>34</v>
      </c>
      <c r="V4286">
        <v>1792.3</v>
      </c>
    </row>
    <row r="4287" spans="1:22" x14ac:dyDescent="0.3">
      <c r="A4287" t="s">
        <v>5769</v>
      </c>
      <c r="B4287" s="2">
        <v>46058</v>
      </c>
      <c r="C4287" t="s">
        <v>1605</v>
      </c>
      <c r="D4287" t="s">
        <v>37</v>
      </c>
      <c r="E4287" t="s">
        <v>310</v>
      </c>
      <c r="F4287">
        <v>4</v>
      </c>
      <c r="G4287">
        <v>0.1</v>
      </c>
      <c r="H4287">
        <v>7920</v>
      </c>
      <c r="I4287">
        <v>2323.94</v>
      </c>
      <c r="J4287" t="s">
        <v>51</v>
      </c>
      <c r="K4287" t="s">
        <v>40</v>
      </c>
      <c r="L4287">
        <v>1980</v>
      </c>
      <c r="M4287">
        <v>29.342676767676771</v>
      </c>
      <c r="N4287" t="s">
        <v>8</v>
      </c>
      <c r="O4287" t="s">
        <v>1606</v>
      </c>
      <c r="P4287" t="s">
        <v>73</v>
      </c>
      <c r="Q4287" t="s">
        <v>30</v>
      </c>
      <c r="R4287" t="s">
        <v>53</v>
      </c>
      <c r="S4287" t="s">
        <v>54</v>
      </c>
      <c r="T4287" t="s">
        <v>1607</v>
      </c>
      <c r="U4287" t="s">
        <v>34</v>
      </c>
      <c r="V4287">
        <v>580.98500000000001</v>
      </c>
    </row>
    <row r="4288" spans="1:22" x14ac:dyDescent="0.3">
      <c r="A4288" t="s">
        <v>5770</v>
      </c>
      <c r="B4288" s="2">
        <v>46056</v>
      </c>
      <c r="C4288" t="s">
        <v>548</v>
      </c>
      <c r="D4288" t="s">
        <v>49</v>
      </c>
      <c r="E4288" t="s">
        <v>50</v>
      </c>
      <c r="F4288">
        <v>3</v>
      </c>
      <c r="G4288">
        <v>0.15</v>
      </c>
      <c r="H4288">
        <v>33150</v>
      </c>
      <c r="I4288">
        <v>6402.05</v>
      </c>
      <c r="J4288" t="s">
        <v>39</v>
      </c>
      <c r="K4288" t="s">
        <v>27</v>
      </c>
      <c r="L4288">
        <v>11050</v>
      </c>
      <c r="M4288">
        <v>19.312368024132731</v>
      </c>
      <c r="N4288" t="s">
        <v>8</v>
      </c>
      <c r="O4288" t="s">
        <v>549</v>
      </c>
      <c r="P4288" t="s">
        <v>29</v>
      </c>
      <c r="Q4288" t="s">
        <v>74</v>
      </c>
      <c r="R4288" t="s">
        <v>115</v>
      </c>
      <c r="S4288" t="s">
        <v>115</v>
      </c>
      <c r="T4288" t="s">
        <v>550</v>
      </c>
      <c r="U4288" t="s">
        <v>100</v>
      </c>
      <c r="V4288">
        <v>2134.0166666666669</v>
      </c>
    </row>
    <row r="4289" spans="1:22" x14ac:dyDescent="0.3">
      <c r="A4289" t="s">
        <v>5771</v>
      </c>
      <c r="B4289" s="2">
        <v>45936</v>
      </c>
      <c r="C4289" t="s">
        <v>136</v>
      </c>
      <c r="D4289" t="s">
        <v>70</v>
      </c>
      <c r="E4289" t="s">
        <v>108</v>
      </c>
      <c r="F4289">
        <v>4</v>
      </c>
      <c r="G4289">
        <v>0.05</v>
      </c>
      <c r="H4289">
        <v>17100</v>
      </c>
      <c r="I4289">
        <v>5587.65</v>
      </c>
      <c r="J4289" t="s">
        <v>65</v>
      </c>
      <c r="K4289" t="s">
        <v>27</v>
      </c>
      <c r="L4289">
        <v>4275</v>
      </c>
      <c r="M4289">
        <v>32.676315789473684</v>
      </c>
      <c r="N4289" t="s">
        <v>8</v>
      </c>
      <c r="O4289" t="s">
        <v>137</v>
      </c>
      <c r="P4289" t="s">
        <v>83</v>
      </c>
      <c r="Q4289" t="s">
        <v>42</v>
      </c>
      <c r="R4289" t="s">
        <v>110</v>
      </c>
      <c r="S4289" t="s">
        <v>111</v>
      </c>
      <c r="T4289" t="s">
        <v>138</v>
      </c>
      <c r="U4289" t="s">
        <v>34</v>
      </c>
      <c r="V4289">
        <v>1396.9124999999999</v>
      </c>
    </row>
    <row r="4290" spans="1:22" x14ac:dyDescent="0.3">
      <c r="A4290" t="s">
        <v>5772</v>
      </c>
      <c r="B4290" s="2">
        <v>45998</v>
      </c>
      <c r="C4290" t="s">
        <v>1131</v>
      </c>
      <c r="D4290" t="s">
        <v>24</v>
      </c>
      <c r="E4290" t="s">
        <v>92</v>
      </c>
      <c r="F4290">
        <v>2</v>
      </c>
      <c r="G4290">
        <v>0.1</v>
      </c>
      <c r="H4290">
        <v>1620</v>
      </c>
      <c r="I4290">
        <v>475.06</v>
      </c>
      <c r="J4290" t="s">
        <v>65</v>
      </c>
      <c r="K4290" t="s">
        <v>40</v>
      </c>
      <c r="L4290">
        <v>810</v>
      </c>
      <c r="M4290">
        <v>29.32469135802469</v>
      </c>
      <c r="N4290" t="s">
        <v>8</v>
      </c>
      <c r="O4290" t="s">
        <v>226</v>
      </c>
      <c r="P4290" t="s">
        <v>73</v>
      </c>
      <c r="Q4290" t="s">
        <v>74</v>
      </c>
      <c r="R4290" t="s">
        <v>75</v>
      </c>
      <c r="S4290" t="s">
        <v>75</v>
      </c>
      <c r="T4290" t="s">
        <v>1132</v>
      </c>
      <c r="U4290" t="s">
        <v>100</v>
      </c>
      <c r="V4290">
        <v>237.53</v>
      </c>
    </row>
    <row r="4291" spans="1:22" x14ac:dyDescent="0.3">
      <c r="A4291" t="s">
        <v>5773</v>
      </c>
      <c r="B4291" s="2">
        <v>46092</v>
      </c>
      <c r="C4291" t="s">
        <v>1036</v>
      </c>
      <c r="D4291" t="s">
        <v>24</v>
      </c>
      <c r="E4291" t="s">
        <v>25</v>
      </c>
      <c r="F4291">
        <v>3</v>
      </c>
      <c r="G4291">
        <v>0.1</v>
      </c>
      <c r="H4291">
        <v>37800</v>
      </c>
      <c r="I4291">
        <v>-22579.279999999999</v>
      </c>
      <c r="J4291" t="s">
        <v>26</v>
      </c>
      <c r="K4291" t="s">
        <v>80</v>
      </c>
      <c r="L4291">
        <v>12600</v>
      </c>
      <c r="M4291">
        <v>-59.733544973544973</v>
      </c>
      <c r="N4291" t="s">
        <v>81</v>
      </c>
      <c r="O4291" t="s">
        <v>149</v>
      </c>
      <c r="P4291" t="s">
        <v>83</v>
      </c>
      <c r="Q4291" t="s">
        <v>30</v>
      </c>
      <c r="R4291" t="s">
        <v>53</v>
      </c>
      <c r="S4291" t="s">
        <v>54</v>
      </c>
      <c r="T4291" t="s">
        <v>1037</v>
      </c>
      <c r="U4291" t="s">
        <v>46</v>
      </c>
      <c r="V4291">
        <v>-7526.4266666666663</v>
      </c>
    </row>
    <row r="4292" spans="1:22" x14ac:dyDescent="0.3">
      <c r="A4292" t="s">
        <v>5774</v>
      </c>
      <c r="B4292" s="2">
        <v>45928</v>
      </c>
      <c r="C4292" t="s">
        <v>1391</v>
      </c>
      <c r="D4292" t="s">
        <v>70</v>
      </c>
      <c r="E4292" t="s">
        <v>129</v>
      </c>
      <c r="F4292">
        <v>3</v>
      </c>
      <c r="G4292">
        <v>0.05</v>
      </c>
      <c r="H4292">
        <v>156750</v>
      </c>
      <c r="I4292">
        <v>-32000</v>
      </c>
      <c r="J4292" t="s">
        <v>26</v>
      </c>
      <c r="K4292" t="s">
        <v>40</v>
      </c>
      <c r="L4292">
        <v>52250</v>
      </c>
      <c r="M4292">
        <v>-20.414673046251991</v>
      </c>
      <c r="N4292" t="s">
        <v>81</v>
      </c>
      <c r="O4292" t="s">
        <v>844</v>
      </c>
      <c r="P4292" t="s">
        <v>29</v>
      </c>
      <c r="Q4292" t="s">
        <v>30</v>
      </c>
      <c r="R4292" t="s">
        <v>60</v>
      </c>
      <c r="S4292" t="s">
        <v>61</v>
      </c>
      <c r="T4292" t="s">
        <v>1392</v>
      </c>
      <c r="U4292" t="s">
        <v>34</v>
      </c>
      <c r="V4292">
        <v>-10666.66666666667</v>
      </c>
    </row>
    <row r="4293" spans="1:22" x14ac:dyDescent="0.3">
      <c r="A4293" t="s">
        <v>5775</v>
      </c>
      <c r="B4293" s="2">
        <v>45971</v>
      </c>
      <c r="C4293" t="s">
        <v>1078</v>
      </c>
      <c r="D4293" t="s">
        <v>49</v>
      </c>
      <c r="E4293" t="s">
        <v>119</v>
      </c>
      <c r="F4293">
        <v>6</v>
      </c>
      <c r="G4293">
        <v>0.2</v>
      </c>
      <c r="H4293">
        <v>43200</v>
      </c>
      <c r="I4293">
        <v>8595.61</v>
      </c>
      <c r="J4293" t="s">
        <v>26</v>
      </c>
      <c r="K4293" t="s">
        <v>40</v>
      </c>
      <c r="L4293">
        <v>7200</v>
      </c>
      <c r="M4293">
        <v>19.897245370370371</v>
      </c>
      <c r="N4293" t="s">
        <v>8</v>
      </c>
      <c r="O4293" t="s">
        <v>1079</v>
      </c>
      <c r="P4293" t="s">
        <v>83</v>
      </c>
      <c r="Q4293" t="s">
        <v>30</v>
      </c>
      <c r="R4293" t="s">
        <v>31</v>
      </c>
      <c r="S4293" t="s">
        <v>32</v>
      </c>
      <c r="T4293" t="s">
        <v>948</v>
      </c>
      <c r="U4293" t="s">
        <v>34</v>
      </c>
      <c r="V4293">
        <v>1432.6016666666669</v>
      </c>
    </row>
    <row r="4294" spans="1:22" x14ac:dyDescent="0.3">
      <c r="A4294" t="s">
        <v>5776</v>
      </c>
      <c r="B4294" s="2">
        <v>45904</v>
      </c>
      <c r="C4294" t="s">
        <v>1537</v>
      </c>
      <c r="D4294" t="s">
        <v>70</v>
      </c>
      <c r="E4294" t="s">
        <v>129</v>
      </c>
      <c r="F4294">
        <v>1</v>
      </c>
      <c r="G4294">
        <v>0</v>
      </c>
      <c r="H4294">
        <v>55000</v>
      </c>
      <c r="I4294">
        <v>9000</v>
      </c>
      <c r="J4294" t="s">
        <v>51</v>
      </c>
      <c r="K4294" t="s">
        <v>40</v>
      </c>
      <c r="L4294">
        <v>55000</v>
      </c>
      <c r="M4294">
        <v>16.36363636363636</v>
      </c>
      <c r="N4294" t="s">
        <v>8</v>
      </c>
      <c r="O4294" t="s">
        <v>1538</v>
      </c>
      <c r="P4294" t="s">
        <v>73</v>
      </c>
      <c r="Q4294" t="s">
        <v>131</v>
      </c>
      <c r="R4294" t="s">
        <v>289</v>
      </c>
      <c r="S4294" t="s">
        <v>290</v>
      </c>
      <c r="T4294" t="s">
        <v>1539</v>
      </c>
      <c r="U4294" t="s">
        <v>34</v>
      </c>
      <c r="V4294">
        <v>9000</v>
      </c>
    </row>
    <row r="4295" spans="1:22" x14ac:dyDescent="0.3">
      <c r="A4295" t="s">
        <v>5777</v>
      </c>
      <c r="B4295" s="2">
        <v>46108</v>
      </c>
      <c r="C4295" t="s">
        <v>2507</v>
      </c>
      <c r="D4295" t="s">
        <v>49</v>
      </c>
      <c r="E4295" t="s">
        <v>79</v>
      </c>
      <c r="F4295">
        <v>3</v>
      </c>
      <c r="G4295">
        <v>0</v>
      </c>
      <c r="H4295">
        <v>33000</v>
      </c>
      <c r="I4295">
        <v>7800</v>
      </c>
      <c r="J4295" t="s">
        <v>26</v>
      </c>
      <c r="K4295" t="s">
        <v>40</v>
      </c>
      <c r="L4295">
        <v>11000</v>
      </c>
      <c r="M4295">
        <v>23.63636363636364</v>
      </c>
      <c r="N4295" t="s">
        <v>8</v>
      </c>
      <c r="O4295" t="s">
        <v>754</v>
      </c>
      <c r="P4295" t="s">
        <v>29</v>
      </c>
      <c r="Q4295" t="s">
        <v>42</v>
      </c>
      <c r="R4295" t="s">
        <v>43</v>
      </c>
      <c r="S4295" t="s">
        <v>44</v>
      </c>
      <c r="T4295" t="s">
        <v>1145</v>
      </c>
      <c r="U4295" t="s">
        <v>34</v>
      </c>
      <c r="V4295">
        <v>2600</v>
      </c>
    </row>
    <row r="4296" spans="1:22" x14ac:dyDescent="0.3">
      <c r="A4296" t="s">
        <v>5778</v>
      </c>
      <c r="B4296" s="2">
        <v>46049</v>
      </c>
      <c r="C4296" t="s">
        <v>457</v>
      </c>
      <c r="D4296" t="s">
        <v>70</v>
      </c>
      <c r="E4296" t="s">
        <v>165</v>
      </c>
      <c r="F4296">
        <v>1</v>
      </c>
      <c r="G4296">
        <v>0.1</v>
      </c>
      <c r="H4296">
        <v>2250</v>
      </c>
      <c r="I4296">
        <v>-381.59</v>
      </c>
      <c r="J4296" t="s">
        <v>51</v>
      </c>
      <c r="K4296" t="s">
        <v>434</v>
      </c>
      <c r="L4296">
        <v>2250</v>
      </c>
      <c r="M4296">
        <v>-16.959555555555561</v>
      </c>
      <c r="N4296" t="s">
        <v>81</v>
      </c>
      <c r="O4296" t="s">
        <v>458</v>
      </c>
      <c r="P4296" t="s">
        <v>73</v>
      </c>
      <c r="Q4296" t="s">
        <v>30</v>
      </c>
      <c r="R4296" t="s">
        <v>60</v>
      </c>
      <c r="S4296" t="s">
        <v>61</v>
      </c>
      <c r="T4296" t="s">
        <v>459</v>
      </c>
      <c r="U4296" t="s">
        <v>34</v>
      </c>
      <c r="V4296">
        <v>-381.59</v>
      </c>
    </row>
    <row r="4297" spans="1:22" x14ac:dyDescent="0.3">
      <c r="A4297" t="s">
        <v>5779</v>
      </c>
      <c r="B4297" s="2">
        <v>46152</v>
      </c>
      <c r="C4297" t="s">
        <v>1542</v>
      </c>
      <c r="D4297" t="s">
        <v>49</v>
      </c>
      <c r="E4297" t="s">
        <v>58</v>
      </c>
      <c r="F4297">
        <v>1</v>
      </c>
      <c r="G4297">
        <v>0</v>
      </c>
      <c r="H4297">
        <v>15000</v>
      </c>
      <c r="I4297">
        <v>3500</v>
      </c>
      <c r="J4297" t="s">
        <v>51</v>
      </c>
      <c r="K4297" t="s">
        <v>40</v>
      </c>
      <c r="L4297">
        <v>15000</v>
      </c>
      <c r="M4297">
        <v>23.333333333333329</v>
      </c>
      <c r="N4297" t="s">
        <v>8</v>
      </c>
      <c r="O4297" t="s">
        <v>141</v>
      </c>
      <c r="P4297" t="s">
        <v>29</v>
      </c>
      <c r="Q4297" t="s">
        <v>74</v>
      </c>
      <c r="R4297" t="s">
        <v>75</v>
      </c>
      <c r="S4297" t="s">
        <v>75</v>
      </c>
      <c r="T4297" t="s">
        <v>1543</v>
      </c>
      <c r="U4297" t="s">
        <v>100</v>
      </c>
      <c r="V4297">
        <v>3500</v>
      </c>
    </row>
    <row r="4298" spans="1:22" x14ac:dyDescent="0.3">
      <c r="A4298" t="s">
        <v>5780</v>
      </c>
      <c r="B4298" s="2">
        <v>46059</v>
      </c>
      <c r="C4298" t="s">
        <v>1901</v>
      </c>
      <c r="D4298" t="s">
        <v>70</v>
      </c>
      <c r="E4298" t="s">
        <v>129</v>
      </c>
      <c r="F4298">
        <v>2</v>
      </c>
      <c r="G4298">
        <v>0.15</v>
      </c>
      <c r="H4298">
        <v>93500</v>
      </c>
      <c r="I4298">
        <v>10520.13</v>
      </c>
      <c r="J4298" t="s">
        <v>51</v>
      </c>
      <c r="K4298" t="s">
        <v>40</v>
      </c>
      <c r="L4298">
        <v>46750</v>
      </c>
      <c r="M4298">
        <v>11.25147593582888</v>
      </c>
      <c r="N4298" t="s">
        <v>8</v>
      </c>
      <c r="O4298" t="s">
        <v>1902</v>
      </c>
      <c r="P4298" t="s">
        <v>83</v>
      </c>
      <c r="Q4298" t="s">
        <v>42</v>
      </c>
      <c r="R4298" t="s">
        <v>121</v>
      </c>
      <c r="S4298" t="s">
        <v>44</v>
      </c>
      <c r="T4298" t="s">
        <v>1051</v>
      </c>
      <c r="U4298" t="s">
        <v>100</v>
      </c>
      <c r="V4298">
        <v>5260.0649999999996</v>
      </c>
    </row>
    <row r="4299" spans="1:22" x14ac:dyDescent="0.3">
      <c r="A4299" t="s">
        <v>5781</v>
      </c>
      <c r="B4299" s="2">
        <v>46063</v>
      </c>
      <c r="C4299" t="s">
        <v>933</v>
      </c>
      <c r="D4299" t="s">
        <v>37</v>
      </c>
      <c r="E4299" t="s">
        <v>38</v>
      </c>
      <c r="F4299">
        <v>2</v>
      </c>
      <c r="G4299">
        <v>0.1</v>
      </c>
      <c r="H4299">
        <v>3240</v>
      </c>
      <c r="I4299">
        <v>1116.77</v>
      </c>
      <c r="J4299" t="s">
        <v>39</v>
      </c>
      <c r="K4299" t="s">
        <v>40</v>
      </c>
      <c r="L4299">
        <v>1620</v>
      </c>
      <c r="M4299">
        <v>34.468209876543213</v>
      </c>
      <c r="N4299" t="s">
        <v>8</v>
      </c>
      <c r="O4299" t="s">
        <v>233</v>
      </c>
      <c r="P4299" t="s">
        <v>29</v>
      </c>
      <c r="Q4299" t="s">
        <v>30</v>
      </c>
      <c r="R4299" t="s">
        <v>31</v>
      </c>
      <c r="S4299" t="s">
        <v>32</v>
      </c>
      <c r="T4299" t="s">
        <v>934</v>
      </c>
      <c r="U4299" t="s">
        <v>34</v>
      </c>
      <c r="V4299">
        <v>558.38499999999999</v>
      </c>
    </row>
    <row r="4300" spans="1:22" x14ac:dyDescent="0.3">
      <c r="A4300" t="s">
        <v>5782</v>
      </c>
      <c r="B4300" s="2">
        <v>46199</v>
      </c>
      <c r="C4300" t="s">
        <v>1210</v>
      </c>
      <c r="D4300" t="s">
        <v>70</v>
      </c>
      <c r="E4300" t="s">
        <v>108</v>
      </c>
      <c r="F4300">
        <v>2</v>
      </c>
      <c r="G4300">
        <v>0</v>
      </c>
      <c r="H4300">
        <v>9000</v>
      </c>
      <c r="I4300">
        <v>3000</v>
      </c>
      <c r="J4300" t="s">
        <v>65</v>
      </c>
      <c r="K4300" t="s">
        <v>40</v>
      </c>
      <c r="L4300">
        <v>4500</v>
      </c>
      <c r="M4300">
        <v>33.333333333333329</v>
      </c>
      <c r="N4300" t="s">
        <v>8</v>
      </c>
      <c r="O4300" t="s">
        <v>1190</v>
      </c>
      <c r="P4300" t="s">
        <v>73</v>
      </c>
      <c r="Q4300" t="s">
        <v>30</v>
      </c>
      <c r="R4300" t="s">
        <v>31</v>
      </c>
      <c r="S4300" t="s">
        <v>32</v>
      </c>
      <c r="T4300" t="s">
        <v>1211</v>
      </c>
      <c r="U4300" t="s">
        <v>46</v>
      </c>
      <c r="V4300">
        <v>1500</v>
      </c>
    </row>
    <row r="4301" spans="1:22" x14ac:dyDescent="0.3">
      <c r="A4301" t="s">
        <v>5783</v>
      </c>
      <c r="B4301" s="2">
        <v>46078</v>
      </c>
      <c r="C4301" t="s">
        <v>1324</v>
      </c>
      <c r="D4301" t="s">
        <v>24</v>
      </c>
      <c r="E4301" t="s">
        <v>87</v>
      </c>
      <c r="F4301">
        <v>5</v>
      </c>
      <c r="G4301">
        <v>0.05</v>
      </c>
      <c r="H4301">
        <v>1662.5</v>
      </c>
      <c r="I4301">
        <v>556.07000000000005</v>
      </c>
      <c r="J4301" t="s">
        <v>51</v>
      </c>
      <c r="K4301" t="s">
        <v>40</v>
      </c>
      <c r="L4301">
        <v>332.5</v>
      </c>
      <c r="M4301">
        <v>33.447819548872182</v>
      </c>
      <c r="N4301" t="s">
        <v>8</v>
      </c>
      <c r="O4301" t="s">
        <v>1325</v>
      </c>
      <c r="P4301" t="s">
        <v>83</v>
      </c>
      <c r="Q4301" t="s">
        <v>74</v>
      </c>
      <c r="R4301" t="s">
        <v>115</v>
      </c>
      <c r="S4301" t="s">
        <v>115</v>
      </c>
      <c r="T4301" t="s">
        <v>1326</v>
      </c>
      <c r="U4301" t="s">
        <v>34</v>
      </c>
      <c r="V4301">
        <v>111.214</v>
      </c>
    </row>
    <row r="4302" spans="1:22" x14ac:dyDescent="0.3">
      <c r="A4302" t="s">
        <v>5784</v>
      </c>
      <c r="B4302" s="2">
        <v>45991</v>
      </c>
      <c r="C4302" t="s">
        <v>1497</v>
      </c>
      <c r="D4302" t="s">
        <v>70</v>
      </c>
      <c r="E4302" t="s">
        <v>71</v>
      </c>
      <c r="F4302">
        <v>1</v>
      </c>
      <c r="G4302">
        <v>0</v>
      </c>
      <c r="H4302">
        <v>18000</v>
      </c>
      <c r="I4302">
        <v>3500</v>
      </c>
      <c r="J4302" t="s">
        <v>51</v>
      </c>
      <c r="K4302" t="s">
        <v>40</v>
      </c>
      <c r="L4302">
        <v>18000</v>
      </c>
      <c r="M4302">
        <v>19.44444444444445</v>
      </c>
      <c r="N4302" t="s">
        <v>8</v>
      </c>
      <c r="O4302" t="s">
        <v>88</v>
      </c>
      <c r="P4302" t="s">
        <v>73</v>
      </c>
      <c r="Q4302" t="s">
        <v>30</v>
      </c>
      <c r="R4302" t="s">
        <v>31</v>
      </c>
      <c r="S4302" t="s">
        <v>32</v>
      </c>
      <c r="T4302" t="s">
        <v>1498</v>
      </c>
      <c r="U4302" t="s">
        <v>46</v>
      </c>
      <c r="V4302">
        <v>3500</v>
      </c>
    </row>
    <row r="4303" spans="1:22" x14ac:dyDescent="0.3">
      <c r="A4303" t="s">
        <v>5785</v>
      </c>
      <c r="B4303" s="2">
        <v>46066</v>
      </c>
      <c r="C4303" t="s">
        <v>700</v>
      </c>
      <c r="D4303" t="s">
        <v>37</v>
      </c>
      <c r="E4303" t="s">
        <v>190</v>
      </c>
      <c r="F4303">
        <v>1</v>
      </c>
      <c r="G4303">
        <v>0.05</v>
      </c>
      <c r="H4303">
        <v>3990</v>
      </c>
      <c r="I4303">
        <v>1097.79</v>
      </c>
      <c r="J4303" t="s">
        <v>26</v>
      </c>
      <c r="K4303" t="s">
        <v>40</v>
      </c>
      <c r="L4303">
        <v>3990</v>
      </c>
      <c r="M4303">
        <v>27.513533834586472</v>
      </c>
      <c r="N4303" t="s">
        <v>8</v>
      </c>
      <c r="O4303" t="s">
        <v>701</v>
      </c>
      <c r="P4303" t="s">
        <v>29</v>
      </c>
      <c r="Q4303" t="s">
        <v>30</v>
      </c>
      <c r="R4303" t="s">
        <v>60</v>
      </c>
      <c r="S4303" t="s">
        <v>61</v>
      </c>
      <c r="T4303" t="s">
        <v>702</v>
      </c>
      <c r="U4303" t="s">
        <v>34</v>
      </c>
      <c r="V4303">
        <v>1097.79</v>
      </c>
    </row>
    <row r="4304" spans="1:22" x14ac:dyDescent="0.3">
      <c r="A4304" t="s">
        <v>5786</v>
      </c>
      <c r="B4304" s="2">
        <v>45928</v>
      </c>
      <c r="C4304" t="s">
        <v>1220</v>
      </c>
      <c r="D4304" t="s">
        <v>24</v>
      </c>
      <c r="E4304" t="s">
        <v>87</v>
      </c>
      <c r="F4304">
        <v>1</v>
      </c>
      <c r="G4304">
        <v>0.1</v>
      </c>
      <c r="H4304">
        <v>315</v>
      </c>
      <c r="I4304">
        <v>1.44</v>
      </c>
      <c r="J4304" t="s">
        <v>26</v>
      </c>
      <c r="K4304" t="s">
        <v>434</v>
      </c>
      <c r="L4304">
        <v>315</v>
      </c>
      <c r="M4304">
        <v>0.45714285714285707</v>
      </c>
      <c r="N4304" t="s">
        <v>8</v>
      </c>
      <c r="O4304" t="s">
        <v>333</v>
      </c>
      <c r="P4304" t="s">
        <v>29</v>
      </c>
      <c r="Q4304" t="s">
        <v>74</v>
      </c>
      <c r="R4304" t="s">
        <v>75</v>
      </c>
      <c r="S4304" t="s">
        <v>75</v>
      </c>
      <c r="T4304" t="s">
        <v>1221</v>
      </c>
      <c r="U4304" t="s">
        <v>105</v>
      </c>
      <c r="V4304">
        <v>1.44</v>
      </c>
    </row>
    <row r="4305" spans="1:22" x14ac:dyDescent="0.3">
      <c r="A4305" t="s">
        <v>5787</v>
      </c>
      <c r="B4305" s="2">
        <v>46042</v>
      </c>
      <c r="C4305" t="s">
        <v>625</v>
      </c>
      <c r="D4305" t="s">
        <v>70</v>
      </c>
      <c r="E4305" t="s">
        <v>165</v>
      </c>
      <c r="F4305">
        <v>2</v>
      </c>
      <c r="G4305">
        <v>0.3</v>
      </c>
      <c r="H4305">
        <v>3500</v>
      </c>
      <c r="I4305">
        <v>789.25</v>
      </c>
      <c r="J4305" t="s">
        <v>65</v>
      </c>
      <c r="K4305" t="s">
        <v>40</v>
      </c>
      <c r="L4305">
        <v>1750</v>
      </c>
      <c r="M4305">
        <v>22.55</v>
      </c>
      <c r="N4305" t="s">
        <v>8</v>
      </c>
      <c r="O4305" t="s">
        <v>626</v>
      </c>
      <c r="P4305" t="s">
        <v>29</v>
      </c>
      <c r="Q4305" t="s">
        <v>30</v>
      </c>
      <c r="R4305" t="s">
        <v>53</v>
      </c>
      <c r="S4305" t="s">
        <v>54</v>
      </c>
      <c r="T4305" t="s">
        <v>627</v>
      </c>
      <c r="U4305" t="s">
        <v>105</v>
      </c>
      <c r="V4305">
        <v>394.625</v>
      </c>
    </row>
    <row r="4306" spans="1:22" x14ac:dyDescent="0.3">
      <c r="A4306" t="s">
        <v>5788</v>
      </c>
      <c r="B4306" s="2">
        <v>46044</v>
      </c>
      <c r="C4306" t="s">
        <v>1489</v>
      </c>
      <c r="D4306" t="s">
        <v>70</v>
      </c>
      <c r="E4306" t="s">
        <v>165</v>
      </c>
      <c r="F4306">
        <v>1</v>
      </c>
      <c r="G4306">
        <v>0.15</v>
      </c>
      <c r="H4306">
        <v>2125</v>
      </c>
      <c r="I4306">
        <v>596.59</v>
      </c>
      <c r="J4306" t="s">
        <v>65</v>
      </c>
      <c r="K4306" t="s">
        <v>40</v>
      </c>
      <c r="L4306">
        <v>2125</v>
      </c>
      <c r="M4306">
        <v>28.07482352941177</v>
      </c>
      <c r="N4306" t="s">
        <v>8</v>
      </c>
      <c r="O4306" t="s">
        <v>1286</v>
      </c>
      <c r="P4306" t="s">
        <v>83</v>
      </c>
      <c r="Q4306" t="s">
        <v>42</v>
      </c>
      <c r="R4306" t="s">
        <v>110</v>
      </c>
      <c r="S4306" t="s">
        <v>111</v>
      </c>
      <c r="T4306" t="s">
        <v>1490</v>
      </c>
      <c r="U4306" t="s">
        <v>100</v>
      </c>
      <c r="V4306">
        <v>596.59</v>
      </c>
    </row>
    <row r="4307" spans="1:22" x14ac:dyDescent="0.3">
      <c r="A4307" t="s">
        <v>5789</v>
      </c>
      <c r="B4307" s="2">
        <v>46232</v>
      </c>
      <c r="C4307" t="s">
        <v>869</v>
      </c>
      <c r="D4307" t="s">
        <v>49</v>
      </c>
      <c r="E4307" t="s">
        <v>58</v>
      </c>
      <c r="F4307">
        <v>1</v>
      </c>
      <c r="G4307">
        <v>0.1</v>
      </c>
      <c r="H4307">
        <v>13500</v>
      </c>
      <c r="I4307">
        <v>2540.61</v>
      </c>
      <c r="J4307" t="s">
        <v>65</v>
      </c>
      <c r="K4307" t="s">
        <v>40</v>
      </c>
      <c r="L4307">
        <v>13500</v>
      </c>
      <c r="M4307">
        <v>18.81933333333334</v>
      </c>
      <c r="N4307" t="s">
        <v>8</v>
      </c>
      <c r="O4307" t="s">
        <v>870</v>
      </c>
      <c r="P4307" t="s">
        <v>73</v>
      </c>
      <c r="Q4307" t="s">
        <v>30</v>
      </c>
      <c r="R4307" t="s">
        <v>98</v>
      </c>
      <c r="S4307" t="s">
        <v>54</v>
      </c>
      <c r="T4307" t="s">
        <v>859</v>
      </c>
      <c r="U4307" t="s">
        <v>34</v>
      </c>
      <c r="V4307">
        <v>2540.61</v>
      </c>
    </row>
    <row r="4308" spans="1:22" x14ac:dyDescent="0.3">
      <c r="A4308" t="s">
        <v>5790</v>
      </c>
      <c r="B4308" s="2">
        <v>46026</v>
      </c>
      <c r="C4308" t="s">
        <v>529</v>
      </c>
      <c r="D4308" t="s">
        <v>24</v>
      </c>
      <c r="E4308" t="s">
        <v>242</v>
      </c>
      <c r="F4308">
        <v>2</v>
      </c>
      <c r="G4308">
        <v>0</v>
      </c>
      <c r="H4308">
        <v>900</v>
      </c>
      <c r="I4308">
        <v>220</v>
      </c>
      <c r="J4308" t="s">
        <v>65</v>
      </c>
      <c r="K4308" t="s">
        <v>40</v>
      </c>
      <c r="L4308">
        <v>450</v>
      </c>
      <c r="M4308">
        <v>24.444444444444439</v>
      </c>
      <c r="N4308" t="s">
        <v>8</v>
      </c>
      <c r="O4308" t="s">
        <v>530</v>
      </c>
      <c r="P4308" t="s">
        <v>29</v>
      </c>
      <c r="Q4308" t="s">
        <v>30</v>
      </c>
      <c r="R4308" t="s">
        <v>98</v>
      </c>
      <c r="S4308" t="s">
        <v>54</v>
      </c>
      <c r="T4308" t="s">
        <v>531</v>
      </c>
      <c r="U4308" t="s">
        <v>105</v>
      </c>
      <c r="V4308">
        <v>110</v>
      </c>
    </row>
    <row r="4309" spans="1:22" x14ac:dyDescent="0.3">
      <c r="A4309" t="s">
        <v>5791</v>
      </c>
      <c r="B4309" s="2">
        <v>46184</v>
      </c>
      <c r="C4309" t="s">
        <v>1304</v>
      </c>
      <c r="D4309" t="s">
        <v>70</v>
      </c>
      <c r="E4309" t="s">
        <v>108</v>
      </c>
      <c r="F4309">
        <v>3</v>
      </c>
      <c r="G4309">
        <v>0.05</v>
      </c>
      <c r="H4309">
        <v>12825</v>
      </c>
      <c r="I4309">
        <v>4111.49</v>
      </c>
      <c r="J4309" t="s">
        <v>65</v>
      </c>
      <c r="K4309" t="s">
        <v>40</v>
      </c>
      <c r="L4309">
        <v>4275</v>
      </c>
      <c r="M4309">
        <v>32.05840155945419</v>
      </c>
      <c r="N4309" t="s">
        <v>8</v>
      </c>
      <c r="O4309" t="s">
        <v>1305</v>
      </c>
      <c r="P4309" t="s">
        <v>29</v>
      </c>
      <c r="Q4309" t="s">
        <v>30</v>
      </c>
      <c r="R4309" t="s">
        <v>53</v>
      </c>
      <c r="S4309" t="s">
        <v>54</v>
      </c>
      <c r="T4309" t="s">
        <v>1306</v>
      </c>
      <c r="U4309" t="s">
        <v>34</v>
      </c>
      <c r="V4309">
        <v>1370.4966666666669</v>
      </c>
    </row>
    <row r="4310" spans="1:22" x14ac:dyDescent="0.3">
      <c r="A4310" t="s">
        <v>5792</v>
      </c>
      <c r="B4310" s="2">
        <v>46237</v>
      </c>
      <c r="C4310" t="s">
        <v>1468</v>
      </c>
      <c r="D4310" t="s">
        <v>37</v>
      </c>
      <c r="E4310" t="s">
        <v>38</v>
      </c>
      <c r="F4310">
        <v>1</v>
      </c>
      <c r="G4310">
        <v>0.3</v>
      </c>
      <c r="H4310">
        <v>1260</v>
      </c>
      <c r="I4310">
        <v>395.46</v>
      </c>
      <c r="J4310" t="s">
        <v>39</v>
      </c>
      <c r="K4310" t="s">
        <v>40</v>
      </c>
      <c r="L4310">
        <v>1260</v>
      </c>
      <c r="M4310">
        <v>31.385714285714279</v>
      </c>
      <c r="N4310" t="s">
        <v>8</v>
      </c>
      <c r="O4310" t="s">
        <v>345</v>
      </c>
      <c r="P4310" t="s">
        <v>83</v>
      </c>
      <c r="Q4310" t="s">
        <v>30</v>
      </c>
      <c r="R4310" t="s">
        <v>98</v>
      </c>
      <c r="S4310" t="s">
        <v>54</v>
      </c>
      <c r="T4310" t="s">
        <v>1469</v>
      </c>
      <c r="U4310" t="s">
        <v>34</v>
      </c>
      <c r="V4310">
        <v>395.46</v>
      </c>
    </row>
    <row r="4311" spans="1:22" x14ac:dyDescent="0.3">
      <c r="A4311" t="s">
        <v>5793</v>
      </c>
      <c r="B4311" s="2">
        <v>45904</v>
      </c>
      <c r="C4311" t="s">
        <v>442</v>
      </c>
      <c r="D4311" t="s">
        <v>70</v>
      </c>
      <c r="E4311" t="s">
        <v>71</v>
      </c>
      <c r="F4311">
        <v>10</v>
      </c>
      <c r="G4311">
        <v>0.15</v>
      </c>
      <c r="H4311">
        <v>153000</v>
      </c>
      <c r="I4311">
        <v>12105.71</v>
      </c>
      <c r="J4311" t="s">
        <v>65</v>
      </c>
      <c r="K4311" t="s">
        <v>40</v>
      </c>
      <c r="L4311">
        <v>15300</v>
      </c>
      <c r="M4311">
        <v>7.9122287581699338</v>
      </c>
      <c r="N4311" t="s">
        <v>8</v>
      </c>
      <c r="O4311" t="s">
        <v>443</v>
      </c>
      <c r="P4311" t="s">
        <v>83</v>
      </c>
      <c r="Q4311" t="s">
        <v>42</v>
      </c>
      <c r="R4311" t="s">
        <v>444</v>
      </c>
      <c r="S4311" t="s">
        <v>44</v>
      </c>
      <c r="T4311" t="s">
        <v>445</v>
      </c>
      <c r="U4311" t="s">
        <v>46</v>
      </c>
      <c r="V4311">
        <v>1210.5709999999999</v>
      </c>
    </row>
    <row r="4312" spans="1:22" x14ac:dyDescent="0.3">
      <c r="A4312" t="s">
        <v>5794</v>
      </c>
      <c r="B4312" s="2">
        <v>46098</v>
      </c>
      <c r="C4312" t="s">
        <v>556</v>
      </c>
      <c r="D4312" t="s">
        <v>49</v>
      </c>
      <c r="E4312" t="s">
        <v>50</v>
      </c>
      <c r="F4312">
        <v>5</v>
      </c>
      <c r="G4312">
        <v>0.1</v>
      </c>
      <c r="H4312">
        <v>58500</v>
      </c>
      <c r="I4312">
        <v>-24835.99</v>
      </c>
      <c r="J4312" t="s">
        <v>39</v>
      </c>
      <c r="K4312" t="s">
        <v>434</v>
      </c>
      <c r="L4312">
        <v>11700</v>
      </c>
      <c r="M4312">
        <v>-42.454683760683757</v>
      </c>
      <c r="N4312" t="s">
        <v>81</v>
      </c>
      <c r="O4312" t="s">
        <v>161</v>
      </c>
      <c r="P4312" t="s">
        <v>29</v>
      </c>
      <c r="Q4312" t="s">
        <v>30</v>
      </c>
      <c r="R4312" t="s">
        <v>53</v>
      </c>
      <c r="S4312" t="s">
        <v>54</v>
      </c>
      <c r="T4312" t="s">
        <v>557</v>
      </c>
      <c r="U4312" t="s">
        <v>34</v>
      </c>
      <c r="V4312">
        <v>-4967.1980000000003</v>
      </c>
    </row>
    <row r="4313" spans="1:22" x14ac:dyDescent="0.3">
      <c r="A4313" t="s">
        <v>5795</v>
      </c>
      <c r="B4313" s="2">
        <v>46146</v>
      </c>
      <c r="C4313" t="s">
        <v>4058</v>
      </c>
      <c r="D4313" t="s">
        <v>70</v>
      </c>
      <c r="E4313" t="s">
        <v>129</v>
      </c>
      <c r="F4313">
        <v>3</v>
      </c>
      <c r="G4313">
        <v>0.05</v>
      </c>
      <c r="H4313">
        <v>156750</v>
      </c>
      <c r="I4313">
        <v>21645</v>
      </c>
      <c r="J4313" t="s">
        <v>51</v>
      </c>
      <c r="K4313" t="s">
        <v>40</v>
      </c>
      <c r="L4313">
        <v>52250</v>
      </c>
      <c r="M4313">
        <v>13.808612440191389</v>
      </c>
      <c r="N4313" t="s">
        <v>8</v>
      </c>
      <c r="O4313" t="s">
        <v>717</v>
      </c>
      <c r="P4313" t="s">
        <v>73</v>
      </c>
      <c r="Q4313" t="s">
        <v>131</v>
      </c>
      <c r="R4313" t="s">
        <v>200</v>
      </c>
      <c r="S4313" t="s">
        <v>201</v>
      </c>
      <c r="T4313" t="s">
        <v>4059</v>
      </c>
      <c r="U4313" t="s">
        <v>34</v>
      </c>
      <c r="V4313">
        <v>7215</v>
      </c>
    </row>
    <row r="4314" spans="1:22" x14ac:dyDescent="0.3">
      <c r="A4314" t="s">
        <v>5796</v>
      </c>
      <c r="B4314" s="2">
        <v>46051</v>
      </c>
      <c r="C4314" t="s">
        <v>1050</v>
      </c>
      <c r="D4314" t="s">
        <v>49</v>
      </c>
      <c r="E4314" t="s">
        <v>79</v>
      </c>
      <c r="F4314">
        <v>1</v>
      </c>
      <c r="G4314">
        <v>0</v>
      </c>
      <c r="H4314">
        <v>11000</v>
      </c>
      <c r="I4314">
        <v>2600</v>
      </c>
      <c r="J4314" t="s">
        <v>65</v>
      </c>
      <c r="K4314" t="s">
        <v>40</v>
      </c>
      <c r="L4314">
        <v>11000</v>
      </c>
      <c r="M4314">
        <v>23.63636363636364</v>
      </c>
      <c r="N4314" t="s">
        <v>8</v>
      </c>
      <c r="O4314" t="s">
        <v>82</v>
      </c>
      <c r="P4314" t="s">
        <v>73</v>
      </c>
      <c r="Q4314" t="s">
        <v>42</v>
      </c>
      <c r="R4314" t="s">
        <v>121</v>
      </c>
      <c r="S4314" t="s">
        <v>44</v>
      </c>
      <c r="T4314" t="s">
        <v>1051</v>
      </c>
      <c r="U4314" t="s">
        <v>34</v>
      </c>
      <c r="V4314">
        <v>2600</v>
      </c>
    </row>
    <row r="4315" spans="1:22" x14ac:dyDescent="0.3">
      <c r="A4315" t="s">
        <v>5797</v>
      </c>
      <c r="B4315" s="2">
        <v>45925</v>
      </c>
      <c r="C4315" t="s">
        <v>91</v>
      </c>
      <c r="D4315" t="s">
        <v>49</v>
      </c>
      <c r="E4315" t="s">
        <v>79</v>
      </c>
      <c r="F4315">
        <v>4</v>
      </c>
      <c r="G4315">
        <v>0.1</v>
      </c>
      <c r="H4315">
        <v>39600</v>
      </c>
      <c r="I4315">
        <v>8310.33</v>
      </c>
      <c r="J4315" t="s">
        <v>51</v>
      </c>
      <c r="K4315" t="s">
        <v>40</v>
      </c>
      <c r="L4315">
        <v>9900</v>
      </c>
      <c r="M4315">
        <v>20.985681818181821</v>
      </c>
      <c r="N4315" t="s">
        <v>8</v>
      </c>
      <c r="O4315" t="s">
        <v>93</v>
      </c>
      <c r="P4315" t="s">
        <v>73</v>
      </c>
      <c r="Q4315" t="s">
        <v>30</v>
      </c>
      <c r="R4315" t="s">
        <v>60</v>
      </c>
      <c r="S4315" t="s">
        <v>61</v>
      </c>
      <c r="T4315" t="s">
        <v>94</v>
      </c>
      <c r="U4315" t="s">
        <v>34</v>
      </c>
      <c r="V4315">
        <v>2077.5825</v>
      </c>
    </row>
    <row r="4316" spans="1:22" x14ac:dyDescent="0.3">
      <c r="A4316" t="s">
        <v>5798</v>
      </c>
      <c r="B4316" s="2">
        <v>46073</v>
      </c>
      <c r="C4316" t="s">
        <v>997</v>
      </c>
      <c r="D4316" t="s">
        <v>37</v>
      </c>
      <c r="E4316" t="s">
        <v>38</v>
      </c>
      <c r="F4316">
        <v>2</v>
      </c>
      <c r="G4316">
        <v>0.1</v>
      </c>
      <c r="H4316">
        <v>3240</v>
      </c>
      <c r="I4316">
        <v>1025.6600000000001</v>
      </c>
      <c r="J4316" t="s">
        <v>65</v>
      </c>
      <c r="K4316" t="s">
        <v>40</v>
      </c>
      <c r="L4316">
        <v>1620</v>
      </c>
      <c r="M4316">
        <v>31.65617283950618</v>
      </c>
      <c r="N4316" t="s">
        <v>8</v>
      </c>
      <c r="O4316" t="s">
        <v>166</v>
      </c>
      <c r="P4316" t="s">
        <v>73</v>
      </c>
      <c r="Q4316" t="s">
        <v>131</v>
      </c>
      <c r="R4316" t="s">
        <v>449</v>
      </c>
      <c r="S4316" t="s">
        <v>450</v>
      </c>
      <c r="T4316" t="s">
        <v>515</v>
      </c>
      <c r="U4316" t="s">
        <v>46</v>
      </c>
      <c r="V4316">
        <v>512.83000000000004</v>
      </c>
    </row>
    <row r="4317" spans="1:22" x14ac:dyDescent="0.3">
      <c r="A4317" t="s">
        <v>5799</v>
      </c>
      <c r="B4317" s="2">
        <v>45904</v>
      </c>
      <c r="C4317" t="s">
        <v>194</v>
      </c>
      <c r="D4317" t="s">
        <v>49</v>
      </c>
      <c r="E4317" t="s">
        <v>119</v>
      </c>
      <c r="F4317">
        <v>3</v>
      </c>
      <c r="G4317">
        <v>0.15</v>
      </c>
      <c r="H4317">
        <v>22950</v>
      </c>
      <c r="I4317">
        <v>4998.9799999999996</v>
      </c>
      <c r="J4317" t="s">
        <v>51</v>
      </c>
      <c r="K4317" t="s">
        <v>40</v>
      </c>
      <c r="L4317">
        <v>7650</v>
      </c>
      <c r="M4317">
        <v>21.78204793028322</v>
      </c>
      <c r="N4317" t="s">
        <v>8</v>
      </c>
      <c r="O4317" t="s">
        <v>195</v>
      </c>
      <c r="P4317" t="s">
        <v>73</v>
      </c>
      <c r="Q4317" t="s">
        <v>30</v>
      </c>
      <c r="R4317" t="s">
        <v>98</v>
      </c>
      <c r="S4317" t="s">
        <v>54</v>
      </c>
      <c r="T4317" t="s">
        <v>196</v>
      </c>
      <c r="U4317" t="s">
        <v>105</v>
      </c>
      <c r="V4317">
        <v>1666.3266666666671</v>
      </c>
    </row>
    <row r="4318" spans="1:22" x14ac:dyDescent="0.3">
      <c r="A4318" t="s">
        <v>5800</v>
      </c>
      <c r="B4318" s="2">
        <v>45975</v>
      </c>
      <c r="C4318" t="s">
        <v>4588</v>
      </c>
      <c r="D4318" t="s">
        <v>24</v>
      </c>
      <c r="E4318" t="s">
        <v>92</v>
      </c>
      <c r="F4318">
        <v>5</v>
      </c>
      <c r="G4318">
        <v>0.2</v>
      </c>
      <c r="H4318">
        <v>3600</v>
      </c>
      <c r="I4318">
        <v>760.53</v>
      </c>
      <c r="J4318" t="s">
        <v>26</v>
      </c>
      <c r="K4318" t="s">
        <v>40</v>
      </c>
      <c r="L4318">
        <v>720</v>
      </c>
      <c r="M4318">
        <v>21.125833333333329</v>
      </c>
      <c r="N4318" t="s">
        <v>8</v>
      </c>
      <c r="O4318" t="s">
        <v>844</v>
      </c>
      <c r="P4318" t="s">
        <v>29</v>
      </c>
      <c r="Q4318" t="s">
        <v>42</v>
      </c>
      <c r="R4318" t="s">
        <v>43</v>
      </c>
      <c r="S4318" t="s">
        <v>44</v>
      </c>
      <c r="T4318" t="s">
        <v>4589</v>
      </c>
      <c r="U4318" t="s">
        <v>46</v>
      </c>
      <c r="V4318">
        <v>152.10599999999999</v>
      </c>
    </row>
    <row r="4319" spans="1:22" x14ac:dyDescent="0.3">
      <c r="A4319" t="s">
        <v>5801</v>
      </c>
      <c r="B4319" s="2">
        <v>46032</v>
      </c>
      <c r="C4319" t="s">
        <v>753</v>
      </c>
      <c r="D4319" t="s">
        <v>70</v>
      </c>
      <c r="E4319" t="s">
        <v>108</v>
      </c>
      <c r="F4319">
        <v>1</v>
      </c>
      <c r="G4319">
        <v>0.2</v>
      </c>
      <c r="H4319">
        <v>3600</v>
      </c>
      <c r="I4319">
        <v>950.52</v>
      </c>
      <c r="J4319" t="s">
        <v>65</v>
      </c>
      <c r="K4319" t="s">
        <v>40</v>
      </c>
      <c r="L4319">
        <v>3600</v>
      </c>
      <c r="M4319">
        <v>26.40333333333334</v>
      </c>
      <c r="N4319" t="s">
        <v>8</v>
      </c>
      <c r="O4319" t="s">
        <v>754</v>
      </c>
      <c r="P4319" t="s">
        <v>83</v>
      </c>
      <c r="Q4319" t="s">
        <v>74</v>
      </c>
      <c r="R4319" t="s">
        <v>237</v>
      </c>
      <c r="S4319" t="s">
        <v>238</v>
      </c>
      <c r="T4319" t="s">
        <v>755</v>
      </c>
      <c r="U4319" t="s">
        <v>46</v>
      </c>
      <c r="V4319">
        <v>950.52</v>
      </c>
    </row>
    <row r="4320" spans="1:22" x14ac:dyDescent="0.3">
      <c r="A4320" t="s">
        <v>5802</v>
      </c>
      <c r="B4320" s="2">
        <v>46154</v>
      </c>
      <c r="C4320" t="s">
        <v>1702</v>
      </c>
      <c r="D4320" t="s">
        <v>24</v>
      </c>
      <c r="E4320" t="s">
        <v>92</v>
      </c>
      <c r="F4320">
        <v>15</v>
      </c>
      <c r="G4320">
        <v>0</v>
      </c>
      <c r="H4320">
        <v>13500</v>
      </c>
      <c r="I4320">
        <v>4200</v>
      </c>
      <c r="J4320" t="s">
        <v>65</v>
      </c>
      <c r="K4320" t="s">
        <v>40</v>
      </c>
      <c r="L4320">
        <v>900</v>
      </c>
      <c r="M4320">
        <v>31.111111111111111</v>
      </c>
      <c r="N4320" t="s">
        <v>8</v>
      </c>
      <c r="O4320" t="s">
        <v>314</v>
      </c>
      <c r="P4320" t="s">
        <v>29</v>
      </c>
      <c r="Q4320" t="s">
        <v>42</v>
      </c>
      <c r="R4320" t="s">
        <v>214</v>
      </c>
      <c r="S4320" t="s">
        <v>111</v>
      </c>
      <c r="T4320" t="s">
        <v>568</v>
      </c>
      <c r="U4320" t="s">
        <v>34</v>
      </c>
      <c r="V4320">
        <v>280</v>
      </c>
    </row>
    <row r="4321" spans="1:22" x14ac:dyDescent="0.3">
      <c r="A4321" t="s">
        <v>5803</v>
      </c>
      <c r="B4321" s="2">
        <v>45844</v>
      </c>
      <c r="C4321" t="s">
        <v>1582</v>
      </c>
      <c r="D4321" t="s">
        <v>37</v>
      </c>
      <c r="E4321" t="s">
        <v>190</v>
      </c>
      <c r="F4321">
        <v>6</v>
      </c>
      <c r="G4321">
        <v>0.15</v>
      </c>
      <c r="H4321">
        <v>21420</v>
      </c>
      <c r="I4321">
        <v>4712.18</v>
      </c>
      <c r="J4321" t="s">
        <v>39</v>
      </c>
      <c r="K4321" t="s">
        <v>27</v>
      </c>
      <c r="L4321">
        <v>3570</v>
      </c>
      <c r="M4321">
        <v>21.99897292250234</v>
      </c>
      <c r="N4321" t="s">
        <v>8</v>
      </c>
      <c r="O4321" t="s">
        <v>1583</v>
      </c>
      <c r="P4321" t="s">
        <v>73</v>
      </c>
      <c r="Q4321" t="s">
        <v>30</v>
      </c>
      <c r="R4321" t="s">
        <v>53</v>
      </c>
      <c r="S4321" t="s">
        <v>54</v>
      </c>
      <c r="T4321" t="s">
        <v>370</v>
      </c>
      <c r="U4321" t="s">
        <v>105</v>
      </c>
      <c r="V4321">
        <v>785.36333333333334</v>
      </c>
    </row>
    <row r="4322" spans="1:22" x14ac:dyDescent="0.3">
      <c r="A4322" t="s">
        <v>5804</v>
      </c>
      <c r="B4322" s="2">
        <v>46122</v>
      </c>
      <c r="C4322" t="s">
        <v>198</v>
      </c>
      <c r="D4322" t="s">
        <v>49</v>
      </c>
      <c r="E4322" t="s">
        <v>119</v>
      </c>
      <c r="F4322">
        <v>3</v>
      </c>
      <c r="G4322">
        <v>0.05</v>
      </c>
      <c r="H4322">
        <v>25650</v>
      </c>
      <c r="I4322">
        <v>6167.9</v>
      </c>
      <c r="J4322" t="s">
        <v>26</v>
      </c>
      <c r="K4322" t="s">
        <v>40</v>
      </c>
      <c r="L4322">
        <v>8550</v>
      </c>
      <c r="M4322">
        <v>24.046393762183239</v>
      </c>
      <c r="N4322" t="s">
        <v>8</v>
      </c>
      <c r="O4322" t="s">
        <v>199</v>
      </c>
      <c r="P4322" t="s">
        <v>83</v>
      </c>
      <c r="Q4322" t="s">
        <v>131</v>
      </c>
      <c r="R4322" t="s">
        <v>200</v>
      </c>
      <c r="S4322" t="s">
        <v>201</v>
      </c>
      <c r="T4322" t="s">
        <v>202</v>
      </c>
      <c r="U4322" t="s">
        <v>46</v>
      </c>
      <c r="V4322">
        <v>2055.9666666666672</v>
      </c>
    </row>
    <row r="4323" spans="1:22" x14ac:dyDescent="0.3">
      <c r="A4323" t="s">
        <v>5805</v>
      </c>
      <c r="B4323" s="2">
        <v>46146</v>
      </c>
      <c r="C4323" t="s">
        <v>1255</v>
      </c>
      <c r="D4323" t="s">
        <v>70</v>
      </c>
      <c r="E4323" t="s">
        <v>165</v>
      </c>
      <c r="F4323">
        <v>6</v>
      </c>
      <c r="G4323">
        <v>0.1</v>
      </c>
      <c r="H4323">
        <v>13500</v>
      </c>
      <c r="I4323">
        <v>3928.93</v>
      </c>
      <c r="J4323" t="s">
        <v>51</v>
      </c>
      <c r="K4323" t="s">
        <v>40</v>
      </c>
      <c r="L4323">
        <v>2250</v>
      </c>
      <c r="M4323">
        <v>29.103185185185179</v>
      </c>
      <c r="N4323" t="s">
        <v>8</v>
      </c>
      <c r="O4323" t="s">
        <v>1256</v>
      </c>
      <c r="P4323" t="s">
        <v>73</v>
      </c>
      <c r="Q4323" t="s">
        <v>131</v>
      </c>
      <c r="R4323" t="s">
        <v>289</v>
      </c>
      <c r="S4323" t="s">
        <v>290</v>
      </c>
      <c r="T4323" t="s">
        <v>1257</v>
      </c>
      <c r="U4323" t="s">
        <v>105</v>
      </c>
      <c r="V4323">
        <v>654.8216666666666</v>
      </c>
    </row>
    <row r="4324" spans="1:22" x14ac:dyDescent="0.3">
      <c r="A4324" t="s">
        <v>5806</v>
      </c>
      <c r="B4324" s="2">
        <v>45843</v>
      </c>
      <c r="C4324" t="s">
        <v>788</v>
      </c>
      <c r="D4324" t="s">
        <v>24</v>
      </c>
      <c r="E4324" t="s">
        <v>92</v>
      </c>
      <c r="F4324">
        <v>1</v>
      </c>
      <c r="G4324">
        <v>0.2</v>
      </c>
      <c r="H4324">
        <v>720</v>
      </c>
      <c r="I4324">
        <v>190.96</v>
      </c>
      <c r="J4324" t="s">
        <v>65</v>
      </c>
      <c r="K4324" t="s">
        <v>27</v>
      </c>
      <c r="L4324">
        <v>720</v>
      </c>
      <c r="M4324">
        <v>26.522222222222229</v>
      </c>
      <c r="N4324" t="s">
        <v>8</v>
      </c>
      <c r="O4324" t="s">
        <v>789</v>
      </c>
      <c r="P4324" t="s">
        <v>83</v>
      </c>
      <c r="Q4324" t="s">
        <v>74</v>
      </c>
      <c r="R4324" t="s">
        <v>75</v>
      </c>
      <c r="S4324" t="s">
        <v>75</v>
      </c>
      <c r="T4324" t="s">
        <v>790</v>
      </c>
      <c r="U4324" t="s">
        <v>34</v>
      </c>
      <c r="V4324">
        <v>190.96</v>
      </c>
    </row>
    <row r="4325" spans="1:22" x14ac:dyDescent="0.3">
      <c r="A4325" t="s">
        <v>5807</v>
      </c>
      <c r="B4325" s="2">
        <v>45900</v>
      </c>
      <c r="C4325" t="s">
        <v>3131</v>
      </c>
      <c r="D4325" t="s">
        <v>24</v>
      </c>
      <c r="E4325" t="s">
        <v>87</v>
      </c>
      <c r="F4325">
        <v>1</v>
      </c>
      <c r="G4325">
        <v>0.1</v>
      </c>
      <c r="H4325">
        <v>315</v>
      </c>
      <c r="I4325">
        <v>91.92</v>
      </c>
      <c r="J4325" t="s">
        <v>65</v>
      </c>
      <c r="K4325" t="s">
        <v>27</v>
      </c>
      <c r="L4325">
        <v>315</v>
      </c>
      <c r="M4325">
        <v>29.18095238095238</v>
      </c>
      <c r="N4325" t="s">
        <v>8</v>
      </c>
      <c r="O4325" t="s">
        <v>1466</v>
      </c>
      <c r="P4325" t="s">
        <v>29</v>
      </c>
      <c r="Q4325" t="s">
        <v>42</v>
      </c>
      <c r="R4325" t="s">
        <v>43</v>
      </c>
      <c r="S4325" t="s">
        <v>44</v>
      </c>
      <c r="T4325" t="s">
        <v>3132</v>
      </c>
      <c r="U4325" t="s">
        <v>46</v>
      </c>
      <c r="V4325">
        <v>91.92</v>
      </c>
    </row>
    <row r="4326" spans="1:22" x14ac:dyDescent="0.3">
      <c r="A4326" t="s">
        <v>5808</v>
      </c>
      <c r="B4326" s="2">
        <v>46197</v>
      </c>
      <c r="C4326" t="s">
        <v>1830</v>
      </c>
      <c r="D4326" t="s">
        <v>24</v>
      </c>
      <c r="E4326" t="s">
        <v>242</v>
      </c>
      <c r="F4326">
        <v>3</v>
      </c>
      <c r="G4326">
        <v>0.1</v>
      </c>
      <c r="H4326">
        <v>1215</v>
      </c>
      <c r="I4326">
        <v>264.83</v>
      </c>
      <c r="J4326" t="s">
        <v>51</v>
      </c>
      <c r="K4326" t="s">
        <v>40</v>
      </c>
      <c r="L4326">
        <v>405</v>
      </c>
      <c r="M4326">
        <v>21.796707818930042</v>
      </c>
      <c r="N4326" t="s">
        <v>8</v>
      </c>
      <c r="O4326" t="s">
        <v>1831</v>
      </c>
      <c r="P4326" t="s">
        <v>29</v>
      </c>
      <c r="Q4326" t="s">
        <v>30</v>
      </c>
      <c r="R4326" t="s">
        <v>60</v>
      </c>
      <c r="S4326" t="s">
        <v>61</v>
      </c>
      <c r="T4326" t="s">
        <v>1832</v>
      </c>
      <c r="U4326" t="s">
        <v>34</v>
      </c>
      <c r="V4326">
        <v>88.276666666666657</v>
      </c>
    </row>
    <row r="4327" spans="1:22" x14ac:dyDescent="0.3">
      <c r="A4327" t="s">
        <v>5809</v>
      </c>
      <c r="B4327" s="2">
        <v>46048</v>
      </c>
      <c r="C4327" t="s">
        <v>689</v>
      </c>
      <c r="D4327" t="s">
        <v>24</v>
      </c>
      <c r="E4327" t="s">
        <v>87</v>
      </c>
      <c r="F4327">
        <v>3</v>
      </c>
      <c r="G4327">
        <v>0.05</v>
      </c>
      <c r="H4327">
        <v>997.5</v>
      </c>
      <c r="I4327">
        <v>328.09</v>
      </c>
      <c r="J4327" t="s">
        <v>65</v>
      </c>
      <c r="K4327" t="s">
        <v>40</v>
      </c>
      <c r="L4327">
        <v>332.5</v>
      </c>
      <c r="M4327">
        <v>32.891228070175437</v>
      </c>
      <c r="N4327" t="s">
        <v>8</v>
      </c>
      <c r="O4327" t="s">
        <v>218</v>
      </c>
      <c r="P4327" t="s">
        <v>73</v>
      </c>
      <c r="Q4327" t="s">
        <v>131</v>
      </c>
      <c r="R4327" t="s">
        <v>289</v>
      </c>
      <c r="S4327" t="s">
        <v>290</v>
      </c>
      <c r="T4327" t="s">
        <v>679</v>
      </c>
      <c r="U4327" t="s">
        <v>46</v>
      </c>
      <c r="V4327">
        <v>109.3633333333333</v>
      </c>
    </row>
    <row r="4328" spans="1:22" x14ac:dyDescent="0.3">
      <c r="A4328" t="s">
        <v>5810</v>
      </c>
      <c r="B4328" s="2">
        <v>46228</v>
      </c>
      <c r="C4328" t="s">
        <v>1177</v>
      </c>
      <c r="D4328" t="s">
        <v>37</v>
      </c>
      <c r="E4328" t="s">
        <v>190</v>
      </c>
      <c r="F4328">
        <v>4</v>
      </c>
      <c r="G4328">
        <v>0</v>
      </c>
      <c r="H4328">
        <v>16800</v>
      </c>
      <c r="I4328">
        <v>4800</v>
      </c>
      <c r="J4328" t="s">
        <v>39</v>
      </c>
      <c r="K4328" t="s">
        <v>40</v>
      </c>
      <c r="L4328">
        <v>4200</v>
      </c>
      <c r="M4328">
        <v>28.571428571428569</v>
      </c>
      <c r="N4328" t="s">
        <v>8</v>
      </c>
      <c r="O4328" t="s">
        <v>984</v>
      </c>
      <c r="P4328" t="s">
        <v>29</v>
      </c>
      <c r="Q4328" t="s">
        <v>74</v>
      </c>
      <c r="R4328" t="s">
        <v>237</v>
      </c>
      <c r="S4328" t="s">
        <v>238</v>
      </c>
      <c r="T4328" t="s">
        <v>1178</v>
      </c>
      <c r="U4328" t="s">
        <v>46</v>
      </c>
      <c r="V4328">
        <v>1200</v>
      </c>
    </row>
    <row r="4329" spans="1:22" x14ac:dyDescent="0.3">
      <c r="A4329" t="s">
        <v>5811</v>
      </c>
      <c r="B4329" s="2">
        <v>45853</v>
      </c>
      <c r="C4329" t="s">
        <v>878</v>
      </c>
      <c r="D4329" t="s">
        <v>24</v>
      </c>
      <c r="E4329" t="s">
        <v>92</v>
      </c>
      <c r="F4329">
        <v>3</v>
      </c>
      <c r="G4329">
        <v>0.15</v>
      </c>
      <c r="H4329">
        <v>2295</v>
      </c>
      <c r="I4329">
        <v>608.86</v>
      </c>
      <c r="J4329" t="s">
        <v>65</v>
      </c>
      <c r="K4329" t="s">
        <v>40</v>
      </c>
      <c r="L4329">
        <v>765</v>
      </c>
      <c r="M4329">
        <v>26.52984749455338</v>
      </c>
      <c r="N4329" t="s">
        <v>8</v>
      </c>
      <c r="O4329" t="s">
        <v>879</v>
      </c>
      <c r="P4329" t="s">
        <v>83</v>
      </c>
      <c r="Q4329" t="s">
        <v>30</v>
      </c>
      <c r="R4329" t="s">
        <v>98</v>
      </c>
      <c r="S4329" t="s">
        <v>54</v>
      </c>
      <c r="T4329" t="s">
        <v>880</v>
      </c>
      <c r="U4329" t="s">
        <v>46</v>
      </c>
      <c r="V4329">
        <v>202.95333333333329</v>
      </c>
    </row>
    <row r="4330" spans="1:22" x14ac:dyDescent="0.3">
      <c r="A4330" t="s">
        <v>5812</v>
      </c>
      <c r="B4330" s="2">
        <v>45922</v>
      </c>
      <c r="C4330" t="s">
        <v>321</v>
      </c>
      <c r="D4330" t="s">
        <v>70</v>
      </c>
      <c r="E4330" t="s">
        <v>165</v>
      </c>
      <c r="F4330">
        <v>1</v>
      </c>
      <c r="G4330">
        <v>0.05</v>
      </c>
      <c r="H4330">
        <v>2375</v>
      </c>
      <c r="I4330">
        <v>720.51</v>
      </c>
      <c r="J4330" t="s">
        <v>26</v>
      </c>
      <c r="K4330" t="s">
        <v>40</v>
      </c>
      <c r="L4330">
        <v>2375</v>
      </c>
      <c r="M4330">
        <v>30.337263157894728</v>
      </c>
      <c r="N4330" t="s">
        <v>8</v>
      </c>
      <c r="O4330" t="s">
        <v>322</v>
      </c>
      <c r="P4330" t="s">
        <v>29</v>
      </c>
      <c r="Q4330" t="s">
        <v>30</v>
      </c>
      <c r="R4330" t="s">
        <v>31</v>
      </c>
      <c r="S4330" t="s">
        <v>32</v>
      </c>
      <c r="T4330" t="s">
        <v>323</v>
      </c>
      <c r="U4330" t="s">
        <v>34</v>
      </c>
      <c r="V4330">
        <v>720.51</v>
      </c>
    </row>
    <row r="4331" spans="1:22" x14ac:dyDescent="0.3">
      <c r="A4331" t="s">
        <v>5813</v>
      </c>
      <c r="B4331" s="2">
        <v>45852</v>
      </c>
      <c r="C4331" t="s">
        <v>144</v>
      </c>
      <c r="D4331" t="s">
        <v>70</v>
      </c>
      <c r="E4331" t="s">
        <v>108</v>
      </c>
      <c r="F4331">
        <v>3</v>
      </c>
      <c r="G4331">
        <v>0.1</v>
      </c>
      <c r="H4331">
        <v>12150</v>
      </c>
      <c r="I4331">
        <v>3888.32</v>
      </c>
      <c r="J4331" t="s">
        <v>26</v>
      </c>
      <c r="K4331" t="s">
        <v>40</v>
      </c>
      <c r="L4331">
        <v>4050</v>
      </c>
      <c r="M4331">
        <v>32.00263374485597</v>
      </c>
      <c r="N4331" t="s">
        <v>8</v>
      </c>
      <c r="O4331" t="s">
        <v>145</v>
      </c>
      <c r="P4331" t="s">
        <v>83</v>
      </c>
      <c r="Q4331" t="s">
        <v>30</v>
      </c>
      <c r="R4331" t="s">
        <v>60</v>
      </c>
      <c r="S4331" t="s">
        <v>61</v>
      </c>
      <c r="T4331" t="s">
        <v>146</v>
      </c>
      <c r="U4331" t="s">
        <v>105</v>
      </c>
      <c r="V4331">
        <v>1296.106666666667</v>
      </c>
    </row>
    <row r="4332" spans="1:22" x14ac:dyDescent="0.3">
      <c r="A4332" t="s">
        <v>5814</v>
      </c>
      <c r="B4332" s="2">
        <v>46214</v>
      </c>
      <c r="C4332" t="s">
        <v>309</v>
      </c>
      <c r="D4332" t="s">
        <v>70</v>
      </c>
      <c r="E4332" t="s">
        <v>71</v>
      </c>
      <c r="F4332">
        <v>3</v>
      </c>
      <c r="G4332">
        <v>0.1</v>
      </c>
      <c r="H4332">
        <v>48600</v>
      </c>
      <c r="I4332">
        <v>7812.32</v>
      </c>
      <c r="J4332" t="s">
        <v>26</v>
      </c>
      <c r="K4332" t="s">
        <v>40</v>
      </c>
      <c r="L4332">
        <v>16200</v>
      </c>
      <c r="M4332">
        <v>16.074732510288069</v>
      </c>
      <c r="N4332" t="s">
        <v>8</v>
      </c>
      <c r="O4332" t="s">
        <v>59</v>
      </c>
      <c r="P4332" t="s">
        <v>73</v>
      </c>
      <c r="Q4332" t="s">
        <v>74</v>
      </c>
      <c r="R4332" t="s">
        <v>237</v>
      </c>
      <c r="S4332" t="s">
        <v>238</v>
      </c>
      <c r="T4332" t="s">
        <v>311</v>
      </c>
      <c r="U4332" t="s">
        <v>46</v>
      </c>
      <c r="V4332">
        <v>2604.106666666667</v>
      </c>
    </row>
    <row r="4333" spans="1:22" x14ac:dyDescent="0.3">
      <c r="A4333" t="s">
        <v>5815</v>
      </c>
      <c r="B4333" s="2">
        <v>46232</v>
      </c>
      <c r="C4333" t="s">
        <v>3159</v>
      </c>
      <c r="D4333" t="s">
        <v>70</v>
      </c>
      <c r="E4333" t="s">
        <v>129</v>
      </c>
      <c r="F4333">
        <v>2</v>
      </c>
      <c r="G4333">
        <v>0.05</v>
      </c>
      <c r="H4333">
        <v>104500</v>
      </c>
      <c r="I4333">
        <v>14107.83</v>
      </c>
      <c r="J4333" t="s">
        <v>51</v>
      </c>
      <c r="K4333" t="s">
        <v>40</v>
      </c>
      <c r="L4333">
        <v>52250</v>
      </c>
      <c r="M4333">
        <v>13.50031578947369</v>
      </c>
      <c r="N4333" t="s">
        <v>8</v>
      </c>
      <c r="O4333" t="s">
        <v>1182</v>
      </c>
      <c r="P4333" t="s">
        <v>73</v>
      </c>
      <c r="Q4333" t="s">
        <v>42</v>
      </c>
      <c r="R4333" t="s">
        <v>110</v>
      </c>
      <c r="S4333" t="s">
        <v>111</v>
      </c>
      <c r="T4333" t="s">
        <v>653</v>
      </c>
      <c r="U4333" t="s">
        <v>105</v>
      </c>
      <c r="V4333">
        <v>7053.915</v>
      </c>
    </row>
    <row r="4334" spans="1:22" x14ac:dyDescent="0.3">
      <c r="A4334" t="s">
        <v>5816</v>
      </c>
      <c r="B4334" s="2">
        <v>45874</v>
      </c>
      <c r="C4334" t="s">
        <v>1723</v>
      </c>
      <c r="D4334" t="s">
        <v>49</v>
      </c>
      <c r="E4334" t="s">
        <v>119</v>
      </c>
      <c r="F4334">
        <v>5</v>
      </c>
      <c r="G4334">
        <v>0.1</v>
      </c>
      <c r="H4334">
        <v>40500</v>
      </c>
      <c r="I4334">
        <v>8319.33</v>
      </c>
      <c r="J4334" t="s">
        <v>65</v>
      </c>
      <c r="K4334" t="s">
        <v>40</v>
      </c>
      <c r="L4334">
        <v>8100</v>
      </c>
      <c r="M4334">
        <v>20.541555555555551</v>
      </c>
      <c r="N4334" t="s">
        <v>8</v>
      </c>
      <c r="O4334" t="s">
        <v>398</v>
      </c>
      <c r="P4334" t="s">
        <v>83</v>
      </c>
      <c r="Q4334" t="s">
        <v>30</v>
      </c>
      <c r="R4334" t="s">
        <v>98</v>
      </c>
      <c r="S4334" t="s">
        <v>54</v>
      </c>
      <c r="T4334" t="s">
        <v>1724</v>
      </c>
      <c r="U4334" t="s">
        <v>46</v>
      </c>
      <c r="V4334">
        <v>1663.866</v>
      </c>
    </row>
    <row r="4335" spans="1:22" x14ac:dyDescent="0.3">
      <c r="A4335" t="s">
        <v>5817</v>
      </c>
      <c r="B4335" s="2">
        <v>45877</v>
      </c>
      <c r="C4335" t="s">
        <v>2089</v>
      </c>
      <c r="D4335" t="s">
        <v>70</v>
      </c>
      <c r="E4335" t="s">
        <v>71</v>
      </c>
      <c r="F4335">
        <v>2</v>
      </c>
      <c r="G4335">
        <v>0.15</v>
      </c>
      <c r="H4335">
        <v>30600</v>
      </c>
      <c r="I4335">
        <v>4477</v>
      </c>
      <c r="J4335" t="s">
        <v>26</v>
      </c>
      <c r="K4335" t="s">
        <v>27</v>
      </c>
      <c r="L4335">
        <v>15300</v>
      </c>
      <c r="M4335">
        <v>14.630718954248371</v>
      </c>
      <c r="N4335" t="s">
        <v>8</v>
      </c>
      <c r="O4335" t="s">
        <v>518</v>
      </c>
      <c r="P4335" t="s">
        <v>29</v>
      </c>
      <c r="Q4335" t="s">
        <v>42</v>
      </c>
      <c r="R4335" t="s">
        <v>214</v>
      </c>
      <c r="S4335" t="s">
        <v>111</v>
      </c>
      <c r="T4335" t="s">
        <v>2090</v>
      </c>
      <c r="U4335" t="s">
        <v>34</v>
      </c>
      <c r="V4335">
        <v>2238.5</v>
      </c>
    </row>
    <row r="4336" spans="1:22" x14ac:dyDescent="0.3">
      <c r="A4336" t="s">
        <v>5818</v>
      </c>
      <c r="B4336" s="2">
        <v>46076</v>
      </c>
      <c r="C4336" t="s">
        <v>700</v>
      </c>
      <c r="D4336" t="s">
        <v>49</v>
      </c>
      <c r="E4336" t="s">
        <v>58</v>
      </c>
      <c r="F4336">
        <v>1</v>
      </c>
      <c r="G4336">
        <v>0.2</v>
      </c>
      <c r="H4336">
        <v>12000</v>
      </c>
      <c r="I4336">
        <v>2089.36</v>
      </c>
      <c r="J4336" t="s">
        <v>51</v>
      </c>
      <c r="K4336" t="s">
        <v>40</v>
      </c>
      <c r="L4336">
        <v>12000</v>
      </c>
      <c r="M4336">
        <v>17.411333333333339</v>
      </c>
      <c r="N4336" t="s">
        <v>8</v>
      </c>
      <c r="O4336" t="s">
        <v>701</v>
      </c>
      <c r="P4336" t="s">
        <v>29</v>
      </c>
      <c r="Q4336" t="s">
        <v>30</v>
      </c>
      <c r="R4336" t="s">
        <v>60</v>
      </c>
      <c r="S4336" t="s">
        <v>61</v>
      </c>
      <c r="T4336" t="s">
        <v>702</v>
      </c>
      <c r="U4336" t="s">
        <v>34</v>
      </c>
      <c r="V4336">
        <v>2089.36</v>
      </c>
    </row>
    <row r="4337" spans="1:22" x14ac:dyDescent="0.3">
      <c r="A4337" t="s">
        <v>5819</v>
      </c>
      <c r="B4337" s="2">
        <v>45847</v>
      </c>
      <c r="C4337" t="s">
        <v>4016</v>
      </c>
      <c r="D4337" t="s">
        <v>37</v>
      </c>
      <c r="E4337" t="s">
        <v>190</v>
      </c>
      <c r="F4337">
        <v>4</v>
      </c>
      <c r="G4337">
        <v>0.15</v>
      </c>
      <c r="H4337">
        <v>14280</v>
      </c>
      <c r="I4337">
        <v>2743.28</v>
      </c>
      <c r="J4337" t="s">
        <v>39</v>
      </c>
      <c r="K4337" t="s">
        <v>40</v>
      </c>
      <c r="L4337">
        <v>3570</v>
      </c>
      <c r="M4337">
        <v>19.21064425770308</v>
      </c>
      <c r="N4337" t="s">
        <v>8</v>
      </c>
      <c r="O4337" t="s">
        <v>701</v>
      </c>
      <c r="P4337" t="s">
        <v>29</v>
      </c>
      <c r="Q4337" t="s">
        <v>131</v>
      </c>
      <c r="R4337" t="s">
        <v>449</v>
      </c>
      <c r="S4337" t="s">
        <v>450</v>
      </c>
      <c r="T4337" t="s">
        <v>1026</v>
      </c>
      <c r="U4337" t="s">
        <v>46</v>
      </c>
      <c r="V4337">
        <v>685.82</v>
      </c>
    </row>
    <row r="4338" spans="1:22" x14ac:dyDescent="0.3">
      <c r="A4338" t="s">
        <v>5820</v>
      </c>
      <c r="B4338" s="2">
        <v>45846</v>
      </c>
      <c r="C4338" t="s">
        <v>897</v>
      </c>
      <c r="D4338" t="s">
        <v>49</v>
      </c>
      <c r="E4338" t="s">
        <v>79</v>
      </c>
      <c r="F4338">
        <v>2</v>
      </c>
      <c r="G4338">
        <v>0.1</v>
      </c>
      <c r="H4338">
        <v>19800</v>
      </c>
      <c r="I4338">
        <v>3948.25</v>
      </c>
      <c r="J4338" t="s">
        <v>65</v>
      </c>
      <c r="K4338" t="s">
        <v>40</v>
      </c>
      <c r="L4338">
        <v>9900</v>
      </c>
      <c r="M4338">
        <v>19.94065656565656</v>
      </c>
      <c r="N4338" t="s">
        <v>8</v>
      </c>
      <c r="O4338" t="s">
        <v>607</v>
      </c>
      <c r="P4338" t="s">
        <v>73</v>
      </c>
      <c r="Q4338" t="s">
        <v>30</v>
      </c>
      <c r="R4338" t="s">
        <v>31</v>
      </c>
      <c r="S4338" t="s">
        <v>32</v>
      </c>
      <c r="T4338" t="s">
        <v>898</v>
      </c>
      <c r="U4338" t="s">
        <v>34</v>
      </c>
      <c r="V4338">
        <v>1974.125</v>
      </c>
    </row>
    <row r="4339" spans="1:22" x14ac:dyDescent="0.3">
      <c r="A4339" t="s">
        <v>5821</v>
      </c>
      <c r="B4339" s="2">
        <v>46054</v>
      </c>
      <c r="C4339" t="s">
        <v>2813</v>
      </c>
      <c r="D4339" t="s">
        <v>49</v>
      </c>
      <c r="E4339" t="s">
        <v>58</v>
      </c>
      <c r="F4339">
        <v>2</v>
      </c>
      <c r="G4339">
        <v>0.1</v>
      </c>
      <c r="H4339">
        <v>27000</v>
      </c>
      <c r="I4339">
        <v>5117.05</v>
      </c>
      <c r="J4339" t="s">
        <v>26</v>
      </c>
      <c r="K4339" t="s">
        <v>40</v>
      </c>
      <c r="L4339">
        <v>13500</v>
      </c>
      <c r="M4339">
        <v>18.952037037037041</v>
      </c>
      <c r="N4339" t="s">
        <v>8</v>
      </c>
      <c r="O4339" t="s">
        <v>626</v>
      </c>
      <c r="P4339" t="s">
        <v>29</v>
      </c>
      <c r="Q4339" t="s">
        <v>131</v>
      </c>
      <c r="R4339" t="s">
        <v>200</v>
      </c>
      <c r="S4339" t="s">
        <v>201</v>
      </c>
      <c r="T4339" t="s">
        <v>1002</v>
      </c>
      <c r="U4339" t="s">
        <v>46</v>
      </c>
      <c r="V4339">
        <v>2558.5250000000001</v>
      </c>
    </row>
    <row r="4340" spans="1:22" x14ac:dyDescent="0.3">
      <c r="A4340" t="s">
        <v>5822</v>
      </c>
      <c r="B4340" s="2">
        <v>45922</v>
      </c>
      <c r="C4340" t="s">
        <v>1420</v>
      </c>
      <c r="D4340" t="s">
        <v>24</v>
      </c>
      <c r="E4340" t="s">
        <v>242</v>
      </c>
      <c r="F4340">
        <v>2</v>
      </c>
      <c r="G4340">
        <v>0.15</v>
      </c>
      <c r="H4340">
        <v>765</v>
      </c>
      <c r="I4340">
        <v>150.09</v>
      </c>
      <c r="J4340" t="s">
        <v>26</v>
      </c>
      <c r="K4340" t="s">
        <v>27</v>
      </c>
      <c r="L4340">
        <v>382.5</v>
      </c>
      <c r="M4340">
        <v>19.619607843137249</v>
      </c>
      <c r="N4340" t="s">
        <v>8</v>
      </c>
      <c r="O4340" t="s">
        <v>369</v>
      </c>
      <c r="P4340" t="s">
        <v>73</v>
      </c>
      <c r="Q4340" t="s">
        <v>30</v>
      </c>
      <c r="R4340" t="s">
        <v>98</v>
      </c>
      <c r="S4340" t="s">
        <v>54</v>
      </c>
      <c r="T4340" t="s">
        <v>1421</v>
      </c>
      <c r="U4340" t="s">
        <v>46</v>
      </c>
      <c r="V4340">
        <v>75.045000000000002</v>
      </c>
    </row>
    <row r="4341" spans="1:22" x14ac:dyDescent="0.3">
      <c r="A4341" t="s">
        <v>5823</v>
      </c>
      <c r="B4341" s="2">
        <v>45863</v>
      </c>
      <c r="C4341" t="s">
        <v>385</v>
      </c>
      <c r="D4341" t="s">
        <v>49</v>
      </c>
      <c r="E4341" t="s">
        <v>58</v>
      </c>
      <c r="F4341">
        <v>1</v>
      </c>
      <c r="G4341">
        <v>0.15</v>
      </c>
      <c r="H4341">
        <v>12750</v>
      </c>
      <c r="I4341">
        <v>2103.61</v>
      </c>
      <c r="J4341" t="s">
        <v>26</v>
      </c>
      <c r="K4341" t="s">
        <v>40</v>
      </c>
      <c r="L4341">
        <v>12750</v>
      </c>
      <c r="M4341">
        <v>16.49890196078432</v>
      </c>
      <c r="N4341" t="s">
        <v>8</v>
      </c>
      <c r="O4341" t="s">
        <v>386</v>
      </c>
      <c r="P4341" t="s">
        <v>29</v>
      </c>
      <c r="Q4341" t="s">
        <v>30</v>
      </c>
      <c r="R4341" t="s">
        <v>60</v>
      </c>
      <c r="S4341" t="s">
        <v>61</v>
      </c>
      <c r="T4341" t="s">
        <v>387</v>
      </c>
      <c r="U4341" t="s">
        <v>100</v>
      </c>
      <c r="V4341">
        <v>2103.61</v>
      </c>
    </row>
    <row r="4342" spans="1:22" x14ac:dyDescent="0.3">
      <c r="A4342" t="s">
        <v>5824</v>
      </c>
      <c r="B4342" s="2">
        <v>45999</v>
      </c>
      <c r="C4342" t="s">
        <v>4485</v>
      </c>
      <c r="D4342" t="s">
        <v>24</v>
      </c>
      <c r="E4342" t="s">
        <v>87</v>
      </c>
      <c r="F4342">
        <v>1</v>
      </c>
      <c r="G4342">
        <v>0</v>
      </c>
      <c r="H4342">
        <v>350</v>
      </c>
      <c r="I4342">
        <v>120</v>
      </c>
      <c r="J4342" t="s">
        <v>39</v>
      </c>
      <c r="K4342" t="s">
        <v>40</v>
      </c>
      <c r="L4342">
        <v>350</v>
      </c>
      <c r="M4342">
        <v>34.285714285714278</v>
      </c>
      <c r="N4342" t="s">
        <v>8</v>
      </c>
      <c r="O4342" t="s">
        <v>4486</v>
      </c>
      <c r="P4342" t="s">
        <v>83</v>
      </c>
      <c r="Q4342" t="s">
        <v>131</v>
      </c>
      <c r="R4342" t="s">
        <v>132</v>
      </c>
      <c r="S4342" t="s">
        <v>133</v>
      </c>
      <c r="T4342" t="s">
        <v>1850</v>
      </c>
      <c r="U4342" t="s">
        <v>34</v>
      </c>
      <c r="V4342">
        <v>120</v>
      </c>
    </row>
    <row r="4343" spans="1:22" x14ac:dyDescent="0.3">
      <c r="A4343" t="s">
        <v>5825</v>
      </c>
      <c r="B4343" s="2">
        <v>45876</v>
      </c>
      <c r="C4343" t="s">
        <v>807</v>
      </c>
      <c r="D4343" t="s">
        <v>37</v>
      </c>
      <c r="E4343" t="s">
        <v>170</v>
      </c>
      <c r="F4343">
        <v>2</v>
      </c>
      <c r="G4343">
        <v>0.15</v>
      </c>
      <c r="H4343">
        <v>2380</v>
      </c>
      <c r="I4343">
        <v>649.5</v>
      </c>
      <c r="J4343" t="s">
        <v>39</v>
      </c>
      <c r="K4343" t="s">
        <v>40</v>
      </c>
      <c r="L4343">
        <v>1190</v>
      </c>
      <c r="M4343">
        <v>27.289915966386548</v>
      </c>
      <c r="N4343" t="s">
        <v>8</v>
      </c>
      <c r="O4343" t="s">
        <v>545</v>
      </c>
      <c r="P4343" t="s">
        <v>73</v>
      </c>
      <c r="Q4343" t="s">
        <v>30</v>
      </c>
      <c r="R4343" t="s">
        <v>31</v>
      </c>
      <c r="S4343" t="s">
        <v>32</v>
      </c>
      <c r="T4343" t="s">
        <v>808</v>
      </c>
      <c r="U4343" t="s">
        <v>105</v>
      </c>
      <c r="V4343">
        <v>324.75</v>
      </c>
    </row>
    <row r="4344" spans="1:22" x14ac:dyDescent="0.3">
      <c r="A4344" t="s">
        <v>5826</v>
      </c>
      <c r="B4344" s="2">
        <v>46073</v>
      </c>
      <c r="C4344" t="s">
        <v>1297</v>
      </c>
      <c r="D4344" t="s">
        <v>24</v>
      </c>
      <c r="E4344" t="s">
        <v>242</v>
      </c>
      <c r="F4344">
        <v>3</v>
      </c>
      <c r="G4344">
        <v>0</v>
      </c>
      <c r="H4344">
        <v>1350</v>
      </c>
      <c r="I4344">
        <v>330</v>
      </c>
      <c r="J4344" t="s">
        <v>39</v>
      </c>
      <c r="K4344" t="s">
        <v>27</v>
      </c>
      <c r="L4344">
        <v>450</v>
      </c>
      <c r="M4344">
        <v>24.444444444444439</v>
      </c>
      <c r="N4344" t="s">
        <v>8</v>
      </c>
      <c r="O4344" t="s">
        <v>781</v>
      </c>
      <c r="P4344" t="s">
        <v>29</v>
      </c>
      <c r="Q4344" t="s">
        <v>30</v>
      </c>
      <c r="R4344" t="s">
        <v>31</v>
      </c>
      <c r="S4344" t="s">
        <v>32</v>
      </c>
      <c r="T4344" t="s">
        <v>1298</v>
      </c>
      <c r="U4344" t="s">
        <v>100</v>
      </c>
      <c r="V4344">
        <v>110</v>
      </c>
    </row>
    <row r="4345" spans="1:22" x14ac:dyDescent="0.3">
      <c r="A4345" t="s">
        <v>5827</v>
      </c>
      <c r="B4345" s="2">
        <v>46245</v>
      </c>
      <c r="C4345" t="s">
        <v>1723</v>
      </c>
      <c r="D4345" t="s">
        <v>70</v>
      </c>
      <c r="E4345" t="s">
        <v>129</v>
      </c>
      <c r="F4345">
        <v>2</v>
      </c>
      <c r="G4345">
        <v>0</v>
      </c>
      <c r="H4345">
        <v>110000</v>
      </c>
      <c r="I4345">
        <v>18000</v>
      </c>
      <c r="J4345" t="s">
        <v>65</v>
      </c>
      <c r="K4345" t="s">
        <v>40</v>
      </c>
      <c r="L4345">
        <v>55000</v>
      </c>
      <c r="M4345">
        <v>16.36363636363636</v>
      </c>
      <c r="N4345" t="s">
        <v>8</v>
      </c>
      <c r="O4345" t="s">
        <v>398</v>
      </c>
      <c r="P4345" t="s">
        <v>83</v>
      </c>
      <c r="Q4345" t="s">
        <v>30</v>
      </c>
      <c r="R4345" t="s">
        <v>98</v>
      </c>
      <c r="S4345" t="s">
        <v>54</v>
      </c>
      <c r="T4345" t="s">
        <v>1724</v>
      </c>
      <c r="U4345" t="s">
        <v>46</v>
      </c>
      <c r="V4345">
        <v>9000</v>
      </c>
    </row>
    <row r="4346" spans="1:22" x14ac:dyDescent="0.3">
      <c r="A4346" t="s">
        <v>5828</v>
      </c>
      <c r="B4346" s="2">
        <v>46004</v>
      </c>
      <c r="C4346" t="s">
        <v>850</v>
      </c>
      <c r="D4346" t="s">
        <v>49</v>
      </c>
      <c r="E4346" t="s">
        <v>50</v>
      </c>
      <c r="F4346">
        <v>5</v>
      </c>
      <c r="G4346">
        <v>0</v>
      </c>
      <c r="H4346">
        <v>65000</v>
      </c>
      <c r="I4346">
        <v>16000</v>
      </c>
      <c r="J4346" t="s">
        <v>65</v>
      </c>
      <c r="K4346" t="s">
        <v>40</v>
      </c>
      <c r="L4346">
        <v>13000</v>
      </c>
      <c r="M4346">
        <v>24.61538461538462</v>
      </c>
      <c r="N4346" t="s">
        <v>8</v>
      </c>
      <c r="O4346" t="s">
        <v>851</v>
      </c>
      <c r="P4346" t="s">
        <v>29</v>
      </c>
      <c r="Q4346" t="s">
        <v>30</v>
      </c>
      <c r="R4346" t="s">
        <v>60</v>
      </c>
      <c r="S4346" t="s">
        <v>61</v>
      </c>
      <c r="T4346" t="s">
        <v>852</v>
      </c>
      <c r="U4346" t="s">
        <v>46</v>
      </c>
      <c r="V4346">
        <v>3200</v>
      </c>
    </row>
    <row r="4347" spans="1:22" x14ac:dyDescent="0.3">
      <c r="A4347" t="s">
        <v>5829</v>
      </c>
      <c r="B4347" s="2">
        <v>46035</v>
      </c>
      <c r="C4347" t="s">
        <v>1744</v>
      </c>
      <c r="D4347" t="s">
        <v>24</v>
      </c>
      <c r="E4347" t="s">
        <v>25</v>
      </c>
      <c r="F4347">
        <v>4</v>
      </c>
      <c r="G4347">
        <v>0.2</v>
      </c>
      <c r="H4347">
        <v>44800</v>
      </c>
      <c r="I4347">
        <v>4377.62</v>
      </c>
      <c r="J4347" t="s">
        <v>51</v>
      </c>
      <c r="K4347" t="s">
        <v>40</v>
      </c>
      <c r="L4347">
        <v>11200</v>
      </c>
      <c r="M4347">
        <v>9.7714732142857148</v>
      </c>
      <c r="N4347" t="s">
        <v>8</v>
      </c>
      <c r="O4347" t="s">
        <v>922</v>
      </c>
      <c r="P4347" t="s">
        <v>29</v>
      </c>
      <c r="Q4347" t="s">
        <v>74</v>
      </c>
      <c r="R4347" t="s">
        <v>237</v>
      </c>
      <c r="S4347" t="s">
        <v>238</v>
      </c>
      <c r="T4347" t="s">
        <v>1745</v>
      </c>
      <c r="U4347" t="s">
        <v>105</v>
      </c>
      <c r="V4347">
        <v>1094.405</v>
      </c>
    </row>
    <row r="4348" spans="1:22" x14ac:dyDescent="0.3">
      <c r="A4348" t="s">
        <v>5830</v>
      </c>
      <c r="B4348" s="2">
        <v>46240</v>
      </c>
      <c r="C4348" t="s">
        <v>4249</v>
      </c>
      <c r="D4348" t="s">
        <v>49</v>
      </c>
      <c r="E4348" t="s">
        <v>79</v>
      </c>
      <c r="F4348">
        <v>4</v>
      </c>
      <c r="G4348">
        <v>0.1</v>
      </c>
      <c r="H4348">
        <v>39600</v>
      </c>
      <c r="I4348">
        <v>7911.68</v>
      </c>
      <c r="J4348" t="s">
        <v>26</v>
      </c>
      <c r="K4348" t="s">
        <v>40</v>
      </c>
      <c r="L4348">
        <v>9900</v>
      </c>
      <c r="M4348">
        <v>19.978989898989902</v>
      </c>
      <c r="N4348" t="s">
        <v>8</v>
      </c>
      <c r="O4348" t="s">
        <v>28</v>
      </c>
      <c r="P4348" t="s">
        <v>29</v>
      </c>
      <c r="Q4348" t="s">
        <v>74</v>
      </c>
      <c r="R4348" t="s">
        <v>493</v>
      </c>
      <c r="S4348" t="s">
        <v>494</v>
      </c>
      <c r="T4348" t="s">
        <v>4250</v>
      </c>
      <c r="U4348" t="s">
        <v>105</v>
      </c>
      <c r="V4348">
        <v>1977.92</v>
      </c>
    </row>
    <row r="4349" spans="1:22" x14ac:dyDescent="0.3">
      <c r="A4349" t="s">
        <v>5831</v>
      </c>
      <c r="B4349" s="2">
        <v>46253</v>
      </c>
      <c r="C4349" t="s">
        <v>3930</v>
      </c>
      <c r="D4349" t="s">
        <v>37</v>
      </c>
      <c r="E4349" t="s">
        <v>310</v>
      </c>
      <c r="F4349">
        <v>1</v>
      </c>
      <c r="G4349">
        <v>0.2</v>
      </c>
      <c r="H4349">
        <v>1760</v>
      </c>
      <c r="I4349">
        <v>395.22</v>
      </c>
      <c r="J4349" t="s">
        <v>26</v>
      </c>
      <c r="K4349" t="s">
        <v>27</v>
      </c>
      <c r="L4349">
        <v>1760</v>
      </c>
      <c r="M4349">
        <v>22.455681818181819</v>
      </c>
      <c r="N4349" t="s">
        <v>8</v>
      </c>
      <c r="O4349" t="s">
        <v>3931</v>
      </c>
      <c r="P4349" t="s">
        <v>29</v>
      </c>
      <c r="Q4349" t="s">
        <v>74</v>
      </c>
      <c r="R4349" t="s">
        <v>115</v>
      </c>
      <c r="S4349" t="s">
        <v>115</v>
      </c>
      <c r="T4349" t="s">
        <v>3932</v>
      </c>
      <c r="U4349" t="s">
        <v>100</v>
      </c>
      <c r="V4349">
        <v>395.22</v>
      </c>
    </row>
    <row r="4350" spans="1:22" x14ac:dyDescent="0.3">
      <c r="A4350" t="s">
        <v>5832</v>
      </c>
      <c r="B4350" s="2">
        <v>45880</v>
      </c>
      <c r="C4350" t="s">
        <v>1860</v>
      </c>
      <c r="D4350" t="s">
        <v>70</v>
      </c>
      <c r="E4350" t="s">
        <v>129</v>
      </c>
      <c r="F4350">
        <v>3</v>
      </c>
      <c r="G4350">
        <v>0.15</v>
      </c>
      <c r="H4350">
        <v>140250</v>
      </c>
      <c r="I4350">
        <v>7697.36</v>
      </c>
      <c r="J4350" t="s">
        <v>65</v>
      </c>
      <c r="K4350" t="s">
        <v>40</v>
      </c>
      <c r="L4350">
        <v>46750</v>
      </c>
      <c r="M4350">
        <v>5.4883137254901957</v>
      </c>
      <c r="N4350" t="s">
        <v>8</v>
      </c>
      <c r="O4350" t="s">
        <v>1861</v>
      </c>
      <c r="P4350" t="s">
        <v>83</v>
      </c>
      <c r="Q4350" t="s">
        <v>30</v>
      </c>
      <c r="R4350" t="s">
        <v>98</v>
      </c>
      <c r="S4350" t="s">
        <v>54</v>
      </c>
      <c r="T4350" t="s">
        <v>1862</v>
      </c>
      <c r="U4350" t="s">
        <v>34</v>
      </c>
      <c r="V4350">
        <v>2565.786666666666</v>
      </c>
    </row>
    <row r="4351" spans="1:22" x14ac:dyDescent="0.3">
      <c r="A4351" t="s">
        <v>5833</v>
      </c>
      <c r="B4351" s="2">
        <v>46001</v>
      </c>
      <c r="C4351" t="s">
        <v>897</v>
      </c>
      <c r="D4351" t="s">
        <v>37</v>
      </c>
      <c r="E4351" t="s">
        <v>170</v>
      </c>
      <c r="F4351">
        <v>3</v>
      </c>
      <c r="G4351">
        <v>0.15</v>
      </c>
      <c r="H4351">
        <v>3570</v>
      </c>
      <c r="I4351">
        <v>1213.75</v>
      </c>
      <c r="J4351" t="s">
        <v>65</v>
      </c>
      <c r="K4351" t="s">
        <v>40</v>
      </c>
      <c r="L4351">
        <v>1190</v>
      </c>
      <c r="M4351">
        <v>33.998599439775909</v>
      </c>
      <c r="N4351" t="s">
        <v>8</v>
      </c>
      <c r="O4351" t="s">
        <v>607</v>
      </c>
      <c r="P4351" t="s">
        <v>73</v>
      </c>
      <c r="Q4351" t="s">
        <v>30</v>
      </c>
      <c r="R4351" t="s">
        <v>31</v>
      </c>
      <c r="S4351" t="s">
        <v>32</v>
      </c>
      <c r="T4351" t="s">
        <v>898</v>
      </c>
      <c r="U4351" t="s">
        <v>34</v>
      </c>
      <c r="V4351">
        <v>404.58333333333331</v>
      </c>
    </row>
    <row r="4352" spans="1:22" x14ac:dyDescent="0.3">
      <c r="A4352" t="s">
        <v>5834</v>
      </c>
      <c r="B4352" s="2">
        <v>46135</v>
      </c>
      <c r="C4352" t="s">
        <v>365</v>
      </c>
      <c r="D4352" t="s">
        <v>49</v>
      </c>
      <c r="E4352" t="s">
        <v>119</v>
      </c>
      <c r="F4352">
        <v>2</v>
      </c>
      <c r="G4352">
        <v>0</v>
      </c>
      <c r="H4352">
        <v>18000</v>
      </c>
      <c r="I4352">
        <v>4600</v>
      </c>
      <c r="J4352" t="s">
        <v>39</v>
      </c>
      <c r="K4352" t="s">
        <v>40</v>
      </c>
      <c r="L4352">
        <v>9000</v>
      </c>
      <c r="M4352">
        <v>25.55555555555555</v>
      </c>
      <c r="N4352" t="s">
        <v>8</v>
      </c>
      <c r="O4352" t="s">
        <v>318</v>
      </c>
      <c r="P4352" t="s">
        <v>29</v>
      </c>
      <c r="Q4352" t="s">
        <v>30</v>
      </c>
      <c r="R4352" t="s">
        <v>31</v>
      </c>
      <c r="S4352" t="s">
        <v>32</v>
      </c>
      <c r="T4352" t="s">
        <v>366</v>
      </c>
      <c r="U4352" t="s">
        <v>105</v>
      </c>
      <c r="V4352">
        <v>2300</v>
      </c>
    </row>
    <row r="4353" spans="1:22" x14ac:dyDescent="0.3">
      <c r="A4353" t="s">
        <v>5835</v>
      </c>
      <c r="B4353" s="2">
        <v>46215</v>
      </c>
      <c r="C4353" t="s">
        <v>910</v>
      </c>
      <c r="D4353" t="s">
        <v>24</v>
      </c>
      <c r="E4353" t="s">
        <v>25</v>
      </c>
      <c r="F4353">
        <v>3</v>
      </c>
      <c r="G4353">
        <v>0.1</v>
      </c>
      <c r="H4353">
        <v>37800</v>
      </c>
      <c r="I4353">
        <v>-19097.099999999999</v>
      </c>
      <c r="J4353" t="s">
        <v>39</v>
      </c>
      <c r="K4353" t="s">
        <v>80</v>
      </c>
      <c r="L4353">
        <v>12600</v>
      </c>
      <c r="M4353">
        <v>-50.521428571428572</v>
      </c>
      <c r="N4353" t="s">
        <v>81</v>
      </c>
      <c r="O4353" t="s">
        <v>911</v>
      </c>
      <c r="P4353" t="s">
        <v>29</v>
      </c>
      <c r="Q4353" t="s">
        <v>30</v>
      </c>
      <c r="R4353" t="s">
        <v>31</v>
      </c>
      <c r="S4353" t="s">
        <v>32</v>
      </c>
      <c r="T4353" t="s">
        <v>912</v>
      </c>
      <c r="U4353" t="s">
        <v>34</v>
      </c>
      <c r="V4353">
        <v>-6365.7</v>
      </c>
    </row>
    <row r="4354" spans="1:22" x14ac:dyDescent="0.3">
      <c r="A4354" t="s">
        <v>5836</v>
      </c>
      <c r="B4354" s="2">
        <v>46031</v>
      </c>
      <c r="C4354" t="s">
        <v>3077</v>
      </c>
      <c r="D4354" t="s">
        <v>70</v>
      </c>
      <c r="E4354" t="s">
        <v>108</v>
      </c>
      <c r="F4354">
        <v>2</v>
      </c>
      <c r="G4354">
        <v>0</v>
      </c>
      <c r="H4354">
        <v>9000</v>
      </c>
      <c r="I4354">
        <v>730.25</v>
      </c>
      <c r="J4354" t="s">
        <v>26</v>
      </c>
      <c r="K4354" t="s">
        <v>434</v>
      </c>
      <c r="L4354">
        <v>4500</v>
      </c>
      <c r="M4354">
        <v>8.1138888888888889</v>
      </c>
      <c r="N4354" t="s">
        <v>8</v>
      </c>
      <c r="O4354" t="s">
        <v>3078</v>
      </c>
      <c r="P4354" t="s">
        <v>83</v>
      </c>
      <c r="Q4354" t="s">
        <v>42</v>
      </c>
      <c r="R4354" t="s">
        <v>214</v>
      </c>
      <c r="S4354" t="s">
        <v>111</v>
      </c>
      <c r="T4354" t="s">
        <v>3079</v>
      </c>
      <c r="U4354" t="s">
        <v>46</v>
      </c>
      <c r="V4354">
        <v>365.125</v>
      </c>
    </row>
    <row r="4355" spans="1:22" x14ac:dyDescent="0.3">
      <c r="A4355" t="s">
        <v>5837</v>
      </c>
      <c r="B4355" s="2">
        <v>46189</v>
      </c>
      <c r="C4355" t="s">
        <v>2188</v>
      </c>
      <c r="D4355" t="s">
        <v>37</v>
      </c>
      <c r="E4355" t="s">
        <v>190</v>
      </c>
      <c r="F4355">
        <v>4</v>
      </c>
      <c r="G4355">
        <v>0.1</v>
      </c>
      <c r="H4355">
        <v>15120</v>
      </c>
      <c r="I4355">
        <v>3935.14</v>
      </c>
      <c r="J4355" t="s">
        <v>39</v>
      </c>
      <c r="K4355" t="s">
        <v>27</v>
      </c>
      <c r="L4355">
        <v>3780</v>
      </c>
      <c r="M4355">
        <v>26.026058201058198</v>
      </c>
      <c r="N4355" t="s">
        <v>8</v>
      </c>
      <c r="O4355" t="s">
        <v>1963</v>
      </c>
      <c r="P4355" t="s">
        <v>29</v>
      </c>
      <c r="Q4355" t="s">
        <v>42</v>
      </c>
      <c r="R4355" t="s">
        <v>214</v>
      </c>
      <c r="S4355" t="s">
        <v>111</v>
      </c>
      <c r="T4355" t="s">
        <v>2189</v>
      </c>
      <c r="U4355" t="s">
        <v>46</v>
      </c>
      <c r="V4355">
        <v>983.78499999999997</v>
      </c>
    </row>
    <row r="4356" spans="1:22" x14ac:dyDescent="0.3">
      <c r="A4356" t="s">
        <v>5838</v>
      </c>
      <c r="B4356" s="2">
        <v>45956</v>
      </c>
      <c r="C4356" t="s">
        <v>3203</v>
      </c>
      <c r="D4356" t="s">
        <v>24</v>
      </c>
      <c r="E4356" t="s">
        <v>242</v>
      </c>
      <c r="F4356">
        <v>1</v>
      </c>
      <c r="G4356">
        <v>0.1</v>
      </c>
      <c r="H4356">
        <v>405</v>
      </c>
      <c r="I4356">
        <v>89.24</v>
      </c>
      <c r="J4356" t="s">
        <v>65</v>
      </c>
      <c r="K4356" t="s">
        <v>27</v>
      </c>
      <c r="L4356">
        <v>405</v>
      </c>
      <c r="M4356">
        <v>22.034567901234571</v>
      </c>
      <c r="N4356" t="s">
        <v>8</v>
      </c>
      <c r="O4356" t="s">
        <v>1353</v>
      </c>
      <c r="P4356" t="s">
        <v>83</v>
      </c>
      <c r="Q4356" t="s">
        <v>74</v>
      </c>
      <c r="R4356" t="s">
        <v>75</v>
      </c>
      <c r="S4356" t="s">
        <v>75</v>
      </c>
      <c r="T4356" t="s">
        <v>3204</v>
      </c>
      <c r="U4356" t="s">
        <v>46</v>
      </c>
      <c r="V4356">
        <v>89.24</v>
      </c>
    </row>
    <row r="4357" spans="1:22" x14ac:dyDescent="0.3">
      <c r="A4357" t="s">
        <v>5839</v>
      </c>
      <c r="B4357" s="2">
        <v>46025</v>
      </c>
      <c r="C4357" t="s">
        <v>807</v>
      </c>
      <c r="D4357" t="s">
        <v>70</v>
      </c>
      <c r="E4357" t="s">
        <v>165</v>
      </c>
      <c r="F4357">
        <v>3</v>
      </c>
      <c r="G4357">
        <v>0.1</v>
      </c>
      <c r="H4357">
        <v>6750</v>
      </c>
      <c r="I4357">
        <v>211.04</v>
      </c>
      <c r="J4357" t="s">
        <v>51</v>
      </c>
      <c r="K4357" t="s">
        <v>434</v>
      </c>
      <c r="L4357">
        <v>2250</v>
      </c>
      <c r="M4357">
        <v>3.1265185185185178</v>
      </c>
      <c r="N4357" t="s">
        <v>8</v>
      </c>
      <c r="O4357" t="s">
        <v>545</v>
      </c>
      <c r="P4357" t="s">
        <v>73</v>
      </c>
      <c r="Q4357" t="s">
        <v>30</v>
      </c>
      <c r="R4357" t="s">
        <v>31</v>
      </c>
      <c r="S4357" t="s">
        <v>32</v>
      </c>
      <c r="T4357" t="s">
        <v>808</v>
      </c>
      <c r="U4357" t="s">
        <v>105</v>
      </c>
      <c r="V4357">
        <v>70.346666666666664</v>
      </c>
    </row>
    <row r="4358" spans="1:22" x14ac:dyDescent="0.3">
      <c r="A4358" t="s">
        <v>5840</v>
      </c>
      <c r="B4358" s="2">
        <v>46064</v>
      </c>
      <c r="C4358" t="s">
        <v>1480</v>
      </c>
      <c r="D4358" t="s">
        <v>49</v>
      </c>
      <c r="E4358" t="s">
        <v>58</v>
      </c>
      <c r="F4358">
        <v>2</v>
      </c>
      <c r="G4358">
        <v>0.05</v>
      </c>
      <c r="H4358">
        <v>28500</v>
      </c>
      <c r="I4358">
        <v>-2031.72</v>
      </c>
      <c r="J4358" t="s">
        <v>39</v>
      </c>
      <c r="K4358" t="s">
        <v>434</v>
      </c>
      <c r="L4358">
        <v>14250</v>
      </c>
      <c r="M4358">
        <v>-7.1288421052631588</v>
      </c>
      <c r="N4358" t="s">
        <v>81</v>
      </c>
      <c r="O4358" t="s">
        <v>66</v>
      </c>
      <c r="P4358" t="s">
        <v>73</v>
      </c>
      <c r="Q4358" t="s">
        <v>30</v>
      </c>
      <c r="R4358" t="s">
        <v>98</v>
      </c>
      <c r="S4358" t="s">
        <v>54</v>
      </c>
      <c r="T4358" t="s">
        <v>1481</v>
      </c>
      <c r="U4358" t="s">
        <v>46</v>
      </c>
      <c r="V4358">
        <v>-1015.86</v>
      </c>
    </row>
    <row r="4359" spans="1:22" x14ac:dyDescent="0.3">
      <c r="A4359" t="s">
        <v>5841</v>
      </c>
      <c r="B4359" s="2">
        <v>46226</v>
      </c>
      <c r="C4359" t="s">
        <v>488</v>
      </c>
      <c r="D4359" t="s">
        <v>49</v>
      </c>
      <c r="E4359" t="s">
        <v>79</v>
      </c>
      <c r="F4359">
        <v>2</v>
      </c>
      <c r="G4359">
        <v>0.15</v>
      </c>
      <c r="H4359">
        <v>18700</v>
      </c>
      <c r="I4359">
        <v>3469.71</v>
      </c>
      <c r="J4359" t="s">
        <v>26</v>
      </c>
      <c r="K4359" t="s">
        <v>27</v>
      </c>
      <c r="L4359">
        <v>9350</v>
      </c>
      <c r="M4359">
        <v>18.55459893048128</v>
      </c>
      <c r="N4359" t="s">
        <v>8</v>
      </c>
      <c r="O4359" t="s">
        <v>398</v>
      </c>
      <c r="P4359" t="s">
        <v>29</v>
      </c>
      <c r="Q4359" t="s">
        <v>30</v>
      </c>
      <c r="R4359" t="s">
        <v>60</v>
      </c>
      <c r="S4359" t="s">
        <v>61</v>
      </c>
      <c r="T4359" t="s">
        <v>489</v>
      </c>
      <c r="U4359" t="s">
        <v>105</v>
      </c>
      <c r="V4359">
        <v>1734.855</v>
      </c>
    </row>
    <row r="4360" spans="1:22" x14ac:dyDescent="0.3">
      <c r="A4360" t="s">
        <v>5842</v>
      </c>
      <c r="B4360" s="2">
        <v>45949</v>
      </c>
      <c r="C4360" t="s">
        <v>838</v>
      </c>
      <c r="D4360" t="s">
        <v>70</v>
      </c>
      <c r="E4360" t="s">
        <v>165</v>
      </c>
      <c r="F4360">
        <v>4</v>
      </c>
      <c r="G4360">
        <v>0</v>
      </c>
      <c r="H4360">
        <v>10000</v>
      </c>
      <c r="I4360">
        <v>3200</v>
      </c>
      <c r="J4360" t="s">
        <v>39</v>
      </c>
      <c r="K4360" t="s">
        <v>40</v>
      </c>
      <c r="L4360">
        <v>2500</v>
      </c>
      <c r="M4360">
        <v>32</v>
      </c>
      <c r="N4360" t="s">
        <v>8</v>
      </c>
      <c r="O4360" t="s">
        <v>839</v>
      </c>
      <c r="P4360" t="s">
        <v>73</v>
      </c>
      <c r="Q4360" t="s">
        <v>30</v>
      </c>
      <c r="R4360" t="s">
        <v>31</v>
      </c>
      <c r="S4360" t="s">
        <v>32</v>
      </c>
      <c r="T4360" t="s">
        <v>840</v>
      </c>
      <c r="U4360" t="s">
        <v>100</v>
      </c>
      <c r="V4360">
        <v>800</v>
      </c>
    </row>
    <row r="4361" spans="1:22" x14ac:dyDescent="0.3">
      <c r="A4361" t="s">
        <v>5843</v>
      </c>
      <c r="B4361" s="2">
        <v>46258</v>
      </c>
      <c r="C4361" t="s">
        <v>1360</v>
      </c>
      <c r="D4361" t="s">
        <v>70</v>
      </c>
      <c r="E4361" t="s">
        <v>129</v>
      </c>
      <c r="F4361">
        <v>2</v>
      </c>
      <c r="G4361">
        <v>0</v>
      </c>
      <c r="H4361">
        <v>110000</v>
      </c>
      <c r="I4361">
        <v>-49105.56</v>
      </c>
      <c r="J4361" t="s">
        <v>39</v>
      </c>
      <c r="K4361" t="s">
        <v>434</v>
      </c>
      <c r="L4361">
        <v>55000</v>
      </c>
      <c r="M4361">
        <v>-44.641418181818182</v>
      </c>
      <c r="N4361" t="s">
        <v>81</v>
      </c>
      <c r="O4361" t="s">
        <v>553</v>
      </c>
      <c r="P4361" t="s">
        <v>83</v>
      </c>
      <c r="Q4361" t="s">
        <v>30</v>
      </c>
      <c r="R4361" t="s">
        <v>31</v>
      </c>
      <c r="S4361" t="s">
        <v>32</v>
      </c>
      <c r="T4361" t="s">
        <v>1361</v>
      </c>
      <c r="U4361" t="s">
        <v>34</v>
      </c>
      <c r="V4361">
        <v>-24552.78</v>
      </c>
    </row>
    <row r="4362" spans="1:22" x14ac:dyDescent="0.3">
      <c r="A4362" t="s">
        <v>5844</v>
      </c>
      <c r="B4362" s="2">
        <v>45970</v>
      </c>
      <c r="C4362" t="s">
        <v>1181</v>
      </c>
      <c r="D4362" t="s">
        <v>70</v>
      </c>
      <c r="E4362" t="s">
        <v>108</v>
      </c>
      <c r="F4362">
        <v>3</v>
      </c>
      <c r="G4362">
        <v>0.2</v>
      </c>
      <c r="H4362">
        <v>10800</v>
      </c>
      <c r="I4362">
        <v>2744.52</v>
      </c>
      <c r="J4362" t="s">
        <v>65</v>
      </c>
      <c r="K4362" t="s">
        <v>40</v>
      </c>
      <c r="L4362">
        <v>3600</v>
      </c>
      <c r="M4362">
        <v>25.412222222222219</v>
      </c>
      <c r="N4362" t="s">
        <v>8</v>
      </c>
      <c r="O4362" t="s">
        <v>1182</v>
      </c>
      <c r="P4362" t="s">
        <v>29</v>
      </c>
      <c r="Q4362" t="s">
        <v>30</v>
      </c>
      <c r="R4362" t="s">
        <v>31</v>
      </c>
      <c r="S4362" t="s">
        <v>32</v>
      </c>
      <c r="T4362" t="s">
        <v>206</v>
      </c>
      <c r="U4362" t="s">
        <v>46</v>
      </c>
      <c r="V4362">
        <v>914.84</v>
      </c>
    </row>
    <row r="4363" spans="1:22" x14ac:dyDescent="0.3">
      <c r="A4363" t="s">
        <v>5845</v>
      </c>
      <c r="B4363" s="2">
        <v>46213</v>
      </c>
      <c r="C4363" t="s">
        <v>907</v>
      </c>
      <c r="D4363" t="s">
        <v>24</v>
      </c>
      <c r="E4363" t="s">
        <v>92</v>
      </c>
      <c r="F4363">
        <v>1</v>
      </c>
      <c r="G4363">
        <v>0.3</v>
      </c>
      <c r="H4363">
        <v>630</v>
      </c>
      <c r="I4363">
        <v>78.010000000000005</v>
      </c>
      <c r="J4363" t="s">
        <v>26</v>
      </c>
      <c r="K4363" t="s">
        <v>40</v>
      </c>
      <c r="L4363">
        <v>630</v>
      </c>
      <c r="M4363">
        <v>12.382539682539679</v>
      </c>
      <c r="N4363" t="s">
        <v>8</v>
      </c>
      <c r="O4363" t="s">
        <v>908</v>
      </c>
      <c r="P4363" t="s">
        <v>29</v>
      </c>
      <c r="Q4363" t="s">
        <v>30</v>
      </c>
      <c r="R4363" t="s">
        <v>60</v>
      </c>
      <c r="S4363" t="s">
        <v>61</v>
      </c>
      <c r="T4363" t="s">
        <v>486</v>
      </c>
      <c r="U4363" t="s">
        <v>34</v>
      </c>
      <c r="V4363">
        <v>78.010000000000005</v>
      </c>
    </row>
    <row r="4364" spans="1:22" x14ac:dyDescent="0.3">
      <c r="A4364" t="s">
        <v>5846</v>
      </c>
      <c r="B4364" s="2">
        <v>45870</v>
      </c>
      <c r="C4364" t="s">
        <v>1542</v>
      </c>
      <c r="D4364" t="s">
        <v>24</v>
      </c>
      <c r="E4364" t="s">
        <v>87</v>
      </c>
      <c r="F4364">
        <v>1</v>
      </c>
      <c r="G4364">
        <v>0</v>
      </c>
      <c r="H4364">
        <v>350</v>
      </c>
      <c r="I4364">
        <v>120</v>
      </c>
      <c r="J4364" t="s">
        <v>65</v>
      </c>
      <c r="K4364" t="s">
        <v>40</v>
      </c>
      <c r="L4364">
        <v>350</v>
      </c>
      <c r="M4364">
        <v>34.285714285714278</v>
      </c>
      <c r="N4364" t="s">
        <v>8</v>
      </c>
      <c r="O4364" t="s">
        <v>141</v>
      </c>
      <c r="P4364" t="s">
        <v>29</v>
      </c>
      <c r="Q4364" t="s">
        <v>74</v>
      </c>
      <c r="R4364" t="s">
        <v>75</v>
      </c>
      <c r="S4364" t="s">
        <v>75</v>
      </c>
      <c r="T4364" t="s">
        <v>1543</v>
      </c>
      <c r="U4364" t="s">
        <v>100</v>
      </c>
      <c r="V4364">
        <v>120</v>
      </c>
    </row>
    <row r="4365" spans="1:22" x14ac:dyDescent="0.3">
      <c r="A4365" t="s">
        <v>5847</v>
      </c>
      <c r="B4365" s="2">
        <v>45845</v>
      </c>
      <c r="C4365" t="s">
        <v>1078</v>
      </c>
      <c r="D4365" t="s">
        <v>24</v>
      </c>
      <c r="E4365" t="s">
        <v>25</v>
      </c>
      <c r="F4365">
        <v>1</v>
      </c>
      <c r="G4365">
        <v>0.1</v>
      </c>
      <c r="H4365">
        <v>12600</v>
      </c>
      <c r="I4365">
        <v>1690.73</v>
      </c>
      <c r="J4365" t="s">
        <v>26</v>
      </c>
      <c r="K4365" t="s">
        <v>40</v>
      </c>
      <c r="L4365">
        <v>12600</v>
      </c>
      <c r="M4365">
        <v>13.41849206349206</v>
      </c>
      <c r="N4365" t="s">
        <v>8</v>
      </c>
      <c r="O4365" t="s">
        <v>1079</v>
      </c>
      <c r="P4365" t="s">
        <v>83</v>
      </c>
      <c r="Q4365" t="s">
        <v>30</v>
      </c>
      <c r="R4365" t="s">
        <v>31</v>
      </c>
      <c r="S4365" t="s">
        <v>32</v>
      </c>
      <c r="T4365" t="s">
        <v>948</v>
      </c>
      <c r="U4365" t="s">
        <v>34</v>
      </c>
      <c r="V4365">
        <v>1690.73</v>
      </c>
    </row>
    <row r="4366" spans="1:22" x14ac:dyDescent="0.3">
      <c r="A4366" t="s">
        <v>5848</v>
      </c>
      <c r="B4366" s="2">
        <v>46234</v>
      </c>
      <c r="C4366" t="s">
        <v>869</v>
      </c>
      <c r="D4366" t="s">
        <v>70</v>
      </c>
      <c r="E4366" t="s">
        <v>71</v>
      </c>
      <c r="F4366">
        <v>4</v>
      </c>
      <c r="G4366">
        <v>0.1</v>
      </c>
      <c r="H4366">
        <v>64800</v>
      </c>
      <c r="I4366">
        <v>-17745.54</v>
      </c>
      <c r="J4366" t="s">
        <v>51</v>
      </c>
      <c r="K4366" t="s">
        <v>434</v>
      </c>
      <c r="L4366">
        <v>16200</v>
      </c>
      <c r="M4366">
        <v>-27.385092592592589</v>
      </c>
      <c r="N4366" t="s">
        <v>81</v>
      </c>
      <c r="O4366" t="s">
        <v>870</v>
      </c>
      <c r="P4366" t="s">
        <v>73</v>
      </c>
      <c r="Q4366" t="s">
        <v>30</v>
      </c>
      <c r="R4366" t="s">
        <v>98</v>
      </c>
      <c r="S4366" t="s">
        <v>54</v>
      </c>
      <c r="T4366" t="s">
        <v>859</v>
      </c>
      <c r="U4366" t="s">
        <v>34</v>
      </c>
      <c r="V4366">
        <v>-4436.3850000000002</v>
      </c>
    </row>
    <row r="4367" spans="1:22" x14ac:dyDescent="0.3">
      <c r="A4367" t="s">
        <v>5849</v>
      </c>
      <c r="B4367" s="2">
        <v>45949</v>
      </c>
      <c r="C4367" t="s">
        <v>217</v>
      </c>
      <c r="D4367" t="s">
        <v>70</v>
      </c>
      <c r="E4367" t="s">
        <v>108</v>
      </c>
      <c r="F4367">
        <v>1</v>
      </c>
      <c r="G4367">
        <v>0.15</v>
      </c>
      <c r="H4367">
        <v>3825</v>
      </c>
      <c r="I4367">
        <v>998.46</v>
      </c>
      <c r="J4367" t="s">
        <v>65</v>
      </c>
      <c r="K4367" t="s">
        <v>40</v>
      </c>
      <c r="L4367">
        <v>3825</v>
      </c>
      <c r="M4367">
        <v>26.103529411764711</v>
      </c>
      <c r="N4367" t="s">
        <v>8</v>
      </c>
      <c r="O4367" t="s">
        <v>218</v>
      </c>
      <c r="P4367" t="s">
        <v>29</v>
      </c>
      <c r="Q4367" t="s">
        <v>30</v>
      </c>
      <c r="R4367" t="s">
        <v>31</v>
      </c>
      <c r="S4367" t="s">
        <v>32</v>
      </c>
      <c r="T4367" t="s">
        <v>219</v>
      </c>
      <c r="U4367" t="s">
        <v>100</v>
      </c>
      <c r="V4367">
        <v>998.46</v>
      </c>
    </row>
    <row r="4368" spans="1:22" x14ac:dyDescent="0.3">
      <c r="A4368" t="s">
        <v>5850</v>
      </c>
      <c r="B4368" s="2">
        <v>45889</v>
      </c>
      <c r="C4368" t="s">
        <v>293</v>
      </c>
      <c r="D4368" t="s">
        <v>70</v>
      </c>
      <c r="E4368" t="s">
        <v>165</v>
      </c>
      <c r="F4368">
        <v>1</v>
      </c>
      <c r="G4368">
        <v>0.15</v>
      </c>
      <c r="H4368">
        <v>2125</v>
      </c>
      <c r="I4368">
        <v>492.86</v>
      </c>
      <c r="J4368" t="s">
        <v>51</v>
      </c>
      <c r="K4368" t="s">
        <v>27</v>
      </c>
      <c r="L4368">
        <v>2125</v>
      </c>
      <c r="M4368">
        <v>23.193411764705878</v>
      </c>
      <c r="N4368" t="s">
        <v>8</v>
      </c>
      <c r="O4368" t="s">
        <v>294</v>
      </c>
      <c r="P4368" t="s">
        <v>73</v>
      </c>
      <c r="Q4368" t="s">
        <v>74</v>
      </c>
      <c r="R4368" t="s">
        <v>115</v>
      </c>
      <c r="S4368" t="s">
        <v>115</v>
      </c>
      <c r="T4368" t="s">
        <v>295</v>
      </c>
      <c r="U4368" t="s">
        <v>100</v>
      </c>
      <c r="V4368">
        <v>492.86</v>
      </c>
    </row>
    <row r="4369" spans="1:22" x14ac:dyDescent="0.3">
      <c r="A4369" t="s">
        <v>5851</v>
      </c>
      <c r="B4369" s="2">
        <v>46262</v>
      </c>
      <c r="C4369" t="s">
        <v>5645</v>
      </c>
      <c r="D4369" t="s">
        <v>49</v>
      </c>
      <c r="E4369" t="s">
        <v>79</v>
      </c>
      <c r="F4369">
        <v>4</v>
      </c>
      <c r="G4369">
        <v>0.15</v>
      </c>
      <c r="H4369">
        <v>37400</v>
      </c>
      <c r="I4369">
        <v>7213.39</v>
      </c>
      <c r="J4369" t="s">
        <v>39</v>
      </c>
      <c r="K4369" t="s">
        <v>40</v>
      </c>
      <c r="L4369">
        <v>9350</v>
      </c>
      <c r="M4369">
        <v>19.28713903743316</v>
      </c>
      <c r="N4369" t="s">
        <v>8</v>
      </c>
      <c r="O4369" t="s">
        <v>1945</v>
      </c>
      <c r="P4369" t="s">
        <v>29</v>
      </c>
      <c r="Q4369" t="s">
        <v>74</v>
      </c>
      <c r="R4369" t="s">
        <v>493</v>
      </c>
      <c r="S4369" t="s">
        <v>494</v>
      </c>
      <c r="T4369" t="s">
        <v>1469</v>
      </c>
      <c r="U4369" t="s">
        <v>34</v>
      </c>
      <c r="V4369">
        <v>1803.3475000000001</v>
      </c>
    </row>
    <row r="4370" spans="1:22" x14ac:dyDescent="0.3">
      <c r="A4370" t="s">
        <v>5852</v>
      </c>
      <c r="B4370" s="2">
        <v>46122</v>
      </c>
      <c r="C4370" t="s">
        <v>118</v>
      </c>
      <c r="D4370" t="s">
        <v>37</v>
      </c>
      <c r="E4370" t="s">
        <v>310</v>
      </c>
      <c r="F4370">
        <v>4</v>
      </c>
      <c r="G4370">
        <v>0</v>
      </c>
      <c r="H4370">
        <v>8800</v>
      </c>
      <c r="I4370">
        <v>3000</v>
      </c>
      <c r="J4370" t="s">
        <v>51</v>
      </c>
      <c r="K4370" t="s">
        <v>40</v>
      </c>
      <c r="L4370">
        <v>2200</v>
      </c>
      <c r="M4370">
        <v>34.090909090909093</v>
      </c>
      <c r="N4370" t="s">
        <v>8</v>
      </c>
      <c r="O4370" t="s">
        <v>120</v>
      </c>
      <c r="P4370" t="s">
        <v>73</v>
      </c>
      <c r="Q4370" t="s">
        <v>42</v>
      </c>
      <c r="R4370" t="s">
        <v>121</v>
      </c>
      <c r="S4370" t="s">
        <v>44</v>
      </c>
      <c r="T4370" t="s">
        <v>122</v>
      </c>
      <c r="U4370" t="s">
        <v>100</v>
      </c>
      <c r="V4370">
        <v>750</v>
      </c>
    </row>
    <row r="4371" spans="1:22" x14ac:dyDescent="0.3">
      <c r="A4371" t="s">
        <v>5853</v>
      </c>
      <c r="B4371" s="2">
        <v>45914</v>
      </c>
      <c r="C4371" t="s">
        <v>513</v>
      </c>
      <c r="D4371" t="s">
        <v>24</v>
      </c>
      <c r="E4371" t="s">
        <v>87</v>
      </c>
      <c r="F4371">
        <v>5</v>
      </c>
      <c r="G4371">
        <v>0.2</v>
      </c>
      <c r="H4371">
        <v>1400</v>
      </c>
      <c r="I4371">
        <v>330.27</v>
      </c>
      <c r="J4371" t="s">
        <v>65</v>
      </c>
      <c r="K4371" t="s">
        <v>40</v>
      </c>
      <c r="L4371">
        <v>280</v>
      </c>
      <c r="M4371">
        <v>23.590714285714281</v>
      </c>
      <c r="N4371" t="s">
        <v>8</v>
      </c>
      <c r="O4371" t="s">
        <v>514</v>
      </c>
      <c r="P4371" t="s">
        <v>73</v>
      </c>
      <c r="Q4371" t="s">
        <v>131</v>
      </c>
      <c r="R4371" t="s">
        <v>449</v>
      </c>
      <c r="S4371" t="s">
        <v>450</v>
      </c>
      <c r="T4371" t="s">
        <v>515</v>
      </c>
      <c r="U4371" t="s">
        <v>100</v>
      </c>
      <c r="V4371">
        <v>66.054000000000002</v>
      </c>
    </row>
    <row r="4372" spans="1:22" x14ac:dyDescent="0.3">
      <c r="A4372" t="s">
        <v>5854</v>
      </c>
      <c r="B4372" s="2">
        <v>46098</v>
      </c>
      <c r="C4372" t="s">
        <v>1125</v>
      </c>
      <c r="D4372" t="s">
        <v>49</v>
      </c>
      <c r="E4372" t="s">
        <v>79</v>
      </c>
      <c r="F4372">
        <v>2</v>
      </c>
      <c r="G4372">
        <v>0</v>
      </c>
      <c r="H4372">
        <v>22000</v>
      </c>
      <c r="I4372">
        <v>5200</v>
      </c>
      <c r="J4372" t="s">
        <v>65</v>
      </c>
      <c r="K4372" t="s">
        <v>40</v>
      </c>
      <c r="L4372">
        <v>11000</v>
      </c>
      <c r="M4372">
        <v>23.63636363636364</v>
      </c>
      <c r="N4372" t="s">
        <v>8</v>
      </c>
      <c r="O4372" t="s">
        <v>754</v>
      </c>
      <c r="P4372" t="s">
        <v>83</v>
      </c>
      <c r="Q4372" t="s">
        <v>74</v>
      </c>
      <c r="R4372" t="s">
        <v>493</v>
      </c>
      <c r="S4372" t="s">
        <v>494</v>
      </c>
      <c r="T4372" t="s">
        <v>822</v>
      </c>
      <c r="U4372" t="s">
        <v>46</v>
      </c>
      <c r="V4372">
        <v>2600</v>
      </c>
    </row>
    <row r="4373" spans="1:22" x14ac:dyDescent="0.3">
      <c r="A4373" t="s">
        <v>5855</v>
      </c>
      <c r="B4373" s="2">
        <v>45994</v>
      </c>
      <c r="C4373" t="s">
        <v>921</v>
      </c>
      <c r="D4373" t="s">
        <v>24</v>
      </c>
      <c r="E4373" t="s">
        <v>25</v>
      </c>
      <c r="F4373">
        <v>6</v>
      </c>
      <c r="G4373">
        <v>0.2</v>
      </c>
      <c r="H4373">
        <v>67200</v>
      </c>
      <c r="I4373">
        <v>8580.56</v>
      </c>
      <c r="J4373" t="s">
        <v>51</v>
      </c>
      <c r="K4373" t="s">
        <v>40</v>
      </c>
      <c r="L4373">
        <v>11200</v>
      </c>
      <c r="M4373">
        <v>12.76869047619047</v>
      </c>
      <c r="N4373" t="s">
        <v>8</v>
      </c>
      <c r="O4373" t="s">
        <v>922</v>
      </c>
      <c r="P4373" t="s">
        <v>29</v>
      </c>
      <c r="Q4373" t="s">
        <v>30</v>
      </c>
      <c r="R4373" t="s">
        <v>53</v>
      </c>
      <c r="S4373" t="s">
        <v>54</v>
      </c>
      <c r="T4373" t="s">
        <v>923</v>
      </c>
      <c r="U4373" t="s">
        <v>105</v>
      </c>
      <c r="V4373">
        <v>1430.093333333333</v>
      </c>
    </row>
    <row r="4374" spans="1:22" x14ac:dyDescent="0.3">
      <c r="A4374" t="s">
        <v>5856</v>
      </c>
      <c r="B4374" s="2">
        <v>45895</v>
      </c>
      <c r="C4374" t="s">
        <v>1334</v>
      </c>
      <c r="D4374" t="s">
        <v>37</v>
      </c>
      <c r="E4374" t="s">
        <v>310</v>
      </c>
      <c r="F4374">
        <v>1</v>
      </c>
      <c r="G4374">
        <v>0.05</v>
      </c>
      <c r="H4374">
        <v>2090</v>
      </c>
      <c r="I4374">
        <v>676.07</v>
      </c>
      <c r="J4374" t="s">
        <v>39</v>
      </c>
      <c r="K4374" t="s">
        <v>40</v>
      </c>
      <c r="L4374">
        <v>2090</v>
      </c>
      <c r="M4374">
        <v>32.347846889952152</v>
      </c>
      <c r="N4374" t="s">
        <v>8</v>
      </c>
      <c r="O4374" t="s">
        <v>1335</v>
      </c>
      <c r="P4374" t="s">
        <v>29</v>
      </c>
      <c r="Q4374" t="s">
        <v>131</v>
      </c>
      <c r="R4374" t="s">
        <v>289</v>
      </c>
      <c r="S4374" t="s">
        <v>290</v>
      </c>
      <c r="T4374" t="s">
        <v>1336</v>
      </c>
      <c r="U4374" t="s">
        <v>46</v>
      </c>
      <c r="V4374">
        <v>676.07</v>
      </c>
    </row>
    <row r="4375" spans="1:22" x14ac:dyDescent="0.3">
      <c r="A4375" t="s">
        <v>5857</v>
      </c>
      <c r="B4375" s="2">
        <v>45845</v>
      </c>
      <c r="C4375" t="s">
        <v>897</v>
      </c>
      <c r="D4375" t="s">
        <v>49</v>
      </c>
      <c r="E4375" t="s">
        <v>119</v>
      </c>
      <c r="F4375">
        <v>1</v>
      </c>
      <c r="G4375">
        <v>0.2</v>
      </c>
      <c r="H4375">
        <v>7200</v>
      </c>
      <c r="I4375">
        <v>1098.45</v>
      </c>
      <c r="J4375" t="s">
        <v>39</v>
      </c>
      <c r="K4375" t="s">
        <v>40</v>
      </c>
      <c r="L4375">
        <v>7200</v>
      </c>
      <c r="M4375">
        <v>15.25625</v>
      </c>
      <c r="N4375" t="s">
        <v>8</v>
      </c>
      <c r="O4375" t="s">
        <v>607</v>
      </c>
      <c r="P4375" t="s">
        <v>73</v>
      </c>
      <c r="Q4375" t="s">
        <v>30</v>
      </c>
      <c r="R4375" t="s">
        <v>31</v>
      </c>
      <c r="S4375" t="s">
        <v>32</v>
      </c>
      <c r="T4375" t="s">
        <v>898</v>
      </c>
      <c r="U4375" t="s">
        <v>34</v>
      </c>
      <c r="V4375">
        <v>1098.45</v>
      </c>
    </row>
    <row r="4376" spans="1:22" x14ac:dyDescent="0.3">
      <c r="A4376" t="s">
        <v>5858</v>
      </c>
      <c r="B4376" s="2">
        <v>46016</v>
      </c>
      <c r="C4376" t="s">
        <v>1164</v>
      </c>
      <c r="D4376" t="s">
        <v>70</v>
      </c>
      <c r="E4376" t="s">
        <v>165</v>
      </c>
      <c r="F4376">
        <v>3</v>
      </c>
      <c r="G4376">
        <v>0.05</v>
      </c>
      <c r="H4376">
        <v>7125</v>
      </c>
      <c r="I4376">
        <v>2091.0500000000002</v>
      </c>
      <c r="J4376" t="s">
        <v>39</v>
      </c>
      <c r="K4376" t="s">
        <v>40</v>
      </c>
      <c r="L4376">
        <v>2375</v>
      </c>
      <c r="M4376">
        <v>29.3480701754386</v>
      </c>
      <c r="N4376" t="s">
        <v>8</v>
      </c>
      <c r="O4376" t="s">
        <v>284</v>
      </c>
      <c r="P4376" t="s">
        <v>29</v>
      </c>
      <c r="Q4376" t="s">
        <v>30</v>
      </c>
      <c r="R4376" t="s">
        <v>98</v>
      </c>
      <c r="S4376" t="s">
        <v>54</v>
      </c>
      <c r="T4376" t="s">
        <v>1165</v>
      </c>
      <c r="U4376" t="s">
        <v>105</v>
      </c>
      <c r="V4376">
        <v>697.01666666666677</v>
      </c>
    </row>
    <row r="4377" spans="1:22" x14ac:dyDescent="0.3">
      <c r="A4377" t="s">
        <v>5859</v>
      </c>
      <c r="B4377" s="2">
        <v>46001</v>
      </c>
      <c r="C4377" t="s">
        <v>1676</v>
      </c>
      <c r="D4377" t="s">
        <v>24</v>
      </c>
      <c r="E4377" t="s">
        <v>87</v>
      </c>
      <c r="F4377">
        <v>4</v>
      </c>
      <c r="G4377">
        <v>0.1</v>
      </c>
      <c r="H4377">
        <v>1260</v>
      </c>
      <c r="I4377">
        <v>415.63</v>
      </c>
      <c r="J4377" t="s">
        <v>65</v>
      </c>
      <c r="K4377" t="s">
        <v>40</v>
      </c>
      <c r="L4377">
        <v>315</v>
      </c>
      <c r="M4377">
        <v>32.986507936507927</v>
      </c>
      <c r="N4377" t="s">
        <v>8</v>
      </c>
      <c r="O4377" t="s">
        <v>1649</v>
      </c>
      <c r="P4377" t="s">
        <v>73</v>
      </c>
      <c r="Q4377" t="s">
        <v>30</v>
      </c>
      <c r="R4377" t="s">
        <v>31</v>
      </c>
      <c r="S4377" t="s">
        <v>32</v>
      </c>
      <c r="T4377" t="s">
        <v>1677</v>
      </c>
      <c r="U4377" t="s">
        <v>46</v>
      </c>
      <c r="V4377">
        <v>103.9075</v>
      </c>
    </row>
    <row r="4378" spans="1:22" x14ac:dyDescent="0.3">
      <c r="A4378" t="s">
        <v>5860</v>
      </c>
      <c r="B4378" s="2">
        <v>45874</v>
      </c>
      <c r="C4378" t="s">
        <v>1984</v>
      </c>
      <c r="D4378" t="s">
        <v>24</v>
      </c>
      <c r="E4378" t="s">
        <v>87</v>
      </c>
      <c r="F4378">
        <v>1</v>
      </c>
      <c r="G4378">
        <v>0.1</v>
      </c>
      <c r="H4378">
        <v>315</v>
      </c>
      <c r="I4378">
        <v>92.98</v>
      </c>
      <c r="J4378" t="s">
        <v>51</v>
      </c>
      <c r="K4378" t="s">
        <v>40</v>
      </c>
      <c r="L4378">
        <v>315</v>
      </c>
      <c r="M4378">
        <v>29.517460317460319</v>
      </c>
      <c r="N4378" t="s">
        <v>8</v>
      </c>
      <c r="O4378" t="s">
        <v>959</v>
      </c>
      <c r="P4378" t="s">
        <v>73</v>
      </c>
      <c r="Q4378" t="s">
        <v>74</v>
      </c>
      <c r="R4378" t="s">
        <v>493</v>
      </c>
      <c r="S4378" t="s">
        <v>494</v>
      </c>
      <c r="T4378" t="s">
        <v>1985</v>
      </c>
      <c r="U4378" t="s">
        <v>100</v>
      </c>
      <c r="V4378">
        <v>92.98</v>
      </c>
    </row>
    <row r="4379" spans="1:22" x14ac:dyDescent="0.3">
      <c r="A4379" t="s">
        <v>5861</v>
      </c>
      <c r="B4379" s="2">
        <v>46153</v>
      </c>
      <c r="C4379" t="s">
        <v>2517</v>
      </c>
      <c r="D4379" t="s">
        <v>70</v>
      </c>
      <c r="E4379" t="s">
        <v>129</v>
      </c>
      <c r="F4379">
        <v>1</v>
      </c>
      <c r="G4379">
        <v>0.05</v>
      </c>
      <c r="H4379">
        <v>52250</v>
      </c>
      <c r="I4379">
        <v>-6773.14</v>
      </c>
      <c r="J4379" t="s">
        <v>51</v>
      </c>
      <c r="K4379" t="s">
        <v>80</v>
      </c>
      <c r="L4379">
        <v>52250</v>
      </c>
      <c r="M4379">
        <v>-12.962947368421061</v>
      </c>
      <c r="N4379" t="s">
        <v>81</v>
      </c>
      <c r="O4379" t="s">
        <v>2518</v>
      </c>
      <c r="P4379" t="s">
        <v>29</v>
      </c>
      <c r="Q4379" t="s">
        <v>131</v>
      </c>
      <c r="R4379" t="s">
        <v>449</v>
      </c>
      <c r="S4379" t="s">
        <v>450</v>
      </c>
      <c r="T4379" t="s">
        <v>898</v>
      </c>
      <c r="U4379" t="s">
        <v>105</v>
      </c>
      <c r="V4379">
        <v>-6773.14</v>
      </c>
    </row>
    <row r="4380" spans="1:22" x14ac:dyDescent="0.3">
      <c r="A4380" t="s">
        <v>5862</v>
      </c>
      <c r="B4380" s="2">
        <v>46177</v>
      </c>
      <c r="C4380" t="s">
        <v>1637</v>
      </c>
      <c r="D4380" t="s">
        <v>49</v>
      </c>
      <c r="E4380" t="s">
        <v>58</v>
      </c>
      <c r="F4380">
        <v>3</v>
      </c>
      <c r="G4380">
        <v>0.05</v>
      </c>
      <c r="H4380">
        <v>42750</v>
      </c>
      <c r="I4380">
        <v>9143.24</v>
      </c>
      <c r="J4380" t="s">
        <v>65</v>
      </c>
      <c r="K4380" t="s">
        <v>40</v>
      </c>
      <c r="L4380">
        <v>14250</v>
      </c>
      <c r="M4380">
        <v>21.38769590643275</v>
      </c>
      <c r="N4380" t="s">
        <v>8</v>
      </c>
      <c r="O4380" t="s">
        <v>697</v>
      </c>
      <c r="P4380" t="s">
        <v>29</v>
      </c>
      <c r="Q4380" t="s">
        <v>30</v>
      </c>
      <c r="R4380" t="s">
        <v>31</v>
      </c>
      <c r="S4380" t="s">
        <v>32</v>
      </c>
      <c r="T4380" t="s">
        <v>1638</v>
      </c>
      <c r="U4380" t="s">
        <v>46</v>
      </c>
      <c r="V4380">
        <v>3047.746666666666</v>
      </c>
    </row>
    <row r="4381" spans="1:22" x14ac:dyDescent="0.3">
      <c r="A4381" t="s">
        <v>5863</v>
      </c>
      <c r="B4381" s="2">
        <v>45997</v>
      </c>
      <c r="C4381" t="s">
        <v>566</v>
      </c>
      <c r="D4381" t="s">
        <v>24</v>
      </c>
      <c r="E4381" t="s">
        <v>92</v>
      </c>
      <c r="F4381">
        <v>1</v>
      </c>
      <c r="G4381">
        <v>0.1</v>
      </c>
      <c r="H4381">
        <v>810</v>
      </c>
      <c r="I4381">
        <v>219.45</v>
      </c>
      <c r="J4381" t="s">
        <v>51</v>
      </c>
      <c r="K4381" t="s">
        <v>40</v>
      </c>
      <c r="L4381">
        <v>810</v>
      </c>
      <c r="M4381">
        <v>27.092592592592592</v>
      </c>
      <c r="N4381" t="s">
        <v>8</v>
      </c>
      <c r="O4381" t="s">
        <v>567</v>
      </c>
      <c r="P4381" t="s">
        <v>29</v>
      </c>
      <c r="Q4381" t="s">
        <v>131</v>
      </c>
      <c r="R4381" t="s">
        <v>289</v>
      </c>
      <c r="S4381" t="s">
        <v>290</v>
      </c>
      <c r="T4381" t="s">
        <v>568</v>
      </c>
      <c r="U4381" t="s">
        <v>46</v>
      </c>
      <c r="V4381">
        <v>219.45</v>
      </c>
    </row>
    <row r="4382" spans="1:22" x14ac:dyDescent="0.3">
      <c r="A4382" t="s">
        <v>5864</v>
      </c>
      <c r="B4382" s="2">
        <v>45983</v>
      </c>
      <c r="C4382" t="s">
        <v>522</v>
      </c>
      <c r="D4382" t="s">
        <v>70</v>
      </c>
      <c r="E4382" t="s">
        <v>165</v>
      </c>
      <c r="F4382">
        <v>4</v>
      </c>
      <c r="G4382">
        <v>0</v>
      </c>
      <c r="H4382">
        <v>10000</v>
      </c>
      <c r="I4382">
        <v>3200</v>
      </c>
      <c r="J4382" t="s">
        <v>65</v>
      </c>
      <c r="K4382" t="s">
        <v>40</v>
      </c>
      <c r="L4382">
        <v>2500</v>
      </c>
      <c r="M4382">
        <v>32</v>
      </c>
      <c r="N4382" t="s">
        <v>8</v>
      </c>
      <c r="O4382" t="s">
        <v>523</v>
      </c>
      <c r="P4382" t="s">
        <v>73</v>
      </c>
      <c r="Q4382" t="s">
        <v>30</v>
      </c>
      <c r="R4382" t="s">
        <v>98</v>
      </c>
      <c r="S4382" t="s">
        <v>54</v>
      </c>
      <c r="T4382" t="s">
        <v>62</v>
      </c>
      <c r="U4382" t="s">
        <v>46</v>
      </c>
      <c r="V4382">
        <v>800</v>
      </c>
    </row>
    <row r="4383" spans="1:22" x14ac:dyDescent="0.3">
      <c r="A4383" t="s">
        <v>5865</v>
      </c>
      <c r="B4383" s="2">
        <v>46234</v>
      </c>
      <c r="C4383" t="s">
        <v>525</v>
      </c>
      <c r="D4383" t="s">
        <v>37</v>
      </c>
      <c r="E4383" t="s">
        <v>310</v>
      </c>
      <c r="F4383">
        <v>10</v>
      </c>
      <c r="G4383">
        <v>0.05</v>
      </c>
      <c r="H4383">
        <v>20900</v>
      </c>
      <c r="I4383">
        <v>6796.85</v>
      </c>
      <c r="J4383" t="s">
        <v>65</v>
      </c>
      <c r="K4383" t="s">
        <v>40</v>
      </c>
      <c r="L4383">
        <v>2090</v>
      </c>
      <c r="M4383">
        <v>32.520813397129189</v>
      </c>
      <c r="N4383" t="s">
        <v>8</v>
      </c>
      <c r="O4383" t="s">
        <v>526</v>
      </c>
      <c r="P4383" t="s">
        <v>29</v>
      </c>
      <c r="Q4383" t="s">
        <v>30</v>
      </c>
      <c r="R4383" t="s">
        <v>98</v>
      </c>
      <c r="S4383" t="s">
        <v>54</v>
      </c>
      <c r="T4383" t="s">
        <v>527</v>
      </c>
      <c r="U4383" t="s">
        <v>34</v>
      </c>
      <c r="V4383">
        <v>679.68500000000006</v>
      </c>
    </row>
    <row r="4384" spans="1:22" x14ac:dyDescent="0.3">
      <c r="A4384" t="s">
        <v>5866</v>
      </c>
      <c r="B4384" s="2">
        <v>46011</v>
      </c>
      <c r="C4384" t="s">
        <v>1293</v>
      </c>
      <c r="D4384" t="s">
        <v>24</v>
      </c>
      <c r="E4384" t="s">
        <v>242</v>
      </c>
      <c r="F4384">
        <v>3</v>
      </c>
      <c r="G4384">
        <v>0.15</v>
      </c>
      <c r="H4384">
        <v>1147.5</v>
      </c>
      <c r="I4384">
        <v>218.34</v>
      </c>
      <c r="J4384" t="s">
        <v>26</v>
      </c>
      <c r="K4384" t="s">
        <v>40</v>
      </c>
      <c r="L4384">
        <v>382.5</v>
      </c>
      <c r="M4384">
        <v>19.02745098039216</v>
      </c>
      <c r="N4384" t="s">
        <v>8</v>
      </c>
      <c r="O4384" t="s">
        <v>1294</v>
      </c>
      <c r="P4384" t="s">
        <v>83</v>
      </c>
      <c r="Q4384" t="s">
        <v>74</v>
      </c>
      <c r="R4384" t="s">
        <v>115</v>
      </c>
      <c r="S4384" t="s">
        <v>115</v>
      </c>
      <c r="T4384" t="s">
        <v>1295</v>
      </c>
      <c r="U4384" t="s">
        <v>46</v>
      </c>
      <c r="V4384">
        <v>72.78</v>
      </c>
    </row>
    <row r="4385" spans="1:22" x14ac:dyDescent="0.3">
      <c r="A4385" t="s">
        <v>5867</v>
      </c>
      <c r="B4385" s="2">
        <v>45967</v>
      </c>
      <c r="C4385" t="s">
        <v>2495</v>
      </c>
      <c r="D4385" t="s">
        <v>37</v>
      </c>
      <c r="E4385" t="s">
        <v>38</v>
      </c>
      <c r="F4385">
        <v>3</v>
      </c>
      <c r="G4385">
        <v>0.15</v>
      </c>
      <c r="H4385">
        <v>4590</v>
      </c>
      <c r="I4385">
        <v>1439.43</v>
      </c>
      <c r="J4385" t="s">
        <v>26</v>
      </c>
      <c r="K4385" t="s">
        <v>40</v>
      </c>
      <c r="L4385">
        <v>1530</v>
      </c>
      <c r="M4385">
        <v>31.360130718954249</v>
      </c>
      <c r="N4385" t="s">
        <v>8</v>
      </c>
      <c r="O4385" t="s">
        <v>1831</v>
      </c>
      <c r="P4385" t="s">
        <v>29</v>
      </c>
      <c r="Q4385" t="s">
        <v>74</v>
      </c>
      <c r="R4385" t="s">
        <v>237</v>
      </c>
      <c r="S4385" t="s">
        <v>238</v>
      </c>
      <c r="T4385" t="s">
        <v>2496</v>
      </c>
      <c r="U4385" t="s">
        <v>46</v>
      </c>
      <c r="V4385">
        <v>479.81</v>
      </c>
    </row>
    <row r="4386" spans="1:22" x14ac:dyDescent="0.3">
      <c r="A4386" t="s">
        <v>5868</v>
      </c>
      <c r="B4386" s="2">
        <v>46014</v>
      </c>
      <c r="C4386" t="s">
        <v>178</v>
      </c>
      <c r="D4386" t="s">
        <v>49</v>
      </c>
      <c r="E4386" t="s">
        <v>119</v>
      </c>
      <c r="F4386">
        <v>4</v>
      </c>
      <c r="G4386">
        <v>0.1</v>
      </c>
      <c r="H4386">
        <v>32400</v>
      </c>
      <c r="I4386">
        <v>6454.47</v>
      </c>
      <c r="J4386" t="s">
        <v>65</v>
      </c>
      <c r="K4386" t="s">
        <v>40</v>
      </c>
      <c r="L4386">
        <v>8100</v>
      </c>
      <c r="M4386">
        <v>19.9212037037037</v>
      </c>
      <c r="N4386" t="s">
        <v>8</v>
      </c>
      <c r="O4386" t="s">
        <v>179</v>
      </c>
      <c r="P4386" t="s">
        <v>83</v>
      </c>
      <c r="Q4386" t="s">
        <v>30</v>
      </c>
      <c r="R4386" t="s">
        <v>31</v>
      </c>
      <c r="S4386" t="s">
        <v>32</v>
      </c>
      <c r="T4386" t="s">
        <v>180</v>
      </c>
      <c r="U4386" t="s">
        <v>105</v>
      </c>
      <c r="V4386">
        <v>1613.6175000000001</v>
      </c>
    </row>
    <row r="4387" spans="1:22" x14ac:dyDescent="0.3">
      <c r="A4387" t="s">
        <v>5869</v>
      </c>
      <c r="B4387" s="2">
        <v>45933</v>
      </c>
      <c r="C4387" t="s">
        <v>766</v>
      </c>
      <c r="D4387" t="s">
        <v>49</v>
      </c>
      <c r="E4387" t="s">
        <v>58</v>
      </c>
      <c r="F4387">
        <v>6</v>
      </c>
      <c r="G4387">
        <v>0.3</v>
      </c>
      <c r="H4387">
        <v>63000</v>
      </c>
      <c r="I4387">
        <v>-1490.16</v>
      </c>
      <c r="J4387" t="s">
        <v>51</v>
      </c>
      <c r="K4387" t="s">
        <v>27</v>
      </c>
      <c r="L4387">
        <v>10500</v>
      </c>
      <c r="M4387">
        <v>-2.365333333333334</v>
      </c>
      <c r="N4387" t="s">
        <v>81</v>
      </c>
      <c r="O4387" t="s">
        <v>195</v>
      </c>
      <c r="P4387" t="s">
        <v>29</v>
      </c>
      <c r="Q4387" t="s">
        <v>42</v>
      </c>
      <c r="R4387" t="s">
        <v>43</v>
      </c>
      <c r="S4387" t="s">
        <v>44</v>
      </c>
      <c r="T4387" t="s">
        <v>767</v>
      </c>
      <c r="U4387" t="s">
        <v>105</v>
      </c>
      <c r="V4387">
        <v>-248.36</v>
      </c>
    </row>
    <row r="4388" spans="1:22" x14ac:dyDescent="0.3">
      <c r="A4388" t="s">
        <v>5870</v>
      </c>
      <c r="B4388" s="2">
        <v>46107</v>
      </c>
      <c r="C4388" t="s">
        <v>481</v>
      </c>
      <c r="D4388" t="s">
        <v>37</v>
      </c>
      <c r="E4388" t="s">
        <v>170</v>
      </c>
      <c r="F4388">
        <v>1</v>
      </c>
      <c r="G4388">
        <v>0.05</v>
      </c>
      <c r="H4388">
        <v>1330</v>
      </c>
      <c r="I4388">
        <v>461.18</v>
      </c>
      <c r="J4388" t="s">
        <v>51</v>
      </c>
      <c r="K4388" t="s">
        <v>40</v>
      </c>
      <c r="L4388">
        <v>1330</v>
      </c>
      <c r="M4388">
        <v>34.675187969924806</v>
      </c>
      <c r="N4388" t="s">
        <v>8</v>
      </c>
      <c r="O4388" t="s">
        <v>482</v>
      </c>
      <c r="P4388" t="s">
        <v>83</v>
      </c>
      <c r="Q4388" t="s">
        <v>30</v>
      </c>
      <c r="R4388" t="s">
        <v>31</v>
      </c>
      <c r="S4388" t="s">
        <v>32</v>
      </c>
      <c r="T4388" t="s">
        <v>483</v>
      </c>
      <c r="U4388" t="s">
        <v>46</v>
      </c>
      <c r="V4388">
        <v>461.18</v>
      </c>
    </row>
    <row r="4389" spans="1:22" x14ac:dyDescent="0.3">
      <c r="A4389" t="s">
        <v>5871</v>
      </c>
      <c r="B4389" s="2">
        <v>45969</v>
      </c>
      <c r="C4389" t="s">
        <v>1181</v>
      </c>
      <c r="D4389" t="s">
        <v>70</v>
      </c>
      <c r="E4389" t="s">
        <v>129</v>
      </c>
      <c r="F4389">
        <v>1</v>
      </c>
      <c r="G4389">
        <v>0.05</v>
      </c>
      <c r="H4389">
        <v>52250</v>
      </c>
      <c r="I4389">
        <v>-22985.65</v>
      </c>
      <c r="J4389" t="s">
        <v>39</v>
      </c>
      <c r="K4389" t="s">
        <v>80</v>
      </c>
      <c r="L4389">
        <v>52250</v>
      </c>
      <c r="M4389">
        <v>-43.991674641148329</v>
      </c>
      <c r="N4389" t="s">
        <v>81</v>
      </c>
      <c r="O4389" t="s">
        <v>1182</v>
      </c>
      <c r="P4389" t="s">
        <v>29</v>
      </c>
      <c r="Q4389" t="s">
        <v>30</v>
      </c>
      <c r="R4389" t="s">
        <v>31</v>
      </c>
      <c r="S4389" t="s">
        <v>32</v>
      </c>
      <c r="T4389" t="s">
        <v>206</v>
      </c>
      <c r="U4389" t="s">
        <v>46</v>
      </c>
      <c r="V4389">
        <v>-22985.65</v>
      </c>
    </row>
    <row r="4390" spans="1:22" x14ac:dyDescent="0.3">
      <c r="A4390" t="s">
        <v>5872</v>
      </c>
      <c r="B4390" s="2">
        <v>46221</v>
      </c>
      <c r="C4390" t="s">
        <v>1224</v>
      </c>
      <c r="D4390" t="s">
        <v>37</v>
      </c>
      <c r="E4390" t="s">
        <v>170</v>
      </c>
      <c r="F4390">
        <v>2</v>
      </c>
      <c r="G4390">
        <v>0</v>
      </c>
      <c r="H4390">
        <v>2800</v>
      </c>
      <c r="I4390">
        <v>1000</v>
      </c>
      <c r="J4390" t="s">
        <v>39</v>
      </c>
      <c r="K4390" t="s">
        <v>40</v>
      </c>
      <c r="L4390">
        <v>1400</v>
      </c>
      <c r="M4390">
        <v>35.714285714285722</v>
      </c>
      <c r="N4390" t="s">
        <v>8</v>
      </c>
      <c r="O4390" t="s">
        <v>1225</v>
      </c>
      <c r="P4390" t="s">
        <v>29</v>
      </c>
      <c r="Q4390" t="s">
        <v>74</v>
      </c>
      <c r="R4390" t="s">
        <v>75</v>
      </c>
      <c r="S4390" t="s">
        <v>75</v>
      </c>
      <c r="T4390" t="s">
        <v>342</v>
      </c>
      <c r="U4390" t="s">
        <v>34</v>
      </c>
      <c r="V4390">
        <v>500</v>
      </c>
    </row>
    <row r="4391" spans="1:22" x14ac:dyDescent="0.3">
      <c r="A4391" t="s">
        <v>5873</v>
      </c>
      <c r="B4391" s="2">
        <v>46165</v>
      </c>
      <c r="C4391" t="s">
        <v>1939</v>
      </c>
      <c r="D4391" t="s">
        <v>37</v>
      </c>
      <c r="E4391" t="s">
        <v>38</v>
      </c>
      <c r="F4391">
        <v>4</v>
      </c>
      <c r="G4391">
        <v>0.2</v>
      </c>
      <c r="H4391">
        <v>5760</v>
      </c>
      <c r="I4391">
        <v>1686.47</v>
      </c>
      <c r="J4391" t="s">
        <v>39</v>
      </c>
      <c r="K4391" t="s">
        <v>40</v>
      </c>
      <c r="L4391">
        <v>1440</v>
      </c>
      <c r="M4391">
        <v>29.27899305555556</v>
      </c>
      <c r="N4391" t="s">
        <v>8</v>
      </c>
      <c r="O4391" t="s">
        <v>1940</v>
      </c>
      <c r="P4391" t="s">
        <v>29</v>
      </c>
      <c r="Q4391" t="s">
        <v>74</v>
      </c>
      <c r="R4391" t="s">
        <v>237</v>
      </c>
      <c r="S4391" t="s">
        <v>238</v>
      </c>
      <c r="T4391" t="s">
        <v>1839</v>
      </c>
      <c r="U4391" t="s">
        <v>46</v>
      </c>
      <c r="V4391">
        <v>421.61750000000001</v>
      </c>
    </row>
    <row r="4392" spans="1:22" x14ac:dyDescent="0.3">
      <c r="A4392" t="s">
        <v>5874</v>
      </c>
      <c r="B4392" s="2">
        <v>46218</v>
      </c>
      <c r="C4392" t="s">
        <v>148</v>
      </c>
      <c r="D4392" t="s">
        <v>70</v>
      </c>
      <c r="E4392" t="s">
        <v>108</v>
      </c>
      <c r="F4392">
        <v>2</v>
      </c>
      <c r="G4392">
        <v>0.1</v>
      </c>
      <c r="H4392">
        <v>8100</v>
      </c>
      <c r="I4392">
        <v>-3168.86</v>
      </c>
      <c r="J4392" t="s">
        <v>65</v>
      </c>
      <c r="K4392" t="s">
        <v>434</v>
      </c>
      <c r="L4392">
        <v>4050</v>
      </c>
      <c r="M4392">
        <v>-39.12172839506173</v>
      </c>
      <c r="N4392" t="s">
        <v>81</v>
      </c>
      <c r="O4392" t="s">
        <v>149</v>
      </c>
      <c r="P4392" t="s">
        <v>29</v>
      </c>
      <c r="Q4392" t="s">
        <v>30</v>
      </c>
      <c r="R4392" t="s">
        <v>60</v>
      </c>
      <c r="S4392" t="s">
        <v>61</v>
      </c>
      <c r="T4392" t="s">
        <v>150</v>
      </c>
      <c r="U4392" t="s">
        <v>105</v>
      </c>
      <c r="V4392">
        <v>-1584.43</v>
      </c>
    </row>
    <row r="4393" spans="1:22" x14ac:dyDescent="0.3">
      <c r="A4393" t="s">
        <v>5875</v>
      </c>
      <c r="B4393" s="2">
        <v>46198</v>
      </c>
      <c r="C4393" t="s">
        <v>2257</v>
      </c>
      <c r="D4393" t="s">
        <v>70</v>
      </c>
      <c r="E4393" t="s">
        <v>71</v>
      </c>
      <c r="F4393">
        <v>1</v>
      </c>
      <c r="G4393">
        <v>0.05</v>
      </c>
      <c r="H4393">
        <v>17100</v>
      </c>
      <c r="I4393">
        <v>-8029.5</v>
      </c>
      <c r="J4393" t="s">
        <v>51</v>
      </c>
      <c r="K4393" t="s">
        <v>80</v>
      </c>
      <c r="L4393">
        <v>17100</v>
      </c>
      <c r="M4393">
        <v>-46.956140350877199</v>
      </c>
      <c r="N4393" t="s">
        <v>81</v>
      </c>
      <c r="O4393" t="s">
        <v>626</v>
      </c>
      <c r="P4393" t="s">
        <v>29</v>
      </c>
      <c r="Q4393" t="s">
        <v>42</v>
      </c>
      <c r="R4393" t="s">
        <v>110</v>
      </c>
      <c r="S4393" t="s">
        <v>111</v>
      </c>
      <c r="T4393" t="s">
        <v>2258</v>
      </c>
      <c r="U4393" t="s">
        <v>46</v>
      </c>
      <c r="V4393">
        <v>-8029.5</v>
      </c>
    </row>
    <row r="4394" spans="1:22" x14ac:dyDescent="0.3">
      <c r="A4394" t="s">
        <v>5876</v>
      </c>
      <c r="B4394" s="2">
        <v>45904</v>
      </c>
      <c r="C4394" t="s">
        <v>2925</v>
      </c>
      <c r="D4394" t="s">
        <v>37</v>
      </c>
      <c r="E4394" t="s">
        <v>190</v>
      </c>
      <c r="F4394">
        <v>3</v>
      </c>
      <c r="G4394">
        <v>0.2</v>
      </c>
      <c r="H4394">
        <v>10080</v>
      </c>
      <c r="I4394">
        <v>2143.81</v>
      </c>
      <c r="J4394" t="s">
        <v>51</v>
      </c>
      <c r="K4394" t="s">
        <v>40</v>
      </c>
      <c r="L4394">
        <v>3360</v>
      </c>
      <c r="M4394">
        <v>21.267956349206351</v>
      </c>
      <c r="N4394" t="s">
        <v>8</v>
      </c>
      <c r="O4394" t="s">
        <v>1117</v>
      </c>
      <c r="P4394" t="s">
        <v>29</v>
      </c>
      <c r="Q4394" t="s">
        <v>74</v>
      </c>
      <c r="R4394" t="s">
        <v>493</v>
      </c>
      <c r="S4394" t="s">
        <v>494</v>
      </c>
      <c r="T4394" t="s">
        <v>395</v>
      </c>
      <c r="U4394" t="s">
        <v>105</v>
      </c>
      <c r="V4394">
        <v>714.60333333333335</v>
      </c>
    </row>
    <row r="4395" spans="1:22" x14ac:dyDescent="0.3">
      <c r="A4395" t="s">
        <v>5877</v>
      </c>
      <c r="B4395" s="2">
        <v>46163</v>
      </c>
      <c r="C4395" t="s">
        <v>2678</v>
      </c>
      <c r="D4395" t="s">
        <v>49</v>
      </c>
      <c r="E4395" t="s">
        <v>119</v>
      </c>
      <c r="F4395">
        <v>2</v>
      </c>
      <c r="G4395">
        <v>0</v>
      </c>
      <c r="H4395">
        <v>18000</v>
      </c>
      <c r="I4395">
        <v>4600</v>
      </c>
      <c r="J4395" t="s">
        <v>65</v>
      </c>
      <c r="K4395" t="s">
        <v>40</v>
      </c>
      <c r="L4395">
        <v>9000</v>
      </c>
      <c r="M4395">
        <v>25.55555555555555</v>
      </c>
      <c r="N4395" t="s">
        <v>8</v>
      </c>
      <c r="O4395" t="s">
        <v>510</v>
      </c>
      <c r="P4395" t="s">
        <v>29</v>
      </c>
      <c r="Q4395" t="s">
        <v>42</v>
      </c>
      <c r="R4395" t="s">
        <v>43</v>
      </c>
      <c r="S4395" t="s">
        <v>44</v>
      </c>
      <c r="T4395" t="s">
        <v>2679</v>
      </c>
      <c r="U4395" t="s">
        <v>46</v>
      </c>
      <c r="V4395">
        <v>2300</v>
      </c>
    </row>
    <row r="4396" spans="1:22" x14ac:dyDescent="0.3">
      <c r="A4396" t="s">
        <v>5878</v>
      </c>
      <c r="B4396" s="2">
        <v>45971</v>
      </c>
      <c r="C4396" t="s">
        <v>1951</v>
      </c>
      <c r="D4396" t="s">
        <v>24</v>
      </c>
      <c r="E4396" t="s">
        <v>25</v>
      </c>
      <c r="F4396">
        <v>4</v>
      </c>
      <c r="G4396">
        <v>0.15</v>
      </c>
      <c r="H4396">
        <v>47600</v>
      </c>
      <c r="I4396">
        <v>5241.1099999999997</v>
      </c>
      <c r="J4396" t="s">
        <v>39</v>
      </c>
      <c r="K4396" t="s">
        <v>40</v>
      </c>
      <c r="L4396">
        <v>11900</v>
      </c>
      <c r="M4396">
        <v>11.01073529411765</v>
      </c>
      <c r="N4396" t="s">
        <v>8</v>
      </c>
      <c r="O4396" t="s">
        <v>1952</v>
      </c>
      <c r="P4396" t="s">
        <v>29</v>
      </c>
      <c r="Q4396" t="s">
        <v>30</v>
      </c>
      <c r="R4396" t="s">
        <v>31</v>
      </c>
      <c r="S4396" t="s">
        <v>32</v>
      </c>
      <c r="T4396" t="s">
        <v>1953</v>
      </c>
      <c r="U4396" t="s">
        <v>34</v>
      </c>
      <c r="V4396">
        <v>1310.2774999999999</v>
      </c>
    </row>
    <row r="4397" spans="1:22" x14ac:dyDescent="0.3">
      <c r="A4397" t="s">
        <v>5879</v>
      </c>
      <c r="B4397" s="2">
        <v>46140</v>
      </c>
      <c r="C4397" t="s">
        <v>1168</v>
      </c>
      <c r="D4397" t="s">
        <v>24</v>
      </c>
      <c r="E4397" t="s">
        <v>92</v>
      </c>
      <c r="F4397">
        <v>1</v>
      </c>
      <c r="G4397">
        <v>0.1</v>
      </c>
      <c r="H4397">
        <v>810</v>
      </c>
      <c r="I4397">
        <v>-259.38</v>
      </c>
      <c r="J4397" t="s">
        <v>26</v>
      </c>
      <c r="K4397" t="s">
        <v>434</v>
      </c>
      <c r="L4397">
        <v>810</v>
      </c>
      <c r="M4397">
        <v>-32.022222222222233</v>
      </c>
      <c r="N4397" t="s">
        <v>81</v>
      </c>
      <c r="O4397" t="s">
        <v>1169</v>
      </c>
      <c r="P4397" t="s">
        <v>83</v>
      </c>
      <c r="Q4397" t="s">
        <v>131</v>
      </c>
      <c r="R4397" t="s">
        <v>289</v>
      </c>
      <c r="S4397" t="s">
        <v>290</v>
      </c>
      <c r="T4397" t="s">
        <v>1170</v>
      </c>
      <c r="U4397" t="s">
        <v>34</v>
      </c>
      <c r="V4397">
        <v>-259.38</v>
      </c>
    </row>
    <row r="4398" spans="1:22" x14ac:dyDescent="0.3">
      <c r="A4398" t="s">
        <v>5880</v>
      </c>
      <c r="B4398" s="2">
        <v>45890</v>
      </c>
      <c r="C4398" t="s">
        <v>4773</v>
      </c>
      <c r="D4398" t="s">
        <v>24</v>
      </c>
      <c r="E4398" t="s">
        <v>25</v>
      </c>
      <c r="F4398">
        <v>1</v>
      </c>
      <c r="G4398">
        <v>0.05</v>
      </c>
      <c r="H4398">
        <v>13300</v>
      </c>
      <c r="I4398">
        <v>2321.0500000000002</v>
      </c>
      <c r="J4398" t="s">
        <v>51</v>
      </c>
      <c r="K4398" t="s">
        <v>40</v>
      </c>
      <c r="L4398">
        <v>13300</v>
      </c>
      <c r="M4398">
        <v>17.451503759398499</v>
      </c>
      <c r="N4398" t="s">
        <v>8</v>
      </c>
      <c r="O4398" t="s">
        <v>549</v>
      </c>
      <c r="P4398" t="s">
        <v>29</v>
      </c>
      <c r="Q4398" t="s">
        <v>42</v>
      </c>
      <c r="R4398" t="s">
        <v>110</v>
      </c>
      <c r="S4398" t="s">
        <v>111</v>
      </c>
      <c r="T4398" t="s">
        <v>1437</v>
      </c>
      <c r="U4398" t="s">
        <v>105</v>
      </c>
      <c r="V4398">
        <v>2321.0500000000002</v>
      </c>
    </row>
    <row r="4399" spans="1:22" x14ac:dyDescent="0.3">
      <c r="A4399" t="s">
        <v>5881</v>
      </c>
      <c r="B4399" s="2">
        <v>46242</v>
      </c>
      <c r="C4399" t="s">
        <v>869</v>
      </c>
      <c r="D4399" t="s">
        <v>24</v>
      </c>
      <c r="E4399" t="s">
        <v>87</v>
      </c>
      <c r="F4399">
        <v>5</v>
      </c>
      <c r="G4399">
        <v>0.05</v>
      </c>
      <c r="H4399">
        <v>1662.5</v>
      </c>
      <c r="I4399">
        <v>526.63</v>
      </c>
      <c r="J4399" t="s">
        <v>26</v>
      </c>
      <c r="K4399" t="s">
        <v>40</v>
      </c>
      <c r="L4399">
        <v>332.5</v>
      </c>
      <c r="M4399">
        <v>31.676992481203008</v>
      </c>
      <c r="N4399" t="s">
        <v>8</v>
      </c>
      <c r="O4399" t="s">
        <v>870</v>
      </c>
      <c r="P4399" t="s">
        <v>73</v>
      </c>
      <c r="Q4399" t="s">
        <v>30</v>
      </c>
      <c r="R4399" t="s">
        <v>98</v>
      </c>
      <c r="S4399" t="s">
        <v>54</v>
      </c>
      <c r="T4399" t="s">
        <v>859</v>
      </c>
      <c r="U4399" t="s">
        <v>34</v>
      </c>
      <c r="V4399">
        <v>105.32599999999999</v>
      </c>
    </row>
    <row r="4400" spans="1:22" x14ac:dyDescent="0.3">
      <c r="A4400" t="s">
        <v>5882</v>
      </c>
      <c r="B4400" s="2">
        <v>45984</v>
      </c>
      <c r="C4400" t="s">
        <v>1575</v>
      </c>
      <c r="D4400" t="s">
        <v>37</v>
      </c>
      <c r="E4400" t="s">
        <v>38</v>
      </c>
      <c r="F4400">
        <v>5</v>
      </c>
      <c r="G4400">
        <v>0.05</v>
      </c>
      <c r="H4400">
        <v>8550</v>
      </c>
      <c r="I4400">
        <v>2870.08</v>
      </c>
      <c r="J4400" t="s">
        <v>65</v>
      </c>
      <c r="K4400" t="s">
        <v>40</v>
      </c>
      <c r="L4400">
        <v>1710</v>
      </c>
      <c r="M4400">
        <v>33.568187134502928</v>
      </c>
      <c r="N4400" t="s">
        <v>8</v>
      </c>
      <c r="O4400" t="s">
        <v>349</v>
      </c>
      <c r="P4400" t="s">
        <v>83</v>
      </c>
      <c r="Q4400" t="s">
        <v>74</v>
      </c>
      <c r="R4400" t="s">
        <v>75</v>
      </c>
      <c r="S4400" t="s">
        <v>75</v>
      </c>
      <c r="T4400" t="s">
        <v>1576</v>
      </c>
      <c r="U4400" t="s">
        <v>34</v>
      </c>
      <c r="V4400">
        <v>574.01599999999996</v>
      </c>
    </row>
    <row r="4401" spans="1:22" x14ac:dyDescent="0.3">
      <c r="A4401" t="s">
        <v>5883</v>
      </c>
      <c r="B4401" s="2">
        <v>46144</v>
      </c>
      <c r="C4401" t="s">
        <v>263</v>
      </c>
      <c r="D4401" t="s">
        <v>70</v>
      </c>
      <c r="E4401" t="s">
        <v>129</v>
      </c>
      <c r="F4401">
        <v>4</v>
      </c>
      <c r="G4401">
        <v>0</v>
      </c>
      <c r="H4401">
        <v>220000</v>
      </c>
      <c r="I4401">
        <v>36000</v>
      </c>
      <c r="J4401" t="s">
        <v>26</v>
      </c>
      <c r="K4401" t="s">
        <v>27</v>
      </c>
      <c r="L4401">
        <v>55000</v>
      </c>
      <c r="M4401">
        <v>16.36363636363636</v>
      </c>
      <c r="N4401" t="s">
        <v>8</v>
      </c>
      <c r="O4401" t="s">
        <v>265</v>
      </c>
      <c r="P4401" t="s">
        <v>73</v>
      </c>
      <c r="Q4401" t="s">
        <v>30</v>
      </c>
      <c r="R4401" t="s">
        <v>31</v>
      </c>
      <c r="S4401" t="s">
        <v>32</v>
      </c>
      <c r="T4401" t="s">
        <v>266</v>
      </c>
      <c r="U4401" t="s">
        <v>46</v>
      </c>
      <c r="V4401">
        <v>9000</v>
      </c>
    </row>
    <row r="4402" spans="1:22" x14ac:dyDescent="0.3">
      <c r="A4402" t="s">
        <v>5884</v>
      </c>
      <c r="B4402" s="2">
        <v>46017</v>
      </c>
      <c r="C4402" t="s">
        <v>736</v>
      </c>
      <c r="D4402" t="s">
        <v>70</v>
      </c>
      <c r="E4402" t="s">
        <v>108</v>
      </c>
      <c r="F4402">
        <v>5</v>
      </c>
      <c r="G4402">
        <v>0.05</v>
      </c>
      <c r="H4402">
        <v>21375</v>
      </c>
      <c r="I4402">
        <v>6801.51</v>
      </c>
      <c r="J4402" t="s">
        <v>65</v>
      </c>
      <c r="K4402" t="s">
        <v>40</v>
      </c>
      <c r="L4402">
        <v>4275</v>
      </c>
      <c r="M4402">
        <v>31.81992982456141</v>
      </c>
      <c r="N4402" t="s">
        <v>8</v>
      </c>
      <c r="O4402" t="s">
        <v>648</v>
      </c>
      <c r="P4402" t="s">
        <v>29</v>
      </c>
      <c r="Q4402" t="s">
        <v>30</v>
      </c>
      <c r="R4402" t="s">
        <v>60</v>
      </c>
      <c r="S4402" t="s">
        <v>61</v>
      </c>
      <c r="T4402" t="s">
        <v>311</v>
      </c>
      <c r="U4402" t="s">
        <v>34</v>
      </c>
      <c r="V4402">
        <v>1360.3019999999999</v>
      </c>
    </row>
    <row r="4403" spans="1:22" x14ac:dyDescent="0.3">
      <c r="A4403" t="s">
        <v>5885</v>
      </c>
      <c r="B4403" s="2">
        <v>45932</v>
      </c>
      <c r="C4403" t="s">
        <v>354</v>
      </c>
      <c r="D4403" t="s">
        <v>24</v>
      </c>
      <c r="E4403" t="s">
        <v>87</v>
      </c>
      <c r="F4403">
        <v>1</v>
      </c>
      <c r="G4403">
        <v>0.15</v>
      </c>
      <c r="H4403">
        <v>297.5</v>
      </c>
      <c r="I4403">
        <v>81.510000000000005</v>
      </c>
      <c r="J4403" t="s">
        <v>26</v>
      </c>
      <c r="K4403" t="s">
        <v>40</v>
      </c>
      <c r="L4403">
        <v>297.5</v>
      </c>
      <c r="M4403">
        <v>27.398319327731102</v>
      </c>
      <c r="N4403" t="s">
        <v>8</v>
      </c>
      <c r="O4403" t="s">
        <v>355</v>
      </c>
      <c r="P4403" t="s">
        <v>83</v>
      </c>
      <c r="Q4403" t="s">
        <v>131</v>
      </c>
      <c r="R4403" t="s">
        <v>200</v>
      </c>
      <c r="S4403" t="s">
        <v>201</v>
      </c>
      <c r="T4403" t="s">
        <v>356</v>
      </c>
      <c r="U4403" t="s">
        <v>34</v>
      </c>
      <c r="V4403">
        <v>81.510000000000005</v>
      </c>
    </row>
    <row r="4404" spans="1:22" x14ac:dyDescent="0.3">
      <c r="A4404" t="s">
        <v>5886</v>
      </c>
      <c r="B4404" s="2">
        <v>46199</v>
      </c>
      <c r="C4404" t="s">
        <v>761</v>
      </c>
      <c r="D4404" t="s">
        <v>24</v>
      </c>
      <c r="E4404" t="s">
        <v>92</v>
      </c>
      <c r="F4404">
        <v>3</v>
      </c>
      <c r="G4404">
        <v>0.1</v>
      </c>
      <c r="H4404">
        <v>2430</v>
      </c>
      <c r="I4404">
        <v>679.11</v>
      </c>
      <c r="J4404" t="s">
        <v>26</v>
      </c>
      <c r="K4404" t="s">
        <v>40</v>
      </c>
      <c r="L4404">
        <v>810</v>
      </c>
      <c r="M4404">
        <v>27.94691358024691</v>
      </c>
      <c r="N4404" t="s">
        <v>8</v>
      </c>
      <c r="O4404" t="s">
        <v>762</v>
      </c>
      <c r="P4404" t="s">
        <v>29</v>
      </c>
      <c r="Q4404" t="s">
        <v>131</v>
      </c>
      <c r="R4404" t="s">
        <v>132</v>
      </c>
      <c r="S4404" t="s">
        <v>133</v>
      </c>
      <c r="T4404" t="s">
        <v>763</v>
      </c>
      <c r="U4404" t="s">
        <v>105</v>
      </c>
      <c r="V4404">
        <v>226.37</v>
      </c>
    </row>
    <row r="4405" spans="1:22" x14ac:dyDescent="0.3">
      <c r="A4405" t="s">
        <v>5887</v>
      </c>
      <c r="B4405" s="2">
        <v>45936</v>
      </c>
      <c r="C4405" t="s">
        <v>1164</v>
      </c>
      <c r="D4405" t="s">
        <v>37</v>
      </c>
      <c r="E4405" t="s">
        <v>170</v>
      </c>
      <c r="F4405">
        <v>2</v>
      </c>
      <c r="G4405">
        <v>0.15</v>
      </c>
      <c r="H4405">
        <v>2380</v>
      </c>
      <c r="I4405">
        <v>-601.95000000000005</v>
      </c>
      <c r="J4405" t="s">
        <v>51</v>
      </c>
      <c r="K4405" t="s">
        <v>434</v>
      </c>
      <c r="L4405">
        <v>1190</v>
      </c>
      <c r="M4405">
        <v>-25.292016806722689</v>
      </c>
      <c r="N4405" t="s">
        <v>81</v>
      </c>
      <c r="O4405" t="s">
        <v>284</v>
      </c>
      <c r="P4405" t="s">
        <v>29</v>
      </c>
      <c r="Q4405" t="s">
        <v>30</v>
      </c>
      <c r="R4405" t="s">
        <v>98</v>
      </c>
      <c r="S4405" t="s">
        <v>54</v>
      </c>
      <c r="T4405" t="s">
        <v>1165</v>
      </c>
      <c r="U4405" t="s">
        <v>105</v>
      </c>
      <c r="V4405">
        <v>-300.97500000000002</v>
      </c>
    </row>
    <row r="4406" spans="1:22" x14ac:dyDescent="0.3">
      <c r="A4406" t="s">
        <v>5888</v>
      </c>
      <c r="B4406" s="2">
        <v>45945</v>
      </c>
      <c r="C4406" t="s">
        <v>994</v>
      </c>
      <c r="D4406" t="s">
        <v>37</v>
      </c>
      <c r="E4406" t="s">
        <v>38</v>
      </c>
      <c r="F4406">
        <v>1</v>
      </c>
      <c r="G4406">
        <v>0</v>
      </c>
      <c r="H4406">
        <v>1800</v>
      </c>
      <c r="I4406">
        <v>650</v>
      </c>
      <c r="J4406" t="s">
        <v>39</v>
      </c>
      <c r="K4406" t="s">
        <v>40</v>
      </c>
      <c r="L4406">
        <v>1800</v>
      </c>
      <c r="M4406">
        <v>36.111111111111107</v>
      </c>
      <c r="N4406" t="s">
        <v>8</v>
      </c>
      <c r="O4406" t="s">
        <v>995</v>
      </c>
      <c r="P4406" t="s">
        <v>29</v>
      </c>
      <c r="Q4406" t="s">
        <v>131</v>
      </c>
      <c r="R4406" t="s">
        <v>449</v>
      </c>
      <c r="S4406" t="s">
        <v>450</v>
      </c>
      <c r="T4406" t="s">
        <v>184</v>
      </c>
      <c r="U4406" t="s">
        <v>105</v>
      </c>
      <c r="V4406">
        <v>650</v>
      </c>
    </row>
    <row r="4407" spans="1:22" x14ac:dyDescent="0.3">
      <c r="A4407" t="s">
        <v>5889</v>
      </c>
      <c r="B4407" s="2">
        <v>45905</v>
      </c>
      <c r="C4407" t="s">
        <v>513</v>
      </c>
      <c r="D4407" t="s">
        <v>70</v>
      </c>
      <c r="E4407" t="s">
        <v>129</v>
      </c>
      <c r="F4407">
        <v>1</v>
      </c>
      <c r="G4407">
        <v>0</v>
      </c>
      <c r="H4407">
        <v>55000</v>
      </c>
      <c r="I4407">
        <v>-24367.22</v>
      </c>
      <c r="J4407" t="s">
        <v>65</v>
      </c>
      <c r="K4407" t="s">
        <v>80</v>
      </c>
      <c r="L4407">
        <v>55000</v>
      </c>
      <c r="M4407">
        <v>-44.304036363636371</v>
      </c>
      <c r="N4407" t="s">
        <v>81</v>
      </c>
      <c r="O4407" t="s">
        <v>514</v>
      </c>
      <c r="P4407" t="s">
        <v>73</v>
      </c>
      <c r="Q4407" t="s">
        <v>131</v>
      </c>
      <c r="R4407" t="s">
        <v>449</v>
      </c>
      <c r="S4407" t="s">
        <v>450</v>
      </c>
      <c r="T4407" t="s">
        <v>515</v>
      </c>
      <c r="U4407" t="s">
        <v>100</v>
      </c>
      <c r="V4407">
        <v>-24367.22</v>
      </c>
    </row>
    <row r="4408" spans="1:22" x14ac:dyDescent="0.3">
      <c r="A4408" t="s">
        <v>5890</v>
      </c>
      <c r="B4408" s="2">
        <v>46178</v>
      </c>
      <c r="C4408" t="s">
        <v>566</v>
      </c>
      <c r="D4408" t="s">
        <v>70</v>
      </c>
      <c r="E4408" t="s">
        <v>165</v>
      </c>
      <c r="F4408">
        <v>2</v>
      </c>
      <c r="G4408">
        <v>0.15</v>
      </c>
      <c r="H4408">
        <v>4250</v>
      </c>
      <c r="I4408">
        <v>1019.26</v>
      </c>
      <c r="J4408" t="s">
        <v>65</v>
      </c>
      <c r="K4408" t="s">
        <v>40</v>
      </c>
      <c r="L4408">
        <v>2125</v>
      </c>
      <c r="M4408">
        <v>23.98258823529412</v>
      </c>
      <c r="N4408" t="s">
        <v>8</v>
      </c>
      <c r="O4408" t="s">
        <v>567</v>
      </c>
      <c r="P4408" t="s">
        <v>29</v>
      </c>
      <c r="Q4408" t="s">
        <v>131</v>
      </c>
      <c r="R4408" t="s">
        <v>289</v>
      </c>
      <c r="S4408" t="s">
        <v>290</v>
      </c>
      <c r="T4408" t="s">
        <v>568</v>
      </c>
      <c r="U4408" t="s">
        <v>46</v>
      </c>
      <c r="V4408">
        <v>509.63</v>
      </c>
    </row>
    <row r="4409" spans="1:22" x14ac:dyDescent="0.3">
      <c r="A4409" t="s">
        <v>5891</v>
      </c>
      <c r="B4409" s="2">
        <v>45990</v>
      </c>
      <c r="C4409" t="s">
        <v>509</v>
      </c>
      <c r="D4409" t="s">
        <v>70</v>
      </c>
      <c r="E4409" t="s">
        <v>108</v>
      </c>
      <c r="F4409">
        <v>6</v>
      </c>
      <c r="G4409">
        <v>0.05</v>
      </c>
      <c r="H4409">
        <v>25650</v>
      </c>
      <c r="I4409">
        <v>8373.65</v>
      </c>
      <c r="J4409" t="s">
        <v>26</v>
      </c>
      <c r="K4409" t="s">
        <v>27</v>
      </c>
      <c r="L4409">
        <v>4275</v>
      </c>
      <c r="M4409">
        <v>32.645808966861587</v>
      </c>
      <c r="N4409" t="s">
        <v>8</v>
      </c>
      <c r="O4409" t="s">
        <v>510</v>
      </c>
      <c r="P4409" t="s">
        <v>73</v>
      </c>
      <c r="Q4409" t="s">
        <v>42</v>
      </c>
      <c r="R4409" t="s">
        <v>110</v>
      </c>
      <c r="S4409" t="s">
        <v>111</v>
      </c>
      <c r="T4409" t="s">
        <v>511</v>
      </c>
      <c r="U4409" t="s">
        <v>34</v>
      </c>
      <c r="V4409">
        <v>1395.6083333333329</v>
      </c>
    </row>
    <row r="4410" spans="1:22" x14ac:dyDescent="0.3">
      <c r="A4410" t="s">
        <v>5892</v>
      </c>
      <c r="B4410" s="2">
        <v>46115</v>
      </c>
      <c r="C4410" t="s">
        <v>57</v>
      </c>
      <c r="D4410" t="s">
        <v>70</v>
      </c>
      <c r="E4410" t="s">
        <v>165</v>
      </c>
      <c r="F4410">
        <v>2</v>
      </c>
      <c r="G4410">
        <v>0.15</v>
      </c>
      <c r="H4410">
        <v>4250</v>
      </c>
      <c r="I4410">
        <v>-1058.8399999999999</v>
      </c>
      <c r="J4410" t="s">
        <v>65</v>
      </c>
      <c r="K4410" t="s">
        <v>80</v>
      </c>
      <c r="L4410">
        <v>2125</v>
      </c>
      <c r="M4410">
        <v>-24.913882352941179</v>
      </c>
      <c r="N4410" t="s">
        <v>81</v>
      </c>
      <c r="O4410" t="s">
        <v>59</v>
      </c>
      <c r="P4410" t="s">
        <v>29</v>
      </c>
      <c r="Q4410" t="s">
        <v>30</v>
      </c>
      <c r="R4410" t="s">
        <v>60</v>
      </c>
      <c r="S4410" t="s">
        <v>61</v>
      </c>
      <c r="T4410" t="s">
        <v>62</v>
      </c>
      <c r="U4410" t="s">
        <v>34</v>
      </c>
      <c r="V4410">
        <v>-529.41999999999996</v>
      </c>
    </row>
    <row r="4411" spans="1:22" x14ac:dyDescent="0.3">
      <c r="A4411" t="s">
        <v>5893</v>
      </c>
      <c r="B4411" s="2">
        <v>46085</v>
      </c>
      <c r="C4411" t="s">
        <v>2014</v>
      </c>
      <c r="D4411" t="s">
        <v>70</v>
      </c>
      <c r="E4411" t="s">
        <v>129</v>
      </c>
      <c r="F4411">
        <v>3</v>
      </c>
      <c r="G4411">
        <v>0.15</v>
      </c>
      <c r="H4411">
        <v>140250</v>
      </c>
      <c r="I4411">
        <v>6854.99</v>
      </c>
      <c r="J4411" t="s">
        <v>65</v>
      </c>
      <c r="K4411" t="s">
        <v>40</v>
      </c>
      <c r="L4411">
        <v>46750</v>
      </c>
      <c r="M4411">
        <v>4.8876934046345806</v>
      </c>
      <c r="N4411" t="s">
        <v>8</v>
      </c>
      <c r="O4411" t="s">
        <v>911</v>
      </c>
      <c r="P4411" t="s">
        <v>29</v>
      </c>
      <c r="Q4411" t="s">
        <v>42</v>
      </c>
      <c r="R4411" t="s">
        <v>214</v>
      </c>
      <c r="S4411" t="s">
        <v>111</v>
      </c>
      <c r="T4411" t="s">
        <v>2015</v>
      </c>
      <c r="U4411" t="s">
        <v>105</v>
      </c>
      <c r="V4411">
        <v>2284.996666666666</v>
      </c>
    </row>
    <row r="4412" spans="1:22" x14ac:dyDescent="0.3">
      <c r="A4412" t="s">
        <v>5894</v>
      </c>
      <c r="B4412" s="2">
        <v>45925</v>
      </c>
      <c r="C4412" t="s">
        <v>2168</v>
      </c>
      <c r="D4412" t="s">
        <v>49</v>
      </c>
      <c r="E4412" t="s">
        <v>50</v>
      </c>
      <c r="F4412">
        <v>3</v>
      </c>
      <c r="G4412">
        <v>0.15</v>
      </c>
      <c r="H4412">
        <v>33150</v>
      </c>
      <c r="I4412">
        <v>5162.8599999999997</v>
      </c>
      <c r="J4412" t="s">
        <v>26</v>
      </c>
      <c r="K4412" t="s">
        <v>40</v>
      </c>
      <c r="L4412">
        <v>11050</v>
      </c>
      <c r="M4412">
        <v>15.5742383107089</v>
      </c>
      <c r="N4412" t="s">
        <v>8</v>
      </c>
      <c r="O4412" t="s">
        <v>2169</v>
      </c>
      <c r="P4412" t="s">
        <v>29</v>
      </c>
      <c r="Q4412" t="s">
        <v>131</v>
      </c>
      <c r="R4412" t="s">
        <v>289</v>
      </c>
      <c r="S4412" t="s">
        <v>290</v>
      </c>
      <c r="T4412" t="s">
        <v>793</v>
      </c>
      <c r="U4412" t="s">
        <v>34</v>
      </c>
      <c r="V4412">
        <v>1720.9533333333329</v>
      </c>
    </row>
    <row r="4413" spans="1:22" x14ac:dyDescent="0.3">
      <c r="A4413" t="s">
        <v>5895</v>
      </c>
      <c r="B4413" s="2">
        <v>46178</v>
      </c>
      <c r="C4413" t="s">
        <v>2223</v>
      </c>
      <c r="D4413" t="s">
        <v>49</v>
      </c>
      <c r="E4413" t="s">
        <v>50</v>
      </c>
      <c r="F4413">
        <v>1</v>
      </c>
      <c r="G4413">
        <v>0.05</v>
      </c>
      <c r="H4413">
        <v>12350</v>
      </c>
      <c r="I4413">
        <v>2863.73</v>
      </c>
      <c r="J4413" t="s">
        <v>26</v>
      </c>
      <c r="K4413" t="s">
        <v>40</v>
      </c>
      <c r="L4413">
        <v>12350</v>
      </c>
      <c r="M4413">
        <v>23.188097165991898</v>
      </c>
      <c r="N4413" t="s">
        <v>8</v>
      </c>
      <c r="O4413" t="s">
        <v>284</v>
      </c>
      <c r="P4413" t="s">
        <v>73</v>
      </c>
      <c r="Q4413" t="s">
        <v>131</v>
      </c>
      <c r="R4413" t="s">
        <v>132</v>
      </c>
      <c r="S4413" t="s">
        <v>133</v>
      </c>
      <c r="T4413" t="s">
        <v>2224</v>
      </c>
      <c r="U4413" t="s">
        <v>46</v>
      </c>
      <c r="V4413">
        <v>2863.73</v>
      </c>
    </row>
    <row r="4414" spans="1:22" x14ac:dyDescent="0.3">
      <c r="A4414" t="s">
        <v>5896</v>
      </c>
      <c r="B4414" s="2">
        <v>46081</v>
      </c>
      <c r="C4414" t="s">
        <v>522</v>
      </c>
      <c r="D4414" t="s">
        <v>24</v>
      </c>
      <c r="E4414" t="s">
        <v>87</v>
      </c>
      <c r="F4414">
        <v>4</v>
      </c>
      <c r="G4414">
        <v>0.2</v>
      </c>
      <c r="H4414">
        <v>1120</v>
      </c>
      <c r="I4414">
        <v>297.52999999999997</v>
      </c>
      <c r="J4414" t="s">
        <v>51</v>
      </c>
      <c r="K4414" t="s">
        <v>40</v>
      </c>
      <c r="L4414">
        <v>280</v>
      </c>
      <c r="M4414">
        <v>26.565178571428572</v>
      </c>
      <c r="N4414" t="s">
        <v>8</v>
      </c>
      <c r="O4414" t="s">
        <v>523</v>
      </c>
      <c r="P4414" t="s">
        <v>73</v>
      </c>
      <c r="Q4414" t="s">
        <v>30</v>
      </c>
      <c r="R4414" t="s">
        <v>98</v>
      </c>
      <c r="S4414" t="s">
        <v>54</v>
      </c>
      <c r="T4414" t="s">
        <v>62</v>
      </c>
      <c r="U4414" t="s">
        <v>46</v>
      </c>
      <c r="V4414">
        <v>74.382499999999993</v>
      </c>
    </row>
    <row r="4415" spans="1:22" x14ac:dyDescent="0.3">
      <c r="A4415" t="s">
        <v>5897</v>
      </c>
      <c r="B4415" s="2">
        <v>45964</v>
      </c>
      <c r="C4415" t="s">
        <v>1791</v>
      </c>
      <c r="D4415" t="s">
        <v>37</v>
      </c>
      <c r="E4415" t="s">
        <v>190</v>
      </c>
      <c r="F4415">
        <v>2</v>
      </c>
      <c r="G4415">
        <v>0.05</v>
      </c>
      <c r="H4415">
        <v>7980</v>
      </c>
      <c r="I4415">
        <v>2055.41</v>
      </c>
      <c r="J4415" t="s">
        <v>51</v>
      </c>
      <c r="K4415" t="s">
        <v>40</v>
      </c>
      <c r="L4415">
        <v>3990</v>
      </c>
      <c r="M4415">
        <v>25.75701754385965</v>
      </c>
      <c r="N4415" t="s">
        <v>8</v>
      </c>
      <c r="O4415" t="s">
        <v>851</v>
      </c>
      <c r="P4415" t="s">
        <v>83</v>
      </c>
      <c r="Q4415" t="s">
        <v>30</v>
      </c>
      <c r="R4415" t="s">
        <v>60</v>
      </c>
      <c r="S4415" t="s">
        <v>61</v>
      </c>
      <c r="T4415" t="s">
        <v>1792</v>
      </c>
      <c r="U4415" t="s">
        <v>105</v>
      </c>
      <c r="V4415">
        <v>1027.7049999999999</v>
      </c>
    </row>
    <row r="4416" spans="1:22" x14ac:dyDescent="0.3">
      <c r="A4416" t="s">
        <v>5898</v>
      </c>
      <c r="B4416" s="2">
        <v>46237</v>
      </c>
      <c r="C4416" t="s">
        <v>716</v>
      </c>
      <c r="D4416" t="s">
        <v>37</v>
      </c>
      <c r="E4416" t="s">
        <v>310</v>
      </c>
      <c r="F4416">
        <v>1</v>
      </c>
      <c r="G4416">
        <v>0.1</v>
      </c>
      <c r="H4416">
        <v>1980</v>
      </c>
      <c r="I4416">
        <v>-384.02</v>
      </c>
      <c r="J4416" t="s">
        <v>26</v>
      </c>
      <c r="K4416" t="s">
        <v>80</v>
      </c>
      <c r="L4416">
        <v>1980</v>
      </c>
      <c r="M4416">
        <v>-19.39494949494949</v>
      </c>
      <c r="N4416" t="s">
        <v>81</v>
      </c>
      <c r="O4416" t="s">
        <v>717</v>
      </c>
      <c r="P4416" t="s">
        <v>73</v>
      </c>
      <c r="Q4416" t="s">
        <v>74</v>
      </c>
      <c r="R4416" t="s">
        <v>75</v>
      </c>
      <c r="S4416" t="s">
        <v>75</v>
      </c>
      <c r="T4416" t="s">
        <v>718</v>
      </c>
      <c r="U4416" t="s">
        <v>46</v>
      </c>
      <c r="V4416">
        <v>-384.02</v>
      </c>
    </row>
    <row r="4417" spans="1:22" x14ac:dyDescent="0.3">
      <c r="A4417" t="s">
        <v>5899</v>
      </c>
      <c r="B4417" s="2">
        <v>46036</v>
      </c>
      <c r="C4417" t="s">
        <v>533</v>
      </c>
      <c r="D4417" t="s">
        <v>70</v>
      </c>
      <c r="E4417" t="s">
        <v>71</v>
      </c>
      <c r="F4417">
        <v>3</v>
      </c>
      <c r="G4417">
        <v>0.2</v>
      </c>
      <c r="H4417">
        <v>43200</v>
      </c>
      <c r="I4417">
        <v>3884.71</v>
      </c>
      <c r="J4417" t="s">
        <v>26</v>
      </c>
      <c r="K4417" t="s">
        <v>40</v>
      </c>
      <c r="L4417">
        <v>14400</v>
      </c>
      <c r="M4417">
        <v>8.9923842592592589</v>
      </c>
      <c r="N4417" t="s">
        <v>8</v>
      </c>
      <c r="O4417" t="s">
        <v>306</v>
      </c>
      <c r="P4417" t="s">
        <v>83</v>
      </c>
      <c r="Q4417" t="s">
        <v>131</v>
      </c>
      <c r="R4417" t="s">
        <v>132</v>
      </c>
      <c r="S4417" t="s">
        <v>133</v>
      </c>
      <c r="T4417" t="s">
        <v>534</v>
      </c>
      <c r="U4417" t="s">
        <v>46</v>
      </c>
      <c r="V4417">
        <v>1294.903333333333</v>
      </c>
    </row>
    <row r="4418" spans="1:22" x14ac:dyDescent="0.3">
      <c r="A4418" t="s">
        <v>5900</v>
      </c>
      <c r="B4418" s="2">
        <v>46109</v>
      </c>
      <c r="C4418" t="s">
        <v>4423</v>
      </c>
      <c r="D4418" t="s">
        <v>70</v>
      </c>
      <c r="E4418" t="s">
        <v>71</v>
      </c>
      <c r="F4418">
        <v>2</v>
      </c>
      <c r="G4418">
        <v>0.05</v>
      </c>
      <c r="H4418">
        <v>34200</v>
      </c>
      <c r="I4418">
        <v>5846.77</v>
      </c>
      <c r="J4418" t="s">
        <v>65</v>
      </c>
      <c r="K4418" t="s">
        <v>27</v>
      </c>
      <c r="L4418">
        <v>17100</v>
      </c>
      <c r="M4418">
        <v>17.095818713450299</v>
      </c>
      <c r="N4418" t="s">
        <v>8</v>
      </c>
      <c r="O4418" t="s">
        <v>329</v>
      </c>
      <c r="P4418" t="s">
        <v>29</v>
      </c>
      <c r="Q4418" t="s">
        <v>42</v>
      </c>
      <c r="R4418" t="s">
        <v>43</v>
      </c>
      <c r="S4418" t="s">
        <v>44</v>
      </c>
      <c r="T4418" t="s">
        <v>1561</v>
      </c>
      <c r="U4418" t="s">
        <v>105</v>
      </c>
      <c r="V4418">
        <v>2923.3850000000002</v>
      </c>
    </row>
    <row r="4419" spans="1:22" x14ac:dyDescent="0.3">
      <c r="A4419" t="s">
        <v>5901</v>
      </c>
      <c r="B4419" s="2">
        <v>46174</v>
      </c>
      <c r="C4419" t="s">
        <v>2690</v>
      </c>
      <c r="D4419" t="s">
        <v>70</v>
      </c>
      <c r="E4419" t="s">
        <v>165</v>
      </c>
      <c r="F4419">
        <v>3</v>
      </c>
      <c r="G4419">
        <v>0.2</v>
      </c>
      <c r="H4419">
        <v>6000</v>
      </c>
      <c r="I4419">
        <v>1139.44</v>
      </c>
      <c r="J4419" t="s">
        <v>51</v>
      </c>
      <c r="K4419" t="s">
        <v>40</v>
      </c>
      <c r="L4419">
        <v>2000</v>
      </c>
      <c r="M4419">
        <v>18.990666666666669</v>
      </c>
      <c r="N4419" t="s">
        <v>8</v>
      </c>
      <c r="O4419" t="s">
        <v>1169</v>
      </c>
      <c r="P4419" t="s">
        <v>83</v>
      </c>
      <c r="Q4419" t="s">
        <v>42</v>
      </c>
      <c r="R4419" t="s">
        <v>121</v>
      </c>
      <c r="S4419" t="s">
        <v>44</v>
      </c>
      <c r="T4419" t="s">
        <v>2691</v>
      </c>
      <c r="U4419" t="s">
        <v>46</v>
      </c>
      <c r="V4419">
        <v>379.81333333333328</v>
      </c>
    </row>
    <row r="4420" spans="1:22" x14ac:dyDescent="0.3">
      <c r="A4420" t="s">
        <v>5902</v>
      </c>
      <c r="B4420" s="2">
        <v>46008</v>
      </c>
      <c r="C4420" t="s">
        <v>1455</v>
      </c>
      <c r="D4420" t="s">
        <v>70</v>
      </c>
      <c r="E4420" t="s">
        <v>165</v>
      </c>
      <c r="F4420">
        <v>5</v>
      </c>
      <c r="G4420">
        <v>0</v>
      </c>
      <c r="H4420">
        <v>12500</v>
      </c>
      <c r="I4420">
        <v>4000</v>
      </c>
      <c r="J4420" t="s">
        <v>65</v>
      </c>
      <c r="K4420" t="s">
        <v>40</v>
      </c>
      <c r="L4420">
        <v>2500</v>
      </c>
      <c r="M4420">
        <v>32</v>
      </c>
      <c r="N4420" t="s">
        <v>8</v>
      </c>
      <c r="O4420" t="s">
        <v>1009</v>
      </c>
      <c r="P4420" t="s">
        <v>83</v>
      </c>
      <c r="Q4420" t="s">
        <v>74</v>
      </c>
      <c r="R4420" t="s">
        <v>493</v>
      </c>
      <c r="S4420" t="s">
        <v>494</v>
      </c>
      <c r="T4420" t="s">
        <v>273</v>
      </c>
      <c r="U4420" t="s">
        <v>46</v>
      </c>
      <c r="V4420">
        <v>800</v>
      </c>
    </row>
    <row r="4421" spans="1:22" x14ac:dyDescent="0.3">
      <c r="A4421" t="s">
        <v>5903</v>
      </c>
      <c r="B4421" s="2">
        <v>46244</v>
      </c>
      <c r="C4421" t="s">
        <v>1210</v>
      </c>
      <c r="D4421" t="s">
        <v>70</v>
      </c>
      <c r="E4421" t="s">
        <v>129</v>
      </c>
      <c r="F4421">
        <v>2</v>
      </c>
      <c r="G4421">
        <v>0</v>
      </c>
      <c r="H4421">
        <v>110000</v>
      </c>
      <c r="I4421">
        <v>-13017.42</v>
      </c>
      <c r="J4421" t="s">
        <v>65</v>
      </c>
      <c r="K4421" t="s">
        <v>80</v>
      </c>
      <c r="L4421">
        <v>55000</v>
      </c>
      <c r="M4421">
        <v>-11.83401818181818</v>
      </c>
      <c r="N4421" t="s">
        <v>81</v>
      </c>
      <c r="O4421" t="s">
        <v>1190</v>
      </c>
      <c r="P4421" t="s">
        <v>73</v>
      </c>
      <c r="Q4421" t="s">
        <v>30</v>
      </c>
      <c r="R4421" t="s">
        <v>31</v>
      </c>
      <c r="S4421" t="s">
        <v>32</v>
      </c>
      <c r="T4421" t="s">
        <v>1211</v>
      </c>
      <c r="U4421" t="s">
        <v>46</v>
      </c>
      <c r="V4421">
        <v>-6508.71</v>
      </c>
    </row>
    <row r="4422" spans="1:22" x14ac:dyDescent="0.3">
      <c r="A4422" t="s">
        <v>5904</v>
      </c>
      <c r="B4422" s="2">
        <v>45859</v>
      </c>
      <c r="C4422" t="s">
        <v>1004</v>
      </c>
      <c r="D4422" t="s">
        <v>49</v>
      </c>
      <c r="E4422" t="s">
        <v>79</v>
      </c>
      <c r="F4422">
        <v>2</v>
      </c>
      <c r="G4422">
        <v>0</v>
      </c>
      <c r="H4422">
        <v>22000</v>
      </c>
      <c r="I4422">
        <v>5200</v>
      </c>
      <c r="J4422" t="s">
        <v>51</v>
      </c>
      <c r="K4422" t="s">
        <v>40</v>
      </c>
      <c r="L4422">
        <v>11000</v>
      </c>
      <c r="M4422">
        <v>23.63636363636364</v>
      </c>
      <c r="N4422" t="s">
        <v>8</v>
      </c>
      <c r="O4422" t="s">
        <v>1005</v>
      </c>
      <c r="P4422" t="s">
        <v>29</v>
      </c>
      <c r="Q4422" t="s">
        <v>30</v>
      </c>
      <c r="R4422" t="s">
        <v>98</v>
      </c>
      <c r="S4422" t="s">
        <v>54</v>
      </c>
      <c r="T4422" t="s">
        <v>1006</v>
      </c>
      <c r="U4422" t="s">
        <v>105</v>
      </c>
      <c r="V4422">
        <v>2600</v>
      </c>
    </row>
    <row r="4423" spans="1:22" x14ac:dyDescent="0.3">
      <c r="A4423" t="s">
        <v>5905</v>
      </c>
      <c r="B4423" s="2">
        <v>46098</v>
      </c>
      <c r="C4423" t="s">
        <v>869</v>
      </c>
      <c r="D4423" t="s">
        <v>24</v>
      </c>
      <c r="E4423" t="s">
        <v>242</v>
      </c>
      <c r="F4423">
        <v>4</v>
      </c>
      <c r="G4423">
        <v>0</v>
      </c>
      <c r="H4423">
        <v>1800</v>
      </c>
      <c r="I4423">
        <v>440</v>
      </c>
      <c r="J4423" t="s">
        <v>51</v>
      </c>
      <c r="K4423" t="s">
        <v>40</v>
      </c>
      <c r="L4423">
        <v>450</v>
      </c>
      <c r="M4423">
        <v>24.444444444444439</v>
      </c>
      <c r="N4423" t="s">
        <v>8</v>
      </c>
      <c r="O4423" t="s">
        <v>870</v>
      </c>
      <c r="P4423" t="s">
        <v>73</v>
      </c>
      <c r="Q4423" t="s">
        <v>30</v>
      </c>
      <c r="R4423" t="s">
        <v>98</v>
      </c>
      <c r="S4423" t="s">
        <v>54</v>
      </c>
      <c r="T4423" t="s">
        <v>859</v>
      </c>
      <c r="U4423" t="s">
        <v>34</v>
      </c>
      <c r="V4423">
        <v>110</v>
      </c>
    </row>
    <row r="4424" spans="1:22" x14ac:dyDescent="0.3">
      <c r="A4424" t="s">
        <v>5906</v>
      </c>
      <c r="B4424" s="2">
        <v>45859</v>
      </c>
      <c r="C4424" t="s">
        <v>23</v>
      </c>
      <c r="D4424" t="s">
        <v>70</v>
      </c>
      <c r="E4424" t="s">
        <v>165</v>
      </c>
      <c r="F4424">
        <v>2</v>
      </c>
      <c r="G4424">
        <v>0.15</v>
      </c>
      <c r="H4424">
        <v>4250</v>
      </c>
      <c r="I4424">
        <v>1149.83</v>
      </c>
      <c r="J4424" t="s">
        <v>51</v>
      </c>
      <c r="K4424" t="s">
        <v>40</v>
      </c>
      <c r="L4424">
        <v>2125</v>
      </c>
      <c r="M4424">
        <v>27.05482352941176</v>
      </c>
      <c r="N4424" t="s">
        <v>8</v>
      </c>
      <c r="O4424" t="s">
        <v>28</v>
      </c>
      <c r="P4424" t="s">
        <v>29</v>
      </c>
      <c r="Q4424" t="s">
        <v>30</v>
      </c>
      <c r="R4424" t="s">
        <v>31</v>
      </c>
      <c r="S4424" t="s">
        <v>32</v>
      </c>
      <c r="T4424" t="s">
        <v>33</v>
      </c>
      <c r="U4424" t="s">
        <v>34</v>
      </c>
      <c r="V4424">
        <v>574.91499999999996</v>
      </c>
    </row>
    <row r="4425" spans="1:22" x14ac:dyDescent="0.3">
      <c r="A4425" t="s">
        <v>5907</v>
      </c>
      <c r="B4425" s="2">
        <v>46013</v>
      </c>
      <c r="C4425" t="s">
        <v>1136</v>
      </c>
      <c r="D4425" t="s">
        <v>70</v>
      </c>
      <c r="E4425" t="s">
        <v>165</v>
      </c>
      <c r="F4425">
        <v>1</v>
      </c>
      <c r="G4425">
        <v>0.2</v>
      </c>
      <c r="H4425">
        <v>2000</v>
      </c>
      <c r="I4425">
        <v>486.46</v>
      </c>
      <c r="J4425" t="s">
        <v>51</v>
      </c>
      <c r="K4425" t="s">
        <v>40</v>
      </c>
      <c r="L4425">
        <v>2000</v>
      </c>
      <c r="M4425">
        <v>24.323</v>
      </c>
      <c r="N4425" t="s">
        <v>8</v>
      </c>
      <c r="O4425" t="s">
        <v>1137</v>
      </c>
      <c r="P4425" t="s">
        <v>73</v>
      </c>
      <c r="Q4425" t="s">
        <v>74</v>
      </c>
      <c r="R4425" t="s">
        <v>75</v>
      </c>
      <c r="S4425" t="s">
        <v>75</v>
      </c>
      <c r="T4425" t="s">
        <v>1138</v>
      </c>
      <c r="U4425" t="s">
        <v>46</v>
      </c>
      <c r="V4425">
        <v>486.46</v>
      </c>
    </row>
    <row r="4426" spans="1:22" x14ac:dyDescent="0.3">
      <c r="A4426" t="s">
        <v>5908</v>
      </c>
      <c r="B4426" s="2">
        <v>46077</v>
      </c>
      <c r="C4426" t="s">
        <v>1343</v>
      </c>
      <c r="D4426" t="s">
        <v>49</v>
      </c>
      <c r="E4426" t="s">
        <v>79</v>
      </c>
      <c r="F4426">
        <v>2</v>
      </c>
      <c r="G4426">
        <v>0</v>
      </c>
      <c r="H4426">
        <v>22000</v>
      </c>
      <c r="I4426">
        <v>-9992.94</v>
      </c>
      <c r="J4426" t="s">
        <v>65</v>
      </c>
      <c r="K4426" t="s">
        <v>80</v>
      </c>
      <c r="L4426">
        <v>11000</v>
      </c>
      <c r="M4426">
        <v>-45.422454545454549</v>
      </c>
      <c r="N4426" t="s">
        <v>81</v>
      </c>
      <c r="O4426" t="s">
        <v>1057</v>
      </c>
      <c r="P4426" t="s">
        <v>29</v>
      </c>
      <c r="Q4426" t="s">
        <v>42</v>
      </c>
      <c r="R4426" t="s">
        <v>110</v>
      </c>
      <c r="S4426" t="s">
        <v>111</v>
      </c>
      <c r="T4426" t="s">
        <v>1344</v>
      </c>
      <c r="U4426" t="s">
        <v>46</v>
      </c>
      <c r="V4426">
        <v>-4996.47</v>
      </c>
    </row>
    <row r="4427" spans="1:22" x14ac:dyDescent="0.3">
      <c r="A4427" t="s">
        <v>5909</v>
      </c>
      <c r="B4427" s="2">
        <v>46023</v>
      </c>
      <c r="C4427" t="s">
        <v>522</v>
      </c>
      <c r="D4427" t="s">
        <v>70</v>
      </c>
      <c r="E4427" t="s">
        <v>71</v>
      </c>
      <c r="F4427">
        <v>2</v>
      </c>
      <c r="G4427">
        <v>0.15</v>
      </c>
      <c r="H4427">
        <v>30600</v>
      </c>
      <c r="I4427">
        <v>3567.71</v>
      </c>
      <c r="J4427" t="s">
        <v>65</v>
      </c>
      <c r="K4427" t="s">
        <v>40</v>
      </c>
      <c r="L4427">
        <v>15300</v>
      </c>
      <c r="M4427">
        <v>11.659183006535949</v>
      </c>
      <c r="N4427" t="s">
        <v>8</v>
      </c>
      <c r="O4427" t="s">
        <v>523</v>
      </c>
      <c r="P4427" t="s">
        <v>73</v>
      </c>
      <c r="Q4427" t="s">
        <v>30</v>
      </c>
      <c r="R4427" t="s">
        <v>98</v>
      </c>
      <c r="S4427" t="s">
        <v>54</v>
      </c>
      <c r="T4427" t="s">
        <v>62</v>
      </c>
      <c r="U4427" t="s">
        <v>46</v>
      </c>
      <c r="V4427">
        <v>1783.855</v>
      </c>
    </row>
    <row r="4428" spans="1:22" x14ac:dyDescent="0.3">
      <c r="A4428" t="s">
        <v>5910</v>
      </c>
      <c r="B4428" s="2">
        <v>46159</v>
      </c>
      <c r="C4428" t="s">
        <v>2737</v>
      </c>
      <c r="D4428" t="s">
        <v>70</v>
      </c>
      <c r="E4428" t="s">
        <v>129</v>
      </c>
      <c r="F4428">
        <v>5</v>
      </c>
      <c r="G4428">
        <v>0.3</v>
      </c>
      <c r="H4428">
        <v>192500</v>
      </c>
      <c r="I4428">
        <v>-52954.13</v>
      </c>
      <c r="J4428" t="s">
        <v>65</v>
      </c>
      <c r="K4428" t="s">
        <v>80</v>
      </c>
      <c r="L4428">
        <v>38500</v>
      </c>
      <c r="M4428">
        <v>-27.508638961038962</v>
      </c>
      <c r="N4428" t="s">
        <v>81</v>
      </c>
      <c r="O4428" t="s">
        <v>567</v>
      </c>
      <c r="P4428" t="s">
        <v>29</v>
      </c>
      <c r="Q4428" t="s">
        <v>42</v>
      </c>
      <c r="R4428" t="s">
        <v>121</v>
      </c>
      <c r="S4428" t="s">
        <v>44</v>
      </c>
      <c r="T4428" t="s">
        <v>2738</v>
      </c>
      <c r="U4428" t="s">
        <v>46</v>
      </c>
      <c r="V4428">
        <v>-10590.825999999999</v>
      </c>
    </row>
    <row r="4429" spans="1:22" x14ac:dyDescent="0.3">
      <c r="A4429" t="s">
        <v>5911</v>
      </c>
      <c r="B4429" s="2">
        <v>46035</v>
      </c>
      <c r="C4429" t="s">
        <v>208</v>
      </c>
      <c r="D4429" t="s">
        <v>24</v>
      </c>
      <c r="E4429" t="s">
        <v>242</v>
      </c>
      <c r="F4429">
        <v>1</v>
      </c>
      <c r="G4429">
        <v>0.2</v>
      </c>
      <c r="H4429">
        <v>360</v>
      </c>
      <c r="I4429">
        <v>34.36</v>
      </c>
      <c r="J4429" t="s">
        <v>51</v>
      </c>
      <c r="K4429" t="s">
        <v>40</v>
      </c>
      <c r="L4429">
        <v>360</v>
      </c>
      <c r="M4429">
        <v>9.5444444444444443</v>
      </c>
      <c r="N4429" t="s">
        <v>8</v>
      </c>
      <c r="O4429" t="s">
        <v>209</v>
      </c>
      <c r="P4429" t="s">
        <v>29</v>
      </c>
      <c r="Q4429" t="s">
        <v>30</v>
      </c>
      <c r="R4429" t="s">
        <v>60</v>
      </c>
      <c r="S4429" t="s">
        <v>61</v>
      </c>
      <c r="T4429" t="s">
        <v>210</v>
      </c>
      <c r="U4429" t="s">
        <v>46</v>
      </c>
      <c r="V4429">
        <v>34.36</v>
      </c>
    </row>
    <row r="4430" spans="1:22" x14ac:dyDescent="0.3">
      <c r="A4430" t="s">
        <v>5912</v>
      </c>
      <c r="B4430" s="2">
        <v>46168</v>
      </c>
      <c r="C4430" t="s">
        <v>540</v>
      </c>
      <c r="D4430" t="s">
        <v>37</v>
      </c>
      <c r="E4430" t="s">
        <v>310</v>
      </c>
      <c r="F4430">
        <v>1</v>
      </c>
      <c r="G4430">
        <v>0.15</v>
      </c>
      <c r="H4430">
        <v>1870</v>
      </c>
      <c r="I4430">
        <v>535.23</v>
      </c>
      <c r="J4430" t="s">
        <v>39</v>
      </c>
      <c r="K4430" t="s">
        <v>40</v>
      </c>
      <c r="L4430">
        <v>1870</v>
      </c>
      <c r="M4430">
        <v>28.621925133689839</v>
      </c>
      <c r="N4430" t="s">
        <v>8</v>
      </c>
      <c r="O4430" t="s">
        <v>435</v>
      </c>
      <c r="P4430" t="s">
        <v>83</v>
      </c>
      <c r="Q4430" t="s">
        <v>74</v>
      </c>
      <c r="R4430" t="s">
        <v>237</v>
      </c>
      <c r="S4430" t="s">
        <v>238</v>
      </c>
      <c r="T4430" t="s">
        <v>541</v>
      </c>
      <c r="U4430" t="s">
        <v>100</v>
      </c>
      <c r="V4430">
        <v>535.23</v>
      </c>
    </row>
    <row r="4431" spans="1:22" x14ac:dyDescent="0.3">
      <c r="A4431" t="s">
        <v>5913</v>
      </c>
      <c r="B4431" s="2">
        <v>46265</v>
      </c>
      <c r="C4431" t="s">
        <v>1202</v>
      </c>
      <c r="D4431" t="s">
        <v>70</v>
      </c>
      <c r="E4431" t="s">
        <v>71</v>
      </c>
      <c r="F4431">
        <v>2</v>
      </c>
      <c r="G4431">
        <v>0</v>
      </c>
      <c r="H4431">
        <v>36000</v>
      </c>
      <c r="I4431">
        <v>7000</v>
      </c>
      <c r="J4431" t="s">
        <v>51</v>
      </c>
      <c r="K4431" t="s">
        <v>40</v>
      </c>
      <c r="L4431">
        <v>18000</v>
      </c>
      <c r="M4431">
        <v>19.44444444444445</v>
      </c>
      <c r="N4431" t="s">
        <v>8</v>
      </c>
      <c r="O4431" t="s">
        <v>251</v>
      </c>
      <c r="P4431" t="s">
        <v>29</v>
      </c>
      <c r="Q4431" t="s">
        <v>131</v>
      </c>
      <c r="R4431" t="s">
        <v>132</v>
      </c>
      <c r="S4431" t="s">
        <v>133</v>
      </c>
      <c r="T4431" t="s">
        <v>1203</v>
      </c>
      <c r="U4431" t="s">
        <v>34</v>
      </c>
      <c r="V4431">
        <v>3500</v>
      </c>
    </row>
    <row r="4432" spans="1:22" x14ac:dyDescent="0.3">
      <c r="A4432" t="s">
        <v>5914</v>
      </c>
      <c r="B4432" s="2">
        <v>46252</v>
      </c>
      <c r="C4432" t="s">
        <v>2756</v>
      </c>
      <c r="D4432" t="s">
        <v>24</v>
      </c>
      <c r="E4432" t="s">
        <v>92</v>
      </c>
      <c r="F4432">
        <v>1</v>
      </c>
      <c r="G4432">
        <v>0</v>
      </c>
      <c r="H4432">
        <v>900</v>
      </c>
      <c r="I4432">
        <v>280</v>
      </c>
      <c r="J4432" t="s">
        <v>65</v>
      </c>
      <c r="K4432" t="s">
        <v>27</v>
      </c>
      <c r="L4432">
        <v>900</v>
      </c>
      <c r="M4432">
        <v>31.111111111111111</v>
      </c>
      <c r="N4432" t="s">
        <v>8</v>
      </c>
      <c r="O4432" t="s">
        <v>213</v>
      </c>
      <c r="P4432" t="s">
        <v>73</v>
      </c>
      <c r="Q4432" t="s">
        <v>42</v>
      </c>
      <c r="R4432" t="s">
        <v>121</v>
      </c>
      <c r="S4432" t="s">
        <v>44</v>
      </c>
      <c r="T4432" t="s">
        <v>2757</v>
      </c>
      <c r="U4432" t="s">
        <v>105</v>
      </c>
      <c r="V4432">
        <v>280</v>
      </c>
    </row>
    <row r="4433" spans="1:22" x14ac:dyDescent="0.3">
      <c r="A4433" t="s">
        <v>5915</v>
      </c>
      <c r="B4433" s="2">
        <v>45953</v>
      </c>
      <c r="C4433" t="s">
        <v>4724</v>
      </c>
      <c r="D4433" t="s">
        <v>70</v>
      </c>
      <c r="E4433" t="s">
        <v>165</v>
      </c>
      <c r="F4433">
        <v>2</v>
      </c>
      <c r="G4433">
        <v>0.15</v>
      </c>
      <c r="H4433">
        <v>4250</v>
      </c>
      <c r="I4433">
        <v>-955.58</v>
      </c>
      <c r="J4433" t="s">
        <v>51</v>
      </c>
      <c r="K4433" t="s">
        <v>434</v>
      </c>
      <c r="L4433">
        <v>2125</v>
      </c>
      <c r="M4433">
        <v>-22.484235294117649</v>
      </c>
      <c r="N4433" t="s">
        <v>81</v>
      </c>
      <c r="O4433" t="s">
        <v>458</v>
      </c>
      <c r="P4433" t="s">
        <v>29</v>
      </c>
      <c r="Q4433" t="s">
        <v>42</v>
      </c>
      <c r="R4433" t="s">
        <v>43</v>
      </c>
      <c r="S4433" t="s">
        <v>44</v>
      </c>
      <c r="T4433" t="s">
        <v>99</v>
      </c>
      <c r="U4433" t="s">
        <v>34</v>
      </c>
      <c r="V4433">
        <v>-477.79</v>
      </c>
    </row>
    <row r="4434" spans="1:22" x14ac:dyDescent="0.3">
      <c r="A4434" t="s">
        <v>5916</v>
      </c>
      <c r="B4434" s="2">
        <v>46159</v>
      </c>
      <c r="C4434" t="s">
        <v>2690</v>
      </c>
      <c r="D4434" t="s">
        <v>24</v>
      </c>
      <c r="E4434" t="s">
        <v>92</v>
      </c>
      <c r="F4434">
        <v>2</v>
      </c>
      <c r="G4434">
        <v>0.05</v>
      </c>
      <c r="H4434">
        <v>1710</v>
      </c>
      <c r="I4434">
        <v>494.14</v>
      </c>
      <c r="J4434" t="s">
        <v>26</v>
      </c>
      <c r="K4434" t="s">
        <v>40</v>
      </c>
      <c r="L4434">
        <v>855</v>
      </c>
      <c r="M4434">
        <v>28.897076023391811</v>
      </c>
      <c r="N4434" t="s">
        <v>8</v>
      </c>
      <c r="O4434" t="s">
        <v>1169</v>
      </c>
      <c r="P4434" t="s">
        <v>83</v>
      </c>
      <c r="Q4434" t="s">
        <v>42</v>
      </c>
      <c r="R4434" t="s">
        <v>121</v>
      </c>
      <c r="S4434" t="s">
        <v>44</v>
      </c>
      <c r="T4434" t="s">
        <v>2691</v>
      </c>
      <c r="U4434" t="s">
        <v>46</v>
      </c>
      <c r="V4434">
        <v>247.07</v>
      </c>
    </row>
    <row r="4435" spans="1:22" x14ac:dyDescent="0.3">
      <c r="A4435" t="s">
        <v>5917</v>
      </c>
      <c r="B4435" s="2">
        <v>46092</v>
      </c>
      <c r="C4435" t="s">
        <v>1046</v>
      </c>
      <c r="D4435" t="s">
        <v>24</v>
      </c>
      <c r="E4435" t="s">
        <v>242</v>
      </c>
      <c r="F4435">
        <v>2</v>
      </c>
      <c r="G4435">
        <v>0.05</v>
      </c>
      <c r="H4435">
        <v>855</v>
      </c>
      <c r="I4435">
        <v>199.19</v>
      </c>
      <c r="J4435" t="s">
        <v>51</v>
      </c>
      <c r="K4435" t="s">
        <v>40</v>
      </c>
      <c r="L4435">
        <v>427.5</v>
      </c>
      <c r="M4435">
        <v>23.29707602339181</v>
      </c>
      <c r="N4435" t="s">
        <v>8</v>
      </c>
      <c r="O4435" t="s">
        <v>1047</v>
      </c>
      <c r="P4435" t="s">
        <v>29</v>
      </c>
      <c r="Q4435" t="s">
        <v>42</v>
      </c>
      <c r="R4435" t="s">
        <v>121</v>
      </c>
      <c r="S4435" t="s">
        <v>44</v>
      </c>
      <c r="T4435" t="s">
        <v>1048</v>
      </c>
      <c r="U4435" t="s">
        <v>100</v>
      </c>
      <c r="V4435">
        <v>99.594999999999999</v>
      </c>
    </row>
    <row r="4436" spans="1:22" x14ac:dyDescent="0.3">
      <c r="A4436" t="s">
        <v>5918</v>
      </c>
      <c r="B4436" s="2">
        <v>46234</v>
      </c>
      <c r="C4436" t="s">
        <v>246</v>
      </c>
      <c r="D4436" t="s">
        <v>70</v>
      </c>
      <c r="E4436" t="s">
        <v>108</v>
      </c>
      <c r="F4436">
        <v>2</v>
      </c>
      <c r="G4436">
        <v>0.1</v>
      </c>
      <c r="H4436">
        <v>8100</v>
      </c>
      <c r="I4436">
        <v>2556.65</v>
      </c>
      <c r="J4436" t="s">
        <v>39</v>
      </c>
      <c r="K4436" t="s">
        <v>40</v>
      </c>
      <c r="L4436">
        <v>4050</v>
      </c>
      <c r="M4436">
        <v>31.563580246913581</v>
      </c>
      <c r="N4436" t="s">
        <v>8</v>
      </c>
      <c r="O4436" t="s">
        <v>247</v>
      </c>
      <c r="P4436" t="s">
        <v>73</v>
      </c>
      <c r="Q4436" t="s">
        <v>30</v>
      </c>
      <c r="R4436" t="s">
        <v>53</v>
      </c>
      <c r="S4436" t="s">
        <v>54</v>
      </c>
      <c r="T4436" t="s">
        <v>248</v>
      </c>
      <c r="U4436" t="s">
        <v>100</v>
      </c>
      <c r="V4436">
        <v>1278.325</v>
      </c>
    </row>
    <row r="4437" spans="1:22" x14ac:dyDescent="0.3">
      <c r="A4437" t="s">
        <v>5919</v>
      </c>
      <c r="B4437" s="2">
        <v>46192</v>
      </c>
      <c r="C4437" t="s">
        <v>513</v>
      </c>
      <c r="D4437" t="s">
        <v>49</v>
      </c>
      <c r="E4437" t="s">
        <v>58</v>
      </c>
      <c r="F4437">
        <v>1</v>
      </c>
      <c r="G4437">
        <v>0</v>
      </c>
      <c r="H4437">
        <v>15000</v>
      </c>
      <c r="I4437">
        <v>3500</v>
      </c>
      <c r="J4437" t="s">
        <v>39</v>
      </c>
      <c r="K4437" t="s">
        <v>40</v>
      </c>
      <c r="L4437">
        <v>15000</v>
      </c>
      <c r="M4437">
        <v>23.333333333333329</v>
      </c>
      <c r="N4437" t="s">
        <v>8</v>
      </c>
      <c r="O4437" t="s">
        <v>514</v>
      </c>
      <c r="P4437" t="s">
        <v>73</v>
      </c>
      <c r="Q4437" t="s">
        <v>131</v>
      </c>
      <c r="R4437" t="s">
        <v>449</v>
      </c>
      <c r="S4437" t="s">
        <v>450</v>
      </c>
      <c r="T4437" t="s">
        <v>515</v>
      </c>
      <c r="U4437" t="s">
        <v>100</v>
      </c>
      <c r="V4437">
        <v>3500</v>
      </c>
    </row>
    <row r="4438" spans="1:22" x14ac:dyDescent="0.3">
      <c r="A4438" t="s">
        <v>5920</v>
      </c>
      <c r="B4438" s="2">
        <v>46232</v>
      </c>
      <c r="C4438" t="s">
        <v>632</v>
      </c>
      <c r="D4438" t="s">
        <v>70</v>
      </c>
      <c r="E4438" t="s">
        <v>71</v>
      </c>
      <c r="F4438">
        <v>5</v>
      </c>
      <c r="G4438">
        <v>0</v>
      </c>
      <c r="H4438">
        <v>90000</v>
      </c>
      <c r="I4438">
        <v>17500</v>
      </c>
      <c r="J4438" t="s">
        <v>65</v>
      </c>
      <c r="K4438" t="s">
        <v>40</v>
      </c>
      <c r="L4438">
        <v>18000</v>
      </c>
      <c r="M4438">
        <v>19.44444444444445</v>
      </c>
      <c r="N4438" t="s">
        <v>8</v>
      </c>
      <c r="O4438" t="s">
        <v>427</v>
      </c>
      <c r="P4438" t="s">
        <v>29</v>
      </c>
      <c r="Q4438" t="s">
        <v>42</v>
      </c>
      <c r="R4438" t="s">
        <v>110</v>
      </c>
      <c r="S4438" t="s">
        <v>111</v>
      </c>
      <c r="T4438" t="s">
        <v>633</v>
      </c>
      <c r="U4438" t="s">
        <v>100</v>
      </c>
      <c r="V4438">
        <v>3500</v>
      </c>
    </row>
    <row r="4439" spans="1:22" x14ac:dyDescent="0.3">
      <c r="A4439" t="s">
        <v>5921</v>
      </c>
      <c r="B4439" s="2">
        <v>46111</v>
      </c>
      <c r="C4439" t="s">
        <v>2327</v>
      </c>
      <c r="D4439" t="s">
        <v>24</v>
      </c>
      <c r="E4439" t="s">
        <v>25</v>
      </c>
      <c r="F4439">
        <v>2</v>
      </c>
      <c r="G4439">
        <v>0.15</v>
      </c>
      <c r="H4439">
        <v>23800</v>
      </c>
      <c r="I4439">
        <v>3417.03</v>
      </c>
      <c r="J4439" t="s">
        <v>39</v>
      </c>
      <c r="K4439" t="s">
        <v>40</v>
      </c>
      <c r="L4439">
        <v>11900</v>
      </c>
      <c r="M4439">
        <v>14.35726890756303</v>
      </c>
      <c r="N4439" t="s">
        <v>8</v>
      </c>
      <c r="O4439" t="s">
        <v>825</v>
      </c>
      <c r="P4439" t="s">
        <v>73</v>
      </c>
      <c r="Q4439" t="s">
        <v>30</v>
      </c>
      <c r="R4439" t="s">
        <v>31</v>
      </c>
      <c r="S4439" t="s">
        <v>32</v>
      </c>
      <c r="T4439" t="s">
        <v>55</v>
      </c>
      <c r="U4439" t="s">
        <v>46</v>
      </c>
      <c r="V4439">
        <v>1708.5150000000001</v>
      </c>
    </row>
    <row r="4440" spans="1:22" x14ac:dyDescent="0.3">
      <c r="A4440" t="s">
        <v>5922</v>
      </c>
      <c r="B4440" s="2">
        <v>46261</v>
      </c>
      <c r="C4440" t="s">
        <v>807</v>
      </c>
      <c r="D4440" t="s">
        <v>24</v>
      </c>
      <c r="E4440" t="s">
        <v>87</v>
      </c>
      <c r="F4440">
        <v>1</v>
      </c>
      <c r="G4440">
        <v>0.1</v>
      </c>
      <c r="H4440">
        <v>315</v>
      </c>
      <c r="I4440">
        <v>-98.04</v>
      </c>
      <c r="J4440" t="s">
        <v>26</v>
      </c>
      <c r="K4440" t="s">
        <v>80</v>
      </c>
      <c r="L4440">
        <v>315</v>
      </c>
      <c r="M4440">
        <v>-31.12380952380953</v>
      </c>
      <c r="N4440" t="s">
        <v>81</v>
      </c>
      <c r="O4440" t="s">
        <v>545</v>
      </c>
      <c r="P4440" t="s">
        <v>73</v>
      </c>
      <c r="Q4440" t="s">
        <v>30</v>
      </c>
      <c r="R4440" t="s">
        <v>31</v>
      </c>
      <c r="S4440" t="s">
        <v>32</v>
      </c>
      <c r="T4440" t="s">
        <v>808</v>
      </c>
      <c r="U4440" t="s">
        <v>105</v>
      </c>
      <c r="V4440">
        <v>-98.04</v>
      </c>
    </row>
    <row r="4441" spans="1:22" x14ac:dyDescent="0.3">
      <c r="A4441" t="s">
        <v>5923</v>
      </c>
      <c r="B4441" s="2">
        <v>46237</v>
      </c>
      <c r="C4441" t="s">
        <v>872</v>
      </c>
      <c r="D4441" t="s">
        <v>37</v>
      </c>
      <c r="E4441" t="s">
        <v>190</v>
      </c>
      <c r="F4441">
        <v>1</v>
      </c>
      <c r="G4441">
        <v>0.05</v>
      </c>
      <c r="H4441">
        <v>3990</v>
      </c>
      <c r="I4441">
        <v>-902.11</v>
      </c>
      <c r="J4441" t="s">
        <v>51</v>
      </c>
      <c r="K4441" t="s">
        <v>80</v>
      </c>
      <c r="L4441">
        <v>3990</v>
      </c>
      <c r="M4441">
        <v>-22.609273182957391</v>
      </c>
      <c r="N4441" t="s">
        <v>81</v>
      </c>
      <c r="O4441" t="s">
        <v>492</v>
      </c>
      <c r="P4441" t="s">
        <v>29</v>
      </c>
      <c r="Q4441" t="s">
        <v>42</v>
      </c>
      <c r="R4441" t="s">
        <v>121</v>
      </c>
      <c r="S4441" t="s">
        <v>44</v>
      </c>
      <c r="T4441" t="s">
        <v>873</v>
      </c>
      <c r="U4441" t="s">
        <v>46</v>
      </c>
      <c r="V4441">
        <v>-902.11</v>
      </c>
    </row>
    <row r="4442" spans="1:22" x14ac:dyDescent="0.3">
      <c r="A4442" t="s">
        <v>5924</v>
      </c>
      <c r="B4442" s="2">
        <v>46131</v>
      </c>
      <c r="C4442" t="s">
        <v>2233</v>
      </c>
      <c r="D4442" t="s">
        <v>24</v>
      </c>
      <c r="E4442" t="s">
        <v>25</v>
      </c>
      <c r="F4442">
        <v>4</v>
      </c>
      <c r="G4442">
        <v>0</v>
      </c>
      <c r="H4442">
        <v>56000</v>
      </c>
      <c r="I4442">
        <v>11200</v>
      </c>
      <c r="J4442" t="s">
        <v>51</v>
      </c>
      <c r="K4442" t="s">
        <v>40</v>
      </c>
      <c r="L4442">
        <v>14000</v>
      </c>
      <c r="M4442">
        <v>20</v>
      </c>
      <c r="N4442" t="s">
        <v>8</v>
      </c>
      <c r="O4442" t="s">
        <v>398</v>
      </c>
      <c r="P4442" t="s">
        <v>73</v>
      </c>
      <c r="Q4442" t="s">
        <v>74</v>
      </c>
      <c r="R4442" t="s">
        <v>75</v>
      </c>
      <c r="S4442" t="s">
        <v>75</v>
      </c>
      <c r="T4442" t="s">
        <v>391</v>
      </c>
      <c r="U4442" t="s">
        <v>46</v>
      </c>
      <c r="V4442">
        <v>2800</v>
      </c>
    </row>
    <row r="4443" spans="1:22" x14ac:dyDescent="0.3">
      <c r="A4443" t="s">
        <v>5925</v>
      </c>
      <c r="B4443" s="2">
        <v>46234</v>
      </c>
      <c r="C4443" t="s">
        <v>3736</v>
      </c>
      <c r="D4443" t="s">
        <v>70</v>
      </c>
      <c r="E4443" t="s">
        <v>165</v>
      </c>
      <c r="F4443">
        <v>2</v>
      </c>
      <c r="G4443">
        <v>0</v>
      </c>
      <c r="H4443">
        <v>5000</v>
      </c>
      <c r="I4443">
        <v>1600</v>
      </c>
      <c r="J4443" t="s">
        <v>26</v>
      </c>
      <c r="K4443" t="s">
        <v>40</v>
      </c>
      <c r="L4443">
        <v>2500</v>
      </c>
      <c r="M4443">
        <v>32</v>
      </c>
      <c r="N4443" t="s">
        <v>8</v>
      </c>
      <c r="O4443" t="s">
        <v>1137</v>
      </c>
      <c r="P4443" t="s">
        <v>73</v>
      </c>
      <c r="Q4443" t="s">
        <v>74</v>
      </c>
      <c r="R4443" t="s">
        <v>75</v>
      </c>
      <c r="S4443" t="s">
        <v>75</v>
      </c>
      <c r="T4443" t="s">
        <v>3737</v>
      </c>
      <c r="U4443" t="s">
        <v>46</v>
      </c>
      <c r="V4443">
        <v>800</v>
      </c>
    </row>
    <row r="4444" spans="1:22" x14ac:dyDescent="0.3">
      <c r="A4444" t="s">
        <v>5926</v>
      </c>
      <c r="B4444" s="2">
        <v>46149</v>
      </c>
      <c r="C4444" t="s">
        <v>469</v>
      </c>
      <c r="D4444" t="s">
        <v>49</v>
      </c>
      <c r="E4444" t="s">
        <v>58</v>
      </c>
      <c r="F4444">
        <v>3</v>
      </c>
      <c r="G4444">
        <v>0.1</v>
      </c>
      <c r="H4444">
        <v>40500</v>
      </c>
      <c r="I4444">
        <v>7020.12</v>
      </c>
      <c r="J4444" t="s">
        <v>65</v>
      </c>
      <c r="K4444" t="s">
        <v>40</v>
      </c>
      <c r="L4444">
        <v>13500</v>
      </c>
      <c r="M4444">
        <v>17.33362962962963</v>
      </c>
      <c r="N4444" t="s">
        <v>8</v>
      </c>
      <c r="O4444" t="s">
        <v>470</v>
      </c>
      <c r="P4444" t="s">
        <v>83</v>
      </c>
      <c r="Q4444" t="s">
        <v>30</v>
      </c>
      <c r="R4444" t="s">
        <v>31</v>
      </c>
      <c r="S4444" t="s">
        <v>32</v>
      </c>
      <c r="T4444" t="s">
        <v>471</v>
      </c>
      <c r="U4444" t="s">
        <v>100</v>
      </c>
      <c r="V4444">
        <v>2340.04</v>
      </c>
    </row>
    <row r="4445" spans="1:22" x14ac:dyDescent="0.3">
      <c r="A4445" t="s">
        <v>5927</v>
      </c>
      <c r="B4445" s="2">
        <v>46123</v>
      </c>
      <c r="C4445" t="s">
        <v>1519</v>
      </c>
      <c r="D4445" t="s">
        <v>70</v>
      </c>
      <c r="E4445" t="s">
        <v>129</v>
      </c>
      <c r="F4445">
        <v>3</v>
      </c>
      <c r="G4445">
        <v>0.1</v>
      </c>
      <c r="H4445">
        <v>148500</v>
      </c>
      <c r="I4445">
        <v>18644.150000000001</v>
      </c>
      <c r="J4445" t="s">
        <v>26</v>
      </c>
      <c r="K4445" t="s">
        <v>40</v>
      </c>
      <c r="L4445">
        <v>49500</v>
      </c>
      <c r="M4445">
        <v>12.55498316498317</v>
      </c>
      <c r="N4445" t="s">
        <v>8</v>
      </c>
      <c r="O4445" t="s">
        <v>1520</v>
      </c>
      <c r="P4445" t="s">
        <v>83</v>
      </c>
      <c r="Q4445" t="s">
        <v>30</v>
      </c>
      <c r="R4445" t="s">
        <v>31</v>
      </c>
      <c r="S4445" t="s">
        <v>32</v>
      </c>
      <c r="T4445" t="s">
        <v>1521</v>
      </c>
      <c r="U4445" t="s">
        <v>105</v>
      </c>
      <c r="V4445">
        <v>6214.7166666666672</v>
      </c>
    </row>
    <row r="4446" spans="1:22" x14ac:dyDescent="0.3">
      <c r="A4446" t="s">
        <v>5928</v>
      </c>
      <c r="B4446" s="2">
        <v>45888</v>
      </c>
      <c r="C4446" t="s">
        <v>2511</v>
      </c>
      <c r="D4446" t="s">
        <v>37</v>
      </c>
      <c r="E4446" t="s">
        <v>190</v>
      </c>
      <c r="F4446">
        <v>4</v>
      </c>
      <c r="G4446">
        <v>0.15</v>
      </c>
      <c r="H4446">
        <v>14280</v>
      </c>
      <c r="I4446">
        <v>3285.82</v>
      </c>
      <c r="J4446" t="s">
        <v>39</v>
      </c>
      <c r="K4446" t="s">
        <v>40</v>
      </c>
      <c r="L4446">
        <v>3570</v>
      </c>
      <c r="M4446">
        <v>23.009943977591039</v>
      </c>
      <c r="N4446" t="s">
        <v>8</v>
      </c>
      <c r="O4446" t="s">
        <v>1695</v>
      </c>
      <c r="P4446" t="s">
        <v>83</v>
      </c>
      <c r="Q4446" t="s">
        <v>30</v>
      </c>
      <c r="R4446" t="s">
        <v>98</v>
      </c>
      <c r="S4446" t="s">
        <v>54</v>
      </c>
      <c r="T4446" t="s">
        <v>2512</v>
      </c>
      <c r="U4446" t="s">
        <v>46</v>
      </c>
      <c r="V4446">
        <v>821.45500000000004</v>
      </c>
    </row>
    <row r="4447" spans="1:22" x14ac:dyDescent="0.3">
      <c r="A4447" t="s">
        <v>5929</v>
      </c>
      <c r="B4447" s="2">
        <v>45914</v>
      </c>
      <c r="C4447" t="s">
        <v>925</v>
      </c>
      <c r="D4447" t="s">
        <v>70</v>
      </c>
      <c r="E4447" t="s">
        <v>71</v>
      </c>
      <c r="F4447">
        <v>5</v>
      </c>
      <c r="G4447">
        <v>0.15</v>
      </c>
      <c r="H4447">
        <v>76500</v>
      </c>
      <c r="I4447">
        <v>6901.42</v>
      </c>
      <c r="J4447" t="s">
        <v>39</v>
      </c>
      <c r="K4447" t="s">
        <v>27</v>
      </c>
      <c r="L4447">
        <v>15300</v>
      </c>
      <c r="M4447">
        <v>9.0214640522875822</v>
      </c>
      <c r="N4447" t="s">
        <v>8</v>
      </c>
      <c r="O4447" t="s">
        <v>926</v>
      </c>
      <c r="P4447" t="s">
        <v>83</v>
      </c>
      <c r="Q4447" t="s">
        <v>74</v>
      </c>
      <c r="R4447" t="s">
        <v>75</v>
      </c>
      <c r="S4447" t="s">
        <v>75</v>
      </c>
      <c r="T4447" t="s">
        <v>927</v>
      </c>
      <c r="U4447" t="s">
        <v>34</v>
      </c>
      <c r="V4447">
        <v>1380.2840000000001</v>
      </c>
    </row>
    <row r="4448" spans="1:22" x14ac:dyDescent="0.3">
      <c r="A4448" t="s">
        <v>5930</v>
      </c>
      <c r="B4448" s="2">
        <v>46229</v>
      </c>
      <c r="C4448" t="s">
        <v>552</v>
      </c>
      <c r="D4448" t="s">
        <v>24</v>
      </c>
      <c r="E4448" t="s">
        <v>87</v>
      </c>
      <c r="F4448">
        <v>1</v>
      </c>
      <c r="G4448">
        <v>0</v>
      </c>
      <c r="H4448">
        <v>350</v>
      </c>
      <c r="I4448">
        <v>120</v>
      </c>
      <c r="J4448" t="s">
        <v>51</v>
      </c>
      <c r="K4448" t="s">
        <v>40</v>
      </c>
      <c r="L4448">
        <v>350</v>
      </c>
      <c r="M4448">
        <v>34.285714285714278</v>
      </c>
      <c r="N4448" t="s">
        <v>8</v>
      </c>
      <c r="O4448" t="s">
        <v>553</v>
      </c>
      <c r="P4448" t="s">
        <v>29</v>
      </c>
      <c r="Q4448" t="s">
        <v>74</v>
      </c>
      <c r="R4448" t="s">
        <v>493</v>
      </c>
      <c r="S4448" t="s">
        <v>494</v>
      </c>
      <c r="T4448" t="s">
        <v>554</v>
      </c>
      <c r="U4448" t="s">
        <v>105</v>
      </c>
      <c r="V4448">
        <v>120</v>
      </c>
    </row>
    <row r="4449" spans="1:22" x14ac:dyDescent="0.3">
      <c r="A4449" t="s">
        <v>5931</v>
      </c>
      <c r="B4449" s="2">
        <v>46185</v>
      </c>
      <c r="C4449" t="s">
        <v>1072</v>
      </c>
      <c r="D4449" t="s">
        <v>37</v>
      </c>
      <c r="E4449" t="s">
        <v>310</v>
      </c>
      <c r="F4449">
        <v>2</v>
      </c>
      <c r="G4449">
        <v>0.1</v>
      </c>
      <c r="H4449">
        <v>3960</v>
      </c>
      <c r="I4449">
        <v>1223.81</v>
      </c>
      <c r="J4449" t="s">
        <v>39</v>
      </c>
      <c r="K4449" t="s">
        <v>40</v>
      </c>
      <c r="L4449">
        <v>1980</v>
      </c>
      <c r="M4449">
        <v>30.904292929292929</v>
      </c>
      <c r="N4449" t="s">
        <v>8</v>
      </c>
      <c r="O4449" t="s">
        <v>1073</v>
      </c>
      <c r="P4449" t="s">
        <v>73</v>
      </c>
      <c r="Q4449" t="s">
        <v>30</v>
      </c>
      <c r="R4449" t="s">
        <v>60</v>
      </c>
      <c r="S4449" t="s">
        <v>61</v>
      </c>
      <c r="T4449" t="s">
        <v>1074</v>
      </c>
      <c r="U4449" t="s">
        <v>34</v>
      </c>
      <c r="V4449">
        <v>611.90499999999997</v>
      </c>
    </row>
    <row r="4450" spans="1:22" x14ac:dyDescent="0.3">
      <c r="A4450" t="s">
        <v>5932</v>
      </c>
      <c r="B4450" s="2">
        <v>45877</v>
      </c>
      <c r="C4450" t="s">
        <v>1060</v>
      </c>
      <c r="D4450" t="s">
        <v>49</v>
      </c>
      <c r="E4450" t="s">
        <v>79</v>
      </c>
      <c r="F4450">
        <v>1</v>
      </c>
      <c r="G4450">
        <v>0.1</v>
      </c>
      <c r="H4450">
        <v>9900</v>
      </c>
      <c r="I4450">
        <v>1868.67</v>
      </c>
      <c r="J4450" t="s">
        <v>39</v>
      </c>
      <c r="K4450" t="s">
        <v>40</v>
      </c>
      <c r="L4450">
        <v>9900</v>
      </c>
      <c r="M4450">
        <v>18.875454545454549</v>
      </c>
      <c r="N4450" t="s">
        <v>8</v>
      </c>
      <c r="O4450" t="s">
        <v>1061</v>
      </c>
      <c r="P4450" t="s">
        <v>73</v>
      </c>
      <c r="Q4450" t="s">
        <v>30</v>
      </c>
      <c r="R4450" t="s">
        <v>31</v>
      </c>
      <c r="S4450" t="s">
        <v>32</v>
      </c>
      <c r="T4450" t="s">
        <v>1062</v>
      </c>
      <c r="U4450" t="s">
        <v>46</v>
      </c>
      <c r="V4450">
        <v>1868.67</v>
      </c>
    </row>
    <row r="4451" spans="1:22" x14ac:dyDescent="0.3">
      <c r="A4451" t="s">
        <v>5933</v>
      </c>
      <c r="B4451" s="2">
        <v>46063</v>
      </c>
      <c r="C4451" t="s">
        <v>540</v>
      </c>
      <c r="D4451" t="s">
        <v>49</v>
      </c>
      <c r="E4451" t="s">
        <v>79</v>
      </c>
      <c r="F4451">
        <v>1</v>
      </c>
      <c r="G4451">
        <v>0.1</v>
      </c>
      <c r="H4451">
        <v>9900</v>
      </c>
      <c r="I4451">
        <v>1908.5</v>
      </c>
      <c r="J4451" t="s">
        <v>65</v>
      </c>
      <c r="K4451" t="s">
        <v>40</v>
      </c>
      <c r="L4451">
        <v>9900</v>
      </c>
      <c r="M4451">
        <v>19.277777777777779</v>
      </c>
      <c r="N4451" t="s">
        <v>8</v>
      </c>
      <c r="O4451" t="s">
        <v>435</v>
      </c>
      <c r="P4451" t="s">
        <v>83</v>
      </c>
      <c r="Q4451" t="s">
        <v>74</v>
      </c>
      <c r="R4451" t="s">
        <v>237</v>
      </c>
      <c r="S4451" t="s">
        <v>238</v>
      </c>
      <c r="T4451" t="s">
        <v>541</v>
      </c>
      <c r="U4451" t="s">
        <v>100</v>
      </c>
      <c r="V4451">
        <v>1908.5</v>
      </c>
    </row>
    <row r="4452" spans="1:22" x14ac:dyDescent="0.3">
      <c r="A4452" t="s">
        <v>5934</v>
      </c>
      <c r="B4452" s="2">
        <v>45994</v>
      </c>
      <c r="C4452" t="s">
        <v>189</v>
      </c>
      <c r="D4452" t="s">
        <v>70</v>
      </c>
      <c r="E4452" t="s">
        <v>165</v>
      </c>
      <c r="F4452">
        <v>6</v>
      </c>
      <c r="G4452">
        <v>0.05</v>
      </c>
      <c r="H4452">
        <v>14250</v>
      </c>
      <c r="I4452">
        <v>4388.72</v>
      </c>
      <c r="J4452" t="s">
        <v>26</v>
      </c>
      <c r="K4452" t="s">
        <v>40</v>
      </c>
      <c r="L4452">
        <v>2375</v>
      </c>
      <c r="M4452">
        <v>30.798035087719299</v>
      </c>
      <c r="N4452" t="s">
        <v>8</v>
      </c>
      <c r="O4452" t="s">
        <v>191</v>
      </c>
      <c r="P4452" t="s">
        <v>29</v>
      </c>
      <c r="Q4452" t="s">
        <v>30</v>
      </c>
      <c r="R4452" t="s">
        <v>31</v>
      </c>
      <c r="S4452" t="s">
        <v>32</v>
      </c>
      <c r="T4452" t="s">
        <v>192</v>
      </c>
      <c r="U4452" t="s">
        <v>34</v>
      </c>
      <c r="V4452">
        <v>731.45333333333338</v>
      </c>
    </row>
    <row r="4453" spans="1:22" x14ac:dyDescent="0.3">
      <c r="A4453" t="s">
        <v>5935</v>
      </c>
      <c r="B4453" s="2">
        <v>46029</v>
      </c>
      <c r="C4453" t="s">
        <v>4375</v>
      </c>
      <c r="D4453" t="s">
        <v>24</v>
      </c>
      <c r="E4453" t="s">
        <v>25</v>
      </c>
      <c r="F4453">
        <v>4</v>
      </c>
      <c r="G4453">
        <v>0.1</v>
      </c>
      <c r="H4453">
        <v>50400</v>
      </c>
      <c r="I4453">
        <v>6680.8</v>
      </c>
      <c r="J4453" t="s">
        <v>51</v>
      </c>
      <c r="K4453" t="s">
        <v>40</v>
      </c>
      <c r="L4453">
        <v>12600</v>
      </c>
      <c r="M4453">
        <v>13.25555555555556</v>
      </c>
      <c r="N4453" t="s">
        <v>8</v>
      </c>
      <c r="O4453" t="s">
        <v>1256</v>
      </c>
      <c r="P4453" t="s">
        <v>29</v>
      </c>
      <c r="Q4453" t="s">
        <v>74</v>
      </c>
      <c r="R4453" t="s">
        <v>115</v>
      </c>
      <c r="S4453" t="s">
        <v>115</v>
      </c>
      <c r="T4453" t="s">
        <v>281</v>
      </c>
      <c r="U4453" t="s">
        <v>46</v>
      </c>
      <c r="V4453">
        <v>1670.2</v>
      </c>
    </row>
    <row r="4454" spans="1:22" x14ac:dyDescent="0.3">
      <c r="A4454" t="s">
        <v>5936</v>
      </c>
      <c r="B4454" s="2">
        <v>46114</v>
      </c>
      <c r="C4454" t="s">
        <v>1830</v>
      </c>
      <c r="D4454" t="s">
        <v>49</v>
      </c>
      <c r="E4454" t="s">
        <v>79</v>
      </c>
      <c r="F4454">
        <v>1</v>
      </c>
      <c r="G4454">
        <v>0.1</v>
      </c>
      <c r="H4454">
        <v>9900</v>
      </c>
      <c r="I4454">
        <v>1907.22</v>
      </c>
      <c r="J4454" t="s">
        <v>51</v>
      </c>
      <c r="K4454" t="s">
        <v>40</v>
      </c>
      <c r="L4454">
        <v>9900</v>
      </c>
      <c r="M4454">
        <v>19.264848484848489</v>
      </c>
      <c r="N4454" t="s">
        <v>8</v>
      </c>
      <c r="O4454" t="s">
        <v>1831</v>
      </c>
      <c r="P4454" t="s">
        <v>29</v>
      </c>
      <c r="Q4454" t="s">
        <v>30</v>
      </c>
      <c r="R4454" t="s">
        <v>60</v>
      </c>
      <c r="S4454" t="s">
        <v>61</v>
      </c>
      <c r="T4454" t="s">
        <v>1832</v>
      </c>
      <c r="U4454" t="s">
        <v>34</v>
      </c>
      <c r="V4454">
        <v>1907.22</v>
      </c>
    </row>
    <row r="4455" spans="1:22" x14ac:dyDescent="0.3">
      <c r="A4455" t="s">
        <v>5937</v>
      </c>
      <c r="B4455" s="2">
        <v>46081</v>
      </c>
      <c r="C4455" t="s">
        <v>1465</v>
      </c>
      <c r="D4455" t="s">
        <v>24</v>
      </c>
      <c r="E4455" t="s">
        <v>25</v>
      </c>
      <c r="F4455">
        <v>5</v>
      </c>
      <c r="G4455">
        <v>0.1</v>
      </c>
      <c r="H4455">
        <v>63000</v>
      </c>
      <c r="I4455">
        <v>-27511.87</v>
      </c>
      <c r="J4455" t="s">
        <v>39</v>
      </c>
      <c r="K4455" t="s">
        <v>434</v>
      </c>
      <c r="L4455">
        <v>12600</v>
      </c>
      <c r="M4455">
        <v>-43.66963492063492</v>
      </c>
      <c r="N4455" t="s">
        <v>81</v>
      </c>
      <c r="O4455" t="s">
        <v>1466</v>
      </c>
      <c r="P4455" t="s">
        <v>73</v>
      </c>
      <c r="Q4455" t="s">
        <v>74</v>
      </c>
      <c r="R4455" t="s">
        <v>237</v>
      </c>
      <c r="S4455" t="s">
        <v>238</v>
      </c>
      <c r="T4455" t="s">
        <v>831</v>
      </c>
      <c r="U4455" t="s">
        <v>34</v>
      </c>
      <c r="V4455">
        <v>-5502.3739999999998</v>
      </c>
    </row>
    <row r="4456" spans="1:22" x14ac:dyDescent="0.3">
      <c r="A4456" t="s">
        <v>5938</v>
      </c>
      <c r="B4456" s="2">
        <v>46169</v>
      </c>
      <c r="C4456" t="s">
        <v>258</v>
      </c>
      <c r="D4456" t="s">
        <v>24</v>
      </c>
      <c r="E4456" t="s">
        <v>242</v>
      </c>
      <c r="F4456">
        <v>4</v>
      </c>
      <c r="G4456">
        <v>0</v>
      </c>
      <c r="H4456">
        <v>1800</v>
      </c>
      <c r="I4456">
        <v>440</v>
      </c>
      <c r="J4456" t="s">
        <v>51</v>
      </c>
      <c r="K4456" t="s">
        <v>40</v>
      </c>
      <c r="L4456">
        <v>450</v>
      </c>
      <c r="M4456">
        <v>24.444444444444439</v>
      </c>
      <c r="N4456" t="s">
        <v>8</v>
      </c>
      <c r="O4456" t="s">
        <v>259</v>
      </c>
      <c r="P4456" t="s">
        <v>73</v>
      </c>
      <c r="Q4456" t="s">
        <v>30</v>
      </c>
      <c r="R4456" t="s">
        <v>60</v>
      </c>
      <c r="S4456" t="s">
        <v>61</v>
      </c>
      <c r="T4456" t="s">
        <v>260</v>
      </c>
      <c r="U4456" t="s">
        <v>105</v>
      </c>
      <c r="V4456">
        <v>110</v>
      </c>
    </row>
    <row r="4457" spans="1:22" x14ac:dyDescent="0.3">
      <c r="A4457" t="s">
        <v>5939</v>
      </c>
      <c r="B4457" s="2">
        <v>45933</v>
      </c>
      <c r="C4457" t="s">
        <v>1984</v>
      </c>
      <c r="D4457" t="s">
        <v>37</v>
      </c>
      <c r="E4457" t="s">
        <v>170</v>
      </c>
      <c r="F4457">
        <v>1</v>
      </c>
      <c r="G4457">
        <v>0.3</v>
      </c>
      <c r="H4457">
        <v>980</v>
      </c>
      <c r="I4457">
        <v>159.09</v>
      </c>
      <c r="J4457" t="s">
        <v>26</v>
      </c>
      <c r="K4457" t="s">
        <v>40</v>
      </c>
      <c r="L4457">
        <v>980</v>
      </c>
      <c r="M4457">
        <v>16.23367346938775</v>
      </c>
      <c r="N4457" t="s">
        <v>8</v>
      </c>
      <c r="O4457" t="s">
        <v>959</v>
      </c>
      <c r="P4457" t="s">
        <v>73</v>
      </c>
      <c r="Q4457" t="s">
        <v>74</v>
      </c>
      <c r="R4457" t="s">
        <v>493</v>
      </c>
      <c r="S4457" t="s">
        <v>494</v>
      </c>
      <c r="T4457" t="s">
        <v>1985</v>
      </c>
      <c r="U4457" t="s">
        <v>100</v>
      </c>
      <c r="V4457">
        <v>159.09</v>
      </c>
    </row>
    <row r="4458" spans="1:22" x14ac:dyDescent="0.3">
      <c r="A4458" t="s">
        <v>5940</v>
      </c>
      <c r="B4458" s="2">
        <v>45920</v>
      </c>
      <c r="C4458" t="s">
        <v>577</v>
      </c>
      <c r="D4458" t="s">
        <v>37</v>
      </c>
      <c r="E4458" t="s">
        <v>310</v>
      </c>
      <c r="F4458">
        <v>1</v>
      </c>
      <c r="G4458">
        <v>0.1</v>
      </c>
      <c r="H4458">
        <v>1980</v>
      </c>
      <c r="I4458">
        <v>631.48</v>
      </c>
      <c r="J4458" t="s">
        <v>26</v>
      </c>
      <c r="K4458" t="s">
        <v>40</v>
      </c>
      <c r="L4458">
        <v>1980</v>
      </c>
      <c r="M4458">
        <v>31.892929292929299</v>
      </c>
      <c r="N4458" t="s">
        <v>8</v>
      </c>
      <c r="O4458" t="s">
        <v>578</v>
      </c>
      <c r="P4458" t="s">
        <v>73</v>
      </c>
      <c r="Q4458" t="s">
        <v>30</v>
      </c>
      <c r="R4458" t="s">
        <v>98</v>
      </c>
      <c r="S4458" t="s">
        <v>54</v>
      </c>
      <c r="T4458" t="s">
        <v>579</v>
      </c>
      <c r="U4458" t="s">
        <v>46</v>
      </c>
      <c r="V4458">
        <v>631.48</v>
      </c>
    </row>
    <row r="4459" spans="1:22" x14ac:dyDescent="0.3">
      <c r="A4459" t="s">
        <v>5941</v>
      </c>
      <c r="B4459" s="2">
        <v>45977</v>
      </c>
      <c r="C4459" t="s">
        <v>1017</v>
      </c>
      <c r="D4459" t="s">
        <v>70</v>
      </c>
      <c r="E4459" t="s">
        <v>129</v>
      </c>
      <c r="F4459">
        <v>1</v>
      </c>
      <c r="G4459">
        <v>0.05</v>
      </c>
      <c r="H4459">
        <v>52250</v>
      </c>
      <c r="I4459">
        <v>7416.84</v>
      </c>
      <c r="J4459" t="s">
        <v>51</v>
      </c>
      <c r="K4459" t="s">
        <v>40</v>
      </c>
      <c r="L4459">
        <v>52250</v>
      </c>
      <c r="M4459">
        <v>14.194909090909089</v>
      </c>
      <c r="N4459" t="s">
        <v>8</v>
      </c>
      <c r="O4459" t="s">
        <v>1018</v>
      </c>
      <c r="P4459" t="s">
        <v>83</v>
      </c>
      <c r="Q4459" t="s">
        <v>30</v>
      </c>
      <c r="R4459" t="s">
        <v>98</v>
      </c>
      <c r="S4459" t="s">
        <v>54</v>
      </c>
      <c r="T4459" t="s">
        <v>1019</v>
      </c>
      <c r="U4459" t="s">
        <v>46</v>
      </c>
      <c r="V4459">
        <v>7416.84</v>
      </c>
    </row>
    <row r="4460" spans="1:22" x14ac:dyDescent="0.3">
      <c r="A4460" t="s">
        <v>5942</v>
      </c>
      <c r="B4460" s="2">
        <v>46034</v>
      </c>
      <c r="C4460" t="s">
        <v>204</v>
      </c>
      <c r="D4460" t="s">
        <v>37</v>
      </c>
      <c r="E4460" t="s">
        <v>38</v>
      </c>
      <c r="F4460">
        <v>2</v>
      </c>
      <c r="G4460">
        <v>0.05</v>
      </c>
      <c r="H4460">
        <v>3420</v>
      </c>
      <c r="I4460">
        <v>1193.6500000000001</v>
      </c>
      <c r="J4460" t="s">
        <v>26</v>
      </c>
      <c r="K4460" t="s">
        <v>40</v>
      </c>
      <c r="L4460">
        <v>1710</v>
      </c>
      <c r="M4460">
        <v>34.902046783625742</v>
      </c>
      <c r="N4460" t="s">
        <v>8</v>
      </c>
      <c r="O4460" t="s">
        <v>205</v>
      </c>
      <c r="P4460" t="s">
        <v>29</v>
      </c>
      <c r="Q4460" t="s">
        <v>30</v>
      </c>
      <c r="R4460" t="s">
        <v>98</v>
      </c>
      <c r="S4460" t="s">
        <v>54</v>
      </c>
      <c r="T4460" t="s">
        <v>206</v>
      </c>
      <c r="U4460" t="s">
        <v>34</v>
      </c>
      <c r="V4460">
        <v>596.82500000000005</v>
      </c>
    </row>
    <row r="4461" spans="1:22" x14ac:dyDescent="0.3">
      <c r="A4461" t="s">
        <v>5943</v>
      </c>
      <c r="B4461" s="2">
        <v>46148</v>
      </c>
      <c r="C4461" t="s">
        <v>2985</v>
      </c>
      <c r="D4461" t="s">
        <v>24</v>
      </c>
      <c r="E4461" t="s">
        <v>87</v>
      </c>
      <c r="F4461">
        <v>3</v>
      </c>
      <c r="G4461">
        <v>0</v>
      </c>
      <c r="H4461">
        <v>1050</v>
      </c>
      <c r="I4461">
        <v>360</v>
      </c>
      <c r="J4461" t="s">
        <v>51</v>
      </c>
      <c r="K4461" t="s">
        <v>40</v>
      </c>
      <c r="L4461">
        <v>350</v>
      </c>
      <c r="M4461">
        <v>34.285714285714278</v>
      </c>
      <c r="N4461" t="s">
        <v>8</v>
      </c>
      <c r="O4461" t="s">
        <v>754</v>
      </c>
      <c r="P4461" t="s">
        <v>83</v>
      </c>
      <c r="Q4461" t="s">
        <v>74</v>
      </c>
      <c r="R4461" t="s">
        <v>75</v>
      </c>
      <c r="S4461" t="s">
        <v>75</v>
      </c>
      <c r="T4461" t="s">
        <v>2986</v>
      </c>
      <c r="U4461" t="s">
        <v>34</v>
      </c>
      <c r="V4461">
        <v>120</v>
      </c>
    </row>
    <row r="4462" spans="1:22" x14ac:dyDescent="0.3">
      <c r="A4462" t="s">
        <v>5944</v>
      </c>
      <c r="B4462" s="2">
        <v>46262</v>
      </c>
      <c r="C4462" t="s">
        <v>2177</v>
      </c>
      <c r="D4462" t="s">
        <v>70</v>
      </c>
      <c r="E4462" t="s">
        <v>71</v>
      </c>
      <c r="F4462">
        <v>1</v>
      </c>
      <c r="G4462">
        <v>0.15</v>
      </c>
      <c r="H4462">
        <v>15300</v>
      </c>
      <c r="I4462">
        <v>1422.59</v>
      </c>
      <c r="J4462" t="s">
        <v>26</v>
      </c>
      <c r="K4462" t="s">
        <v>40</v>
      </c>
      <c r="L4462">
        <v>15300</v>
      </c>
      <c r="M4462">
        <v>9.2979738562091505</v>
      </c>
      <c r="N4462" t="s">
        <v>8</v>
      </c>
      <c r="O4462" t="s">
        <v>175</v>
      </c>
      <c r="P4462" t="s">
        <v>29</v>
      </c>
      <c r="Q4462" t="s">
        <v>30</v>
      </c>
      <c r="R4462" t="s">
        <v>98</v>
      </c>
      <c r="S4462" t="s">
        <v>54</v>
      </c>
      <c r="T4462" t="s">
        <v>2178</v>
      </c>
      <c r="U4462" t="s">
        <v>46</v>
      </c>
      <c r="V4462">
        <v>1422.59</v>
      </c>
    </row>
    <row r="4463" spans="1:22" x14ac:dyDescent="0.3">
      <c r="A4463" t="s">
        <v>5945</v>
      </c>
      <c r="B4463" s="2">
        <v>45848</v>
      </c>
      <c r="C4463" t="s">
        <v>86</v>
      </c>
      <c r="D4463" t="s">
        <v>49</v>
      </c>
      <c r="E4463" t="s">
        <v>50</v>
      </c>
      <c r="F4463">
        <v>3</v>
      </c>
      <c r="G4463">
        <v>0</v>
      </c>
      <c r="H4463">
        <v>39000</v>
      </c>
      <c r="I4463">
        <v>9600</v>
      </c>
      <c r="J4463" t="s">
        <v>51</v>
      </c>
      <c r="K4463" t="s">
        <v>40</v>
      </c>
      <c r="L4463">
        <v>13000</v>
      </c>
      <c r="M4463">
        <v>24.61538461538462</v>
      </c>
      <c r="N4463" t="s">
        <v>8</v>
      </c>
      <c r="O4463" t="s">
        <v>88</v>
      </c>
      <c r="P4463" t="s">
        <v>29</v>
      </c>
      <c r="Q4463" t="s">
        <v>42</v>
      </c>
      <c r="R4463" t="s">
        <v>43</v>
      </c>
      <c r="S4463" t="s">
        <v>44</v>
      </c>
      <c r="T4463" t="s">
        <v>89</v>
      </c>
      <c r="U4463" t="s">
        <v>34</v>
      </c>
      <c r="V4463">
        <v>3200</v>
      </c>
    </row>
    <row r="4464" spans="1:22" x14ac:dyDescent="0.3">
      <c r="A4464" t="s">
        <v>5946</v>
      </c>
      <c r="B4464" s="2">
        <v>46017</v>
      </c>
      <c r="C4464" t="s">
        <v>3684</v>
      </c>
      <c r="D4464" t="s">
        <v>49</v>
      </c>
      <c r="E4464" t="s">
        <v>58</v>
      </c>
      <c r="F4464">
        <v>2</v>
      </c>
      <c r="G4464">
        <v>0</v>
      </c>
      <c r="H4464">
        <v>30000</v>
      </c>
      <c r="I4464">
        <v>7000</v>
      </c>
      <c r="J4464" t="s">
        <v>39</v>
      </c>
      <c r="K4464" t="s">
        <v>40</v>
      </c>
      <c r="L4464">
        <v>15000</v>
      </c>
      <c r="M4464">
        <v>23.333333333333329</v>
      </c>
      <c r="N4464" t="s">
        <v>8</v>
      </c>
      <c r="O4464" t="s">
        <v>730</v>
      </c>
      <c r="P4464" t="s">
        <v>29</v>
      </c>
      <c r="Q4464" t="s">
        <v>131</v>
      </c>
      <c r="R4464" t="s">
        <v>200</v>
      </c>
      <c r="S4464" t="s">
        <v>201</v>
      </c>
      <c r="T4464" t="s">
        <v>3685</v>
      </c>
      <c r="U4464" t="s">
        <v>34</v>
      </c>
      <c r="V4464">
        <v>3500</v>
      </c>
    </row>
    <row r="4465" spans="1:22" x14ac:dyDescent="0.3">
      <c r="A4465" t="s">
        <v>5947</v>
      </c>
      <c r="B4465" s="2">
        <v>46181</v>
      </c>
      <c r="C4465" t="s">
        <v>3861</v>
      </c>
      <c r="D4465" t="s">
        <v>24</v>
      </c>
      <c r="E4465" t="s">
        <v>87</v>
      </c>
      <c r="F4465">
        <v>2</v>
      </c>
      <c r="G4465">
        <v>0.1</v>
      </c>
      <c r="H4465">
        <v>630</v>
      </c>
      <c r="I4465">
        <v>196.44</v>
      </c>
      <c r="J4465" t="s">
        <v>51</v>
      </c>
      <c r="K4465" t="s">
        <v>40</v>
      </c>
      <c r="L4465">
        <v>315</v>
      </c>
      <c r="M4465">
        <v>31.18095238095238</v>
      </c>
      <c r="N4465" t="s">
        <v>8</v>
      </c>
      <c r="O4465" t="s">
        <v>276</v>
      </c>
      <c r="P4465" t="s">
        <v>83</v>
      </c>
      <c r="Q4465" t="s">
        <v>131</v>
      </c>
      <c r="R4465" t="s">
        <v>132</v>
      </c>
      <c r="S4465" t="s">
        <v>133</v>
      </c>
      <c r="T4465" t="s">
        <v>3862</v>
      </c>
      <c r="U4465" t="s">
        <v>34</v>
      </c>
      <c r="V4465">
        <v>98.22</v>
      </c>
    </row>
    <row r="4466" spans="1:22" x14ac:dyDescent="0.3">
      <c r="A4466" t="s">
        <v>5948</v>
      </c>
      <c r="B4466" s="2">
        <v>46085</v>
      </c>
      <c r="C4466" t="s">
        <v>617</v>
      </c>
      <c r="D4466" t="s">
        <v>49</v>
      </c>
      <c r="E4466" t="s">
        <v>79</v>
      </c>
      <c r="F4466">
        <v>2</v>
      </c>
      <c r="G4466">
        <v>0.05</v>
      </c>
      <c r="H4466">
        <v>20900</v>
      </c>
      <c r="I4466">
        <v>4357.3100000000004</v>
      </c>
      <c r="J4466" t="s">
        <v>51</v>
      </c>
      <c r="K4466" t="s">
        <v>27</v>
      </c>
      <c r="L4466">
        <v>10450</v>
      </c>
      <c r="M4466">
        <v>20.84837320574163</v>
      </c>
      <c r="N4466" t="s">
        <v>8</v>
      </c>
      <c r="O4466" t="s">
        <v>618</v>
      </c>
      <c r="P4466" t="s">
        <v>83</v>
      </c>
      <c r="Q4466" t="s">
        <v>30</v>
      </c>
      <c r="R4466" t="s">
        <v>98</v>
      </c>
      <c r="S4466" t="s">
        <v>54</v>
      </c>
      <c r="T4466" t="s">
        <v>619</v>
      </c>
      <c r="U4466" t="s">
        <v>100</v>
      </c>
      <c r="V4466">
        <v>2178.6550000000002</v>
      </c>
    </row>
    <row r="4467" spans="1:22" x14ac:dyDescent="0.3">
      <c r="A4467" t="s">
        <v>5949</v>
      </c>
      <c r="B4467" s="2">
        <v>46054</v>
      </c>
      <c r="C4467" t="s">
        <v>570</v>
      </c>
      <c r="D4467" t="s">
        <v>37</v>
      </c>
      <c r="E4467" t="s">
        <v>310</v>
      </c>
      <c r="F4467">
        <v>2</v>
      </c>
      <c r="G4467">
        <v>0.05</v>
      </c>
      <c r="H4467">
        <v>4180</v>
      </c>
      <c r="I4467">
        <v>1395.49</v>
      </c>
      <c r="J4467" t="s">
        <v>39</v>
      </c>
      <c r="K4467" t="s">
        <v>40</v>
      </c>
      <c r="L4467">
        <v>2090</v>
      </c>
      <c r="M4467">
        <v>33.384928229665071</v>
      </c>
      <c r="N4467" t="s">
        <v>8</v>
      </c>
      <c r="O4467" t="s">
        <v>571</v>
      </c>
      <c r="P4467" t="s">
        <v>29</v>
      </c>
      <c r="Q4467" t="s">
        <v>30</v>
      </c>
      <c r="R4467" t="s">
        <v>31</v>
      </c>
      <c r="S4467" t="s">
        <v>32</v>
      </c>
      <c r="T4467" t="s">
        <v>572</v>
      </c>
      <c r="U4467" t="s">
        <v>100</v>
      </c>
      <c r="V4467">
        <v>697.745</v>
      </c>
    </row>
    <row r="4468" spans="1:22" x14ac:dyDescent="0.3">
      <c r="A4468" t="s">
        <v>5950</v>
      </c>
      <c r="B4468" s="2">
        <v>45906</v>
      </c>
      <c r="C4468" t="s">
        <v>850</v>
      </c>
      <c r="D4468" t="s">
        <v>49</v>
      </c>
      <c r="E4468" t="s">
        <v>50</v>
      </c>
      <c r="F4468">
        <v>2</v>
      </c>
      <c r="G4468">
        <v>0</v>
      </c>
      <c r="H4468">
        <v>26000</v>
      </c>
      <c r="I4468">
        <v>-9252.34</v>
      </c>
      <c r="J4468" t="s">
        <v>26</v>
      </c>
      <c r="K4468" t="s">
        <v>80</v>
      </c>
      <c r="L4468">
        <v>13000</v>
      </c>
      <c r="M4468">
        <v>-35.585923076923073</v>
      </c>
      <c r="N4468" t="s">
        <v>81</v>
      </c>
      <c r="O4468" t="s">
        <v>851</v>
      </c>
      <c r="P4468" t="s">
        <v>29</v>
      </c>
      <c r="Q4468" t="s">
        <v>30</v>
      </c>
      <c r="R4468" t="s">
        <v>60</v>
      </c>
      <c r="S4468" t="s">
        <v>61</v>
      </c>
      <c r="T4468" t="s">
        <v>852</v>
      </c>
      <c r="U4468" t="s">
        <v>46</v>
      </c>
      <c r="V4468">
        <v>-4626.17</v>
      </c>
    </row>
    <row r="4469" spans="1:22" x14ac:dyDescent="0.3">
      <c r="A4469" t="s">
        <v>5951</v>
      </c>
      <c r="B4469" s="2">
        <v>46044</v>
      </c>
      <c r="C4469" t="s">
        <v>1014</v>
      </c>
      <c r="D4469" t="s">
        <v>24</v>
      </c>
      <c r="E4469" t="s">
        <v>87</v>
      </c>
      <c r="F4469">
        <v>1</v>
      </c>
      <c r="G4469">
        <v>0.15</v>
      </c>
      <c r="H4469">
        <v>297.5</v>
      </c>
      <c r="I4469">
        <v>76.209999999999994</v>
      </c>
      <c r="J4469" t="s">
        <v>65</v>
      </c>
      <c r="K4469" t="s">
        <v>40</v>
      </c>
      <c r="L4469">
        <v>297.5</v>
      </c>
      <c r="M4469">
        <v>25.61680672268907</v>
      </c>
      <c r="N4469" t="s">
        <v>8</v>
      </c>
      <c r="O4469" t="s">
        <v>530</v>
      </c>
      <c r="P4469" t="s">
        <v>73</v>
      </c>
      <c r="Q4469" t="s">
        <v>42</v>
      </c>
      <c r="R4469" t="s">
        <v>121</v>
      </c>
      <c r="S4469" t="s">
        <v>44</v>
      </c>
      <c r="T4469" t="s">
        <v>1015</v>
      </c>
      <c r="U4469" t="s">
        <v>34</v>
      </c>
      <c r="V4469">
        <v>76.209999999999994</v>
      </c>
    </row>
    <row r="4470" spans="1:22" x14ac:dyDescent="0.3">
      <c r="A4470" t="s">
        <v>5952</v>
      </c>
      <c r="B4470" s="2">
        <v>45932</v>
      </c>
      <c r="C4470" t="s">
        <v>1667</v>
      </c>
      <c r="D4470" t="s">
        <v>49</v>
      </c>
      <c r="E4470" t="s">
        <v>79</v>
      </c>
      <c r="F4470">
        <v>6</v>
      </c>
      <c r="G4470">
        <v>0.05</v>
      </c>
      <c r="H4470">
        <v>62700</v>
      </c>
      <c r="I4470">
        <v>13812.08</v>
      </c>
      <c r="J4470" t="s">
        <v>51</v>
      </c>
      <c r="K4470" t="s">
        <v>40</v>
      </c>
      <c r="L4470">
        <v>10450</v>
      </c>
      <c r="M4470">
        <v>22.02883572567783</v>
      </c>
      <c r="N4470" t="s">
        <v>8</v>
      </c>
      <c r="O4470" t="s">
        <v>1668</v>
      </c>
      <c r="P4470" t="s">
        <v>73</v>
      </c>
      <c r="Q4470" t="s">
        <v>74</v>
      </c>
      <c r="R4470" t="s">
        <v>493</v>
      </c>
      <c r="S4470" t="s">
        <v>494</v>
      </c>
      <c r="T4470" t="s">
        <v>608</v>
      </c>
      <c r="U4470" t="s">
        <v>46</v>
      </c>
      <c r="V4470">
        <v>2302.0133333333329</v>
      </c>
    </row>
    <row r="4471" spans="1:22" x14ac:dyDescent="0.3">
      <c r="A4471" t="s">
        <v>5953</v>
      </c>
      <c r="B4471" s="2">
        <v>46023</v>
      </c>
      <c r="C4471" t="s">
        <v>744</v>
      </c>
      <c r="D4471" t="s">
        <v>70</v>
      </c>
      <c r="E4471" t="s">
        <v>108</v>
      </c>
      <c r="F4471">
        <v>1</v>
      </c>
      <c r="G4471">
        <v>0.1</v>
      </c>
      <c r="H4471">
        <v>4050</v>
      </c>
      <c r="I4471">
        <v>1242.4000000000001</v>
      </c>
      <c r="J4471" t="s">
        <v>51</v>
      </c>
      <c r="K4471" t="s">
        <v>40</v>
      </c>
      <c r="L4471">
        <v>4050</v>
      </c>
      <c r="M4471">
        <v>30.676543209876549</v>
      </c>
      <c r="N4471" t="s">
        <v>8</v>
      </c>
      <c r="O4471" t="s">
        <v>745</v>
      </c>
      <c r="P4471" t="s">
        <v>29</v>
      </c>
      <c r="Q4471" t="s">
        <v>131</v>
      </c>
      <c r="R4471" t="s">
        <v>449</v>
      </c>
      <c r="S4471" t="s">
        <v>450</v>
      </c>
      <c r="T4471" t="s">
        <v>746</v>
      </c>
      <c r="U4471" t="s">
        <v>46</v>
      </c>
      <c r="V4471">
        <v>1242.4000000000001</v>
      </c>
    </row>
    <row r="4472" spans="1:22" x14ac:dyDescent="0.3">
      <c r="A4472" t="s">
        <v>5954</v>
      </c>
      <c r="B4472" s="2">
        <v>46210</v>
      </c>
      <c r="C4472" t="s">
        <v>1777</v>
      </c>
      <c r="D4472" t="s">
        <v>24</v>
      </c>
      <c r="E4472" t="s">
        <v>92</v>
      </c>
      <c r="F4472">
        <v>1</v>
      </c>
      <c r="G4472">
        <v>0.15</v>
      </c>
      <c r="H4472">
        <v>765</v>
      </c>
      <c r="I4472">
        <v>217.29</v>
      </c>
      <c r="J4472" t="s">
        <v>39</v>
      </c>
      <c r="K4472" t="s">
        <v>40</v>
      </c>
      <c r="L4472">
        <v>765</v>
      </c>
      <c r="M4472">
        <v>28.40392156862745</v>
      </c>
      <c r="N4472" t="s">
        <v>8</v>
      </c>
      <c r="O4472" t="s">
        <v>322</v>
      </c>
      <c r="P4472" t="s">
        <v>83</v>
      </c>
      <c r="Q4472" t="s">
        <v>30</v>
      </c>
      <c r="R4472" t="s">
        <v>31</v>
      </c>
      <c r="S4472" t="s">
        <v>32</v>
      </c>
      <c r="T4472" t="s">
        <v>1778</v>
      </c>
      <c r="U4472" t="s">
        <v>34</v>
      </c>
      <c r="V4472">
        <v>217.29</v>
      </c>
    </row>
    <row r="4473" spans="1:22" x14ac:dyDescent="0.3">
      <c r="A4473" t="s">
        <v>5955</v>
      </c>
      <c r="B4473" s="2">
        <v>45854</v>
      </c>
      <c r="C4473" t="s">
        <v>1493</v>
      </c>
      <c r="D4473" t="s">
        <v>70</v>
      </c>
      <c r="E4473" t="s">
        <v>129</v>
      </c>
      <c r="F4473">
        <v>5</v>
      </c>
      <c r="G4473">
        <v>0</v>
      </c>
      <c r="H4473">
        <v>275000</v>
      </c>
      <c r="I4473">
        <v>45000</v>
      </c>
      <c r="J4473" t="s">
        <v>26</v>
      </c>
      <c r="K4473" t="s">
        <v>40</v>
      </c>
      <c r="L4473">
        <v>55000</v>
      </c>
      <c r="M4473">
        <v>16.36363636363636</v>
      </c>
      <c r="N4473" t="s">
        <v>8</v>
      </c>
      <c r="O4473" t="s">
        <v>1494</v>
      </c>
      <c r="P4473" t="s">
        <v>73</v>
      </c>
      <c r="Q4473" t="s">
        <v>131</v>
      </c>
      <c r="R4473" t="s">
        <v>449</v>
      </c>
      <c r="S4473" t="s">
        <v>450</v>
      </c>
      <c r="T4473" t="s">
        <v>1495</v>
      </c>
      <c r="U4473" t="s">
        <v>34</v>
      </c>
      <c r="V4473">
        <v>9000</v>
      </c>
    </row>
    <row r="4474" spans="1:22" x14ac:dyDescent="0.3">
      <c r="A4474" t="s">
        <v>5956</v>
      </c>
      <c r="B4474" s="2">
        <v>45873</v>
      </c>
      <c r="C4474" t="s">
        <v>810</v>
      </c>
      <c r="D4474" t="s">
        <v>49</v>
      </c>
      <c r="E4474" t="s">
        <v>119</v>
      </c>
      <c r="F4474">
        <v>1</v>
      </c>
      <c r="G4474">
        <v>0.3</v>
      </c>
      <c r="H4474">
        <v>6300</v>
      </c>
      <c r="I4474">
        <v>879.19</v>
      </c>
      <c r="J4474" t="s">
        <v>51</v>
      </c>
      <c r="K4474" t="s">
        <v>40</v>
      </c>
      <c r="L4474">
        <v>6300</v>
      </c>
      <c r="M4474">
        <v>13.95539682539683</v>
      </c>
      <c r="N4474" t="s">
        <v>8</v>
      </c>
      <c r="O4474" t="s">
        <v>811</v>
      </c>
      <c r="P4474" t="s">
        <v>73</v>
      </c>
      <c r="Q4474" t="s">
        <v>30</v>
      </c>
      <c r="R4474" t="s">
        <v>60</v>
      </c>
      <c r="S4474" t="s">
        <v>61</v>
      </c>
      <c r="T4474" t="s">
        <v>812</v>
      </c>
      <c r="U4474" t="s">
        <v>34</v>
      </c>
      <c r="V4474">
        <v>879.19</v>
      </c>
    </row>
    <row r="4475" spans="1:22" x14ac:dyDescent="0.3">
      <c r="A4475" t="s">
        <v>5957</v>
      </c>
      <c r="B4475" s="2">
        <v>46246</v>
      </c>
      <c r="C4475" t="s">
        <v>1704</v>
      </c>
      <c r="D4475" t="s">
        <v>24</v>
      </c>
      <c r="E4475" t="s">
        <v>25</v>
      </c>
      <c r="F4475">
        <v>3</v>
      </c>
      <c r="G4475">
        <v>0.1</v>
      </c>
      <c r="H4475">
        <v>37800</v>
      </c>
      <c r="I4475">
        <v>5403.98</v>
      </c>
      <c r="J4475" t="s">
        <v>51</v>
      </c>
      <c r="K4475" t="s">
        <v>40</v>
      </c>
      <c r="L4475">
        <v>12600</v>
      </c>
      <c r="M4475">
        <v>14.296243386243381</v>
      </c>
      <c r="N4475" t="s">
        <v>8</v>
      </c>
      <c r="O4475" t="s">
        <v>636</v>
      </c>
      <c r="P4475" t="s">
        <v>29</v>
      </c>
      <c r="Q4475" t="s">
        <v>30</v>
      </c>
      <c r="R4475" t="s">
        <v>53</v>
      </c>
      <c r="S4475" t="s">
        <v>54</v>
      </c>
      <c r="T4475" t="s">
        <v>1705</v>
      </c>
      <c r="U4475" t="s">
        <v>34</v>
      </c>
      <c r="V4475">
        <v>1801.3266666666671</v>
      </c>
    </row>
    <row r="4476" spans="1:22" x14ac:dyDescent="0.3">
      <c r="A4476" t="s">
        <v>5958</v>
      </c>
      <c r="B4476" s="2">
        <v>45948</v>
      </c>
      <c r="C4476" t="s">
        <v>517</v>
      </c>
      <c r="D4476" t="s">
        <v>24</v>
      </c>
      <c r="E4476" t="s">
        <v>92</v>
      </c>
      <c r="F4476">
        <v>2</v>
      </c>
      <c r="G4476">
        <v>0.05</v>
      </c>
      <c r="H4476">
        <v>1710</v>
      </c>
      <c r="I4476">
        <v>491.4</v>
      </c>
      <c r="J4476" t="s">
        <v>51</v>
      </c>
      <c r="K4476" t="s">
        <v>40</v>
      </c>
      <c r="L4476">
        <v>855</v>
      </c>
      <c r="M4476">
        <v>28.73684210526315</v>
      </c>
      <c r="N4476" t="s">
        <v>8</v>
      </c>
      <c r="O4476" t="s">
        <v>518</v>
      </c>
      <c r="P4476" t="s">
        <v>29</v>
      </c>
      <c r="Q4476" t="s">
        <v>131</v>
      </c>
      <c r="R4476" t="s">
        <v>200</v>
      </c>
      <c r="S4476" t="s">
        <v>201</v>
      </c>
      <c r="T4476" t="s">
        <v>519</v>
      </c>
      <c r="U4476" t="s">
        <v>100</v>
      </c>
      <c r="V4476">
        <v>245.7</v>
      </c>
    </row>
    <row r="4477" spans="1:22" x14ac:dyDescent="0.3">
      <c r="A4477" t="s">
        <v>5959</v>
      </c>
      <c r="B4477" s="2">
        <v>46144</v>
      </c>
      <c r="C4477" t="s">
        <v>562</v>
      </c>
      <c r="D4477" t="s">
        <v>70</v>
      </c>
      <c r="E4477" t="s">
        <v>71</v>
      </c>
      <c r="F4477">
        <v>6</v>
      </c>
      <c r="G4477">
        <v>0</v>
      </c>
      <c r="H4477">
        <v>108000</v>
      </c>
      <c r="I4477">
        <v>21000</v>
      </c>
      <c r="J4477" t="s">
        <v>65</v>
      </c>
      <c r="K4477" t="s">
        <v>40</v>
      </c>
      <c r="L4477">
        <v>18000</v>
      </c>
      <c r="M4477">
        <v>19.44444444444445</v>
      </c>
      <c r="N4477" t="s">
        <v>8</v>
      </c>
      <c r="O4477" t="s">
        <v>563</v>
      </c>
      <c r="P4477" t="s">
        <v>29</v>
      </c>
      <c r="Q4477" t="s">
        <v>30</v>
      </c>
      <c r="R4477" t="s">
        <v>60</v>
      </c>
      <c r="S4477" t="s">
        <v>61</v>
      </c>
      <c r="T4477" t="s">
        <v>564</v>
      </c>
      <c r="U4477" t="s">
        <v>100</v>
      </c>
      <c r="V4477">
        <v>3500</v>
      </c>
    </row>
    <row r="4478" spans="1:22" x14ac:dyDescent="0.3">
      <c r="A4478" t="s">
        <v>5960</v>
      </c>
      <c r="B4478" s="2">
        <v>46020</v>
      </c>
      <c r="C4478" t="s">
        <v>1410</v>
      </c>
      <c r="D4478" t="s">
        <v>70</v>
      </c>
      <c r="E4478" t="s">
        <v>165</v>
      </c>
      <c r="F4478">
        <v>3</v>
      </c>
      <c r="G4478">
        <v>0.1</v>
      </c>
      <c r="H4478">
        <v>6750</v>
      </c>
      <c r="I4478">
        <v>1990.48</v>
      </c>
      <c r="J4478" t="s">
        <v>65</v>
      </c>
      <c r="K4478" t="s">
        <v>40</v>
      </c>
      <c r="L4478">
        <v>2250</v>
      </c>
      <c r="M4478">
        <v>29.488592592592589</v>
      </c>
      <c r="N4478" t="s">
        <v>8</v>
      </c>
      <c r="O4478" t="s">
        <v>995</v>
      </c>
      <c r="P4478" t="s">
        <v>73</v>
      </c>
      <c r="Q4478" t="s">
        <v>30</v>
      </c>
      <c r="R4478" t="s">
        <v>60</v>
      </c>
      <c r="S4478" t="s">
        <v>61</v>
      </c>
      <c r="T4478" t="s">
        <v>1411</v>
      </c>
      <c r="U4478" t="s">
        <v>34</v>
      </c>
      <c r="V4478">
        <v>663.49333333333334</v>
      </c>
    </row>
    <row r="4479" spans="1:22" x14ac:dyDescent="0.3">
      <c r="A4479" t="s">
        <v>5961</v>
      </c>
      <c r="B4479" s="2">
        <v>46055</v>
      </c>
      <c r="C4479" t="s">
        <v>1078</v>
      </c>
      <c r="D4479" t="s">
        <v>70</v>
      </c>
      <c r="E4479" t="s">
        <v>108</v>
      </c>
      <c r="F4479">
        <v>2</v>
      </c>
      <c r="G4479">
        <v>0.05</v>
      </c>
      <c r="H4479">
        <v>8550</v>
      </c>
      <c r="I4479">
        <v>2637.64</v>
      </c>
      <c r="J4479" t="s">
        <v>51</v>
      </c>
      <c r="K4479" t="s">
        <v>40</v>
      </c>
      <c r="L4479">
        <v>4275</v>
      </c>
      <c r="M4479">
        <v>30.849590643274851</v>
      </c>
      <c r="N4479" t="s">
        <v>8</v>
      </c>
      <c r="O4479" t="s">
        <v>1079</v>
      </c>
      <c r="P4479" t="s">
        <v>83</v>
      </c>
      <c r="Q4479" t="s">
        <v>30</v>
      </c>
      <c r="R4479" t="s">
        <v>31</v>
      </c>
      <c r="S4479" t="s">
        <v>32</v>
      </c>
      <c r="T4479" t="s">
        <v>948</v>
      </c>
      <c r="U4479" t="s">
        <v>34</v>
      </c>
      <c r="V4479">
        <v>1318.82</v>
      </c>
    </row>
    <row r="4480" spans="1:22" x14ac:dyDescent="0.3">
      <c r="A4480" t="s">
        <v>5962</v>
      </c>
      <c r="B4480" s="2">
        <v>46260</v>
      </c>
      <c r="C4480" t="s">
        <v>1331</v>
      </c>
      <c r="D4480" t="s">
        <v>70</v>
      </c>
      <c r="E4480" t="s">
        <v>129</v>
      </c>
      <c r="F4480">
        <v>5</v>
      </c>
      <c r="G4480">
        <v>0.15</v>
      </c>
      <c r="H4480">
        <v>233750</v>
      </c>
      <c r="I4480">
        <v>24787.759999999998</v>
      </c>
      <c r="J4480" t="s">
        <v>26</v>
      </c>
      <c r="K4480" t="s">
        <v>40</v>
      </c>
      <c r="L4480">
        <v>46750</v>
      </c>
      <c r="M4480">
        <v>10.60438930481283</v>
      </c>
      <c r="N4480" t="s">
        <v>8</v>
      </c>
      <c r="O4480" t="s">
        <v>553</v>
      </c>
      <c r="P4480" t="s">
        <v>29</v>
      </c>
      <c r="Q4480" t="s">
        <v>30</v>
      </c>
      <c r="R4480" t="s">
        <v>31</v>
      </c>
      <c r="S4480" t="s">
        <v>32</v>
      </c>
      <c r="T4480" t="s">
        <v>1332</v>
      </c>
      <c r="U4480" t="s">
        <v>46</v>
      </c>
      <c r="V4480">
        <v>4957.5519999999997</v>
      </c>
    </row>
    <row r="4481" spans="1:22" x14ac:dyDescent="0.3">
      <c r="A4481" t="s">
        <v>5963</v>
      </c>
      <c r="B4481" s="2">
        <v>45913</v>
      </c>
      <c r="C4481" t="s">
        <v>644</v>
      </c>
      <c r="D4481" t="s">
        <v>49</v>
      </c>
      <c r="E4481" t="s">
        <v>50</v>
      </c>
      <c r="F4481">
        <v>3</v>
      </c>
      <c r="G4481">
        <v>0</v>
      </c>
      <c r="H4481">
        <v>39000</v>
      </c>
      <c r="I4481">
        <v>9600</v>
      </c>
      <c r="J4481" t="s">
        <v>51</v>
      </c>
      <c r="K4481" t="s">
        <v>27</v>
      </c>
      <c r="L4481">
        <v>13000</v>
      </c>
      <c r="M4481">
        <v>24.61538461538462</v>
      </c>
      <c r="N4481" t="s">
        <v>8</v>
      </c>
      <c r="O4481" t="s">
        <v>213</v>
      </c>
      <c r="P4481" t="s">
        <v>29</v>
      </c>
      <c r="Q4481" t="s">
        <v>30</v>
      </c>
      <c r="R4481" t="s">
        <v>31</v>
      </c>
      <c r="S4481" t="s">
        <v>32</v>
      </c>
      <c r="T4481" t="s">
        <v>645</v>
      </c>
      <c r="U4481" t="s">
        <v>46</v>
      </c>
      <c r="V4481">
        <v>3200</v>
      </c>
    </row>
    <row r="4482" spans="1:22" x14ac:dyDescent="0.3">
      <c r="A4482" t="s">
        <v>5964</v>
      </c>
      <c r="B4482" s="2">
        <v>46052</v>
      </c>
      <c r="C4482" t="s">
        <v>1605</v>
      </c>
      <c r="D4482" t="s">
        <v>24</v>
      </c>
      <c r="E4482" t="s">
        <v>87</v>
      </c>
      <c r="F4482">
        <v>1</v>
      </c>
      <c r="G4482">
        <v>0.05</v>
      </c>
      <c r="H4482">
        <v>332.5</v>
      </c>
      <c r="I4482">
        <v>111.82</v>
      </c>
      <c r="J4482" t="s">
        <v>26</v>
      </c>
      <c r="K4482" t="s">
        <v>40</v>
      </c>
      <c r="L4482">
        <v>332.5</v>
      </c>
      <c r="M4482">
        <v>33.630075187969922</v>
      </c>
      <c r="N4482" t="s">
        <v>8</v>
      </c>
      <c r="O4482" t="s">
        <v>1606</v>
      </c>
      <c r="P4482" t="s">
        <v>73</v>
      </c>
      <c r="Q4482" t="s">
        <v>30</v>
      </c>
      <c r="R4482" t="s">
        <v>53</v>
      </c>
      <c r="S4482" t="s">
        <v>54</v>
      </c>
      <c r="T4482" t="s">
        <v>1607</v>
      </c>
      <c r="U4482" t="s">
        <v>34</v>
      </c>
      <c r="V4482">
        <v>111.82</v>
      </c>
    </row>
    <row r="4483" spans="1:22" x14ac:dyDescent="0.3">
      <c r="A4483" t="s">
        <v>5965</v>
      </c>
      <c r="B4483" s="2">
        <v>46252</v>
      </c>
      <c r="C4483" t="s">
        <v>3893</v>
      </c>
      <c r="D4483" t="s">
        <v>70</v>
      </c>
      <c r="E4483" t="s">
        <v>71</v>
      </c>
      <c r="F4483">
        <v>3</v>
      </c>
      <c r="G4483">
        <v>0.15</v>
      </c>
      <c r="H4483">
        <v>45900</v>
      </c>
      <c r="I4483">
        <v>5172.09</v>
      </c>
      <c r="J4483" t="s">
        <v>65</v>
      </c>
      <c r="K4483" t="s">
        <v>40</v>
      </c>
      <c r="L4483">
        <v>15300</v>
      </c>
      <c r="M4483">
        <v>11.26816993464052</v>
      </c>
      <c r="N4483" t="s">
        <v>8</v>
      </c>
      <c r="O4483" t="s">
        <v>781</v>
      </c>
      <c r="P4483" t="s">
        <v>29</v>
      </c>
      <c r="Q4483" t="s">
        <v>131</v>
      </c>
      <c r="R4483" t="s">
        <v>289</v>
      </c>
      <c r="S4483" t="s">
        <v>290</v>
      </c>
      <c r="T4483" t="s">
        <v>1476</v>
      </c>
      <c r="U4483" t="s">
        <v>34</v>
      </c>
      <c r="V4483">
        <v>1724.03</v>
      </c>
    </row>
    <row r="4484" spans="1:22" x14ac:dyDescent="0.3">
      <c r="A4484" t="s">
        <v>5966</v>
      </c>
      <c r="B4484" s="2">
        <v>45954</v>
      </c>
      <c r="C4484" t="s">
        <v>882</v>
      </c>
      <c r="D4484" t="s">
        <v>24</v>
      </c>
      <c r="E4484" t="s">
        <v>242</v>
      </c>
      <c r="F4484">
        <v>3</v>
      </c>
      <c r="G4484">
        <v>0.1</v>
      </c>
      <c r="H4484">
        <v>1215</v>
      </c>
      <c r="I4484">
        <v>262.42</v>
      </c>
      <c r="J4484" t="s">
        <v>65</v>
      </c>
      <c r="K4484" t="s">
        <v>40</v>
      </c>
      <c r="L4484">
        <v>405</v>
      </c>
      <c r="M4484">
        <v>21.598353909465018</v>
      </c>
      <c r="N4484" t="s">
        <v>8</v>
      </c>
      <c r="O4484" t="s">
        <v>883</v>
      </c>
      <c r="P4484" t="s">
        <v>73</v>
      </c>
      <c r="Q4484" t="s">
        <v>74</v>
      </c>
      <c r="R4484" t="s">
        <v>115</v>
      </c>
      <c r="S4484" t="s">
        <v>115</v>
      </c>
      <c r="T4484" t="s">
        <v>884</v>
      </c>
      <c r="U4484" t="s">
        <v>34</v>
      </c>
      <c r="V4484">
        <v>87.473333333333343</v>
      </c>
    </row>
    <row r="4485" spans="1:22" x14ac:dyDescent="0.3">
      <c r="A4485" t="s">
        <v>5967</v>
      </c>
      <c r="B4485" s="2">
        <v>46260</v>
      </c>
      <c r="C4485" t="s">
        <v>4906</v>
      </c>
      <c r="D4485" t="s">
        <v>70</v>
      </c>
      <c r="E4485" t="s">
        <v>165</v>
      </c>
      <c r="F4485">
        <v>5</v>
      </c>
      <c r="G4485">
        <v>0.2</v>
      </c>
      <c r="H4485">
        <v>10000</v>
      </c>
      <c r="I4485">
        <v>2278.83</v>
      </c>
      <c r="J4485" t="s">
        <v>26</v>
      </c>
      <c r="K4485" t="s">
        <v>27</v>
      </c>
      <c r="L4485">
        <v>2000</v>
      </c>
      <c r="M4485">
        <v>22.7883</v>
      </c>
      <c r="N4485" t="s">
        <v>8</v>
      </c>
      <c r="O4485" t="s">
        <v>1695</v>
      </c>
      <c r="P4485" t="s">
        <v>83</v>
      </c>
      <c r="Q4485" t="s">
        <v>74</v>
      </c>
      <c r="R4485" t="s">
        <v>493</v>
      </c>
      <c r="S4485" t="s">
        <v>494</v>
      </c>
      <c r="T4485" t="s">
        <v>4907</v>
      </c>
      <c r="U4485" t="s">
        <v>46</v>
      </c>
      <c r="V4485">
        <v>455.76600000000002</v>
      </c>
    </row>
    <row r="4486" spans="1:22" x14ac:dyDescent="0.3">
      <c r="A4486" t="s">
        <v>5968</v>
      </c>
      <c r="B4486" s="2">
        <v>45854</v>
      </c>
      <c r="C4486" t="s">
        <v>164</v>
      </c>
      <c r="D4486" t="s">
        <v>49</v>
      </c>
      <c r="E4486" t="s">
        <v>79</v>
      </c>
      <c r="F4486">
        <v>1</v>
      </c>
      <c r="G4486">
        <v>0.1</v>
      </c>
      <c r="H4486">
        <v>9900</v>
      </c>
      <c r="I4486">
        <v>-4911.41</v>
      </c>
      <c r="J4486" t="s">
        <v>26</v>
      </c>
      <c r="K4486" t="s">
        <v>80</v>
      </c>
      <c r="L4486">
        <v>9900</v>
      </c>
      <c r="M4486">
        <v>-49.610202020202017</v>
      </c>
      <c r="N4486" t="s">
        <v>81</v>
      </c>
      <c r="O4486" t="s">
        <v>166</v>
      </c>
      <c r="P4486" t="s">
        <v>73</v>
      </c>
      <c r="Q4486" t="s">
        <v>30</v>
      </c>
      <c r="R4486" t="s">
        <v>53</v>
      </c>
      <c r="S4486" t="s">
        <v>54</v>
      </c>
      <c r="T4486" t="s">
        <v>167</v>
      </c>
      <c r="U4486" t="s">
        <v>46</v>
      </c>
      <c r="V4486">
        <v>-4911.41</v>
      </c>
    </row>
    <row r="4487" spans="1:22" x14ac:dyDescent="0.3">
      <c r="A4487" t="s">
        <v>5969</v>
      </c>
      <c r="B4487" s="2">
        <v>46156</v>
      </c>
      <c r="C4487" t="s">
        <v>522</v>
      </c>
      <c r="D4487" t="s">
        <v>24</v>
      </c>
      <c r="E4487" t="s">
        <v>25</v>
      </c>
      <c r="F4487">
        <v>15</v>
      </c>
      <c r="G4487">
        <v>0.1</v>
      </c>
      <c r="H4487">
        <v>189000</v>
      </c>
      <c r="I4487">
        <v>-46983.72</v>
      </c>
      <c r="J4487" t="s">
        <v>65</v>
      </c>
      <c r="K4487" t="s">
        <v>434</v>
      </c>
      <c r="L4487">
        <v>12600</v>
      </c>
      <c r="M4487">
        <v>-24.859111111111108</v>
      </c>
      <c r="N4487" t="s">
        <v>81</v>
      </c>
      <c r="O4487" t="s">
        <v>523</v>
      </c>
      <c r="P4487" t="s">
        <v>73</v>
      </c>
      <c r="Q4487" t="s">
        <v>30</v>
      </c>
      <c r="R4487" t="s">
        <v>98</v>
      </c>
      <c r="S4487" t="s">
        <v>54</v>
      </c>
      <c r="T4487" t="s">
        <v>62</v>
      </c>
      <c r="U4487" t="s">
        <v>46</v>
      </c>
      <c r="V4487">
        <v>-3132.248</v>
      </c>
    </row>
    <row r="4488" spans="1:22" x14ac:dyDescent="0.3">
      <c r="A4488" t="s">
        <v>5970</v>
      </c>
      <c r="B4488" s="2">
        <v>46119</v>
      </c>
      <c r="C4488" t="s">
        <v>1060</v>
      </c>
      <c r="D4488" t="s">
        <v>49</v>
      </c>
      <c r="E4488" t="s">
        <v>79</v>
      </c>
      <c r="F4488">
        <v>1</v>
      </c>
      <c r="G4488">
        <v>0.3</v>
      </c>
      <c r="H4488">
        <v>7700</v>
      </c>
      <c r="I4488">
        <v>181.35</v>
      </c>
      <c r="J4488" t="s">
        <v>39</v>
      </c>
      <c r="K4488" t="s">
        <v>40</v>
      </c>
      <c r="L4488">
        <v>7700</v>
      </c>
      <c r="M4488">
        <v>2.3551948051948051</v>
      </c>
      <c r="N4488" t="s">
        <v>8</v>
      </c>
      <c r="O4488" t="s">
        <v>1061</v>
      </c>
      <c r="P4488" t="s">
        <v>73</v>
      </c>
      <c r="Q4488" t="s">
        <v>30</v>
      </c>
      <c r="R4488" t="s">
        <v>31</v>
      </c>
      <c r="S4488" t="s">
        <v>32</v>
      </c>
      <c r="T4488" t="s">
        <v>1062</v>
      </c>
      <c r="U4488" t="s">
        <v>46</v>
      </c>
      <c r="V4488">
        <v>181.35</v>
      </c>
    </row>
    <row r="4489" spans="1:22" x14ac:dyDescent="0.3">
      <c r="A4489" t="s">
        <v>5971</v>
      </c>
      <c r="B4489" s="2">
        <v>46209</v>
      </c>
      <c r="C4489" t="s">
        <v>1812</v>
      </c>
      <c r="D4489" t="s">
        <v>37</v>
      </c>
      <c r="E4489" t="s">
        <v>190</v>
      </c>
      <c r="F4489">
        <v>3</v>
      </c>
      <c r="G4489">
        <v>0.1</v>
      </c>
      <c r="H4489">
        <v>11340</v>
      </c>
      <c r="I4489">
        <v>2832.49</v>
      </c>
      <c r="J4489" t="s">
        <v>39</v>
      </c>
      <c r="K4489" t="s">
        <v>40</v>
      </c>
      <c r="L4489">
        <v>3780</v>
      </c>
      <c r="M4489">
        <v>24.977865961199289</v>
      </c>
      <c r="N4489" t="s">
        <v>8</v>
      </c>
      <c r="O4489" t="s">
        <v>1813</v>
      </c>
      <c r="P4489" t="s">
        <v>83</v>
      </c>
      <c r="Q4489" t="s">
        <v>30</v>
      </c>
      <c r="R4489" t="s">
        <v>98</v>
      </c>
      <c r="S4489" t="s">
        <v>54</v>
      </c>
      <c r="T4489" t="s">
        <v>1089</v>
      </c>
      <c r="U4489" t="s">
        <v>34</v>
      </c>
      <c r="V4489">
        <v>944.1633333333333</v>
      </c>
    </row>
    <row r="4490" spans="1:22" x14ac:dyDescent="0.3">
      <c r="A4490" t="s">
        <v>5972</v>
      </c>
      <c r="B4490" s="2">
        <v>46012</v>
      </c>
      <c r="C4490" t="s">
        <v>757</v>
      </c>
      <c r="D4490" t="s">
        <v>70</v>
      </c>
      <c r="E4490" t="s">
        <v>129</v>
      </c>
      <c r="F4490">
        <v>1</v>
      </c>
      <c r="G4490">
        <v>0.05</v>
      </c>
      <c r="H4490">
        <v>52250</v>
      </c>
      <c r="I4490">
        <v>7489.76</v>
      </c>
      <c r="J4490" t="s">
        <v>26</v>
      </c>
      <c r="K4490" t="s">
        <v>40</v>
      </c>
      <c r="L4490">
        <v>52250</v>
      </c>
      <c r="M4490">
        <v>14.33446889952153</v>
      </c>
      <c r="N4490" t="s">
        <v>8</v>
      </c>
      <c r="O4490" t="s">
        <v>758</v>
      </c>
      <c r="P4490" t="s">
        <v>83</v>
      </c>
      <c r="Q4490" t="s">
        <v>74</v>
      </c>
      <c r="R4490" t="s">
        <v>237</v>
      </c>
      <c r="S4490" t="s">
        <v>238</v>
      </c>
      <c r="T4490" t="s">
        <v>759</v>
      </c>
      <c r="U4490" t="s">
        <v>34</v>
      </c>
      <c r="V4490">
        <v>7489.76</v>
      </c>
    </row>
    <row r="4491" spans="1:22" x14ac:dyDescent="0.3">
      <c r="A4491" t="s">
        <v>5973</v>
      </c>
      <c r="B4491" s="2">
        <v>46230</v>
      </c>
      <c r="C4491" t="s">
        <v>3146</v>
      </c>
      <c r="D4491" t="s">
        <v>37</v>
      </c>
      <c r="E4491" t="s">
        <v>310</v>
      </c>
      <c r="F4491">
        <v>3</v>
      </c>
      <c r="G4491">
        <v>0</v>
      </c>
      <c r="H4491">
        <v>6600</v>
      </c>
      <c r="I4491">
        <v>2250</v>
      </c>
      <c r="J4491" t="s">
        <v>26</v>
      </c>
      <c r="K4491" t="s">
        <v>40</v>
      </c>
      <c r="L4491">
        <v>2200</v>
      </c>
      <c r="M4491">
        <v>34.090909090909093</v>
      </c>
      <c r="N4491" t="s">
        <v>8</v>
      </c>
      <c r="O4491" t="s">
        <v>3147</v>
      </c>
      <c r="P4491" t="s">
        <v>73</v>
      </c>
      <c r="Q4491" t="s">
        <v>42</v>
      </c>
      <c r="R4491" t="s">
        <v>121</v>
      </c>
      <c r="S4491" t="s">
        <v>44</v>
      </c>
      <c r="T4491" t="s">
        <v>2122</v>
      </c>
      <c r="U4491" t="s">
        <v>34</v>
      </c>
      <c r="V4491">
        <v>750</v>
      </c>
    </row>
    <row r="4492" spans="1:22" x14ac:dyDescent="0.3">
      <c r="A4492" t="s">
        <v>5974</v>
      </c>
      <c r="B4492" s="2">
        <v>45882</v>
      </c>
      <c r="C4492" t="s">
        <v>501</v>
      </c>
      <c r="D4492" t="s">
        <v>70</v>
      </c>
      <c r="E4492" t="s">
        <v>129</v>
      </c>
      <c r="F4492">
        <v>4</v>
      </c>
      <c r="G4492">
        <v>0.1</v>
      </c>
      <c r="H4492">
        <v>198000</v>
      </c>
      <c r="I4492">
        <v>21767.75</v>
      </c>
      <c r="J4492" t="s">
        <v>26</v>
      </c>
      <c r="K4492" t="s">
        <v>40</v>
      </c>
      <c r="L4492">
        <v>49500</v>
      </c>
      <c r="M4492">
        <v>10.99381313131313</v>
      </c>
      <c r="N4492" t="s">
        <v>8</v>
      </c>
      <c r="O4492" t="s">
        <v>502</v>
      </c>
      <c r="P4492" t="s">
        <v>29</v>
      </c>
      <c r="Q4492" t="s">
        <v>30</v>
      </c>
      <c r="R4492" t="s">
        <v>31</v>
      </c>
      <c r="S4492" t="s">
        <v>32</v>
      </c>
      <c r="T4492" t="s">
        <v>503</v>
      </c>
      <c r="U4492" t="s">
        <v>100</v>
      </c>
      <c r="V4492">
        <v>5441.9375</v>
      </c>
    </row>
    <row r="4493" spans="1:22" x14ac:dyDescent="0.3">
      <c r="A4493" t="s">
        <v>5975</v>
      </c>
      <c r="B4493" s="2">
        <v>45873</v>
      </c>
      <c r="C4493" t="s">
        <v>1152</v>
      </c>
      <c r="D4493" t="s">
        <v>70</v>
      </c>
      <c r="E4493" t="s">
        <v>165</v>
      </c>
      <c r="F4493">
        <v>1</v>
      </c>
      <c r="G4493">
        <v>0.1</v>
      </c>
      <c r="H4493">
        <v>2250</v>
      </c>
      <c r="I4493">
        <v>663.84</v>
      </c>
      <c r="J4493" t="s">
        <v>51</v>
      </c>
      <c r="K4493" t="s">
        <v>40</v>
      </c>
      <c r="L4493">
        <v>2250</v>
      </c>
      <c r="M4493">
        <v>29.504000000000001</v>
      </c>
      <c r="N4493" t="s">
        <v>8</v>
      </c>
      <c r="O4493" t="s">
        <v>995</v>
      </c>
      <c r="P4493" t="s">
        <v>29</v>
      </c>
      <c r="Q4493" t="s">
        <v>30</v>
      </c>
      <c r="R4493" t="s">
        <v>31</v>
      </c>
      <c r="S4493" t="s">
        <v>32</v>
      </c>
      <c r="T4493" t="s">
        <v>960</v>
      </c>
      <c r="U4493" t="s">
        <v>100</v>
      </c>
      <c r="V4493">
        <v>663.84</v>
      </c>
    </row>
    <row r="4494" spans="1:22" x14ac:dyDescent="0.3">
      <c r="A4494" t="s">
        <v>5976</v>
      </c>
      <c r="B4494" s="2">
        <v>46019</v>
      </c>
      <c r="C4494" t="s">
        <v>2525</v>
      </c>
      <c r="D4494" t="s">
        <v>49</v>
      </c>
      <c r="E4494" t="s">
        <v>50</v>
      </c>
      <c r="F4494">
        <v>3</v>
      </c>
      <c r="G4494">
        <v>0</v>
      </c>
      <c r="H4494">
        <v>39000</v>
      </c>
      <c r="I4494">
        <v>9600</v>
      </c>
      <c r="J4494" t="s">
        <v>65</v>
      </c>
      <c r="K4494" t="s">
        <v>40</v>
      </c>
      <c r="L4494">
        <v>13000</v>
      </c>
      <c r="M4494">
        <v>24.61538461538462</v>
      </c>
      <c r="N4494" t="s">
        <v>8</v>
      </c>
      <c r="O4494" t="s">
        <v>2526</v>
      </c>
      <c r="P4494" t="s">
        <v>29</v>
      </c>
      <c r="Q4494" t="s">
        <v>74</v>
      </c>
      <c r="R4494" t="s">
        <v>75</v>
      </c>
      <c r="S4494" t="s">
        <v>75</v>
      </c>
      <c r="T4494" t="s">
        <v>2527</v>
      </c>
      <c r="U4494" t="s">
        <v>46</v>
      </c>
      <c r="V4494">
        <v>3200</v>
      </c>
    </row>
    <row r="4495" spans="1:22" x14ac:dyDescent="0.3">
      <c r="A4495" t="s">
        <v>5977</v>
      </c>
      <c r="B4495" s="2">
        <v>46187</v>
      </c>
      <c r="C4495" t="s">
        <v>229</v>
      </c>
      <c r="D4495" t="s">
        <v>49</v>
      </c>
      <c r="E4495" t="s">
        <v>79</v>
      </c>
      <c r="F4495">
        <v>1</v>
      </c>
      <c r="G4495">
        <v>0</v>
      </c>
      <c r="H4495">
        <v>11000</v>
      </c>
      <c r="I4495">
        <v>2600</v>
      </c>
      <c r="J4495" t="s">
        <v>51</v>
      </c>
      <c r="K4495" t="s">
        <v>40</v>
      </c>
      <c r="L4495">
        <v>11000</v>
      </c>
      <c r="M4495">
        <v>23.63636363636364</v>
      </c>
      <c r="N4495" t="s">
        <v>8</v>
      </c>
      <c r="O4495" t="s">
        <v>103</v>
      </c>
      <c r="P4495" t="s">
        <v>29</v>
      </c>
      <c r="Q4495" t="s">
        <v>30</v>
      </c>
      <c r="R4495" t="s">
        <v>60</v>
      </c>
      <c r="S4495" t="s">
        <v>61</v>
      </c>
      <c r="T4495" t="s">
        <v>230</v>
      </c>
      <c r="U4495" t="s">
        <v>105</v>
      </c>
      <c r="V4495">
        <v>2600</v>
      </c>
    </row>
    <row r="4496" spans="1:22" x14ac:dyDescent="0.3">
      <c r="A4496" t="s">
        <v>5978</v>
      </c>
      <c r="B4496" s="2">
        <v>46217</v>
      </c>
      <c r="C4496" t="s">
        <v>991</v>
      </c>
      <c r="D4496" t="s">
        <v>37</v>
      </c>
      <c r="E4496" t="s">
        <v>310</v>
      </c>
      <c r="F4496">
        <v>3</v>
      </c>
      <c r="G4496">
        <v>0.1</v>
      </c>
      <c r="H4496">
        <v>5940</v>
      </c>
      <c r="I4496">
        <v>1908.96</v>
      </c>
      <c r="J4496" t="s">
        <v>26</v>
      </c>
      <c r="K4496" t="s">
        <v>40</v>
      </c>
      <c r="L4496">
        <v>1980</v>
      </c>
      <c r="M4496">
        <v>32.137373737373743</v>
      </c>
      <c r="N4496" t="s">
        <v>8</v>
      </c>
      <c r="O4496" t="s">
        <v>537</v>
      </c>
      <c r="P4496" t="s">
        <v>29</v>
      </c>
      <c r="Q4496" t="s">
        <v>74</v>
      </c>
      <c r="R4496" t="s">
        <v>75</v>
      </c>
      <c r="S4496" t="s">
        <v>75</v>
      </c>
      <c r="T4496" t="s">
        <v>992</v>
      </c>
      <c r="U4496" t="s">
        <v>34</v>
      </c>
      <c r="V4496">
        <v>636.32000000000005</v>
      </c>
    </row>
    <row r="4497" spans="1:22" x14ac:dyDescent="0.3">
      <c r="A4497" t="s">
        <v>5979</v>
      </c>
      <c r="B4497" s="2">
        <v>45983</v>
      </c>
      <c r="C4497" t="s">
        <v>994</v>
      </c>
      <c r="D4497" t="s">
        <v>70</v>
      </c>
      <c r="E4497" t="s">
        <v>129</v>
      </c>
      <c r="F4497">
        <v>4</v>
      </c>
      <c r="G4497">
        <v>0.1</v>
      </c>
      <c r="H4497">
        <v>198000</v>
      </c>
      <c r="I4497">
        <v>21672.78</v>
      </c>
      <c r="J4497" t="s">
        <v>39</v>
      </c>
      <c r="K4497" t="s">
        <v>27</v>
      </c>
      <c r="L4497">
        <v>49500</v>
      </c>
      <c r="M4497">
        <v>10.945848484848479</v>
      </c>
      <c r="N4497" t="s">
        <v>8</v>
      </c>
      <c r="O4497" t="s">
        <v>995</v>
      </c>
      <c r="P4497" t="s">
        <v>29</v>
      </c>
      <c r="Q4497" t="s">
        <v>131</v>
      </c>
      <c r="R4497" t="s">
        <v>449</v>
      </c>
      <c r="S4497" t="s">
        <v>450</v>
      </c>
      <c r="T4497" t="s">
        <v>184</v>
      </c>
      <c r="U4497" t="s">
        <v>105</v>
      </c>
      <c r="V4497">
        <v>5418.1949999999997</v>
      </c>
    </row>
    <row r="4498" spans="1:22" x14ac:dyDescent="0.3">
      <c r="A4498" t="s">
        <v>5980</v>
      </c>
      <c r="B4498" s="2">
        <v>46046</v>
      </c>
      <c r="C4498" t="s">
        <v>413</v>
      </c>
      <c r="D4498" t="s">
        <v>37</v>
      </c>
      <c r="E4498" t="s">
        <v>170</v>
      </c>
      <c r="F4498">
        <v>3</v>
      </c>
      <c r="G4498">
        <v>0</v>
      </c>
      <c r="H4498">
        <v>4200</v>
      </c>
      <c r="I4498">
        <v>1500</v>
      </c>
      <c r="J4498" t="s">
        <v>26</v>
      </c>
      <c r="K4498" t="s">
        <v>40</v>
      </c>
      <c r="L4498">
        <v>1400</v>
      </c>
      <c r="M4498">
        <v>35.714285714285722</v>
      </c>
      <c r="N4498" t="s">
        <v>8</v>
      </c>
      <c r="O4498" t="s">
        <v>414</v>
      </c>
      <c r="P4498" t="s">
        <v>73</v>
      </c>
      <c r="Q4498" t="s">
        <v>74</v>
      </c>
      <c r="R4498" t="s">
        <v>115</v>
      </c>
      <c r="S4498" t="s">
        <v>115</v>
      </c>
      <c r="T4498" t="s">
        <v>415</v>
      </c>
      <c r="U4498" t="s">
        <v>34</v>
      </c>
      <c r="V4498">
        <v>500</v>
      </c>
    </row>
    <row r="4499" spans="1:22" x14ac:dyDescent="0.3">
      <c r="A4499" t="s">
        <v>5981</v>
      </c>
      <c r="B4499" s="2">
        <v>45940</v>
      </c>
      <c r="C4499" t="s">
        <v>377</v>
      </c>
      <c r="D4499" t="s">
        <v>70</v>
      </c>
      <c r="E4499" t="s">
        <v>71</v>
      </c>
      <c r="F4499">
        <v>10</v>
      </c>
      <c r="G4499">
        <v>0</v>
      </c>
      <c r="H4499">
        <v>180000</v>
      </c>
      <c r="I4499">
        <v>35000</v>
      </c>
      <c r="J4499" t="s">
        <v>26</v>
      </c>
      <c r="K4499" t="s">
        <v>40</v>
      </c>
      <c r="L4499">
        <v>18000</v>
      </c>
      <c r="M4499">
        <v>19.44444444444445</v>
      </c>
      <c r="N4499" t="s">
        <v>8</v>
      </c>
      <c r="O4499" t="s">
        <v>378</v>
      </c>
      <c r="P4499" t="s">
        <v>29</v>
      </c>
      <c r="Q4499" t="s">
        <v>30</v>
      </c>
      <c r="R4499" t="s">
        <v>31</v>
      </c>
      <c r="S4499" t="s">
        <v>32</v>
      </c>
      <c r="T4499" t="s">
        <v>379</v>
      </c>
      <c r="U4499" t="s">
        <v>34</v>
      </c>
      <c r="V4499">
        <v>3500</v>
      </c>
    </row>
    <row r="4500" spans="1:22" x14ac:dyDescent="0.3">
      <c r="A4500" t="s">
        <v>5982</v>
      </c>
      <c r="B4500" s="2">
        <v>46115</v>
      </c>
      <c r="C4500" t="s">
        <v>958</v>
      </c>
      <c r="D4500" t="s">
        <v>24</v>
      </c>
      <c r="E4500" t="s">
        <v>25</v>
      </c>
      <c r="F4500">
        <v>1</v>
      </c>
      <c r="G4500">
        <v>0.1</v>
      </c>
      <c r="H4500">
        <v>12600</v>
      </c>
      <c r="I4500">
        <v>1969.4</v>
      </c>
      <c r="J4500" t="s">
        <v>39</v>
      </c>
      <c r="K4500" t="s">
        <v>40</v>
      </c>
      <c r="L4500">
        <v>12600</v>
      </c>
      <c r="M4500">
        <v>15.63015873015873</v>
      </c>
      <c r="N4500" t="s">
        <v>8</v>
      </c>
      <c r="O4500" t="s">
        <v>959</v>
      </c>
      <c r="P4500" t="s">
        <v>73</v>
      </c>
      <c r="Q4500" t="s">
        <v>42</v>
      </c>
      <c r="R4500" t="s">
        <v>43</v>
      </c>
      <c r="S4500" t="s">
        <v>44</v>
      </c>
      <c r="T4500" t="s">
        <v>960</v>
      </c>
      <c r="U4500" t="s">
        <v>34</v>
      </c>
      <c r="V4500">
        <v>1969.4</v>
      </c>
    </row>
    <row r="4501" spans="1:22" x14ac:dyDescent="0.3">
      <c r="A4501" t="s">
        <v>5983</v>
      </c>
      <c r="B4501" s="2">
        <v>46021</v>
      </c>
      <c r="C4501" t="s">
        <v>891</v>
      </c>
      <c r="D4501" t="s">
        <v>24</v>
      </c>
      <c r="E4501" t="s">
        <v>87</v>
      </c>
      <c r="F4501">
        <v>3</v>
      </c>
      <c r="G4501">
        <v>0.05</v>
      </c>
      <c r="H4501">
        <v>997.5</v>
      </c>
      <c r="I4501">
        <v>333.1</v>
      </c>
      <c r="J4501" t="s">
        <v>39</v>
      </c>
      <c r="K4501" t="s">
        <v>40</v>
      </c>
      <c r="L4501">
        <v>332.5</v>
      </c>
      <c r="M4501">
        <v>33.393483709273177</v>
      </c>
      <c r="N4501" t="s">
        <v>8</v>
      </c>
      <c r="O4501" t="s">
        <v>892</v>
      </c>
      <c r="P4501" t="s">
        <v>29</v>
      </c>
      <c r="Q4501" t="s">
        <v>30</v>
      </c>
      <c r="R4501" t="s">
        <v>31</v>
      </c>
      <c r="S4501" t="s">
        <v>32</v>
      </c>
      <c r="T4501" t="s">
        <v>893</v>
      </c>
      <c r="U4501" t="s">
        <v>34</v>
      </c>
      <c r="V4501">
        <v>111.0333333333333</v>
      </c>
    </row>
    <row r="4502" spans="1:22" x14ac:dyDescent="0.3">
      <c r="A4502" t="s">
        <v>5984</v>
      </c>
      <c r="B4502" s="2">
        <v>46130</v>
      </c>
      <c r="C4502" t="s">
        <v>2415</v>
      </c>
      <c r="D4502" t="s">
        <v>70</v>
      </c>
      <c r="E4502" t="s">
        <v>108</v>
      </c>
      <c r="F4502">
        <v>1</v>
      </c>
      <c r="G4502">
        <v>0.15</v>
      </c>
      <c r="H4502">
        <v>3825</v>
      </c>
      <c r="I4502">
        <v>1109.1099999999999</v>
      </c>
      <c r="J4502" t="s">
        <v>51</v>
      </c>
      <c r="K4502" t="s">
        <v>40</v>
      </c>
      <c r="L4502">
        <v>3825</v>
      </c>
      <c r="M4502">
        <v>28.996339869281041</v>
      </c>
      <c r="N4502" t="s">
        <v>8</v>
      </c>
      <c r="O4502" t="s">
        <v>1098</v>
      </c>
      <c r="P4502" t="s">
        <v>29</v>
      </c>
      <c r="Q4502" t="s">
        <v>30</v>
      </c>
      <c r="R4502" t="s">
        <v>53</v>
      </c>
      <c r="S4502" t="s">
        <v>54</v>
      </c>
      <c r="T4502" t="s">
        <v>2416</v>
      </c>
      <c r="U4502" t="s">
        <v>34</v>
      </c>
      <c r="V4502">
        <v>1109.1099999999999</v>
      </c>
    </row>
    <row r="4503" spans="1:22" x14ac:dyDescent="0.3">
      <c r="A4503" t="s">
        <v>5985</v>
      </c>
      <c r="B4503" s="2">
        <v>46066</v>
      </c>
      <c r="C4503" t="s">
        <v>1682</v>
      </c>
      <c r="D4503" t="s">
        <v>24</v>
      </c>
      <c r="E4503" t="s">
        <v>87</v>
      </c>
      <c r="F4503">
        <v>6</v>
      </c>
      <c r="G4503">
        <v>0.1</v>
      </c>
      <c r="H4503">
        <v>1890</v>
      </c>
      <c r="I4503">
        <v>-436.73</v>
      </c>
      <c r="J4503" t="s">
        <v>65</v>
      </c>
      <c r="K4503" t="s">
        <v>80</v>
      </c>
      <c r="L4503">
        <v>315</v>
      </c>
      <c r="M4503">
        <v>-23.107407407407411</v>
      </c>
      <c r="N4503" t="s">
        <v>81</v>
      </c>
      <c r="O4503" t="s">
        <v>648</v>
      </c>
      <c r="P4503" t="s">
        <v>73</v>
      </c>
      <c r="Q4503" t="s">
        <v>131</v>
      </c>
      <c r="R4503" t="s">
        <v>449</v>
      </c>
      <c r="S4503" t="s">
        <v>450</v>
      </c>
      <c r="T4503" t="s">
        <v>912</v>
      </c>
      <c r="U4503" t="s">
        <v>46</v>
      </c>
      <c r="V4503">
        <v>-72.788333333333341</v>
      </c>
    </row>
    <row r="4504" spans="1:22" x14ac:dyDescent="0.3">
      <c r="A4504" t="s">
        <v>5986</v>
      </c>
      <c r="B4504" s="2">
        <v>45937</v>
      </c>
      <c r="C4504" t="s">
        <v>2241</v>
      </c>
      <c r="D4504" t="s">
        <v>37</v>
      </c>
      <c r="E4504" t="s">
        <v>310</v>
      </c>
      <c r="F4504">
        <v>2</v>
      </c>
      <c r="G4504">
        <v>0.05</v>
      </c>
      <c r="H4504">
        <v>4180</v>
      </c>
      <c r="I4504">
        <v>1326.79</v>
      </c>
      <c r="J4504" t="s">
        <v>39</v>
      </c>
      <c r="K4504" t="s">
        <v>40</v>
      </c>
      <c r="L4504">
        <v>2090</v>
      </c>
      <c r="M4504">
        <v>31.741387559808611</v>
      </c>
      <c r="N4504" t="s">
        <v>8</v>
      </c>
      <c r="O4504" t="s">
        <v>2242</v>
      </c>
      <c r="P4504" t="s">
        <v>73</v>
      </c>
      <c r="Q4504" t="s">
        <v>74</v>
      </c>
      <c r="R4504" t="s">
        <v>493</v>
      </c>
      <c r="S4504" t="s">
        <v>494</v>
      </c>
      <c r="T4504" t="s">
        <v>2243</v>
      </c>
      <c r="U4504" t="s">
        <v>100</v>
      </c>
      <c r="V4504">
        <v>663.39499999999998</v>
      </c>
    </row>
    <row r="4505" spans="1:22" x14ac:dyDescent="0.3">
      <c r="A4505" t="s">
        <v>5987</v>
      </c>
      <c r="B4505" s="2">
        <v>46105</v>
      </c>
      <c r="C4505" t="s">
        <v>2026</v>
      </c>
      <c r="D4505" t="s">
        <v>70</v>
      </c>
      <c r="E4505" t="s">
        <v>165</v>
      </c>
      <c r="F4505">
        <v>1</v>
      </c>
      <c r="G4505">
        <v>0.1</v>
      </c>
      <c r="H4505">
        <v>2250</v>
      </c>
      <c r="I4505">
        <v>621.25</v>
      </c>
      <c r="J4505" t="s">
        <v>51</v>
      </c>
      <c r="K4505" t="s">
        <v>40</v>
      </c>
      <c r="L4505">
        <v>2250</v>
      </c>
      <c r="M4505">
        <v>27.611111111111111</v>
      </c>
      <c r="N4505" t="s">
        <v>8</v>
      </c>
      <c r="O4505" t="s">
        <v>2027</v>
      </c>
      <c r="P4505" t="s">
        <v>29</v>
      </c>
      <c r="Q4505" t="s">
        <v>74</v>
      </c>
      <c r="R4505" t="s">
        <v>493</v>
      </c>
      <c r="S4505" t="s">
        <v>494</v>
      </c>
      <c r="T4505" t="s">
        <v>260</v>
      </c>
      <c r="U4505" t="s">
        <v>105</v>
      </c>
      <c r="V4505">
        <v>621.25</v>
      </c>
    </row>
    <row r="4506" spans="1:22" x14ac:dyDescent="0.3">
      <c r="A4506" t="s">
        <v>5988</v>
      </c>
      <c r="B4506" s="2">
        <v>45845</v>
      </c>
      <c r="C4506" t="s">
        <v>907</v>
      </c>
      <c r="D4506" t="s">
        <v>49</v>
      </c>
      <c r="E4506" t="s">
        <v>79</v>
      </c>
      <c r="F4506">
        <v>6</v>
      </c>
      <c r="G4506">
        <v>0</v>
      </c>
      <c r="H4506">
        <v>66000</v>
      </c>
      <c r="I4506">
        <v>15600</v>
      </c>
      <c r="J4506" t="s">
        <v>65</v>
      </c>
      <c r="K4506" t="s">
        <v>40</v>
      </c>
      <c r="L4506">
        <v>11000</v>
      </c>
      <c r="M4506">
        <v>23.63636363636364</v>
      </c>
      <c r="N4506" t="s">
        <v>8</v>
      </c>
      <c r="O4506" t="s">
        <v>908</v>
      </c>
      <c r="P4506" t="s">
        <v>29</v>
      </c>
      <c r="Q4506" t="s">
        <v>30</v>
      </c>
      <c r="R4506" t="s">
        <v>60</v>
      </c>
      <c r="S4506" t="s">
        <v>61</v>
      </c>
      <c r="T4506" t="s">
        <v>486</v>
      </c>
      <c r="U4506" t="s">
        <v>34</v>
      </c>
      <c r="V4506">
        <v>2600</v>
      </c>
    </row>
    <row r="4507" spans="1:22" x14ac:dyDescent="0.3">
      <c r="A4507" t="s">
        <v>5989</v>
      </c>
      <c r="B4507" s="2">
        <v>46254</v>
      </c>
      <c r="C4507" t="s">
        <v>769</v>
      </c>
      <c r="D4507" t="s">
        <v>37</v>
      </c>
      <c r="E4507" t="s">
        <v>38</v>
      </c>
      <c r="F4507">
        <v>1</v>
      </c>
      <c r="G4507">
        <v>0.3</v>
      </c>
      <c r="H4507">
        <v>1260</v>
      </c>
      <c r="I4507">
        <v>287.06</v>
      </c>
      <c r="J4507" t="s">
        <v>26</v>
      </c>
      <c r="K4507" t="s">
        <v>40</v>
      </c>
      <c r="L4507">
        <v>1260</v>
      </c>
      <c r="M4507">
        <v>22.782539682539682</v>
      </c>
      <c r="N4507" t="s">
        <v>8</v>
      </c>
      <c r="O4507" t="s">
        <v>374</v>
      </c>
      <c r="P4507" t="s">
        <v>29</v>
      </c>
      <c r="Q4507" t="s">
        <v>42</v>
      </c>
      <c r="R4507" t="s">
        <v>121</v>
      </c>
      <c r="S4507" t="s">
        <v>44</v>
      </c>
      <c r="T4507" t="s">
        <v>172</v>
      </c>
      <c r="U4507" t="s">
        <v>46</v>
      </c>
      <c r="V4507">
        <v>287.06</v>
      </c>
    </row>
    <row r="4508" spans="1:22" x14ac:dyDescent="0.3">
      <c r="A4508" t="s">
        <v>5990</v>
      </c>
      <c r="B4508" s="2">
        <v>46223</v>
      </c>
      <c r="C4508" t="s">
        <v>664</v>
      </c>
      <c r="D4508" t="s">
        <v>37</v>
      </c>
      <c r="E4508" t="s">
        <v>190</v>
      </c>
      <c r="F4508">
        <v>1</v>
      </c>
      <c r="G4508">
        <v>0</v>
      </c>
      <c r="H4508">
        <v>4200</v>
      </c>
      <c r="I4508">
        <v>1200</v>
      </c>
      <c r="J4508" t="s">
        <v>39</v>
      </c>
      <c r="K4508" t="s">
        <v>40</v>
      </c>
      <c r="L4508">
        <v>4200</v>
      </c>
      <c r="M4508">
        <v>28.571428571428569</v>
      </c>
      <c r="N4508" t="s">
        <v>8</v>
      </c>
      <c r="O4508" t="s">
        <v>665</v>
      </c>
      <c r="P4508" t="s">
        <v>29</v>
      </c>
      <c r="Q4508" t="s">
        <v>30</v>
      </c>
      <c r="R4508" t="s">
        <v>31</v>
      </c>
      <c r="S4508" t="s">
        <v>32</v>
      </c>
      <c r="T4508" t="s">
        <v>256</v>
      </c>
      <c r="U4508" t="s">
        <v>34</v>
      </c>
      <c r="V4508">
        <v>1200</v>
      </c>
    </row>
    <row r="4509" spans="1:22" x14ac:dyDescent="0.3">
      <c r="A4509" t="s">
        <v>5991</v>
      </c>
      <c r="B4509" s="2">
        <v>45996</v>
      </c>
      <c r="C4509" t="s">
        <v>283</v>
      </c>
      <c r="D4509" t="s">
        <v>49</v>
      </c>
      <c r="E4509" t="s">
        <v>119</v>
      </c>
      <c r="F4509">
        <v>1</v>
      </c>
      <c r="G4509">
        <v>0.15</v>
      </c>
      <c r="H4509">
        <v>7650</v>
      </c>
      <c r="I4509">
        <v>1406.07</v>
      </c>
      <c r="J4509" t="s">
        <v>26</v>
      </c>
      <c r="K4509" t="s">
        <v>40</v>
      </c>
      <c r="L4509">
        <v>7650</v>
      </c>
      <c r="M4509">
        <v>18.38</v>
      </c>
      <c r="N4509" t="s">
        <v>8</v>
      </c>
      <c r="O4509" t="s">
        <v>284</v>
      </c>
      <c r="P4509" t="s">
        <v>29</v>
      </c>
      <c r="Q4509" t="s">
        <v>30</v>
      </c>
      <c r="R4509" t="s">
        <v>53</v>
      </c>
      <c r="S4509" t="s">
        <v>54</v>
      </c>
      <c r="T4509" t="s">
        <v>285</v>
      </c>
      <c r="U4509" t="s">
        <v>34</v>
      </c>
      <c r="V4509">
        <v>1406.07</v>
      </c>
    </row>
    <row r="4510" spans="1:22" x14ac:dyDescent="0.3">
      <c r="A4510" t="s">
        <v>5992</v>
      </c>
      <c r="B4510" s="2">
        <v>46190</v>
      </c>
      <c r="C4510" t="s">
        <v>678</v>
      </c>
      <c r="D4510" t="s">
        <v>70</v>
      </c>
      <c r="E4510" t="s">
        <v>165</v>
      </c>
      <c r="F4510">
        <v>3</v>
      </c>
      <c r="G4510">
        <v>0.1</v>
      </c>
      <c r="H4510">
        <v>6750</v>
      </c>
      <c r="I4510">
        <v>1890.89</v>
      </c>
      <c r="J4510" t="s">
        <v>65</v>
      </c>
      <c r="K4510" t="s">
        <v>40</v>
      </c>
      <c r="L4510">
        <v>2250</v>
      </c>
      <c r="M4510">
        <v>28.01318518518519</v>
      </c>
      <c r="N4510" t="s">
        <v>8</v>
      </c>
      <c r="O4510" t="s">
        <v>657</v>
      </c>
      <c r="P4510" t="s">
        <v>83</v>
      </c>
      <c r="Q4510" t="s">
        <v>30</v>
      </c>
      <c r="R4510" t="s">
        <v>31</v>
      </c>
      <c r="S4510" t="s">
        <v>32</v>
      </c>
      <c r="T4510" t="s">
        <v>679</v>
      </c>
      <c r="U4510" t="s">
        <v>100</v>
      </c>
      <c r="V4510">
        <v>630.29666666666674</v>
      </c>
    </row>
    <row r="4511" spans="1:22" x14ac:dyDescent="0.3">
      <c r="A4511" t="s">
        <v>5993</v>
      </c>
      <c r="B4511" s="2">
        <v>45943</v>
      </c>
      <c r="C4511" t="s">
        <v>1017</v>
      </c>
      <c r="D4511" t="s">
        <v>24</v>
      </c>
      <c r="E4511" t="s">
        <v>87</v>
      </c>
      <c r="F4511">
        <v>2</v>
      </c>
      <c r="G4511">
        <v>0</v>
      </c>
      <c r="H4511">
        <v>700</v>
      </c>
      <c r="I4511">
        <v>240</v>
      </c>
      <c r="J4511" t="s">
        <v>51</v>
      </c>
      <c r="K4511" t="s">
        <v>40</v>
      </c>
      <c r="L4511">
        <v>350</v>
      </c>
      <c r="M4511">
        <v>34.285714285714278</v>
      </c>
      <c r="N4511" t="s">
        <v>8</v>
      </c>
      <c r="O4511" t="s">
        <v>1018</v>
      </c>
      <c r="P4511" t="s">
        <v>83</v>
      </c>
      <c r="Q4511" t="s">
        <v>30</v>
      </c>
      <c r="R4511" t="s">
        <v>98</v>
      </c>
      <c r="S4511" t="s">
        <v>54</v>
      </c>
      <c r="T4511" t="s">
        <v>1019</v>
      </c>
      <c r="U4511" t="s">
        <v>46</v>
      </c>
      <c r="V4511">
        <v>120</v>
      </c>
    </row>
    <row r="4512" spans="1:22" x14ac:dyDescent="0.3">
      <c r="A4512" t="s">
        <v>5994</v>
      </c>
      <c r="B4512" s="2">
        <v>46186</v>
      </c>
      <c r="C4512" t="s">
        <v>2472</v>
      </c>
      <c r="D4512" t="s">
        <v>70</v>
      </c>
      <c r="E4512" t="s">
        <v>108</v>
      </c>
      <c r="F4512">
        <v>3</v>
      </c>
      <c r="G4512">
        <v>0</v>
      </c>
      <c r="H4512">
        <v>13500</v>
      </c>
      <c r="I4512">
        <v>4500</v>
      </c>
      <c r="J4512" t="s">
        <v>51</v>
      </c>
      <c r="K4512" t="s">
        <v>40</v>
      </c>
      <c r="L4512">
        <v>4500</v>
      </c>
      <c r="M4512">
        <v>33.333333333333329</v>
      </c>
      <c r="N4512" t="s">
        <v>8</v>
      </c>
      <c r="O4512" t="s">
        <v>2473</v>
      </c>
      <c r="P4512" t="s">
        <v>73</v>
      </c>
      <c r="Q4512" t="s">
        <v>74</v>
      </c>
      <c r="R4512" t="s">
        <v>115</v>
      </c>
      <c r="S4512" t="s">
        <v>115</v>
      </c>
      <c r="T4512" t="s">
        <v>2474</v>
      </c>
      <c r="U4512" t="s">
        <v>105</v>
      </c>
      <c r="V4512">
        <v>1500</v>
      </c>
    </row>
    <row r="4513" spans="1:22" x14ac:dyDescent="0.3">
      <c r="A4513" t="s">
        <v>5995</v>
      </c>
      <c r="B4513" s="2">
        <v>46235</v>
      </c>
      <c r="C4513" t="s">
        <v>1637</v>
      </c>
      <c r="D4513" t="s">
        <v>70</v>
      </c>
      <c r="E4513" t="s">
        <v>165</v>
      </c>
      <c r="F4513">
        <v>3</v>
      </c>
      <c r="G4513">
        <v>0</v>
      </c>
      <c r="H4513">
        <v>7500</v>
      </c>
      <c r="I4513">
        <v>2400</v>
      </c>
      <c r="J4513" t="s">
        <v>65</v>
      </c>
      <c r="K4513" t="s">
        <v>40</v>
      </c>
      <c r="L4513">
        <v>2500</v>
      </c>
      <c r="M4513">
        <v>32</v>
      </c>
      <c r="N4513" t="s">
        <v>8</v>
      </c>
      <c r="O4513" t="s">
        <v>697</v>
      </c>
      <c r="P4513" t="s">
        <v>29</v>
      </c>
      <c r="Q4513" t="s">
        <v>30</v>
      </c>
      <c r="R4513" t="s">
        <v>31</v>
      </c>
      <c r="S4513" t="s">
        <v>32</v>
      </c>
      <c r="T4513" t="s">
        <v>1638</v>
      </c>
      <c r="U4513" t="s">
        <v>46</v>
      </c>
      <c r="V4513">
        <v>800</v>
      </c>
    </row>
    <row r="4514" spans="1:22" x14ac:dyDescent="0.3">
      <c r="A4514" t="s">
        <v>5996</v>
      </c>
      <c r="B4514" s="2">
        <v>46166</v>
      </c>
      <c r="C4514" t="s">
        <v>1377</v>
      </c>
      <c r="D4514" t="s">
        <v>70</v>
      </c>
      <c r="E4514" t="s">
        <v>108</v>
      </c>
      <c r="F4514">
        <v>1</v>
      </c>
      <c r="G4514">
        <v>0</v>
      </c>
      <c r="H4514">
        <v>4500</v>
      </c>
      <c r="I4514">
        <v>89.68</v>
      </c>
      <c r="J4514" t="s">
        <v>39</v>
      </c>
      <c r="K4514" t="s">
        <v>434</v>
      </c>
      <c r="L4514">
        <v>4500</v>
      </c>
      <c r="M4514">
        <v>1.9928888888888889</v>
      </c>
      <c r="N4514" t="s">
        <v>8</v>
      </c>
      <c r="O4514" t="s">
        <v>1378</v>
      </c>
      <c r="P4514" t="s">
        <v>29</v>
      </c>
      <c r="Q4514" t="s">
        <v>30</v>
      </c>
      <c r="R4514" t="s">
        <v>53</v>
      </c>
      <c r="S4514" t="s">
        <v>54</v>
      </c>
      <c r="T4514" t="s">
        <v>1379</v>
      </c>
      <c r="U4514" t="s">
        <v>100</v>
      </c>
      <c r="V4514">
        <v>89.68</v>
      </c>
    </row>
    <row r="4515" spans="1:22" x14ac:dyDescent="0.3">
      <c r="A4515" t="s">
        <v>5997</v>
      </c>
      <c r="B4515" s="2">
        <v>45875</v>
      </c>
      <c r="C4515" t="s">
        <v>1371</v>
      </c>
      <c r="D4515" t="s">
        <v>70</v>
      </c>
      <c r="E4515" t="s">
        <v>108</v>
      </c>
      <c r="F4515">
        <v>4</v>
      </c>
      <c r="G4515">
        <v>0</v>
      </c>
      <c r="H4515">
        <v>18000</v>
      </c>
      <c r="I4515">
        <v>6000</v>
      </c>
      <c r="J4515" t="s">
        <v>39</v>
      </c>
      <c r="K4515" t="s">
        <v>40</v>
      </c>
      <c r="L4515">
        <v>4500</v>
      </c>
      <c r="M4515">
        <v>33.333333333333329</v>
      </c>
      <c r="N4515" t="s">
        <v>8</v>
      </c>
      <c r="O4515" t="s">
        <v>641</v>
      </c>
      <c r="P4515" t="s">
        <v>29</v>
      </c>
      <c r="Q4515" t="s">
        <v>131</v>
      </c>
      <c r="R4515" t="s">
        <v>200</v>
      </c>
      <c r="S4515" t="s">
        <v>201</v>
      </c>
      <c r="T4515" t="s">
        <v>1372</v>
      </c>
      <c r="U4515" t="s">
        <v>100</v>
      </c>
      <c r="V4515">
        <v>1500</v>
      </c>
    </row>
    <row r="4516" spans="1:22" x14ac:dyDescent="0.3">
      <c r="A4516" t="s">
        <v>5998</v>
      </c>
      <c r="B4516" s="2">
        <v>45926</v>
      </c>
      <c r="C4516" t="s">
        <v>1331</v>
      </c>
      <c r="D4516" t="s">
        <v>70</v>
      </c>
      <c r="E4516" t="s">
        <v>129</v>
      </c>
      <c r="F4516">
        <v>4</v>
      </c>
      <c r="G4516">
        <v>0.15</v>
      </c>
      <c r="H4516">
        <v>187000</v>
      </c>
      <c r="I4516">
        <v>15762.07</v>
      </c>
      <c r="J4516" t="s">
        <v>65</v>
      </c>
      <c r="K4516" t="s">
        <v>40</v>
      </c>
      <c r="L4516">
        <v>46750</v>
      </c>
      <c r="M4516">
        <v>8.4289144385026749</v>
      </c>
      <c r="N4516" t="s">
        <v>8</v>
      </c>
      <c r="O4516" t="s">
        <v>553</v>
      </c>
      <c r="P4516" t="s">
        <v>29</v>
      </c>
      <c r="Q4516" t="s">
        <v>30</v>
      </c>
      <c r="R4516" t="s">
        <v>31</v>
      </c>
      <c r="S4516" t="s">
        <v>32</v>
      </c>
      <c r="T4516" t="s">
        <v>1332</v>
      </c>
      <c r="U4516" t="s">
        <v>46</v>
      </c>
      <c r="V4516">
        <v>3940.5174999999999</v>
      </c>
    </row>
    <row r="4517" spans="1:22" x14ac:dyDescent="0.3">
      <c r="A4517" t="s">
        <v>5999</v>
      </c>
      <c r="B4517" s="2">
        <v>45945</v>
      </c>
      <c r="C4517" t="s">
        <v>3736</v>
      </c>
      <c r="D4517" t="s">
        <v>49</v>
      </c>
      <c r="E4517" t="s">
        <v>50</v>
      </c>
      <c r="F4517">
        <v>1</v>
      </c>
      <c r="G4517">
        <v>0.2</v>
      </c>
      <c r="H4517">
        <v>10400</v>
      </c>
      <c r="I4517">
        <v>1612.93</v>
      </c>
      <c r="J4517" t="s">
        <v>51</v>
      </c>
      <c r="K4517" t="s">
        <v>40</v>
      </c>
      <c r="L4517">
        <v>10400</v>
      </c>
      <c r="M4517">
        <v>15.50894230769231</v>
      </c>
      <c r="N4517" t="s">
        <v>8</v>
      </c>
      <c r="O4517" t="s">
        <v>1137</v>
      </c>
      <c r="P4517" t="s">
        <v>73</v>
      </c>
      <c r="Q4517" t="s">
        <v>74</v>
      </c>
      <c r="R4517" t="s">
        <v>75</v>
      </c>
      <c r="S4517" t="s">
        <v>75</v>
      </c>
      <c r="T4517" t="s">
        <v>3737</v>
      </c>
      <c r="U4517" t="s">
        <v>46</v>
      </c>
      <c r="V4517">
        <v>1612.93</v>
      </c>
    </row>
    <row r="4518" spans="1:22" x14ac:dyDescent="0.3">
      <c r="A4518" t="s">
        <v>6000</v>
      </c>
      <c r="B4518" s="2">
        <v>45980</v>
      </c>
      <c r="C4518" t="s">
        <v>336</v>
      </c>
      <c r="D4518" t="s">
        <v>24</v>
      </c>
      <c r="E4518" t="s">
        <v>25</v>
      </c>
      <c r="F4518">
        <v>4</v>
      </c>
      <c r="G4518">
        <v>0.1</v>
      </c>
      <c r="H4518">
        <v>50400</v>
      </c>
      <c r="I4518">
        <v>7246.97</v>
      </c>
      <c r="J4518" t="s">
        <v>51</v>
      </c>
      <c r="K4518" t="s">
        <v>40</v>
      </c>
      <c r="L4518">
        <v>12600</v>
      </c>
      <c r="M4518">
        <v>14.378908730158731</v>
      </c>
      <c r="N4518" t="s">
        <v>8</v>
      </c>
      <c r="O4518" t="s">
        <v>337</v>
      </c>
      <c r="P4518" t="s">
        <v>83</v>
      </c>
      <c r="Q4518" t="s">
        <v>74</v>
      </c>
      <c r="R4518" t="s">
        <v>237</v>
      </c>
      <c r="S4518" t="s">
        <v>238</v>
      </c>
      <c r="T4518" t="s">
        <v>338</v>
      </c>
      <c r="U4518" t="s">
        <v>34</v>
      </c>
      <c r="V4518">
        <v>1811.7425000000001</v>
      </c>
    </row>
    <row r="4519" spans="1:22" x14ac:dyDescent="0.3">
      <c r="A4519" t="s">
        <v>6001</v>
      </c>
      <c r="B4519" s="2">
        <v>45874</v>
      </c>
      <c r="C4519" t="s">
        <v>1872</v>
      </c>
      <c r="D4519" t="s">
        <v>70</v>
      </c>
      <c r="E4519" t="s">
        <v>129</v>
      </c>
      <c r="F4519">
        <v>10</v>
      </c>
      <c r="G4519">
        <v>0</v>
      </c>
      <c r="H4519">
        <v>550000</v>
      </c>
      <c r="I4519">
        <v>90000</v>
      </c>
      <c r="J4519" t="s">
        <v>65</v>
      </c>
      <c r="K4519" t="s">
        <v>40</v>
      </c>
      <c r="L4519">
        <v>55000</v>
      </c>
      <c r="M4519">
        <v>16.36363636363636</v>
      </c>
      <c r="N4519" t="s">
        <v>8</v>
      </c>
      <c r="O4519" t="s">
        <v>386</v>
      </c>
      <c r="P4519" t="s">
        <v>73</v>
      </c>
      <c r="Q4519" t="s">
        <v>42</v>
      </c>
      <c r="R4519" t="s">
        <v>110</v>
      </c>
      <c r="S4519" t="s">
        <v>111</v>
      </c>
      <c r="T4519" t="s">
        <v>852</v>
      </c>
      <c r="U4519" t="s">
        <v>34</v>
      </c>
      <c r="V4519">
        <v>9000</v>
      </c>
    </row>
    <row r="4520" spans="1:22" x14ac:dyDescent="0.3">
      <c r="A4520" t="s">
        <v>6002</v>
      </c>
      <c r="B4520" s="2">
        <v>46172</v>
      </c>
      <c r="C4520" t="s">
        <v>2327</v>
      </c>
      <c r="D4520" t="s">
        <v>70</v>
      </c>
      <c r="E4520" t="s">
        <v>129</v>
      </c>
      <c r="F4520">
        <v>4</v>
      </c>
      <c r="G4520">
        <v>0.1</v>
      </c>
      <c r="H4520">
        <v>198000</v>
      </c>
      <c r="I4520">
        <v>25408.59</v>
      </c>
      <c r="J4520" t="s">
        <v>39</v>
      </c>
      <c r="K4520" t="s">
        <v>40</v>
      </c>
      <c r="L4520">
        <v>49500</v>
      </c>
      <c r="M4520">
        <v>12.832621212121211</v>
      </c>
      <c r="N4520" t="s">
        <v>8</v>
      </c>
      <c r="O4520" t="s">
        <v>825</v>
      </c>
      <c r="P4520" t="s">
        <v>73</v>
      </c>
      <c r="Q4520" t="s">
        <v>30</v>
      </c>
      <c r="R4520" t="s">
        <v>31</v>
      </c>
      <c r="S4520" t="s">
        <v>32</v>
      </c>
      <c r="T4520" t="s">
        <v>55</v>
      </c>
      <c r="U4520" t="s">
        <v>46</v>
      </c>
      <c r="V4520">
        <v>6352.1475</v>
      </c>
    </row>
    <row r="4521" spans="1:22" x14ac:dyDescent="0.3">
      <c r="A4521" t="s">
        <v>6003</v>
      </c>
      <c r="B4521" s="2">
        <v>45934</v>
      </c>
      <c r="C4521" t="s">
        <v>1578</v>
      </c>
      <c r="D4521" t="s">
        <v>70</v>
      </c>
      <c r="E4521" t="s">
        <v>165</v>
      </c>
      <c r="F4521">
        <v>3</v>
      </c>
      <c r="G4521">
        <v>0.1</v>
      </c>
      <c r="H4521">
        <v>6750</v>
      </c>
      <c r="I4521">
        <v>1897.11</v>
      </c>
      <c r="J4521" t="s">
        <v>26</v>
      </c>
      <c r="K4521" t="s">
        <v>40</v>
      </c>
      <c r="L4521">
        <v>2250</v>
      </c>
      <c r="M4521">
        <v>28.105333333333331</v>
      </c>
      <c r="N4521" t="s">
        <v>8</v>
      </c>
      <c r="O4521" t="s">
        <v>1579</v>
      </c>
      <c r="P4521" t="s">
        <v>29</v>
      </c>
      <c r="Q4521" t="s">
        <v>74</v>
      </c>
      <c r="R4521" t="s">
        <v>115</v>
      </c>
      <c r="S4521" t="s">
        <v>115</v>
      </c>
      <c r="T4521" t="s">
        <v>1580</v>
      </c>
      <c r="U4521" t="s">
        <v>100</v>
      </c>
      <c r="V4521">
        <v>632.37</v>
      </c>
    </row>
    <row r="4522" spans="1:22" x14ac:dyDescent="0.3">
      <c r="A4522" t="s">
        <v>6004</v>
      </c>
      <c r="B4522" s="2">
        <v>46048</v>
      </c>
      <c r="C4522" t="s">
        <v>287</v>
      </c>
      <c r="D4522" t="s">
        <v>24</v>
      </c>
      <c r="E4522" t="s">
        <v>87</v>
      </c>
      <c r="F4522">
        <v>1</v>
      </c>
      <c r="G4522">
        <v>0.1</v>
      </c>
      <c r="H4522">
        <v>315</v>
      </c>
      <c r="I4522">
        <v>97.83</v>
      </c>
      <c r="J4522" t="s">
        <v>26</v>
      </c>
      <c r="K4522" t="s">
        <v>40</v>
      </c>
      <c r="L4522">
        <v>315</v>
      </c>
      <c r="M4522">
        <v>31.05714285714286</v>
      </c>
      <c r="N4522" t="s">
        <v>8</v>
      </c>
      <c r="O4522" t="s">
        <v>288</v>
      </c>
      <c r="P4522" t="s">
        <v>83</v>
      </c>
      <c r="Q4522" t="s">
        <v>131</v>
      </c>
      <c r="R4522" t="s">
        <v>289</v>
      </c>
      <c r="S4522" t="s">
        <v>290</v>
      </c>
      <c r="T4522" t="s">
        <v>291</v>
      </c>
      <c r="U4522" t="s">
        <v>105</v>
      </c>
      <c r="V4522">
        <v>97.83</v>
      </c>
    </row>
    <row r="4523" spans="1:22" x14ac:dyDescent="0.3">
      <c r="A4523" t="s">
        <v>6005</v>
      </c>
      <c r="B4523" s="2">
        <v>45850</v>
      </c>
      <c r="C4523" t="s">
        <v>866</v>
      </c>
      <c r="D4523" t="s">
        <v>70</v>
      </c>
      <c r="E4523" t="s">
        <v>165</v>
      </c>
      <c r="F4523">
        <v>2</v>
      </c>
      <c r="G4523">
        <v>0.05</v>
      </c>
      <c r="H4523">
        <v>4750</v>
      </c>
      <c r="I4523">
        <v>1469.55</v>
      </c>
      <c r="J4523" t="s">
        <v>26</v>
      </c>
      <c r="K4523" t="s">
        <v>40</v>
      </c>
      <c r="L4523">
        <v>2375</v>
      </c>
      <c r="M4523">
        <v>30.9378947368421</v>
      </c>
      <c r="N4523" t="s">
        <v>8</v>
      </c>
      <c r="O4523" t="s">
        <v>247</v>
      </c>
      <c r="P4523" t="s">
        <v>73</v>
      </c>
      <c r="Q4523" t="s">
        <v>30</v>
      </c>
      <c r="R4523" t="s">
        <v>98</v>
      </c>
      <c r="S4523" t="s">
        <v>54</v>
      </c>
      <c r="T4523" t="s">
        <v>319</v>
      </c>
      <c r="U4523" t="s">
        <v>34</v>
      </c>
      <c r="V4523">
        <v>734.77499999999998</v>
      </c>
    </row>
    <row r="4524" spans="1:22" x14ac:dyDescent="0.3">
      <c r="A4524" t="s">
        <v>6006</v>
      </c>
      <c r="B4524" s="2">
        <v>46170</v>
      </c>
      <c r="C4524" t="s">
        <v>846</v>
      </c>
      <c r="D4524" t="s">
        <v>70</v>
      </c>
      <c r="E4524" t="s">
        <v>129</v>
      </c>
      <c r="F4524">
        <v>15</v>
      </c>
      <c r="G4524">
        <v>0</v>
      </c>
      <c r="H4524">
        <v>825000</v>
      </c>
      <c r="I4524">
        <v>135000</v>
      </c>
      <c r="J4524" t="s">
        <v>65</v>
      </c>
      <c r="K4524" t="s">
        <v>40</v>
      </c>
      <c r="L4524">
        <v>55000</v>
      </c>
      <c r="M4524">
        <v>16.36363636363636</v>
      </c>
      <c r="N4524" t="s">
        <v>8</v>
      </c>
      <c r="O4524" t="s">
        <v>847</v>
      </c>
      <c r="P4524" t="s">
        <v>29</v>
      </c>
      <c r="Q4524" t="s">
        <v>30</v>
      </c>
      <c r="R4524" t="s">
        <v>53</v>
      </c>
      <c r="S4524" t="s">
        <v>54</v>
      </c>
      <c r="T4524" t="s">
        <v>848</v>
      </c>
      <c r="U4524" t="s">
        <v>34</v>
      </c>
      <c r="V4524">
        <v>9000</v>
      </c>
    </row>
    <row r="4525" spans="1:22" x14ac:dyDescent="0.3">
      <c r="A4525" t="s">
        <v>6007</v>
      </c>
      <c r="B4525" s="2">
        <v>46038</v>
      </c>
      <c r="C4525" t="s">
        <v>4588</v>
      </c>
      <c r="D4525" t="s">
        <v>24</v>
      </c>
      <c r="E4525" t="s">
        <v>87</v>
      </c>
      <c r="F4525">
        <v>2</v>
      </c>
      <c r="G4525">
        <v>0.2</v>
      </c>
      <c r="H4525">
        <v>560</v>
      </c>
      <c r="I4525">
        <v>171.34</v>
      </c>
      <c r="J4525" t="s">
        <v>39</v>
      </c>
      <c r="K4525" t="s">
        <v>27</v>
      </c>
      <c r="L4525">
        <v>280</v>
      </c>
      <c r="M4525">
        <v>30.596428571428579</v>
      </c>
      <c r="N4525" t="s">
        <v>8</v>
      </c>
      <c r="O4525" t="s">
        <v>844</v>
      </c>
      <c r="P4525" t="s">
        <v>29</v>
      </c>
      <c r="Q4525" t="s">
        <v>42</v>
      </c>
      <c r="R4525" t="s">
        <v>43</v>
      </c>
      <c r="S4525" t="s">
        <v>44</v>
      </c>
      <c r="T4525" t="s">
        <v>4589</v>
      </c>
      <c r="U4525" t="s">
        <v>46</v>
      </c>
      <c r="V4525">
        <v>85.67</v>
      </c>
    </row>
    <row r="4526" spans="1:22" x14ac:dyDescent="0.3">
      <c r="A4526" t="s">
        <v>6008</v>
      </c>
      <c r="B4526" s="2">
        <v>45917</v>
      </c>
      <c r="C4526" t="s">
        <v>148</v>
      </c>
      <c r="D4526" t="s">
        <v>24</v>
      </c>
      <c r="E4526" t="s">
        <v>25</v>
      </c>
      <c r="F4526">
        <v>4</v>
      </c>
      <c r="G4526">
        <v>0.15</v>
      </c>
      <c r="H4526">
        <v>47600</v>
      </c>
      <c r="I4526">
        <v>6156.81</v>
      </c>
      <c r="J4526" t="s">
        <v>51</v>
      </c>
      <c r="K4526" t="s">
        <v>40</v>
      </c>
      <c r="L4526">
        <v>11900</v>
      </c>
      <c r="M4526">
        <v>12.934474789915971</v>
      </c>
      <c r="N4526" t="s">
        <v>8</v>
      </c>
      <c r="O4526" t="s">
        <v>149</v>
      </c>
      <c r="P4526" t="s">
        <v>29</v>
      </c>
      <c r="Q4526" t="s">
        <v>30</v>
      </c>
      <c r="R4526" t="s">
        <v>60</v>
      </c>
      <c r="S4526" t="s">
        <v>61</v>
      </c>
      <c r="T4526" t="s">
        <v>150</v>
      </c>
      <c r="U4526" t="s">
        <v>105</v>
      </c>
      <c r="V4526">
        <v>1539.2025000000001</v>
      </c>
    </row>
    <row r="4527" spans="1:22" x14ac:dyDescent="0.3">
      <c r="A4527" t="s">
        <v>6009</v>
      </c>
      <c r="B4527" s="2">
        <v>46111</v>
      </c>
      <c r="C4527" t="s">
        <v>891</v>
      </c>
      <c r="D4527" t="s">
        <v>37</v>
      </c>
      <c r="E4527" t="s">
        <v>38</v>
      </c>
      <c r="F4527">
        <v>4</v>
      </c>
      <c r="G4527">
        <v>0.1</v>
      </c>
      <c r="H4527">
        <v>6480</v>
      </c>
      <c r="I4527">
        <v>2050.73</v>
      </c>
      <c r="J4527" t="s">
        <v>65</v>
      </c>
      <c r="K4527" t="s">
        <v>40</v>
      </c>
      <c r="L4527">
        <v>1620</v>
      </c>
      <c r="M4527">
        <v>31.647067901234561</v>
      </c>
      <c r="N4527" t="s">
        <v>8</v>
      </c>
      <c r="O4527" t="s">
        <v>892</v>
      </c>
      <c r="P4527" t="s">
        <v>29</v>
      </c>
      <c r="Q4527" t="s">
        <v>30</v>
      </c>
      <c r="R4527" t="s">
        <v>31</v>
      </c>
      <c r="S4527" t="s">
        <v>32</v>
      </c>
      <c r="T4527" t="s">
        <v>893</v>
      </c>
      <c r="U4527" t="s">
        <v>34</v>
      </c>
      <c r="V4527">
        <v>512.6825</v>
      </c>
    </row>
    <row r="4528" spans="1:22" x14ac:dyDescent="0.3">
      <c r="A4528" t="s">
        <v>6010</v>
      </c>
      <c r="B4528" s="2">
        <v>45941</v>
      </c>
      <c r="C4528" t="s">
        <v>625</v>
      </c>
      <c r="D4528" t="s">
        <v>70</v>
      </c>
      <c r="E4528" t="s">
        <v>108</v>
      </c>
      <c r="F4528">
        <v>3</v>
      </c>
      <c r="G4528">
        <v>0.15</v>
      </c>
      <c r="H4528">
        <v>11475</v>
      </c>
      <c r="I4528">
        <v>2838.73</v>
      </c>
      <c r="J4528" t="s">
        <v>26</v>
      </c>
      <c r="K4528" t="s">
        <v>40</v>
      </c>
      <c r="L4528">
        <v>3825</v>
      </c>
      <c r="M4528">
        <v>24.738387799564268</v>
      </c>
      <c r="N4528" t="s">
        <v>8</v>
      </c>
      <c r="O4528" t="s">
        <v>626</v>
      </c>
      <c r="P4528" t="s">
        <v>29</v>
      </c>
      <c r="Q4528" t="s">
        <v>30</v>
      </c>
      <c r="R4528" t="s">
        <v>53</v>
      </c>
      <c r="S4528" t="s">
        <v>54</v>
      </c>
      <c r="T4528" t="s">
        <v>627</v>
      </c>
      <c r="U4528" t="s">
        <v>105</v>
      </c>
      <c r="V4528">
        <v>946.24333333333334</v>
      </c>
    </row>
    <row r="4529" spans="1:22" x14ac:dyDescent="0.3">
      <c r="A4529" t="s">
        <v>6011</v>
      </c>
      <c r="B4529" s="2">
        <v>45873</v>
      </c>
      <c r="C4529" t="s">
        <v>1363</v>
      </c>
      <c r="D4529" t="s">
        <v>37</v>
      </c>
      <c r="E4529" t="s">
        <v>170</v>
      </c>
      <c r="F4529">
        <v>2</v>
      </c>
      <c r="G4529">
        <v>0.05</v>
      </c>
      <c r="H4529">
        <v>2660</v>
      </c>
      <c r="I4529">
        <v>907.9</v>
      </c>
      <c r="J4529" t="s">
        <v>65</v>
      </c>
      <c r="K4529" t="s">
        <v>40</v>
      </c>
      <c r="L4529">
        <v>1330</v>
      </c>
      <c r="M4529">
        <v>34.131578947368418</v>
      </c>
      <c r="N4529" t="s">
        <v>8</v>
      </c>
      <c r="O4529" t="s">
        <v>1364</v>
      </c>
      <c r="P4529" t="s">
        <v>73</v>
      </c>
      <c r="Q4529" t="s">
        <v>30</v>
      </c>
      <c r="R4529" t="s">
        <v>98</v>
      </c>
      <c r="S4529" t="s">
        <v>54</v>
      </c>
      <c r="T4529" t="s">
        <v>1365</v>
      </c>
      <c r="U4529" t="s">
        <v>105</v>
      </c>
      <c r="V4529">
        <v>453.95</v>
      </c>
    </row>
    <row r="4530" spans="1:22" x14ac:dyDescent="0.3">
      <c r="A4530" t="s">
        <v>6012</v>
      </c>
      <c r="B4530" s="2">
        <v>46028</v>
      </c>
      <c r="C4530" t="s">
        <v>2257</v>
      </c>
      <c r="D4530" t="s">
        <v>70</v>
      </c>
      <c r="E4530" t="s">
        <v>108</v>
      </c>
      <c r="F4530">
        <v>4</v>
      </c>
      <c r="G4530">
        <v>0</v>
      </c>
      <c r="H4530">
        <v>18000</v>
      </c>
      <c r="I4530">
        <v>6000</v>
      </c>
      <c r="J4530" t="s">
        <v>26</v>
      </c>
      <c r="K4530" t="s">
        <v>40</v>
      </c>
      <c r="L4530">
        <v>4500</v>
      </c>
      <c r="M4530">
        <v>33.333333333333329</v>
      </c>
      <c r="N4530" t="s">
        <v>8</v>
      </c>
      <c r="O4530" t="s">
        <v>626</v>
      </c>
      <c r="P4530" t="s">
        <v>29</v>
      </c>
      <c r="Q4530" t="s">
        <v>42</v>
      </c>
      <c r="R4530" t="s">
        <v>110</v>
      </c>
      <c r="S4530" t="s">
        <v>111</v>
      </c>
      <c r="T4530" t="s">
        <v>2258</v>
      </c>
      <c r="U4530" t="s">
        <v>46</v>
      </c>
      <c r="V4530">
        <v>1500</v>
      </c>
    </row>
    <row r="4531" spans="1:22" x14ac:dyDescent="0.3">
      <c r="A4531" t="s">
        <v>6013</v>
      </c>
      <c r="B4531" s="2">
        <v>45962</v>
      </c>
      <c r="C4531" t="s">
        <v>838</v>
      </c>
      <c r="D4531" t="s">
        <v>49</v>
      </c>
      <c r="E4531" t="s">
        <v>119</v>
      </c>
      <c r="F4531">
        <v>1</v>
      </c>
      <c r="G4531">
        <v>0.15</v>
      </c>
      <c r="H4531">
        <v>7650</v>
      </c>
      <c r="I4531">
        <v>1199.93</v>
      </c>
      <c r="J4531" t="s">
        <v>39</v>
      </c>
      <c r="K4531" t="s">
        <v>40</v>
      </c>
      <c r="L4531">
        <v>7650</v>
      </c>
      <c r="M4531">
        <v>15.68535947712418</v>
      </c>
      <c r="N4531" t="s">
        <v>8</v>
      </c>
      <c r="O4531" t="s">
        <v>839</v>
      </c>
      <c r="P4531" t="s">
        <v>73</v>
      </c>
      <c r="Q4531" t="s">
        <v>30</v>
      </c>
      <c r="R4531" t="s">
        <v>31</v>
      </c>
      <c r="S4531" t="s">
        <v>32</v>
      </c>
      <c r="T4531" t="s">
        <v>840</v>
      </c>
      <c r="U4531" t="s">
        <v>100</v>
      </c>
      <c r="V4531">
        <v>1199.93</v>
      </c>
    </row>
    <row r="4532" spans="1:22" x14ac:dyDescent="0.3">
      <c r="A4532" t="s">
        <v>6014</v>
      </c>
      <c r="B4532" s="2">
        <v>46234</v>
      </c>
      <c r="C4532" t="s">
        <v>217</v>
      </c>
      <c r="D4532" t="s">
        <v>37</v>
      </c>
      <c r="E4532" t="s">
        <v>170</v>
      </c>
      <c r="F4532">
        <v>1</v>
      </c>
      <c r="G4532">
        <v>0</v>
      </c>
      <c r="H4532">
        <v>1400</v>
      </c>
      <c r="I4532">
        <v>500</v>
      </c>
      <c r="J4532" t="s">
        <v>51</v>
      </c>
      <c r="K4532" t="s">
        <v>40</v>
      </c>
      <c r="L4532">
        <v>1400</v>
      </c>
      <c r="M4532">
        <v>35.714285714285722</v>
      </c>
      <c r="N4532" t="s">
        <v>8</v>
      </c>
      <c r="O4532" t="s">
        <v>218</v>
      </c>
      <c r="P4532" t="s">
        <v>29</v>
      </c>
      <c r="Q4532" t="s">
        <v>30</v>
      </c>
      <c r="R4532" t="s">
        <v>31</v>
      </c>
      <c r="S4532" t="s">
        <v>32</v>
      </c>
      <c r="T4532" t="s">
        <v>219</v>
      </c>
      <c r="U4532" t="s">
        <v>100</v>
      </c>
      <c r="V4532">
        <v>500</v>
      </c>
    </row>
    <row r="4533" spans="1:22" x14ac:dyDescent="0.3">
      <c r="A4533" t="s">
        <v>6015</v>
      </c>
      <c r="B4533" s="2">
        <v>46013</v>
      </c>
      <c r="C4533" t="s">
        <v>156</v>
      </c>
      <c r="D4533" t="s">
        <v>49</v>
      </c>
      <c r="E4533" t="s">
        <v>50</v>
      </c>
      <c r="F4533">
        <v>1</v>
      </c>
      <c r="G4533">
        <v>0</v>
      </c>
      <c r="H4533">
        <v>13000</v>
      </c>
      <c r="I4533">
        <v>3200</v>
      </c>
      <c r="J4533" t="s">
        <v>39</v>
      </c>
      <c r="K4533" t="s">
        <v>27</v>
      </c>
      <c r="L4533">
        <v>13000</v>
      </c>
      <c r="M4533">
        <v>24.61538461538462</v>
      </c>
      <c r="N4533" t="s">
        <v>8</v>
      </c>
      <c r="O4533" t="s">
        <v>157</v>
      </c>
      <c r="P4533" t="s">
        <v>83</v>
      </c>
      <c r="Q4533" t="s">
        <v>30</v>
      </c>
      <c r="R4533" t="s">
        <v>31</v>
      </c>
      <c r="S4533" t="s">
        <v>32</v>
      </c>
      <c r="T4533" t="s">
        <v>158</v>
      </c>
      <c r="U4533" t="s">
        <v>34</v>
      </c>
      <c r="V4533">
        <v>3200</v>
      </c>
    </row>
    <row r="4534" spans="1:22" x14ac:dyDescent="0.3">
      <c r="A4534" t="s">
        <v>6016</v>
      </c>
      <c r="B4534" s="2">
        <v>46232</v>
      </c>
      <c r="C4534" t="s">
        <v>1599</v>
      </c>
      <c r="D4534" t="s">
        <v>24</v>
      </c>
      <c r="E4534" t="s">
        <v>87</v>
      </c>
      <c r="F4534">
        <v>2</v>
      </c>
      <c r="G4534">
        <v>0.2</v>
      </c>
      <c r="H4534">
        <v>560</v>
      </c>
      <c r="I4534">
        <v>173.88</v>
      </c>
      <c r="J4534" t="s">
        <v>51</v>
      </c>
      <c r="K4534" t="s">
        <v>40</v>
      </c>
      <c r="L4534">
        <v>280</v>
      </c>
      <c r="M4534">
        <v>31.05</v>
      </c>
      <c r="N4534" t="s">
        <v>8</v>
      </c>
      <c r="O4534" t="s">
        <v>259</v>
      </c>
      <c r="P4534" t="s">
        <v>29</v>
      </c>
      <c r="Q4534" t="s">
        <v>42</v>
      </c>
      <c r="R4534" t="s">
        <v>121</v>
      </c>
      <c r="S4534" t="s">
        <v>44</v>
      </c>
      <c r="T4534" t="s">
        <v>1062</v>
      </c>
      <c r="U4534" t="s">
        <v>100</v>
      </c>
      <c r="V4534">
        <v>86.94</v>
      </c>
    </row>
    <row r="4535" spans="1:22" x14ac:dyDescent="0.3">
      <c r="A4535" t="s">
        <v>6017</v>
      </c>
      <c r="B4535" s="2">
        <v>46142</v>
      </c>
      <c r="C4535" t="s">
        <v>1262</v>
      </c>
      <c r="D4535" t="s">
        <v>70</v>
      </c>
      <c r="E4535" t="s">
        <v>165</v>
      </c>
      <c r="F4535">
        <v>1</v>
      </c>
      <c r="G4535">
        <v>0.1</v>
      </c>
      <c r="H4535">
        <v>2250</v>
      </c>
      <c r="I4535">
        <v>628.55999999999995</v>
      </c>
      <c r="J4535" t="s">
        <v>39</v>
      </c>
      <c r="K4535" t="s">
        <v>40</v>
      </c>
      <c r="L4535">
        <v>2250</v>
      </c>
      <c r="M4535">
        <v>27.936</v>
      </c>
      <c r="N4535" t="s">
        <v>8</v>
      </c>
      <c r="O4535" t="s">
        <v>1263</v>
      </c>
      <c r="P4535" t="s">
        <v>83</v>
      </c>
      <c r="Q4535" t="s">
        <v>30</v>
      </c>
      <c r="R4535" t="s">
        <v>53</v>
      </c>
      <c r="S4535" t="s">
        <v>54</v>
      </c>
      <c r="T4535" t="s">
        <v>1264</v>
      </c>
      <c r="U4535" t="s">
        <v>46</v>
      </c>
      <c r="V4535">
        <v>628.55999999999995</v>
      </c>
    </row>
    <row r="4536" spans="1:22" x14ac:dyDescent="0.3">
      <c r="A4536" t="s">
        <v>6018</v>
      </c>
      <c r="B4536" s="2">
        <v>46031</v>
      </c>
      <c r="C4536" t="s">
        <v>522</v>
      </c>
      <c r="D4536" t="s">
        <v>37</v>
      </c>
      <c r="E4536" t="s">
        <v>310</v>
      </c>
      <c r="F4536">
        <v>1</v>
      </c>
      <c r="G4536">
        <v>0</v>
      </c>
      <c r="H4536">
        <v>2200</v>
      </c>
      <c r="I4536">
        <v>750</v>
      </c>
      <c r="J4536" t="s">
        <v>26</v>
      </c>
      <c r="K4536" t="s">
        <v>40</v>
      </c>
      <c r="L4536">
        <v>2200</v>
      </c>
      <c r="M4536">
        <v>34.090909090909093</v>
      </c>
      <c r="N4536" t="s">
        <v>8</v>
      </c>
      <c r="O4536" t="s">
        <v>523</v>
      </c>
      <c r="P4536" t="s">
        <v>73</v>
      </c>
      <c r="Q4536" t="s">
        <v>30</v>
      </c>
      <c r="R4536" t="s">
        <v>98</v>
      </c>
      <c r="S4536" t="s">
        <v>54</v>
      </c>
      <c r="T4536" t="s">
        <v>62</v>
      </c>
      <c r="U4536" t="s">
        <v>46</v>
      </c>
      <c r="V4536">
        <v>750</v>
      </c>
    </row>
    <row r="4537" spans="1:22" x14ac:dyDescent="0.3">
      <c r="A4537" t="s">
        <v>6019</v>
      </c>
      <c r="B4537" s="2">
        <v>46251</v>
      </c>
      <c r="C4537" t="s">
        <v>1830</v>
      </c>
      <c r="D4537" t="s">
        <v>24</v>
      </c>
      <c r="E4537" t="s">
        <v>92</v>
      </c>
      <c r="F4537">
        <v>1</v>
      </c>
      <c r="G4537">
        <v>0</v>
      </c>
      <c r="H4537">
        <v>900</v>
      </c>
      <c r="I4537">
        <v>280</v>
      </c>
      <c r="J4537" t="s">
        <v>39</v>
      </c>
      <c r="K4537" t="s">
        <v>40</v>
      </c>
      <c r="L4537">
        <v>900</v>
      </c>
      <c r="M4537">
        <v>31.111111111111111</v>
      </c>
      <c r="N4537" t="s">
        <v>8</v>
      </c>
      <c r="O4537" t="s">
        <v>1831</v>
      </c>
      <c r="P4537" t="s">
        <v>29</v>
      </c>
      <c r="Q4537" t="s">
        <v>30</v>
      </c>
      <c r="R4537" t="s">
        <v>60</v>
      </c>
      <c r="S4537" t="s">
        <v>61</v>
      </c>
      <c r="T4537" t="s">
        <v>1832</v>
      </c>
      <c r="U4537" t="s">
        <v>34</v>
      </c>
      <c r="V4537">
        <v>280</v>
      </c>
    </row>
    <row r="4538" spans="1:22" x14ac:dyDescent="0.3">
      <c r="A4538" t="s">
        <v>6020</v>
      </c>
      <c r="B4538" s="2">
        <v>46135</v>
      </c>
      <c r="C4538" t="s">
        <v>438</v>
      </c>
      <c r="D4538" t="s">
        <v>37</v>
      </c>
      <c r="E4538" t="s">
        <v>170</v>
      </c>
      <c r="F4538">
        <v>3</v>
      </c>
      <c r="G4538">
        <v>0.05</v>
      </c>
      <c r="H4538">
        <v>3990</v>
      </c>
      <c r="I4538">
        <v>1402.1</v>
      </c>
      <c r="J4538" t="s">
        <v>65</v>
      </c>
      <c r="K4538" t="s">
        <v>40</v>
      </c>
      <c r="L4538">
        <v>1330</v>
      </c>
      <c r="M4538">
        <v>35.140350877192994</v>
      </c>
      <c r="N4538" t="s">
        <v>8</v>
      </c>
      <c r="O4538" t="s">
        <v>439</v>
      </c>
      <c r="P4538" t="s">
        <v>83</v>
      </c>
      <c r="Q4538" t="s">
        <v>30</v>
      </c>
      <c r="R4538" t="s">
        <v>98</v>
      </c>
      <c r="S4538" t="s">
        <v>54</v>
      </c>
      <c r="T4538" t="s">
        <v>440</v>
      </c>
      <c r="U4538" t="s">
        <v>34</v>
      </c>
      <c r="V4538">
        <v>467.36666666666662</v>
      </c>
    </row>
    <row r="4539" spans="1:22" x14ac:dyDescent="0.3">
      <c r="A4539" t="s">
        <v>6021</v>
      </c>
      <c r="B4539" s="2">
        <v>45925</v>
      </c>
      <c r="C4539" t="s">
        <v>1484</v>
      </c>
      <c r="D4539" t="s">
        <v>49</v>
      </c>
      <c r="E4539" t="s">
        <v>58</v>
      </c>
      <c r="F4539">
        <v>1</v>
      </c>
      <c r="G4539">
        <v>0</v>
      </c>
      <c r="H4539">
        <v>15000</v>
      </c>
      <c r="I4539">
        <v>3500</v>
      </c>
      <c r="J4539" t="s">
        <v>26</v>
      </c>
      <c r="K4539" t="s">
        <v>40</v>
      </c>
      <c r="L4539">
        <v>15000</v>
      </c>
      <c r="M4539">
        <v>23.333333333333329</v>
      </c>
      <c r="N4539" t="s">
        <v>8</v>
      </c>
      <c r="O4539" t="s">
        <v>1485</v>
      </c>
      <c r="P4539" t="s">
        <v>83</v>
      </c>
      <c r="Q4539" t="s">
        <v>42</v>
      </c>
      <c r="R4539" t="s">
        <v>214</v>
      </c>
      <c r="S4539" t="s">
        <v>111</v>
      </c>
      <c r="T4539" t="s">
        <v>1029</v>
      </c>
      <c r="U4539" t="s">
        <v>100</v>
      </c>
      <c r="V4539">
        <v>3500</v>
      </c>
    </row>
    <row r="4540" spans="1:22" x14ac:dyDescent="0.3">
      <c r="A4540" t="s">
        <v>6022</v>
      </c>
      <c r="B4540" s="2">
        <v>46037</v>
      </c>
      <c r="C4540" t="s">
        <v>617</v>
      </c>
      <c r="D4540" t="s">
        <v>70</v>
      </c>
      <c r="E4540" t="s">
        <v>108</v>
      </c>
      <c r="F4540">
        <v>3</v>
      </c>
      <c r="G4540">
        <v>0.15</v>
      </c>
      <c r="H4540">
        <v>11475</v>
      </c>
      <c r="I4540">
        <v>3148.36</v>
      </c>
      <c r="J4540" t="s">
        <v>26</v>
      </c>
      <c r="K4540" t="s">
        <v>40</v>
      </c>
      <c r="L4540">
        <v>3825</v>
      </c>
      <c r="M4540">
        <v>27.436688453159039</v>
      </c>
      <c r="N4540" t="s">
        <v>8</v>
      </c>
      <c r="O4540" t="s">
        <v>618</v>
      </c>
      <c r="P4540" t="s">
        <v>83</v>
      </c>
      <c r="Q4540" t="s">
        <v>30</v>
      </c>
      <c r="R4540" t="s">
        <v>98</v>
      </c>
      <c r="S4540" t="s">
        <v>54</v>
      </c>
      <c r="T4540" t="s">
        <v>619</v>
      </c>
      <c r="U4540" t="s">
        <v>100</v>
      </c>
      <c r="V4540">
        <v>1049.4533333333329</v>
      </c>
    </row>
    <row r="4541" spans="1:22" x14ac:dyDescent="0.3">
      <c r="A4541" t="s">
        <v>6023</v>
      </c>
      <c r="B4541" s="2">
        <v>46156</v>
      </c>
      <c r="C4541" t="s">
        <v>430</v>
      </c>
      <c r="D4541" t="s">
        <v>37</v>
      </c>
      <c r="E4541" t="s">
        <v>38</v>
      </c>
      <c r="F4541">
        <v>2</v>
      </c>
      <c r="G4541">
        <v>0.05</v>
      </c>
      <c r="H4541">
        <v>3420</v>
      </c>
      <c r="I4541">
        <v>1194.81</v>
      </c>
      <c r="J4541" t="s">
        <v>39</v>
      </c>
      <c r="K4541" t="s">
        <v>40</v>
      </c>
      <c r="L4541">
        <v>1710</v>
      </c>
      <c r="M4541">
        <v>34.935964912280703</v>
      </c>
      <c r="N4541" t="s">
        <v>8</v>
      </c>
      <c r="O4541" t="s">
        <v>431</v>
      </c>
      <c r="P4541" t="s">
        <v>29</v>
      </c>
      <c r="Q4541" t="s">
        <v>30</v>
      </c>
      <c r="R4541" t="s">
        <v>53</v>
      </c>
      <c r="S4541" t="s">
        <v>54</v>
      </c>
      <c r="T4541" t="s">
        <v>256</v>
      </c>
      <c r="U4541" t="s">
        <v>46</v>
      </c>
      <c r="V4541">
        <v>597.40499999999997</v>
      </c>
    </row>
    <row r="4542" spans="1:22" x14ac:dyDescent="0.3">
      <c r="A4542" t="s">
        <v>6024</v>
      </c>
      <c r="B4542" s="2">
        <v>45848</v>
      </c>
      <c r="C4542" t="s">
        <v>1865</v>
      </c>
      <c r="D4542" t="s">
        <v>70</v>
      </c>
      <c r="E4542" t="s">
        <v>108</v>
      </c>
      <c r="F4542">
        <v>3</v>
      </c>
      <c r="G4542">
        <v>0.1</v>
      </c>
      <c r="H4542">
        <v>12150</v>
      </c>
      <c r="I4542">
        <v>3452.52</v>
      </c>
      <c r="J4542" t="s">
        <v>26</v>
      </c>
      <c r="K4542" t="s">
        <v>40</v>
      </c>
      <c r="L4542">
        <v>4050</v>
      </c>
      <c r="M4542">
        <v>28.415802469135809</v>
      </c>
      <c r="N4542" t="s">
        <v>8</v>
      </c>
      <c r="O4542" t="s">
        <v>1866</v>
      </c>
      <c r="P4542" t="s">
        <v>29</v>
      </c>
      <c r="Q4542" t="s">
        <v>42</v>
      </c>
      <c r="R4542" t="s">
        <v>214</v>
      </c>
      <c r="S4542" t="s">
        <v>111</v>
      </c>
      <c r="T4542" t="s">
        <v>1867</v>
      </c>
      <c r="U4542" t="s">
        <v>34</v>
      </c>
      <c r="V4542">
        <v>1150.8399999999999</v>
      </c>
    </row>
    <row r="4543" spans="1:22" x14ac:dyDescent="0.3">
      <c r="A4543" t="s">
        <v>6025</v>
      </c>
      <c r="B4543" s="2">
        <v>46121</v>
      </c>
      <c r="C4543" t="s">
        <v>1944</v>
      </c>
      <c r="D4543" t="s">
        <v>37</v>
      </c>
      <c r="E4543" t="s">
        <v>38</v>
      </c>
      <c r="F4543">
        <v>1</v>
      </c>
      <c r="G4543">
        <v>0.05</v>
      </c>
      <c r="H4543">
        <v>1710</v>
      </c>
      <c r="I4543">
        <v>583.84</v>
      </c>
      <c r="J4543" t="s">
        <v>26</v>
      </c>
      <c r="K4543" t="s">
        <v>40</v>
      </c>
      <c r="L4543">
        <v>1710</v>
      </c>
      <c r="M4543">
        <v>34.142690058479538</v>
      </c>
      <c r="N4543" t="s">
        <v>8</v>
      </c>
      <c r="O4543" t="s">
        <v>1945</v>
      </c>
      <c r="P4543" t="s">
        <v>73</v>
      </c>
      <c r="Q4543" t="s">
        <v>131</v>
      </c>
      <c r="R4543" t="s">
        <v>449</v>
      </c>
      <c r="S4543" t="s">
        <v>450</v>
      </c>
      <c r="T4543" t="s">
        <v>1946</v>
      </c>
      <c r="U4543" t="s">
        <v>34</v>
      </c>
      <c r="V4543">
        <v>583.84</v>
      </c>
    </row>
    <row r="4544" spans="1:22" x14ac:dyDescent="0.3">
      <c r="A4544" t="s">
        <v>6026</v>
      </c>
      <c r="B4544" s="2">
        <v>46157</v>
      </c>
      <c r="C4544" t="s">
        <v>1367</v>
      </c>
      <c r="D4544" t="s">
        <v>24</v>
      </c>
      <c r="E4544" t="s">
        <v>242</v>
      </c>
      <c r="F4544">
        <v>2</v>
      </c>
      <c r="G4544">
        <v>0.15</v>
      </c>
      <c r="H4544">
        <v>765</v>
      </c>
      <c r="I4544">
        <v>155.57</v>
      </c>
      <c r="J4544" t="s">
        <v>51</v>
      </c>
      <c r="K4544" t="s">
        <v>40</v>
      </c>
      <c r="L4544">
        <v>382.5</v>
      </c>
      <c r="M4544">
        <v>20.335947712418299</v>
      </c>
      <c r="N4544" t="s">
        <v>8</v>
      </c>
      <c r="O4544" t="s">
        <v>1329</v>
      </c>
      <c r="P4544" t="s">
        <v>29</v>
      </c>
      <c r="Q4544" t="s">
        <v>131</v>
      </c>
      <c r="R4544" t="s">
        <v>132</v>
      </c>
      <c r="S4544" t="s">
        <v>133</v>
      </c>
      <c r="T4544" t="s">
        <v>1368</v>
      </c>
      <c r="U4544" t="s">
        <v>34</v>
      </c>
      <c r="V4544">
        <v>77.784999999999997</v>
      </c>
    </row>
    <row r="4545" spans="1:22" x14ac:dyDescent="0.3">
      <c r="A4545" t="s">
        <v>6027</v>
      </c>
      <c r="B4545" s="2">
        <v>46007</v>
      </c>
      <c r="C4545" t="s">
        <v>933</v>
      </c>
      <c r="D4545" t="s">
        <v>70</v>
      </c>
      <c r="E4545" t="s">
        <v>165</v>
      </c>
      <c r="F4545">
        <v>2</v>
      </c>
      <c r="G4545">
        <v>0.2</v>
      </c>
      <c r="H4545">
        <v>4000</v>
      </c>
      <c r="I4545">
        <v>775.81</v>
      </c>
      <c r="J4545" t="s">
        <v>51</v>
      </c>
      <c r="K4545" t="s">
        <v>40</v>
      </c>
      <c r="L4545">
        <v>2000</v>
      </c>
      <c r="M4545">
        <v>19.395250000000001</v>
      </c>
      <c r="N4545" t="s">
        <v>8</v>
      </c>
      <c r="O4545" t="s">
        <v>233</v>
      </c>
      <c r="P4545" t="s">
        <v>29</v>
      </c>
      <c r="Q4545" t="s">
        <v>30</v>
      </c>
      <c r="R4545" t="s">
        <v>31</v>
      </c>
      <c r="S4545" t="s">
        <v>32</v>
      </c>
      <c r="T4545" t="s">
        <v>934</v>
      </c>
      <c r="U4545" t="s">
        <v>34</v>
      </c>
      <c r="V4545">
        <v>387.90499999999997</v>
      </c>
    </row>
    <row r="4546" spans="1:22" x14ac:dyDescent="0.3">
      <c r="A4546" t="s">
        <v>6028</v>
      </c>
      <c r="B4546" s="2">
        <v>46140</v>
      </c>
      <c r="C4546" t="s">
        <v>2266</v>
      </c>
      <c r="D4546" t="s">
        <v>70</v>
      </c>
      <c r="E4546" t="s">
        <v>71</v>
      </c>
      <c r="F4546">
        <v>4</v>
      </c>
      <c r="G4546">
        <v>0.05</v>
      </c>
      <c r="H4546">
        <v>68400</v>
      </c>
      <c r="I4546">
        <v>-43072.58</v>
      </c>
      <c r="J4546" t="s">
        <v>65</v>
      </c>
      <c r="K4546" t="s">
        <v>434</v>
      </c>
      <c r="L4546">
        <v>17100</v>
      </c>
      <c r="M4546">
        <v>-62.971608187134507</v>
      </c>
      <c r="N4546" t="s">
        <v>81</v>
      </c>
      <c r="O4546" t="s">
        <v>2267</v>
      </c>
      <c r="P4546" t="s">
        <v>29</v>
      </c>
      <c r="Q4546" t="s">
        <v>42</v>
      </c>
      <c r="R4546" t="s">
        <v>121</v>
      </c>
      <c r="S4546" t="s">
        <v>44</v>
      </c>
      <c r="T4546" t="s">
        <v>2268</v>
      </c>
      <c r="U4546" t="s">
        <v>46</v>
      </c>
      <c r="V4546">
        <v>-10768.145</v>
      </c>
    </row>
    <row r="4547" spans="1:22" x14ac:dyDescent="0.3">
      <c r="A4547" t="s">
        <v>6029</v>
      </c>
      <c r="B4547" s="2">
        <v>45925</v>
      </c>
      <c r="C4547" t="s">
        <v>729</v>
      </c>
      <c r="D4547" t="s">
        <v>49</v>
      </c>
      <c r="E4547" t="s">
        <v>79</v>
      </c>
      <c r="F4547">
        <v>3</v>
      </c>
      <c r="G4547">
        <v>0</v>
      </c>
      <c r="H4547">
        <v>33000</v>
      </c>
      <c r="I4547">
        <v>7800</v>
      </c>
      <c r="J4547" t="s">
        <v>39</v>
      </c>
      <c r="K4547" t="s">
        <v>40</v>
      </c>
      <c r="L4547">
        <v>11000</v>
      </c>
      <c r="M4547">
        <v>23.63636363636364</v>
      </c>
      <c r="N4547" t="s">
        <v>8</v>
      </c>
      <c r="O4547" t="s">
        <v>730</v>
      </c>
      <c r="P4547" t="s">
        <v>73</v>
      </c>
      <c r="Q4547" t="s">
        <v>30</v>
      </c>
      <c r="R4547" t="s">
        <v>31</v>
      </c>
      <c r="S4547" t="s">
        <v>32</v>
      </c>
      <c r="T4547" t="s">
        <v>215</v>
      </c>
      <c r="U4547" t="s">
        <v>100</v>
      </c>
      <c r="V4547">
        <v>2600</v>
      </c>
    </row>
    <row r="4548" spans="1:22" x14ac:dyDescent="0.3">
      <c r="A4548" t="s">
        <v>6030</v>
      </c>
      <c r="B4548" s="2">
        <v>46033</v>
      </c>
      <c r="C4548" t="s">
        <v>293</v>
      </c>
      <c r="D4548" t="s">
        <v>70</v>
      </c>
      <c r="E4548" t="s">
        <v>108</v>
      </c>
      <c r="F4548">
        <v>6</v>
      </c>
      <c r="G4548">
        <v>0.15</v>
      </c>
      <c r="H4548">
        <v>22950</v>
      </c>
      <c r="I4548">
        <v>6391.34</v>
      </c>
      <c r="J4548" t="s">
        <v>65</v>
      </c>
      <c r="K4548" t="s">
        <v>27</v>
      </c>
      <c r="L4548">
        <v>3825</v>
      </c>
      <c r="M4548">
        <v>27.848976034858389</v>
      </c>
      <c r="N4548" t="s">
        <v>8</v>
      </c>
      <c r="O4548" t="s">
        <v>294</v>
      </c>
      <c r="P4548" t="s">
        <v>73</v>
      </c>
      <c r="Q4548" t="s">
        <v>74</v>
      </c>
      <c r="R4548" t="s">
        <v>115</v>
      </c>
      <c r="S4548" t="s">
        <v>115</v>
      </c>
      <c r="T4548" t="s">
        <v>295</v>
      </c>
      <c r="U4548" t="s">
        <v>100</v>
      </c>
      <c r="V4548">
        <v>1065.2233333333329</v>
      </c>
    </row>
    <row r="4549" spans="1:22" x14ac:dyDescent="0.3">
      <c r="A4549" t="s">
        <v>6031</v>
      </c>
      <c r="B4549" s="2">
        <v>46112</v>
      </c>
      <c r="C4549" t="s">
        <v>780</v>
      </c>
      <c r="D4549" t="s">
        <v>24</v>
      </c>
      <c r="E4549" t="s">
        <v>242</v>
      </c>
      <c r="F4549">
        <v>3</v>
      </c>
      <c r="G4549">
        <v>0.3</v>
      </c>
      <c r="H4549">
        <v>945</v>
      </c>
      <c r="I4549">
        <v>0.25</v>
      </c>
      <c r="J4549" t="s">
        <v>65</v>
      </c>
      <c r="K4549" t="s">
        <v>40</v>
      </c>
      <c r="L4549">
        <v>315</v>
      </c>
      <c r="M4549">
        <v>2.645502645502646E-2</v>
      </c>
      <c r="N4549" t="s">
        <v>8</v>
      </c>
      <c r="O4549" t="s">
        <v>781</v>
      </c>
      <c r="P4549" t="s">
        <v>73</v>
      </c>
      <c r="Q4549" t="s">
        <v>30</v>
      </c>
      <c r="R4549" t="s">
        <v>31</v>
      </c>
      <c r="S4549" t="s">
        <v>32</v>
      </c>
      <c r="T4549" t="s">
        <v>572</v>
      </c>
      <c r="U4549" t="s">
        <v>100</v>
      </c>
      <c r="V4549">
        <v>8.3333333333333329E-2</v>
      </c>
    </row>
    <row r="4550" spans="1:22" x14ac:dyDescent="0.3">
      <c r="A4550" t="s">
        <v>6032</v>
      </c>
      <c r="B4550" s="2">
        <v>46136</v>
      </c>
      <c r="C4550" t="s">
        <v>1181</v>
      </c>
      <c r="D4550" t="s">
        <v>49</v>
      </c>
      <c r="E4550" t="s">
        <v>50</v>
      </c>
      <c r="F4550">
        <v>6</v>
      </c>
      <c r="G4550">
        <v>0.1</v>
      </c>
      <c r="H4550">
        <v>70200</v>
      </c>
      <c r="I4550">
        <v>13568.88</v>
      </c>
      <c r="J4550" t="s">
        <v>26</v>
      </c>
      <c r="K4550" t="s">
        <v>40</v>
      </c>
      <c r="L4550">
        <v>11700</v>
      </c>
      <c r="M4550">
        <v>19.328888888888891</v>
      </c>
      <c r="N4550" t="s">
        <v>8</v>
      </c>
      <c r="O4550" t="s">
        <v>1182</v>
      </c>
      <c r="P4550" t="s">
        <v>29</v>
      </c>
      <c r="Q4550" t="s">
        <v>30</v>
      </c>
      <c r="R4550" t="s">
        <v>31</v>
      </c>
      <c r="S4550" t="s">
        <v>32</v>
      </c>
      <c r="T4550" t="s">
        <v>206</v>
      </c>
      <c r="U4550" t="s">
        <v>46</v>
      </c>
      <c r="V4550">
        <v>2261.48</v>
      </c>
    </row>
    <row r="4551" spans="1:22" x14ac:dyDescent="0.3">
      <c r="A4551" t="s">
        <v>6033</v>
      </c>
      <c r="B4551" s="2">
        <v>46137</v>
      </c>
      <c r="C4551" t="s">
        <v>3640</v>
      </c>
      <c r="D4551" t="s">
        <v>49</v>
      </c>
      <c r="E4551" t="s">
        <v>79</v>
      </c>
      <c r="F4551">
        <v>1</v>
      </c>
      <c r="G4551">
        <v>0.1</v>
      </c>
      <c r="H4551">
        <v>9900</v>
      </c>
      <c r="I4551">
        <v>1961.6</v>
      </c>
      <c r="J4551" t="s">
        <v>51</v>
      </c>
      <c r="K4551" t="s">
        <v>40</v>
      </c>
      <c r="L4551">
        <v>9900</v>
      </c>
      <c r="M4551">
        <v>19.81414141414141</v>
      </c>
      <c r="N4551" t="s">
        <v>8</v>
      </c>
      <c r="O4551" t="s">
        <v>692</v>
      </c>
      <c r="P4551" t="s">
        <v>73</v>
      </c>
      <c r="Q4551" t="s">
        <v>42</v>
      </c>
      <c r="R4551" t="s">
        <v>214</v>
      </c>
      <c r="S4551" t="s">
        <v>111</v>
      </c>
      <c r="T4551" t="s">
        <v>62</v>
      </c>
      <c r="U4551" t="s">
        <v>46</v>
      </c>
      <c r="V4551">
        <v>1961.6</v>
      </c>
    </row>
    <row r="4552" spans="1:22" x14ac:dyDescent="0.3">
      <c r="A4552" t="s">
        <v>6034</v>
      </c>
      <c r="B4552" s="2">
        <v>45995</v>
      </c>
      <c r="C4552" t="s">
        <v>863</v>
      </c>
      <c r="D4552" t="s">
        <v>49</v>
      </c>
      <c r="E4552" t="s">
        <v>58</v>
      </c>
      <c r="F4552">
        <v>5</v>
      </c>
      <c r="G4552">
        <v>0.1</v>
      </c>
      <c r="H4552">
        <v>67500</v>
      </c>
      <c r="I4552">
        <v>11323.88</v>
      </c>
      <c r="J4552" t="s">
        <v>51</v>
      </c>
      <c r="K4552" t="s">
        <v>27</v>
      </c>
      <c r="L4552">
        <v>13500</v>
      </c>
      <c r="M4552">
        <v>16.776118518518519</v>
      </c>
      <c r="N4552" t="s">
        <v>8</v>
      </c>
      <c r="O4552" t="s">
        <v>187</v>
      </c>
      <c r="P4552" t="s">
        <v>73</v>
      </c>
      <c r="Q4552" t="s">
        <v>30</v>
      </c>
      <c r="R4552" t="s">
        <v>53</v>
      </c>
      <c r="S4552" t="s">
        <v>54</v>
      </c>
      <c r="T4552" t="s">
        <v>864</v>
      </c>
      <c r="U4552" t="s">
        <v>34</v>
      </c>
      <c r="V4552">
        <v>2264.7759999999998</v>
      </c>
    </row>
    <row r="4553" spans="1:22" x14ac:dyDescent="0.3">
      <c r="A4553" t="s">
        <v>6035</v>
      </c>
      <c r="B4553" s="2">
        <v>46095</v>
      </c>
      <c r="C4553" t="s">
        <v>1806</v>
      </c>
      <c r="D4553" t="s">
        <v>70</v>
      </c>
      <c r="E4553" t="s">
        <v>165</v>
      </c>
      <c r="F4553">
        <v>5</v>
      </c>
      <c r="G4553">
        <v>0.1</v>
      </c>
      <c r="H4553">
        <v>11250</v>
      </c>
      <c r="I4553">
        <v>3288.97</v>
      </c>
      <c r="J4553" t="s">
        <v>26</v>
      </c>
      <c r="K4553" t="s">
        <v>40</v>
      </c>
      <c r="L4553">
        <v>2250</v>
      </c>
      <c r="M4553">
        <v>29.235288888888888</v>
      </c>
      <c r="N4553" t="s">
        <v>8</v>
      </c>
      <c r="O4553" t="s">
        <v>1033</v>
      </c>
      <c r="P4553" t="s">
        <v>73</v>
      </c>
      <c r="Q4553" t="s">
        <v>42</v>
      </c>
      <c r="R4553" t="s">
        <v>110</v>
      </c>
      <c r="S4553" t="s">
        <v>111</v>
      </c>
      <c r="T4553" t="s">
        <v>759</v>
      </c>
      <c r="U4553" t="s">
        <v>34</v>
      </c>
      <c r="V4553">
        <v>657.79399999999998</v>
      </c>
    </row>
    <row r="4554" spans="1:22" x14ac:dyDescent="0.3">
      <c r="A4554" t="s">
        <v>6036</v>
      </c>
      <c r="B4554" s="2">
        <v>46011</v>
      </c>
      <c r="C4554" t="s">
        <v>776</v>
      </c>
      <c r="D4554" t="s">
        <v>49</v>
      </c>
      <c r="E4554" t="s">
        <v>58</v>
      </c>
      <c r="F4554">
        <v>5</v>
      </c>
      <c r="G4554">
        <v>0.1</v>
      </c>
      <c r="H4554">
        <v>67500</v>
      </c>
      <c r="I4554">
        <v>12490.35</v>
      </c>
      <c r="J4554" t="s">
        <v>39</v>
      </c>
      <c r="K4554" t="s">
        <v>40</v>
      </c>
      <c r="L4554">
        <v>13500</v>
      </c>
      <c r="M4554">
        <v>18.504222222222221</v>
      </c>
      <c r="N4554" t="s">
        <v>8</v>
      </c>
      <c r="O4554" t="s">
        <v>777</v>
      </c>
      <c r="P4554" t="s">
        <v>29</v>
      </c>
      <c r="Q4554" t="s">
        <v>74</v>
      </c>
      <c r="R4554" t="s">
        <v>493</v>
      </c>
      <c r="S4554" t="s">
        <v>494</v>
      </c>
      <c r="T4554" t="s">
        <v>778</v>
      </c>
      <c r="U4554" t="s">
        <v>100</v>
      </c>
      <c r="V4554">
        <v>2498.0700000000002</v>
      </c>
    </row>
    <row r="4555" spans="1:22" x14ac:dyDescent="0.3">
      <c r="A4555" t="s">
        <v>6037</v>
      </c>
      <c r="B4555" s="2">
        <v>46234</v>
      </c>
      <c r="C4555" t="s">
        <v>1676</v>
      </c>
      <c r="D4555" t="s">
        <v>70</v>
      </c>
      <c r="E4555" t="s">
        <v>71</v>
      </c>
      <c r="F4555">
        <v>1</v>
      </c>
      <c r="G4555">
        <v>0.05</v>
      </c>
      <c r="H4555">
        <v>17100</v>
      </c>
      <c r="I4555">
        <v>-1932.32</v>
      </c>
      <c r="J4555" t="s">
        <v>51</v>
      </c>
      <c r="K4555" t="s">
        <v>434</v>
      </c>
      <c r="L4555">
        <v>17100</v>
      </c>
      <c r="M4555">
        <v>-11.300116959064329</v>
      </c>
      <c r="N4555" t="s">
        <v>81</v>
      </c>
      <c r="O4555" t="s">
        <v>1649</v>
      </c>
      <c r="P4555" t="s">
        <v>73</v>
      </c>
      <c r="Q4555" t="s">
        <v>30</v>
      </c>
      <c r="R4555" t="s">
        <v>31</v>
      </c>
      <c r="S4555" t="s">
        <v>32</v>
      </c>
      <c r="T4555" t="s">
        <v>1677</v>
      </c>
      <c r="U4555" t="s">
        <v>46</v>
      </c>
      <c r="V4555">
        <v>-1932.32</v>
      </c>
    </row>
    <row r="4556" spans="1:22" x14ac:dyDescent="0.3">
      <c r="A4556" t="s">
        <v>6038</v>
      </c>
      <c r="B4556" s="2">
        <v>45850</v>
      </c>
      <c r="C4556" t="s">
        <v>1091</v>
      </c>
      <c r="D4556" t="s">
        <v>24</v>
      </c>
      <c r="E4556" t="s">
        <v>25</v>
      </c>
      <c r="F4556">
        <v>1</v>
      </c>
      <c r="G4556">
        <v>0</v>
      </c>
      <c r="H4556">
        <v>14000</v>
      </c>
      <c r="I4556">
        <v>2800</v>
      </c>
      <c r="J4556" t="s">
        <v>39</v>
      </c>
      <c r="K4556" t="s">
        <v>40</v>
      </c>
      <c r="L4556">
        <v>14000</v>
      </c>
      <c r="M4556">
        <v>20</v>
      </c>
      <c r="N4556" t="s">
        <v>8</v>
      </c>
      <c r="O4556" t="s">
        <v>1018</v>
      </c>
      <c r="P4556" t="s">
        <v>83</v>
      </c>
      <c r="Q4556" t="s">
        <v>30</v>
      </c>
      <c r="R4556" t="s">
        <v>31</v>
      </c>
      <c r="S4556" t="s">
        <v>32</v>
      </c>
      <c r="T4556" t="s">
        <v>1092</v>
      </c>
      <c r="U4556" t="s">
        <v>105</v>
      </c>
      <c r="V4556">
        <v>2800</v>
      </c>
    </row>
    <row r="4557" spans="1:22" x14ac:dyDescent="0.3">
      <c r="A4557" t="s">
        <v>6039</v>
      </c>
      <c r="B4557" s="2">
        <v>46019</v>
      </c>
      <c r="C4557" t="s">
        <v>1533</v>
      </c>
      <c r="D4557" t="s">
        <v>70</v>
      </c>
      <c r="E4557" t="s">
        <v>165</v>
      </c>
      <c r="F4557">
        <v>1</v>
      </c>
      <c r="G4557">
        <v>0.05</v>
      </c>
      <c r="H4557">
        <v>2375</v>
      </c>
      <c r="I4557">
        <v>733.8</v>
      </c>
      <c r="J4557" t="s">
        <v>26</v>
      </c>
      <c r="K4557" t="s">
        <v>40</v>
      </c>
      <c r="L4557">
        <v>2375</v>
      </c>
      <c r="M4557">
        <v>30.896842105263151</v>
      </c>
      <c r="N4557" t="s">
        <v>8</v>
      </c>
      <c r="O4557" t="s">
        <v>1534</v>
      </c>
      <c r="P4557" t="s">
        <v>83</v>
      </c>
      <c r="Q4557" t="s">
        <v>42</v>
      </c>
      <c r="R4557" t="s">
        <v>110</v>
      </c>
      <c r="S4557" t="s">
        <v>111</v>
      </c>
      <c r="T4557" t="s">
        <v>503</v>
      </c>
      <c r="U4557" t="s">
        <v>46</v>
      </c>
      <c r="V4557">
        <v>733.8</v>
      </c>
    </row>
    <row r="4558" spans="1:22" x14ac:dyDescent="0.3">
      <c r="A4558" t="s">
        <v>6040</v>
      </c>
      <c r="B4558" s="2">
        <v>45886</v>
      </c>
      <c r="C4558" t="s">
        <v>263</v>
      </c>
      <c r="D4558" t="s">
        <v>24</v>
      </c>
      <c r="E4558" t="s">
        <v>242</v>
      </c>
      <c r="F4558">
        <v>2</v>
      </c>
      <c r="G4558">
        <v>0</v>
      </c>
      <c r="H4558">
        <v>900</v>
      </c>
      <c r="I4558">
        <v>-226.6</v>
      </c>
      <c r="J4558" t="s">
        <v>26</v>
      </c>
      <c r="K4558" t="s">
        <v>434</v>
      </c>
      <c r="L4558">
        <v>450</v>
      </c>
      <c r="M4558">
        <v>-25.177777777777781</v>
      </c>
      <c r="N4558" t="s">
        <v>81</v>
      </c>
      <c r="O4558" t="s">
        <v>265</v>
      </c>
      <c r="P4558" t="s">
        <v>73</v>
      </c>
      <c r="Q4558" t="s">
        <v>30</v>
      </c>
      <c r="R4558" t="s">
        <v>31</v>
      </c>
      <c r="S4558" t="s">
        <v>32</v>
      </c>
      <c r="T4558" t="s">
        <v>266</v>
      </c>
      <c r="U4558" t="s">
        <v>46</v>
      </c>
      <c r="V4558">
        <v>-113.3</v>
      </c>
    </row>
    <row r="4559" spans="1:22" x14ac:dyDescent="0.3">
      <c r="A4559" t="s">
        <v>6041</v>
      </c>
      <c r="B4559" s="2">
        <v>45862</v>
      </c>
      <c r="C4559" t="s">
        <v>1087</v>
      </c>
      <c r="D4559" t="s">
        <v>70</v>
      </c>
      <c r="E4559" t="s">
        <v>129</v>
      </c>
      <c r="F4559">
        <v>1</v>
      </c>
      <c r="G4559">
        <v>0.1</v>
      </c>
      <c r="H4559">
        <v>49500</v>
      </c>
      <c r="I4559">
        <v>6486.2</v>
      </c>
      <c r="J4559" t="s">
        <v>65</v>
      </c>
      <c r="K4559" t="s">
        <v>40</v>
      </c>
      <c r="L4559">
        <v>49500</v>
      </c>
      <c r="M4559">
        <v>13.103434343434341</v>
      </c>
      <c r="N4559" t="s">
        <v>8</v>
      </c>
      <c r="O4559" t="s">
        <v>1088</v>
      </c>
      <c r="P4559" t="s">
        <v>73</v>
      </c>
      <c r="Q4559" t="s">
        <v>131</v>
      </c>
      <c r="R4559" t="s">
        <v>200</v>
      </c>
      <c r="S4559" t="s">
        <v>201</v>
      </c>
      <c r="T4559" t="s">
        <v>1089</v>
      </c>
      <c r="U4559" t="s">
        <v>46</v>
      </c>
      <c r="V4559">
        <v>6486.2</v>
      </c>
    </row>
    <row r="4560" spans="1:22" x14ac:dyDescent="0.3">
      <c r="A4560" t="s">
        <v>6042</v>
      </c>
      <c r="B4560" s="2">
        <v>45979</v>
      </c>
      <c r="C4560" t="s">
        <v>377</v>
      </c>
      <c r="D4560" t="s">
        <v>49</v>
      </c>
      <c r="E4560" t="s">
        <v>119</v>
      </c>
      <c r="F4560">
        <v>5</v>
      </c>
      <c r="G4560">
        <v>0.2</v>
      </c>
      <c r="H4560">
        <v>36000</v>
      </c>
      <c r="I4560">
        <v>6614.13</v>
      </c>
      <c r="J4560" t="s">
        <v>26</v>
      </c>
      <c r="K4560" t="s">
        <v>40</v>
      </c>
      <c r="L4560">
        <v>7200</v>
      </c>
      <c r="M4560">
        <v>18.372583333333331</v>
      </c>
      <c r="N4560" t="s">
        <v>8</v>
      </c>
      <c r="O4560" t="s">
        <v>378</v>
      </c>
      <c r="P4560" t="s">
        <v>29</v>
      </c>
      <c r="Q4560" t="s">
        <v>30</v>
      </c>
      <c r="R4560" t="s">
        <v>31</v>
      </c>
      <c r="S4560" t="s">
        <v>32</v>
      </c>
      <c r="T4560" t="s">
        <v>379</v>
      </c>
      <c r="U4560" t="s">
        <v>34</v>
      </c>
      <c r="V4560">
        <v>1322.826</v>
      </c>
    </row>
    <row r="4561" spans="1:22" x14ac:dyDescent="0.3">
      <c r="A4561" t="s">
        <v>6043</v>
      </c>
      <c r="B4561" s="2">
        <v>46032</v>
      </c>
      <c r="C4561" t="s">
        <v>358</v>
      </c>
      <c r="D4561" t="s">
        <v>70</v>
      </c>
      <c r="E4561" t="s">
        <v>71</v>
      </c>
      <c r="F4561">
        <v>1</v>
      </c>
      <c r="G4561">
        <v>0.1</v>
      </c>
      <c r="H4561">
        <v>16200</v>
      </c>
      <c r="I4561">
        <v>2009.43</v>
      </c>
      <c r="J4561" t="s">
        <v>51</v>
      </c>
      <c r="K4561" t="s">
        <v>27</v>
      </c>
      <c r="L4561">
        <v>16200</v>
      </c>
      <c r="M4561">
        <v>12.40388888888889</v>
      </c>
      <c r="N4561" t="s">
        <v>8</v>
      </c>
      <c r="O4561" t="s">
        <v>359</v>
      </c>
      <c r="P4561" t="s">
        <v>83</v>
      </c>
      <c r="Q4561" t="s">
        <v>42</v>
      </c>
      <c r="R4561" t="s">
        <v>214</v>
      </c>
      <c r="S4561" t="s">
        <v>111</v>
      </c>
      <c r="T4561" t="s">
        <v>256</v>
      </c>
      <c r="U4561" t="s">
        <v>46</v>
      </c>
      <c r="V4561">
        <v>2009.43</v>
      </c>
    </row>
    <row r="4562" spans="1:22" x14ac:dyDescent="0.3">
      <c r="A4562" t="s">
        <v>6044</v>
      </c>
      <c r="B4562" s="2">
        <v>45878</v>
      </c>
      <c r="C4562" t="s">
        <v>1140</v>
      </c>
      <c r="D4562" t="s">
        <v>49</v>
      </c>
      <c r="E4562" t="s">
        <v>58</v>
      </c>
      <c r="F4562">
        <v>2</v>
      </c>
      <c r="G4562">
        <v>0.1</v>
      </c>
      <c r="H4562">
        <v>27000</v>
      </c>
      <c r="I4562">
        <v>-3336.49</v>
      </c>
      <c r="J4562" t="s">
        <v>65</v>
      </c>
      <c r="K4562" t="s">
        <v>434</v>
      </c>
      <c r="L4562">
        <v>13500</v>
      </c>
      <c r="M4562">
        <v>-12.35737037037037</v>
      </c>
      <c r="N4562" t="s">
        <v>81</v>
      </c>
      <c r="O4562" t="s">
        <v>1141</v>
      </c>
      <c r="P4562" t="s">
        <v>29</v>
      </c>
      <c r="Q4562" t="s">
        <v>42</v>
      </c>
      <c r="R4562" t="s">
        <v>214</v>
      </c>
      <c r="S4562" t="s">
        <v>111</v>
      </c>
      <c r="T4562" t="s">
        <v>471</v>
      </c>
      <c r="U4562" t="s">
        <v>105</v>
      </c>
      <c r="V4562">
        <v>-1668.2449999999999</v>
      </c>
    </row>
    <row r="4563" spans="1:22" x14ac:dyDescent="0.3">
      <c r="A4563" t="s">
        <v>6045</v>
      </c>
      <c r="B4563" s="2">
        <v>46078</v>
      </c>
      <c r="C4563" t="s">
        <v>301</v>
      </c>
      <c r="D4563" t="s">
        <v>24</v>
      </c>
      <c r="E4563" t="s">
        <v>242</v>
      </c>
      <c r="F4563">
        <v>2</v>
      </c>
      <c r="G4563">
        <v>0.2</v>
      </c>
      <c r="H4563">
        <v>720</v>
      </c>
      <c r="I4563">
        <v>138.02000000000001</v>
      </c>
      <c r="J4563" t="s">
        <v>65</v>
      </c>
      <c r="K4563" t="s">
        <v>40</v>
      </c>
      <c r="L4563">
        <v>360</v>
      </c>
      <c r="M4563">
        <v>19.169444444444441</v>
      </c>
      <c r="N4563" t="s">
        <v>8</v>
      </c>
      <c r="O4563" t="s">
        <v>302</v>
      </c>
      <c r="P4563" t="s">
        <v>29</v>
      </c>
      <c r="Q4563" t="s">
        <v>42</v>
      </c>
      <c r="R4563" t="s">
        <v>110</v>
      </c>
      <c r="S4563" t="s">
        <v>111</v>
      </c>
      <c r="T4563" t="s">
        <v>303</v>
      </c>
      <c r="U4563" t="s">
        <v>46</v>
      </c>
      <c r="V4563">
        <v>69.010000000000005</v>
      </c>
    </row>
    <row r="4564" spans="1:22" x14ac:dyDescent="0.3">
      <c r="A4564" t="s">
        <v>6046</v>
      </c>
      <c r="B4564" s="2">
        <v>46170</v>
      </c>
      <c r="C4564" t="s">
        <v>1391</v>
      </c>
      <c r="D4564" t="s">
        <v>24</v>
      </c>
      <c r="E4564" t="s">
        <v>87</v>
      </c>
      <c r="F4564">
        <v>2</v>
      </c>
      <c r="G4564">
        <v>0.1</v>
      </c>
      <c r="H4564">
        <v>630</v>
      </c>
      <c r="I4564">
        <v>191.87</v>
      </c>
      <c r="J4564" t="s">
        <v>51</v>
      </c>
      <c r="K4564" t="s">
        <v>40</v>
      </c>
      <c r="L4564">
        <v>315</v>
      </c>
      <c r="M4564">
        <v>30.455555555555559</v>
      </c>
      <c r="N4564" t="s">
        <v>8</v>
      </c>
      <c r="O4564" t="s">
        <v>844</v>
      </c>
      <c r="P4564" t="s">
        <v>29</v>
      </c>
      <c r="Q4564" t="s">
        <v>30</v>
      </c>
      <c r="R4564" t="s">
        <v>60</v>
      </c>
      <c r="S4564" t="s">
        <v>61</v>
      </c>
      <c r="T4564" t="s">
        <v>1392</v>
      </c>
      <c r="U4564" t="s">
        <v>34</v>
      </c>
      <c r="V4564">
        <v>95.935000000000002</v>
      </c>
    </row>
    <row r="4565" spans="1:22" x14ac:dyDescent="0.3">
      <c r="A4565" t="s">
        <v>6047</v>
      </c>
      <c r="B4565" s="2">
        <v>46250</v>
      </c>
      <c r="C4565" t="s">
        <v>522</v>
      </c>
      <c r="D4565" t="s">
        <v>24</v>
      </c>
      <c r="E4565" t="s">
        <v>25</v>
      </c>
      <c r="F4565">
        <v>2</v>
      </c>
      <c r="G4565">
        <v>0.2</v>
      </c>
      <c r="H4565">
        <v>22400</v>
      </c>
      <c r="I4565">
        <v>1681.21</v>
      </c>
      <c r="J4565" t="s">
        <v>26</v>
      </c>
      <c r="K4565" t="s">
        <v>27</v>
      </c>
      <c r="L4565">
        <v>11200</v>
      </c>
      <c r="M4565">
        <v>7.5054017857142856</v>
      </c>
      <c r="N4565" t="s">
        <v>8</v>
      </c>
      <c r="O4565" t="s">
        <v>523</v>
      </c>
      <c r="P4565" t="s">
        <v>73</v>
      </c>
      <c r="Q4565" t="s">
        <v>30</v>
      </c>
      <c r="R4565" t="s">
        <v>98</v>
      </c>
      <c r="S4565" t="s">
        <v>54</v>
      </c>
      <c r="T4565" t="s">
        <v>62</v>
      </c>
      <c r="U4565" t="s">
        <v>46</v>
      </c>
      <c r="V4565">
        <v>840.60500000000002</v>
      </c>
    </row>
    <row r="4566" spans="1:22" x14ac:dyDescent="0.3">
      <c r="A4566" t="s">
        <v>6048</v>
      </c>
      <c r="B4566" s="2">
        <v>46251</v>
      </c>
      <c r="C4566" t="s">
        <v>1403</v>
      </c>
      <c r="D4566" t="s">
        <v>49</v>
      </c>
      <c r="E4566" t="s">
        <v>79</v>
      </c>
      <c r="F4566">
        <v>2</v>
      </c>
      <c r="G4566">
        <v>0</v>
      </c>
      <c r="H4566">
        <v>22000</v>
      </c>
      <c r="I4566">
        <v>5200</v>
      </c>
      <c r="J4566" t="s">
        <v>51</v>
      </c>
      <c r="K4566" t="s">
        <v>27</v>
      </c>
      <c r="L4566">
        <v>11000</v>
      </c>
      <c r="M4566">
        <v>23.63636363636364</v>
      </c>
      <c r="N4566" t="s">
        <v>8</v>
      </c>
      <c r="O4566" t="s">
        <v>723</v>
      </c>
      <c r="P4566" t="s">
        <v>73</v>
      </c>
      <c r="Q4566" t="s">
        <v>42</v>
      </c>
      <c r="R4566" t="s">
        <v>43</v>
      </c>
      <c r="S4566" t="s">
        <v>44</v>
      </c>
      <c r="T4566" t="s">
        <v>1404</v>
      </c>
      <c r="U4566" t="s">
        <v>46</v>
      </c>
      <c r="V4566">
        <v>2600</v>
      </c>
    </row>
    <row r="4567" spans="1:22" x14ac:dyDescent="0.3">
      <c r="A4567" t="s">
        <v>6049</v>
      </c>
      <c r="B4567" s="2">
        <v>46026</v>
      </c>
      <c r="C4567" t="s">
        <v>2495</v>
      </c>
      <c r="D4567" t="s">
        <v>70</v>
      </c>
      <c r="E4567" t="s">
        <v>165</v>
      </c>
      <c r="F4567">
        <v>1</v>
      </c>
      <c r="G4567">
        <v>0.1</v>
      </c>
      <c r="H4567">
        <v>2250</v>
      </c>
      <c r="I4567">
        <v>672.35</v>
      </c>
      <c r="J4567" t="s">
        <v>51</v>
      </c>
      <c r="K4567" t="s">
        <v>40</v>
      </c>
      <c r="L4567">
        <v>2250</v>
      </c>
      <c r="M4567">
        <v>29.882222222222222</v>
      </c>
      <c r="N4567" t="s">
        <v>8</v>
      </c>
      <c r="O4567" t="s">
        <v>1831</v>
      </c>
      <c r="P4567" t="s">
        <v>29</v>
      </c>
      <c r="Q4567" t="s">
        <v>74</v>
      </c>
      <c r="R4567" t="s">
        <v>237</v>
      </c>
      <c r="S4567" t="s">
        <v>238</v>
      </c>
      <c r="T4567" t="s">
        <v>2496</v>
      </c>
      <c r="U4567" t="s">
        <v>46</v>
      </c>
      <c r="V4567">
        <v>672.35</v>
      </c>
    </row>
    <row r="4568" spans="1:22" x14ac:dyDescent="0.3">
      <c r="A4568" t="s">
        <v>6050</v>
      </c>
      <c r="B4568" s="2">
        <v>45944</v>
      </c>
      <c r="C4568" t="s">
        <v>1809</v>
      </c>
      <c r="D4568" t="s">
        <v>49</v>
      </c>
      <c r="E4568" t="s">
        <v>50</v>
      </c>
      <c r="F4568">
        <v>1</v>
      </c>
      <c r="G4568">
        <v>0.1</v>
      </c>
      <c r="H4568">
        <v>11700</v>
      </c>
      <c r="I4568">
        <v>2234.64</v>
      </c>
      <c r="J4568" t="s">
        <v>26</v>
      </c>
      <c r="K4568" t="s">
        <v>40</v>
      </c>
      <c r="L4568">
        <v>11700</v>
      </c>
      <c r="M4568">
        <v>19.099487179487181</v>
      </c>
      <c r="N4568" t="s">
        <v>8</v>
      </c>
      <c r="O4568" t="s">
        <v>730</v>
      </c>
      <c r="P4568" t="s">
        <v>29</v>
      </c>
      <c r="Q4568" t="s">
        <v>74</v>
      </c>
      <c r="R4568" t="s">
        <v>115</v>
      </c>
      <c r="S4568" t="s">
        <v>115</v>
      </c>
      <c r="T4568" t="s">
        <v>1203</v>
      </c>
      <c r="U4568" t="s">
        <v>46</v>
      </c>
      <c r="V4568">
        <v>2234.64</v>
      </c>
    </row>
    <row r="4569" spans="1:22" x14ac:dyDescent="0.3">
      <c r="A4569" t="s">
        <v>6051</v>
      </c>
      <c r="B4569" s="2">
        <v>46129</v>
      </c>
      <c r="C4569" t="s">
        <v>1352</v>
      </c>
      <c r="D4569" t="s">
        <v>37</v>
      </c>
      <c r="E4569" t="s">
        <v>170</v>
      </c>
      <c r="F4569">
        <v>2</v>
      </c>
      <c r="G4569">
        <v>0.2</v>
      </c>
      <c r="H4569">
        <v>2240</v>
      </c>
      <c r="I4569">
        <v>556.72</v>
      </c>
      <c r="J4569" t="s">
        <v>26</v>
      </c>
      <c r="K4569" t="s">
        <v>40</v>
      </c>
      <c r="L4569">
        <v>1120</v>
      </c>
      <c r="M4569">
        <v>24.853571428571431</v>
      </c>
      <c r="N4569" t="s">
        <v>8</v>
      </c>
      <c r="O4569" t="s">
        <v>1353</v>
      </c>
      <c r="P4569" t="s">
        <v>29</v>
      </c>
      <c r="Q4569" t="s">
        <v>42</v>
      </c>
      <c r="R4569" t="s">
        <v>214</v>
      </c>
      <c r="S4569" t="s">
        <v>111</v>
      </c>
      <c r="T4569" t="s">
        <v>1354</v>
      </c>
      <c r="U4569" t="s">
        <v>34</v>
      </c>
      <c r="V4569">
        <v>278.36</v>
      </c>
    </row>
    <row r="4570" spans="1:22" x14ac:dyDescent="0.3">
      <c r="A4570" t="s">
        <v>6052</v>
      </c>
      <c r="B4570" s="2">
        <v>46178</v>
      </c>
      <c r="C4570" t="s">
        <v>1193</v>
      </c>
      <c r="D4570" t="s">
        <v>49</v>
      </c>
      <c r="E4570" t="s">
        <v>50</v>
      </c>
      <c r="F4570">
        <v>10</v>
      </c>
      <c r="G4570">
        <v>0.1</v>
      </c>
      <c r="H4570">
        <v>117000</v>
      </c>
      <c r="I4570">
        <v>23796.99</v>
      </c>
      <c r="J4570" t="s">
        <v>51</v>
      </c>
      <c r="K4570" t="s">
        <v>40</v>
      </c>
      <c r="L4570">
        <v>11700</v>
      </c>
      <c r="M4570">
        <v>20.339307692307688</v>
      </c>
      <c r="N4570" t="s">
        <v>8</v>
      </c>
      <c r="O4570" t="s">
        <v>781</v>
      </c>
      <c r="P4570" t="s">
        <v>29</v>
      </c>
      <c r="Q4570" t="s">
        <v>30</v>
      </c>
      <c r="R4570" t="s">
        <v>31</v>
      </c>
      <c r="S4570" t="s">
        <v>32</v>
      </c>
      <c r="T4570" t="s">
        <v>1194</v>
      </c>
      <c r="U4570" t="s">
        <v>46</v>
      </c>
      <c r="V4570">
        <v>2379.6990000000001</v>
      </c>
    </row>
    <row r="4571" spans="1:22" x14ac:dyDescent="0.3">
      <c r="A4571" t="s">
        <v>6053</v>
      </c>
      <c r="B4571" s="2">
        <v>46138</v>
      </c>
      <c r="C4571" t="s">
        <v>700</v>
      </c>
      <c r="D4571" t="s">
        <v>24</v>
      </c>
      <c r="E4571" t="s">
        <v>92</v>
      </c>
      <c r="F4571">
        <v>1</v>
      </c>
      <c r="G4571">
        <v>0.05</v>
      </c>
      <c r="H4571">
        <v>855</v>
      </c>
      <c r="I4571">
        <v>254.39</v>
      </c>
      <c r="J4571" t="s">
        <v>26</v>
      </c>
      <c r="K4571" t="s">
        <v>40</v>
      </c>
      <c r="L4571">
        <v>855</v>
      </c>
      <c r="M4571">
        <v>29.753216374269009</v>
      </c>
      <c r="N4571" t="s">
        <v>8</v>
      </c>
      <c r="O4571" t="s">
        <v>701</v>
      </c>
      <c r="P4571" t="s">
        <v>29</v>
      </c>
      <c r="Q4571" t="s">
        <v>30</v>
      </c>
      <c r="R4571" t="s">
        <v>60</v>
      </c>
      <c r="S4571" t="s">
        <v>61</v>
      </c>
      <c r="T4571" t="s">
        <v>702</v>
      </c>
      <c r="U4571" t="s">
        <v>34</v>
      </c>
      <c r="V4571">
        <v>254.39</v>
      </c>
    </row>
    <row r="4572" spans="1:22" x14ac:dyDescent="0.3">
      <c r="A4572" t="s">
        <v>6054</v>
      </c>
      <c r="B4572" s="2">
        <v>46039</v>
      </c>
      <c r="C4572" t="s">
        <v>2681</v>
      </c>
      <c r="D4572" t="s">
        <v>70</v>
      </c>
      <c r="E4572" t="s">
        <v>108</v>
      </c>
      <c r="F4572">
        <v>1</v>
      </c>
      <c r="G4572">
        <v>0</v>
      </c>
      <c r="H4572">
        <v>4500</v>
      </c>
      <c r="I4572">
        <v>1500</v>
      </c>
      <c r="J4572" t="s">
        <v>39</v>
      </c>
      <c r="K4572" t="s">
        <v>40</v>
      </c>
      <c r="L4572">
        <v>4500</v>
      </c>
      <c r="M4572">
        <v>33.333333333333329</v>
      </c>
      <c r="N4572" t="s">
        <v>8</v>
      </c>
      <c r="O4572" t="s">
        <v>2636</v>
      </c>
      <c r="P4572" t="s">
        <v>73</v>
      </c>
      <c r="Q4572" t="s">
        <v>74</v>
      </c>
      <c r="R4572" t="s">
        <v>75</v>
      </c>
      <c r="S4572" t="s">
        <v>75</v>
      </c>
      <c r="T4572" t="s">
        <v>2682</v>
      </c>
      <c r="U4572" t="s">
        <v>34</v>
      </c>
      <c r="V4572">
        <v>1500</v>
      </c>
    </row>
    <row r="4573" spans="1:22" x14ac:dyDescent="0.3">
      <c r="A4573" t="s">
        <v>6055</v>
      </c>
      <c r="B4573" s="2">
        <v>46129</v>
      </c>
      <c r="C4573" t="s">
        <v>1433</v>
      </c>
      <c r="D4573" t="s">
        <v>49</v>
      </c>
      <c r="E4573" t="s">
        <v>58</v>
      </c>
      <c r="F4573">
        <v>2</v>
      </c>
      <c r="G4573">
        <v>0.15</v>
      </c>
      <c r="H4573">
        <v>25500</v>
      </c>
      <c r="I4573">
        <v>3555.75</v>
      </c>
      <c r="J4573" t="s">
        <v>26</v>
      </c>
      <c r="K4573" t="s">
        <v>40</v>
      </c>
      <c r="L4573">
        <v>12750</v>
      </c>
      <c r="M4573">
        <v>13.944117647058819</v>
      </c>
      <c r="N4573" t="s">
        <v>8</v>
      </c>
      <c r="O4573" t="s">
        <v>318</v>
      </c>
      <c r="P4573" t="s">
        <v>73</v>
      </c>
      <c r="Q4573" t="s">
        <v>30</v>
      </c>
      <c r="R4573" t="s">
        <v>53</v>
      </c>
      <c r="S4573" t="s">
        <v>54</v>
      </c>
      <c r="T4573" t="s">
        <v>1434</v>
      </c>
      <c r="U4573" t="s">
        <v>34</v>
      </c>
      <c r="V4573">
        <v>1777.875</v>
      </c>
    </row>
    <row r="4574" spans="1:22" x14ac:dyDescent="0.3">
      <c r="A4574" t="s">
        <v>6056</v>
      </c>
      <c r="B4574" s="2">
        <v>45881</v>
      </c>
      <c r="C4574" t="s">
        <v>381</v>
      </c>
      <c r="D4574" t="s">
        <v>70</v>
      </c>
      <c r="E4574" t="s">
        <v>71</v>
      </c>
      <c r="F4574">
        <v>2</v>
      </c>
      <c r="G4574">
        <v>0.1</v>
      </c>
      <c r="H4574">
        <v>32400</v>
      </c>
      <c r="I4574">
        <v>-11289.39</v>
      </c>
      <c r="J4574" t="s">
        <v>26</v>
      </c>
      <c r="K4574" t="s">
        <v>80</v>
      </c>
      <c r="L4574">
        <v>16200</v>
      </c>
      <c r="M4574">
        <v>-34.84379629629629</v>
      </c>
      <c r="N4574" t="s">
        <v>81</v>
      </c>
      <c r="O4574" t="s">
        <v>382</v>
      </c>
      <c r="P4574" t="s">
        <v>73</v>
      </c>
      <c r="Q4574" t="s">
        <v>30</v>
      </c>
      <c r="R4574" t="s">
        <v>98</v>
      </c>
      <c r="S4574" t="s">
        <v>54</v>
      </c>
      <c r="T4574" t="s">
        <v>383</v>
      </c>
      <c r="U4574" t="s">
        <v>100</v>
      </c>
      <c r="V4574">
        <v>-5644.6949999999997</v>
      </c>
    </row>
    <row r="4575" spans="1:22" x14ac:dyDescent="0.3">
      <c r="A4575" t="s">
        <v>6057</v>
      </c>
      <c r="B4575" s="2">
        <v>46217</v>
      </c>
      <c r="C4575" t="s">
        <v>232</v>
      </c>
      <c r="D4575" t="s">
        <v>70</v>
      </c>
      <c r="E4575" t="s">
        <v>165</v>
      </c>
      <c r="F4575">
        <v>3</v>
      </c>
      <c r="G4575">
        <v>0.15</v>
      </c>
      <c r="H4575">
        <v>6375</v>
      </c>
      <c r="I4575">
        <v>1767.38</v>
      </c>
      <c r="J4575" t="s">
        <v>51</v>
      </c>
      <c r="K4575" t="s">
        <v>40</v>
      </c>
      <c r="L4575">
        <v>2125</v>
      </c>
      <c r="M4575">
        <v>27.723607843137259</v>
      </c>
      <c r="N4575" t="s">
        <v>8</v>
      </c>
      <c r="O4575" t="s">
        <v>233</v>
      </c>
      <c r="P4575" t="s">
        <v>29</v>
      </c>
      <c r="Q4575" t="s">
        <v>131</v>
      </c>
      <c r="R4575" t="s">
        <v>132</v>
      </c>
      <c r="S4575" t="s">
        <v>133</v>
      </c>
      <c r="T4575" t="s">
        <v>234</v>
      </c>
      <c r="U4575" t="s">
        <v>34</v>
      </c>
      <c r="V4575">
        <v>589.12666666666667</v>
      </c>
    </row>
    <row r="4576" spans="1:22" x14ac:dyDescent="0.3">
      <c r="A4576" t="s">
        <v>6058</v>
      </c>
      <c r="B4576" s="2">
        <v>45843</v>
      </c>
      <c r="C4576" t="s">
        <v>3930</v>
      </c>
      <c r="D4576" t="s">
        <v>37</v>
      </c>
      <c r="E4576" t="s">
        <v>38</v>
      </c>
      <c r="F4576">
        <v>4</v>
      </c>
      <c r="G4576">
        <v>0.1</v>
      </c>
      <c r="H4576">
        <v>6480</v>
      </c>
      <c r="I4576">
        <v>2049.3000000000002</v>
      </c>
      <c r="J4576" t="s">
        <v>39</v>
      </c>
      <c r="K4576" t="s">
        <v>40</v>
      </c>
      <c r="L4576">
        <v>1620</v>
      </c>
      <c r="M4576">
        <v>31.625</v>
      </c>
      <c r="N4576" t="s">
        <v>8</v>
      </c>
      <c r="O4576" t="s">
        <v>3931</v>
      </c>
      <c r="P4576" t="s">
        <v>29</v>
      </c>
      <c r="Q4576" t="s">
        <v>74</v>
      </c>
      <c r="R4576" t="s">
        <v>115</v>
      </c>
      <c r="S4576" t="s">
        <v>115</v>
      </c>
      <c r="T4576" t="s">
        <v>3932</v>
      </c>
      <c r="U4576" t="s">
        <v>100</v>
      </c>
      <c r="V4576">
        <v>512.32500000000005</v>
      </c>
    </row>
    <row r="4577" spans="1:22" x14ac:dyDescent="0.3">
      <c r="A4577" t="s">
        <v>6059</v>
      </c>
      <c r="B4577" s="2">
        <v>45964</v>
      </c>
      <c r="C4577" t="s">
        <v>283</v>
      </c>
      <c r="D4577" t="s">
        <v>24</v>
      </c>
      <c r="E4577" t="s">
        <v>25</v>
      </c>
      <c r="F4577">
        <v>2</v>
      </c>
      <c r="G4577">
        <v>0</v>
      </c>
      <c r="H4577">
        <v>28000</v>
      </c>
      <c r="I4577">
        <v>5600</v>
      </c>
      <c r="J4577" t="s">
        <v>51</v>
      </c>
      <c r="K4577" t="s">
        <v>40</v>
      </c>
      <c r="L4577">
        <v>14000</v>
      </c>
      <c r="M4577">
        <v>20</v>
      </c>
      <c r="N4577" t="s">
        <v>8</v>
      </c>
      <c r="O4577" t="s">
        <v>284</v>
      </c>
      <c r="P4577" t="s">
        <v>29</v>
      </c>
      <c r="Q4577" t="s">
        <v>30</v>
      </c>
      <c r="R4577" t="s">
        <v>53</v>
      </c>
      <c r="S4577" t="s">
        <v>54</v>
      </c>
      <c r="T4577" t="s">
        <v>285</v>
      </c>
      <c r="U4577" t="s">
        <v>34</v>
      </c>
      <c r="V4577">
        <v>2800</v>
      </c>
    </row>
    <row r="4578" spans="1:22" x14ac:dyDescent="0.3">
      <c r="A4578" t="s">
        <v>6060</v>
      </c>
      <c r="B4578" s="2">
        <v>45954</v>
      </c>
      <c r="C4578" t="s">
        <v>169</v>
      </c>
      <c r="D4578" t="s">
        <v>37</v>
      </c>
      <c r="E4578" t="s">
        <v>190</v>
      </c>
      <c r="F4578">
        <v>1</v>
      </c>
      <c r="G4578">
        <v>0</v>
      </c>
      <c r="H4578">
        <v>4200</v>
      </c>
      <c r="I4578">
        <v>1200</v>
      </c>
      <c r="J4578" t="s">
        <v>65</v>
      </c>
      <c r="K4578" t="s">
        <v>40</v>
      </c>
      <c r="L4578">
        <v>4200</v>
      </c>
      <c r="M4578">
        <v>28.571428571428569</v>
      </c>
      <c r="N4578" t="s">
        <v>8</v>
      </c>
      <c r="O4578" t="s">
        <v>171</v>
      </c>
      <c r="P4578" t="s">
        <v>29</v>
      </c>
      <c r="Q4578" t="s">
        <v>42</v>
      </c>
      <c r="R4578" t="s">
        <v>121</v>
      </c>
      <c r="S4578" t="s">
        <v>44</v>
      </c>
      <c r="T4578" t="s">
        <v>172</v>
      </c>
      <c r="U4578" t="s">
        <v>46</v>
      </c>
      <c r="V4578">
        <v>1200</v>
      </c>
    </row>
    <row r="4579" spans="1:22" x14ac:dyDescent="0.3">
      <c r="A4579" t="s">
        <v>6061</v>
      </c>
      <c r="B4579" s="2">
        <v>45986</v>
      </c>
      <c r="C4579" t="s">
        <v>268</v>
      </c>
      <c r="D4579" t="s">
        <v>37</v>
      </c>
      <c r="E4579" t="s">
        <v>170</v>
      </c>
      <c r="F4579">
        <v>4</v>
      </c>
      <c r="G4579">
        <v>0.1</v>
      </c>
      <c r="H4579">
        <v>5040</v>
      </c>
      <c r="I4579">
        <v>1619.94</v>
      </c>
      <c r="J4579" t="s">
        <v>65</v>
      </c>
      <c r="K4579" t="s">
        <v>27</v>
      </c>
      <c r="L4579">
        <v>1260</v>
      </c>
      <c r="M4579">
        <v>32.141666666666673</v>
      </c>
      <c r="N4579" t="s">
        <v>8</v>
      </c>
      <c r="O4579" t="s">
        <v>269</v>
      </c>
      <c r="P4579" t="s">
        <v>29</v>
      </c>
      <c r="Q4579" t="s">
        <v>30</v>
      </c>
      <c r="R4579" t="s">
        <v>31</v>
      </c>
      <c r="S4579" t="s">
        <v>32</v>
      </c>
      <c r="T4579" t="s">
        <v>270</v>
      </c>
      <c r="U4579" t="s">
        <v>34</v>
      </c>
      <c r="V4579">
        <v>404.98500000000001</v>
      </c>
    </row>
    <row r="4580" spans="1:22" x14ac:dyDescent="0.3">
      <c r="A4580" t="s">
        <v>6062</v>
      </c>
      <c r="B4580" s="2">
        <v>46038</v>
      </c>
      <c r="C4580" t="s">
        <v>2756</v>
      </c>
      <c r="D4580" t="s">
        <v>37</v>
      </c>
      <c r="E4580" t="s">
        <v>190</v>
      </c>
      <c r="F4580">
        <v>1</v>
      </c>
      <c r="G4580">
        <v>0</v>
      </c>
      <c r="H4580">
        <v>4200</v>
      </c>
      <c r="I4580">
        <v>1200</v>
      </c>
      <c r="J4580" t="s">
        <v>65</v>
      </c>
      <c r="K4580" t="s">
        <v>40</v>
      </c>
      <c r="L4580">
        <v>4200</v>
      </c>
      <c r="M4580">
        <v>28.571428571428569</v>
      </c>
      <c r="N4580" t="s">
        <v>8</v>
      </c>
      <c r="O4580" t="s">
        <v>213</v>
      </c>
      <c r="P4580" t="s">
        <v>73</v>
      </c>
      <c r="Q4580" t="s">
        <v>42</v>
      </c>
      <c r="R4580" t="s">
        <v>121</v>
      </c>
      <c r="S4580" t="s">
        <v>44</v>
      </c>
      <c r="T4580" t="s">
        <v>2757</v>
      </c>
      <c r="U4580" t="s">
        <v>105</v>
      </c>
      <c r="V4580">
        <v>1200</v>
      </c>
    </row>
    <row r="4581" spans="1:22" x14ac:dyDescent="0.3">
      <c r="A4581" t="s">
        <v>6063</v>
      </c>
      <c r="B4581" s="2">
        <v>45863</v>
      </c>
      <c r="C4581" t="s">
        <v>574</v>
      </c>
      <c r="D4581" t="s">
        <v>49</v>
      </c>
      <c r="E4581" t="s">
        <v>79</v>
      </c>
      <c r="F4581">
        <v>1</v>
      </c>
      <c r="G4581">
        <v>0</v>
      </c>
      <c r="H4581">
        <v>11000</v>
      </c>
      <c r="I4581">
        <v>2600</v>
      </c>
      <c r="J4581" t="s">
        <v>26</v>
      </c>
      <c r="K4581" t="s">
        <v>40</v>
      </c>
      <c r="L4581">
        <v>11000</v>
      </c>
      <c r="M4581">
        <v>23.63636363636364</v>
      </c>
      <c r="N4581" t="s">
        <v>8</v>
      </c>
      <c r="O4581" t="s">
        <v>510</v>
      </c>
      <c r="P4581" t="s">
        <v>73</v>
      </c>
      <c r="Q4581" t="s">
        <v>74</v>
      </c>
      <c r="R4581" t="s">
        <v>75</v>
      </c>
      <c r="S4581" t="s">
        <v>75</v>
      </c>
      <c r="T4581" t="s">
        <v>575</v>
      </c>
      <c r="U4581" t="s">
        <v>100</v>
      </c>
      <c r="V4581">
        <v>2600</v>
      </c>
    </row>
    <row r="4582" spans="1:22" x14ac:dyDescent="0.3">
      <c r="A4582" t="s">
        <v>6064</v>
      </c>
      <c r="B4582" s="2">
        <v>45866</v>
      </c>
      <c r="C4582" t="s">
        <v>1744</v>
      </c>
      <c r="D4582" t="s">
        <v>24</v>
      </c>
      <c r="E4582" t="s">
        <v>242</v>
      </c>
      <c r="F4582">
        <v>1</v>
      </c>
      <c r="G4582">
        <v>0.1</v>
      </c>
      <c r="H4582">
        <v>405</v>
      </c>
      <c r="I4582">
        <v>79.430000000000007</v>
      </c>
      <c r="J4582" t="s">
        <v>65</v>
      </c>
      <c r="K4582" t="s">
        <v>40</v>
      </c>
      <c r="L4582">
        <v>405</v>
      </c>
      <c r="M4582">
        <v>19.61234567901235</v>
      </c>
      <c r="N4582" t="s">
        <v>8</v>
      </c>
      <c r="O4582" t="s">
        <v>922</v>
      </c>
      <c r="P4582" t="s">
        <v>29</v>
      </c>
      <c r="Q4582" t="s">
        <v>74</v>
      </c>
      <c r="R4582" t="s">
        <v>237</v>
      </c>
      <c r="S4582" t="s">
        <v>238</v>
      </c>
      <c r="T4582" t="s">
        <v>1745</v>
      </c>
      <c r="U4582" t="s">
        <v>105</v>
      </c>
      <c r="V4582">
        <v>79.430000000000007</v>
      </c>
    </row>
    <row r="4583" spans="1:22" x14ac:dyDescent="0.3">
      <c r="A4583" t="s">
        <v>6065</v>
      </c>
      <c r="B4583" s="2">
        <v>46244</v>
      </c>
      <c r="C4583" t="s">
        <v>696</v>
      </c>
      <c r="D4583" t="s">
        <v>24</v>
      </c>
      <c r="E4583" t="s">
        <v>242</v>
      </c>
      <c r="F4583">
        <v>3</v>
      </c>
      <c r="G4583">
        <v>0.05</v>
      </c>
      <c r="H4583">
        <v>1282.5</v>
      </c>
      <c r="I4583">
        <v>278.74</v>
      </c>
      <c r="J4583" t="s">
        <v>65</v>
      </c>
      <c r="K4583" t="s">
        <v>40</v>
      </c>
      <c r="L4583">
        <v>427.5</v>
      </c>
      <c r="M4583">
        <v>21.73411306042885</v>
      </c>
      <c r="N4583" t="s">
        <v>8</v>
      </c>
      <c r="O4583" t="s">
        <v>697</v>
      </c>
      <c r="P4583" t="s">
        <v>29</v>
      </c>
      <c r="Q4583" t="s">
        <v>74</v>
      </c>
      <c r="R4583" t="s">
        <v>237</v>
      </c>
      <c r="S4583" t="s">
        <v>238</v>
      </c>
      <c r="T4583" t="s">
        <v>698</v>
      </c>
      <c r="U4583" t="s">
        <v>46</v>
      </c>
      <c r="V4583">
        <v>92.913333333333341</v>
      </c>
    </row>
    <row r="4584" spans="1:22" x14ac:dyDescent="0.3">
      <c r="A4584" t="s">
        <v>6066</v>
      </c>
      <c r="B4584" s="2">
        <v>45920</v>
      </c>
      <c r="C4584" t="s">
        <v>1116</v>
      </c>
      <c r="D4584" t="s">
        <v>70</v>
      </c>
      <c r="E4584" t="s">
        <v>108</v>
      </c>
      <c r="F4584">
        <v>5</v>
      </c>
      <c r="G4584">
        <v>0.1</v>
      </c>
      <c r="H4584">
        <v>20250</v>
      </c>
      <c r="I4584">
        <v>-5231.1499999999996</v>
      </c>
      <c r="J4584" t="s">
        <v>39</v>
      </c>
      <c r="K4584" t="s">
        <v>80</v>
      </c>
      <c r="L4584">
        <v>4050</v>
      </c>
      <c r="M4584">
        <v>-25.832839506172839</v>
      </c>
      <c r="N4584" t="s">
        <v>81</v>
      </c>
      <c r="O4584" t="s">
        <v>1117</v>
      </c>
      <c r="P4584" t="s">
        <v>29</v>
      </c>
      <c r="Q4584" t="s">
        <v>30</v>
      </c>
      <c r="R4584" t="s">
        <v>98</v>
      </c>
      <c r="S4584" t="s">
        <v>54</v>
      </c>
      <c r="T4584" t="s">
        <v>1118</v>
      </c>
      <c r="U4584" t="s">
        <v>34</v>
      </c>
      <c r="V4584">
        <v>-1046.23</v>
      </c>
    </row>
    <row r="4585" spans="1:22" x14ac:dyDescent="0.3">
      <c r="A4585" t="s">
        <v>6067</v>
      </c>
      <c r="B4585" s="2">
        <v>46016</v>
      </c>
      <c r="C4585" t="s">
        <v>164</v>
      </c>
      <c r="D4585" t="s">
        <v>70</v>
      </c>
      <c r="E4585" t="s">
        <v>108</v>
      </c>
      <c r="F4585">
        <v>2</v>
      </c>
      <c r="G4585">
        <v>0.1</v>
      </c>
      <c r="H4585">
        <v>8100</v>
      </c>
      <c r="I4585">
        <v>2391.87</v>
      </c>
      <c r="J4585" t="s">
        <v>26</v>
      </c>
      <c r="K4585" t="s">
        <v>27</v>
      </c>
      <c r="L4585">
        <v>4050</v>
      </c>
      <c r="M4585">
        <v>29.529259259259259</v>
      </c>
      <c r="N4585" t="s">
        <v>8</v>
      </c>
      <c r="O4585" t="s">
        <v>166</v>
      </c>
      <c r="P4585" t="s">
        <v>73</v>
      </c>
      <c r="Q4585" t="s">
        <v>30</v>
      </c>
      <c r="R4585" t="s">
        <v>53</v>
      </c>
      <c r="S4585" t="s">
        <v>54</v>
      </c>
      <c r="T4585" t="s">
        <v>167</v>
      </c>
      <c r="U4585" t="s">
        <v>46</v>
      </c>
      <c r="V4585">
        <v>1195.9349999999999</v>
      </c>
    </row>
    <row r="4586" spans="1:22" x14ac:dyDescent="0.3">
      <c r="A4586" t="s">
        <v>6068</v>
      </c>
      <c r="B4586" s="2">
        <v>45845</v>
      </c>
      <c r="C4586" t="s">
        <v>473</v>
      </c>
      <c r="D4586" t="s">
        <v>49</v>
      </c>
      <c r="E4586" t="s">
        <v>50</v>
      </c>
      <c r="F4586">
        <v>2</v>
      </c>
      <c r="G4586">
        <v>0.2</v>
      </c>
      <c r="H4586">
        <v>20800</v>
      </c>
      <c r="I4586">
        <v>3340.9</v>
      </c>
      <c r="J4586" t="s">
        <v>39</v>
      </c>
      <c r="K4586" t="s">
        <v>40</v>
      </c>
      <c r="L4586">
        <v>10400</v>
      </c>
      <c r="M4586">
        <v>16.062019230769231</v>
      </c>
      <c r="N4586" t="s">
        <v>8</v>
      </c>
      <c r="O4586" t="s">
        <v>474</v>
      </c>
      <c r="P4586" t="s">
        <v>73</v>
      </c>
      <c r="Q4586" t="s">
        <v>131</v>
      </c>
      <c r="R4586" t="s">
        <v>289</v>
      </c>
      <c r="S4586" t="s">
        <v>290</v>
      </c>
      <c r="T4586" t="s">
        <v>475</v>
      </c>
      <c r="U4586" t="s">
        <v>46</v>
      </c>
      <c r="V4586">
        <v>1670.45</v>
      </c>
    </row>
    <row r="4587" spans="1:22" x14ac:dyDescent="0.3">
      <c r="A4587" t="s">
        <v>6069</v>
      </c>
      <c r="B4587" s="2">
        <v>46076</v>
      </c>
      <c r="C4587" t="s">
        <v>863</v>
      </c>
      <c r="D4587" t="s">
        <v>49</v>
      </c>
      <c r="E4587" t="s">
        <v>58</v>
      </c>
      <c r="F4587">
        <v>2</v>
      </c>
      <c r="G4587">
        <v>0.2</v>
      </c>
      <c r="H4587">
        <v>24000</v>
      </c>
      <c r="I4587">
        <v>2933.44</v>
      </c>
      <c r="J4587" t="s">
        <v>26</v>
      </c>
      <c r="K4587" t="s">
        <v>40</v>
      </c>
      <c r="L4587">
        <v>12000</v>
      </c>
      <c r="M4587">
        <v>12.222666666666671</v>
      </c>
      <c r="N4587" t="s">
        <v>8</v>
      </c>
      <c r="O4587" t="s">
        <v>187</v>
      </c>
      <c r="P4587" t="s">
        <v>73</v>
      </c>
      <c r="Q4587" t="s">
        <v>30</v>
      </c>
      <c r="R4587" t="s">
        <v>53</v>
      </c>
      <c r="S4587" t="s">
        <v>54</v>
      </c>
      <c r="T4587" t="s">
        <v>864</v>
      </c>
      <c r="U4587" t="s">
        <v>34</v>
      </c>
      <c r="V4587">
        <v>1466.72</v>
      </c>
    </row>
    <row r="4588" spans="1:22" x14ac:dyDescent="0.3">
      <c r="A4588" t="s">
        <v>6070</v>
      </c>
      <c r="B4588" s="2">
        <v>45876</v>
      </c>
      <c r="C4588" t="s">
        <v>1414</v>
      </c>
      <c r="D4588" t="s">
        <v>70</v>
      </c>
      <c r="E4588" t="s">
        <v>129</v>
      </c>
      <c r="F4588">
        <v>4</v>
      </c>
      <c r="G4588">
        <v>0.15</v>
      </c>
      <c r="H4588">
        <v>187000</v>
      </c>
      <c r="I4588">
        <v>8901.32</v>
      </c>
      <c r="J4588" t="s">
        <v>26</v>
      </c>
      <c r="K4588" t="s">
        <v>40</v>
      </c>
      <c r="L4588">
        <v>46750</v>
      </c>
      <c r="M4588">
        <v>4.7600641711229938</v>
      </c>
      <c r="N4588" t="s">
        <v>8</v>
      </c>
      <c r="O4588" t="s">
        <v>166</v>
      </c>
      <c r="P4588" t="s">
        <v>29</v>
      </c>
      <c r="Q4588" t="s">
        <v>30</v>
      </c>
      <c r="R4588" t="s">
        <v>31</v>
      </c>
      <c r="S4588" t="s">
        <v>32</v>
      </c>
      <c r="T4588" t="s">
        <v>1415</v>
      </c>
      <c r="U4588" t="s">
        <v>46</v>
      </c>
      <c r="V4588">
        <v>2225.33</v>
      </c>
    </row>
    <row r="4589" spans="1:22" x14ac:dyDescent="0.3">
      <c r="A4589" t="s">
        <v>6071</v>
      </c>
      <c r="B4589" s="2">
        <v>46050</v>
      </c>
      <c r="C4589" t="s">
        <v>204</v>
      </c>
      <c r="D4589" t="s">
        <v>49</v>
      </c>
      <c r="E4589" t="s">
        <v>50</v>
      </c>
      <c r="F4589">
        <v>1</v>
      </c>
      <c r="G4589">
        <v>0</v>
      </c>
      <c r="H4589">
        <v>13000</v>
      </c>
      <c r="I4589">
        <v>3200</v>
      </c>
      <c r="J4589" t="s">
        <v>51</v>
      </c>
      <c r="K4589" t="s">
        <v>40</v>
      </c>
      <c r="L4589">
        <v>13000</v>
      </c>
      <c r="M4589">
        <v>24.61538461538462</v>
      </c>
      <c r="N4589" t="s">
        <v>8</v>
      </c>
      <c r="O4589" t="s">
        <v>205</v>
      </c>
      <c r="P4589" t="s">
        <v>29</v>
      </c>
      <c r="Q4589" t="s">
        <v>30</v>
      </c>
      <c r="R4589" t="s">
        <v>98</v>
      </c>
      <c r="S4589" t="s">
        <v>54</v>
      </c>
      <c r="T4589" t="s">
        <v>206</v>
      </c>
      <c r="U4589" t="s">
        <v>34</v>
      </c>
      <c r="V4589">
        <v>3200</v>
      </c>
    </row>
    <row r="4590" spans="1:22" x14ac:dyDescent="0.3">
      <c r="A4590" t="s">
        <v>6072</v>
      </c>
      <c r="B4590" s="2">
        <v>45960</v>
      </c>
      <c r="C4590" t="s">
        <v>1436</v>
      </c>
      <c r="D4590" t="s">
        <v>24</v>
      </c>
      <c r="E4590" t="s">
        <v>92</v>
      </c>
      <c r="F4590">
        <v>4</v>
      </c>
      <c r="G4590">
        <v>0</v>
      </c>
      <c r="H4590">
        <v>3600</v>
      </c>
      <c r="I4590">
        <v>1120</v>
      </c>
      <c r="J4590" t="s">
        <v>26</v>
      </c>
      <c r="K4590" t="s">
        <v>40</v>
      </c>
      <c r="L4590">
        <v>900</v>
      </c>
      <c r="M4590">
        <v>31.111111111111111</v>
      </c>
      <c r="N4590" t="s">
        <v>8</v>
      </c>
      <c r="O4590" t="s">
        <v>697</v>
      </c>
      <c r="P4590" t="s">
        <v>83</v>
      </c>
      <c r="Q4590" t="s">
        <v>30</v>
      </c>
      <c r="R4590" t="s">
        <v>60</v>
      </c>
      <c r="S4590" t="s">
        <v>61</v>
      </c>
      <c r="T4590" t="s">
        <v>1437</v>
      </c>
      <c r="U4590" t="s">
        <v>46</v>
      </c>
      <c r="V4590">
        <v>280</v>
      </c>
    </row>
    <row r="4591" spans="1:22" x14ac:dyDescent="0.3">
      <c r="A4591" t="s">
        <v>6073</v>
      </c>
      <c r="B4591" s="2">
        <v>46187</v>
      </c>
      <c r="C4591" t="s">
        <v>1489</v>
      </c>
      <c r="D4591" t="s">
        <v>49</v>
      </c>
      <c r="E4591" t="s">
        <v>119</v>
      </c>
      <c r="F4591">
        <v>2</v>
      </c>
      <c r="G4591">
        <v>0.1</v>
      </c>
      <c r="H4591">
        <v>16200</v>
      </c>
      <c r="I4591">
        <v>3721.64</v>
      </c>
      <c r="J4591" t="s">
        <v>26</v>
      </c>
      <c r="K4591" t="s">
        <v>40</v>
      </c>
      <c r="L4591">
        <v>8100</v>
      </c>
      <c r="M4591">
        <v>22.973086419753091</v>
      </c>
      <c r="N4591" t="s">
        <v>8</v>
      </c>
      <c r="O4591" t="s">
        <v>1286</v>
      </c>
      <c r="P4591" t="s">
        <v>83</v>
      </c>
      <c r="Q4591" t="s">
        <v>42</v>
      </c>
      <c r="R4591" t="s">
        <v>110</v>
      </c>
      <c r="S4591" t="s">
        <v>111</v>
      </c>
      <c r="T4591" t="s">
        <v>1490</v>
      </c>
      <c r="U4591" t="s">
        <v>100</v>
      </c>
      <c r="V4591">
        <v>1860.82</v>
      </c>
    </row>
    <row r="4592" spans="1:22" x14ac:dyDescent="0.3">
      <c r="A4592" t="s">
        <v>6074</v>
      </c>
      <c r="B4592" s="2">
        <v>45933</v>
      </c>
      <c r="C4592" t="s">
        <v>1398</v>
      </c>
      <c r="D4592" t="s">
        <v>24</v>
      </c>
      <c r="E4592" t="s">
        <v>87</v>
      </c>
      <c r="F4592">
        <v>1</v>
      </c>
      <c r="G4592">
        <v>0.05</v>
      </c>
      <c r="H4592">
        <v>332.5</v>
      </c>
      <c r="I4592">
        <v>111.39</v>
      </c>
      <c r="J4592" t="s">
        <v>39</v>
      </c>
      <c r="K4592" t="s">
        <v>40</v>
      </c>
      <c r="L4592">
        <v>332.5</v>
      </c>
      <c r="M4592">
        <v>33.500751879699237</v>
      </c>
      <c r="N4592" t="s">
        <v>8</v>
      </c>
      <c r="O4592" t="s">
        <v>153</v>
      </c>
      <c r="P4592" t="s">
        <v>83</v>
      </c>
      <c r="Q4592" t="s">
        <v>30</v>
      </c>
      <c r="R4592" t="s">
        <v>53</v>
      </c>
      <c r="S4592" t="s">
        <v>54</v>
      </c>
      <c r="T4592" t="s">
        <v>734</v>
      </c>
      <c r="U4592" t="s">
        <v>46</v>
      </c>
      <c r="V4592">
        <v>111.39</v>
      </c>
    </row>
    <row r="4593" spans="1:22" x14ac:dyDescent="0.3">
      <c r="A4593" t="s">
        <v>6075</v>
      </c>
      <c r="B4593" s="2">
        <v>46121</v>
      </c>
      <c r="C4593" t="s">
        <v>178</v>
      </c>
      <c r="D4593" t="s">
        <v>24</v>
      </c>
      <c r="E4593" t="s">
        <v>87</v>
      </c>
      <c r="F4593">
        <v>2</v>
      </c>
      <c r="G4593">
        <v>0.2</v>
      </c>
      <c r="H4593">
        <v>560</v>
      </c>
      <c r="I4593">
        <v>-79.13</v>
      </c>
      <c r="J4593" t="s">
        <v>65</v>
      </c>
      <c r="K4593" t="s">
        <v>434</v>
      </c>
      <c r="L4593">
        <v>280</v>
      </c>
      <c r="M4593">
        <v>-14.13035714285714</v>
      </c>
      <c r="N4593" t="s">
        <v>81</v>
      </c>
      <c r="O4593" t="s">
        <v>179</v>
      </c>
      <c r="P4593" t="s">
        <v>83</v>
      </c>
      <c r="Q4593" t="s">
        <v>30</v>
      </c>
      <c r="R4593" t="s">
        <v>31</v>
      </c>
      <c r="S4593" t="s">
        <v>32</v>
      </c>
      <c r="T4593" t="s">
        <v>180</v>
      </c>
      <c r="U4593" t="s">
        <v>105</v>
      </c>
      <c r="V4593">
        <v>-39.564999999999998</v>
      </c>
    </row>
    <row r="4594" spans="1:22" x14ac:dyDescent="0.3">
      <c r="A4594" t="s">
        <v>6076</v>
      </c>
      <c r="B4594" s="2">
        <v>46016</v>
      </c>
      <c r="C4594" t="s">
        <v>1637</v>
      </c>
      <c r="D4594" t="s">
        <v>24</v>
      </c>
      <c r="E4594" t="s">
        <v>25</v>
      </c>
      <c r="F4594">
        <v>1</v>
      </c>
      <c r="G4594">
        <v>0</v>
      </c>
      <c r="H4594">
        <v>14000</v>
      </c>
      <c r="I4594">
        <v>2800</v>
      </c>
      <c r="J4594" t="s">
        <v>39</v>
      </c>
      <c r="K4594" t="s">
        <v>40</v>
      </c>
      <c r="L4594">
        <v>14000</v>
      </c>
      <c r="M4594">
        <v>20</v>
      </c>
      <c r="N4594" t="s">
        <v>8</v>
      </c>
      <c r="O4594" t="s">
        <v>697</v>
      </c>
      <c r="P4594" t="s">
        <v>29</v>
      </c>
      <c r="Q4594" t="s">
        <v>30</v>
      </c>
      <c r="R4594" t="s">
        <v>31</v>
      </c>
      <c r="S4594" t="s">
        <v>32</v>
      </c>
      <c r="T4594" t="s">
        <v>1638</v>
      </c>
      <c r="U4594" t="s">
        <v>46</v>
      </c>
      <c r="V4594">
        <v>2800</v>
      </c>
    </row>
    <row r="4595" spans="1:22" x14ac:dyDescent="0.3">
      <c r="A4595" t="s">
        <v>6077</v>
      </c>
      <c r="B4595" s="2">
        <v>45953</v>
      </c>
      <c r="C4595" t="s">
        <v>2507</v>
      </c>
      <c r="D4595" t="s">
        <v>70</v>
      </c>
      <c r="E4595" t="s">
        <v>165</v>
      </c>
      <c r="F4595">
        <v>2</v>
      </c>
      <c r="G4595">
        <v>0.05</v>
      </c>
      <c r="H4595">
        <v>4750</v>
      </c>
      <c r="I4595">
        <v>-1282.69</v>
      </c>
      <c r="J4595" t="s">
        <v>26</v>
      </c>
      <c r="K4595" t="s">
        <v>80</v>
      </c>
      <c r="L4595">
        <v>2375</v>
      </c>
      <c r="M4595">
        <v>-27.004000000000001</v>
      </c>
      <c r="N4595" t="s">
        <v>81</v>
      </c>
      <c r="O4595" t="s">
        <v>754</v>
      </c>
      <c r="P4595" t="s">
        <v>29</v>
      </c>
      <c r="Q4595" t="s">
        <v>42</v>
      </c>
      <c r="R4595" t="s">
        <v>43</v>
      </c>
      <c r="S4595" t="s">
        <v>44</v>
      </c>
      <c r="T4595" t="s">
        <v>1145</v>
      </c>
      <c r="U4595" t="s">
        <v>34</v>
      </c>
      <c r="V4595">
        <v>-641.34500000000003</v>
      </c>
    </row>
    <row r="4596" spans="1:22" x14ac:dyDescent="0.3">
      <c r="A4596" t="s">
        <v>6078</v>
      </c>
      <c r="B4596" s="2">
        <v>46052</v>
      </c>
      <c r="C4596" t="s">
        <v>2261</v>
      </c>
      <c r="D4596" t="s">
        <v>49</v>
      </c>
      <c r="E4596" t="s">
        <v>119</v>
      </c>
      <c r="F4596">
        <v>2</v>
      </c>
      <c r="G4596">
        <v>0.1</v>
      </c>
      <c r="H4596">
        <v>16200</v>
      </c>
      <c r="I4596">
        <v>3089.67</v>
      </c>
      <c r="J4596" t="s">
        <v>65</v>
      </c>
      <c r="K4596" t="s">
        <v>40</v>
      </c>
      <c r="L4596">
        <v>8100</v>
      </c>
      <c r="M4596">
        <v>19.072037037037038</v>
      </c>
      <c r="N4596" t="s">
        <v>8</v>
      </c>
      <c r="O4596" t="s">
        <v>1237</v>
      </c>
      <c r="P4596" t="s">
        <v>73</v>
      </c>
      <c r="Q4596" t="s">
        <v>74</v>
      </c>
      <c r="R4596" t="s">
        <v>237</v>
      </c>
      <c r="S4596" t="s">
        <v>238</v>
      </c>
      <c r="T4596" t="s">
        <v>2262</v>
      </c>
      <c r="U4596" t="s">
        <v>100</v>
      </c>
      <c r="V4596">
        <v>1544.835</v>
      </c>
    </row>
    <row r="4597" spans="1:22" x14ac:dyDescent="0.3">
      <c r="A4597" t="s">
        <v>6079</v>
      </c>
      <c r="B4597" s="2">
        <v>45927</v>
      </c>
      <c r="C4597" t="s">
        <v>729</v>
      </c>
      <c r="D4597" t="s">
        <v>37</v>
      </c>
      <c r="E4597" t="s">
        <v>310</v>
      </c>
      <c r="F4597">
        <v>2</v>
      </c>
      <c r="G4597">
        <v>0.1</v>
      </c>
      <c r="H4597">
        <v>3960</v>
      </c>
      <c r="I4597">
        <v>1170.75</v>
      </c>
      <c r="J4597" t="s">
        <v>51</v>
      </c>
      <c r="K4597" t="s">
        <v>40</v>
      </c>
      <c r="L4597">
        <v>1980</v>
      </c>
      <c r="M4597">
        <v>29.564393939393941</v>
      </c>
      <c r="N4597" t="s">
        <v>8</v>
      </c>
      <c r="O4597" t="s">
        <v>730</v>
      </c>
      <c r="P4597" t="s">
        <v>73</v>
      </c>
      <c r="Q4597" t="s">
        <v>30</v>
      </c>
      <c r="R4597" t="s">
        <v>31</v>
      </c>
      <c r="S4597" t="s">
        <v>32</v>
      </c>
      <c r="T4597" t="s">
        <v>215</v>
      </c>
      <c r="U4597" t="s">
        <v>100</v>
      </c>
      <c r="V4597">
        <v>585.375</v>
      </c>
    </row>
    <row r="4598" spans="1:22" x14ac:dyDescent="0.3">
      <c r="A4598" t="s">
        <v>6080</v>
      </c>
      <c r="B4598" s="2">
        <v>46262</v>
      </c>
      <c r="C4598" t="s">
        <v>1785</v>
      </c>
      <c r="D4598" t="s">
        <v>24</v>
      </c>
      <c r="E4598" t="s">
        <v>25</v>
      </c>
      <c r="F4598">
        <v>1</v>
      </c>
      <c r="G4598">
        <v>0</v>
      </c>
      <c r="H4598">
        <v>14000</v>
      </c>
      <c r="I4598">
        <v>2800</v>
      </c>
      <c r="J4598" t="s">
        <v>51</v>
      </c>
      <c r="K4598" t="s">
        <v>40</v>
      </c>
      <c r="L4598">
        <v>14000</v>
      </c>
      <c r="M4598">
        <v>20</v>
      </c>
      <c r="N4598" t="s">
        <v>8</v>
      </c>
      <c r="O4598" t="s">
        <v>1786</v>
      </c>
      <c r="P4598" t="s">
        <v>83</v>
      </c>
      <c r="Q4598" t="s">
        <v>30</v>
      </c>
      <c r="R4598" t="s">
        <v>53</v>
      </c>
      <c r="S4598" t="s">
        <v>54</v>
      </c>
      <c r="T4598" t="s">
        <v>227</v>
      </c>
      <c r="U4598" t="s">
        <v>46</v>
      </c>
      <c r="V4598">
        <v>2800</v>
      </c>
    </row>
    <row r="4599" spans="1:22" x14ac:dyDescent="0.3">
      <c r="A4599" t="s">
        <v>6081</v>
      </c>
      <c r="B4599" s="2">
        <v>45944</v>
      </c>
      <c r="C4599" t="s">
        <v>2424</v>
      </c>
      <c r="D4599" t="s">
        <v>24</v>
      </c>
      <c r="E4599" t="s">
        <v>242</v>
      </c>
      <c r="F4599">
        <v>2</v>
      </c>
      <c r="G4599">
        <v>0.15</v>
      </c>
      <c r="H4599">
        <v>765</v>
      </c>
      <c r="I4599">
        <v>157.6</v>
      </c>
      <c r="J4599" t="s">
        <v>39</v>
      </c>
      <c r="K4599" t="s">
        <v>40</v>
      </c>
      <c r="L4599">
        <v>382.5</v>
      </c>
      <c r="M4599">
        <v>20.601307189542489</v>
      </c>
      <c r="N4599" t="s">
        <v>8</v>
      </c>
      <c r="O4599" t="s">
        <v>1668</v>
      </c>
      <c r="P4599" t="s">
        <v>29</v>
      </c>
      <c r="Q4599" t="s">
        <v>42</v>
      </c>
      <c r="R4599" t="s">
        <v>43</v>
      </c>
      <c r="S4599" t="s">
        <v>44</v>
      </c>
      <c r="T4599" t="s">
        <v>2425</v>
      </c>
      <c r="U4599" t="s">
        <v>100</v>
      </c>
      <c r="V4599">
        <v>78.8</v>
      </c>
    </row>
    <row r="4600" spans="1:22" x14ac:dyDescent="0.3">
      <c r="A4600" t="s">
        <v>6082</v>
      </c>
      <c r="B4600" s="2">
        <v>46202</v>
      </c>
      <c r="C4600" t="s">
        <v>1655</v>
      </c>
      <c r="D4600" t="s">
        <v>49</v>
      </c>
      <c r="E4600" t="s">
        <v>79</v>
      </c>
      <c r="F4600">
        <v>3</v>
      </c>
      <c r="G4600">
        <v>0.05</v>
      </c>
      <c r="H4600">
        <v>31350</v>
      </c>
      <c r="I4600">
        <v>6589.48</v>
      </c>
      <c r="J4600" t="s">
        <v>65</v>
      </c>
      <c r="K4600" t="s">
        <v>40</v>
      </c>
      <c r="L4600">
        <v>10450</v>
      </c>
      <c r="M4600">
        <v>21.01907496012759</v>
      </c>
      <c r="N4600" t="s">
        <v>8</v>
      </c>
      <c r="O4600" t="s">
        <v>1656</v>
      </c>
      <c r="P4600" t="s">
        <v>29</v>
      </c>
      <c r="Q4600" t="s">
        <v>30</v>
      </c>
      <c r="R4600" t="s">
        <v>53</v>
      </c>
      <c r="S4600" t="s">
        <v>54</v>
      </c>
      <c r="T4600" t="s">
        <v>1657</v>
      </c>
      <c r="U4600" t="s">
        <v>34</v>
      </c>
      <c r="V4600">
        <v>2196.4933333333329</v>
      </c>
    </row>
    <row r="4601" spans="1:22" x14ac:dyDescent="0.3">
      <c r="A4601" t="s">
        <v>6083</v>
      </c>
      <c r="B4601" s="2">
        <v>45985</v>
      </c>
      <c r="C4601" t="s">
        <v>405</v>
      </c>
      <c r="D4601" t="s">
        <v>37</v>
      </c>
      <c r="E4601" t="s">
        <v>190</v>
      </c>
      <c r="F4601">
        <v>5</v>
      </c>
      <c r="G4601">
        <v>0.1</v>
      </c>
      <c r="H4601">
        <v>18900</v>
      </c>
      <c r="I4601">
        <v>4815.24</v>
      </c>
      <c r="J4601" t="s">
        <v>39</v>
      </c>
      <c r="K4601" t="s">
        <v>40</v>
      </c>
      <c r="L4601">
        <v>3780</v>
      </c>
      <c r="M4601">
        <v>25.47746031746032</v>
      </c>
      <c r="N4601" t="s">
        <v>8</v>
      </c>
      <c r="O4601" t="s">
        <v>406</v>
      </c>
      <c r="P4601" t="s">
        <v>73</v>
      </c>
      <c r="Q4601" t="s">
        <v>74</v>
      </c>
      <c r="R4601" t="s">
        <v>115</v>
      </c>
      <c r="S4601" t="s">
        <v>115</v>
      </c>
      <c r="T4601" t="s">
        <v>407</v>
      </c>
      <c r="U4601" t="s">
        <v>100</v>
      </c>
      <c r="V4601">
        <v>963.048</v>
      </c>
    </row>
    <row r="4602" spans="1:22" x14ac:dyDescent="0.3">
      <c r="A4602" t="s">
        <v>6084</v>
      </c>
      <c r="B4602" s="2">
        <v>46076</v>
      </c>
      <c r="C4602" t="s">
        <v>897</v>
      </c>
      <c r="D4602" t="s">
        <v>70</v>
      </c>
      <c r="E4602" t="s">
        <v>108</v>
      </c>
      <c r="F4602">
        <v>10</v>
      </c>
      <c r="G4602">
        <v>0.05</v>
      </c>
      <c r="H4602">
        <v>42750</v>
      </c>
      <c r="I4602">
        <v>-14062.9</v>
      </c>
      <c r="J4602" t="s">
        <v>51</v>
      </c>
      <c r="K4602" t="s">
        <v>80</v>
      </c>
      <c r="L4602">
        <v>4275</v>
      </c>
      <c r="M4602">
        <v>-32.895672514619882</v>
      </c>
      <c r="N4602" t="s">
        <v>81</v>
      </c>
      <c r="O4602" t="s">
        <v>607</v>
      </c>
      <c r="P4602" t="s">
        <v>73</v>
      </c>
      <c r="Q4602" t="s">
        <v>30</v>
      </c>
      <c r="R4602" t="s">
        <v>31</v>
      </c>
      <c r="S4602" t="s">
        <v>32</v>
      </c>
      <c r="T4602" t="s">
        <v>898</v>
      </c>
      <c r="U4602" t="s">
        <v>34</v>
      </c>
      <c r="V4602">
        <v>-1406.29</v>
      </c>
    </row>
    <row r="4603" spans="1:22" x14ac:dyDescent="0.3">
      <c r="A4603" t="s">
        <v>6085</v>
      </c>
      <c r="B4603" s="2">
        <v>46239</v>
      </c>
      <c r="C4603" t="s">
        <v>1785</v>
      </c>
      <c r="D4603" t="s">
        <v>70</v>
      </c>
      <c r="E4603" t="s">
        <v>71</v>
      </c>
      <c r="F4603">
        <v>6</v>
      </c>
      <c r="G4603">
        <v>0</v>
      </c>
      <c r="H4603">
        <v>108000</v>
      </c>
      <c r="I4603">
        <v>21000</v>
      </c>
      <c r="J4603" t="s">
        <v>39</v>
      </c>
      <c r="K4603" t="s">
        <v>40</v>
      </c>
      <c r="L4603">
        <v>18000</v>
      </c>
      <c r="M4603">
        <v>19.44444444444445</v>
      </c>
      <c r="N4603" t="s">
        <v>8</v>
      </c>
      <c r="O4603" t="s">
        <v>1786</v>
      </c>
      <c r="P4603" t="s">
        <v>83</v>
      </c>
      <c r="Q4603" t="s">
        <v>30</v>
      </c>
      <c r="R4603" t="s">
        <v>53</v>
      </c>
      <c r="S4603" t="s">
        <v>54</v>
      </c>
      <c r="T4603" t="s">
        <v>227</v>
      </c>
      <c r="U4603" t="s">
        <v>46</v>
      </c>
      <c r="V4603">
        <v>3500</v>
      </c>
    </row>
    <row r="4604" spans="1:22" x14ac:dyDescent="0.3">
      <c r="A4604" t="s">
        <v>6086</v>
      </c>
      <c r="B4604" s="2">
        <v>45864</v>
      </c>
      <c r="C4604" t="s">
        <v>566</v>
      </c>
      <c r="D4604" t="s">
        <v>24</v>
      </c>
      <c r="E4604" t="s">
        <v>242</v>
      </c>
      <c r="F4604">
        <v>6</v>
      </c>
      <c r="G4604">
        <v>0.1</v>
      </c>
      <c r="H4604">
        <v>2430</v>
      </c>
      <c r="I4604">
        <v>-1111.6600000000001</v>
      </c>
      <c r="J4604" t="s">
        <v>51</v>
      </c>
      <c r="K4604" t="s">
        <v>80</v>
      </c>
      <c r="L4604">
        <v>405</v>
      </c>
      <c r="M4604">
        <v>-45.747325102880659</v>
      </c>
      <c r="N4604" t="s">
        <v>81</v>
      </c>
      <c r="O4604" t="s">
        <v>567</v>
      </c>
      <c r="P4604" t="s">
        <v>29</v>
      </c>
      <c r="Q4604" t="s">
        <v>131</v>
      </c>
      <c r="R4604" t="s">
        <v>289</v>
      </c>
      <c r="S4604" t="s">
        <v>290</v>
      </c>
      <c r="T4604" t="s">
        <v>568</v>
      </c>
      <c r="U4604" t="s">
        <v>46</v>
      </c>
      <c r="V4604">
        <v>-185.2766666666667</v>
      </c>
    </row>
    <row r="4605" spans="1:22" x14ac:dyDescent="0.3">
      <c r="A4605" t="s">
        <v>6087</v>
      </c>
      <c r="B4605" s="2">
        <v>45952</v>
      </c>
      <c r="C4605" t="s">
        <v>2673</v>
      </c>
      <c r="D4605" t="s">
        <v>70</v>
      </c>
      <c r="E4605" t="s">
        <v>129</v>
      </c>
      <c r="F4605">
        <v>1</v>
      </c>
      <c r="G4605">
        <v>0.3</v>
      </c>
      <c r="H4605">
        <v>38500</v>
      </c>
      <c r="I4605">
        <v>786.96</v>
      </c>
      <c r="J4605" t="s">
        <v>65</v>
      </c>
      <c r="K4605" t="s">
        <v>40</v>
      </c>
      <c r="L4605">
        <v>38500</v>
      </c>
      <c r="M4605">
        <v>2.0440519480519481</v>
      </c>
      <c r="N4605" t="s">
        <v>8</v>
      </c>
      <c r="O4605" t="s">
        <v>2674</v>
      </c>
      <c r="P4605" t="s">
        <v>73</v>
      </c>
      <c r="Q4605" t="s">
        <v>30</v>
      </c>
      <c r="R4605" t="s">
        <v>98</v>
      </c>
      <c r="S4605" t="s">
        <v>54</v>
      </c>
      <c r="T4605" t="s">
        <v>2675</v>
      </c>
      <c r="U4605" t="s">
        <v>34</v>
      </c>
      <c r="V4605">
        <v>786.96</v>
      </c>
    </row>
    <row r="4606" spans="1:22" x14ac:dyDescent="0.3">
      <c r="A4606" t="s">
        <v>6088</v>
      </c>
      <c r="B4606" s="2">
        <v>45859</v>
      </c>
      <c r="C4606" t="s">
        <v>2881</v>
      </c>
      <c r="D4606" t="s">
        <v>49</v>
      </c>
      <c r="E4606" t="s">
        <v>50</v>
      </c>
      <c r="F4606">
        <v>1</v>
      </c>
      <c r="G4606">
        <v>0</v>
      </c>
      <c r="H4606">
        <v>13000</v>
      </c>
      <c r="I4606">
        <v>3200</v>
      </c>
      <c r="J4606" t="s">
        <v>65</v>
      </c>
      <c r="K4606" t="s">
        <v>40</v>
      </c>
      <c r="L4606">
        <v>13000</v>
      </c>
      <c r="M4606">
        <v>24.61538461538462</v>
      </c>
      <c r="N4606" t="s">
        <v>8</v>
      </c>
      <c r="O4606" t="s">
        <v>2301</v>
      </c>
      <c r="P4606" t="s">
        <v>73</v>
      </c>
      <c r="Q4606" t="s">
        <v>42</v>
      </c>
      <c r="R4606" t="s">
        <v>43</v>
      </c>
      <c r="S4606" t="s">
        <v>44</v>
      </c>
      <c r="T4606" t="s">
        <v>2882</v>
      </c>
      <c r="U4606" t="s">
        <v>100</v>
      </c>
      <c r="V4606">
        <v>3200</v>
      </c>
    </row>
    <row r="4607" spans="1:22" x14ac:dyDescent="0.3">
      <c r="A4607" t="s">
        <v>6089</v>
      </c>
      <c r="B4607" s="2">
        <v>45914</v>
      </c>
      <c r="C4607" t="s">
        <v>2261</v>
      </c>
      <c r="D4607" t="s">
        <v>70</v>
      </c>
      <c r="E4607" t="s">
        <v>129</v>
      </c>
      <c r="F4607">
        <v>1</v>
      </c>
      <c r="G4607">
        <v>0.1</v>
      </c>
      <c r="H4607">
        <v>49500</v>
      </c>
      <c r="I4607">
        <v>4637.2299999999996</v>
      </c>
      <c r="J4607" t="s">
        <v>26</v>
      </c>
      <c r="K4607" t="s">
        <v>40</v>
      </c>
      <c r="L4607">
        <v>49500</v>
      </c>
      <c r="M4607">
        <v>9.3681414141414141</v>
      </c>
      <c r="N4607" t="s">
        <v>8</v>
      </c>
      <c r="O4607" t="s">
        <v>1237</v>
      </c>
      <c r="P4607" t="s">
        <v>73</v>
      </c>
      <c r="Q4607" t="s">
        <v>74</v>
      </c>
      <c r="R4607" t="s">
        <v>237</v>
      </c>
      <c r="S4607" t="s">
        <v>238</v>
      </c>
      <c r="T4607" t="s">
        <v>2262</v>
      </c>
      <c r="U4607" t="s">
        <v>100</v>
      </c>
      <c r="V4607">
        <v>4637.2299999999996</v>
      </c>
    </row>
    <row r="4608" spans="1:22" x14ac:dyDescent="0.3">
      <c r="A4608" t="s">
        <v>6090</v>
      </c>
      <c r="B4608" s="2">
        <v>46219</v>
      </c>
      <c r="C4608" t="s">
        <v>1679</v>
      </c>
      <c r="D4608" t="s">
        <v>24</v>
      </c>
      <c r="E4608" t="s">
        <v>25</v>
      </c>
      <c r="F4608">
        <v>5</v>
      </c>
      <c r="G4608">
        <v>0</v>
      </c>
      <c r="H4608">
        <v>70000</v>
      </c>
      <c r="I4608">
        <v>14000</v>
      </c>
      <c r="J4608" t="s">
        <v>26</v>
      </c>
      <c r="K4608" t="s">
        <v>27</v>
      </c>
      <c r="L4608">
        <v>14000</v>
      </c>
      <c r="M4608">
        <v>20</v>
      </c>
      <c r="N4608" t="s">
        <v>8</v>
      </c>
      <c r="O4608" t="s">
        <v>199</v>
      </c>
      <c r="P4608" t="s">
        <v>29</v>
      </c>
      <c r="Q4608" t="s">
        <v>131</v>
      </c>
      <c r="R4608" t="s">
        <v>289</v>
      </c>
      <c r="S4608" t="s">
        <v>290</v>
      </c>
      <c r="T4608" t="s">
        <v>1271</v>
      </c>
      <c r="U4608" t="s">
        <v>105</v>
      </c>
      <c r="V4608">
        <v>2800</v>
      </c>
    </row>
    <row r="4609" spans="1:22" x14ac:dyDescent="0.3">
      <c r="A4609" t="s">
        <v>6091</v>
      </c>
      <c r="B4609" s="2">
        <v>46154</v>
      </c>
      <c r="C4609" t="s">
        <v>866</v>
      </c>
      <c r="D4609" t="s">
        <v>70</v>
      </c>
      <c r="E4609" t="s">
        <v>165</v>
      </c>
      <c r="F4609">
        <v>1</v>
      </c>
      <c r="G4609">
        <v>0.1</v>
      </c>
      <c r="H4609">
        <v>2250</v>
      </c>
      <c r="I4609">
        <v>631.52</v>
      </c>
      <c r="J4609" t="s">
        <v>51</v>
      </c>
      <c r="K4609" t="s">
        <v>40</v>
      </c>
      <c r="L4609">
        <v>2250</v>
      </c>
      <c r="M4609">
        <v>28.067555555555561</v>
      </c>
      <c r="N4609" t="s">
        <v>8</v>
      </c>
      <c r="O4609" t="s">
        <v>247</v>
      </c>
      <c r="P4609" t="s">
        <v>73</v>
      </c>
      <c r="Q4609" t="s">
        <v>30</v>
      </c>
      <c r="R4609" t="s">
        <v>98</v>
      </c>
      <c r="S4609" t="s">
        <v>54</v>
      </c>
      <c r="T4609" t="s">
        <v>319</v>
      </c>
      <c r="U4609" t="s">
        <v>34</v>
      </c>
      <c r="V4609">
        <v>631.52</v>
      </c>
    </row>
    <row r="4610" spans="1:22" x14ac:dyDescent="0.3">
      <c r="A4610" t="s">
        <v>6092</v>
      </c>
      <c r="B4610" s="2">
        <v>45965</v>
      </c>
      <c r="C4610" t="s">
        <v>846</v>
      </c>
      <c r="D4610" t="s">
        <v>70</v>
      </c>
      <c r="E4610" t="s">
        <v>108</v>
      </c>
      <c r="F4610">
        <v>1</v>
      </c>
      <c r="G4610">
        <v>0.2</v>
      </c>
      <c r="H4610">
        <v>3600</v>
      </c>
      <c r="I4610">
        <v>880.22</v>
      </c>
      <c r="J4610" t="s">
        <v>65</v>
      </c>
      <c r="K4610" t="s">
        <v>40</v>
      </c>
      <c r="L4610">
        <v>3600</v>
      </c>
      <c r="M4610">
        <v>24.45055555555556</v>
      </c>
      <c r="N4610" t="s">
        <v>8</v>
      </c>
      <c r="O4610" t="s">
        <v>847</v>
      </c>
      <c r="P4610" t="s">
        <v>29</v>
      </c>
      <c r="Q4610" t="s">
        <v>30</v>
      </c>
      <c r="R4610" t="s">
        <v>53</v>
      </c>
      <c r="S4610" t="s">
        <v>54</v>
      </c>
      <c r="T4610" t="s">
        <v>848</v>
      </c>
      <c r="U4610" t="s">
        <v>34</v>
      </c>
      <c r="V4610">
        <v>880.22</v>
      </c>
    </row>
    <row r="4611" spans="1:22" x14ac:dyDescent="0.3">
      <c r="A4611" t="s">
        <v>6093</v>
      </c>
      <c r="B4611" s="2">
        <v>46217</v>
      </c>
      <c r="C4611" t="s">
        <v>1148</v>
      </c>
      <c r="D4611" t="s">
        <v>24</v>
      </c>
      <c r="E4611" t="s">
        <v>25</v>
      </c>
      <c r="F4611">
        <v>1</v>
      </c>
      <c r="G4611">
        <v>0.1</v>
      </c>
      <c r="H4611">
        <v>12600</v>
      </c>
      <c r="I4611">
        <v>1724.59</v>
      </c>
      <c r="J4611" t="s">
        <v>51</v>
      </c>
      <c r="K4611" t="s">
        <v>40</v>
      </c>
      <c r="L4611">
        <v>12600</v>
      </c>
      <c r="M4611">
        <v>13.68722222222222</v>
      </c>
      <c r="N4611" t="s">
        <v>8</v>
      </c>
      <c r="O4611" t="s">
        <v>302</v>
      </c>
      <c r="P4611" t="s">
        <v>73</v>
      </c>
      <c r="Q4611" t="s">
        <v>42</v>
      </c>
      <c r="R4611" t="s">
        <v>214</v>
      </c>
      <c r="S4611" t="s">
        <v>111</v>
      </c>
      <c r="T4611" t="s">
        <v>1149</v>
      </c>
      <c r="U4611" t="s">
        <v>34</v>
      </c>
      <c r="V4611">
        <v>1724.59</v>
      </c>
    </row>
    <row r="4612" spans="1:22" x14ac:dyDescent="0.3">
      <c r="A4612" t="s">
        <v>6094</v>
      </c>
      <c r="B4612" s="2">
        <v>46036</v>
      </c>
      <c r="C4612" t="s">
        <v>897</v>
      </c>
      <c r="D4612" t="s">
        <v>70</v>
      </c>
      <c r="E4612" t="s">
        <v>165</v>
      </c>
      <c r="F4612">
        <v>1</v>
      </c>
      <c r="G4612">
        <v>0.05</v>
      </c>
      <c r="H4612">
        <v>2375</v>
      </c>
      <c r="I4612">
        <v>724.84</v>
      </c>
      <c r="J4612" t="s">
        <v>26</v>
      </c>
      <c r="K4612" t="s">
        <v>40</v>
      </c>
      <c r="L4612">
        <v>2375</v>
      </c>
      <c r="M4612">
        <v>30.519578947368419</v>
      </c>
      <c r="N4612" t="s">
        <v>8</v>
      </c>
      <c r="O4612" t="s">
        <v>607</v>
      </c>
      <c r="P4612" t="s">
        <v>73</v>
      </c>
      <c r="Q4612" t="s">
        <v>30</v>
      </c>
      <c r="R4612" t="s">
        <v>31</v>
      </c>
      <c r="S4612" t="s">
        <v>32</v>
      </c>
      <c r="T4612" t="s">
        <v>898</v>
      </c>
      <c r="U4612" t="s">
        <v>34</v>
      </c>
      <c r="V4612">
        <v>724.84</v>
      </c>
    </row>
    <row r="4613" spans="1:22" x14ac:dyDescent="0.3">
      <c r="A4613" t="s">
        <v>6095</v>
      </c>
      <c r="B4613" s="2">
        <v>46228</v>
      </c>
      <c r="C4613" t="s">
        <v>1377</v>
      </c>
      <c r="D4613" t="s">
        <v>24</v>
      </c>
      <c r="E4613" t="s">
        <v>242</v>
      </c>
      <c r="F4613">
        <v>1</v>
      </c>
      <c r="G4613">
        <v>0.2</v>
      </c>
      <c r="H4613">
        <v>360</v>
      </c>
      <c r="I4613">
        <v>49.53</v>
      </c>
      <c r="J4613" t="s">
        <v>51</v>
      </c>
      <c r="K4613" t="s">
        <v>40</v>
      </c>
      <c r="L4613">
        <v>360</v>
      </c>
      <c r="M4613">
        <v>13.758333333333329</v>
      </c>
      <c r="N4613" t="s">
        <v>8</v>
      </c>
      <c r="O4613" t="s">
        <v>1378</v>
      </c>
      <c r="P4613" t="s">
        <v>29</v>
      </c>
      <c r="Q4613" t="s">
        <v>30</v>
      </c>
      <c r="R4613" t="s">
        <v>53</v>
      </c>
      <c r="S4613" t="s">
        <v>54</v>
      </c>
      <c r="T4613" t="s">
        <v>1379</v>
      </c>
      <c r="U4613" t="s">
        <v>100</v>
      </c>
      <c r="V4613">
        <v>49.53</v>
      </c>
    </row>
    <row r="4614" spans="1:22" x14ac:dyDescent="0.3">
      <c r="A4614" t="s">
        <v>6096</v>
      </c>
      <c r="B4614" s="2">
        <v>45906</v>
      </c>
      <c r="C4614" t="s">
        <v>1537</v>
      </c>
      <c r="D4614" t="s">
        <v>49</v>
      </c>
      <c r="E4614" t="s">
        <v>79</v>
      </c>
      <c r="F4614">
        <v>1</v>
      </c>
      <c r="G4614">
        <v>0</v>
      </c>
      <c r="H4614">
        <v>11000</v>
      </c>
      <c r="I4614">
        <v>2600</v>
      </c>
      <c r="J4614" t="s">
        <v>51</v>
      </c>
      <c r="K4614" t="s">
        <v>40</v>
      </c>
      <c r="L4614">
        <v>11000</v>
      </c>
      <c r="M4614">
        <v>23.63636363636364</v>
      </c>
      <c r="N4614" t="s">
        <v>8</v>
      </c>
      <c r="O4614" t="s">
        <v>1538</v>
      </c>
      <c r="P4614" t="s">
        <v>73</v>
      </c>
      <c r="Q4614" t="s">
        <v>131</v>
      </c>
      <c r="R4614" t="s">
        <v>289</v>
      </c>
      <c r="S4614" t="s">
        <v>290</v>
      </c>
      <c r="T4614" t="s">
        <v>1539</v>
      </c>
      <c r="U4614" t="s">
        <v>34</v>
      </c>
      <c r="V4614">
        <v>2600</v>
      </c>
    </row>
    <row r="4615" spans="1:22" x14ac:dyDescent="0.3">
      <c r="A4615" t="s">
        <v>6097</v>
      </c>
      <c r="B4615" s="2">
        <v>45863</v>
      </c>
      <c r="C4615" t="s">
        <v>2253</v>
      </c>
      <c r="D4615" t="s">
        <v>37</v>
      </c>
      <c r="E4615" t="s">
        <v>38</v>
      </c>
      <c r="F4615">
        <v>1</v>
      </c>
      <c r="G4615">
        <v>0.15</v>
      </c>
      <c r="H4615">
        <v>1530</v>
      </c>
      <c r="I4615">
        <v>439.56</v>
      </c>
      <c r="J4615" t="s">
        <v>26</v>
      </c>
      <c r="K4615" t="s">
        <v>40</v>
      </c>
      <c r="L4615">
        <v>1530</v>
      </c>
      <c r="M4615">
        <v>28.72941176470588</v>
      </c>
      <c r="N4615" t="s">
        <v>8</v>
      </c>
      <c r="O4615" t="s">
        <v>2254</v>
      </c>
      <c r="P4615" t="s">
        <v>83</v>
      </c>
      <c r="Q4615" t="s">
        <v>131</v>
      </c>
      <c r="R4615" t="s">
        <v>132</v>
      </c>
      <c r="S4615" t="s">
        <v>133</v>
      </c>
      <c r="T4615" t="s">
        <v>2255</v>
      </c>
      <c r="U4615" t="s">
        <v>46</v>
      </c>
      <c r="V4615">
        <v>439.56</v>
      </c>
    </row>
    <row r="4616" spans="1:22" x14ac:dyDescent="0.3">
      <c r="A4616" t="s">
        <v>6098</v>
      </c>
      <c r="B4616" s="2">
        <v>45852</v>
      </c>
      <c r="C4616" t="s">
        <v>501</v>
      </c>
      <c r="D4616" t="s">
        <v>49</v>
      </c>
      <c r="E4616" t="s">
        <v>50</v>
      </c>
      <c r="F4616">
        <v>1</v>
      </c>
      <c r="G4616">
        <v>0.05</v>
      </c>
      <c r="H4616">
        <v>12350</v>
      </c>
      <c r="I4616">
        <v>2829.04</v>
      </c>
      <c r="J4616" t="s">
        <v>39</v>
      </c>
      <c r="K4616" t="s">
        <v>40</v>
      </c>
      <c r="L4616">
        <v>12350</v>
      </c>
      <c r="M4616">
        <v>22.907206477732799</v>
      </c>
      <c r="N4616" t="s">
        <v>8</v>
      </c>
      <c r="O4616" t="s">
        <v>502</v>
      </c>
      <c r="P4616" t="s">
        <v>29</v>
      </c>
      <c r="Q4616" t="s">
        <v>30</v>
      </c>
      <c r="R4616" t="s">
        <v>31</v>
      </c>
      <c r="S4616" t="s">
        <v>32</v>
      </c>
      <c r="T4616" t="s">
        <v>503</v>
      </c>
      <c r="U4616" t="s">
        <v>100</v>
      </c>
      <c r="V4616">
        <v>2829.04</v>
      </c>
    </row>
    <row r="4617" spans="1:22" x14ac:dyDescent="0.3">
      <c r="A4617" t="s">
        <v>6099</v>
      </c>
      <c r="B4617" s="2">
        <v>46090</v>
      </c>
      <c r="C4617" t="s">
        <v>2521</v>
      </c>
      <c r="D4617" t="s">
        <v>49</v>
      </c>
      <c r="E4617" t="s">
        <v>79</v>
      </c>
      <c r="F4617">
        <v>1</v>
      </c>
      <c r="G4617">
        <v>0.15</v>
      </c>
      <c r="H4617">
        <v>9350</v>
      </c>
      <c r="I4617">
        <v>1403.89</v>
      </c>
      <c r="J4617" t="s">
        <v>65</v>
      </c>
      <c r="K4617" t="s">
        <v>27</v>
      </c>
      <c r="L4617">
        <v>9350</v>
      </c>
      <c r="M4617">
        <v>15.01486631016043</v>
      </c>
      <c r="N4617" t="s">
        <v>8</v>
      </c>
      <c r="O4617" t="s">
        <v>571</v>
      </c>
      <c r="P4617" t="s">
        <v>29</v>
      </c>
      <c r="Q4617" t="s">
        <v>74</v>
      </c>
      <c r="R4617" t="s">
        <v>75</v>
      </c>
      <c r="S4617" t="s">
        <v>75</v>
      </c>
      <c r="T4617" t="s">
        <v>2522</v>
      </c>
      <c r="U4617" t="s">
        <v>34</v>
      </c>
      <c r="V4617">
        <v>1403.89</v>
      </c>
    </row>
    <row r="4618" spans="1:22" x14ac:dyDescent="0.3">
      <c r="A4618" t="s">
        <v>6100</v>
      </c>
      <c r="B4618" s="2">
        <v>46005</v>
      </c>
      <c r="C4618" t="s">
        <v>2182</v>
      </c>
      <c r="D4618" t="s">
        <v>49</v>
      </c>
      <c r="E4618" t="s">
        <v>58</v>
      </c>
      <c r="F4618">
        <v>1</v>
      </c>
      <c r="G4618">
        <v>0</v>
      </c>
      <c r="H4618">
        <v>15000</v>
      </c>
      <c r="I4618">
        <v>3500</v>
      </c>
      <c r="J4618" t="s">
        <v>26</v>
      </c>
      <c r="K4618" t="s">
        <v>40</v>
      </c>
      <c r="L4618">
        <v>15000</v>
      </c>
      <c r="M4618">
        <v>23.333333333333329</v>
      </c>
      <c r="N4618" t="s">
        <v>8</v>
      </c>
      <c r="O4618" t="s">
        <v>2183</v>
      </c>
      <c r="P4618" t="s">
        <v>73</v>
      </c>
      <c r="Q4618" t="s">
        <v>30</v>
      </c>
      <c r="R4618" t="s">
        <v>98</v>
      </c>
      <c r="S4618" t="s">
        <v>54</v>
      </c>
      <c r="T4618" t="s">
        <v>2184</v>
      </c>
      <c r="U4618" t="s">
        <v>105</v>
      </c>
      <c r="V4618">
        <v>3500</v>
      </c>
    </row>
    <row r="4619" spans="1:22" x14ac:dyDescent="0.3">
      <c r="A4619" t="s">
        <v>6101</v>
      </c>
      <c r="B4619" s="2">
        <v>45966</v>
      </c>
      <c r="C4619" t="s">
        <v>1410</v>
      </c>
      <c r="D4619" t="s">
        <v>37</v>
      </c>
      <c r="E4619" t="s">
        <v>170</v>
      </c>
      <c r="F4619">
        <v>4</v>
      </c>
      <c r="G4619">
        <v>0.1</v>
      </c>
      <c r="H4619">
        <v>5040</v>
      </c>
      <c r="I4619">
        <v>1624.88</v>
      </c>
      <c r="J4619" t="s">
        <v>39</v>
      </c>
      <c r="K4619" t="s">
        <v>40</v>
      </c>
      <c r="L4619">
        <v>1260</v>
      </c>
      <c r="M4619">
        <v>32.239682539682541</v>
      </c>
      <c r="N4619" t="s">
        <v>8</v>
      </c>
      <c r="O4619" t="s">
        <v>995</v>
      </c>
      <c r="P4619" t="s">
        <v>73</v>
      </c>
      <c r="Q4619" t="s">
        <v>30</v>
      </c>
      <c r="R4619" t="s">
        <v>60</v>
      </c>
      <c r="S4619" t="s">
        <v>61</v>
      </c>
      <c r="T4619" t="s">
        <v>1411</v>
      </c>
      <c r="U4619" t="s">
        <v>34</v>
      </c>
      <c r="V4619">
        <v>406.22</v>
      </c>
    </row>
    <row r="4620" spans="1:22" x14ac:dyDescent="0.3">
      <c r="A4620" t="s">
        <v>6102</v>
      </c>
      <c r="B4620" s="2">
        <v>46003</v>
      </c>
      <c r="C4620" t="s">
        <v>501</v>
      </c>
      <c r="D4620" t="s">
        <v>70</v>
      </c>
      <c r="E4620" t="s">
        <v>71</v>
      </c>
      <c r="F4620">
        <v>2</v>
      </c>
      <c r="G4620">
        <v>0.05</v>
      </c>
      <c r="H4620">
        <v>34200</v>
      </c>
      <c r="I4620">
        <v>5755.18</v>
      </c>
      <c r="J4620" t="s">
        <v>65</v>
      </c>
      <c r="K4620" t="s">
        <v>40</v>
      </c>
      <c r="L4620">
        <v>17100</v>
      </c>
      <c r="M4620">
        <v>16.828011695906429</v>
      </c>
      <c r="N4620" t="s">
        <v>8</v>
      </c>
      <c r="O4620" t="s">
        <v>502</v>
      </c>
      <c r="P4620" t="s">
        <v>29</v>
      </c>
      <c r="Q4620" t="s">
        <v>30</v>
      </c>
      <c r="R4620" t="s">
        <v>31</v>
      </c>
      <c r="S4620" t="s">
        <v>32</v>
      </c>
      <c r="T4620" t="s">
        <v>503</v>
      </c>
      <c r="U4620" t="s">
        <v>100</v>
      </c>
      <c r="V4620">
        <v>2877.59</v>
      </c>
    </row>
    <row r="4621" spans="1:22" x14ac:dyDescent="0.3">
      <c r="A4621" t="s">
        <v>6103</v>
      </c>
      <c r="B4621" s="2">
        <v>45988</v>
      </c>
      <c r="C4621" t="s">
        <v>1529</v>
      </c>
      <c r="D4621" t="s">
        <v>24</v>
      </c>
      <c r="E4621" t="s">
        <v>25</v>
      </c>
      <c r="F4621">
        <v>5</v>
      </c>
      <c r="G4621">
        <v>0.1</v>
      </c>
      <c r="H4621">
        <v>63000</v>
      </c>
      <c r="I4621">
        <v>10258.81</v>
      </c>
      <c r="J4621" t="s">
        <v>26</v>
      </c>
      <c r="K4621" t="s">
        <v>27</v>
      </c>
      <c r="L4621">
        <v>12600</v>
      </c>
      <c r="M4621">
        <v>16.283825396825399</v>
      </c>
      <c r="N4621" t="s">
        <v>8</v>
      </c>
      <c r="O4621" t="s">
        <v>717</v>
      </c>
      <c r="P4621" t="s">
        <v>73</v>
      </c>
      <c r="Q4621" t="s">
        <v>131</v>
      </c>
      <c r="R4621" t="s">
        <v>132</v>
      </c>
      <c r="S4621" t="s">
        <v>133</v>
      </c>
      <c r="T4621" t="s">
        <v>1530</v>
      </c>
      <c r="U4621" t="s">
        <v>46</v>
      </c>
      <c r="V4621">
        <v>2051.7620000000002</v>
      </c>
    </row>
    <row r="4622" spans="1:22" x14ac:dyDescent="0.3">
      <c r="A4622" t="s">
        <v>6104</v>
      </c>
      <c r="B4622" s="2">
        <v>46046</v>
      </c>
      <c r="C4622" t="s">
        <v>4016</v>
      </c>
      <c r="D4622" t="s">
        <v>24</v>
      </c>
      <c r="E4622" t="s">
        <v>87</v>
      </c>
      <c r="F4622">
        <v>2</v>
      </c>
      <c r="G4622">
        <v>0.1</v>
      </c>
      <c r="H4622">
        <v>630</v>
      </c>
      <c r="I4622">
        <v>188.2</v>
      </c>
      <c r="J4622" t="s">
        <v>65</v>
      </c>
      <c r="K4622" t="s">
        <v>40</v>
      </c>
      <c r="L4622">
        <v>315</v>
      </c>
      <c r="M4622">
        <v>29.87301587301587</v>
      </c>
      <c r="N4622" t="s">
        <v>8</v>
      </c>
      <c r="O4622" t="s">
        <v>701</v>
      </c>
      <c r="P4622" t="s">
        <v>29</v>
      </c>
      <c r="Q4622" t="s">
        <v>131</v>
      </c>
      <c r="R4622" t="s">
        <v>449</v>
      </c>
      <c r="S4622" t="s">
        <v>450</v>
      </c>
      <c r="T4622" t="s">
        <v>1026</v>
      </c>
      <c r="U4622" t="s">
        <v>46</v>
      </c>
      <c r="V4622">
        <v>94.1</v>
      </c>
    </row>
    <row r="4623" spans="1:22" x14ac:dyDescent="0.3">
      <c r="A4623" t="s">
        <v>6105</v>
      </c>
      <c r="B4623" s="2">
        <v>46149</v>
      </c>
      <c r="C4623" t="s">
        <v>675</v>
      </c>
      <c r="D4623" t="s">
        <v>24</v>
      </c>
      <c r="E4623" t="s">
        <v>25</v>
      </c>
      <c r="F4623">
        <v>2</v>
      </c>
      <c r="G4623">
        <v>0</v>
      </c>
      <c r="H4623">
        <v>28000</v>
      </c>
      <c r="I4623">
        <v>5600</v>
      </c>
      <c r="J4623" t="s">
        <v>65</v>
      </c>
      <c r="K4623" t="s">
        <v>40</v>
      </c>
      <c r="L4623">
        <v>14000</v>
      </c>
      <c r="M4623">
        <v>20</v>
      </c>
      <c r="N4623" t="s">
        <v>8</v>
      </c>
      <c r="O4623" t="s">
        <v>255</v>
      </c>
      <c r="P4623" t="s">
        <v>29</v>
      </c>
      <c r="Q4623" t="s">
        <v>30</v>
      </c>
      <c r="R4623" t="s">
        <v>60</v>
      </c>
      <c r="S4623" t="s">
        <v>61</v>
      </c>
      <c r="T4623" t="s">
        <v>676</v>
      </c>
      <c r="U4623" t="s">
        <v>105</v>
      </c>
      <c r="V4623">
        <v>2800</v>
      </c>
    </row>
    <row r="4624" spans="1:22" x14ac:dyDescent="0.3">
      <c r="A4624" t="s">
        <v>6106</v>
      </c>
      <c r="B4624" s="2">
        <v>45856</v>
      </c>
      <c r="C4624" t="s">
        <v>1246</v>
      </c>
      <c r="D4624" t="s">
        <v>24</v>
      </c>
      <c r="E4624" t="s">
        <v>242</v>
      </c>
      <c r="F4624">
        <v>4</v>
      </c>
      <c r="G4624">
        <v>0</v>
      </c>
      <c r="H4624">
        <v>1800</v>
      </c>
      <c r="I4624">
        <v>440</v>
      </c>
      <c r="J4624" t="s">
        <v>39</v>
      </c>
      <c r="K4624" t="s">
        <v>40</v>
      </c>
      <c r="L4624">
        <v>450</v>
      </c>
      <c r="M4624">
        <v>24.444444444444439</v>
      </c>
      <c r="N4624" t="s">
        <v>8</v>
      </c>
      <c r="O4624" t="s">
        <v>917</v>
      </c>
      <c r="P4624" t="s">
        <v>29</v>
      </c>
      <c r="Q4624" t="s">
        <v>131</v>
      </c>
      <c r="R4624" t="s">
        <v>289</v>
      </c>
      <c r="S4624" t="s">
        <v>290</v>
      </c>
      <c r="T4624" t="s">
        <v>1247</v>
      </c>
      <c r="U4624" t="s">
        <v>46</v>
      </c>
      <c r="V4624">
        <v>110</v>
      </c>
    </row>
    <row r="4625" spans="1:22" x14ac:dyDescent="0.3">
      <c r="A4625" t="s">
        <v>6107</v>
      </c>
      <c r="B4625" s="2">
        <v>46158</v>
      </c>
      <c r="C4625" t="s">
        <v>807</v>
      </c>
      <c r="D4625" t="s">
        <v>24</v>
      </c>
      <c r="E4625" t="s">
        <v>25</v>
      </c>
      <c r="F4625">
        <v>6</v>
      </c>
      <c r="G4625">
        <v>0.1</v>
      </c>
      <c r="H4625">
        <v>75600</v>
      </c>
      <c r="I4625">
        <v>12921.89</v>
      </c>
      <c r="J4625" t="s">
        <v>65</v>
      </c>
      <c r="K4625" t="s">
        <v>27</v>
      </c>
      <c r="L4625">
        <v>12600</v>
      </c>
      <c r="M4625">
        <v>17.09244708994709</v>
      </c>
      <c r="N4625" t="s">
        <v>8</v>
      </c>
      <c r="O4625" t="s">
        <v>545</v>
      </c>
      <c r="P4625" t="s">
        <v>73</v>
      </c>
      <c r="Q4625" t="s">
        <v>30</v>
      </c>
      <c r="R4625" t="s">
        <v>31</v>
      </c>
      <c r="S4625" t="s">
        <v>32</v>
      </c>
      <c r="T4625" t="s">
        <v>808</v>
      </c>
      <c r="U4625" t="s">
        <v>105</v>
      </c>
      <c r="V4625">
        <v>2153.6483333333331</v>
      </c>
    </row>
    <row r="4626" spans="1:22" x14ac:dyDescent="0.3">
      <c r="A4626" t="s">
        <v>6108</v>
      </c>
      <c r="B4626" s="2">
        <v>46191</v>
      </c>
      <c r="C4626" t="s">
        <v>838</v>
      </c>
      <c r="D4626" t="s">
        <v>70</v>
      </c>
      <c r="E4626" t="s">
        <v>129</v>
      </c>
      <c r="F4626">
        <v>15</v>
      </c>
      <c r="G4626">
        <v>0.05</v>
      </c>
      <c r="H4626">
        <v>783750</v>
      </c>
      <c r="I4626">
        <v>102017.21</v>
      </c>
      <c r="J4626" t="s">
        <v>26</v>
      </c>
      <c r="K4626" t="s">
        <v>40</v>
      </c>
      <c r="L4626">
        <v>52250</v>
      </c>
      <c r="M4626">
        <v>13.016549920255191</v>
      </c>
      <c r="N4626" t="s">
        <v>8</v>
      </c>
      <c r="O4626" t="s">
        <v>839</v>
      </c>
      <c r="P4626" t="s">
        <v>73</v>
      </c>
      <c r="Q4626" t="s">
        <v>30</v>
      </c>
      <c r="R4626" t="s">
        <v>31</v>
      </c>
      <c r="S4626" t="s">
        <v>32</v>
      </c>
      <c r="T4626" t="s">
        <v>840</v>
      </c>
      <c r="U4626" t="s">
        <v>100</v>
      </c>
      <c r="V4626">
        <v>6801.1473333333333</v>
      </c>
    </row>
    <row r="4627" spans="1:22" x14ac:dyDescent="0.3">
      <c r="A4627" t="s">
        <v>6109</v>
      </c>
      <c r="B4627" s="2">
        <v>46193</v>
      </c>
      <c r="C4627" t="s">
        <v>1578</v>
      </c>
      <c r="D4627" t="s">
        <v>49</v>
      </c>
      <c r="E4627" t="s">
        <v>58</v>
      </c>
      <c r="F4627">
        <v>3</v>
      </c>
      <c r="G4627">
        <v>0.2</v>
      </c>
      <c r="H4627">
        <v>36000</v>
      </c>
      <c r="I4627">
        <v>4044.01</v>
      </c>
      <c r="J4627" t="s">
        <v>39</v>
      </c>
      <c r="K4627" t="s">
        <v>40</v>
      </c>
      <c r="L4627">
        <v>12000</v>
      </c>
      <c r="M4627">
        <v>11.23336111111111</v>
      </c>
      <c r="N4627" t="s">
        <v>8</v>
      </c>
      <c r="O4627" t="s">
        <v>1579</v>
      </c>
      <c r="P4627" t="s">
        <v>29</v>
      </c>
      <c r="Q4627" t="s">
        <v>74</v>
      </c>
      <c r="R4627" t="s">
        <v>115</v>
      </c>
      <c r="S4627" t="s">
        <v>115</v>
      </c>
      <c r="T4627" t="s">
        <v>1580</v>
      </c>
      <c r="U4627" t="s">
        <v>100</v>
      </c>
      <c r="V4627">
        <v>1348.0033333333331</v>
      </c>
    </row>
    <row r="4628" spans="1:22" x14ac:dyDescent="0.3">
      <c r="A4628" t="s">
        <v>6110</v>
      </c>
      <c r="B4628" s="2">
        <v>46162</v>
      </c>
      <c r="C4628" t="s">
        <v>1152</v>
      </c>
      <c r="D4628" t="s">
        <v>70</v>
      </c>
      <c r="E4628" t="s">
        <v>165</v>
      </c>
      <c r="F4628">
        <v>5</v>
      </c>
      <c r="G4628">
        <v>0.1</v>
      </c>
      <c r="H4628">
        <v>11250</v>
      </c>
      <c r="I4628">
        <v>3224.39</v>
      </c>
      <c r="J4628" t="s">
        <v>39</v>
      </c>
      <c r="K4628" t="s">
        <v>40</v>
      </c>
      <c r="L4628">
        <v>2250</v>
      </c>
      <c r="M4628">
        <v>28.661244444444449</v>
      </c>
      <c r="N4628" t="s">
        <v>8</v>
      </c>
      <c r="O4628" t="s">
        <v>995</v>
      </c>
      <c r="P4628" t="s">
        <v>29</v>
      </c>
      <c r="Q4628" t="s">
        <v>30</v>
      </c>
      <c r="R4628" t="s">
        <v>31</v>
      </c>
      <c r="S4628" t="s">
        <v>32</v>
      </c>
      <c r="T4628" t="s">
        <v>960</v>
      </c>
      <c r="U4628" t="s">
        <v>100</v>
      </c>
      <c r="V4628">
        <v>644.87799999999993</v>
      </c>
    </row>
    <row r="4629" spans="1:22" x14ac:dyDescent="0.3">
      <c r="A4629" t="s">
        <v>6111</v>
      </c>
      <c r="B4629" s="2">
        <v>45918</v>
      </c>
      <c r="C4629" t="s">
        <v>1028</v>
      </c>
      <c r="D4629" t="s">
        <v>37</v>
      </c>
      <c r="E4629" t="s">
        <v>38</v>
      </c>
      <c r="F4629">
        <v>3</v>
      </c>
      <c r="G4629">
        <v>0</v>
      </c>
      <c r="H4629">
        <v>5400</v>
      </c>
      <c r="I4629">
        <v>1950</v>
      </c>
      <c r="J4629" t="s">
        <v>26</v>
      </c>
      <c r="K4629" t="s">
        <v>40</v>
      </c>
      <c r="L4629">
        <v>1800</v>
      </c>
      <c r="M4629">
        <v>36.111111111111107</v>
      </c>
      <c r="N4629" t="s">
        <v>8</v>
      </c>
      <c r="O4629" t="s">
        <v>390</v>
      </c>
      <c r="P4629" t="s">
        <v>29</v>
      </c>
      <c r="Q4629" t="s">
        <v>74</v>
      </c>
      <c r="R4629" t="s">
        <v>237</v>
      </c>
      <c r="S4629" t="s">
        <v>238</v>
      </c>
      <c r="T4629" t="s">
        <v>1029</v>
      </c>
      <c r="U4629" t="s">
        <v>46</v>
      </c>
      <c r="V4629">
        <v>650</v>
      </c>
    </row>
    <row r="4630" spans="1:22" x14ac:dyDescent="0.3">
      <c r="A4630" t="s">
        <v>6112</v>
      </c>
      <c r="B4630" s="2">
        <v>45942</v>
      </c>
      <c r="C4630" t="s">
        <v>1297</v>
      </c>
      <c r="D4630" t="s">
        <v>37</v>
      </c>
      <c r="E4630" t="s">
        <v>38</v>
      </c>
      <c r="F4630">
        <v>4</v>
      </c>
      <c r="G4630">
        <v>0.2</v>
      </c>
      <c r="H4630">
        <v>5760</v>
      </c>
      <c r="I4630">
        <v>1710.33</v>
      </c>
      <c r="J4630" t="s">
        <v>26</v>
      </c>
      <c r="K4630" t="s">
        <v>40</v>
      </c>
      <c r="L4630">
        <v>1440</v>
      </c>
      <c r="M4630">
        <v>29.693229166666669</v>
      </c>
      <c r="N4630" t="s">
        <v>8</v>
      </c>
      <c r="O4630" t="s">
        <v>781</v>
      </c>
      <c r="P4630" t="s">
        <v>29</v>
      </c>
      <c r="Q4630" t="s">
        <v>30</v>
      </c>
      <c r="R4630" t="s">
        <v>31</v>
      </c>
      <c r="S4630" t="s">
        <v>32</v>
      </c>
      <c r="T4630" t="s">
        <v>1298</v>
      </c>
      <c r="U4630" t="s">
        <v>100</v>
      </c>
      <c r="V4630">
        <v>427.58249999999998</v>
      </c>
    </row>
    <row r="4631" spans="1:22" x14ac:dyDescent="0.3">
      <c r="A4631" t="s">
        <v>6113</v>
      </c>
      <c r="B4631" s="2">
        <v>46223</v>
      </c>
      <c r="C4631" t="s">
        <v>2017</v>
      </c>
      <c r="D4631" t="s">
        <v>70</v>
      </c>
      <c r="E4631" t="s">
        <v>71</v>
      </c>
      <c r="F4631">
        <v>4</v>
      </c>
      <c r="G4631">
        <v>0.15</v>
      </c>
      <c r="H4631">
        <v>61200</v>
      </c>
      <c r="I4631">
        <v>5860.71</v>
      </c>
      <c r="J4631" t="s">
        <v>39</v>
      </c>
      <c r="K4631" t="s">
        <v>40</v>
      </c>
      <c r="L4631">
        <v>15300</v>
      </c>
      <c r="M4631">
        <v>9.5763235294117646</v>
      </c>
      <c r="N4631" t="s">
        <v>8</v>
      </c>
      <c r="O4631" t="s">
        <v>844</v>
      </c>
      <c r="P4631" t="s">
        <v>29</v>
      </c>
      <c r="Q4631" t="s">
        <v>30</v>
      </c>
      <c r="R4631" t="s">
        <v>31</v>
      </c>
      <c r="S4631" t="s">
        <v>32</v>
      </c>
      <c r="T4631" t="s">
        <v>2018</v>
      </c>
      <c r="U4631" t="s">
        <v>34</v>
      </c>
      <c r="V4631">
        <v>1465.1775</v>
      </c>
    </row>
    <row r="4632" spans="1:22" x14ac:dyDescent="0.3">
      <c r="A4632" t="s">
        <v>6114</v>
      </c>
      <c r="B4632" s="2">
        <v>45857</v>
      </c>
      <c r="C4632" t="s">
        <v>1685</v>
      </c>
      <c r="D4632" t="s">
        <v>49</v>
      </c>
      <c r="E4632" t="s">
        <v>79</v>
      </c>
      <c r="F4632">
        <v>2</v>
      </c>
      <c r="G4632">
        <v>0</v>
      </c>
      <c r="H4632">
        <v>22000</v>
      </c>
      <c r="I4632">
        <v>-2534.83</v>
      </c>
      <c r="J4632" t="s">
        <v>65</v>
      </c>
      <c r="K4632" t="s">
        <v>434</v>
      </c>
      <c r="L4632">
        <v>11000</v>
      </c>
      <c r="M4632">
        <v>-11.521954545454539</v>
      </c>
      <c r="N4632" t="s">
        <v>81</v>
      </c>
      <c r="O4632" t="s">
        <v>1215</v>
      </c>
      <c r="P4632" t="s">
        <v>29</v>
      </c>
      <c r="Q4632" t="s">
        <v>131</v>
      </c>
      <c r="R4632" t="s">
        <v>132</v>
      </c>
      <c r="S4632" t="s">
        <v>133</v>
      </c>
      <c r="T4632" t="s">
        <v>1686</v>
      </c>
      <c r="U4632" t="s">
        <v>105</v>
      </c>
      <c r="V4632">
        <v>-1267.415</v>
      </c>
    </row>
    <row r="4633" spans="1:22" x14ac:dyDescent="0.3">
      <c r="A4633" t="s">
        <v>6115</v>
      </c>
      <c r="B4633" s="2">
        <v>45887</v>
      </c>
      <c r="C4633" t="s">
        <v>946</v>
      </c>
      <c r="D4633" t="s">
        <v>70</v>
      </c>
      <c r="E4633" t="s">
        <v>108</v>
      </c>
      <c r="F4633">
        <v>1</v>
      </c>
      <c r="G4633">
        <v>0.05</v>
      </c>
      <c r="H4633">
        <v>4275</v>
      </c>
      <c r="I4633">
        <v>1392.45</v>
      </c>
      <c r="J4633" t="s">
        <v>39</v>
      </c>
      <c r="K4633" t="s">
        <v>40</v>
      </c>
      <c r="L4633">
        <v>4275</v>
      </c>
      <c r="M4633">
        <v>32.571929824561401</v>
      </c>
      <c r="N4633" t="s">
        <v>8</v>
      </c>
      <c r="O4633" t="s">
        <v>947</v>
      </c>
      <c r="P4633" t="s">
        <v>73</v>
      </c>
      <c r="Q4633" t="s">
        <v>74</v>
      </c>
      <c r="R4633" t="s">
        <v>75</v>
      </c>
      <c r="S4633" t="s">
        <v>75</v>
      </c>
      <c r="T4633" t="s">
        <v>948</v>
      </c>
      <c r="U4633" t="s">
        <v>100</v>
      </c>
      <c r="V4633">
        <v>1392.45</v>
      </c>
    </row>
    <row r="4634" spans="1:22" x14ac:dyDescent="0.3">
      <c r="A4634" t="s">
        <v>6116</v>
      </c>
      <c r="B4634" s="2">
        <v>45891</v>
      </c>
      <c r="C4634" t="s">
        <v>1791</v>
      </c>
      <c r="D4634" t="s">
        <v>24</v>
      </c>
      <c r="E4634" t="s">
        <v>92</v>
      </c>
      <c r="F4634">
        <v>2</v>
      </c>
      <c r="G4634">
        <v>0.05</v>
      </c>
      <c r="H4634">
        <v>1710</v>
      </c>
      <c r="I4634">
        <v>512.37</v>
      </c>
      <c r="J4634" t="s">
        <v>26</v>
      </c>
      <c r="K4634" t="s">
        <v>40</v>
      </c>
      <c r="L4634">
        <v>855</v>
      </c>
      <c r="M4634">
        <v>29.963157894736842</v>
      </c>
      <c r="N4634" t="s">
        <v>8</v>
      </c>
      <c r="O4634" t="s">
        <v>851</v>
      </c>
      <c r="P4634" t="s">
        <v>83</v>
      </c>
      <c r="Q4634" t="s">
        <v>30</v>
      </c>
      <c r="R4634" t="s">
        <v>60</v>
      </c>
      <c r="S4634" t="s">
        <v>61</v>
      </c>
      <c r="T4634" t="s">
        <v>1792</v>
      </c>
      <c r="U4634" t="s">
        <v>105</v>
      </c>
      <c r="V4634">
        <v>256.185</v>
      </c>
    </row>
    <row r="4635" spans="1:22" x14ac:dyDescent="0.3">
      <c r="A4635" t="s">
        <v>6117</v>
      </c>
      <c r="B4635" s="2">
        <v>46235</v>
      </c>
      <c r="C4635" t="s">
        <v>2188</v>
      </c>
      <c r="D4635" t="s">
        <v>70</v>
      </c>
      <c r="E4635" t="s">
        <v>129</v>
      </c>
      <c r="F4635">
        <v>2</v>
      </c>
      <c r="G4635">
        <v>0.05</v>
      </c>
      <c r="H4635">
        <v>104500</v>
      </c>
      <c r="I4635">
        <v>14388.27</v>
      </c>
      <c r="J4635" t="s">
        <v>51</v>
      </c>
      <c r="K4635" t="s">
        <v>40</v>
      </c>
      <c r="L4635">
        <v>52250</v>
      </c>
      <c r="M4635">
        <v>13.76867942583732</v>
      </c>
      <c r="N4635" t="s">
        <v>8</v>
      </c>
      <c r="O4635" t="s">
        <v>1963</v>
      </c>
      <c r="P4635" t="s">
        <v>29</v>
      </c>
      <c r="Q4635" t="s">
        <v>42</v>
      </c>
      <c r="R4635" t="s">
        <v>214</v>
      </c>
      <c r="S4635" t="s">
        <v>111</v>
      </c>
      <c r="T4635" t="s">
        <v>2189</v>
      </c>
      <c r="U4635" t="s">
        <v>46</v>
      </c>
      <c r="V4635">
        <v>7194.1350000000002</v>
      </c>
    </row>
    <row r="4636" spans="1:22" x14ac:dyDescent="0.3">
      <c r="A4636" t="s">
        <v>6118</v>
      </c>
      <c r="B4636" s="2">
        <v>45845</v>
      </c>
      <c r="C4636" t="s">
        <v>1024</v>
      </c>
      <c r="D4636" t="s">
        <v>37</v>
      </c>
      <c r="E4636" t="s">
        <v>38</v>
      </c>
      <c r="F4636">
        <v>1</v>
      </c>
      <c r="G4636">
        <v>0.2</v>
      </c>
      <c r="H4636">
        <v>1440</v>
      </c>
      <c r="I4636">
        <v>474.46</v>
      </c>
      <c r="J4636" t="s">
        <v>65</v>
      </c>
      <c r="K4636" t="s">
        <v>40</v>
      </c>
      <c r="L4636">
        <v>1440</v>
      </c>
      <c r="M4636">
        <v>32.948611111111113</v>
      </c>
      <c r="N4636" t="s">
        <v>8</v>
      </c>
      <c r="O4636" t="s">
        <v>1025</v>
      </c>
      <c r="P4636" t="s">
        <v>29</v>
      </c>
      <c r="Q4636" t="s">
        <v>74</v>
      </c>
      <c r="R4636" t="s">
        <v>75</v>
      </c>
      <c r="S4636" t="s">
        <v>75</v>
      </c>
      <c r="T4636" t="s">
        <v>1026</v>
      </c>
      <c r="U4636" t="s">
        <v>46</v>
      </c>
      <c r="V4636">
        <v>474.46</v>
      </c>
    </row>
    <row r="4637" spans="1:22" x14ac:dyDescent="0.3">
      <c r="A4637" t="s">
        <v>6119</v>
      </c>
      <c r="B4637" s="2">
        <v>46167</v>
      </c>
      <c r="C4637" t="s">
        <v>2472</v>
      </c>
      <c r="D4637" t="s">
        <v>49</v>
      </c>
      <c r="E4637" t="s">
        <v>58</v>
      </c>
      <c r="F4637">
        <v>3</v>
      </c>
      <c r="G4637">
        <v>0.1</v>
      </c>
      <c r="H4637">
        <v>40500</v>
      </c>
      <c r="I4637">
        <v>7567.37</v>
      </c>
      <c r="J4637" t="s">
        <v>26</v>
      </c>
      <c r="K4637" t="s">
        <v>40</v>
      </c>
      <c r="L4637">
        <v>13500</v>
      </c>
      <c r="M4637">
        <v>18.68486419753086</v>
      </c>
      <c r="N4637" t="s">
        <v>8</v>
      </c>
      <c r="O4637" t="s">
        <v>2473</v>
      </c>
      <c r="P4637" t="s">
        <v>73</v>
      </c>
      <c r="Q4637" t="s">
        <v>74</v>
      </c>
      <c r="R4637" t="s">
        <v>115</v>
      </c>
      <c r="S4637" t="s">
        <v>115</v>
      </c>
      <c r="T4637" t="s">
        <v>2474</v>
      </c>
      <c r="U4637" t="s">
        <v>105</v>
      </c>
      <c r="V4637">
        <v>2522.456666666666</v>
      </c>
    </row>
    <row r="4638" spans="1:22" x14ac:dyDescent="0.3">
      <c r="A4638" t="s">
        <v>6120</v>
      </c>
      <c r="B4638" s="2">
        <v>46191</v>
      </c>
      <c r="C4638" t="s">
        <v>1837</v>
      </c>
      <c r="D4638" t="s">
        <v>37</v>
      </c>
      <c r="E4638" t="s">
        <v>310</v>
      </c>
      <c r="F4638">
        <v>1</v>
      </c>
      <c r="G4638">
        <v>0.15</v>
      </c>
      <c r="H4638">
        <v>1870</v>
      </c>
      <c r="I4638">
        <v>479.58</v>
      </c>
      <c r="J4638" t="s">
        <v>26</v>
      </c>
      <c r="K4638" t="s">
        <v>27</v>
      </c>
      <c r="L4638">
        <v>1870</v>
      </c>
      <c r="M4638">
        <v>25.645989304812829</v>
      </c>
      <c r="N4638" t="s">
        <v>8</v>
      </c>
      <c r="O4638" t="s">
        <v>492</v>
      </c>
      <c r="P4638" t="s">
        <v>29</v>
      </c>
      <c r="Q4638" t="s">
        <v>131</v>
      </c>
      <c r="R4638" t="s">
        <v>200</v>
      </c>
      <c r="S4638" t="s">
        <v>1838</v>
      </c>
      <c r="T4638" t="s">
        <v>1839</v>
      </c>
      <c r="U4638" t="s">
        <v>34</v>
      </c>
      <c r="V4638">
        <v>479.58</v>
      </c>
    </row>
    <row r="4639" spans="1:22" x14ac:dyDescent="0.3">
      <c r="A4639" t="s">
        <v>6121</v>
      </c>
      <c r="B4639" s="2">
        <v>45989</v>
      </c>
      <c r="C4639" t="s">
        <v>1830</v>
      </c>
      <c r="D4639" t="s">
        <v>70</v>
      </c>
      <c r="E4639" t="s">
        <v>71</v>
      </c>
      <c r="F4639">
        <v>5</v>
      </c>
      <c r="G4639">
        <v>0</v>
      </c>
      <c r="H4639">
        <v>90000</v>
      </c>
      <c r="I4639">
        <v>17500</v>
      </c>
      <c r="J4639" t="s">
        <v>26</v>
      </c>
      <c r="K4639" t="s">
        <v>40</v>
      </c>
      <c r="L4639">
        <v>18000</v>
      </c>
      <c r="M4639">
        <v>19.44444444444445</v>
      </c>
      <c r="N4639" t="s">
        <v>8</v>
      </c>
      <c r="O4639" t="s">
        <v>1831</v>
      </c>
      <c r="P4639" t="s">
        <v>29</v>
      </c>
      <c r="Q4639" t="s">
        <v>30</v>
      </c>
      <c r="R4639" t="s">
        <v>60</v>
      </c>
      <c r="S4639" t="s">
        <v>61</v>
      </c>
      <c r="T4639" t="s">
        <v>1832</v>
      </c>
      <c r="U4639" t="s">
        <v>34</v>
      </c>
      <c r="V4639">
        <v>3500</v>
      </c>
    </row>
    <row r="4640" spans="1:22" x14ac:dyDescent="0.3">
      <c r="A4640" t="s">
        <v>6122</v>
      </c>
      <c r="B4640" s="2">
        <v>46129</v>
      </c>
      <c r="C4640" t="s">
        <v>140</v>
      </c>
      <c r="D4640" t="s">
        <v>49</v>
      </c>
      <c r="E4640" t="s">
        <v>50</v>
      </c>
      <c r="F4640">
        <v>2</v>
      </c>
      <c r="G4640">
        <v>0</v>
      </c>
      <c r="H4640">
        <v>26000</v>
      </c>
      <c r="I4640">
        <v>6400</v>
      </c>
      <c r="J4640" t="s">
        <v>51</v>
      </c>
      <c r="K4640" t="s">
        <v>40</v>
      </c>
      <c r="L4640">
        <v>13000</v>
      </c>
      <c r="M4640">
        <v>24.61538461538462</v>
      </c>
      <c r="N4640" t="s">
        <v>8</v>
      </c>
      <c r="O4640" t="s">
        <v>141</v>
      </c>
      <c r="P4640" t="s">
        <v>29</v>
      </c>
      <c r="Q4640" t="s">
        <v>30</v>
      </c>
      <c r="R4640" t="s">
        <v>53</v>
      </c>
      <c r="S4640" t="s">
        <v>54</v>
      </c>
      <c r="T4640" t="s">
        <v>142</v>
      </c>
      <c r="U4640" t="s">
        <v>100</v>
      </c>
      <c r="V4640">
        <v>3200</v>
      </c>
    </row>
    <row r="4641" spans="1:22" x14ac:dyDescent="0.3">
      <c r="A4641" t="s">
        <v>6123</v>
      </c>
      <c r="B4641" s="2">
        <v>45923</v>
      </c>
      <c r="C4641" t="s">
        <v>1056</v>
      </c>
      <c r="D4641" t="s">
        <v>49</v>
      </c>
      <c r="E4641" t="s">
        <v>58</v>
      </c>
      <c r="F4641">
        <v>1</v>
      </c>
      <c r="G4641">
        <v>0.1</v>
      </c>
      <c r="H4641">
        <v>13500</v>
      </c>
      <c r="I4641">
        <v>2762.05</v>
      </c>
      <c r="J4641" t="s">
        <v>51</v>
      </c>
      <c r="K4641" t="s">
        <v>27</v>
      </c>
      <c r="L4641">
        <v>13500</v>
      </c>
      <c r="M4641">
        <v>20.459629629629632</v>
      </c>
      <c r="N4641" t="s">
        <v>8</v>
      </c>
      <c r="O4641" t="s">
        <v>1057</v>
      </c>
      <c r="P4641" t="s">
        <v>29</v>
      </c>
      <c r="Q4641" t="s">
        <v>30</v>
      </c>
      <c r="R4641" t="s">
        <v>31</v>
      </c>
      <c r="S4641" t="s">
        <v>32</v>
      </c>
      <c r="T4641" t="s">
        <v>1058</v>
      </c>
      <c r="U4641" t="s">
        <v>34</v>
      </c>
      <c r="V4641">
        <v>2762.05</v>
      </c>
    </row>
    <row r="4642" spans="1:22" x14ac:dyDescent="0.3">
      <c r="A4642" t="s">
        <v>6124</v>
      </c>
      <c r="B4642" s="2">
        <v>45892</v>
      </c>
      <c r="C4642" t="s">
        <v>974</v>
      </c>
      <c r="D4642" t="s">
        <v>49</v>
      </c>
      <c r="E4642" t="s">
        <v>79</v>
      </c>
      <c r="F4642">
        <v>1</v>
      </c>
      <c r="G4642">
        <v>0</v>
      </c>
      <c r="H4642">
        <v>11000</v>
      </c>
      <c r="I4642">
        <v>2600</v>
      </c>
      <c r="J4642" t="s">
        <v>65</v>
      </c>
      <c r="K4642" t="s">
        <v>40</v>
      </c>
      <c r="L4642">
        <v>11000</v>
      </c>
      <c r="M4642">
        <v>23.63636363636364</v>
      </c>
      <c r="N4642" t="s">
        <v>8</v>
      </c>
      <c r="O4642" t="s">
        <v>975</v>
      </c>
      <c r="P4642" t="s">
        <v>73</v>
      </c>
      <c r="Q4642" t="s">
        <v>42</v>
      </c>
      <c r="R4642" t="s">
        <v>43</v>
      </c>
      <c r="S4642" t="s">
        <v>44</v>
      </c>
      <c r="T4642" t="s">
        <v>976</v>
      </c>
      <c r="U4642" t="s">
        <v>100</v>
      </c>
      <c r="V4642">
        <v>2600</v>
      </c>
    </row>
    <row r="4643" spans="1:22" x14ac:dyDescent="0.3">
      <c r="A4643" t="s">
        <v>6125</v>
      </c>
      <c r="B4643" s="2">
        <v>46077</v>
      </c>
      <c r="C4643" t="s">
        <v>872</v>
      </c>
      <c r="D4643" t="s">
        <v>70</v>
      </c>
      <c r="E4643" t="s">
        <v>71</v>
      </c>
      <c r="F4643">
        <v>2</v>
      </c>
      <c r="G4643">
        <v>0.1</v>
      </c>
      <c r="H4643">
        <v>32400</v>
      </c>
      <c r="I4643">
        <v>4166.6899999999996</v>
      </c>
      <c r="J4643" t="s">
        <v>65</v>
      </c>
      <c r="K4643" t="s">
        <v>40</v>
      </c>
      <c r="L4643">
        <v>16200</v>
      </c>
      <c r="M4643">
        <v>12.86015432098765</v>
      </c>
      <c r="N4643" t="s">
        <v>8</v>
      </c>
      <c r="O4643" t="s">
        <v>492</v>
      </c>
      <c r="P4643" t="s">
        <v>29</v>
      </c>
      <c r="Q4643" t="s">
        <v>42</v>
      </c>
      <c r="R4643" t="s">
        <v>121</v>
      </c>
      <c r="S4643" t="s">
        <v>44</v>
      </c>
      <c r="T4643" t="s">
        <v>873</v>
      </c>
      <c r="U4643" t="s">
        <v>46</v>
      </c>
      <c r="V4643">
        <v>2083.3449999999998</v>
      </c>
    </row>
    <row r="4644" spans="1:22" x14ac:dyDescent="0.3">
      <c r="A4644" t="s">
        <v>6126</v>
      </c>
      <c r="B4644" s="2">
        <v>46085</v>
      </c>
      <c r="C4644" t="s">
        <v>421</v>
      </c>
      <c r="D4644" t="s">
        <v>37</v>
      </c>
      <c r="E4644" t="s">
        <v>310</v>
      </c>
      <c r="F4644">
        <v>15</v>
      </c>
      <c r="G4644">
        <v>0.05</v>
      </c>
      <c r="H4644">
        <v>31350</v>
      </c>
      <c r="I4644">
        <v>10162.780000000001</v>
      </c>
      <c r="J4644" t="s">
        <v>39</v>
      </c>
      <c r="K4644" t="s">
        <v>40</v>
      </c>
      <c r="L4644">
        <v>2090</v>
      </c>
      <c r="M4644">
        <v>32.417161084529504</v>
      </c>
      <c r="N4644" t="s">
        <v>8</v>
      </c>
      <c r="O4644" t="s">
        <v>422</v>
      </c>
      <c r="P4644" t="s">
        <v>73</v>
      </c>
      <c r="Q4644" t="s">
        <v>30</v>
      </c>
      <c r="R4644" t="s">
        <v>98</v>
      </c>
      <c r="S4644" t="s">
        <v>54</v>
      </c>
      <c r="T4644" t="s">
        <v>423</v>
      </c>
      <c r="U4644" t="s">
        <v>34</v>
      </c>
      <c r="V4644">
        <v>677.51866666666672</v>
      </c>
    </row>
    <row r="4645" spans="1:22" x14ac:dyDescent="0.3">
      <c r="A4645" t="s">
        <v>6127</v>
      </c>
      <c r="B4645" s="2">
        <v>45957</v>
      </c>
      <c r="C4645" t="s">
        <v>3889</v>
      </c>
      <c r="D4645" t="s">
        <v>24</v>
      </c>
      <c r="E4645" t="s">
        <v>87</v>
      </c>
      <c r="F4645">
        <v>3</v>
      </c>
      <c r="G4645">
        <v>0.05</v>
      </c>
      <c r="H4645">
        <v>997.5</v>
      </c>
      <c r="I4645">
        <v>322.01</v>
      </c>
      <c r="J4645" t="s">
        <v>65</v>
      </c>
      <c r="K4645" t="s">
        <v>27</v>
      </c>
      <c r="L4645">
        <v>332.5</v>
      </c>
      <c r="M4645">
        <v>32.28170426065163</v>
      </c>
      <c r="N4645" t="s">
        <v>8</v>
      </c>
      <c r="O4645" t="s">
        <v>1989</v>
      </c>
      <c r="P4645" t="s">
        <v>29</v>
      </c>
      <c r="Q4645" t="s">
        <v>131</v>
      </c>
      <c r="R4645" t="s">
        <v>132</v>
      </c>
      <c r="S4645" t="s">
        <v>133</v>
      </c>
      <c r="T4645" t="s">
        <v>3890</v>
      </c>
      <c r="U4645" t="s">
        <v>100</v>
      </c>
      <c r="V4645">
        <v>107.3366666666667</v>
      </c>
    </row>
    <row r="4646" spans="1:22" x14ac:dyDescent="0.3">
      <c r="A4646" t="s">
        <v>6128</v>
      </c>
      <c r="B4646" s="2">
        <v>46165</v>
      </c>
      <c r="C4646" t="s">
        <v>2249</v>
      </c>
      <c r="D4646" t="s">
        <v>49</v>
      </c>
      <c r="E4646" t="s">
        <v>58</v>
      </c>
      <c r="F4646">
        <v>2</v>
      </c>
      <c r="G4646">
        <v>0.1</v>
      </c>
      <c r="H4646">
        <v>27000</v>
      </c>
      <c r="I4646">
        <v>4476.2</v>
      </c>
      <c r="J4646" t="s">
        <v>26</v>
      </c>
      <c r="K4646" t="s">
        <v>40</v>
      </c>
      <c r="L4646">
        <v>13500</v>
      </c>
      <c r="M4646">
        <v>16.578518518518521</v>
      </c>
      <c r="N4646" t="s">
        <v>8</v>
      </c>
      <c r="O4646" t="s">
        <v>1424</v>
      </c>
      <c r="P4646" t="s">
        <v>29</v>
      </c>
      <c r="Q4646" t="s">
        <v>74</v>
      </c>
      <c r="R4646" t="s">
        <v>237</v>
      </c>
      <c r="S4646" t="s">
        <v>238</v>
      </c>
      <c r="T4646" t="s">
        <v>2250</v>
      </c>
      <c r="U4646" t="s">
        <v>105</v>
      </c>
      <c r="V4646">
        <v>2238.1</v>
      </c>
    </row>
    <row r="4647" spans="1:22" x14ac:dyDescent="0.3">
      <c r="A4647" t="s">
        <v>6129</v>
      </c>
      <c r="B4647" s="2">
        <v>46107</v>
      </c>
      <c r="C4647" t="s">
        <v>891</v>
      </c>
      <c r="D4647" t="s">
        <v>37</v>
      </c>
      <c r="E4647" t="s">
        <v>38</v>
      </c>
      <c r="F4647">
        <v>2</v>
      </c>
      <c r="G4647">
        <v>0</v>
      </c>
      <c r="H4647">
        <v>3600</v>
      </c>
      <c r="I4647">
        <v>1300</v>
      </c>
      <c r="J4647" t="s">
        <v>39</v>
      </c>
      <c r="K4647" t="s">
        <v>40</v>
      </c>
      <c r="L4647">
        <v>1800</v>
      </c>
      <c r="M4647">
        <v>36.111111111111107</v>
      </c>
      <c r="N4647" t="s">
        <v>8</v>
      </c>
      <c r="O4647" t="s">
        <v>892</v>
      </c>
      <c r="P4647" t="s">
        <v>29</v>
      </c>
      <c r="Q4647" t="s">
        <v>30</v>
      </c>
      <c r="R4647" t="s">
        <v>31</v>
      </c>
      <c r="S4647" t="s">
        <v>32</v>
      </c>
      <c r="T4647" t="s">
        <v>893</v>
      </c>
      <c r="U4647" t="s">
        <v>34</v>
      </c>
      <c r="V4647">
        <v>650</v>
      </c>
    </row>
    <row r="4648" spans="1:22" x14ac:dyDescent="0.3">
      <c r="A4648" t="s">
        <v>6130</v>
      </c>
      <c r="B4648" s="2">
        <v>46233</v>
      </c>
      <c r="C4648" t="s">
        <v>208</v>
      </c>
      <c r="D4648" t="s">
        <v>70</v>
      </c>
      <c r="E4648" t="s">
        <v>165</v>
      </c>
      <c r="F4648">
        <v>2</v>
      </c>
      <c r="G4648">
        <v>0.1</v>
      </c>
      <c r="H4648">
        <v>4500</v>
      </c>
      <c r="I4648">
        <v>-1384.72</v>
      </c>
      <c r="J4648" t="s">
        <v>51</v>
      </c>
      <c r="K4648" t="s">
        <v>80</v>
      </c>
      <c r="L4648">
        <v>2250</v>
      </c>
      <c r="M4648">
        <v>-30.771555555555562</v>
      </c>
      <c r="N4648" t="s">
        <v>81</v>
      </c>
      <c r="O4648" t="s">
        <v>209</v>
      </c>
      <c r="P4648" t="s">
        <v>29</v>
      </c>
      <c r="Q4648" t="s">
        <v>30</v>
      </c>
      <c r="R4648" t="s">
        <v>60</v>
      </c>
      <c r="S4648" t="s">
        <v>61</v>
      </c>
      <c r="T4648" t="s">
        <v>210</v>
      </c>
      <c r="U4648" t="s">
        <v>46</v>
      </c>
      <c r="V4648">
        <v>-692.36</v>
      </c>
    </row>
    <row r="4649" spans="1:22" x14ac:dyDescent="0.3">
      <c r="A4649" t="s">
        <v>6131</v>
      </c>
      <c r="B4649" s="2">
        <v>45947</v>
      </c>
      <c r="C4649" t="s">
        <v>377</v>
      </c>
      <c r="D4649" t="s">
        <v>24</v>
      </c>
      <c r="E4649" t="s">
        <v>25</v>
      </c>
      <c r="F4649">
        <v>5</v>
      </c>
      <c r="G4649">
        <v>0</v>
      </c>
      <c r="H4649">
        <v>70000</v>
      </c>
      <c r="I4649">
        <v>14000</v>
      </c>
      <c r="J4649" t="s">
        <v>26</v>
      </c>
      <c r="K4649" t="s">
        <v>40</v>
      </c>
      <c r="L4649">
        <v>14000</v>
      </c>
      <c r="M4649">
        <v>20</v>
      </c>
      <c r="N4649" t="s">
        <v>8</v>
      </c>
      <c r="O4649" t="s">
        <v>378</v>
      </c>
      <c r="P4649" t="s">
        <v>29</v>
      </c>
      <c r="Q4649" t="s">
        <v>30</v>
      </c>
      <c r="R4649" t="s">
        <v>31</v>
      </c>
      <c r="S4649" t="s">
        <v>32</v>
      </c>
      <c r="T4649" t="s">
        <v>379</v>
      </c>
      <c r="U4649" t="s">
        <v>34</v>
      </c>
      <c r="V4649">
        <v>2800</v>
      </c>
    </row>
    <row r="4650" spans="1:22" x14ac:dyDescent="0.3">
      <c r="A4650" t="s">
        <v>6132</v>
      </c>
      <c r="B4650" s="2">
        <v>46255</v>
      </c>
      <c r="C4650" t="s">
        <v>198</v>
      </c>
      <c r="D4650" t="s">
        <v>24</v>
      </c>
      <c r="E4650" t="s">
        <v>242</v>
      </c>
      <c r="F4650">
        <v>1</v>
      </c>
      <c r="G4650">
        <v>0.2</v>
      </c>
      <c r="H4650">
        <v>360</v>
      </c>
      <c r="I4650">
        <v>-138.68</v>
      </c>
      <c r="J4650" t="s">
        <v>26</v>
      </c>
      <c r="K4650" t="s">
        <v>434</v>
      </c>
      <c r="L4650">
        <v>360</v>
      </c>
      <c r="M4650">
        <v>-38.522222222222233</v>
      </c>
      <c r="N4650" t="s">
        <v>81</v>
      </c>
      <c r="O4650" t="s">
        <v>199</v>
      </c>
      <c r="P4650" t="s">
        <v>83</v>
      </c>
      <c r="Q4650" t="s">
        <v>131</v>
      </c>
      <c r="R4650" t="s">
        <v>200</v>
      </c>
      <c r="S4650" t="s">
        <v>201</v>
      </c>
      <c r="T4650" t="s">
        <v>202</v>
      </c>
      <c r="U4650" t="s">
        <v>46</v>
      </c>
      <c r="V4650">
        <v>-138.68</v>
      </c>
    </row>
    <row r="4651" spans="1:22" x14ac:dyDescent="0.3">
      <c r="A4651" t="s">
        <v>6133</v>
      </c>
      <c r="B4651" s="2">
        <v>46023</v>
      </c>
      <c r="C4651" t="s">
        <v>140</v>
      </c>
      <c r="D4651" t="s">
        <v>49</v>
      </c>
      <c r="E4651" t="s">
        <v>50</v>
      </c>
      <c r="F4651">
        <v>2</v>
      </c>
      <c r="G4651">
        <v>0</v>
      </c>
      <c r="H4651">
        <v>26000</v>
      </c>
      <c r="I4651">
        <v>6400</v>
      </c>
      <c r="J4651" t="s">
        <v>65</v>
      </c>
      <c r="K4651" t="s">
        <v>40</v>
      </c>
      <c r="L4651">
        <v>13000</v>
      </c>
      <c r="M4651">
        <v>24.61538461538462</v>
      </c>
      <c r="N4651" t="s">
        <v>8</v>
      </c>
      <c r="O4651" t="s">
        <v>141</v>
      </c>
      <c r="P4651" t="s">
        <v>29</v>
      </c>
      <c r="Q4651" t="s">
        <v>30</v>
      </c>
      <c r="R4651" t="s">
        <v>53</v>
      </c>
      <c r="S4651" t="s">
        <v>54</v>
      </c>
      <c r="T4651" t="s">
        <v>142</v>
      </c>
      <c r="U4651" t="s">
        <v>100</v>
      </c>
      <c r="V4651">
        <v>3200</v>
      </c>
    </row>
    <row r="4652" spans="1:22" x14ac:dyDescent="0.3">
      <c r="A4652" t="s">
        <v>6134</v>
      </c>
      <c r="B4652" s="2">
        <v>46206</v>
      </c>
      <c r="C4652" t="s">
        <v>69</v>
      </c>
      <c r="D4652" t="s">
        <v>37</v>
      </c>
      <c r="E4652" t="s">
        <v>38</v>
      </c>
      <c r="F4652">
        <v>6</v>
      </c>
      <c r="G4652">
        <v>0.05</v>
      </c>
      <c r="H4652">
        <v>10260</v>
      </c>
      <c r="I4652">
        <v>3604.24</v>
      </c>
      <c r="J4652" t="s">
        <v>51</v>
      </c>
      <c r="K4652" t="s">
        <v>40</v>
      </c>
      <c r="L4652">
        <v>1710</v>
      </c>
      <c r="M4652">
        <v>35.12904483430799</v>
      </c>
      <c r="N4652" t="s">
        <v>8</v>
      </c>
      <c r="O4652" t="s">
        <v>72</v>
      </c>
      <c r="P4652" t="s">
        <v>73</v>
      </c>
      <c r="Q4652" t="s">
        <v>74</v>
      </c>
      <c r="R4652" t="s">
        <v>75</v>
      </c>
      <c r="S4652" t="s">
        <v>75</v>
      </c>
      <c r="T4652" t="s">
        <v>76</v>
      </c>
      <c r="U4652" t="s">
        <v>34</v>
      </c>
      <c r="V4652">
        <v>600.70666666666659</v>
      </c>
    </row>
    <row r="4653" spans="1:22" x14ac:dyDescent="0.3">
      <c r="A4653" t="s">
        <v>6135</v>
      </c>
      <c r="B4653" s="2">
        <v>46212</v>
      </c>
      <c r="C4653" t="s">
        <v>589</v>
      </c>
      <c r="D4653" t="s">
        <v>70</v>
      </c>
      <c r="E4653" t="s">
        <v>71</v>
      </c>
      <c r="F4653">
        <v>3</v>
      </c>
      <c r="G4653">
        <v>0</v>
      </c>
      <c r="H4653">
        <v>54000</v>
      </c>
      <c r="I4653">
        <v>10500</v>
      </c>
      <c r="J4653" t="s">
        <v>65</v>
      </c>
      <c r="K4653" t="s">
        <v>40</v>
      </c>
      <c r="L4653">
        <v>18000</v>
      </c>
      <c r="M4653">
        <v>19.44444444444445</v>
      </c>
      <c r="N4653" t="s">
        <v>8</v>
      </c>
      <c r="O4653" t="s">
        <v>590</v>
      </c>
      <c r="P4653" t="s">
        <v>83</v>
      </c>
      <c r="Q4653" t="s">
        <v>74</v>
      </c>
      <c r="R4653" t="s">
        <v>493</v>
      </c>
      <c r="S4653" t="s">
        <v>494</v>
      </c>
      <c r="T4653" t="s">
        <v>591</v>
      </c>
      <c r="U4653" t="s">
        <v>100</v>
      </c>
      <c r="V4653">
        <v>3500</v>
      </c>
    </row>
    <row r="4654" spans="1:22" x14ac:dyDescent="0.3">
      <c r="A4654" t="s">
        <v>6136</v>
      </c>
      <c r="B4654" s="2">
        <v>46196</v>
      </c>
      <c r="C4654" t="s">
        <v>1812</v>
      </c>
      <c r="D4654" t="s">
        <v>49</v>
      </c>
      <c r="E4654" t="s">
        <v>58</v>
      </c>
      <c r="F4654">
        <v>5</v>
      </c>
      <c r="G4654">
        <v>0.15</v>
      </c>
      <c r="H4654">
        <v>63750</v>
      </c>
      <c r="I4654">
        <v>9695.44</v>
      </c>
      <c r="J4654" t="s">
        <v>65</v>
      </c>
      <c r="K4654" t="s">
        <v>40</v>
      </c>
      <c r="L4654">
        <v>12750</v>
      </c>
      <c r="M4654">
        <v>15.208533333333341</v>
      </c>
      <c r="N4654" t="s">
        <v>8</v>
      </c>
      <c r="O4654" t="s">
        <v>1813</v>
      </c>
      <c r="P4654" t="s">
        <v>83</v>
      </c>
      <c r="Q4654" t="s">
        <v>30</v>
      </c>
      <c r="R4654" t="s">
        <v>98</v>
      </c>
      <c r="S4654" t="s">
        <v>54</v>
      </c>
      <c r="T4654" t="s">
        <v>1089</v>
      </c>
      <c r="U4654" t="s">
        <v>34</v>
      </c>
      <c r="V4654">
        <v>1939.088</v>
      </c>
    </row>
    <row r="4655" spans="1:22" x14ac:dyDescent="0.3">
      <c r="A4655" t="s">
        <v>6137</v>
      </c>
      <c r="B4655" s="2">
        <v>46161</v>
      </c>
      <c r="C4655" t="s">
        <v>1229</v>
      </c>
      <c r="D4655" t="s">
        <v>37</v>
      </c>
      <c r="E4655" t="s">
        <v>170</v>
      </c>
      <c r="F4655">
        <v>2</v>
      </c>
      <c r="G4655">
        <v>0.05</v>
      </c>
      <c r="H4655">
        <v>2660</v>
      </c>
      <c r="I4655">
        <v>925.38</v>
      </c>
      <c r="J4655" t="s">
        <v>51</v>
      </c>
      <c r="K4655" t="s">
        <v>40</v>
      </c>
      <c r="L4655">
        <v>1330</v>
      </c>
      <c r="M4655">
        <v>34.788721804511283</v>
      </c>
      <c r="N4655" t="s">
        <v>8</v>
      </c>
      <c r="O4655" t="s">
        <v>1102</v>
      </c>
      <c r="P4655" t="s">
        <v>83</v>
      </c>
      <c r="Q4655" t="s">
        <v>42</v>
      </c>
      <c r="R4655" t="s">
        <v>110</v>
      </c>
      <c r="S4655" t="s">
        <v>111</v>
      </c>
      <c r="T4655" t="s">
        <v>912</v>
      </c>
      <c r="U4655" t="s">
        <v>46</v>
      </c>
      <c r="V4655">
        <v>462.69</v>
      </c>
    </row>
    <row r="4656" spans="1:22" x14ac:dyDescent="0.3">
      <c r="A4656" t="s">
        <v>6138</v>
      </c>
      <c r="B4656" s="2">
        <v>45922</v>
      </c>
      <c r="C4656" t="s">
        <v>640</v>
      </c>
      <c r="D4656" t="s">
        <v>49</v>
      </c>
      <c r="E4656" t="s">
        <v>119</v>
      </c>
      <c r="F4656">
        <v>2</v>
      </c>
      <c r="G4656">
        <v>0.1</v>
      </c>
      <c r="H4656">
        <v>16200</v>
      </c>
      <c r="I4656">
        <v>3599.76</v>
      </c>
      <c r="J4656" t="s">
        <v>65</v>
      </c>
      <c r="K4656" t="s">
        <v>40</v>
      </c>
      <c r="L4656">
        <v>8100</v>
      </c>
      <c r="M4656">
        <v>22.220740740740741</v>
      </c>
      <c r="N4656" t="s">
        <v>8</v>
      </c>
      <c r="O4656" t="s">
        <v>641</v>
      </c>
      <c r="P4656" t="s">
        <v>29</v>
      </c>
      <c r="Q4656" t="s">
        <v>30</v>
      </c>
      <c r="R4656" t="s">
        <v>31</v>
      </c>
      <c r="S4656" t="s">
        <v>32</v>
      </c>
      <c r="T4656" t="s">
        <v>642</v>
      </c>
      <c r="U4656" t="s">
        <v>34</v>
      </c>
      <c r="V4656">
        <v>1799.88</v>
      </c>
    </row>
    <row r="4657" spans="1:22" x14ac:dyDescent="0.3">
      <c r="A4657" t="s">
        <v>6139</v>
      </c>
      <c r="B4657" s="2">
        <v>46093</v>
      </c>
      <c r="C4657" t="s">
        <v>1637</v>
      </c>
      <c r="D4657" t="s">
        <v>37</v>
      </c>
      <c r="E4657" t="s">
        <v>170</v>
      </c>
      <c r="F4657">
        <v>2</v>
      </c>
      <c r="G4657">
        <v>0.15</v>
      </c>
      <c r="H4657">
        <v>2380</v>
      </c>
      <c r="I4657">
        <v>776.43</v>
      </c>
      <c r="J4657" t="s">
        <v>39</v>
      </c>
      <c r="K4657" t="s">
        <v>40</v>
      </c>
      <c r="L4657">
        <v>1190</v>
      </c>
      <c r="M4657">
        <v>32.623109243697478</v>
      </c>
      <c r="N4657" t="s">
        <v>8</v>
      </c>
      <c r="O4657" t="s">
        <v>697</v>
      </c>
      <c r="P4657" t="s">
        <v>29</v>
      </c>
      <c r="Q4657" t="s">
        <v>30</v>
      </c>
      <c r="R4657" t="s">
        <v>31</v>
      </c>
      <c r="S4657" t="s">
        <v>32</v>
      </c>
      <c r="T4657" t="s">
        <v>1638</v>
      </c>
      <c r="U4657" t="s">
        <v>46</v>
      </c>
      <c r="V4657">
        <v>388.21499999999997</v>
      </c>
    </row>
    <row r="4658" spans="1:22" x14ac:dyDescent="0.3">
      <c r="A4658" t="s">
        <v>6140</v>
      </c>
      <c r="B4658" s="2">
        <v>46152</v>
      </c>
      <c r="C4658" t="s">
        <v>64</v>
      </c>
      <c r="D4658" t="s">
        <v>24</v>
      </c>
      <c r="E4658" t="s">
        <v>242</v>
      </c>
      <c r="F4658">
        <v>1</v>
      </c>
      <c r="G4658">
        <v>0.1</v>
      </c>
      <c r="H4658">
        <v>405</v>
      </c>
      <c r="I4658">
        <v>82.05</v>
      </c>
      <c r="J4658" t="s">
        <v>26</v>
      </c>
      <c r="K4658" t="s">
        <v>40</v>
      </c>
      <c r="L4658">
        <v>405</v>
      </c>
      <c r="M4658">
        <v>20.25925925925926</v>
      </c>
      <c r="N4658" t="s">
        <v>8</v>
      </c>
      <c r="O4658" t="s">
        <v>66</v>
      </c>
      <c r="P4658" t="s">
        <v>29</v>
      </c>
      <c r="Q4658" t="s">
        <v>42</v>
      </c>
      <c r="R4658" t="s">
        <v>43</v>
      </c>
      <c r="S4658" t="s">
        <v>44</v>
      </c>
      <c r="T4658" t="s">
        <v>67</v>
      </c>
      <c r="U4658" t="s">
        <v>34</v>
      </c>
      <c r="V4658">
        <v>82.05</v>
      </c>
    </row>
    <row r="4659" spans="1:22" x14ac:dyDescent="0.3">
      <c r="A4659" t="s">
        <v>6141</v>
      </c>
      <c r="B4659" s="2">
        <v>46118</v>
      </c>
      <c r="C4659" t="s">
        <v>1694</v>
      </c>
      <c r="D4659" t="s">
        <v>70</v>
      </c>
      <c r="E4659" t="s">
        <v>165</v>
      </c>
      <c r="F4659">
        <v>5</v>
      </c>
      <c r="G4659">
        <v>0.2</v>
      </c>
      <c r="H4659">
        <v>10000</v>
      </c>
      <c r="I4659">
        <v>2365.56</v>
      </c>
      <c r="J4659" t="s">
        <v>39</v>
      </c>
      <c r="K4659" t="s">
        <v>40</v>
      </c>
      <c r="L4659">
        <v>2000</v>
      </c>
      <c r="M4659">
        <v>23.6556</v>
      </c>
      <c r="N4659" t="s">
        <v>8</v>
      </c>
      <c r="O4659" t="s">
        <v>1695</v>
      </c>
      <c r="P4659" t="s">
        <v>73</v>
      </c>
      <c r="Q4659" t="s">
        <v>30</v>
      </c>
      <c r="R4659" t="s">
        <v>60</v>
      </c>
      <c r="S4659" t="s">
        <v>61</v>
      </c>
      <c r="T4659" t="s">
        <v>1696</v>
      </c>
      <c r="U4659" t="s">
        <v>100</v>
      </c>
      <c r="V4659">
        <v>473.11200000000002</v>
      </c>
    </row>
    <row r="4660" spans="1:22" x14ac:dyDescent="0.3">
      <c r="A4660" t="s">
        <v>6142</v>
      </c>
      <c r="B4660" s="2">
        <v>46115</v>
      </c>
      <c r="C4660" t="s">
        <v>2507</v>
      </c>
      <c r="D4660" t="s">
        <v>24</v>
      </c>
      <c r="E4660" t="s">
        <v>25</v>
      </c>
      <c r="F4660">
        <v>2</v>
      </c>
      <c r="G4660">
        <v>0.1</v>
      </c>
      <c r="H4660">
        <v>25200</v>
      </c>
      <c r="I4660">
        <v>3941.61</v>
      </c>
      <c r="J4660" t="s">
        <v>65</v>
      </c>
      <c r="K4660" t="s">
        <v>40</v>
      </c>
      <c r="L4660">
        <v>12600</v>
      </c>
      <c r="M4660">
        <v>15.64130952380952</v>
      </c>
      <c r="N4660" t="s">
        <v>8</v>
      </c>
      <c r="O4660" t="s">
        <v>754</v>
      </c>
      <c r="P4660" t="s">
        <v>29</v>
      </c>
      <c r="Q4660" t="s">
        <v>42</v>
      </c>
      <c r="R4660" t="s">
        <v>43</v>
      </c>
      <c r="S4660" t="s">
        <v>44</v>
      </c>
      <c r="T4660" t="s">
        <v>1145</v>
      </c>
      <c r="U4660" t="s">
        <v>34</v>
      </c>
      <c r="V4660">
        <v>1970.8050000000001</v>
      </c>
    </row>
    <row r="4661" spans="1:22" x14ac:dyDescent="0.3">
      <c r="A4661" t="s">
        <v>6143</v>
      </c>
      <c r="B4661" s="2">
        <v>45923</v>
      </c>
      <c r="C4661" t="s">
        <v>2249</v>
      </c>
      <c r="D4661" t="s">
        <v>24</v>
      </c>
      <c r="E4661" t="s">
        <v>87</v>
      </c>
      <c r="F4661">
        <v>1</v>
      </c>
      <c r="G4661">
        <v>0</v>
      </c>
      <c r="H4661">
        <v>350</v>
      </c>
      <c r="I4661">
        <v>120</v>
      </c>
      <c r="J4661" t="s">
        <v>51</v>
      </c>
      <c r="K4661" t="s">
        <v>40</v>
      </c>
      <c r="L4661">
        <v>350</v>
      </c>
      <c r="M4661">
        <v>34.285714285714278</v>
      </c>
      <c r="N4661" t="s">
        <v>8</v>
      </c>
      <c r="O4661" t="s">
        <v>1424</v>
      </c>
      <c r="P4661" t="s">
        <v>29</v>
      </c>
      <c r="Q4661" t="s">
        <v>74</v>
      </c>
      <c r="R4661" t="s">
        <v>237</v>
      </c>
      <c r="S4661" t="s">
        <v>238</v>
      </c>
      <c r="T4661" t="s">
        <v>2250</v>
      </c>
      <c r="U4661" t="s">
        <v>105</v>
      </c>
      <c r="V4661">
        <v>120</v>
      </c>
    </row>
    <row r="4662" spans="1:22" x14ac:dyDescent="0.3">
      <c r="A4662" t="s">
        <v>6144</v>
      </c>
      <c r="B4662" s="2">
        <v>45933</v>
      </c>
      <c r="C4662" t="s">
        <v>148</v>
      </c>
      <c r="D4662" t="s">
        <v>70</v>
      </c>
      <c r="E4662" t="s">
        <v>165</v>
      </c>
      <c r="F4662">
        <v>1</v>
      </c>
      <c r="G4662">
        <v>0</v>
      </c>
      <c r="H4662">
        <v>2500</v>
      </c>
      <c r="I4662">
        <v>800</v>
      </c>
      <c r="J4662" t="s">
        <v>65</v>
      </c>
      <c r="K4662" t="s">
        <v>40</v>
      </c>
      <c r="L4662">
        <v>2500</v>
      </c>
      <c r="M4662">
        <v>32</v>
      </c>
      <c r="N4662" t="s">
        <v>8</v>
      </c>
      <c r="O4662" t="s">
        <v>149</v>
      </c>
      <c r="P4662" t="s">
        <v>29</v>
      </c>
      <c r="Q4662" t="s">
        <v>30</v>
      </c>
      <c r="R4662" t="s">
        <v>60</v>
      </c>
      <c r="S4662" t="s">
        <v>61</v>
      </c>
      <c r="T4662" t="s">
        <v>150</v>
      </c>
      <c r="U4662" t="s">
        <v>105</v>
      </c>
      <c r="V4662">
        <v>800</v>
      </c>
    </row>
    <row r="4663" spans="1:22" x14ac:dyDescent="0.3">
      <c r="A4663" t="s">
        <v>6145</v>
      </c>
      <c r="B4663" s="2">
        <v>46030</v>
      </c>
      <c r="C4663" t="s">
        <v>3440</v>
      </c>
      <c r="D4663" t="s">
        <v>24</v>
      </c>
      <c r="E4663" t="s">
        <v>92</v>
      </c>
      <c r="F4663">
        <v>1</v>
      </c>
      <c r="G4663">
        <v>0</v>
      </c>
      <c r="H4663">
        <v>900</v>
      </c>
      <c r="I4663">
        <v>280</v>
      </c>
      <c r="J4663" t="s">
        <v>65</v>
      </c>
      <c r="K4663" t="s">
        <v>40</v>
      </c>
      <c r="L4663">
        <v>900</v>
      </c>
      <c r="M4663">
        <v>31.111111111111111</v>
      </c>
      <c r="N4663" t="s">
        <v>8</v>
      </c>
      <c r="O4663" t="s">
        <v>847</v>
      </c>
      <c r="P4663" t="s">
        <v>29</v>
      </c>
      <c r="Q4663" t="s">
        <v>42</v>
      </c>
      <c r="R4663" t="s">
        <v>121</v>
      </c>
      <c r="S4663" t="s">
        <v>44</v>
      </c>
      <c r="T4663" t="s">
        <v>3441</v>
      </c>
      <c r="U4663" t="s">
        <v>34</v>
      </c>
      <c r="V4663">
        <v>280</v>
      </c>
    </row>
    <row r="4664" spans="1:22" x14ac:dyDescent="0.3">
      <c r="A4664" t="s">
        <v>6146</v>
      </c>
      <c r="B4664" s="2">
        <v>46033</v>
      </c>
      <c r="C4664" t="s">
        <v>2241</v>
      </c>
      <c r="D4664" t="s">
        <v>70</v>
      </c>
      <c r="E4664" t="s">
        <v>71</v>
      </c>
      <c r="F4664">
        <v>15</v>
      </c>
      <c r="G4664">
        <v>0.05</v>
      </c>
      <c r="H4664">
        <v>256500</v>
      </c>
      <c r="I4664">
        <v>44841.82</v>
      </c>
      <c r="J4664" t="s">
        <v>51</v>
      </c>
      <c r="K4664" t="s">
        <v>40</v>
      </c>
      <c r="L4664">
        <v>17100</v>
      </c>
      <c r="M4664">
        <v>17.482191033138399</v>
      </c>
      <c r="N4664" t="s">
        <v>8</v>
      </c>
      <c r="O4664" t="s">
        <v>2242</v>
      </c>
      <c r="P4664" t="s">
        <v>73</v>
      </c>
      <c r="Q4664" t="s">
        <v>74</v>
      </c>
      <c r="R4664" t="s">
        <v>493</v>
      </c>
      <c r="S4664" t="s">
        <v>494</v>
      </c>
      <c r="T4664" t="s">
        <v>2243</v>
      </c>
      <c r="U4664" t="s">
        <v>100</v>
      </c>
      <c r="V4664">
        <v>2989.454666666667</v>
      </c>
    </row>
    <row r="4665" spans="1:22" x14ac:dyDescent="0.3">
      <c r="A4665" t="s">
        <v>6147</v>
      </c>
      <c r="B4665" s="2">
        <v>45979</v>
      </c>
      <c r="C4665" t="s">
        <v>1371</v>
      </c>
      <c r="D4665" t="s">
        <v>24</v>
      </c>
      <c r="E4665" t="s">
        <v>87</v>
      </c>
      <c r="F4665">
        <v>4</v>
      </c>
      <c r="G4665">
        <v>0.2</v>
      </c>
      <c r="H4665">
        <v>1120</v>
      </c>
      <c r="I4665">
        <v>338.22</v>
      </c>
      <c r="J4665" t="s">
        <v>51</v>
      </c>
      <c r="K4665" t="s">
        <v>40</v>
      </c>
      <c r="L4665">
        <v>280</v>
      </c>
      <c r="M4665">
        <v>30.19821428571429</v>
      </c>
      <c r="N4665" t="s">
        <v>8</v>
      </c>
      <c r="O4665" t="s">
        <v>641</v>
      </c>
      <c r="P4665" t="s">
        <v>29</v>
      </c>
      <c r="Q4665" t="s">
        <v>131</v>
      </c>
      <c r="R4665" t="s">
        <v>200</v>
      </c>
      <c r="S4665" t="s">
        <v>201</v>
      </c>
      <c r="T4665" t="s">
        <v>1372</v>
      </c>
      <c r="U4665" t="s">
        <v>100</v>
      </c>
      <c r="V4665">
        <v>84.555000000000007</v>
      </c>
    </row>
    <row r="4666" spans="1:22" x14ac:dyDescent="0.3">
      <c r="A4666" t="s">
        <v>6148</v>
      </c>
      <c r="B4666" s="2">
        <v>46142</v>
      </c>
      <c r="C4666" t="s">
        <v>664</v>
      </c>
      <c r="D4666" t="s">
        <v>37</v>
      </c>
      <c r="E4666" t="s">
        <v>310</v>
      </c>
      <c r="F4666">
        <v>2</v>
      </c>
      <c r="G4666">
        <v>0.15</v>
      </c>
      <c r="H4666">
        <v>3740</v>
      </c>
      <c r="I4666">
        <v>987.36</v>
      </c>
      <c r="J4666" t="s">
        <v>39</v>
      </c>
      <c r="K4666" t="s">
        <v>40</v>
      </c>
      <c r="L4666">
        <v>1870</v>
      </c>
      <c r="M4666">
        <v>26.4</v>
      </c>
      <c r="N4666" t="s">
        <v>8</v>
      </c>
      <c r="O4666" t="s">
        <v>665</v>
      </c>
      <c r="P4666" t="s">
        <v>29</v>
      </c>
      <c r="Q4666" t="s">
        <v>30</v>
      </c>
      <c r="R4666" t="s">
        <v>31</v>
      </c>
      <c r="S4666" t="s">
        <v>32</v>
      </c>
      <c r="T4666" t="s">
        <v>256</v>
      </c>
      <c r="U4666" t="s">
        <v>34</v>
      </c>
      <c r="V4666">
        <v>493.68</v>
      </c>
    </row>
    <row r="4667" spans="1:22" x14ac:dyDescent="0.3">
      <c r="A4667" t="s">
        <v>6149</v>
      </c>
      <c r="B4667" s="2">
        <v>46265</v>
      </c>
      <c r="C4667" t="s">
        <v>1069</v>
      </c>
      <c r="D4667" t="s">
        <v>70</v>
      </c>
      <c r="E4667" t="s">
        <v>129</v>
      </c>
      <c r="F4667">
        <v>2</v>
      </c>
      <c r="G4667">
        <v>0.2</v>
      </c>
      <c r="H4667">
        <v>88000</v>
      </c>
      <c r="I4667">
        <v>6418.2</v>
      </c>
      <c r="J4667" t="s">
        <v>39</v>
      </c>
      <c r="K4667" t="s">
        <v>40</v>
      </c>
      <c r="L4667">
        <v>44000</v>
      </c>
      <c r="M4667">
        <v>7.2934090909090914</v>
      </c>
      <c r="N4667" t="s">
        <v>8</v>
      </c>
      <c r="O4667" t="s">
        <v>937</v>
      </c>
      <c r="P4667" t="s">
        <v>29</v>
      </c>
      <c r="Q4667" t="s">
        <v>42</v>
      </c>
      <c r="R4667" t="s">
        <v>121</v>
      </c>
      <c r="S4667" t="s">
        <v>44</v>
      </c>
      <c r="T4667" t="s">
        <v>1070</v>
      </c>
      <c r="U4667" t="s">
        <v>34</v>
      </c>
      <c r="V4667">
        <v>3209.1</v>
      </c>
    </row>
    <row r="4668" spans="1:22" x14ac:dyDescent="0.3">
      <c r="A4668" t="s">
        <v>6150</v>
      </c>
      <c r="B4668" s="2">
        <v>46099</v>
      </c>
      <c r="C4668" t="s">
        <v>820</v>
      </c>
      <c r="D4668" t="s">
        <v>24</v>
      </c>
      <c r="E4668" t="s">
        <v>92</v>
      </c>
      <c r="F4668">
        <v>3</v>
      </c>
      <c r="G4668">
        <v>0.2</v>
      </c>
      <c r="H4668">
        <v>2160</v>
      </c>
      <c r="I4668">
        <v>445.16</v>
      </c>
      <c r="J4668" t="s">
        <v>51</v>
      </c>
      <c r="K4668" t="s">
        <v>40</v>
      </c>
      <c r="L4668">
        <v>720</v>
      </c>
      <c r="M4668">
        <v>20.609259259259261</v>
      </c>
      <c r="N4668" t="s">
        <v>8</v>
      </c>
      <c r="O4668" t="s">
        <v>821</v>
      </c>
      <c r="P4668" t="s">
        <v>29</v>
      </c>
      <c r="Q4668" t="s">
        <v>74</v>
      </c>
      <c r="R4668" t="s">
        <v>237</v>
      </c>
      <c r="S4668" t="s">
        <v>238</v>
      </c>
      <c r="T4668" t="s">
        <v>822</v>
      </c>
      <c r="U4668" t="s">
        <v>34</v>
      </c>
      <c r="V4668">
        <v>148.38666666666671</v>
      </c>
    </row>
    <row r="4669" spans="1:22" x14ac:dyDescent="0.3">
      <c r="A4669" t="s">
        <v>6151</v>
      </c>
      <c r="B4669" s="2">
        <v>46125</v>
      </c>
      <c r="C4669" t="s">
        <v>263</v>
      </c>
      <c r="D4669" t="s">
        <v>24</v>
      </c>
      <c r="E4669" t="s">
        <v>242</v>
      </c>
      <c r="F4669">
        <v>4</v>
      </c>
      <c r="G4669">
        <v>0.15</v>
      </c>
      <c r="H4669">
        <v>1530</v>
      </c>
      <c r="I4669">
        <v>303.48</v>
      </c>
      <c r="J4669" t="s">
        <v>39</v>
      </c>
      <c r="K4669" t="s">
        <v>40</v>
      </c>
      <c r="L4669">
        <v>382.5</v>
      </c>
      <c r="M4669">
        <v>19.835294117647059</v>
      </c>
      <c r="N4669" t="s">
        <v>8</v>
      </c>
      <c r="O4669" t="s">
        <v>265</v>
      </c>
      <c r="P4669" t="s">
        <v>73</v>
      </c>
      <c r="Q4669" t="s">
        <v>30</v>
      </c>
      <c r="R4669" t="s">
        <v>31</v>
      </c>
      <c r="S4669" t="s">
        <v>32</v>
      </c>
      <c r="T4669" t="s">
        <v>266</v>
      </c>
      <c r="U4669" t="s">
        <v>46</v>
      </c>
      <c r="V4669">
        <v>75.87</v>
      </c>
    </row>
    <row r="4670" spans="1:22" x14ac:dyDescent="0.3">
      <c r="A4670" t="s">
        <v>6152</v>
      </c>
      <c r="B4670" s="2">
        <v>46064</v>
      </c>
      <c r="C4670" t="s">
        <v>671</v>
      </c>
      <c r="D4670" t="s">
        <v>70</v>
      </c>
      <c r="E4670" t="s">
        <v>71</v>
      </c>
      <c r="F4670">
        <v>2</v>
      </c>
      <c r="G4670">
        <v>0.15</v>
      </c>
      <c r="H4670">
        <v>30600</v>
      </c>
      <c r="I4670">
        <v>4457.79</v>
      </c>
      <c r="J4670" t="s">
        <v>26</v>
      </c>
      <c r="K4670" t="s">
        <v>40</v>
      </c>
      <c r="L4670">
        <v>15300</v>
      </c>
      <c r="M4670">
        <v>14.56794117647059</v>
      </c>
      <c r="N4670" t="s">
        <v>8</v>
      </c>
      <c r="O4670" t="s">
        <v>582</v>
      </c>
      <c r="P4670" t="s">
        <v>73</v>
      </c>
      <c r="Q4670" t="s">
        <v>30</v>
      </c>
      <c r="R4670" t="s">
        <v>53</v>
      </c>
      <c r="S4670" t="s">
        <v>54</v>
      </c>
      <c r="T4670" t="s">
        <v>672</v>
      </c>
      <c r="U4670" t="s">
        <v>46</v>
      </c>
      <c r="V4670">
        <v>2228.895</v>
      </c>
    </row>
    <row r="4671" spans="1:22" x14ac:dyDescent="0.3">
      <c r="A4671" t="s">
        <v>6153</v>
      </c>
      <c r="B4671" s="2">
        <v>46259</v>
      </c>
      <c r="C4671" t="s">
        <v>1331</v>
      </c>
      <c r="D4671" t="s">
        <v>70</v>
      </c>
      <c r="E4671" t="s">
        <v>71</v>
      </c>
      <c r="F4671">
        <v>1</v>
      </c>
      <c r="G4671">
        <v>0.15</v>
      </c>
      <c r="H4671">
        <v>15300</v>
      </c>
      <c r="I4671">
        <v>1630.69</v>
      </c>
      <c r="J4671" t="s">
        <v>26</v>
      </c>
      <c r="K4671" t="s">
        <v>40</v>
      </c>
      <c r="L4671">
        <v>15300</v>
      </c>
      <c r="M4671">
        <v>10.658104575163399</v>
      </c>
      <c r="N4671" t="s">
        <v>8</v>
      </c>
      <c r="O4671" t="s">
        <v>553</v>
      </c>
      <c r="P4671" t="s">
        <v>29</v>
      </c>
      <c r="Q4671" t="s">
        <v>30</v>
      </c>
      <c r="R4671" t="s">
        <v>31</v>
      </c>
      <c r="S4671" t="s">
        <v>32</v>
      </c>
      <c r="T4671" t="s">
        <v>1332</v>
      </c>
      <c r="U4671" t="s">
        <v>46</v>
      </c>
      <c r="V4671">
        <v>1630.69</v>
      </c>
    </row>
    <row r="4672" spans="1:22" x14ac:dyDescent="0.3">
      <c r="A4672" t="s">
        <v>6154</v>
      </c>
      <c r="B4672" s="2">
        <v>46005</v>
      </c>
      <c r="C4672" t="s">
        <v>529</v>
      </c>
      <c r="D4672" t="s">
        <v>49</v>
      </c>
      <c r="E4672" t="s">
        <v>50</v>
      </c>
      <c r="F4672">
        <v>1</v>
      </c>
      <c r="G4672">
        <v>0.1</v>
      </c>
      <c r="H4672">
        <v>11700</v>
      </c>
      <c r="I4672">
        <v>2154.06</v>
      </c>
      <c r="J4672" t="s">
        <v>39</v>
      </c>
      <c r="K4672" t="s">
        <v>40</v>
      </c>
      <c r="L4672">
        <v>11700</v>
      </c>
      <c r="M4672">
        <v>18.41076923076923</v>
      </c>
      <c r="N4672" t="s">
        <v>8</v>
      </c>
      <c r="O4672" t="s">
        <v>530</v>
      </c>
      <c r="P4672" t="s">
        <v>29</v>
      </c>
      <c r="Q4672" t="s">
        <v>30</v>
      </c>
      <c r="R4672" t="s">
        <v>98</v>
      </c>
      <c r="S4672" t="s">
        <v>54</v>
      </c>
      <c r="T4672" t="s">
        <v>531</v>
      </c>
      <c r="U4672" t="s">
        <v>105</v>
      </c>
      <c r="V4672">
        <v>2154.06</v>
      </c>
    </row>
    <row r="4673" spans="1:22" x14ac:dyDescent="0.3">
      <c r="A4673" t="s">
        <v>6155</v>
      </c>
      <c r="B4673" s="2">
        <v>45942</v>
      </c>
      <c r="C4673" t="s">
        <v>325</v>
      </c>
      <c r="D4673" t="s">
        <v>24</v>
      </c>
      <c r="E4673" t="s">
        <v>92</v>
      </c>
      <c r="F4673">
        <v>2</v>
      </c>
      <c r="G4673">
        <v>0.05</v>
      </c>
      <c r="H4673">
        <v>1710</v>
      </c>
      <c r="I4673">
        <v>502.71</v>
      </c>
      <c r="J4673" t="s">
        <v>51</v>
      </c>
      <c r="K4673" t="s">
        <v>40</v>
      </c>
      <c r="L4673">
        <v>855</v>
      </c>
      <c r="M4673">
        <v>29.39824561403508</v>
      </c>
      <c r="N4673" t="s">
        <v>8</v>
      </c>
      <c r="O4673" t="s">
        <v>247</v>
      </c>
      <c r="P4673" t="s">
        <v>83</v>
      </c>
      <c r="Q4673" t="s">
        <v>42</v>
      </c>
      <c r="R4673" t="s">
        <v>43</v>
      </c>
      <c r="S4673" t="s">
        <v>44</v>
      </c>
      <c r="T4673" t="s">
        <v>326</v>
      </c>
      <c r="U4673" t="s">
        <v>46</v>
      </c>
      <c r="V4673">
        <v>251.35499999999999</v>
      </c>
    </row>
    <row r="4674" spans="1:22" x14ac:dyDescent="0.3">
      <c r="A4674" t="s">
        <v>6156</v>
      </c>
      <c r="B4674" s="2">
        <v>46202</v>
      </c>
      <c r="C4674" t="s">
        <v>1410</v>
      </c>
      <c r="D4674" t="s">
        <v>70</v>
      </c>
      <c r="E4674" t="s">
        <v>129</v>
      </c>
      <c r="F4674">
        <v>4</v>
      </c>
      <c r="G4674">
        <v>0.05</v>
      </c>
      <c r="H4674">
        <v>209000</v>
      </c>
      <c r="I4674">
        <v>30371.17</v>
      </c>
      <c r="J4674" t="s">
        <v>65</v>
      </c>
      <c r="K4674" t="s">
        <v>40</v>
      </c>
      <c r="L4674">
        <v>52250</v>
      </c>
      <c r="M4674">
        <v>14.53166028708134</v>
      </c>
      <c r="N4674" t="s">
        <v>8</v>
      </c>
      <c r="O4674" t="s">
        <v>995</v>
      </c>
      <c r="P4674" t="s">
        <v>73</v>
      </c>
      <c r="Q4674" t="s">
        <v>30</v>
      </c>
      <c r="R4674" t="s">
        <v>60</v>
      </c>
      <c r="S4674" t="s">
        <v>61</v>
      </c>
      <c r="T4674" t="s">
        <v>1411</v>
      </c>
      <c r="U4674" t="s">
        <v>34</v>
      </c>
      <c r="V4674">
        <v>7592.7924999999996</v>
      </c>
    </row>
    <row r="4675" spans="1:22" x14ac:dyDescent="0.3">
      <c r="A4675" t="s">
        <v>6157</v>
      </c>
      <c r="B4675" s="2">
        <v>46105</v>
      </c>
      <c r="C4675" t="s">
        <v>86</v>
      </c>
      <c r="D4675" t="s">
        <v>37</v>
      </c>
      <c r="E4675" t="s">
        <v>310</v>
      </c>
      <c r="F4675">
        <v>3</v>
      </c>
      <c r="G4675">
        <v>0.1</v>
      </c>
      <c r="H4675">
        <v>5940</v>
      </c>
      <c r="I4675">
        <v>-2339.94</v>
      </c>
      <c r="J4675" t="s">
        <v>51</v>
      </c>
      <c r="K4675" t="s">
        <v>434</v>
      </c>
      <c r="L4675">
        <v>1980</v>
      </c>
      <c r="M4675">
        <v>-39.392929292929303</v>
      </c>
      <c r="N4675" t="s">
        <v>81</v>
      </c>
      <c r="O4675" t="s">
        <v>88</v>
      </c>
      <c r="P4675" t="s">
        <v>29</v>
      </c>
      <c r="Q4675" t="s">
        <v>42</v>
      </c>
      <c r="R4675" t="s">
        <v>43</v>
      </c>
      <c r="S4675" t="s">
        <v>44</v>
      </c>
      <c r="T4675" t="s">
        <v>89</v>
      </c>
      <c r="U4675" t="s">
        <v>34</v>
      </c>
      <c r="V4675">
        <v>-779.98</v>
      </c>
    </row>
    <row r="4676" spans="1:22" x14ac:dyDescent="0.3">
      <c r="A4676" t="s">
        <v>6158</v>
      </c>
      <c r="B4676" s="2">
        <v>45988</v>
      </c>
      <c r="C4676" t="s">
        <v>780</v>
      </c>
      <c r="D4676" t="s">
        <v>24</v>
      </c>
      <c r="E4676" t="s">
        <v>242</v>
      </c>
      <c r="F4676">
        <v>1</v>
      </c>
      <c r="G4676">
        <v>0.1</v>
      </c>
      <c r="H4676">
        <v>405</v>
      </c>
      <c r="I4676">
        <v>88.35</v>
      </c>
      <c r="J4676" t="s">
        <v>51</v>
      </c>
      <c r="K4676" t="s">
        <v>27</v>
      </c>
      <c r="L4676">
        <v>405</v>
      </c>
      <c r="M4676">
        <v>21.81481481481481</v>
      </c>
      <c r="N4676" t="s">
        <v>8</v>
      </c>
      <c r="O4676" t="s">
        <v>781</v>
      </c>
      <c r="P4676" t="s">
        <v>73</v>
      </c>
      <c r="Q4676" t="s">
        <v>30</v>
      </c>
      <c r="R4676" t="s">
        <v>31</v>
      </c>
      <c r="S4676" t="s">
        <v>32</v>
      </c>
      <c r="T4676" t="s">
        <v>572</v>
      </c>
      <c r="U4676" t="s">
        <v>100</v>
      </c>
      <c r="V4676">
        <v>88.35</v>
      </c>
    </row>
    <row r="4677" spans="1:22" x14ac:dyDescent="0.3">
      <c r="A4677" t="s">
        <v>6159</v>
      </c>
      <c r="B4677" s="2">
        <v>46023</v>
      </c>
      <c r="C4677" t="s">
        <v>1433</v>
      </c>
      <c r="D4677" t="s">
        <v>37</v>
      </c>
      <c r="E4677" t="s">
        <v>38</v>
      </c>
      <c r="F4677">
        <v>2</v>
      </c>
      <c r="G4677">
        <v>0</v>
      </c>
      <c r="H4677">
        <v>3600</v>
      </c>
      <c r="I4677">
        <v>1300</v>
      </c>
      <c r="J4677" t="s">
        <v>51</v>
      </c>
      <c r="K4677" t="s">
        <v>40</v>
      </c>
      <c r="L4677">
        <v>1800</v>
      </c>
      <c r="M4677">
        <v>36.111111111111107</v>
      </c>
      <c r="N4677" t="s">
        <v>8</v>
      </c>
      <c r="O4677" t="s">
        <v>318</v>
      </c>
      <c r="P4677" t="s">
        <v>73</v>
      </c>
      <c r="Q4677" t="s">
        <v>30</v>
      </c>
      <c r="R4677" t="s">
        <v>53</v>
      </c>
      <c r="S4677" t="s">
        <v>54</v>
      </c>
      <c r="T4677" t="s">
        <v>1434</v>
      </c>
      <c r="U4677" t="s">
        <v>34</v>
      </c>
      <c r="V4677">
        <v>650</v>
      </c>
    </row>
    <row r="4678" spans="1:22" x14ac:dyDescent="0.3">
      <c r="A4678" t="s">
        <v>6160</v>
      </c>
      <c r="B4678" s="2">
        <v>45874</v>
      </c>
      <c r="C4678" t="s">
        <v>1120</v>
      </c>
      <c r="D4678" t="s">
        <v>24</v>
      </c>
      <c r="E4678" t="s">
        <v>92</v>
      </c>
      <c r="F4678">
        <v>3</v>
      </c>
      <c r="G4678">
        <v>0.3</v>
      </c>
      <c r="H4678">
        <v>1890</v>
      </c>
      <c r="I4678">
        <v>277.22000000000003</v>
      </c>
      <c r="J4678" t="s">
        <v>26</v>
      </c>
      <c r="K4678" t="s">
        <v>40</v>
      </c>
      <c r="L4678">
        <v>630</v>
      </c>
      <c r="M4678">
        <v>14.667724867724869</v>
      </c>
      <c r="N4678" t="s">
        <v>8</v>
      </c>
      <c r="O4678" t="s">
        <v>1121</v>
      </c>
      <c r="P4678" t="s">
        <v>73</v>
      </c>
      <c r="Q4678" t="s">
        <v>74</v>
      </c>
      <c r="R4678" t="s">
        <v>493</v>
      </c>
      <c r="S4678" t="s">
        <v>494</v>
      </c>
      <c r="T4678" t="s">
        <v>1122</v>
      </c>
      <c r="U4678" t="s">
        <v>34</v>
      </c>
      <c r="V4678">
        <v>92.40666666666668</v>
      </c>
    </row>
    <row r="4679" spans="1:22" x14ac:dyDescent="0.3">
      <c r="A4679" t="s">
        <v>6161</v>
      </c>
      <c r="B4679" s="2">
        <v>46207</v>
      </c>
      <c r="C4679" t="s">
        <v>704</v>
      </c>
      <c r="D4679" t="s">
        <v>37</v>
      </c>
      <c r="E4679" t="s">
        <v>310</v>
      </c>
      <c r="F4679">
        <v>4</v>
      </c>
      <c r="G4679">
        <v>0.15</v>
      </c>
      <c r="H4679">
        <v>7480</v>
      </c>
      <c r="I4679">
        <v>2151.04</v>
      </c>
      <c r="J4679" t="s">
        <v>26</v>
      </c>
      <c r="K4679" t="s">
        <v>40</v>
      </c>
      <c r="L4679">
        <v>1870</v>
      </c>
      <c r="M4679">
        <v>28.757219251336899</v>
      </c>
      <c r="N4679" t="s">
        <v>8</v>
      </c>
      <c r="O4679" t="s">
        <v>705</v>
      </c>
      <c r="P4679" t="s">
        <v>83</v>
      </c>
      <c r="Q4679" t="s">
        <v>42</v>
      </c>
      <c r="R4679" t="s">
        <v>43</v>
      </c>
      <c r="S4679" t="s">
        <v>44</v>
      </c>
      <c r="T4679" t="s">
        <v>706</v>
      </c>
      <c r="U4679" t="s">
        <v>34</v>
      </c>
      <c r="V4679">
        <v>537.76</v>
      </c>
    </row>
    <row r="4680" spans="1:22" x14ac:dyDescent="0.3">
      <c r="A4680" t="s">
        <v>6162</v>
      </c>
      <c r="B4680" s="2">
        <v>46043</v>
      </c>
      <c r="C4680" t="s">
        <v>313</v>
      </c>
      <c r="D4680" t="s">
        <v>70</v>
      </c>
      <c r="E4680" t="s">
        <v>165</v>
      </c>
      <c r="F4680">
        <v>2</v>
      </c>
      <c r="G4680">
        <v>0.15</v>
      </c>
      <c r="H4680">
        <v>4250</v>
      </c>
      <c r="I4680">
        <v>1258.6199999999999</v>
      </c>
      <c r="J4680" t="s">
        <v>65</v>
      </c>
      <c r="K4680" t="s">
        <v>40</v>
      </c>
      <c r="L4680">
        <v>2125</v>
      </c>
      <c r="M4680">
        <v>29.614588235294111</v>
      </c>
      <c r="N4680" t="s">
        <v>8</v>
      </c>
      <c r="O4680" t="s">
        <v>314</v>
      </c>
      <c r="P4680" t="s">
        <v>29</v>
      </c>
      <c r="Q4680" t="s">
        <v>30</v>
      </c>
      <c r="R4680" t="s">
        <v>98</v>
      </c>
      <c r="S4680" t="s">
        <v>54</v>
      </c>
      <c r="T4680" t="s">
        <v>315</v>
      </c>
      <c r="U4680" t="s">
        <v>100</v>
      </c>
      <c r="V4680">
        <v>629.30999999999995</v>
      </c>
    </row>
    <row r="4681" spans="1:22" x14ac:dyDescent="0.3">
      <c r="A4681" t="s">
        <v>6163</v>
      </c>
      <c r="B4681" s="2">
        <v>46101</v>
      </c>
      <c r="C4681" t="s">
        <v>1410</v>
      </c>
      <c r="D4681" t="s">
        <v>37</v>
      </c>
      <c r="E4681" t="s">
        <v>190</v>
      </c>
      <c r="F4681">
        <v>5</v>
      </c>
      <c r="G4681">
        <v>0.2</v>
      </c>
      <c r="H4681">
        <v>16800</v>
      </c>
      <c r="I4681">
        <v>3173.61</v>
      </c>
      <c r="J4681" t="s">
        <v>51</v>
      </c>
      <c r="K4681" t="s">
        <v>40</v>
      </c>
      <c r="L4681">
        <v>3360</v>
      </c>
      <c r="M4681">
        <v>18.890535714285711</v>
      </c>
      <c r="N4681" t="s">
        <v>8</v>
      </c>
      <c r="O4681" t="s">
        <v>995</v>
      </c>
      <c r="P4681" t="s">
        <v>73</v>
      </c>
      <c r="Q4681" t="s">
        <v>30</v>
      </c>
      <c r="R4681" t="s">
        <v>60</v>
      </c>
      <c r="S4681" t="s">
        <v>61</v>
      </c>
      <c r="T4681" t="s">
        <v>1411</v>
      </c>
      <c r="U4681" t="s">
        <v>34</v>
      </c>
      <c r="V4681">
        <v>634.72199999999998</v>
      </c>
    </row>
    <row r="4682" spans="1:22" x14ac:dyDescent="0.3">
      <c r="A4682" t="s">
        <v>6164</v>
      </c>
      <c r="B4682" s="2">
        <v>46168</v>
      </c>
      <c r="C4682" t="s">
        <v>1542</v>
      </c>
      <c r="D4682" t="s">
        <v>24</v>
      </c>
      <c r="E4682" t="s">
        <v>242</v>
      </c>
      <c r="F4682">
        <v>3</v>
      </c>
      <c r="G4682">
        <v>0</v>
      </c>
      <c r="H4682">
        <v>1350</v>
      </c>
      <c r="I4682">
        <v>330</v>
      </c>
      <c r="J4682" t="s">
        <v>26</v>
      </c>
      <c r="K4682" t="s">
        <v>40</v>
      </c>
      <c r="L4682">
        <v>450</v>
      </c>
      <c r="M4682">
        <v>24.444444444444439</v>
      </c>
      <c r="N4682" t="s">
        <v>8</v>
      </c>
      <c r="O4682" t="s">
        <v>141</v>
      </c>
      <c r="P4682" t="s">
        <v>29</v>
      </c>
      <c r="Q4682" t="s">
        <v>74</v>
      </c>
      <c r="R4682" t="s">
        <v>75</v>
      </c>
      <c r="S4682" t="s">
        <v>75</v>
      </c>
      <c r="T4682" t="s">
        <v>1543</v>
      </c>
      <c r="U4682" t="s">
        <v>100</v>
      </c>
      <c r="V4682">
        <v>110</v>
      </c>
    </row>
    <row r="4683" spans="1:22" x14ac:dyDescent="0.3">
      <c r="A4683" t="s">
        <v>6165</v>
      </c>
      <c r="B4683" s="2">
        <v>45903</v>
      </c>
      <c r="C4683" t="s">
        <v>1723</v>
      </c>
      <c r="D4683" t="s">
        <v>70</v>
      </c>
      <c r="E4683" t="s">
        <v>165</v>
      </c>
      <c r="F4683">
        <v>2</v>
      </c>
      <c r="G4683">
        <v>0.05</v>
      </c>
      <c r="H4683">
        <v>4750</v>
      </c>
      <c r="I4683">
        <v>1470.63</v>
      </c>
      <c r="J4683" t="s">
        <v>26</v>
      </c>
      <c r="K4683" t="s">
        <v>40</v>
      </c>
      <c r="L4683">
        <v>2375</v>
      </c>
      <c r="M4683">
        <v>30.960631578947371</v>
      </c>
      <c r="N4683" t="s">
        <v>8</v>
      </c>
      <c r="O4683" t="s">
        <v>398</v>
      </c>
      <c r="P4683" t="s">
        <v>83</v>
      </c>
      <c r="Q4683" t="s">
        <v>30</v>
      </c>
      <c r="R4683" t="s">
        <v>98</v>
      </c>
      <c r="S4683" t="s">
        <v>54</v>
      </c>
      <c r="T4683" t="s">
        <v>1724</v>
      </c>
      <c r="U4683" t="s">
        <v>46</v>
      </c>
      <c r="V4683">
        <v>735.31500000000005</v>
      </c>
    </row>
    <row r="4684" spans="1:22" x14ac:dyDescent="0.3">
      <c r="A4684" t="s">
        <v>6166</v>
      </c>
      <c r="B4684" s="2">
        <v>46087</v>
      </c>
      <c r="C4684" t="s">
        <v>783</v>
      </c>
      <c r="D4684" t="s">
        <v>49</v>
      </c>
      <c r="E4684" t="s">
        <v>50</v>
      </c>
      <c r="F4684">
        <v>15</v>
      </c>
      <c r="G4684">
        <v>0.2</v>
      </c>
      <c r="H4684">
        <v>156000</v>
      </c>
      <c r="I4684">
        <v>23310.62</v>
      </c>
      <c r="J4684" t="s">
        <v>51</v>
      </c>
      <c r="K4684" t="s">
        <v>40</v>
      </c>
      <c r="L4684">
        <v>10400</v>
      </c>
      <c r="M4684">
        <v>14.94270512820513</v>
      </c>
      <c r="N4684" t="s">
        <v>8</v>
      </c>
      <c r="O4684" t="s">
        <v>784</v>
      </c>
      <c r="P4684" t="s">
        <v>73</v>
      </c>
      <c r="Q4684" t="s">
        <v>74</v>
      </c>
      <c r="R4684" t="s">
        <v>493</v>
      </c>
      <c r="S4684" t="s">
        <v>494</v>
      </c>
      <c r="T4684" t="s">
        <v>785</v>
      </c>
      <c r="U4684" t="s">
        <v>46</v>
      </c>
      <c r="V4684">
        <v>1554.0413333333329</v>
      </c>
    </row>
    <row r="4685" spans="1:22" x14ac:dyDescent="0.3">
      <c r="A4685" t="s">
        <v>6167</v>
      </c>
      <c r="B4685" s="2">
        <v>46044</v>
      </c>
      <c r="C4685" t="s">
        <v>469</v>
      </c>
      <c r="D4685" t="s">
        <v>37</v>
      </c>
      <c r="E4685" t="s">
        <v>310</v>
      </c>
      <c r="F4685">
        <v>4</v>
      </c>
      <c r="G4685">
        <v>0.15</v>
      </c>
      <c r="H4685">
        <v>7480</v>
      </c>
      <c r="I4685">
        <v>2355.4</v>
      </c>
      <c r="J4685" t="s">
        <v>51</v>
      </c>
      <c r="K4685" t="s">
        <v>40</v>
      </c>
      <c r="L4685">
        <v>1870</v>
      </c>
      <c r="M4685">
        <v>31.48930481283422</v>
      </c>
      <c r="N4685" t="s">
        <v>8</v>
      </c>
      <c r="O4685" t="s">
        <v>470</v>
      </c>
      <c r="P4685" t="s">
        <v>83</v>
      </c>
      <c r="Q4685" t="s">
        <v>30</v>
      </c>
      <c r="R4685" t="s">
        <v>31</v>
      </c>
      <c r="S4685" t="s">
        <v>32</v>
      </c>
      <c r="T4685" t="s">
        <v>471</v>
      </c>
      <c r="U4685" t="s">
        <v>100</v>
      </c>
      <c r="V4685">
        <v>588.85</v>
      </c>
    </row>
    <row r="4686" spans="1:22" x14ac:dyDescent="0.3">
      <c r="A4686" t="s">
        <v>6168</v>
      </c>
      <c r="B4686" s="2">
        <v>46114</v>
      </c>
      <c r="C4686" t="s">
        <v>1152</v>
      </c>
      <c r="D4686" t="s">
        <v>24</v>
      </c>
      <c r="E4686" t="s">
        <v>87</v>
      </c>
      <c r="F4686">
        <v>2</v>
      </c>
      <c r="G4686">
        <v>0.1</v>
      </c>
      <c r="H4686">
        <v>630</v>
      </c>
      <c r="I4686">
        <v>193.35</v>
      </c>
      <c r="J4686" t="s">
        <v>65</v>
      </c>
      <c r="K4686" t="s">
        <v>40</v>
      </c>
      <c r="L4686">
        <v>315</v>
      </c>
      <c r="M4686">
        <v>30.69047619047619</v>
      </c>
      <c r="N4686" t="s">
        <v>8</v>
      </c>
      <c r="O4686" t="s">
        <v>995</v>
      </c>
      <c r="P4686" t="s">
        <v>29</v>
      </c>
      <c r="Q4686" t="s">
        <v>30</v>
      </c>
      <c r="R4686" t="s">
        <v>31</v>
      </c>
      <c r="S4686" t="s">
        <v>32</v>
      </c>
      <c r="T4686" t="s">
        <v>960</v>
      </c>
      <c r="U4686" t="s">
        <v>100</v>
      </c>
      <c r="V4686">
        <v>96.674999999999997</v>
      </c>
    </row>
    <row r="4687" spans="1:22" x14ac:dyDescent="0.3">
      <c r="A4687" t="s">
        <v>6169</v>
      </c>
      <c r="B4687" s="2">
        <v>46076</v>
      </c>
      <c r="C4687" t="s">
        <v>710</v>
      </c>
      <c r="D4687" t="s">
        <v>24</v>
      </c>
      <c r="E4687" t="s">
        <v>87</v>
      </c>
      <c r="F4687">
        <v>3</v>
      </c>
      <c r="G4687">
        <v>0</v>
      </c>
      <c r="H4687">
        <v>1050</v>
      </c>
      <c r="I4687">
        <v>360</v>
      </c>
      <c r="J4687" t="s">
        <v>65</v>
      </c>
      <c r="K4687" t="s">
        <v>40</v>
      </c>
      <c r="L4687">
        <v>350</v>
      </c>
      <c r="M4687">
        <v>34.285714285714278</v>
      </c>
      <c r="N4687" t="s">
        <v>8</v>
      </c>
      <c r="O4687" t="s">
        <v>711</v>
      </c>
      <c r="P4687" t="s">
        <v>29</v>
      </c>
      <c r="Q4687" t="s">
        <v>30</v>
      </c>
      <c r="R4687" t="s">
        <v>53</v>
      </c>
      <c r="S4687" t="s">
        <v>54</v>
      </c>
      <c r="T4687" t="s">
        <v>712</v>
      </c>
      <c r="U4687" t="s">
        <v>34</v>
      </c>
      <c r="V4687">
        <v>120</v>
      </c>
    </row>
    <row r="4688" spans="1:22" x14ac:dyDescent="0.3">
      <c r="A4688" t="s">
        <v>6170</v>
      </c>
      <c r="B4688" s="2">
        <v>46223</v>
      </c>
      <c r="C4688" t="s">
        <v>148</v>
      </c>
      <c r="D4688" t="s">
        <v>70</v>
      </c>
      <c r="E4688" t="s">
        <v>108</v>
      </c>
      <c r="F4688">
        <v>2</v>
      </c>
      <c r="G4688">
        <v>0.05</v>
      </c>
      <c r="H4688">
        <v>8550</v>
      </c>
      <c r="I4688">
        <v>2660.64</v>
      </c>
      <c r="J4688" t="s">
        <v>39</v>
      </c>
      <c r="K4688" t="s">
        <v>40</v>
      </c>
      <c r="L4688">
        <v>4275</v>
      </c>
      <c r="M4688">
        <v>31.118596491228072</v>
      </c>
      <c r="N4688" t="s">
        <v>8</v>
      </c>
      <c r="O4688" t="s">
        <v>149</v>
      </c>
      <c r="P4688" t="s">
        <v>29</v>
      </c>
      <c r="Q4688" t="s">
        <v>30</v>
      </c>
      <c r="R4688" t="s">
        <v>60</v>
      </c>
      <c r="S4688" t="s">
        <v>61</v>
      </c>
      <c r="T4688" t="s">
        <v>150</v>
      </c>
      <c r="U4688" t="s">
        <v>105</v>
      </c>
      <c r="V4688">
        <v>1330.32</v>
      </c>
    </row>
    <row r="4689" spans="1:22" x14ac:dyDescent="0.3">
      <c r="A4689" t="s">
        <v>6171</v>
      </c>
      <c r="B4689" s="2">
        <v>46233</v>
      </c>
      <c r="C4689" t="s">
        <v>1116</v>
      </c>
      <c r="D4689" t="s">
        <v>24</v>
      </c>
      <c r="E4689" t="s">
        <v>242</v>
      </c>
      <c r="F4689">
        <v>2</v>
      </c>
      <c r="G4689">
        <v>0.15</v>
      </c>
      <c r="H4689">
        <v>765</v>
      </c>
      <c r="I4689">
        <v>116.96</v>
      </c>
      <c r="J4689" t="s">
        <v>26</v>
      </c>
      <c r="K4689" t="s">
        <v>40</v>
      </c>
      <c r="L4689">
        <v>382.5</v>
      </c>
      <c r="M4689">
        <v>15.28888888888889</v>
      </c>
      <c r="N4689" t="s">
        <v>8</v>
      </c>
      <c r="O4689" t="s">
        <v>1117</v>
      </c>
      <c r="P4689" t="s">
        <v>29</v>
      </c>
      <c r="Q4689" t="s">
        <v>30</v>
      </c>
      <c r="R4689" t="s">
        <v>98</v>
      </c>
      <c r="S4689" t="s">
        <v>54</v>
      </c>
      <c r="T4689" t="s">
        <v>1118</v>
      </c>
      <c r="U4689" t="s">
        <v>34</v>
      </c>
      <c r="V4689">
        <v>58.48</v>
      </c>
    </row>
    <row r="4690" spans="1:22" x14ac:dyDescent="0.3">
      <c r="A4690" t="s">
        <v>6172</v>
      </c>
      <c r="B4690" s="2">
        <v>45851</v>
      </c>
      <c r="C4690" t="s">
        <v>801</v>
      </c>
      <c r="D4690" t="s">
        <v>37</v>
      </c>
      <c r="E4690" t="s">
        <v>310</v>
      </c>
      <c r="F4690">
        <v>1</v>
      </c>
      <c r="G4690">
        <v>0.05</v>
      </c>
      <c r="H4690">
        <v>2090</v>
      </c>
      <c r="I4690">
        <v>674.73</v>
      </c>
      <c r="J4690" t="s">
        <v>26</v>
      </c>
      <c r="K4690" t="s">
        <v>40</v>
      </c>
      <c r="L4690">
        <v>2090</v>
      </c>
      <c r="M4690">
        <v>32.283732057416273</v>
      </c>
      <c r="N4690" t="s">
        <v>8</v>
      </c>
      <c r="O4690" t="s">
        <v>478</v>
      </c>
      <c r="P4690" t="s">
        <v>29</v>
      </c>
      <c r="Q4690" t="s">
        <v>30</v>
      </c>
      <c r="R4690" t="s">
        <v>98</v>
      </c>
      <c r="S4690" t="s">
        <v>54</v>
      </c>
      <c r="T4690" t="s">
        <v>802</v>
      </c>
      <c r="U4690" t="s">
        <v>34</v>
      </c>
      <c r="V4690">
        <v>674.73</v>
      </c>
    </row>
    <row r="4691" spans="1:22" x14ac:dyDescent="0.3">
      <c r="A4691" t="s">
        <v>6173</v>
      </c>
      <c r="B4691" s="2">
        <v>45994</v>
      </c>
      <c r="C4691" t="s">
        <v>385</v>
      </c>
      <c r="D4691" t="s">
        <v>49</v>
      </c>
      <c r="E4691" t="s">
        <v>79</v>
      </c>
      <c r="F4691">
        <v>1</v>
      </c>
      <c r="G4691">
        <v>0</v>
      </c>
      <c r="H4691">
        <v>11000</v>
      </c>
      <c r="I4691">
        <v>-5499.65</v>
      </c>
      <c r="J4691" t="s">
        <v>39</v>
      </c>
      <c r="K4691" t="s">
        <v>80</v>
      </c>
      <c r="L4691">
        <v>11000</v>
      </c>
      <c r="M4691">
        <v>-49.996818181818178</v>
      </c>
      <c r="N4691" t="s">
        <v>81</v>
      </c>
      <c r="O4691" t="s">
        <v>386</v>
      </c>
      <c r="P4691" t="s">
        <v>29</v>
      </c>
      <c r="Q4691" t="s">
        <v>30</v>
      </c>
      <c r="R4691" t="s">
        <v>60</v>
      </c>
      <c r="S4691" t="s">
        <v>61</v>
      </c>
      <c r="T4691" t="s">
        <v>387</v>
      </c>
      <c r="U4691" t="s">
        <v>100</v>
      </c>
      <c r="V4691">
        <v>-5499.65</v>
      </c>
    </row>
    <row r="4692" spans="1:22" x14ac:dyDescent="0.3">
      <c r="A4692" t="s">
        <v>6174</v>
      </c>
      <c r="B4692" s="2">
        <v>45849</v>
      </c>
      <c r="C4692" t="s">
        <v>632</v>
      </c>
      <c r="D4692" t="s">
        <v>24</v>
      </c>
      <c r="E4692" t="s">
        <v>25</v>
      </c>
      <c r="F4692">
        <v>2</v>
      </c>
      <c r="G4692">
        <v>0.1</v>
      </c>
      <c r="H4692">
        <v>25200</v>
      </c>
      <c r="I4692">
        <v>3510.84</v>
      </c>
      <c r="J4692" t="s">
        <v>39</v>
      </c>
      <c r="K4692" t="s">
        <v>27</v>
      </c>
      <c r="L4692">
        <v>12600</v>
      </c>
      <c r="M4692">
        <v>13.931904761904759</v>
      </c>
      <c r="N4692" t="s">
        <v>8</v>
      </c>
      <c r="O4692" t="s">
        <v>427</v>
      </c>
      <c r="P4692" t="s">
        <v>29</v>
      </c>
      <c r="Q4692" t="s">
        <v>42</v>
      </c>
      <c r="R4692" t="s">
        <v>110</v>
      </c>
      <c r="S4692" t="s">
        <v>111</v>
      </c>
      <c r="T4692" t="s">
        <v>633</v>
      </c>
      <c r="U4692" t="s">
        <v>100</v>
      </c>
      <c r="V4692">
        <v>1755.42</v>
      </c>
    </row>
    <row r="4693" spans="1:22" x14ac:dyDescent="0.3">
      <c r="A4693" t="s">
        <v>6175</v>
      </c>
      <c r="B4693" s="2">
        <v>46165</v>
      </c>
      <c r="C4693" t="s">
        <v>2517</v>
      </c>
      <c r="D4693" t="s">
        <v>24</v>
      </c>
      <c r="E4693" t="s">
        <v>92</v>
      </c>
      <c r="F4693">
        <v>1</v>
      </c>
      <c r="G4693">
        <v>0</v>
      </c>
      <c r="H4693">
        <v>900</v>
      </c>
      <c r="I4693">
        <v>280</v>
      </c>
      <c r="J4693" t="s">
        <v>39</v>
      </c>
      <c r="K4693" t="s">
        <v>40</v>
      </c>
      <c r="L4693">
        <v>900</v>
      </c>
      <c r="M4693">
        <v>31.111111111111111</v>
      </c>
      <c r="N4693" t="s">
        <v>8</v>
      </c>
      <c r="O4693" t="s">
        <v>2518</v>
      </c>
      <c r="P4693" t="s">
        <v>29</v>
      </c>
      <c r="Q4693" t="s">
        <v>131</v>
      </c>
      <c r="R4693" t="s">
        <v>449</v>
      </c>
      <c r="S4693" t="s">
        <v>450</v>
      </c>
      <c r="T4693" t="s">
        <v>898</v>
      </c>
      <c r="U4693" t="s">
        <v>105</v>
      </c>
      <c r="V4693">
        <v>280</v>
      </c>
    </row>
    <row r="4694" spans="1:22" x14ac:dyDescent="0.3">
      <c r="A4694" t="s">
        <v>6176</v>
      </c>
      <c r="B4694" s="2">
        <v>46049</v>
      </c>
      <c r="C4694" t="s">
        <v>1605</v>
      </c>
      <c r="D4694" t="s">
        <v>24</v>
      </c>
      <c r="E4694" t="s">
        <v>242</v>
      </c>
      <c r="F4694">
        <v>5</v>
      </c>
      <c r="G4694">
        <v>0</v>
      </c>
      <c r="H4694">
        <v>2250</v>
      </c>
      <c r="I4694">
        <v>-1106.02</v>
      </c>
      <c r="J4694" t="s">
        <v>26</v>
      </c>
      <c r="K4694" t="s">
        <v>434</v>
      </c>
      <c r="L4694">
        <v>450</v>
      </c>
      <c r="M4694">
        <v>-49.156444444444439</v>
      </c>
      <c r="N4694" t="s">
        <v>81</v>
      </c>
      <c r="O4694" t="s">
        <v>1606</v>
      </c>
      <c r="P4694" t="s">
        <v>73</v>
      </c>
      <c r="Q4694" t="s">
        <v>30</v>
      </c>
      <c r="R4694" t="s">
        <v>53</v>
      </c>
      <c r="S4694" t="s">
        <v>54</v>
      </c>
      <c r="T4694" t="s">
        <v>1607</v>
      </c>
      <c r="U4694" t="s">
        <v>34</v>
      </c>
      <c r="V4694">
        <v>-221.20400000000001</v>
      </c>
    </row>
    <row r="4695" spans="1:22" x14ac:dyDescent="0.3">
      <c r="A4695" t="s">
        <v>6177</v>
      </c>
      <c r="B4695" s="2">
        <v>46079</v>
      </c>
      <c r="C4695" t="s">
        <v>1319</v>
      </c>
      <c r="D4695" t="s">
        <v>49</v>
      </c>
      <c r="E4695" t="s">
        <v>79</v>
      </c>
      <c r="F4695">
        <v>2</v>
      </c>
      <c r="G4695">
        <v>0.15</v>
      </c>
      <c r="H4695">
        <v>18700</v>
      </c>
      <c r="I4695">
        <v>2587.3200000000002</v>
      </c>
      <c r="J4695" t="s">
        <v>26</v>
      </c>
      <c r="K4695" t="s">
        <v>40</v>
      </c>
      <c r="L4695">
        <v>9350</v>
      </c>
      <c r="M4695">
        <v>13.835935828877011</v>
      </c>
      <c r="N4695" t="s">
        <v>8</v>
      </c>
      <c r="O4695" t="s">
        <v>166</v>
      </c>
      <c r="P4695" t="s">
        <v>83</v>
      </c>
      <c r="Q4695" t="s">
        <v>42</v>
      </c>
      <c r="R4695" t="s">
        <v>110</v>
      </c>
      <c r="S4695" t="s">
        <v>111</v>
      </c>
      <c r="T4695" t="s">
        <v>1320</v>
      </c>
      <c r="U4695" t="s">
        <v>34</v>
      </c>
      <c r="V4695">
        <v>1293.6600000000001</v>
      </c>
    </row>
    <row r="4696" spans="1:22" x14ac:dyDescent="0.3">
      <c r="A4696" t="s">
        <v>6178</v>
      </c>
      <c r="B4696" s="2">
        <v>46003</v>
      </c>
      <c r="C4696" t="s">
        <v>962</v>
      </c>
      <c r="D4696" t="s">
        <v>49</v>
      </c>
      <c r="E4696" t="s">
        <v>50</v>
      </c>
      <c r="F4696">
        <v>4</v>
      </c>
      <c r="G4696">
        <v>0</v>
      </c>
      <c r="H4696">
        <v>52000</v>
      </c>
      <c r="I4696">
        <v>12800</v>
      </c>
      <c r="J4696" t="s">
        <v>26</v>
      </c>
      <c r="K4696" t="s">
        <v>40</v>
      </c>
      <c r="L4696">
        <v>13000</v>
      </c>
      <c r="M4696">
        <v>24.61538461538462</v>
      </c>
      <c r="N4696" t="s">
        <v>8</v>
      </c>
      <c r="O4696" t="s">
        <v>963</v>
      </c>
      <c r="P4696" t="s">
        <v>29</v>
      </c>
      <c r="Q4696" t="s">
        <v>42</v>
      </c>
      <c r="R4696" t="s">
        <v>214</v>
      </c>
      <c r="S4696" t="s">
        <v>111</v>
      </c>
      <c r="T4696" t="s">
        <v>964</v>
      </c>
      <c r="U4696" t="s">
        <v>100</v>
      </c>
      <c r="V4696">
        <v>3200</v>
      </c>
    </row>
    <row r="4697" spans="1:22" x14ac:dyDescent="0.3">
      <c r="A4697" t="s">
        <v>6179</v>
      </c>
      <c r="B4697" s="2">
        <v>46197</v>
      </c>
      <c r="C4697" t="s">
        <v>933</v>
      </c>
      <c r="D4697" t="s">
        <v>70</v>
      </c>
      <c r="E4697" t="s">
        <v>165</v>
      </c>
      <c r="F4697">
        <v>2</v>
      </c>
      <c r="G4697">
        <v>0.1</v>
      </c>
      <c r="H4697">
        <v>4500</v>
      </c>
      <c r="I4697">
        <v>1369.42</v>
      </c>
      <c r="J4697" t="s">
        <v>65</v>
      </c>
      <c r="K4697" t="s">
        <v>40</v>
      </c>
      <c r="L4697">
        <v>2250</v>
      </c>
      <c r="M4697">
        <v>30.431555555555551</v>
      </c>
      <c r="N4697" t="s">
        <v>8</v>
      </c>
      <c r="O4697" t="s">
        <v>233</v>
      </c>
      <c r="P4697" t="s">
        <v>29</v>
      </c>
      <c r="Q4697" t="s">
        <v>30</v>
      </c>
      <c r="R4697" t="s">
        <v>31</v>
      </c>
      <c r="S4697" t="s">
        <v>32</v>
      </c>
      <c r="T4697" t="s">
        <v>934</v>
      </c>
      <c r="U4697" t="s">
        <v>34</v>
      </c>
      <c r="V4697">
        <v>684.71</v>
      </c>
    </row>
    <row r="4698" spans="1:22" x14ac:dyDescent="0.3">
      <c r="A4698" t="s">
        <v>6180</v>
      </c>
      <c r="B4698" s="2">
        <v>45931</v>
      </c>
      <c r="C4698" t="s">
        <v>769</v>
      </c>
      <c r="D4698" t="s">
        <v>24</v>
      </c>
      <c r="E4698" t="s">
        <v>242</v>
      </c>
      <c r="F4698">
        <v>4</v>
      </c>
      <c r="G4698">
        <v>0.15</v>
      </c>
      <c r="H4698">
        <v>1530</v>
      </c>
      <c r="I4698">
        <v>-595.76</v>
      </c>
      <c r="J4698" t="s">
        <v>26</v>
      </c>
      <c r="K4698" t="s">
        <v>80</v>
      </c>
      <c r="L4698">
        <v>382.5</v>
      </c>
      <c r="M4698">
        <v>-38.938562091503258</v>
      </c>
      <c r="N4698" t="s">
        <v>81</v>
      </c>
      <c r="O4698" t="s">
        <v>374</v>
      </c>
      <c r="P4698" t="s">
        <v>29</v>
      </c>
      <c r="Q4698" t="s">
        <v>42</v>
      </c>
      <c r="R4698" t="s">
        <v>121</v>
      </c>
      <c r="S4698" t="s">
        <v>44</v>
      </c>
      <c r="T4698" t="s">
        <v>172</v>
      </c>
      <c r="U4698" t="s">
        <v>46</v>
      </c>
      <c r="V4698">
        <v>-148.94</v>
      </c>
    </row>
    <row r="4699" spans="1:22" x14ac:dyDescent="0.3">
      <c r="A4699" t="s">
        <v>6181</v>
      </c>
      <c r="B4699" s="2">
        <v>46250</v>
      </c>
      <c r="C4699" t="s">
        <v>1297</v>
      </c>
      <c r="D4699" t="s">
        <v>49</v>
      </c>
      <c r="E4699" t="s">
        <v>58</v>
      </c>
      <c r="F4699">
        <v>5</v>
      </c>
      <c r="G4699">
        <v>0</v>
      </c>
      <c r="H4699">
        <v>75000</v>
      </c>
      <c r="I4699">
        <v>17500</v>
      </c>
      <c r="J4699" t="s">
        <v>51</v>
      </c>
      <c r="K4699" t="s">
        <v>40</v>
      </c>
      <c r="L4699">
        <v>15000</v>
      </c>
      <c r="M4699">
        <v>23.333333333333329</v>
      </c>
      <c r="N4699" t="s">
        <v>8</v>
      </c>
      <c r="O4699" t="s">
        <v>781</v>
      </c>
      <c r="P4699" t="s">
        <v>29</v>
      </c>
      <c r="Q4699" t="s">
        <v>30</v>
      </c>
      <c r="R4699" t="s">
        <v>31</v>
      </c>
      <c r="S4699" t="s">
        <v>32</v>
      </c>
      <c r="T4699" t="s">
        <v>1298</v>
      </c>
      <c r="U4699" t="s">
        <v>100</v>
      </c>
      <c r="V4699">
        <v>3500</v>
      </c>
    </row>
    <row r="4700" spans="1:22" x14ac:dyDescent="0.3">
      <c r="A4700" t="s">
        <v>6182</v>
      </c>
      <c r="B4700" s="2">
        <v>46166</v>
      </c>
      <c r="C4700" t="s">
        <v>640</v>
      </c>
      <c r="D4700" t="s">
        <v>24</v>
      </c>
      <c r="E4700" t="s">
        <v>242</v>
      </c>
      <c r="F4700">
        <v>2</v>
      </c>
      <c r="G4700">
        <v>0.2</v>
      </c>
      <c r="H4700">
        <v>720</v>
      </c>
      <c r="I4700">
        <v>69.680000000000007</v>
      </c>
      <c r="J4700" t="s">
        <v>26</v>
      </c>
      <c r="K4700" t="s">
        <v>40</v>
      </c>
      <c r="L4700">
        <v>360</v>
      </c>
      <c r="M4700">
        <v>9.6777777777777789</v>
      </c>
      <c r="N4700" t="s">
        <v>8</v>
      </c>
      <c r="O4700" t="s">
        <v>641</v>
      </c>
      <c r="P4700" t="s">
        <v>29</v>
      </c>
      <c r="Q4700" t="s">
        <v>30</v>
      </c>
      <c r="R4700" t="s">
        <v>31</v>
      </c>
      <c r="S4700" t="s">
        <v>32</v>
      </c>
      <c r="T4700" t="s">
        <v>642</v>
      </c>
      <c r="U4700" t="s">
        <v>34</v>
      </c>
      <c r="V4700">
        <v>34.840000000000003</v>
      </c>
    </row>
    <row r="4701" spans="1:22" x14ac:dyDescent="0.3">
      <c r="A4701" t="s">
        <v>6183</v>
      </c>
      <c r="B4701" s="2">
        <v>45917</v>
      </c>
      <c r="C4701" t="s">
        <v>417</v>
      </c>
      <c r="D4701" t="s">
        <v>70</v>
      </c>
      <c r="E4701" t="s">
        <v>165</v>
      </c>
      <c r="F4701">
        <v>2</v>
      </c>
      <c r="G4701">
        <v>0</v>
      </c>
      <c r="H4701">
        <v>5000</v>
      </c>
      <c r="I4701">
        <v>1600</v>
      </c>
      <c r="J4701" t="s">
        <v>26</v>
      </c>
      <c r="K4701" t="s">
        <v>27</v>
      </c>
      <c r="L4701">
        <v>2500</v>
      </c>
      <c r="M4701">
        <v>32</v>
      </c>
      <c r="N4701" t="s">
        <v>8</v>
      </c>
      <c r="O4701" t="s">
        <v>418</v>
      </c>
      <c r="P4701" t="s">
        <v>29</v>
      </c>
      <c r="Q4701" t="s">
        <v>30</v>
      </c>
      <c r="R4701" t="s">
        <v>60</v>
      </c>
      <c r="S4701" t="s">
        <v>61</v>
      </c>
      <c r="T4701" t="s">
        <v>419</v>
      </c>
      <c r="U4701" t="s">
        <v>34</v>
      </c>
      <c r="V4701">
        <v>800</v>
      </c>
    </row>
    <row r="4702" spans="1:22" x14ac:dyDescent="0.3">
      <c r="A4702" t="s">
        <v>6184</v>
      </c>
      <c r="B4702" s="2">
        <v>45925</v>
      </c>
      <c r="C4702" t="s">
        <v>3684</v>
      </c>
      <c r="D4702" t="s">
        <v>24</v>
      </c>
      <c r="E4702" t="s">
        <v>87</v>
      </c>
      <c r="F4702">
        <v>6</v>
      </c>
      <c r="G4702">
        <v>0.2</v>
      </c>
      <c r="H4702">
        <v>1680</v>
      </c>
      <c r="I4702">
        <v>443.56</v>
      </c>
      <c r="J4702" t="s">
        <v>26</v>
      </c>
      <c r="K4702" t="s">
        <v>40</v>
      </c>
      <c r="L4702">
        <v>280</v>
      </c>
      <c r="M4702">
        <v>26.402380952380959</v>
      </c>
      <c r="N4702" t="s">
        <v>8</v>
      </c>
      <c r="O4702" t="s">
        <v>730</v>
      </c>
      <c r="P4702" t="s">
        <v>29</v>
      </c>
      <c r="Q4702" t="s">
        <v>131</v>
      </c>
      <c r="R4702" t="s">
        <v>200</v>
      </c>
      <c r="S4702" t="s">
        <v>201</v>
      </c>
      <c r="T4702" t="s">
        <v>3685</v>
      </c>
      <c r="U4702" t="s">
        <v>34</v>
      </c>
      <c r="V4702">
        <v>73.926666666666662</v>
      </c>
    </row>
    <row r="4703" spans="1:22" x14ac:dyDescent="0.3">
      <c r="A4703" t="s">
        <v>6185</v>
      </c>
      <c r="B4703" s="2">
        <v>46151</v>
      </c>
      <c r="C4703" t="s">
        <v>958</v>
      </c>
      <c r="D4703" t="s">
        <v>49</v>
      </c>
      <c r="E4703" t="s">
        <v>119</v>
      </c>
      <c r="F4703">
        <v>1</v>
      </c>
      <c r="G4703">
        <v>0.2</v>
      </c>
      <c r="H4703">
        <v>7200</v>
      </c>
      <c r="I4703">
        <v>962.81</v>
      </c>
      <c r="J4703" t="s">
        <v>26</v>
      </c>
      <c r="K4703" t="s">
        <v>40</v>
      </c>
      <c r="L4703">
        <v>7200</v>
      </c>
      <c r="M4703">
        <v>13.372361111111109</v>
      </c>
      <c r="N4703" t="s">
        <v>8</v>
      </c>
      <c r="O4703" t="s">
        <v>959</v>
      </c>
      <c r="P4703" t="s">
        <v>73</v>
      </c>
      <c r="Q4703" t="s">
        <v>42</v>
      </c>
      <c r="R4703" t="s">
        <v>43</v>
      </c>
      <c r="S4703" t="s">
        <v>44</v>
      </c>
      <c r="T4703" t="s">
        <v>960</v>
      </c>
      <c r="U4703" t="s">
        <v>34</v>
      </c>
      <c r="V4703">
        <v>962.81</v>
      </c>
    </row>
    <row r="4704" spans="1:22" x14ac:dyDescent="0.3">
      <c r="A4704" t="s">
        <v>6186</v>
      </c>
      <c r="B4704" s="2">
        <v>45996</v>
      </c>
      <c r="C4704" t="s">
        <v>469</v>
      </c>
      <c r="D4704" t="s">
        <v>70</v>
      </c>
      <c r="E4704" t="s">
        <v>129</v>
      </c>
      <c r="F4704">
        <v>2</v>
      </c>
      <c r="G4704">
        <v>0</v>
      </c>
      <c r="H4704">
        <v>110000</v>
      </c>
      <c r="I4704">
        <v>18000</v>
      </c>
      <c r="J4704" t="s">
        <v>65</v>
      </c>
      <c r="K4704" t="s">
        <v>40</v>
      </c>
      <c r="L4704">
        <v>55000</v>
      </c>
      <c r="M4704">
        <v>16.36363636363636</v>
      </c>
      <c r="N4704" t="s">
        <v>8</v>
      </c>
      <c r="O4704" t="s">
        <v>470</v>
      </c>
      <c r="P4704" t="s">
        <v>83</v>
      </c>
      <c r="Q4704" t="s">
        <v>30</v>
      </c>
      <c r="R4704" t="s">
        <v>31</v>
      </c>
      <c r="S4704" t="s">
        <v>32</v>
      </c>
      <c r="T4704" t="s">
        <v>471</v>
      </c>
      <c r="U4704" t="s">
        <v>100</v>
      </c>
      <c r="V4704">
        <v>9000</v>
      </c>
    </row>
    <row r="4705" spans="1:22" x14ac:dyDescent="0.3">
      <c r="A4705" t="s">
        <v>6187</v>
      </c>
      <c r="B4705" s="2">
        <v>46064</v>
      </c>
      <c r="C4705" t="s">
        <v>797</v>
      </c>
      <c r="D4705" t="s">
        <v>24</v>
      </c>
      <c r="E4705" t="s">
        <v>242</v>
      </c>
      <c r="F4705">
        <v>1</v>
      </c>
      <c r="G4705">
        <v>0.1</v>
      </c>
      <c r="H4705">
        <v>405</v>
      </c>
      <c r="I4705">
        <v>88.37</v>
      </c>
      <c r="J4705" t="s">
        <v>39</v>
      </c>
      <c r="K4705" t="s">
        <v>40</v>
      </c>
      <c r="L4705">
        <v>405</v>
      </c>
      <c r="M4705">
        <v>21.819753086419759</v>
      </c>
      <c r="N4705" t="s">
        <v>8</v>
      </c>
      <c r="O4705" t="s">
        <v>798</v>
      </c>
      <c r="P4705" t="s">
        <v>73</v>
      </c>
      <c r="Q4705" t="s">
        <v>42</v>
      </c>
      <c r="R4705" t="s">
        <v>110</v>
      </c>
      <c r="S4705" t="s">
        <v>111</v>
      </c>
      <c r="T4705" t="s">
        <v>799</v>
      </c>
      <c r="U4705" t="s">
        <v>34</v>
      </c>
      <c r="V4705">
        <v>88.37</v>
      </c>
    </row>
    <row r="4706" spans="1:22" x14ac:dyDescent="0.3">
      <c r="A4706" t="s">
        <v>6188</v>
      </c>
      <c r="B4706" s="2">
        <v>45947</v>
      </c>
      <c r="C4706" t="s">
        <v>1513</v>
      </c>
      <c r="D4706" t="s">
        <v>24</v>
      </c>
      <c r="E4706" t="s">
        <v>87</v>
      </c>
      <c r="F4706">
        <v>5</v>
      </c>
      <c r="G4706">
        <v>0.05</v>
      </c>
      <c r="H4706">
        <v>1662.5</v>
      </c>
      <c r="I4706">
        <v>-411.5</v>
      </c>
      <c r="J4706" t="s">
        <v>65</v>
      </c>
      <c r="K4706" t="s">
        <v>80</v>
      </c>
      <c r="L4706">
        <v>332.5</v>
      </c>
      <c r="M4706">
        <v>-24.751879699248121</v>
      </c>
      <c r="N4706" t="s">
        <v>81</v>
      </c>
      <c r="O4706" t="s">
        <v>1514</v>
      </c>
      <c r="P4706" t="s">
        <v>29</v>
      </c>
      <c r="Q4706" t="s">
        <v>74</v>
      </c>
      <c r="R4706" t="s">
        <v>115</v>
      </c>
      <c r="S4706" t="s">
        <v>115</v>
      </c>
      <c r="T4706" t="s">
        <v>1515</v>
      </c>
      <c r="U4706" t="s">
        <v>46</v>
      </c>
      <c r="V4706">
        <v>-82.3</v>
      </c>
    </row>
    <row r="4707" spans="1:22" x14ac:dyDescent="0.3">
      <c r="A4707" t="s">
        <v>6189</v>
      </c>
      <c r="B4707" s="2">
        <v>46169</v>
      </c>
      <c r="C4707" t="s">
        <v>152</v>
      </c>
      <c r="D4707" t="s">
        <v>49</v>
      </c>
      <c r="E4707" t="s">
        <v>50</v>
      </c>
      <c r="F4707">
        <v>3</v>
      </c>
      <c r="G4707">
        <v>0.15</v>
      </c>
      <c r="H4707">
        <v>33150</v>
      </c>
      <c r="I4707">
        <v>6627.04</v>
      </c>
      <c r="J4707" t="s">
        <v>65</v>
      </c>
      <c r="K4707" t="s">
        <v>40</v>
      </c>
      <c r="L4707">
        <v>11050</v>
      </c>
      <c r="M4707">
        <v>19.99107088989442</v>
      </c>
      <c r="N4707" t="s">
        <v>8</v>
      </c>
      <c r="O4707" t="s">
        <v>153</v>
      </c>
      <c r="P4707" t="s">
        <v>83</v>
      </c>
      <c r="Q4707" t="s">
        <v>30</v>
      </c>
      <c r="R4707" t="s">
        <v>53</v>
      </c>
      <c r="S4707" t="s">
        <v>54</v>
      </c>
      <c r="T4707" t="s">
        <v>154</v>
      </c>
      <c r="U4707" t="s">
        <v>100</v>
      </c>
      <c r="V4707">
        <v>2209.0133333333329</v>
      </c>
    </row>
    <row r="4708" spans="1:22" x14ac:dyDescent="0.3">
      <c r="A4708" t="s">
        <v>6190</v>
      </c>
      <c r="B4708" s="2">
        <v>46262</v>
      </c>
      <c r="C4708" t="s">
        <v>4058</v>
      </c>
      <c r="D4708" t="s">
        <v>49</v>
      </c>
      <c r="E4708" t="s">
        <v>119</v>
      </c>
      <c r="F4708">
        <v>2</v>
      </c>
      <c r="G4708">
        <v>0.15</v>
      </c>
      <c r="H4708">
        <v>15300</v>
      </c>
      <c r="I4708">
        <v>2709.33</v>
      </c>
      <c r="J4708" t="s">
        <v>39</v>
      </c>
      <c r="K4708" t="s">
        <v>40</v>
      </c>
      <c r="L4708">
        <v>7650</v>
      </c>
      <c r="M4708">
        <v>17.70803921568627</v>
      </c>
      <c r="N4708" t="s">
        <v>8</v>
      </c>
      <c r="O4708" t="s">
        <v>717</v>
      </c>
      <c r="P4708" t="s">
        <v>73</v>
      </c>
      <c r="Q4708" t="s">
        <v>131</v>
      </c>
      <c r="R4708" t="s">
        <v>200</v>
      </c>
      <c r="S4708" t="s">
        <v>201</v>
      </c>
      <c r="T4708" t="s">
        <v>4059</v>
      </c>
      <c r="U4708" t="s">
        <v>34</v>
      </c>
      <c r="V4708">
        <v>1354.665</v>
      </c>
    </row>
    <row r="4709" spans="1:22" x14ac:dyDescent="0.3">
      <c r="A4709" t="s">
        <v>6191</v>
      </c>
      <c r="B4709" s="2">
        <v>45998</v>
      </c>
      <c r="C4709" t="s">
        <v>1806</v>
      </c>
      <c r="D4709" t="s">
        <v>70</v>
      </c>
      <c r="E4709" t="s">
        <v>129</v>
      </c>
      <c r="F4709">
        <v>1</v>
      </c>
      <c r="G4709">
        <v>0.15</v>
      </c>
      <c r="H4709">
        <v>46750</v>
      </c>
      <c r="I4709">
        <v>4434.3100000000004</v>
      </c>
      <c r="J4709" t="s">
        <v>65</v>
      </c>
      <c r="K4709" t="s">
        <v>40</v>
      </c>
      <c r="L4709">
        <v>46750</v>
      </c>
      <c r="M4709">
        <v>9.4851550802139037</v>
      </c>
      <c r="N4709" t="s">
        <v>8</v>
      </c>
      <c r="O4709" t="s">
        <v>1033</v>
      </c>
      <c r="P4709" t="s">
        <v>73</v>
      </c>
      <c r="Q4709" t="s">
        <v>42</v>
      </c>
      <c r="R4709" t="s">
        <v>110</v>
      </c>
      <c r="S4709" t="s">
        <v>111</v>
      </c>
      <c r="T4709" t="s">
        <v>759</v>
      </c>
      <c r="U4709" t="s">
        <v>34</v>
      </c>
      <c r="V4709">
        <v>4434.3100000000004</v>
      </c>
    </row>
    <row r="4710" spans="1:22" x14ac:dyDescent="0.3">
      <c r="A4710" t="s">
        <v>6192</v>
      </c>
      <c r="B4710" s="2">
        <v>46118</v>
      </c>
      <c r="C4710" t="s">
        <v>148</v>
      </c>
      <c r="D4710" t="s">
        <v>24</v>
      </c>
      <c r="E4710" t="s">
        <v>25</v>
      </c>
      <c r="F4710">
        <v>1</v>
      </c>
      <c r="G4710">
        <v>0.05</v>
      </c>
      <c r="H4710">
        <v>13300</v>
      </c>
      <c r="I4710">
        <v>2253.14</v>
      </c>
      <c r="J4710" t="s">
        <v>51</v>
      </c>
      <c r="K4710" t="s">
        <v>40</v>
      </c>
      <c r="L4710">
        <v>13300</v>
      </c>
      <c r="M4710">
        <v>16.940902255639099</v>
      </c>
      <c r="N4710" t="s">
        <v>8</v>
      </c>
      <c r="O4710" t="s">
        <v>149</v>
      </c>
      <c r="P4710" t="s">
        <v>29</v>
      </c>
      <c r="Q4710" t="s">
        <v>30</v>
      </c>
      <c r="R4710" t="s">
        <v>60</v>
      </c>
      <c r="S4710" t="s">
        <v>61</v>
      </c>
      <c r="T4710" t="s">
        <v>150</v>
      </c>
      <c r="U4710" t="s">
        <v>105</v>
      </c>
      <c r="V4710">
        <v>2253.14</v>
      </c>
    </row>
    <row r="4711" spans="1:22" x14ac:dyDescent="0.3">
      <c r="A4711" t="s">
        <v>6193</v>
      </c>
      <c r="B4711" s="2">
        <v>45862</v>
      </c>
      <c r="C4711" t="s">
        <v>1979</v>
      </c>
      <c r="D4711" t="s">
        <v>70</v>
      </c>
      <c r="E4711" t="s">
        <v>165</v>
      </c>
      <c r="F4711">
        <v>1</v>
      </c>
      <c r="G4711">
        <v>0.1</v>
      </c>
      <c r="H4711">
        <v>2250</v>
      </c>
      <c r="I4711">
        <v>-737.32</v>
      </c>
      <c r="J4711" t="s">
        <v>26</v>
      </c>
      <c r="K4711" t="s">
        <v>80</v>
      </c>
      <c r="L4711">
        <v>2250</v>
      </c>
      <c r="M4711">
        <v>-32.769777777777783</v>
      </c>
      <c r="N4711" t="s">
        <v>81</v>
      </c>
      <c r="O4711" t="s">
        <v>1980</v>
      </c>
      <c r="P4711" t="s">
        <v>29</v>
      </c>
      <c r="Q4711" t="s">
        <v>42</v>
      </c>
      <c r="R4711" t="s">
        <v>110</v>
      </c>
      <c r="S4711" t="s">
        <v>111</v>
      </c>
      <c r="T4711" t="s">
        <v>1981</v>
      </c>
      <c r="U4711" t="s">
        <v>46</v>
      </c>
      <c r="V4711">
        <v>-737.32</v>
      </c>
    </row>
    <row r="4712" spans="1:22" x14ac:dyDescent="0.3">
      <c r="A4712" t="s">
        <v>6194</v>
      </c>
      <c r="B4712" s="2">
        <v>46097</v>
      </c>
      <c r="C4712" t="s">
        <v>2145</v>
      </c>
      <c r="D4712" t="s">
        <v>49</v>
      </c>
      <c r="E4712" t="s">
        <v>119</v>
      </c>
      <c r="F4712">
        <v>1</v>
      </c>
      <c r="G4712">
        <v>0.1</v>
      </c>
      <c r="H4712">
        <v>8100</v>
      </c>
      <c r="I4712">
        <v>1740.54</v>
      </c>
      <c r="J4712" t="s">
        <v>65</v>
      </c>
      <c r="K4712" t="s">
        <v>27</v>
      </c>
      <c r="L4712">
        <v>8100</v>
      </c>
      <c r="M4712">
        <v>21.488148148148149</v>
      </c>
      <c r="N4712" t="s">
        <v>8</v>
      </c>
      <c r="O4712" t="s">
        <v>302</v>
      </c>
      <c r="P4712" t="s">
        <v>29</v>
      </c>
      <c r="Q4712" t="s">
        <v>30</v>
      </c>
      <c r="R4712" t="s">
        <v>98</v>
      </c>
      <c r="S4712" t="s">
        <v>54</v>
      </c>
      <c r="T4712" t="s">
        <v>601</v>
      </c>
      <c r="U4712" t="s">
        <v>46</v>
      </c>
      <c r="V4712">
        <v>1740.54</v>
      </c>
    </row>
    <row r="4713" spans="1:22" x14ac:dyDescent="0.3">
      <c r="A4713" t="s">
        <v>6195</v>
      </c>
      <c r="B4713" s="2">
        <v>45951</v>
      </c>
      <c r="C4713" t="s">
        <v>236</v>
      </c>
      <c r="D4713" t="s">
        <v>70</v>
      </c>
      <c r="E4713" t="s">
        <v>71</v>
      </c>
      <c r="F4713">
        <v>2</v>
      </c>
      <c r="G4713">
        <v>0.2</v>
      </c>
      <c r="H4713">
        <v>28800</v>
      </c>
      <c r="I4713">
        <v>3346.05</v>
      </c>
      <c r="J4713" t="s">
        <v>51</v>
      </c>
      <c r="K4713" t="s">
        <v>40</v>
      </c>
      <c r="L4713">
        <v>14400</v>
      </c>
      <c r="M4713">
        <v>11.618229166666669</v>
      </c>
      <c r="N4713" t="s">
        <v>8</v>
      </c>
      <c r="O4713" t="s">
        <v>179</v>
      </c>
      <c r="P4713" t="s">
        <v>29</v>
      </c>
      <c r="Q4713" t="s">
        <v>74</v>
      </c>
      <c r="R4713" t="s">
        <v>237</v>
      </c>
      <c r="S4713" t="s">
        <v>238</v>
      </c>
      <c r="T4713" t="s">
        <v>239</v>
      </c>
      <c r="U4713" t="s">
        <v>34</v>
      </c>
      <c r="V4713">
        <v>1673.0250000000001</v>
      </c>
    </row>
    <row r="4714" spans="1:22" x14ac:dyDescent="0.3">
      <c r="A4714" t="s">
        <v>6196</v>
      </c>
      <c r="B4714" s="2">
        <v>46158</v>
      </c>
      <c r="C4714" t="s">
        <v>533</v>
      </c>
      <c r="D4714" t="s">
        <v>70</v>
      </c>
      <c r="E4714" t="s">
        <v>108</v>
      </c>
      <c r="F4714">
        <v>4</v>
      </c>
      <c r="G4714">
        <v>0</v>
      </c>
      <c r="H4714">
        <v>18000</v>
      </c>
      <c r="I4714">
        <v>6000</v>
      </c>
      <c r="J4714" t="s">
        <v>65</v>
      </c>
      <c r="K4714" t="s">
        <v>40</v>
      </c>
      <c r="L4714">
        <v>4500</v>
      </c>
      <c r="M4714">
        <v>33.333333333333329</v>
      </c>
      <c r="N4714" t="s">
        <v>8</v>
      </c>
      <c r="O4714" t="s">
        <v>306</v>
      </c>
      <c r="P4714" t="s">
        <v>83</v>
      </c>
      <c r="Q4714" t="s">
        <v>131</v>
      </c>
      <c r="R4714" t="s">
        <v>132</v>
      </c>
      <c r="S4714" t="s">
        <v>133</v>
      </c>
      <c r="T4714" t="s">
        <v>534</v>
      </c>
      <c r="U4714" t="s">
        <v>46</v>
      </c>
      <c r="V4714">
        <v>1500</v>
      </c>
    </row>
    <row r="4715" spans="1:22" x14ac:dyDescent="0.3">
      <c r="A4715" t="s">
        <v>6197</v>
      </c>
      <c r="B4715" s="2">
        <v>46214</v>
      </c>
      <c r="C4715" t="s">
        <v>1433</v>
      </c>
      <c r="D4715" t="s">
        <v>49</v>
      </c>
      <c r="E4715" t="s">
        <v>119</v>
      </c>
      <c r="F4715">
        <v>10</v>
      </c>
      <c r="G4715">
        <v>0</v>
      </c>
      <c r="H4715">
        <v>90000</v>
      </c>
      <c r="I4715">
        <v>23000</v>
      </c>
      <c r="J4715" t="s">
        <v>26</v>
      </c>
      <c r="K4715" t="s">
        <v>40</v>
      </c>
      <c r="L4715">
        <v>9000</v>
      </c>
      <c r="M4715">
        <v>25.55555555555555</v>
      </c>
      <c r="N4715" t="s">
        <v>8</v>
      </c>
      <c r="O4715" t="s">
        <v>318</v>
      </c>
      <c r="P4715" t="s">
        <v>73</v>
      </c>
      <c r="Q4715" t="s">
        <v>30</v>
      </c>
      <c r="R4715" t="s">
        <v>53</v>
      </c>
      <c r="S4715" t="s">
        <v>54</v>
      </c>
      <c r="T4715" t="s">
        <v>1434</v>
      </c>
      <c r="U4715" t="s">
        <v>34</v>
      </c>
      <c r="V4715">
        <v>2300</v>
      </c>
    </row>
    <row r="4716" spans="1:22" x14ac:dyDescent="0.3">
      <c r="A4716" t="s">
        <v>6198</v>
      </c>
      <c r="B4716" s="2">
        <v>46119</v>
      </c>
      <c r="C4716" t="s">
        <v>1872</v>
      </c>
      <c r="D4716" t="s">
        <v>37</v>
      </c>
      <c r="E4716" t="s">
        <v>190</v>
      </c>
      <c r="F4716">
        <v>4</v>
      </c>
      <c r="G4716">
        <v>0.1</v>
      </c>
      <c r="H4716">
        <v>15120</v>
      </c>
      <c r="I4716">
        <v>3692.11</v>
      </c>
      <c r="J4716" t="s">
        <v>26</v>
      </c>
      <c r="K4716" t="s">
        <v>40</v>
      </c>
      <c r="L4716">
        <v>3780</v>
      </c>
      <c r="M4716">
        <v>24.418716931216931</v>
      </c>
      <c r="N4716" t="s">
        <v>8</v>
      </c>
      <c r="O4716" t="s">
        <v>386</v>
      </c>
      <c r="P4716" t="s">
        <v>73</v>
      </c>
      <c r="Q4716" t="s">
        <v>42</v>
      </c>
      <c r="R4716" t="s">
        <v>110</v>
      </c>
      <c r="S4716" t="s">
        <v>111</v>
      </c>
      <c r="T4716" t="s">
        <v>852</v>
      </c>
      <c r="U4716" t="s">
        <v>34</v>
      </c>
      <c r="V4716">
        <v>923.02750000000003</v>
      </c>
    </row>
    <row r="4717" spans="1:22" x14ac:dyDescent="0.3">
      <c r="A4717" t="s">
        <v>6199</v>
      </c>
      <c r="B4717" s="2">
        <v>46068</v>
      </c>
      <c r="C4717" t="s">
        <v>872</v>
      </c>
      <c r="D4717" t="s">
        <v>24</v>
      </c>
      <c r="E4717" t="s">
        <v>87</v>
      </c>
      <c r="F4717">
        <v>4</v>
      </c>
      <c r="G4717">
        <v>0.1</v>
      </c>
      <c r="H4717">
        <v>1260</v>
      </c>
      <c r="I4717">
        <v>410.11</v>
      </c>
      <c r="J4717" t="s">
        <v>39</v>
      </c>
      <c r="K4717" t="s">
        <v>40</v>
      </c>
      <c r="L4717">
        <v>315</v>
      </c>
      <c r="M4717">
        <v>32.548412698412697</v>
      </c>
      <c r="N4717" t="s">
        <v>8</v>
      </c>
      <c r="O4717" t="s">
        <v>492</v>
      </c>
      <c r="P4717" t="s">
        <v>29</v>
      </c>
      <c r="Q4717" t="s">
        <v>42</v>
      </c>
      <c r="R4717" t="s">
        <v>121</v>
      </c>
      <c r="S4717" t="s">
        <v>44</v>
      </c>
      <c r="T4717" t="s">
        <v>873</v>
      </c>
      <c r="U4717" t="s">
        <v>46</v>
      </c>
      <c r="V4717">
        <v>102.5275</v>
      </c>
    </row>
    <row r="4718" spans="1:22" x14ac:dyDescent="0.3">
      <c r="A4718" t="s">
        <v>6200</v>
      </c>
      <c r="B4718" s="2">
        <v>46037</v>
      </c>
      <c r="C4718" t="s">
        <v>1585</v>
      </c>
      <c r="D4718" t="s">
        <v>70</v>
      </c>
      <c r="E4718" t="s">
        <v>108</v>
      </c>
      <c r="F4718">
        <v>3</v>
      </c>
      <c r="G4718">
        <v>0.1</v>
      </c>
      <c r="H4718">
        <v>12150</v>
      </c>
      <c r="I4718">
        <v>3598.58</v>
      </c>
      <c r="J4718" t="s">
        <v>51</v>
      </c>
      <c r="K4718" t="s">
        <v>40</v>
      </c>
      <c r="L4718">
        <v>4050</v>
      </c>
      <c r="M4718">
        <v>29.61794238683127</v>
      </c>
      <c r="N4718" t="s">
        <v>8</v>
      </c>
      <c r="O4718" t="s">
        <v>1586</v>
      </c>
      <c r="P4718" t="s">
        <v>29</v>
      </c>
      <c r="Q4718" t="s">
        <v>74</v>
      </c>
      <c r="R4718" t="s">
        <v>493</v>
      </c>
      <c r="S4718" t="s">
        <v>494</v>
      </c>
      <c r="T4718" t="s">
        <v>876</v>
      </c>
      <c r="U4718" t="s">
        <v>34</v>
      </c>
      <c r="V4718">
        <v>1199.5266666666671</v>
      </c>
    </row>
    <row r="4719" spans="1:22" x14ac:dyDescent="0.3">
      <c r="A4719" t="s">
        <v>6201</v>
      </c>
      <c r="B4719" s="2">
        <v>45898</v>
      </c>
      <c r="C4719" t="s">
        <v>1152</v>
      </c>
      <c r="D4719" t="s">
        <v>37</v>
      </c>
      <c r="E4719" t="s">
        <v>38</v>
      </c>
      <c r="F4719">
        <v>4</v>
      </c>
      <c r="G4719">
        <v>0.05</v>
      </c>
      <c r="H4719">
        <v>6840</v>
      </c>
      <c r="I4719">
        <v>2388.08</v>
      </c>
      <c r="J4719" t="s">
        <v>65</v>
      </c>
      <c r="K4719" t="s">
        <v>27</v>
      </c>
      <c r="L4719">
        <v>1710</v>
      </c>
      <c r="M4719">
        <v>34.913450292397663</v>
      </c>
      <c r="N4719" t="s">
        <v>8</v>
      </c>
      <c r="O4719" t="s">
        <v>995</v>
      </c>
      <c r="P4719" t="s">
        <v>29</v>
      </c>
      <c r="Q4719" t="s">
        <v>30</v>
      </c>
      <c r="R4719" t="s">
        <v>31</v>
      </c>
      <c r="S4719" t="s">
        <v>32</v>
      </c>
      <c r="T4719" t="s">
        <v>960</v>
      </c>
      <c r="U4719" t="s">
        <v>100</v>
      </c>
      <c r="V4719">
        <v>597.02</v>
      </c>
    </row>
    <row r="4720" spans="1:22" x14ac:dyDescent="0.3">
      <c r="A4720" t="s">
        <v>6202</v>
      </c>
      <c r="B4720" s="2">
        <v>45996</v>
      </c>
      <c r="C4720" t="s">
        <v>225</v>
      </c>
      <c r="D4720" t="s">
        <v>24</v>
      </c>
      <c r="E4720" t="s">
        <v>25</v>
      </c>
      <c r="F4720">
        <v>5</v>
      </c>
      <c r="G4720">
        <v>0.2</v>
      </c>
      <c r="H4720">
        <v>56000</v>
      </c>
      <c r="I4720">
        <v>-31911.65</v>
      </c>
      <c r="J4720" t="s">
        <v>51</v>
      </c>
      <c r="K4720" t="s">
        <v>80</v>
      </c>
      <c r="L4720">
        <v>11200</v>
      </c>
      <c r="M4720">
        <v>-56.985089285714288</v>
      </c>
      <c r="N4720" t="s">
        <v>81</v>
      </c>
      <c r="O4720" t="s">
        <v>226</v>
      </c>
      <c r="P4720" t="s">
        <v>29</v>
      </c>
      <c r="Q4720" t="s">
        <v>30</v>
      </c>
      <c r="R4720" t="s">
        <v>31</v>
      </c>
      <c r="S4720" t="s">
        <v>32</v>
      </c>
      <c r="T4720" t="s">
        <v>227</v>
      </c>
      <c r="U4720" t="s">
        <v>100</v>
      </c>
      <c r="V4720">
        <v>-6382.33</v>
      </c>
    </row>
    <row r="4721" spans="1:22" x14ac:dyDescent="0.3">
      <c r="A4721" t="s">
        <v>6203</v>
      </c>
      <c r="B4721" s="2">
        <v>46057</v>
      </c>
      <c r="C4721" t="s">
        <v>1131</v>
      </c>
      <c r="D4721" t="s">
        <v>37</v>
      </c>
      <c r="E4721" t="s">
        <v>38</v>
      </c>
      <c r="F4721">
        <v>2</v>
      </c>
      <c r="G4721">
        <v>0</v>
      </c>
      <c r="H4721">
        <v>3600</v>
      </c>
      <c r="I4721">
        <v>1300</v>
      </c>
      <c r="J4721" t="s">
        <v>39</v>
      </c>
      <c r="K4721" t="s">
        <v>40</v>
      </c>
      <c r="L4721">
        <v>1800</v>
      </c>
      <c r="M4721">
        <v>36.111111111111107</v>
      </c>
      <c r="N4721" t="s">
        <v>8</v>
      </c>
      <c r="O4721" t="s">
        <v>226</v>
      </c>
      <c r="P4721" t="s">
        <v>73</v>
      </c>
      <c r="Q4721" t="s">
        <v>74</v>
      </c>
      <c r="R4721" t="s">
        <v>75</v>
      </c>
      <c r="S4721" t="s">
        <v>75</v>
      </c>
      <c r="T4721" t="s">
        <v>1132</v>
      </c>
      <c r="U4721" t="s">
        <v>100</v>
      </c>
      <c r="V4721">
        <v>650</v>
      </c>
    </row>
    <row r="4722" spans="1:22" x14ac:dyDescent="0.3">
      <c r="A4722" t="s">
        <v>6204</v>
      </c>
      <c r="B4722" s="2">
        <v>46107</v>
      </c>
      <c r="C4722" t="s">
        <v>169</v>
      </c>
      <c r="D4722" t="s">
        <v>70</v>
      </c>
      <c r="E4722" t="s">
        <v>71</v>
      </c>
      <c r="F4722">
        <v>2</v>
      </c>
      <c r="G4722">
        <v>0</v>
      </c>
      <c r="H4722">
        <v>36000</v>
      </c>
      <c r="I4722">
        <v>7000</v>
      </c>
      <c r="J4722" t="s">
        <v>65</v>
      </c>
      <c r="K4722" t="s">
        <v>40</v>
      </c>
      <c r="L4722">
        <v>18000</v>
      </c>
      <c r="M4722">
        <v>19.44444444444445</v>
      </c>
      <c r="N4722" t="s">
        <v>8</v>
      </c>
      <c r="O4722" t="s">
        <v>171</v>
      </c>
      <c r="P4722" t="s">
        <v>29</v>
      </c>
      <c r="Q4722" t="s">
        <v>42</v>
      </c>
      <c r="R4722" t="s">
        <v>121</v>
      </c>
      <c r="S4722" t="s">
        <v>44</v>
      </c>
      <c r="T4722" t="s">
        <v>172</v>
      </c>
      <c r="U4722" t="s">
        <v>46</v>
      </c>
      <c r="V4722">
        <v>3500</v>
      </c>
    </row>
    <row r="4723" spans="1:22" x14ac:dyDescent="0.3">
      <c r="A4723" t="s">
        <v>6205</v>
      </c>
      <c r="B4723" s="2">
        <v>45971</v>
      </c>
      <c r="C4723" t="s">
        <v>2278</v>
      </c>
      <c r="D4723" t="s">
        <v>70</v>
      </c>
      <c r="E4723" t="s">
        <v>108</v>
      </c>
      <c r="F4723">
        <v>5</v>
      </c>
      <c r="G4723">
        <v>0</v>
      </c>
      <c r="H4723">
        <v>22500</v>
      </c>
      <c r="I4723">
        <v>7500</v>
      </c>
      <c r="J4723" t="s">
        <v>39</v>
      </c>
      <c r="K4723" t="s">
        <v>40</v>
      </c>
      <c r="L4723">
        <v>4500</v>
      </c>
      <c r="M4723">
        <v>33.333333333333329</v>
      </c>
      <c r="N4723" t="s">
        <v>8</v>
      </c>
      <c r="O4723" t="s">
        <v>470</v>
      </c>
      <c r="P4723" t="s">
        <v>29</v>
      </c>
      <c r="Q4723" t="s">
        <v>30</v>
      </c>
      <c r="R4723" t="s">
        <v>98</v>
      </c>
      <c r="S4723" t="s">
        <v>54</v>
      </c>
      <c r="T4723" t="s">
        <v>2279</v>
      </c>
      <c r="U4723" t="s">
        <v>105</v>
      </c>
      <c r="V4723">
        <v>1500</v>
      </c>
    </row>
    <row r="4724" spans="1:22" x14ac:dyDescent="0.3">
      <c r="A4724" t="s">
        <v>6206</v>
      </c>
      <c r="B4724" s="2">
        <v>46130</v>
      </c>
      <c r="C4724" t="s">
        <v>3512</v>
      </c>
      <c r="D4724" t="s">
        <v>70</v>
      </c>
      <c r="E4724" t="s">
        <v>71</v>
      </c>
      <c r="F4724">
        <v>1</v>
      </c>
      <c r="G4724">
        <v>0</v>
      </c>
      <c r="H4724">
        <v>18000</v>
      </c>
      <c r="I4724">
        <v>3500</v>
      </c>
      <c r="J4724" t="s">
        <v>26</v>
      </c>
      <c r="K4724" t="s">
        <v>40</v>
      </c>
      <c r="L4724">
        <v>18000</v>
      </c>
      <c r="M4724">
        <v>19.44444444444445</v>
      </c>
      <c r="N4724" t="s">
        <v>8</v>
      </c>
      <c r="O4724" t="s">
        <v>648</v>
      </c>
      <c r="P4724" t="s">
        <v>83</v>
      </c>
      <c r="Q4724" t="s">
        <v>74</v>
      </c>
      <c r="R4724" t="s">
        <v>115</v>
      </c>
      <c r="S4724" t="s">
        <v>115</v>
      </c>
      <c r="T4724" t="s">
        <v>3513</v>
      </c>
      <c r="U4724" t="s">
        <v>34</v>
      </c>
      <c r="V4724">
        <v>3500</v>
      </c>
    </row>
    <row r="4725" spans="1:22" x14ac:dyDescent="0.3">
      <c r="A4725" t="s">
        <v>6207</v>
      </c>
      <c r="B4725" s="2">
        <v>46009</v>
      </c>
      <c r="C4725" t="s">
        <v>1700</v>
      </c>
      <c r="D4725" t="s">
        <v>49</v>
      </c>
      <c r="E4725" t="s">
        <v>79</v>
      </c>
      <c r="F4725">
        <v>1</v>
      </c>
      <c r="G4725">
        <v>0</v>
      </c>
      <c r="H4725">
        <v>11000</v>
      </c>
      <c r="I4725">
        <v>2600</v>
      </c>
      <c r="J4725" t="s">
        <v>65</v>
      </c>
      <c r="K4725" t="s">
        <v>40</v>
      </c>
      <c r="L4725">
        <v>11000</v>
      </c>
      <c r="M4725">
        <v>23.63636363636364</v>
      </c>
      <c r="N4725" t="s">
        <v>8</v>
      </c>
      <c r="O4725" t="s">
        <v>1009</v>
      </c>
      <c r="P4725" t="s">
        <v>73</v>
      </c>
      <c r="Q4725" t="s">
        <v>30</v>
      </c>
      <c r="R4725" t="s">
        <v>53</v>
      </c>
      <c r="S4725" t="s">
        <v>54</v>
      </c>
      <c r="T4725" t="s">
        <v>172</v>
      </c>
      <c r="U4725" t="s">
        <v>34</v>
      </c>
      <c r="V4725">
        <v>2600</v>
      </c>
    </row>
    <row r="4726" spans="1:22" x14ac:dyDescent="0.3">
      <c r="A4726" t="s">
        <v>6208</v>
      </c>
      <c r="B4726" s="2">
        <v>45983</v>
      </c>
      <c r="C4726" t="s">
        <v>1610</v>
      </c>
      <c r="D4726" t="s">
        <v>70</v>
      </c>
      <c r="E4726" t="s">
        <v>71</v>
      </c>
      <c r="F4726">
        <v>1</v>
      </c>
      <c r="G4726">
        <v>0.1</v>
      </c>
      <c r="H4726">
        <v>16200</v>
      </c>
      <c r="I4726">
        <v>2547.0100000000002</v>
      </c>
      <c r="J4726" t="s">
        <v>51</v>
      </c>
      <c r="K4726" t="s">
        <v>40</v>
      </c>
      <c r="L4726">
        <v>16200</v>
      </c>
      <c r="M4726">
        <v>15.722283950617291</v>
      </c>
      <c r="N4726" t="s">
        <v>8</v>
      </c>
      <c r="O4726" t="s">
        <v>1611</v>
      </c>
      <c r="P4726" t="s">
        <v>29</v>
      </c>
      <c r="Q4726" t="s">
        <v>131</v>
      </c>
      <c r="R4726" t="s">
        <v>289</v>
      </c>
      <c r="S4726" t="s">
        <v>290</v>
      </c>
      <c r="T4726" t="s">
        <v>1612</v>
      </c>
      <c r="U4726" t="s">
        <v>100</v>
      </c>
      <c r="V4726">
        <v>2547.0100000000002</v>
      </c>
    </row>
    <row r="4727" spans="1:22" x14ac:dyDescent="0.3">
      <c r="A4727" t="s">
        <v>6209</v>
      </c>
      <c r="B4727" s="2">
        <v>46261</v>
      </c>
      <c r="C4727" t="s">
        <v>107</v>
      </c>
      <c r="D4727" t="s">
        <v>37</v>
      </c>
      <c r="E4727" t="s">
        <v>310</v>
      </c>
      <c r="F4727">
        <v>2</v>
      </c>
      <c r="G4727">
        <v>0.05</v>
      </c>
      <c r="H4727">
        <v>4180</v>
      </c>
      <c r="I4727">
        <v>1361.02</v>
      </c>
      <c r="J4727" t="s">
        <v>26</v>
      </c>
      <c r="K4727" t="s">
        <v>27</v>
      </c>
      <c r="L4727">
        <v>2090</v>
      </c>
      <c r="M4727">
        <v>32.560287081339709</v>
      </c>
      <c r="N4727" t="s">
        <v>8</v>
      </c>
      <c r="O4727" t="s">
        <v>109</v>
      </c>
      <c r="P4727" t="s">
        <v>29</v>
      </c>
      <c r="Q4727" t="s">
        <v>42</v>
      </c>
      <c r="R4727" t="s">
        <v>110</v>
      </c>
      <c r="S4727" t="s">
        <v>111</v>
      </c>
      <c r="T4727" t="s">
        <v>112</v>
      </c>
      <c r="U4727" t="s">
        <v>100</v>
      </c>
      <c r="V4727">
        <v>680.51</v>
      </c>
    </row>
    <row r="4728" spans="1:22" x14ac:dyDescent="0.3">
      <c r="A4728" t="s">
        <v>6210</v>
      </c>
      <c r="B4728" s="2">
        <v>45854</v>
      </c>
      <c r="C4728" t="s">
        <v>1224</v>
      </c>
      <c r="D4728" t="s">
        <v>70</v>
      </c>
      <c r="E4728" t="s">
        <v>129</v>
      </c>
      <c r="F4728">
        <v>3</v>
      </c>
      <c r="G4728">
        <v>0</v>
      </c>
      <c r="H4728">
        <v>165000</v>
      </c>
      <c r="I4728">
        <v>27000</v>
      </c>
      <c r="J4728" t="s">
        <v>39</v>
      </c>
      <c r="K4728" t="s">
        <v>40</v>
      </c>
      <c r="L4728">
        <v>55000</v>
      </c>
      <c r="M4728">
        <v>16.36363636363636</v>
      </c>
      <c r="N4728" t="s">
        <v>8</v>
      </c>
      <c r="O4728" t="s">
        <v>1225</v>
      </c>
      <c r="P4728" t="s">
        <v>29</v>
      </c>
      <c r="Q4728" t="s">
        <v>74</v>
      </c>
      <c r="R4728" t="s">
        <v>75</v>
      </c>
      <c r="S4728" t="s">
        <v>75</v>
      </c>
      <c r="T4728" t="s">
        <v>342</v>
      </c>
      <c r="U4728" t="s">
        <v>34</v>
      </c>
      <c r="V4728">
        <v>9000</v>
      </c>
    </row>
    <row r="4729" spans="1:22" x14ac:dyDescent="0.3">
      <c r="A4729" t="s">
        <v>6211</v>
      </c>
      <c r="B4729" s="2">
        <v>45927</v>
      </c>
      <c r="C4729" t="s">
        <v>1436</v>
      </c>
      <c r="D4729" t="s">
        <v>49</v>
      </c>
      <c r="E4729" t="s">
        <v>119</v>
      </c>
      <c r="F4729">
        <v>1</v>
      </c>
      <c r="G4729">
        <v>0</v>
      </c>
      <c r="H4729">
        <v>9000</v>
      </c>
      <c r="I4729">
        <v>2300</v>
      </c>
      <c r="J4729" t="s">
        <v>51</v>
      </c>
      <c r="K4729" t="s">
        <v>40</v>
      </c>
      <c r="L4729">
        <v>9000</v>
      </c>
      <c r="M4729">
        <v>25.55555555555555</v>
      </c>
      <c r="N4729" t="s">
        <v>8</v>
      </c>
      <c r="O4729" t="s">
        <v>697</v>
      </c>
      <c r="P4729" t="s">
        <v>83</v>
      </c>
      <c r="Q4729" t="s">
        <v>30</v>
      </c>
      <c r="R4729" t="s">
        <v>60</v>
      </c>
      <c r="S4729" t="s">
        <v>61</v>
      </c>
      <c r="T4729" t="s">
        <v>1437</v>
      </c>
      <c r="U4729" t="s">
        <v>46</v>
      </c>
      <c r="V4729">
        <v>2300</v>
      </c>
    </row>
    <row r="4730" spans="1:22" x14ac:dyDescent="0.3">
      <c r="A4730" t="s">
        <v>6212</v>
      </c>
      <c r="B4730" s="2">
        <v>46144</v>
      </c>
      <c r="C4730" t="s">
        <v>1382</v>
      </c>
      <c r="D4730" t="s">
        <v>70</v>
      </c>
      <c r="E4730" t="s">
        <v>71</v>
      </c>
      <c r="F4730">
        <v>2</v>
      </c>
      <c r="G4730">
        <v>0.1</v>
      </c>
      <c r="H4730">
        <v>32400</v>
      </c>
      <c r="I4730">
        <v>-20590.849999999999</v>
      </c>
      <c r="J4730" t="s">
        <v>51</v>
      </c>
      <c r="K4730" t="s">
        <v>434</v>
      </c>
      <c r="L4730">
        <v>16200</v>
      </c>
      <c r="M4730">
        <v>-63.552006172839498</v>
      </c>
      <c r="N4730" t="s">
        <v>81</v>
      </c>
      <c r="O4730" t="s">
        <v>1383</v>
      </c>
      <c r="P4730" t="s">
        <v>83</v>
      </c>
      <c r="Q4730" t="s">
        <v>30</v>
      </c>
      <c r="R4730" t="s">
        <v>60</v>
      </c>
      <c r="S4730" t="s">
        <v>61</v>
      </c>
      <c r="T4730" t="s">
        <v>227</v>
      </c>
      <c r="U4730" t="s">
        <v>46</v>
      </c>
      <c r="V4730">
        <v>-10295.424999999999</v>
      </c>
    </row>
    <row r="4731" spans="1:22" x14ac:dyDescent="0.3">
      <c r="A4731" t="s">
        <v>6213</v>
      </c>
      <c r="B4731" s="2">
        <v>46131</v>
      </c>
      <c r="C4731" t="s">
        <v>970</v>
      </c>
      <c r="D4731" t="s">
        <v>37</v>
      </c>
      <c r="E4731" t="s">
        <v>190</v>
      </c>
      <c r="F4731">
        <v>4</v>
      </c>
      <c r="G4731">
        <v>0.1</v>
      </c>
      <c r="H4731">
        <v>15120</v>
      </c>
      <c r="I4731">
        <v>3593.46</v>
      </c>
      <c r="J4731" t="s">
        <v>65</v>
      </c>
      <c r="K4731" t="s">
        <v>40</v>
      </c>
      <c r="L4731">
        <v>3780</v>
      </c>
      <c r="M4731">
        <v>23.766269841269839</v>
      </c>
      <c r="N4731" t="s">
        <v>8</v>
      </c>
      <c r="O4731" t="s">
        <v>971</v>
      </c>
      <c r="P4731" t="s">
        <v>83</v>
      </c>
      <c r="Q4731" t="s">
        <v>30</v>
      </c>
      <c r="R4731" t="s">
        <v>31</v>
      </c>
      <c r="S4731" t="s">
        <v>32</v>
      </c>
      <c r="T4731" t="s">
        <v>972</v>
      </c>
      <c r="U4731" t="s">
        <v>34</v>
      </c>
      <c r="V4731">
        <v>898.36500000000001</v>
      </c>
    </row>
    <row r="4732" spans="1:22" x14ac:dyDescent="0.3">
      <c r="A4732" t="s">
        <v>6214</v>
      </c>
      <c r="B4732" s="2">
        <v>46156</v>
      </c>
      <c r="C4732" t="s">
        <v>2177</v>
      </c>
      <c r="D4732" t="s">
        <v>37</v>
      </c>
      <c r="E4732" t="s">
        <v>310</v>
      </c>
      <c r="F4732">
        <v>5</v>
      </c>
      <c r="G4732">
        <v>0.1</v>
      </c>
      <c r="H4732">
        <v>9900</v>
      </c>
      <c r="I4732">
        <v>3114.52</v>
      </c>
      <c r="J4732" t="s">
        <v>65</v>
      </c>
      <c r="K4732" t="s">
        <v>27</v>
      </c>
      <c r="L4732">
        <v>1980</v>
      </c>
      <c r="M4732">
        <v>31.45979797979798</v>
      </c>
      <c r="N4732" t="s">
        <v>8</v>
      </c>
      <c r="O4732" t="s">
        <v>175</v>
      </c>
      <c r="P4732" t="s">
        <v>29</v>
      </c>
      <c r="Q4732" t="s">
        <v>30</v>
      </c>
      <c r="R4732" t="s">
        <v>98</v>
      </c>
      <c r="S4732" t="s">
        <v>54</v>
      </c>
      <c r="T4732" t="s">
        <v>2178</v>
      </c>
      <c r="U4732" t="s">
        <v>46</v>
      </c>
      <c r="V4732">
        <v>622.904</v>
      </c>
    </row>
    <row r="4733" spans="1:22" x14ac:dyDescent="0.3">
      <c r="A4733" t="s">
        <v>6215</v>
      </c>
      <c r="B4733" s="2">
        <v>46249</v>
      </c>
      <c r="C4733" t="s">
        <v>2530</v>
      </c>
      <c r="D4733" t="s">
        <v>24</v>
      </c>
      <c r="E4733" t="s">
        <v>242</v>
      </c>
      <c r="F4733">
        <v>3</v>
      </c>
      <c r="G4733">
        <v>0.05</v>
      </c>
      <c r="H4733">
        <v>1282.5</v>
      </c>
      <c r="I4733">
        <v>298.8</v>
      </c>
      <c r="J4733" t="s">
        <v>26</v>
      </c>
      <c r="K4733" t="s">
        <v>40</v>
      </c>
      <c r="L4733">
        <v>427.5</v>
      </c>
      <c r="M4733">
        <v>23.298245614035089</v>
      </c>
      <c r="N4733" t="s">
        <v>8</v>
      </c>
      <c r="O4733" t="s">
        <v>2531</v>
      </c>
      <c r="P4733" t="s">
        <v>29</v>
      </c>
      <c r="Q4733" t="s">
        <v>131</v>
      </c>
      <c r="R4733" t="s">
        <v>132</v>
      </c>
      <c r="S4733" t="s">
        <v>133</v>
      </c>
      <c r="T4733" t="s">
        <v>1927</v>
      </c>
      <c r="U4733" t="s">
        <v>105</v>
      </c>
      <c r="V4733">
        <v>99.600000000000009</v>
      </c>
    </row>
    <row r="4734" spans="1:22" x14ac:dyDescent="0.3">
      <c r="A4734" t="s">
        <v>6216</v>
      </c>
      <c r="B4734" s="2">
        <v>45920</v>
      </c>
      <c r="C4734" t="s">
        <v>1788</v>
      </c>
      <c r="D4734" t="s">
        <v>49</v>
      </c>
      <c r="E4734" t="s">
        <v>79</v>
      </c>
      <c r="F4734">
        <v>2</v>
      </c>
      <c r="G4734">
        <v>0.05</v>
      </c>
      <c r="H4734">
        <v>20900</v>
      </c>
      <c r="I4734">
        <v>4405.84</v>
      </c>
      <c r="J4734" t="s">
        <v>26</v>
      </c>
      <c r="K4734" t="s">
        <v>40</v>
      </c>
      <c r="L4734">
        <v>10450</v>
      </c>
      <c r="M4734">
        <v>21.080574162679429</v>
      </c>
      <c r="N4734" t="s">
        <v>8</v>
      </c>
      <c r="O4734" t="s">
        <v>349</v>
      </c>
      <c r="P4734" t="s">
        <v>73</v>
      </c>
      <c r="Q4734" t="s">
        <v>131</v>
      </c>
      <c r="R4734" t="s">
        <v>200</v>
      </c>
      <c r="S4734" t="s">
        <v>201</v>
      </c>
      <c r="T4734" t="s">
        <v>1789</v>
      </c>
      <c r="U4734" t="s">
        <v>34</v>
      </c>
      <c r="V4734">
        <v>2202.92</v>
      </c>
    </row>
    <row r="4735" spans="1:22" x14ac:dyDescent="0.3">
      <c r="A4735" t="s">
        <v>6217</v>
      </c>
      <c r="B4735" s="2">
        <v>45967</v>
      </c>
      <c r="C4735" t="s">
        <v>2635</v>
      </c>
      <c r="D4735" t="s">
        <v>37</v>
      </c>
      <c r="E4735" t="s">
        <v>170</v>
      </c>
      <c r="F4735">
        <v>5</v>
      </c>
      <c r="G4735">
        <v>0.2</v>
      </c>
      <c r="H4735">
        <v>5600</v>
      </c>
      <c r="I4735">
        <v>1711.97</v>
      </c>
      <c r="J4735" t="s">
        <v>65</v>
      </c>
      <c r="K4735" t="s">
        <v>40</v>
      </c>
      <c r="L4735">
        <v>1120</v>
      </c>
      <c r="M4735">
        <v>30.570892857142859</v>
      </c>
      <c r="N4735" t="s">
        <v>8</v>
      </c>
      <c r="O4735" t="s">
        <v>2636</v>
      </c>
      <c r="P4735" t="s">
        <v>29</v>
      </c>
      <c r="Q4735" t="s">
        <v>42</v>
      </c>
      <c r="R4735" t="s">
        <v>121</v>
      </c>
      <c r="S4735" t="s">
        <v>44</v>
      </c>
      <c r="T4735" t="s">
        <v>252</v>
      </c>
      <c r="U4735" t="s">
        <v>34</v>
      </c>
      <c r="V4735">
        <v>342.39400000000001</v>
      </c>
    </row>
    <row r="4736" spans="1:22" x14ac:dyDescent="0.3">
      <c r="A4736" t="s">
        <v>6218</v>
      </c>
      <c r="B4736" s="2">
        <v>46126</v>
      </c>
      <c r="C4736" t="s">
        <v>1799</v>
      </c>
      <c r="D4736" t="s">
        <v>37</v>
      </c>
      <c r="E4736" t="s">
        <v>38</v>
      </c>
      <c r="F4736">
        <v>3</v>
      </c>
      <c r="G4736">
        <v>0</v>
      </c>
      <c r="H4736">
        <v>5400</v>
      </c>
      <c r="I4736">
        <v>1950</v>
      </c>
      <c r="J4736" t="s">
        <v>39</v>
      </c>
      <c r="K4736" t="s">
        <v>40</v>
      </c>
      <c r="L4736">
        <v>1800</v>
      </c>
      <c r="M4736">
        <v>36.111111111111107</v>
      </c>
      <c r="N4736" t="s">
        <v>8</v>
      </c>
      <c r="O4736" t="s">
        <v>1800</v>
      </c>
      <c r="P4736" t="s">
        <v>73</v>
      </c>
      <c r="Q4736" t="s">
        <v>30</v>
      </c>
      <c r="R4736" t="s">
        <v>98</v>
      </c>
      <c r="S4736" t="s">
        <v>54</v>
      </c>
      <c r="T4736" t="s">
        <v>1801</v>
      </c>
      <c r="U4736" t="s">
        <v>100</v>
      </c>
      <c r="V4736">
        <v>650</v>
      </c>
    </row>
    <row r="4737" spans="1:22" x14ac:dyDescent="0.3">
      <c r="A4737" t="s">
        <v>6219</v>
      </c>
      <c r="B4737" s="2">
        <v>46225</v>
      </c>
      <c r="C4737" t="s">
        <v>1289</v>
      </c>
      <c r="D4737" t="s">
        <v>37</v>
      </c>
      <c r="E4737" t="s">
        <v>310</v>
      </c>
      <c r="F4737">
        <v>5</v>
      </c>
      <c r="G4737">
        <v>0.15</v>
      </c>
      <c r="H4737">
        <v>9350</v>
      </c>
      <c r="I4737">
        <v>2606.48</v>
      </c>
      <c r="J4737" t="s">
        <v>51</v>
      </c>
      <c r="K4737" t="s">
        <v>40</v>
      </c>
      <c r="L4737">
        <v>1870</v>
      </c>
      <c r="M4737">
        <v>27.876791443850269</v>
      </c>
      <c r="N4737" t="s">
        <v>8</v>
      </c>
      <c r="O4737" t="s">
        <v>879</v>
      </c>
      <c r="P4737" t="s">
        <v>83</v>
      </c>
      <c r="Q4737" t="s">
        <v>30</v>
      </c>
      <c r="R4737" t="s">
        <v>493</v>
      </c>
      <c r="S4737" t="s">
        <v>494</v>
      </c>
      <c r="T4737" t="s">
        <v>1290</v>
      </c>
      <c r="U4737" t="s">
        <v>34</v>
      </c>
      <c r="V4737">
        <v>521.29600000000005</v>
      </c>
    </row>
    <row r="4738" spans="1:22" x14ac:dyDescent="0.3">
      <c r="A4738" t="s">
        <v>6220</v>
      </c>
      <c r="B4738" s="2">
        <v>45890</v>
      </c>
      <c r="C4738" t="s">
        <v>3238</v>
      </c>
      <c r="D4738" t="s">
        <v>24</v>
      </c>
      <c r="E4738" t="s">
        <v>242</v>
      </c>
      <c r="F4738">
        <v>2</v>
      </c>
      <c r="G4738">
        <v>0.15</v>
      </c>
      <c r="H4738">
        <v>765</v>
      </c>
      <c r="I4738">
        <v>157.66999999999999</v>
      </c>
      <c r="J4738" t="s">
        <v>65</v>
      </c>
      <c r="K4738" t="s">
        <v>40</v>
      </c>
      <c r="L4738">
        <v>382.5</v>
      </c>
      <c r="M4738">
        <v>20.610457516339871</v>
      </c>
      <c r="N4738" t="s">
        <v>8</v>
      </c>
      <c r="O4738" t="s">
        <v>3239</v>
      </c>
      <c r="P4738" t="s">
        <v>83</v>
      </c>
      <c r="Q4738" t="s">
        <v>74</v>
      </c>
      <c r="R4738" t="s">
        <v>237</v>
      </c>
      <c r="S4738" t="s">
        <v>238</v>
      </c>
      <c r="T4738" t="s">
        <v>3240</v>
      </c>
      <c r="U4738" t="s">
        <v>46</v>
      </c>
      <c r="V4738">
        <v>78.834999999999994</v>
      </c>
    </row>
    <row r="4739" spans="1:22" x14ac:dyDescent="0.3">
      <c r="A4739" t="s">
        <v>6221</v>
      </c>
      <c r="B4739" s="2">
        <v>45957</v>
      </c>
      <c r="C4739" t="s">
        <v>254</v>
      </c>
      <c r="D4739" t="s">
        <v>24</v>
      </c>
      <c r="E4739" t="s">
        <v>92</v>
      </c>
      <c r="F4739">
        <v>2</v>
      </c>
      <c r="G4739">
        <v>0.1</v>
      </c>
      <c r="H4739">
        <v>1620</v>
      </c>
      <c r="I4739">
        <v>444.04</v>
      </c>
      <c r="J4739" t="s">
        <v>65</v>
      </c>
      <c r="K4739" t="s">
        <v>40</v>
      </c>
      <c r="L4739">
        <v>810</v>
      </c>
      <c r="M4739">
        <v>27.409876543209879</v>
      </c>
      <c r="N4739" t="s">
        <v>8</v>
      </c>
      <c r="O4739" t="s">
        <v>255</v>
      </c>
      <c r="P4739" t="s">
        <v>29</v>
      </c>
      <c r="Q4739" t="s">
        <v>30</v>
      </c>
      <c r="R4739" t="s">
        <v>53</v>
      </c>
      <c r="S4739" t="s">
        <v>54</v>
      </c>
      <c r="T4739" t="s">
        <v>256</v>
      </c>
      <c r="U4739" t="s">
        <v>46</v>
      </c>
      <c r="V4739">
        <v>222.02</v>
      </c>
    </row>
    <row r="4740" spans="1:22" x14ac:dyDescent="0.3">
      <c r="A4740" t="s">
        <v>6222</v>
      </c>
      <c r="B4740" s="2">
        <v>46265</v>
      </c>
      <c r="C4740" t="s">
        <v>144</v>
      </c>
      <c r="D4740" t="s">
        <v>37</v>
      </c>
      <c r="E4740" t="s">
        <v>190</v>
      </c>
      <c r="F4740">
        <v>6</v>
      </c>
      <c r="G4740">
        <v>0.1</v>
      </c>
      <c r="H4740">
        <v>22680</v>
      </c>
      <c r="I4740">
        <v>6002.9</v>
      </c>
      <c r="J4740" t="s">
        <v>51</v>
      </c>
      <c r="K4740" t="s">
        <v>40</v>
      </c>
      <c r="L4740">
        <v>3780</v>
      </c>
      <c r="M4740">
        <v>26.467813051146379</v>
      </c>
      <c r="N4740" t="s">
        <v>8</v>
      </c>
      <c r="O4740" t="s">
        <v>145</v>
      </c>
      <c r="P4740" t="s">
        <v>83</v>
      </c>
      <c r="Q4740" t="s">
        <v>30</v>
      </c>
      <c r="R4740" t="s">
        <v>60</v>
      </c>
      <c r="S4740" t="s">
        <v>61</v>
      </c>
      <c r="T4740" t="s">
        <v>146</v>
      </c>
      <c r="U4740" t="s">
        <v>105</v>
      </c>
      <c r="V4740">
        <v>1000.483333333333</v>
      </c>
    </row>
    <row r="4741" spans="1:22" x14ac:dyDescent="0.3">
      <c r="A4741" t="s">
        <v>6223</v>
      </c>
      <c r="B4741" s="2">
        <v>46158</v>
      </c>
      <c r="C4741" t="s">
        <v>1688</v>
      </c>
      <c r="D4741" t="s">
        <v>70</v>
      </c>
      <c r="E4741" t="s">
        <v>165</v>
      </c>
      <c r="F4741">
        <v>4</v>
      </c>
      <c r="G4741">
        <v>0.1</v>
      </c>
      <c r="H4741">
        <v>9000</v>
      </c>
      <c r="I4741">
        <v>2354.65</v>
      </c>
      <c r="J4741" t="s">
        <v>51</v>
      </c>
      <c r="K4741" t="s">
        <v>40</v>
      </c>
      <c r="L4741">
        <v>2250</v>
      </c>
      <c r="M4741">
        <v>26.16277777777778</v>
      </c>
      <c r="N4741" t="s">
        <v>8</v>
      </c>
      <c r="O4741" t="s">
        <v>883</v>
      </c>
      <c r="P4741" t="s">
        <v>73</v>
      </c>
      <c r="Q4741" t="s">
        <v>30</v>
      </c>
      <c r="R4741" t="s">
        <v>31</v>
      </c>
      <c r="S4741" t="s">
        <v>32</v>
      </c>
      <c r="T4741" t="s">
        <v>575</v>
      </c>
      <c r="U4741" t="s">
        <v>34</v>
      </c>
      <c r="V4741">
        <v>588.66250000000002</v>
      </c>
    </row>
    <row r="4742" spans="1:22" x14ac:dyDescent="0.3">
      <c r="A4742" t="s">
        <v>6224</v>
      </c>
      <c r="B4742" s="2">
        <v>46262</v>
      </c>
      <c r="C4742" t="s">
        <v>313</v>
      </c>
      <c r="D4742" t="s">
        <v>70</v>
      </c>
      <c r="E4742" t="s">
        <v>108</v>
      </c>
      <c r="F4742">
        <v>2</v>
      </c>
      <c r="G4742">
        <v>0.2</v>
      </c>
      <c r="H4742">
        <v>7200</v>
      </c>
      <c r="I4742">
        <v>1680.46</v>
      </c>
      <c r="J4742" t="s">
        <v>39</v>
      </c>
      <c r="K4742" t="s">
        <v>40</v>
      </c>
      <c r="L4742">
        <v>3600</v>
      </c>
      <c r="M4742">
        <v>23.339722222222221</v>
      </c>
      <c r="N4742" t="s">
        <v>8</v>
      </c>
      <c r="O4742" t="s">
        <v>314</v>
      </c>
      <c r="P4742" t="s">
        <v>29</v>
      </c>
      <c r="Q4742" t="s">
        <v>30</v>
      </c>
      <c r="R4742" t="s">
        <v>98</v>
      </c>
      <c r="S4742" t="s">
        <v>54</v>
      </c>
      <c r="T4742" t="s">
        <v>315</v>
      </c>
      <c r="U4742" t="s">
        <v>100</v>
      </c>
      <c r="V4742">
        <v>840.23</v>
      </c>
    </row>
    <row r="4743" spans="1:22" x14ac:dyDescent="0.3">
      <c r="A4743" t="s">
        <v>6225</v>
      </c>
      <c r="B4743" s="2">
        <v>46156</v>
      </c>
      <c r="C4743" t="s">
        <v>689</v>
      </c>
      <c r="D4743" t="s">
        <v>70</v>
      </c>
      <c r="E4743" t="s">
        <v>71</v>
      </c>
      <c r="F4743">
        <v>5</v>
      </c>
      <c r="G4743">
        <v>0.1</v>
      </c>
      <c r="H4743">
        <v>81000</v>
      </c>
      <c r="I4743">
        <v>11925.16</v>
      </c>
      <c r="J4743" t="s">
        <v>65</v>
      </c>
      <c r="K4743" t="s">
        <v>27</v>
      </c>
      <c r="L4743">
        <v>16200</v>
      </c>
      <c r="M4743">
        <v>14.72241975308642</v>
      </c>
      <c r="N4743" t="s">
        <v>8</v>
      </c>
      <c r="O4743" t="s">
        <v>218</v>
      </c>
      <c r="P4743" t="s">
        <v>73</v>
      </c>
      <c r="Q4743" t="s">
        <v>131</v>
      </c>
      <c r="R4743" t="s">
        <v>289</v>
      </c>
      <c r="S4743" t="s">
        <v>290</v>
      </c>
      <c r="T4743" t="s">
        <v>679</v>
      </c>
      <c r="U4743" t="s">
        <v>46</v>
      </c>
      <c r="V4743">
        <v>2385.0320000000002</v>
      </c>
    </row>
    <row r="4744" spans="1:22" x14ac:dyDescent="0.3">
      <c r="A4744" t="s">
        <v>6226</v>
      </c>
      <c r="B4744" s="2">
        <v>46079</v>
      </c>
      <c r="C4744" t="s">
        <v>1410</v>
      </c>
      <c r="D4744" t="s">
        <v>24</v>
      </c>
      <c r="E4744" t="s">
        <v>25</v>
      </c>
      <c r="F4744">
        <v>3</v>
      </c>
      <c r="G4744">
        <v>0.1</v>
      </c>
      <c r="H4744">
        <v>37800</v>
      </c>
      <c r="I4744">
        <v>5533.68</v>
      </c>
      <c r="J4744" t="s">
        <v>51</v>
      </c>
      <c r="K4744" t="s">
        <v>40</v>
      </c>
      <c r="L4744">
        <v>12600</v>
      </c>
      <c r="M4744">
        <v>14.63936507936508</v>
      </c>
      <c r="N4744" t="s">
        <v>8</v>
      </c>
      <c r="O4744" t="s">
        <v>995</v>
      </c>
      <c r="P4744" t="s">
        <v>73</v>
      </c>
      <c r="Q4744" t="s">
        <v>30</v>
      </c>
      <c r="R4744" t="s">
        <v>60</v>
      </c>
      <c r="S4744" t="s">
        <v>61</v>
      </c>
      <c r="T4744" t="s">
        <v>1411</v>
      </c>
      <c r="U4744" t="s">
        <v>34</v>
      </c>
      <c r="V4744">
        <v>1844.56</v>
      </c>
    </row>
    <row r="4745" spans="1:22" x14ac:dyDescent="0.3">
      <c r="A4745" t="s">
        <v>6227</v>
      </c>
      <c r="B4745" s="2">
        <v>45908</v>
      </c>
      <c r="C4745" t="s">
        <v>2521</v>
      </c>
      <c r="D4745" t="s">
        <v>24</v>
      </c>
      <c r="E4745" t="s">
        <v>242</v>
      </c>
      <c r="F4745">
        <v>4</v>
      </c>
      <c r="G4745">
        <v>0</v>
      </c>
      <c r="H4745">
        <v>1800</v>
      </c>
      <c r="I4745">
        <v>440</v>
      </c>
      <c r="J4745" t="s">
        <v>39</v>
      </c>
      <c r="K4745" t="s">
        <v>40</v>
      </c>
      <c r="L4745">
        <v>450</v>
      </c>
      <c r="M4745">
        <v>24.444444444444439</v>
      </c>
      <c r="N4745" t="s">
        <v>8</v>
      </c>
      <c r="O4745" t="s">
        <v>571</v>
      </c>
      <c r="P4745" t="s">
        <v>29</v>
      </c>
      <c r="Q4745" t="s">
        <v>74</v>
      </c>
      <c r="R4745" t="s">
        <v>75</v>
      </c>
      <c r="S4745" t="s">
        <v>75</v>
      </c>
      <c r="T4745" t="s">
        <v>2522</v>
      </c>
      <c r="U4745" t="s">
        <v>34</v>
      </c>
      <c r="V4745">
        <v>110</v>
      </c>
    </row>
    <row r="4746" spans="1:22" x14ac:dyDescent="0.3">
      <c r="A4746" t="s">
        <v>6228</v>
      </c>
      <c r="B4746" s="2">
        <v>45903</v>
      </c>
      <c r="C4746" t="s">
        <v>757</v>
      </c>
      <c r="D4746" t="s">
        <v>49</v>
      </c>
      <c r="E4746" t="s">
        <v>79</v>
      </c>
      <c r="F4746">
        <v>5</v>
      </c>
      <c r="G4746">
        <v>0.05</v>
      </c>
      <c r="H4746">
        <v>52250</v>
      </c>
      <c r="I4746">
        <v>11168.86</v>
      </c>
      <c r="J4746" t="s">
        <v>39</v>
      </c>
      <c r="K4746" t="s">
        <v>27</v>
      </c>
      <c r="L4746">
        <v>10450</v>
      </c>
      <c r="M4746">
        <v>21.375808612440188</v>
      </c>
      <c r="N4746" t="s">
        <v>8</v>
      </c>
      <c r="O4746" t="s">
        <v>758</v>
      </c>
      <c r="P4746" t="s">
        <v>83</v>
      </c>
      <c r="Q4746" t="s">
        <v>74</v>
      </c>
      <c r="R4746" t="s">
        <v>237</v>
      </c>
      <c r="S4746" t="s">
        <v>238</v>
      </c>
      <c r="T4746" t="s">
        <v>759</v>
      </c>
      <c r="U4746" t="s">
        <v>34</v>
      </c>
      <c r="V4746">
        <v>2233.7719999999999</v>
      </c>
    </row>
    <row r="4747" spans="1:22" x14ac:dyDescent="0.3">
      <c r="A4747" t="s">
        <v>6229</v>
      </c>
      <c r="B4747" s="2">
        <v>46240</v>
      </c>
      <c r="C4747" t="s">
        <v>2947</v>
      </c>
      <c r="D4747" t="s">
        <v>24</v>
      </c>
      <c r="E4747" t="s">
        <v>242</v>
      </c>
      <c r="F4747">
        <v>2</v>
      </c>
      <c r="G4747">
        <v>0.1</v>
      </c>
      <c r="H4747">
        <v>810</v>
      </c>
      <c r="I4747">
        <v>155.16999999999999</v>
      </c>
      <c r="J4747" t="s">
        <v>39</v>
      </c>
      <c r="K4747" t="s">
        <v>40</v>
      </c>
      <c r="L4747">
        <v>405</v>
      </c>
      <c r="M4747">
        <v>19.156790123456791</v>
      </c>
      <c r="N4747" t="s">
        <v>8</v>
      </c>
      <c r="O4747" t="s">
        <v>2674</v>
      </c>
      <c r="P4747" t="s">
        <v>29</v>
      </c>
      <c r="Q4747" t="s">
        <v>74</v>
      </c>
      <c r="R4747" t="s">
        <v>115</v>
      </c>
      <c r="S4747" t="s">
        <v>115</v>
      </c>
      <c r="T4747" t="s">
        <v>2948</v>
      </c>
      <c r="U4747" t="s">
        <v>105</v>
      </c>
      <c r="V4747">
        <v>77.584999999999994</v>
      </c>
    </row>
    <row r="4748" spans="1:22" x14ac:dyDescent="0.3">
      <c r="A4748" t="s">
        <v>6230</v>
      </c>
      <c r="B4748" s="2">
        <v>46234</v>
      </c>
      <c r="C4748" t="s">
        <v>556</v>
      </c>
      <c r="D4748" t="s">
        <v>49</v>
      </c>
      <c r="E4748" t="s">
        <v>79</v>
      </c>
      <c r="F4748">
        <v>1</v>
      </c>
      <c r="G4748">
        <v>0.1</v>
      </c>
      <c r="H4748">
        <v>9900</v>
      </c>
      <c r="I4748">
        <v>1849.04</v>
      </c>
      <c r="J4748" t="s">
        <v>65</v>
      </c>
      <c r="K4748" t="s">
        <v>40</v>
      </c>
      <c r="L4748">
        <v>9900</v>
      </c>
      <c r="M4748">
        <v>18.677171717171721</v>
      </c>
      <c r="N4748" t="s">
        <v>8</v>
      </c>
      <c r="O4748" t="s">
        <v>161</v>
      </c>
      <c r="P4748" t="s">
        <v>29</v>
      </c>
      <c r="Q4748" t="s">
        <v>30</v>
      </c>
      <c r="R4748" t="s">
        <v>53</v>
      </c>
      <c r="S4748" t="s">
        <v>54</v>
      </c>
      <c r="T4748" t="s">
        <v>557</v>
      </c>
      <c r="U4748" t="s">
        <v>34</v>
      </c>
      <c r="V4748">
        <v>1849.04</v>
      </c>
    </row>
    <row r="4749" spans="1:22" x14ac:dyDescent="0.3">
      <c r="A4749" t="s">
        <v>6231</v>
      </c>
      <c r="B4749" s="2">
        <v>46179</v>
      </c>
      <c r="C4749" t="s">
        <v>936</v>
      </c>
      <c r="D4749" t="s">
        <v>24</v>
      </c>
      <c r="E4749" t="s">
        <v>87</v>
      </c>
      <c r="F4749">
        <v>1</v>
      </c>
      <c r="G4749">
        <v>0.05</v>
      </c>
      <c r="H4749">
        <v>332.5</v>
      </c>
      <c r="I4749">
        <v>105.64</v>
      </c>
      <c r="J4749" t="s">
        <v>26</v>
      </c>
      <c r="K4749" t="s">
        <v>27</v>
      </c>
      <c r="L4749">
        <v>332.5</v>
      </c>
      <c r="M4749">
        <v>31.771428571428569</v>
      </c>
      <c r="N4749" t="s">
        <v>8</v>
      </c>
      <c r="O4749" t="s">
        <v>937</v>
      </c>
      <c r="P4749" t="s">
        <v>73</v>
      </c>
      <c r="Q4749" t="s">
        <v>30</v>
      </c>
      <c r="R4749" t="s">
        <v>53</v>
      </c>
      <c r="S4749" t="s">
        <v>54</v>
      </c>
      <c r="T4749" t="s">
        <v>938</v>
      </c>
      <c r="U4749" t="s">
        <v>34</v>
      </c>
      <c r="V4749">
        <v>105.64</v>
      </c>
    </row>
    <row r="4750" spans="1:22" x14ac:dyDescent="0.3">
      <c r="A4750" t="s">
        <v>6232</v>
      </c>
      <c r="B4750" s="2">
        <v>46167</v>
      </c>
      <c r="C4750" t="s">
        <v>2337</v>
      </c>
      <c r="D4750" t="s">
        <v>49</v>
      </c>
      <c r="E4750" t="s">
        <v>79</v>
      </c>
      <c r="F4750">
        <v>10</v>
      </c>
      <c r="G4750">
        <v>0.05</v>
      </c>
      <c r="H4750">
        <v>104500</v>
      </c>
      <c r="I4750">
        <v>-21283.74</v>
      </c>
      <c r="J4750" t="s">
        <v>65</v>
      </c>
      <c r="K4750" t="s">
        <v>434</v>
      </c>
      <c r="L4750">
        <v>10450</v>
      </c>
      <c r="M4750">
        <v>-20.367215311004781</v>
      </c>
      <c r="N4750" t="s">
        <v>81</v>
      </c>
      <c r="O4750" t="s">
        <v>2338</v>
      </c>
      <c r="P4750" t="s">
        <v>29</v>
      </c>
      <c r="Q4750" t="s">
        <v>42</v>
      </c>
      <c r="R4750" t="s">
        <v>214</v>
      </c>
      <c r="S4750" t="s">
        <v>111</v>
      </c>
      <c r="T4750" t="s">
        <v>1389</v>
      </c>
      <c r="U4750" t="s">
        <v>34</v>
      </c>
      <c r="V4750">
        <v>-2128.3739999999998</v>
      </c>
    </row>
    <row r="4751" spans="1:22" x14ac:dyDescent="0.3">
      <c r="A4751" t="s">
        <v>6233</v>
      </c>
      <c r="B4751" s="2">
        <v>46218</v>
      </c>
      <c r="C4751" t="s">
        <v>5186</v>
      </c>
      <c r="D4751" t="s">
        <v>37</v>
      </c>
      <c r="E4751" t="s">
        <v>310</v>
      </c>
      <c r="F4751">
        <v>3</v>
      </c>
      <c r="G4751">
        <v>0</v>
      </c>
      <c r="H4751">
        <v>6600</v>
      </c>
      <c r="I4751">
        <v>2250</v>
      </c>
      <c r="J4751" t="s">
        <v>26</v>
      </c>
      <c r="K4751" t="s">
        <v>40</v>
      </c>
      <c r="L4751">
        <v>2200</v>
      </c>
      <c r="M4751">
        <v>34.090909090909093</v>
      </c>
      <c r="N4751" t="s">
        <v>8</v>
      </c>
      <c r="O4751" t="s">
        <v>191</v>
      </c>
      <c r="P4751" t="s">
        <v>29</v>
      </c>
      <c r="Q4751" t="s">
        <v>131</v>
      </c>
      <c r="R4751" t="s">
        <v>449</v>
      </c>
      <c r="S4751" t="s">
        <v>450</v>
      </c>
      <c r="T4751" t="s">
        <v>5187</v>
      </c>
      <c r="U4751" t="s">
        <v>34</v>
      </c>
      <c r="V4751">
        <v>750</v>
      </c>
    </row>
    <row r="4752" spans="1:22" x14ac:dyDescent="0.3">
      <c r="A4752" t="s">
        <v>6234</v>
      </c>
      <c r="B4752" s="2">
        <v>46053</v>
      </c>
      <c r="C4752" t="s">
        <v>1377</v>
      </c>
      <c r="D4752" t="s">
        <v>24</v>
      </c>
      <c r="E4752" t="s">
        <v>87</v>
      </c>
      <c r="F4752">
        <v>1</v>
      </c>
      <c r="G4752">
        <v>0</v>
      </c>
      <c r="H4752">
        <v>350</v>
      </c>
      <c r="I4752">
        <v>-38.79</v>
      </c>
      <c r="J4752" t="s">
        <v>51</v>
      </c>
      <c r="K4752" t="s">
        <v>434</v>
      </c>
      <c r="L4752">
        <v>350</v>
      </c>
      <c r="M4752">
        <v>-11.08285714285714</v>
      </c>
      <c r="N4752" t="s">
        <v>81</v>
      </c>
      <c r="O4752" t="s">
        <v>1378</v>
      </c>
      <c r="P4752" t="s">
        <v>29</v>
      </c>
      <c r="Q4752" t="s">
        <v>30</v>
      </c>
      <c r="R4752" t="s">
        <v>53</v>
      </c>
      <c r="S4752" t="s">
        <v>54</v>
      </c>
      <c r="T4752" t="s">
        <v>1379</v>
      </c>
      <c r="U4752" t="s">
        <v>100</v>
      </c>
      <c r="V4752">
        <v>-38.79</v>
      </c>
    </row>
    <row r="4753" spans="1:22" x14ac:dyDescent="0.3">
      <c r="A4753" t="s">
        <v>6235</v>
      </c>
      <c r="B4753" s="2">
        <v>45943</v>
      </c>
      <c r="C4753" t="s">
        <v>3136</v>
      </c>
      <c r="D4753" t="s">
        <v>24</v>
      </c>
      <c r="E4753" t="s">
        <v>92</v>
      </c>
      <c r="F4753">
        <v>3</v>
      </c>
      <c r="G4753">
        <v>0</v>
      </c>
      <c r="H4753">
        <v>2700</v>
      </c>
      <c r="I4753">
        <v>840</v>
      </c>
      <c r="J4753" t="s">
        <v>65</v>
      </c>
      <c r="K4753" t="s">
        <v>40</v>
      </c>
      <c r="L4753">
        <v>900</v>
      </c>
      <c r="M4753">
        <v>31.111111111111111</v>
      </c>
      <c r="N4753" t="s">
        <v>8</v>
      </c>
      <c r="O4753" t="s">
        <v>3137</v>
      </c>
      <c r="P4753" t="s">
        <v>29</v>
      </c>
      <c r="Q4753" t="s">
        <v>42</v>
      </c>
      <c r="R4753" t="s">
        <v>110</v>
      </c>
      <c r="S4753" t="s">
        <v>111</v>
      </c>
      <c r="T4753" t="s">
        <v>3138</v>
      </c>
      <c r="U4753" t="s">
        <v>34</v>
      </c>
      <c r="V4753">
        <v>280</v>
      </c>
    </row>
    <row r="4754" spans="1:22" x14ac:dyDescent="0.3">
      <c r="A4754" t="s">
        <v>6236</v>
      </c>
      <c r="B4754" s="2">
        <v>46017</v>
      </c>
      <c r="C4754" t="s">
        <v>983</v>
      </c>
      <c r="D4754" t="s">
        <v>49</v>
      </c>
      <c r="E4754" t="s">
        <v>119</v>
      </c>
      <c r="F4754">
        <v>3</v>
      </c>
      <c r="G4754">
        <v>0</v>
      </c>
      <c r="H4754">
        <v>27000</v>
      </c>
      <c r="I4754">
        <v>6900</v>
      </c>
      <c r="J4754" t="s">
        <v>65</v>
      </c>
      <c r="K4754" t="s">
        <v>40</v>
      </c>
      <c r="L4754">
        <v>9000</v>
      </c>
      <c r="M4754">
        <v>25.55555555555555</v>
      </c>
      <c r="N4754" t="s">
        <v>8</v>
      </c>
      <c r="O4754" t="s">
        <v>984</v>
      </c>
      <c r="P4754" t="s">
        <v>29</v>
      </c>
      <c r="Q4754" t="s">
        <v>30</v>
      </c>
      <c r="R4754" t="s">
        <v>31</v>
      </c>
      <c r="S4754" t="s">
        <v>32</v>
      </c>
      <c r="T4754" t="s">
        <v>985</v>
      </c>
      <c r="U4754" t="s">
        <v>46</v>
      </c>
      <c r="V4754">
        <v>2300</v>
      </c>
    </row>
    <row r="4755" spans="1:22" x14ac:dyDescent="0.3">
      <c r="A4755" t="s">
        <v>6237</v>
      </c>
      <c r="B4755" s="2">
        <v>46081</v>
      </c>
      <c r="C4755" t="s">
        <v>3711</v>
      </c>
      <c r="D4755" t="s">
        <v>24</v>
      </c>
      <c r="E4755" t="s">
        <v>25</v>
      </c>
      <c r="F4755">
        <v>4</v>
      </c>
      <c r="G4755">
        <v>0.05</v>
      </c>
      <c r="H4755">
        <v>53200</v>
      </c>
      <c r="I4755">
        <v>8866.8799999999992</v>
      </c>
      <c r="J4755" t="s">
        <v>26</v>
      </c>
      <c r="K4755" t="s">
        <v>40</v>
      </c>
      <c r="L4755">
        <v>13300</v>
      </c>
      <c r="M4755">
        <v>16.66706766917293</v>
      </c>
      <c r="N4755" t="s">
        <v>8</v>
      </c>
      <c r="O4755" t="s">
        <v>3712</v>
      </c>
      <c r="P4755" t="s">
        <v>83</v>
      </c>
      <c r="Q4755" t="s">
        <v>42</v>
      </c>
      <c r="R4755" t="s">
        <v>121</v>
      </c>
      <c r="S4755" t="s">
        <v>44</v>
      </c>
      <c r="T4755" t="s">
        <v>3197</v>
      </c>
      <c r="U4755" t="s">
        <v>34</v>
      </c>
      <c r="V4755">
        <v>2216.7199999999998</v>
      </c>
    </row>
    <row r="4756" spans="1:22" x14ac:dyDescent="0.3">
      <c r="A4756" t="s">
        <v>6238</v>
      </c>
      <c r="B4756" s="2">
        <v>45882</v>
      </c>
      <c r="C4756" t="s">
        <v>1056</v>
      </c>
      <c r="D4756" t="s">
        <v>49</v>
      </c>
      <c r="E4756" t="s">
        <v>50</v>
      </c>
      <c r="F4756">
        <v>4</v>
      </c>
      <c r="G4756">
        <v>0</v>
      </c>
      <c r="H4756">
        <v>52000</v>
      </c>
      <c r="I4756">
        <v>-21028.84</v>
      </c>
      <c r="J4756" t="s">
        <v>26</v>
      </c>
      <c r="K4756" t="s">
        <v>80</v>
      </c>
      <c r="L4756">
        <v>13000</v>
      </c>
      <c r="M4756">
        <v>-40.440076923076923</v>
      </c>
      <c r="N4756" t="s">
        <v>81</v>
      </c>
      <c r="O4756" t="s">
        <v>1057</v>
      </c>
      <c r="P4756" t="s">
        <v>29</v>
      </c>
      <c r="Q4756" t="s">
        <v>30</v>
      </c>
      <c r="R4756" t="s">
        <v>31</v>
      </c>
      <c r="S4756" t="s">
        <v>32</v>
      </c>
      <c r="T4756" t="s">
        <v>1058</v>
      </c>
      <c r="U4756" t="s">
        <v>34</v>
      </c>
      <c r="V4756">
        <v>-5257.21</v>
      </c>
    </row>
    <row r="4757" spans="1:22" x14ac:dyDescent="0.3">
      <c r="A4757" t="s">
        <v>6239</v>
      </c>
      <c r="B4757" s="2">
        <v>45936</v>
      </c>
      <c r="C4757" t="s">
        <v>540</v>
      </c>
      <c r="D4757" t="s">
        <v>24</v>
      </c>
      <c r="E4757" t="s">
        <v>25</v>
      </c>
      <c r="F4757">
        <v>4</v>
      </c>
      <c r="G4757">
        <v>0.05</v>
      </c>
      <c r="H4757">
        <v>53200</v>
      </c>
      <c r="I4757">
        <v>8867.49</v>
      </c>
      <c r="J4757" t="s">
        <v>26</v>
      </c>
      <c r="K4757" t="s">
        <v>40</v>
      </c>
      <c r="L4757">
        <v>13300</v>
      </c>
      <c r="M4757">
        <v>16.668214285714281</v>
      </c>
      <c r="N4757" t="s">
        <v>8</v>
      </c>
      <c r="O4757" t="s">
        <v>435</v>
      </c>
      <c r="P4757" t="s">
        <v>83</v>
      </c>
      <c r="Q4757" t="s">
        <v>74</v>
      </c>
      <c r="R4757" t="s">
        <v>237</v>
      </c>
      <c r="S4757" t="s">
        <v>238</v>
      </c>
      <c r="T4757" t="s">
        <v>541</v>
      </c>
      <c r="U4757" t="s">
        <v>100</v>
      </c>
      <c r="V4757">
        <v>2216.8724999999999</v>
      </c>
    </row>
    <row r="4758" spans="1:22" x14ac:dyDescent="0.3">
      <c r="A4758" t="s">
        <v>6240</v>
      </c>
      <c r="B4758" s="2">
        <v>46115</v>
      </c>
      <c r="C4758" t="s">
        <v>962</v>
      </c>
      <c r="D4758" t="s">
        <v>24</v>
      </c>
      <c r="E4758" t="s">
        <v>242</v>
      </c>
      <c r="F4758">
        <v>4</v>
      </c>
      <c r="G4758">
        <v>0.05</v>
      </c>
      <c r="H4758">
        <v>1710</v>
      </c>
      <c r="I4758">
        <v>368.68</v>
      </c>
      <c r="J4758" t="s">
        <v>39</v>
      </c>
      <c r="K4758" t="s">
        <v>27</v>
      </c>
      <c r="L4758">
        <v>427.5</v>
      </c>
      <c r="M4758">
        <v>21.56023391812866</v>
      </c>
      <c r="N4758" t="s">
        <v>8</v>
      </c>
      <c r="O4758" t="s">
        <v>963</v>
      </c>
      <c r="P4758" t="s">
        <v>29</v>
      </c>
      <c r="Q4758" t="s">
        <v>42</v>
      </c>
      <c r="R4758" t="s">
        <v>214</v>
      </c>
      <c r="S4758" t="s">
        <v>111</v>
      </c>
      <c r="T4758" t="s">
        <v>964</v>
      </c>
      <c r="U4758" t="s">
        <v>100</v>
      </c>
      <c r="V4758">
        <v>92.17</v>
      </c>
    </row>
    <row r="4759" spans="1:22" x14ac:dyDescent="0.3">
      <c r="A4759" t="s">
        <v>6241</v>
      </c>
      <c r="B4759" s="2">
        <v>45988</v>
      </c>
      <c r="C4759" t="s">
        <v>229</v>
      </c>
      <c r="D4759" t="s">
        <v>37</v>
      </c>
      <c r="E4759" t="s">
        <v>190</v>
      </c>
      <c r="F4759">
        <v>2</v>
      </c>
      <c r="G4759">
        <v>0.1</v>
      </c>
      <c r="H4759">
        <v>7560</v>
      </c>
      <c r="I4759">
        <v>-2878.85</v>
      </c>
      <c r="J4759" t="s">
        <v>39</v>
      </c>
      <c r="K4759" t="s">
        <v>434</v>
      </c>
      <c r="L4759">
        <v>3780</v>
      </c>
      <c r="M4759">
        <v>-38.080026455026463</v>
      </c>
      <c r="N4759" t="s">
        <v>81</v>
      </c>
      <c r="O4759" t="s">
        <v>103</v>
      </c>
      <c r="P4759" t="s">
        <v>29</v>
      </c>
      <c r="Q4759" t="s">
        <v>30</v>
      </c>
      <c r="R4759" t="s">
        <v>60</v>
      </c>
      <c r="S4759" t="s">
        <v>61</v>
      </c>
      <c r="T4759" t="s">
        <v>230</v>
      </c>
      <c r="U4759" t="s">
        <v>105</v>
      </c>
      <c r="V4759">
        <v>-1439.425</v>
      </c>
    </row>
    <row r="4760" spans="1:22" x14ac:dyDescent="0.3">
      <c r="A4760" t="s">
        <v>6242</v>
      </c>
      <c r="B4760" s="2">
        <v>45862</v>
      </c>
      <c r="C4760" t="s">
        <v>1782</v>
      </c>
      <c r="D4760" t="s">
        <v>37</v>
      </c>
      <c r="E4760" t="s">
        <v>38</v>
      </c>
      <c r="F4760">
        <v>1</v>
      </c>
      <c r="G4760">
        <v>0.3</v>
      </c>
      <c r="H4760">
        <v>1260</v>
      </c>
      <c r="I4760">
        <v>332.16</v>
      </c>
      <c r="J4760" t="s">
        <v>26</v>
      </c>
      <c r="K4760" t="s">
        <v>40</v>
      </c>
      <c r="L4760">
        <v>1260</v>
      </c>
      <c r="M4760">
        <v>26.361904761904761</v>
      </c>
      <c r="N4760" t="s">
        <v>8</v>
      </c>
      <c r="O4760" t="s">
        <v>682</v>
      </c>
      <c r="P4760" t="s">
        <v>73</v>
      </c>
      <c r="Q4760" t="s">
        <v>131</v>
      </c>
      <c r="R4760" t="s">
        <v>200</v>
      </c>
      <c r="S4760" t="s">
        <v>201</v>
      </c>
      <c r="T4760" t="s">
        <v>295</v>
      </c>
      <c r="U4760" t="s">
        <v>34</v>
      </c>
      <c r="V4760">
        <v>332.16</v>
      </c>
    </row>
    <row r="4761" spans="1:22" x14ac:dyDescent="0.3">
      <c r="A4761" t="s">
        <v>6243</v>
      </c>
      <c r="B4761" s="2">
        <v>45912</v>
      </c>
      <c r="C4761" t="s">
        <v>3640</v>
      </c>
      <c r="D4761" t="s">
        <v>70</v>
      </c>
      <c r="E4761" t="s">
        <v>129</v>
      </c>
      <c r="F4761">
        <v>15</v>
      </c>
      <c r="G4761">
        <v>0.1</v>
      </c>
      <c r="H4761">
        <v>742500</v>
      </c>
      <c r="I4761">
        <v>94791.6</v>
      </c>
      <c r="J4761" t="s">
        <v>65</v>
      </c>
      <c r="K4761" t="s">
        <v>40</v>
      </c>
      <c r="L4761">
        <v>49500</v>
      </c>
      <c r="M4761">
        <v>12.76654545454546</v>
      </c>
      <c r="N4761" t="s">
        <v>8</v>
      </c>
      <c r="O4761" t="s">
        <v>692</v>
      </c>
      <c r="P4761" t="s">
        <v>73</v>
      </c>
      <c r="Q4761" t="s">
        <v>42</v>
      </c>
      <c r="R4761" t="s">
        <v>214</v>
      </c>
      <c r="S4761" t="s">
        <v>111</v>
      </c>
      <c r="T4761" t="s">
        <v>62</v>
      </c>
      <c r="U4761" t="s">
        <v>46</v>
      </c>
      <c r="V4761">
        <v>6319.4400000000014</v>
      </c>
    </row>
    <row r="4762" spans="1:22" x14ac:dyDescent="0.3">
      <c r="A4762" t="s">
        <v>6244</v>
      </c>
      <c r="B4762" s="2">
        <v>45844</v>
      </c>
      <c r="C4762" t="s">
        <v>250</v>
      </c>
      <c r="D4762" t="s">
        <v>37</v>
      </c>
      <c r="E4762" t="s">
        <v>190</v>
      </c>
      <c r="F4762">
        <v>4</v>
      </c>
      <c r="G4762">
        <v>0.1</v>
      </c>
      <c r="H4762">
        <v>15120</v>
      </c>
      <c r="I4762">
        <v>3444.96</v>
      </c>
      <c r="J4762" t="s">
        <v>26</v>
      </c>
      <c r="K4762" t="s">
        <v>40</v>
      </c>
      <c r="L4762">
        <v>3780</v>
      </c>
      <c r="M4762">
        <v>22.784126984126981</v>
      </c>
      <c r="N4762" t="s">
        <v>8</v>
      </c>
      <c r="O4762" t="s">
        <v>251</v>
      </c>
      <c r="P4762" t="s">
        <v>29</v>
      </c>
      <c r="Q4762" t="s">
        <v>74</v>
      </c>
      <c r="R4762" t="s">
        <v>115</v>
      </c>
      <c r="S4762" t="s">
        <v>115</v>
      </c>
      <c r="T4762" t="s">
        <v>252</v>
      </c>
      <c r="U4762" t="s">
        <v>34</v>
      </c>
      <c r="V4762">
        <v>861.24</v>
      </c>
    </row>
    <row r="4763" spans="1:22" x14ac:dyDescent="0.3">
      <c r="A4763" t="s">
        <v>6245</v>
      </c>
      <c r="B4763" s="2">
        <v>45927</v>
      </c>
      <c r="C4763" t="s">
        <v>529</v>
      </c>
      <c r="D4763" t="s">
        <v>70</v>
      </c>
      <c r="E4763" t="s">
        <v>165</v>
      </c>
      <c r="F4763">
        <v>2</v>
      </c>
      <c r="G4763">
        <v>0</v>
      </c>
      <c r="H4763">
        <v>5000</v>
      </c>
      <c r="I4763">
        <v>1600</v>
      </c>
      <c r="J4763" t="s">
        <v>39</v>
      </c>
      <c r="K4763" t="s">
        <v>40</v>
      </c>
      <c r="L4763">
        <v>2500</v>
      </c>
      <c r="M4763">
        <v>32</v>
      </c>
      <c r="N4763" t="s">
        <v>8</v>
      </c>
      <c r="O4763" t="s">
        <v>530</v>
      </c>
      <c r="P4763" t="s">
        <v>29</v>
      </c>
      <c r="Q4763" t="s">
        <v>30</v>
      </c>
      <c r="R4763" t="s">
        <v>98</v>
      </c>
      <c r="S4763" t="s">
        <v>54</v>
      </c>
      <c r="T4763" t="s">
        <v>531</v>
      </c>
      <c r="U4763" t="s">
        <v>105</v>
      </c>
      <c r="V4763">
        <v>800</v>
      </c>
    </row>
    <row r="4764" spans="1:22" x14ac:dyDescent="0.3">
      <c r="A4764" t="s">
        <v>6246</v>
      </c>
      <c r="B4764" s="2">
        <v>46138</v>
      </c>
      <c r="C4764" t="s">
        <v>1185</v>
      </c>
      <c r="D4764" t="s">
        <v>49</v>
      </c>
      <c r="E4764" t="s">
        <v>58</v>
      </c>
      <c r="F4764">
        <v>1</v>
      </c>
      <c r="G4764">
        <v>0.1</v>
      </c>
      <c r="H4764">
        <v>13500</v>
      </c>
      <c r="I4764">
        <v>2485.2600000000002</v>
      </c>
      <c r="J4764" t="s">
        <v>51</v>
      </c>
      <c r="K4764" t="s">
        <v>40</v>
      </c>
      <c r="L4764">
        <v>13500</v>
      </c>
      <c r="M4764">
        <v>18.40933333333334</v>
      </c>
      <c r="N4764" t="s">
        <v>8</v>
      </c>
      <c r="O4764" t="s">
        <v>280</v>
      </c>
      <c r="P4764" t="s">
        <v>83</v>
      </c>
      <c r="Q4764" t="s">
        <v>131</v>
      </c>
      <c r="R4764" t="s">
        <v>200</v>
      </c>
      <c r="S4764" t="s">
        <v>201</v>
      </c>
      <c r="T4764" t="s">
        <v>319</v>
      </c>
      <c r="U4764" t="s">
        <v>46</v>
      </c>
      <c r="V4764">
        <v>2485.2600000000002</v>
      </c>
    </row>
    <row r="4765" spans="1:22" x14ac:dyDescent="0.3">
      <c r="A4765" t="s">
        <v>6247</v>
      </c>
      <c r="B4765" s="2">
        <v>45895</v>
      </c>
      <c r="C4765" t="s">
        <v>372</v>
      </c>
      <c r="D4765" t="s">
        <v>49</v>
      </c>
      <c r="E4765" t="s">
        <v>79</v>
      </c>
      <c r="F4765">
        <v>2</v>
      </c>
      <c r="G4765">
        <v>0.15</v>
      </c>
      <c r="H4765">
        <v>18700</v>
      </c>
      <c r="I4765">
        <v>3526.19</v>
      </c>
      <c r="J4765" t="s">
        <v>39</v>
      </c>
      <c r="K4765" t="s">
        <v>40</v>
      </c>
      <c r="L4765">
        <v>9350</v>
      </c>
      <c r="M4765">
        <v>18.85663101604278</v>
      </c>
      <c r="N4765" t="s">
        <v>8</v>
      </c>
      <c r="O4765" t="s">
        <v>374</v>
      </c>
      <c r="P4765" t="s">
        <v>73</v>
      </c>
      <c r="Q4765" t="s">
        <v>30</v>
      </c>
      <c r="R4765" t="s">
        <v>53</v>
      </c>
      <c r="S4765" t="s">
        <v>54</v>
      </c>
      <c r="T4765" t="s">
        <v>375</v>
      </c>
      <c r="U4765" t="s">
        <v>105</v>
      </c>
      <c r="V4765">
        <v>1763.095</v>
      </c>
    </row>
    <row r="4766" spans="1:22" x14ac:dyDescent="0.3">
      <c r="A4766" t="s">
        <v>6248</v>
      </c>
      <c r="B4766" s="2">
        <v>46050</v>
      </c>
      <c r="C4766" t="s">
        <v>2116</v>
      </c>
      <c r="D4766" t="s">
        <v>49</v>
      </c>
      <c r="E4766" t="s">
        <v>58</v>
      </c>
      <c r="F4766">
        <v>3</v>
      </c>
      <c r="G4766">
        <v>0</v>
      </c>
      <c r="H4766">
        <v>45000</v>
      </c>
      <c r="I4766">
        <v>10500</v>
      </c>
      <c r="J4766" t="s">
        <v>65</v>
      </c>
      <c r="K4766" t="s">
        <v>40</v>
      </c>
      <c r="L4766">
        <v>15000</v>
      </c>
      <c r="M4766">
        <v>23.333333333333329</v>
      </c>
      <c r="N4766" t="s">
        <v>8</v>
      </c>
      <c r="O4766" t="s">
        <v>1963</v>
      </c>
      <c r="P4766" t="s">
        <v>73</v>
      </c>
      <c r="Q4766" t="s">
        <v>42</v>
      </c>
      <c r="R4766" t="s">
        <v>121</v>
      </c>
      <c r="S4766" t="s">
        <v>44</v>
      </c>
      <c r="T4766" t="s">
        <v>2117</v>
      </c>
      <c r="U4766" t="s">
        <v>34</v>
      </c>
      <c r="V4766">
        <v>3500</v>
      </c>
    </row>
    <row r="4767" spans="1:22" x14ac:dyDescent="0.3">
      <c r="A4767" t="s">
        <v>6249</v>
      </c>
      <c r="B4767" s="2">
        <v>46144</v>
      </c>
      <c r="C4767" t="s">
        <v>2257</v>
      </c>
      <c r="D4767" t="s">
        <v>49</v>
      </c>
      <c r="E4767" t="s">
        <v>79</v>
      </c>
      <c r="F4767">
        <v>4</v>
      </c>
      <c r="G4767">
        <v>0.15</v>
      </c>
      <c r="H4767">
        <v>37400</v>
      </c>
      <c r="I4767">
        <v>6442.75</v>
      </c>
      <c r="J4767" t="s">
        <v>26</v>
      </c>
      <c r="K4767" t="s">
        <v>40</v>
      </c>
      <c r="L4767">
        <v>9350</v>
      </c>
      <c r="M4767">
        <v>17.22660427807487</v>
      </c>
      <c r="N4767" t="s">
        <v>8</v>
      </c>
      <c r="O4767" t="s">
        <v>626</v>
      </c>
      <c r="P4767" t="s">
        <v>29</v>
      </c>
      <c r="Q4767" t="s">
        <v>42</v>
      </c>
      <c r="R4767" t="s">
        <v>110</v>
      </c>
      <c r="S4767" t="s">
        <v>111</v>
      </c>
      <c r="T4767" t="s">
        <v>2258</v>
      </c>
      <c r="U4767" t="s">
        <v>46</v>
      </c>
      <c r="V4767">
        <v>1610.6875</v>
      </c>
    </row>
    <row r="4768" spans="1:22" x14ac:dyDescent="0.3">
      <c r="A4768" t="s">
        <v>6250</v>
      </c>
      <c r="B4768" s="2">
        <v>46152</v>
      </c>
      <c r="C4768" t="s">
        <v>3203</v>
      </c>
      <c r="D4768" t="s">
        <v>24</v>
      </c>
      <c r="E4768" t="s">
        <v>92</v>
      </c>
      <c r="F4768">
        <v>2</v>
      </c>
      <c r="G4768">
        <v>0.05</v>
      </c>
      <c r="H4768">
        <v>1710</v>
      </c>
      <c r="I4768">
        <v>497.36</v>
      </c>
      <c r="J4768" t="s">
        <v>51</v>
      </c>
      <c r="K4768" t="s">
        <v>40</v>
      </c>
      <c r="L4768">
        <v>855</v>
      </c>
      <c r="M4768">
        <v>29.085380116959069</v>
      </c>
      <c r="N4768" t="s">
        <v>8</v>
      </c>
      <c r="O4768" t="s">
        <v>1353</v>
      </c>
      <c r="P4768" t="s">
        <v>83</v>
      </c>
      <c r="Q4768" t="s">
        <v>74</v>
      </c>
      <c r="R4768" t="s">
        <v>75</v>
      </c>
      <c r="S4768" t="s">
        <v>75</v>
      </c>
      <c r="T4768" t="s">
        <v>3204</v>
      </c>
      <c r="U4768" t="s">
        <v>46</v>
      </c>
      <c r="V4768">
        <v>248.68</v>
      </c>
    </row>
    <row r="4769" spans="1:22" x14ac:dyDescent="0.3">
      <c r="A4769" t="s">
        <v>6251</v>
      </c>
      <c r="B4769" s="2">
        <v>45994</v>
      </c>
      <c r="C4769" t="s">
        <v>1812</v>
      </c>
      <c r="D4769" t="s">
        <v>70</v>
      </c>
      <c r="E4769" t="s">
        <v>129</v>
      </c>
      <c r="F4769">
        <v>3</v>
      </c>
      <c r="G4769">
        <v>0.15</v>
      </c>
      <c r="H4769">
        <v>140250</v>
      </c>
      <c r="I4769">
        <v>15538.61</v>
      </c>
      <c r="J4769" t="s">
        <v>51</v>
      </c>
      <c r="K4769" t="s">
        <v>40</v>
      </c>
      <c r="L4769">
        <v>46750</v>
      </c>
      <c r="M4769">
        <v>11.079222816399289</v>
      </c>
      <c r="N4769" t="s">
        <v>8</v>
      </c>
      <c r="O4769" t="s">
        <v>1813</v>
      </c>
      <c r="P4769" t="s">
        <v>83</v>
      </c>
      <c r="Q4769" t="s">
        <v>30</v>
      </c>
      <c r="R4769" t="s">
        <v>98</v>
      </c>
      <c r="S4769" t="s">
        <v>54</v>
      </c>
      <c r="T4769" t="s">
        <v>1089</v>
      </c>
      <c r="U4769" t="s">
        <v>34</v>
      </c>
      <c r="V4769">
        <v>5179.5366666666669</v>
      </c>
    </row>
    <row r="4770" spans="1:22" x14ac:dyDescent="0.3">
      <c r="A4770" t="s">
        <v>6252</v>
      </c>
      <c r="B4770" s="2">
        <v>46156</v>
      </c>
      <c r="C4770" t="s">
        <v>761</v>
      </c>
      <c r="D4770" t="s">
        <v>37</v>
      </c>
      <c r="E4770" t="s">
        <v>170</v>
      </c>
      <c r="F4770">
        <v>3</v>
      </c>
      <c r="G4770">
        <v>0.1</v>
      </c>
      <c r="H4770">
        <v>3780</v>
      </c>
      <c r="I4770">
        <v>1309.19</v>
      </c>
      <c r="J4770" t="s">
        <v>51</v>
      </c>
      <c r="K4770" t="s">
        <v>27</v>
      </c>
      <c r="L4770">
        <v>1260</v>
      </c>
      <c r="M4770">
        <v>34.634656084656093</v>
      </c>
      <c r="N4770" t="s">
        <v>8</v>
      </c>
      <c r="O4770" t="s">
        <v>762</v>
      </c>
      <c r="P4770" t="s">
        <v>29</v>
      </c>
      <c r="Q4770" t="s">
        <v>131</v>
      </c>
      <c r="R4770" t="s">
        <v>132</v>
      </c>
      <c r="S4770" t="s">
        <v>133</v>
      </c>
      <c r="T4770" t="s">
        <v>763</v>
      </c>
      <c r="U4770" t="s">
        <v>105</v>
      </c>
      <c r="V4770">
        <v>436.3966666666667</v>
      </c>
    </row>
    <row r="4771" spans="1:22" x14ac:dyDescent="0.3">
      <c r="A4771" t="s">
        <v>6253</v>
      </c>
      <c r="B4771" s="2">
        <v>45960</v>
      </c>
      <c r="C4771" t="s">
        <v>2525</v>
      </c>
      <c r="D4771" t="s">
        <v>49</v>
      </c>
      <c r="E4771" t="s">
        <v>79</v>
      </c>
      <c r="F4771">
        <v>1</v>
      </c>
      <c r="G4771">
        <v>0.1</v>
      </c>
      <c r="H4771">
        <v>9900</v>
      </c>
      <c r="I4771">
        <v>1927.5</v>
      </c>
      <c r="J4771" t="s">
        <v>26</v>
      </c>
      <c r="K4771" t="s">
        <v>27</v>
      </c>
      <c r="L4771">
        <v>9900</v>
      </c>
      <c r="M4771">
        <v>19.469696969696969</v>
      </c>
      <c r="N4771" t="s">
        <v>8</v>
      </c>
      <c r="O4771" t="s">
        <v>2526</v>
      </c>
      <c r="P4771" t="s">
        <v>29</v>
      </c>
      <c r="Q4771" t="s">
        <v>74</v>
      </c>
      <c r="R4771" t="s">
        <v>75</v>
      </c>
      <c r="S4771" t="s">
        <v>75</v>
      </c>
      <c r="T4771" t="s">
        <v>2527</v>
      </c>
      <c r="U4771" t="s">
        <v>46</v>
      </c>
      <c r="V4771">
        <v>1927.5</v>
      </c>
    </row>
    <row r="4772" spans="1:22" x14ac:dyDescent="0.3">
      <c r="A4772" t="s">
        <v>6254</v>
      </c>
      <c r="B4772" s="2">
        <v>46245</v>
      </c>
      <c r="C4772" t="s">
        <v>681</v>
      </c>
      <c r="D4772" t="s">
        <v>24</v>
      </c>
      <c r="E4772" t="s">
        <v>92</v>
      </c>
      <c r="F4772">
        <v>1</v>
      </c>
      <c r="G4772">
        <v>0.15</v>
      </c>
      <c r="H4772">
        <v>765</v>
      </c>
      <c r="I4772">
        <v>189.8</v>
      </c>
      <c r="J4772" t="s">
        <v>51</v>
      </c>
      <c r="K4772" t="s">
        <v>40</v>
      </c>
      <c r="L4772">
        <v>765</v>
      </c>
      <c r="M4772">
        <v>24.81045751633987</v>
      </c>
      <c r="N4772" t="s">
        <v>8</v>
      </c>
      <c r="O4772" t="s">
        <v>682</v>
      </c>
      <c r="P4772" t="s">
        <v>29</v>
      </c>
      <c r="Q4772" t="s">
        <v>131</v>
      </c>
      <c r="R4772" t="s">
        <v>200</v>
      </c>
      <c r="S4772" t="s">
        <v>201</v>
      </c>
      <c r="T4772" t="s">
        <v>683</v>
      </c>
      <c r="U4772" t="s">
        <v>46</v>
      </c>
      <c r="V4772">
        <v>189.8</v>
      </c>
    </row>
    <row r="4773" spans="1:22" x14ac:dyDescent="0.3">
      <c r="A4773" t="s">
        <v>6255</v>
      </c>
      <c r="B4773" s="2">
        <v>45864</v>
      </c>
      <c r="C4773" t="s">
        <v>272</v>
      </c>
      <c r="D4773" t="s">
        <v>49</v>
      </c>
      <c r="E4773" t="s">
        <v>58</v>
      </c>
      <c r="F4773">
        <v>2</v>
      </c>
      <c r="G4773">
        <v>0.2</v>
      </c>
      <c r="H4773">
        <v>24000</v>
      </c>
      <c r="I4773">
        <v>3840.51</v>
      </c>
      <c r="J4773" t="s">
        <v>65</v>
      </c>
      <c r="K4773" t="s">
        <v>40</v>
      </c>
      <c r="L4773">
        <v>12000</v>
      </c>
      <c r="M4773">
        <v>16.002124999999999</v>
      </c>
      <c r="N4773" t="s">
        <v>8</v>
      </c>
      <c r="O4773" t="s">
        <v>166</v>
      </c>
      <c r="P4773" t="s">
        <v>73</v>
      </c>
      <c r="Q4773" t="s">
        <v>30</v>
      </c>
      <c r="R4773" t="s">
        <v>98</v>
      </c>
      <c r="S4773" t="s">
        <v>54</v>
      </c>
      <c r="T4773" t="s">
        <v>273</v>
      </c>
      <c r="U4773" t="s">
        <v>105</v>
      </c>
      <c r="V4773">
        <v>1920.2550000000001</v>
      </c>
    </row>
    <row r="4774" spans="1:22" x14ac:dyDescent="0.3">
      <c r="A4774" t="s">
        <v>6256</v>
      </c>
      <c r="B4774" s="2">
        <v>45992</v>
      </c>
      <c r="C4774" t="s">
        <v>401</v>
      </c>
      <c r="D4774" t="s">
        <v>70</v>
      </c>
      <c r="E4774" t="s">
        <v>129</v>
      </c>
      <c r="F4774">
        <v>1</v>
      </c>
      <c r="G4774">
        <v>0</v>
      </c>
      <c r="H4774">
        <v>55000</v>
      </c>
      <c r="I4774">
        <v>9000</v>
      </c>
      <c r="J4774" t="s">
        <v>39</v>
      </c>
      <c r="K4774" t="s">
        <v>40</v>
      </c>
      <c r="L4774">
        <v>55000</v>
      </c>
      <c r="M4774">
        <v>16.36363636363636</v>
      </c>
      <c r="N4774" t="s">
        <v>8</v>
      </c>
      <c r="O4774" t="s">
        <v>402</v>
      </c>
      <c r="P4774" t="s">
        <v>29</v>
      </c>
      <c r="Q4774" t="s">
        <v>30</v>
      </c>
      <c r="R4774" t="s">
        <v>60</v>
      </c>
      <c r="S4774" t="s">
        <v>61</v>
      </c>
      <c r="T4774" t="s">
        <v>403</v>
      </c>
      <c r="U4774" t="s">
        <v>46</v>
      </c>
      <c r="V4774">
        <v>9000</v>
      </c>
    </row>
    <row r="4775" spans="1:22" x14ac:dyDescent="0.3">
      <c r="A4775" t="s">
        <v>6257</v>
      </c>
      <c r="B4775" s="2">
        <v>46112</v>
      </c>
      <c r="C4775" t="s">
        <v>317</v>
      </c>
      <c r="D4775" t="s">
        <v>37</v>
      </c>
      <c r="E4775" t="s">
        <v>170</v>
      </c>
      <c r="F4775">
        <v>4</v>
      </c>
      <c r="G4775">
        <v>0</v>
      </c>
      <c r="H4775">
        <v>5600</v>
      </c>
      <c r="I4775">
        <v>2000</v>
      </c>
      <c r="J4775" t="s">
        <v>51</v>
      </c>
      <c r="K4775" t="s">
        <v>40</v>
      </c>
      <c r="L4775">
        <v>1400</v>
      </c>
      <c r="M4775">
        <v>35.714285714285722</v>
      </c>
      <c r="N4775" t="s">
        <v>8</v>
      </c>
      <c r="O4775" t="s">
        <v>318</v>
      </c>
      <c r="P4775" t="s">
        <v>29</v>
      </c>
      <c r="Q4775" t="s">
        <v>42</v>
      </c>
      <c r="R4775" t="s">
        <v>121</v>
      </c>
      <c r="S4775" t="s">
        <v>44</v>
      </c>
      <c r="T4775" t="s">
        <v>319</v>
      </c>
      <c r="U4775" t="s">
        <v>34</v>
      </c>
      <c r="V4775">
        <v>500</v>
      </c>
    </row>
    <row r="4776" spans="1:22" x14ac:dyDescent="0.3">
      <c r="A4776" t="s">
        <v>6258</v>
      </c>
      <c r="B4776" s="2">
        <v>45984</v>
      </c>
      <c r="C4776" t="s">
        <v>1229</v>
      </c>
      <c r="D4776" t="s">
        <v>24</v>
      </c>
      <c r="E4776" t="s">
        <v>87</v>
      </c>
      <c r="F4776">
        <v>1</v>
      </c>
      <c r="G4776">
        <v>0.05</v>
      </c>
      <c r="H4776">
        <v>332.5</v>
      </c>
      <c r="I4776">
        <v>111.12</v>
      </c>
      <c r="J4776" t="s">
        <v>65</v>
      </c>
      <c r="K4776" t="s">
        <v>40</v>
      </c>
      <c r="L4776">
        <v>332.5</v>
      </c>
      <c r="M4776">
        <v>33.419548872180457</v>
      </c>
      <c r="N4776" t="s">
        <v>8</v>
      </c>
      <c r="O4776" t="s">
        <v>1102</v>
      </c>
      <c r="P4776" t="s">
        <v>83</v>
      </c>
      <c r="Q4776" t="s">
        <v>42</v>
      </c>
      <c r="R4776" t="s">
        <v>110</v>
      </c>
      <c r="S4776" t="s">
        <v>111</v>
      </c>
      <c r="T4776" t="s">
        <v>912</v>
      </c>
      <c r="U4776" t="s">
        <v>46</v>
      </c>
      <c r="V4776">
        <v>111.12</v>
      </c>
    </row>
    <row r="4777" spans="1:22" x14ac:dyDescent="0.3">
      <c r="A4777" t="s">
        <v>6259</v>
      </c>
      <c r="B4777" s="2">
        <v>46119</v>
      </c>
      <c r="C4777" t="s">
        <v>958</v>
      </c>
      <c r="D4777" t="s">
        <v>49</v>
      </c>
      <c r="E4777" t="s">
        <v>79</v>
      </c>
      <c r="F4777">
        <v>1</v>
      </c>
      <c r="G4777">
        <v>0.15</v>
      </c>
      <c r="H4777">
        <v>9350</v>
      </c>
      <c r="I4777">
        <v>1466.76</v>
      </c>
      <c r="J4777" t="s">
        <v>65</v>
      </c>
      <c r="K4777" t="s">
        <v>40</v>
      </c>
      <c r="L4777">
        <v>9350</v>
      </c>
      <c r="M4777">
        <v>15.687272727272729</v>
      </c>
      <c r="N4777" t="s">
        <v>8</v>
      </c>
      <c r="O4777" t="s">
        <v>959</v>
      </c>
      <c r="P4777" t="s">
        <v>73</v>
      </c>
      <c r="Q4777" t="s">
        <v>42</v>
      </c>
      <c r="R4777" t="s">
        <v>43</v>
      </c>
      <c r="S4777" t="s">
        <v>44</v>
      </c>
      <c r="T4777" t="s">
        <v>960</v>
      </c>
      <c r="U4777" t="s">
        <v>34</v>
      </c>
      <c r="V4777">
        <v>1466.76</v>
      </c>
    </row>
    <row r="4778" spans="1:22" x14ac:dyDescent="0.3">
      <c r="A4778" t="s">
        <v>6260</v>
      </c>
      <c r="B4778" s="2">
        <v>46202</v>
      </c>
      <c r="C4778" t="s">
        <v>1319</v>
      </c>
      <c r="D4778" t="s">
        <v>70</v>
      </c>
      <c r="E4778" t="s">
        <v>129</v>
      </c>
      <c r="F4778">
        <v>2</v>
      </c>
      <c r="G4778">
        <v>0.15</v>
      </c>
      <c r="H4778">
        <v>93500</v>
      </c>
      <c r="I4778">
        <v>7090.95</v>
      </c>
      <c r="J4778" t="s">
        <v>65</v>
      </c>
      <c r="K4778" t="s">
        <v>40</v>
      </c>
      <c r="L4778">
        <v>46750</v>
      </c>
      <c r="M4778">
        <v>7.5839037433155081</v>
      </c>
      <c r="N4778" t="s">
        <v>8</v>
      </c>
      <c r="O4778" t="s">
        <v>166</v>
      </c>
      <c r="P4778" t="s">
        <v>83</v>
      </c>
      <c r="Q4778" t="s">
        <v>42</v>
      </c>
      <c r="R4778" t="s">
        <v>110</v>
      </c>
      <c r="S4778" t="s">
        <v>111</v>
      </c>
      <c r="T4778" t="s">
        <v>1320</v>
      </c>
      <c r="U4778" t="s">
        <v>34</v>
      </c>
      <c r="V4778">
        <v>3545.4749999999999</v>
      </c>
    </row>
    <row r="4779" spans="1:22" x14ac:dyDescent="0.3">
      <c r="A4779" t="s">
        <v>6261</v>
      </c>
      <c r="B4779" s="2">
        <v>45938</v>
      </c>
      <c r="C4779" t="s">
        <v>1143</v>
      </c>
      <c r="D4779" t="s">
        <v>49</v>
      </c>
      <c r="E4779" t="s">
        <v>58</v>
      </c>
      <c r="F4779">
        <v>2</v>
      </c>
      <c r="G4779">
        <v>0.15</v>
      </c>
      <c r="H4779">
        <v>25500</v>
      </c>
      <c r="I4779">
        <v>4739.1099999999997</v>
      </c>
      <c r="J4779" t="s">
        <v>39</v>
      </c>
      <c r="K4779" t="s">
        <v>40</v>
      </c>
      <c r="L4779">
        <v>12750</v>
      </c>
      <c r="M4779">
        <v>18.58474509803921</v>
      </c>
      <c r="N4779" t="s">
        <v>8</v>
      </c>
      <c r="O4779" t="s">
        <v>1144</v>
      </c>
      <c r="P4779" t="s">
        <v>29</v>
      </c>
      <c r="Q4779" t="s">
        <v>30</v>
      </c>
      <c r="R4779" t="s">
        <v>31</v>
      </c>
      <c r="S4779" t="s">
        <v>32</v>
      </c>
      <c r="T4779" t="s">
        <v>1145</v>
      </c>
      <c r="U4779" t="s">
        <v>100</v>
      </c>
      <c r="V4779">
        <v>2369.5549999999998</v>
      </c>
    </row>
    <row r="4780" spans="1:22" x14ac:dyDescent="0.3">
      <c r="A4780" t="s">
        <v>6262</v>
      </c>
      <c r="B4780" s="2">
        <v>45988</v>
      </c>
      <c r="C4780" t="s">
        <v>1004</v>
      </c>
      <c r="D4780" t="s">
        <v>70</v>
      </c>
      <c r="E4780" t="s">
        <v>71</v>
      </c>
      <c r="F4780">
        <v>2</v>
      </c>
      <c r="G4780">
        <v>0.1</v>
      </c>
      <c r="H4780">
        <v>32400</v>
      </c>
      <c r="I4780">
        <v>-5204.92</v>
      </c>
      <c r="J4780" t="s">
        <v>39</v>
      </c>
      <c r="K4780" t="s">
        <v>434</v>
      </c>
      <c r="L4780">
        <v>16200</v>
      </c>
      <c r="M4780">
        <v>-16.064567901234572</v>
      </c>
      <c r="N4780" t="s">
        <v>81</v>
      </c>
      <c r="O4780" t="s">
        <v>1005</v>
      </c>
      <c r="P4780" t="s">
        <v>29</v>
      </c>
      <c r="Q4780" t="s">
        <v>30</v>
      </c>
      <c r="R4780" t="s">
        <v>98</v>
      </c>
      <c r="S4780" t="s">
        <v>54</v>
      </c>
      <c r="T4780" t="s">
        <v>1006</v>
      </c>
      <c r="U4780" t="s">
        <v>105</v>
      </c>
      <c r="V4780">
        <v>-2602.46</v>
      </c>
    </row>
    <row r="4781" spans="1:22" x14ac:dyDescent="0.3">
      <c r="A4781" t="s">
        <v>6263</v>
      </c>
      <c r="B4781" s="2">
        <v>45947</v>
      </c>
      <c r="C4781" t="s">
        <v>272</v>
      </c>
      <c r="D4781" t="s">
        <v>37</v>
      </c>
      <c r="E4781" t="s">
        <v>170</v>
      </c>
      <c r="F4781">
        <v>2</v>
      </c>
      <c r="G4781">
        <v>0.05</v>
      </c>
      <c r="H4781">
        <v>2660</v>
      </c>
      <c r="I4781">
        <v>901.98</v>
      </c>
      <c r="J4781" t="s">
        <v>51</v>
      </c>
      <c r="K4781" t="s">
        <v>40</v>
      </c>
      <c r="L4781">
        <v>1330</v>
      </c>
      <c r="M4781">
        <v>33.90902255639098</v>
      </c>
      <c r="N4781" t="s">
        <v>8</v>
      </c>
      <c r="O4781" t="s">
        <v>166</v>
      </c>
      <c r="P4781" t="s">
        <v>73</v>
      </c>
      <c r="Q4781" t="s">
        <v>30</v>
      </c>
      <c r="R4781" t="s">
        <v>98</v>
      </c>
      <c r="S4781" t="s">
        <v>54</v>
      </c>
      <c r="T4781" t="s">
        <v>273</v>
      </c>
      <c r="U4781" t="s">
        <v>105</v>
      </c>
      <c r="V4781">
        <v>450.99</v>
      </c>
    </row>
    <row r="4782" spans="1:22" x14ac:dyDescent="0.3">
      <c r="A4782" t="s">
        <v>6264</v>
      </c>
      <c r="B4782" s="2">
        <v>46253</v>
      </c>
      <c r="C4782" t="s">
        <v>1420</v>
      </c>
      <c r="D4782" t="s">
        <v>24</v>
      </c>
      <c r="E4782" t="s">
        <v>242</v>
      </c>
      <c r="F4782">
        <v>1</v>
      </c>
      <c r="G4782">
        <v>0.1</v>
      </c>
      <c r="H4782">
        <v>405</v>
      </c>
      <c r="I4782">
        <v>84.67</v>
      </c>
      <c r="J4782" t="s">
        <v>26</v>
      </c>
      <c r="K4782" t="s">
        <v>40</v>
      </c>
      <c r="L4782">
        <v>405</v>
      </c>
      <c r="M4782">
        <v>20.906172839506169</v>
      </c>
      <c r="N4782" t="s">
        <v>8</v>
      </c>
      <c r="O4782" t="s">
        <v>369</v>
      </c>
      <c r="P4782" t="s">
        <v>73</v>
      </c>
      <c r="Q4782" t="s">
        <v>30</v>
      </c>
      <c r="R4782" t="s">
        <v>98</v>
      </c>
      <c r="S4782" t="s">
        <v>54</v>
      </c>
      <c r="T4782" t="s">
        <v>1421</v>
      </c>
      <c r="U4782" t="s">
        <v>46</v>
      </c>
      <c r="V4782">
        <v>84.67</v>
      </c>
    </row>
    <row r="4783" spans="1:22" x14ac:dyDescent="0.3">
      <c r="A4783" t="s">
        <v>6265</v>
      </c>
      <c r="B4783" s="2">
        <v>46160</v>
      </c>
      <c r="C4783" t="s">
        <v>1360</v>
      </c>
      <c r="D4783" t="s">
        <v>49</v>
      </c>
      <c r="E4783" t="s">
        <v>79</v>
      </c>
      <c r="F4783">
        <v>3</v>
      </c>
      <c r="G4783">
        <v>0.15</v>
      </c>
      <c r="H4783">
        <v>28050</v>
      </c>
      <c r="I4783">
        <v>3946.63</v>
      </c>
      <c r="J4783" t="s">
        <v>51</v>
      </c>
      <c r="K4783" t="s">
        <v>40</v>
      </c>
      <c r="L4783">
        <v>9350</v>
      </c>
      <c r="M4783">
        <v>14.069982174688059</v>
      </c>
      <c r="N4783" t="s">
        <v>8</v>
      </c>
      <c r="O4783" t="s">
        <v>553</v>
      </c>
      <c r="P4783" t="s">
        <v>83</v>
      </c>
      <c r="Q4783" t="s">
        <v>30</v>
      </c>
      <c r="R4783" t="s">
        <v>31</v>
      </c>
      <c r="S4783" t="s">
        <v>32</v>
      </c>
      <c r="T4783" t="s">
        <v>1361</v>
      </c>
      <c r="U4783" t="s">
        <v>34</v>
      </c>
      <c r="V4783">
        <v>1315.5433333333331</v>
      </c>
    </row>
    <row r="4784" spans="1:22" x14ac:dyDescent="0.3">
      <c r="A4784" t="s">
        <v>6266</v>
      </c>
      <c r="B4784" s="2">
        <v>46181</v>
      </c>
      <c r="C4784" t="s">
        <v>2525</v>
      </c>
      <c r="D4784" t="s">
        <v>49</v>
      </c>
      <c r="E4784" t="s">
        <v>79</v>
      </c>
      <c r="F4784">
        <v>1</v>
      </c>
      <c r="G4784">
        <v>0.15</v>
      </c>
      <c r="H4784">
        <v>9350</v>
      </c>
      <c r="I4784">
        <v>1808.52</v>
      </c>
      <c r="J4784" t="s">
        <v>26</v>
      </c>
      <c r="K4784" t="s">
        <v>40</v>
      </c>
      <c r="L4784">
        <v>9350</v>
      </c>
      <c r="M4784">
        <v>19.34245989304813</v>
      </c>
      <c r="N4784" t="s">
        <v>8</v>
      </c>
      <c r="O4784" t="s">
        <v>2526</v>
      </c>
      <c r="P4784" t="s">
        <v>29</v>
      </c>
      <c r="Q4784" t="s">
        <v>74</v>
      </c>
      <c r="R4784" t="s">
        <v>75</v>
      </c>
      <c r="S4784" t="s">
        <v>75</v>
      </c>
      <c r="T4784" t="s">
        <v>2527</v>
      </c>
      <c r="U4784" t="s">
        <v>46</v>
      </c>
      <c r="V4784">
        <v>1808.52</v>
      </c>
    </row>
    <row r="4785" spans="1:22" x14ac:dyDescent="0.3">
      <c r="A4785" t="s">
        <v>6267</v>
      </c>
      <c r="B4785" s="2">
        <v>46009</v>
      </c>
      <c r="C4785" t="s">
        <v>933</v>
      </c>
      <c r="D4785" t="s">
        <v>70</v>
      </c>
      <c r="E4785" t="s">
        <v>71</v>
      </c>
      <c r="F4785">
        <v>2</v>
      </c>
      <c r="G4785">
        <v>0.05</v>
      </c>
      <c r="H4785">
        <v>34200</v>
      </c>
      <c r="I4785">
        <v>5844.84</v>
      </c>
      <c r="J4785" t="s">
        <v>39</v>
      </c>
      <c r="K4785" t="s">
        <v>40</v>
      </c>
      <c r="L4785">
        <v>17100</v>
      </c>
      <c r="M4785">
        <v>17.090175438596489</v>
      </c>
      <c r="N4785" t="s">
        <v>8</v>
      </c>
      <c r="O4785" t="s">
        <v>233</v>
      </c>
      <c r="P4785" t="s">
        <v>29</v>
      </c>
      <c r="Q4785" t="s">
        <v>30</v>
      </c>
      <c r="R4785" t="s">
        <v>31</v>
      </c>
      <c r="S4785" t="s">
        <v>32</v>
      </c>
      <c r="T4785" t="s">
        <v>934</v>
      </c>
      <c r="U4785" t="s">
        <v>34</v>
      </c>
      <c r="V4785">
        <v>2922.42</v>
      </c>
    </row>
    <row r="4786" spans="1:22" x14ac:dyDescent="0.3">
      <c r="A4786" t="s">
        <v>6268</v>
      </c>
      <c r="B4786" s="2">
        <v>46030</v>
      </c>
      <c r="C4786" t="s">
        <v>1363</v>
      </c>
      <c r="D4786" t="s">
        <v>24</v>
      </c>
      <c r="E4786" t="s">
        <v>87</v>
      </c>
      <c r="F4786">
        <v>1</v>
      </c>
      <c r="G4786">
        <v>0.15</v>
      </c>
      <c r="H4786">
        <v>297.5</v>
      </c>
      <c r="I4786">
        <v>76.47</v>
      </c>
      <c r="J4786" t="s">
        <v>26</v>
      </c>
      <c r="K4786" t="s">
        <v>27</v>
      </c>
      <c r="L4786">
        <v>297.5</v>
      </c>
      <c r="M4786">
        <v>25.70420168067227</v>
      </c>
      <c r="N4786" t="s">
        <v>8</v>
      </c>
      <c r="O4786" t="s">
        <v>1364</v>
      </c>
      <c r="P4786" t="s">
        <v>73</v>
      </c>
      <c r="Q4786" t="s">
        <v>30</v>
      </c>
      <c r="R4786" t="s">
        <v>98</v>
      </c>
      <c r="S4786" t="s">
        <v>54</v>
      </c>
      <c r="T4786" t="s">
        <v>1365</v>
      </c>
      <c r="U4786" t="s">
        <v>105</v>
      </c>
      <c r="V4786">
        <v>76.47</v>
      </c>
    </row>
    <row r="4787" spans="1:22" x14ac:dyDescent="0.3">
      <c r="A4787" t="s">
        <v>6269</v>
      </c>
      <c r="B4787" s="2">
        <v>46057</v>
      </c>
      <c r="C4787" t="s">
        <v>2915</v>
      </c>
      <c r="D4787" t="s">
        <v>49</v>
      </c>
      <c r="E4787" t="s">
        <v>119</v>
      </c>
      <c r="F4787">
        <v>3</v>
      </c>
      <c r="G4787">
        <v>0.15</v>
      </c>
      <c r="H4787">
        <v>22950</v>
      </c>
      <c r="I4787">
        <v>3724.86</v>
      </c>
      <c r="J4787" t="s">
        <v>65</v>
      </c>
      <c r="K4787" t="s">
        <v>40</v>
      </c>
      <c r="L4787">
        <v>7650</v>
      </c>
      <c r="M4787">
        <v>16.230326797385619</v>
      </c>
      <c r="N4787" t="s">
        <v>8</v>
      </c>
      <c r="O4787" t="s">
        <v>2323</v>
      </c>
      <c r="P4787" t="s">
        <v>73</v>
      </c>
      <c r="Q4787" t="s">
        <v>131</v>
      </c>
      <c r="R4787" t="s">
        <v>132</v>
      </c>
      <c r="S4787" t="s">
        <v>133</v>
      </c>
      <c r="T4787" t="s">
        <v>2916</v>
      </c>
      <c r="U4787" t="s">
        <v>34</v>
      </c>
      <c r="V4787">
        <v>1241.6199999999999</v>
      </c>
    </row>
    <row r="4788" spans="1:22" x14ac:dyDescent="0.3">
      <c r="A4788" t="s">
        <v>6270</v>
      </c>
      <c r="B4788" s="2">
        <v>45885</v>
      </c>
      <c r="C4788" t="s">
        <v>678</v>
      </c>
      <c r="D4788" t="s">
        <v>49</v>
      </c>
      <c r="E4788" t="s">
        <v>50</v>
      </c>
      <c r="F4788">
        <v>5</v>
      </c>
      <c r="G4788">
        <v>0.15</v>
      </c>
      <c r="H4788">
        <v>55250</v>
      </c>
      <c r="I4788">
        <v>9078.69</v>
      </c>
      <c r="J4788" t="s">
        <v>26</v>
      </c>
      <c r="K4788" t="s">
        <v>40</v>
      </c>
      <c r="L4788">
        <v>11050</v>
      </c>
      <c r="M4788">
        <v>16.432018099547509</v>
      </c>
      <c r="N4788" t="s">
        <v>8</v>
      </c>
      <c r="O4788" t="s">
        <v>657</v>
      </c>
      <c r="P4788" t="s">
        <v>83</v>
      </c>
      <c r="Q4788" t="s">
        <v>30</v>
      </c>
      <c r="R4788" t="s">
        <v>31</v>
      </c>
      <c r="S4788" t="s">
        <v>32</v>
      </c>
      <c r="T4788" t="s">
        <v>679</v>
      </c>
      <c r="U4788" t="s">
        <v>100</v>
      </c>
      <c r="V4788">
        <v>1815.7380000000001</v>
      </c>
    </row>
    <row r="4789" spans="1:22" x14ac:dyDescent="0.3">
      <c r="A4789" t="s">
        <v>6271</v>
      </c>
      <c r="B4789" s="2">
        <v>46056</v>
      </c>
      <c r="C4789" t="s">
        <v>272</v>
      </c>
      <c r="D4789" t="s">
        <v>24</v>
      </c>
      <c r="E4789" t="s">
        <v>87</v>
      </c>
      <c r="F4789">
        <v>1</v>
      </c>
      <c r="G4789">
        <v>0.05</v>
      </c>
      <c r="H4789">
        <v>332.5</v>
      </c>
      <c r="I4789">
        <v>107.03</v>
      </c>
      <c r="J4789" t="s">
        <v>65</v>
      </c>
      <c r="K4789" t="s">
        <v>40</v>
      </c>
      <c r="L4789">
        <v>332.5</v>
      </c>
      <c r="M4789">
        <v>32.189473684210533</v>
      </c>
      <c r="N4789" t="s">
        <v>8</v>
      </c>
      <c r="O4789" t="s">
        <v>166</v>
      </c>
      <c r="P4789" t="s">
        <v>73</v>
      </c>
      <c r="Q4789" t="s">
        <v>30</v>
      </c>
      <c r="R4789" t="s">
        <v>98</v>
      </c>
      <c r="S4789" t="s">
        <v>54</v>
      </c>
      <c r="T4789" t="s">
        <v>273</v>
      </c>
      <c r="U4789" t="s">
        <v>105</v>
      </c>
      <c r="V4789">
        <v>107.03</v>
      </c>
    </row>
    <row r="4790" spans="1:22" x14ac:dyDescent="0.3">
      <c r="A4790" t="s">
        <v>6272</v>
      </c>
      <c r="B4790" s="2">
        <v>45989</v>
      </c>
      <c r="C4790" t="s">
        <v>850</v>
      </c>
      <c r="D4790" t="s">
        <v>37</v>
      </c>
      <c r="E4790" t="s">
        <v>38</v>
      </c>
      <c r="F4790">
        <v>5</v>
      </c>
      <c r="G4790">
        <v>0.2</v>
      </c>
      <c r="H4790">
        <v>7200</v>
      </c>
      <c r="I4790">
        <v>-858.99</v>
      </c>
      <c r="J4790" t="s">
        <v>39</v>
      </c>
      <c r="K4790" t="s">
        <v>434</v>
      </c>
      <c r="L4790">
        <v>1440</v>
      </c>
      <c r="M4790">
        <v>-11.93041666666667</v>
      </c>
      <c r="N4790" t="s">
        <v>81</v>
      </c>
      <c r="O4790" t="s">
        <v>851</v>
      </c>
      <c r="P4790" t="s">
        <v>29</v>
      </c>
      <c r="Q4790" t="s">
        <v>30</v>
      </c>
      <c r="R4790" t="s">
        <v>60</v>
      </c>
      <c r="S4790" t="s">
        <v>61</v>
      </c>
      <c r="T4790" t="s">
        <v>852</v>
      </c>
      <c r="U4790" t="s">
        <v>46</v>
      </c>
      <c r="V4790">
        <v>-171.798</v>
      </c>
    </row>
    <row r="4791" spans="1:22" x14ac:dyDescent="0.3">
      <c r="A4791" t="s">
        <v>6273</v>
      </c>
      <c r="B4791" s="2">
        <v>46226</v>
      </c>
      <c r="C4791" t="s">
        <v>501</v>
      </c>
      <c r="D4791" t="s">
        <v>49</v>
      </c>
      <c r="E4791" t="s">
        <v>50</v>
      </c>
      <c r="F4791">
        <v>4</v>
      </c>
      <c r="G4791">
        <v>0.15</v>
      </c>
      <c r="H4791">
        <v>44200</v>
      </c>
      <c r="I4791">
        <v>7504.87</v>
      </c>
      <c r="J4791" t="s">
        <v>39</v>
      </c>
      <c r="K4791" t="s">
        <v>40</v>
      </c>
      <c r="L4791">
        <v>11050</v>
      </c>
      <c r="M4791">
        <v>16.97934389140271</v>
      </c>
      <c r="N4791" t="s">
        <v>8</v>
      </c>
      <c r="O4791" t="s">
        <v>502</v>
      </c>
      <c r="P4791" t="s">
        <v>29</v>
      </c>
      <c r="Q4791" t="s">
        <v>30</v>
      </c>
      <c r="R4791" t="s">
        <v>31</v>
      </c>
      <c r="S4791" t="s">
        <v>32</v>
      </c>
      <c r="T4791" t="s">
        <v>503</v>
      </c>
      <c r="U4791" t="s">
        <v>100</v>
      </c>
      <c r="V4791">
        <v>1876.2175</v>
      </c>
    </row>
    <row r="4792" spans="1:22" x14ac:dyDescent="0.3">
      <c r="A4792" t="s">
        <v>6274</v>
      </c>
      <c r="B4792" s="2">
        <v>45963</v>
      </c>
      <c r="C4792" t="s">
        <v>152</v>
      </c>
      <c r="D4792" t="s">
        <v>49</v>
      </c>
      <c r="E4792" t="s">
        <v>79</v>
      </c>
      <c r="F4792">
        <v>2</v>
      </c>
      <c r="G4792">
        <v>0.3</v>
      </c>
      <c r="H4792">
        <v>15400</v>
      </c>
      <c r="I4792">
        <v>2094</v>
      </c>
      <c r="J4792" t="s">
        <v>39</v>
      </c>
      <c r="K4792" t="s">
        <v>40</v>
      </c>
      <c r="L4792">
        <v>7700</v>
      </c>
      <c r="M4792">
        <v>13.597402597402599</v>
      </c>
      <c r="N4792" t="s">
        <v>8</v>
      </c>
      <c r="O4792" t="s">
        <v>153</v>
      </c>
      <c r="P4792" t="s">
        <v>83</v>
      </c>
      <c r="Q4792" t="s">
        <v>30</v>
      </c>
      <c r="R4792" t="s">
        <v>53</v>
      </c>
      <c r="S4792" t="s">
        <v>54</v>
      </c>
      <c r="T4792" t="s">
        <v>154</v>
      </c>
      <c r="U4792" t="s">
        <v>100</v>
      </c>
      <c r="V4792">
        <v>1047</v>
      </c>
    </row>
    <row r="4793" spans="1:22" x14ac:dyDescent="0.3">
      <c r="A4793" t="s">
        <v>6275</v>
      </c>
      <c r="B4793" s="2">
        <v>46217</v>
      </c>
      <c r="C4793" t="s">
        <v>2034</v>
      </c>
      <c r="D4793" t="s">
        <v>49</v>
      </c>
      <c r="E4793" t="s">
        <v>119</v>
      </c>
      <c r="F4793">
        <v>6</v>
      </c>
      <c r="G4793">
        <v>0.15</v>
      </c>
      <c r="H4793">
        <v>45900</v>
      </c>
      <c r="I4793">
        <v>8567.84</v>
      </c>
      <c r="J4793" t="s">
        <v>26</v>
      </c>
      <c r="K4793" t="s">
        <v>40</v>
      </c>
      <c r="L4793">
        <v>7650</v>
      </c>
      <c r="M4793">
        <v>18.666318082788671</v>
      </c>
      <c r="N4793" t="s">
        <v>8</v>
      </c>
      <c r="O4793" t="s">
        <v>502</v>
      </c>
      <c r="P4793" t="s">
        <v>29</v>
      </c>
      <c r="Q4793" t="s">
        <v>30</v>
      </c>
      <c r="R4793" t="s">
        <v>98</v>
      </c>
      <c r="S4793" t="s">
        <v>54</v>
      </c>
      <c r="T4793" t="s">
        <v>2035</v>
      </c>
      <c r="U4793" t="s">
        <v>34</v>
      </c>
      <c r="V4793">
        <v>1427.9733333333329</v>
      </c>
    </row>
    <row r="4794" spans="1:22" x14ac:dyDescent="0.3">
      <c r="A4794" t="s">
        <v>6276</v>
      </c>
      <c r="B4794" s="2">
        <v>45985</v>
      </c>
      <c r="C4794" t="s">
        <v>640</v>
      </c>
      <c r="D4794" t="s">
        <v>24</v>
      </c>
      <c r="E4794" t="s">
        <v>92</v>
      </c>
      <c r="F4794">
        <v>1</v>
      </c>
      <c r="G4794">
        <v>0</v>
      </c>
      <c r="H4794">
        <v>900</v>
      </c>
      <c r="I4794">
        <v>-422.37</v>
      </c>
      <c r="J4794" t="s">
        <v>39</v>
      </c>
      <c r="K4794" t="s">
        <v>80</v>
      </c>
      <c r="L4794">
        <v>900</v>
      </c>
      <c r="M4794">
        <v>-46.93</v>
      </c>
      <c r="N4794" t="s">
        <v>81</v>
      </c>
      <c r="O4794" t="s">
        <v>641</v>
      </c>
      <c r="P4794" t="s">
        <v>29</v>
      </c>
      <c r="Q4794" t="s">
        <v>30</v>
      </c>
      <c r="R4794" t="s">
        <v>31</v>
      </c>
      <c r="S4794" t="s">
        <v>32</v>
      </c>
      <c r="T4794" t="s">
        <v>642</v>
      </c>
      <c r="U4794" t="s">
        <v>34</v>
      </c>
      <c r="V4794">
        <v>-422.37</v>
      </c>
    </row>
    <row r="4795" spans="1:22" x14ac:dyDescent="0.3">
      <c r="A4795" t="s">
        <v>6277</v>
      </c>
      <c r="B4795" s="2">
        <v>46176</v>
      </c>
      <c r="C4795" t="s">
        <v>1700</v>
      </c>
      <c r="D4795" t="s">
        <v>24</v>
      </c>
      <c r="E4795" t="s">
        <v>242</v>
      </c>
      <c r="F4795">
        <v>1</v>
      </c>
      <c r="G4795">
        <v>0</v>
      </c>
      <c r="H4795">
        <v>450</v>
      </c>
      <c r="I4795">
        <v>110</v>
      </c>
      <c r="J4795" t="s">
        <v>39</v>
      </c>
      <c r="K4795" t="s">
        <v>40</v>
      </c>
      <c r="L4795">
        <v>450</v>
      </c>
      <c r="M4795">
        <v>24.444444444444439</v>
      </c>
      <c r="N4795" t="s">
        <v>8</v>
      </c>
      <c r="O4795" t="s">
        <v>1009</v>
      </c>
      <c r="P4795" t="s">
        <v>73</v>
      </c>
      <c r="Q4795" t="s">
        <v>30</v>
      </c>
      <c r="R4795" t="s">
        <v>53</v>
      </c>
      <c r="S4795" t="s">
        <v>54</v>
      </c>
      <c r="T4795" t="s">
        <v>172</v>
      </c>
      <c r="U4795" t="s">
        <v>34</v>
      </c>
      <c r="V4795">
        <v>110</v>
      </c>
    </row>
    <row r="4796" spans="1:22" x14ac:dyDescent="0.3">
      <c r="A4796" t="s">
        <v>6278</v>
      </c>
      <c r="B4796" s="2">
        <v>46076</v>
      </c>
      <c r="C4796" t="s">
        <v>1181</v>
      </c>
      <c r="D4796" t="s">
        <v>37</v>
      </c>
      <c r="E4796" t="s">
        <v>190</v>
      </c>
      <c r="F4796">
        <v>1</v>
      </c>
      <c r="G4796">
        <v>0.05</v>
      </c>
      <c r="H4796">
        <v>3990</v>
      </c>
      <c r="I4796">
        <v>1096.3800000000001</v>
      </c>
      <c r="J4796" t="s">
        <v>51</v>
      </c>
      <c r="K4796" t="s">
        <v>27</v>
      </c>
      <c r="L4796">
        <v>3990</v>
      </c>
      <c r="M4796">
        <v>27.478195488721809</v>
      </c>
      <c r="N4796" t="s">
        <v>8</v>
      </c>
      <c r="O4796" t="s">
        <v>1182</v>
      </c>
      <c r="P4796" t="s">
        <v>29</v>
      </c>
      <c r="Q4796" t="s">
        <v>30</v>
      </c>
      <c r="R4796" t="s">
        <v>31</v>
      </c>
      <c r="S4796" t="s">
        <v>32</v>
      </c>
      <c r="T4796" t="s">
        <v>206</v>
      </c>
      <c r="U4796" t="s">
        <v>46</v>
      </c>
      <c r="V4796">
        <v>1096.3800000000001</v>
      </c>
    </row>
    <row r="4797" spans="1:22" x14ac:dyDescent="0.3">
      <c r="A4797" t="s">
        <v>6279</v>
      </c>
      <c r="B4797" s="2">
        <v>46183</v>
      </c>
      <c r="C4797" t="s">
        <v>430</v>
      </c>
      <c r="D4797" t="s">
        <v>70</v>
      </c>
      <c r="E4797" t="s">
        <v>165</v>
      </c>
      <c r="F4797">
        <v>3</v>
      </c>
      <c r="G4797">
        <v>0.05</v>
      </c>
      <c r="H4797">
        <v>7125</v>
      </c>
      <c r="I4797">
        <v>2173.73</v>
      </c>
      <c r="J4797" t="s">
        <v>65</v>
      </c>
      <c r="K4797" t="s">
        <v>40</v>
      </c>
      <c r="L4797">
        <v>2375</v>
      </c>
      <c r="M4797">
        <v>30.508491228070181</v>
      </c>
      <c r="N4797" t="s">
        <v>8</v>
      </c>
      <c r="O4797" t="s">
        <v>431</v>
      </c>
      <c r="P4797" t="s">
        <v>29</v>
      </c>
      <c r="Q4797" t="s">
        <v>30</v>
      </c>
      <c r="R4797" t="s">
        <v>53</v>
      </c>
      <c r="S4797" t="s">
        <v>54</v>
      </c>
      <c r="T4797" t="s">
        <v>256</v>
      </c>
      <c r="U4797" t="s">
        <v>46</v>
      </c>
      <c r="V4797">
        <v>724.57666666666671</v>
      </c>
    </row>
    <row r="4798" spans="1:22" x14ac:dyDescent="0.3">
      <c r="A4798" t="s">
        <v>6280</v>
      </c>
      <c r="B4798" s="2">
        <v>45924</v>
      </c>
      <c r="C4798" t="s">
        <v>858</v>
      </c>
      <c r="D4798" t="s">
        <v>37</v>
      </c>
      <c r="E4798" t="s">
        <v>190</v>
      </c>
      <c r="F4798">
        <v>2</v>
      </c>
      <c r="G4798">
        <v>0.15</v>
      </c>
      <c r="H4798">
        <v>7140</v>
      </c>
      <c r="I4798">
        <v>1453.5</v>
      </c>
      <c r="J4798" t="s">
        <v>26</v>
      </c>
      <c r="K4798" t="s">
        <v>40</v>
      </c>
      <c r="L4798">
        <v>3570</v>
      </c>
      <c r="M4798">
        <v>20.357142857142861</v>
      </c>
      <c r="N4798" t="s">
        <v>8</v>
      </c>
      <c r="O4798" t="s">
        <v>406</v>
      </c>
      <c r="P4798" t="s">
        <v>73</v>
      </c>
      <c r="Q4798" t="s">
        <v>30</v>
      </c>
      <c r="R4798" t="s">
        <v>53</v>
      </c>
      <c r="S4798" t="s">
        <v>54</v>
      </c>
      <c r="T4798" t="s">
        <v>859</v>
      </c>
      <c r="U4798" t="s">
        <v>105</v>
      </c>
      <c r="V4798">
        <v>726.75</v>
      </c>
    </row>
    <row r="4799" spans="1:22" x14ac:dyDescent="0.3">
      <c r="A4799" t="s">
        <v>6281</v>
      </c>
      <c r="B4799" s="2">
        <v>45954</v>
      </c>
      <c r="C4799" t="s">
        <v>1782</v>
      </c>
      <c r="D4799" t="s">
        <v>37</v>
      </c>
      <c r="E4799" t="s">
        <v>38</v>
      </c>
      <c r="F4799">
        <v>5</v>
      </c>
      <c r="G4799">
        <v>0.15</v>
      </c>
      <c r="H4799">
        <v>7650</v>
      </c>
      <c r="I4799">
        <v>2331.9299999999998</v>
      </c>
      <c r="J4799" t="s">
        <v>51</v>
      </c>
      <c r="K4799" t="s">
        <v>40</v>
      </c>
      <c r="L4799">
        <v>1530</v>
      </c>
      <c r="M4799">
        <v>30.482745098039221</v>
      </c>
      <c r="N4799" t="s">
        <v>8</v>
      </c>
      <c r="O4799" t="s">
        <v>682</v>
      </c>
      <c r="P4799" t="s">
        <v>73</v>
      </c>
      <c r="Q4799" t="s">
        <v>131</v>
      </c>
      <c r="R4799" t="s">
        <v>200</v>
      </c>
      <c r="S4799" t="s">
        <v>201</v>
      </c>
      <c r="T4799" t="s">
        <v>295</v>
      </c>
      <c r="U4799" t="s">
        <v>34</v>
      </c>
      <c r="V4799">
        <v>466.38600000000002</v>
      </c>
    </row>
    <row r="4800" spans="1:22" x14ac:dyDescent="0.3">
      <c r="A4800" t="s">
        <v>6282</v>
      </c>
      <c r="B4800" s="2">
        <v>46261</v>
      </c>
      <c r="C4800" t="s">
        <v>722</v>
      </c>
      <c r="D4800" t="s">
        <v>37</v>
      </c>
      <c r="E4800" t="s">
        <v>170</v>
      </c>
      <c r="F4800">
        <v>1</v>
      </c>
      <c r="G4800">
        <v>0.3</v>
      </c>
      <c r="H4800">
        <v>980</v>
      </c>
      <c r="I4800">
        <v>301.01</v>
      </c>
      <c r="J4800" t="s">
        <v>26</v>
      </c>
      <c r="K4800" t="s">
        <v>40</v>
      </c>
      <c r="L4800">
        <v>980</v>
      </c>
      <c r="M4800">
        <v>30.715306122448979</v>
      </c>
      <c r="N4800" t="s">
        <v>8</v>
      </c>
      <c r="O4800" t="s">
        <v>723</v>
      </c>
      <c r="P4800" t="s">
        <v>73</v>
      </c>
      <c r="Q4800" t="s">
        <v>42</v>
      </c>
      <c r="R4800" t="s">
        <v>121</v>
      </c>
      <c r="S4800" t="s">
        <v>44</v>
      </c>
      <c r="T4800" t="s">
        <v>138</v>
      </c>
      <c r="U4800" t="s">
        <v>46</v>
      </c>
      <c r="V4800">
        <v>301.01</v>
      </c>
    </row>
    <row r="4801" spans="1:22" x14ac:dyDescent="0.3">
      <c r="A4801" t="s">
        <v>6283</v>
      </c>
      <c r="B4801" s="2">
        <v>46034</v>
      </c>
      <c r="C4801" t="s">
        <v>1529</v>
      </c>
      <c r="D4801" t="s">
        <v>37</v>
      </c>
      <c r="E4801" t="s">
        <v>190</v>
      </c>
      <c r="F4801">
        <v>5</v>
      </c>
      <c r="G4801">
        <v>0.05</v>
      </c>
      <c r="H4801">
        <v>19950</v>
      </c>
      <c r="I4801">
        <v>5492.33</v>
      </c>
      <c r="J4801" t="s">
        <v>39</v>
      </c>
      <c r="K4801" t="s">
        <v>40</v>
      </c>
      <c r="L4801">
        <v>3990</v>
      </c>
      <c r="M4801">
        <v>27.53047619047619</v>
      </c>
      <c r="N4801" t="s">
        <v>8</v>
      </c>
      <c r="O4801" t="s">
        <v>717</v>
      </c>
      <c r="P4801" t="s">
        <v>73</v>
      </c>
      <c r="Q4801" t="s">
        <v>131</v>
      </c>
      <c r="R4801" t="s">
        <v>132</v>
      </c>
      <c r="S4801" t="s">
        <v>133</v>
      </c>
      <c r="T4801" t="s">
        <v>1530</v>
      </c>
      <c r="U4801" t="s">
        <v>46</v>
      </c>
      <c r="V4801">
        <v>1098.4659999999999</v>
      </c>
    </row>
    <row r="4802" spans="1:22" x14ac:dyDescent="0.3">
      <c r="A4802" t="s">
        <v>6284</v>
      </c>
      <c r="B4802" s="2">
        <v>46132</v>
      </c>
      <c r="C4802" t="s">
        <v>878</v>
      </c>
      <c r="D4802" t="s">
        <v>70</v>
      </c>
      <c r="E4802" t="s">
        <v>129</v>
      </c>
      <c r="F4802">
        <v>1</v>
      </c>
      <c r="G4802">
        <v>0.15</v>
      </c>
      <c r="H4802">
        <v>46750</v>
      </c>
      <c r="I4802">
        <v>2023.14</v>
      </c>
      <c r="J4802" t="s">
        <v>39</v>
      </c>
      <c r="K4802" t="s">
        <v>40</v>
      </c>
      <c r="L4802">
        <v>46750</v>
      </c>
      <c r="M4802">
        <v>4.3275721925133697</v>
      </c>
      <c r="N4802" t="s">
        <v>8</v>
      </c>
      <c r="O4802" t="s">
        <v>879</v>
      </c>
      <c r="P4802" t="s">
        <v>83</v>
      </c>
      <c r="Q4802" t="s">
        <v>30</v>
      </c>
      <c r="R4802" t="s">
        <v>98</v>
      </c>
      <c r="S4802" t="s">
        <v>54</v>
      </c>
      <c r="T4802" t="s">
        <v>880</v>
      </c>
      <c r="U4802" t="s">
        <v>46</v>
      </c>
      <c r="V4802">
        <v>2023.14</v>
      </c>
    </row>
    <row r="4803" spans="1:22" x14ac:dyDescent="0.3">
      <c r="A4803" t="s">
        <v>6285</v>
      </c>
      <c r="B4803" s="2">
        <v>46064</v>
      </c>
      <c r="C4803" t="s">
        <v>1414</v>
      </c>
      <c r="D4803" t="s">
        <v>49</v>
      </c>
      <c r="E4803" t="s">
        <v>119</v>
      </c>
      <c r="F4803">
        <v>1</v>
      </c>
      <c r="G4803">
        <v>0.1</v>
      </c>
      <c r="H4803">
        <v>8100</v>
      </c>
      <c r="I4803">
        <v>1581.37</v>
      </c>
      <c r="J4803" t="s">
        <v>51</v>
      </c>
      <c r="K4803" t="s">
        <v>27</v>
      </c>
      <c r="L4803">
        <v>8100</v>
      </c>
      <c r="M4803">
        <v>19.523086419753081</v>
      </c>
      <c r="N4803" t="s">
        <v>8</v>
      </c>
      <c r="O4803" t="s">
        <v>166</v>
      </c>
      <c r="P4803" t="s">
        <v>29</v>
      </c>
      <c r="Q4803" t="s">
        <v>30</v>
      </c>
      <c r="R4803" t="s">
        <v>31</v>
      </c>
      <c r="S4803" t="s">
        <v>32</v>
      </c>
      <c r="T4803" t="s">
        <v>1415</v>
      </c>
      <c r="U4803" t="s">
        <v>46</v>
      </c>
      <c r="V4803">
        <v>1581.37</v>
      </c>
    </row>
    <row r="4804" spans="1:22" x14ac:dyDescent="0.3">
      <c r="A4804" t="s">
        <v>6286</v>
      </c>
      <c r="B4804" s="2">
        <v>46046</v>
      </c>
      <c r="C4804" t="s">
        <v>875</v>
      </c>
      <c r="D4804" t="s">
        <v>70</v>
      </c>
      <c r="E4804" t="s">
        <v>71</v>
      </c>
      <c r="F4804">
        <v>2</v>
      </c>
      <c r="G4804">
        <v>0.1</v>
      </c>
      <c r="H4804">
        <v>32400</v>
      </c>
      <c r="I4804">
        <v>5353.14</v>
      </c>
      <c r="J4804" t="s">
        <v>26</v>
      </c>
      <c r="K4804" t="s">
        <v>40</v>
      </c>
      <c r="L4804">
        <v>16200</v>
      </c>
      <c r="M4804">
        <v>16.522037037037041</v>
      </c>
      <c r="N4804" t="s">
        <v>8</v>
      </c>
      <c r="O4804" t="s">
        <v>149</v>
      </c>
      <c r="P4804" t="s">
        <v>73</v>
      </c>
      <c r="Q4804" t="s">
        <v>42</v>
      </c>
      <c r="R4804" t="s">
        <v>214</v>
      </c>
      <c r="S4804" t="s">
        <v>111</v>
      </c>
      <c r="T4804" t="s">
        <v>876</v>
      </c>
      <c r="U4804" t="s">
        <v>100</v>
      </c>
      <c r="V4804">
        <v>2676.57</v>
      </c>
    </row>
    <row r="4805" spans="1:22" x14ac:dyDescent="0.3">
      <c r="A4805" t="s">
        <v>6287</v>
      </c>
      <c r="B4805" s="2">
        <v>46050</v>
      </c>
      <c r="C4805" t="s">
        <v>921</v>
      </c>
      <c r="D4805" t="s">
        <v>70</v>
      </c>
      <c r="E4805" t="s">
        <v>108</v>
      </c>
      <c r="F4805">
        <v>2</v>
      </c>
      <c r="G4805">
        <v>0</v>
      </c>
      <c r="H4805">
        <v>9000</v>
      </c>
      <c r="I4805">
        <v>3000</v>
      </c>
      <c r="J4805" t="s">
        <v>26</v>
      </c>
      <c r="K4805" t="s">
        <v>40</v>
      </c>
      <c r="L4805">
        <v>4500</v>
      </c>
      <c r="M4805">
        <v>33.333333333333329</v>
      </c>
      <c r="N4805" t="s">
        <v>8</v>
      </c>
      <c r="O4805" t="s">
        <v>922</v>
      </c>
      <c r="P4805" t="s">
        <v>29</v>
      </c>
      <c r="Q4805" t="s">
        <v>30</v>
      </c>
      <c r="R4805" t="s">
        <v>53</v>
      </c>
      <c r="S4805" t="s">
        <v>54</v>
      </c>
      <c r="T4805" t="s">
        <v>923</v>
      </c>
      <c r="U4805" t="s">
        <v>105</v>
      </c>
      <c r="V4805">
        <v>1500</v>
      </c>
    </row>
    <row r="4806" spans="1:22" x14ac:dyDescent="0.3">
      <c r="A4806" t="s">
        <v>6288</v>
      </c>
      <c r="B4806" s="2">
        <v>45908</v>
      </c>
      <c r="C4806" t="s">
        <v>854</v>
      </c>
      <c r="D4806" t="s">
        <v>49</v>
      </c>
      <c r="E4806" t="s">
        <v>79</v>
      </c>
      <c r="F4806">
        <v>2</v>
      </c>
      <c r="G4806">
        <v>0.1</v>
      </c>
      <c r="H4806">
        <v>19800</v>
      </c>
      <c r="I4806">
        <v>4028.04</v>
      </c>
      <c r="J4806" t="s">
        <v>39</v>
      </c>
      <c r="K4806" t="s">
        <v>40</v>
      </c>
      <c r="L4806">
        <v>9900</v>
      </c>
      <c r="M4806">
        <v>20.34363636363636</v>
      </c>
      <c r="N4806" t="s">
        <v>8</v>
      </c>
      <c r="O4806" t="s">
        <v>855</v>
      </c>
      <c r="P4806" t="s">
        <v>29</v>
      </c>
      <c r="Q4806" t="s">
        <v>74</v>
      </c>
      <c r="R4806" t="s">
        <v>493</v>
      </c>
      <c r="S4806" t="s">
        <v>494</v>
      </c>
      <c r="T4806" t="s">
        <v>856</v>
      </c>
      <c r="U4806" t="s">
        <v>100</v>
      </c>
      <c r="V4806">
        <v>2014.02</v>
      </c>
    </row>
    <row r="4807" spans="1:22" x14ac:dyDescent="0.3">
      <c r="A4807" t="s">
        <v>6289</v>
      </c>
      <c r="B4807" s="2">
        <v>46038</v>
      </c>
      <c r="C4807" t="s">
        <v>838</v>
      </c>
      <c r="D4807" t="s">
        <v>37</v>
      </c>
      <c r="E4807" t="s">
        <v>310</v>
      </c>
      <c r="F4807">
        <v>1</v>
      </c>
      <c r="G4807">
        <v>0.05</v>
      </c>
      <c r="H4807">
        <v>2090</v>
      </c>
      <c r="I4807">
        <v>681.11</v>
      </c>
      <c r="J4807" t="s">
        <v>65</v>
      </c>
      <c r="K4807" t="s">
        <v>40</v>
      </c>
      <c r="L4807">
        <v>2090</v>
      </c>
      <c r="M4807">
        <v>32.588995215311009</v>
      </c>
      <c r="N4807" t="s">
        <v>8</v>
      </c>
      <c r="O4807" t="s">
        <v>839</v>
      </c>
      <c r="P4807" t="s">
        <v>73</v>
      </c>
      <c r="Q4807" t="s">
        <v>30</v>
      </c>
      <c r="R4807" t="s">
        <v>31</v>
      </c>
      <c r="S4807" t="s">
        <v>32</v>
      </c>
      <c r="T4807" t="s">
        <v>840</v>
      </c>
      <c r="U4807" t="s">
        <v>100</v>
      </c>
      <c r="V4807">
        <v>681.11</v>
      </c>
    </row>
    <row r="4808" spans="1:22" x14ac:dyDescent="0.3">
      <c r="A4808" t="s">
        <v>6290</v>
      </c>
      <c r="B4808" s="2">
        <v>45987</v>
      </c>
      <c r="C4808" t="s">
        <v>1865</v>
      </c>
      <c r="D4808" t="s">
        <v>70</v>
      </c>
      <c r="E4808" t="s">
        <v>108</v>
      </c>
      <c r="F4808">
        <v>1</v>
      </c>
      <c r="G4808">
        <v>0</v>
      </c>
      <c r="H4808">
        <v>4500</v>
      </c>
      <c r="I4808">
        <v>1500</v>
      </c>
      <c r="J4808" t="s">
        <v>51</v>
      </c>
      <c r="K4808" t="s">
        <v>40</v>
      </c>
      <c r="L4808">
        <v>4500</v>
      </c>
      <c r="M4808">
        <v>33.333333333333329</v>
      </c>
      <c r="N4808" t="s">
        <v>8</v>
      </c>
      <c r="O4808" t="s">
        <v>1866</v>
      </c>
      <c r="P4808" t="s">
        <v>29</v>
      </c>
      <c r="Q4808" t="s">
        <v>42</v>
      </c>
      <c r="R4808" t="s">
        <v>214</v>
      </c>
      <c r="S4808" t="s">
        <v>111</v>
      </c>
      <c r="T4808" t="s">
        <v>1867</v>
      </c>
      <c r="U4808" t="s">
        <v>34</v>
      </c>
      <c r="V4808">
        <v>1500</v>
      </c>
    </row>
    <row r="4809" spans="1:22" x14ac:dyDescent="0.3">
      <c r="A4809" t="s">
        <v>6291</v>
      </c>
      <c r="B4809" s="2">
        <v>46195</v>
      </c>
      <c r="C4809" t="s">
        <v>2337</v>
      </c>
      <c r="D4809" t="s">
        <v>70</v>
      </c>
      <c r="E4809" t="s">
        <v>71</v>
      </c>
      <c r="F4809">
        <v>1</v>
      </c>
      <c r="G4809">
        <v>0.3</v>
      </c>
      <c r="H4809">
        <v>12600</v>
      </c>
      <c r="I4809">
        <v>-1029.7</v>
      </c>
      <c r="J4809" t="s">
        <v>51</v>
      </c>
      <c r="K4809" t="s">
        <v>27</v>
      </c>
      <c r="L4809">
        <v>12600</v>
      </c>
      <c r="M4809">
        <v>-8.1722222222222225</v>
      </c>
      <c r="N4809" t="s">
        <v>81</v>
      </c>
      <c r="O4809" t="s">
        <v>2338</v>
      </c>
      <c r="P4809" t="s">
        <v>29</v>
      </c>
      <c r="Q4809" t="s">
        <v>42</v>
      </c>
      <c r="R4809" t="s">
        <v>214</v>
      </c>
      <c r="S4809" t="s">
        <v>111</v>
      </c>
      <c r="T4809" t="s">
        <v>1389</v>
      </c>
      <c r="U4809" t="s">
        <v>34</v>
      </c>
      <c r="V4809">
        <v>-1029.7</v>
      </c>
    </row>
    <row r="4810" spans="1:22" x14ac:dyDescent="0.3">
      <c r="A4810" t="s">
        <v>6292</v>
      </c>
      <c r="B4810" s="2">
        <v>46040</v>
      </c>
      <c r="C4810" t="s">
        <v>1704</v>
      </c>
      <c r="D4810" t="s">
        <v>37</v>
      </c>
      <c r="E4810" t="s">
        <v>190</v>
      </c>
      <c r="F4810">
        <v>3</v>
      </c>
      <c r="G4810">
        <v>0.05</v>
      </c>
      <c r="H4810">
        <v>11970</v>
      </c>
      <c r="I4810">
        <v>3202.59</v>
      </c>
      <c r="J4810" t="s">
        <v>51</v>
      </c>
      <c r="K4810" t="s">
        <v>40</v>
      </c>
      <c r="L4810">
        <v>3990</v>
      </c>
      <c r="M4810">
        <v>26.755137844611529</v>
      </c>
      <c r="N4810" t="s">
        <v>8</v>
      </c>
      <c r="O4810" t="s">
        <v>636</v>
      </c>
      <c r="P4810" t="s">
        <v>29</v>
      </c>
      <c r="Q4810" t="s">
        <v>30</v>
      </c>
      <c r="R4810" t="s">
        <v>53</v>
      </c>
      <c r="S4810" t="s">
        <v>54</v>
      </c>
      <c r="T4810" t="s">
        <v>1705</v>
      </c>
      <c r="U4810" t="s">
        <v>34</v>
      </c>
      <c r="V4810">
        <v>1067.53</v>
      </c>
    </row>
    <row r="4811" spans="1:22" x14ac:dyDescent="0.3">
      <c r="A4811" t="s">
        <v>6293</v>
      </c>
      <c r="B4811" s="2">
        <v>46255</v>
      </c>
      <c r="C4811" t="s">
        <v>4906</v>
      </c>
      <c r="D4811" t="s">
        <v>37</v>
      </c>
      <c r="E4811" t="s">
        <v>190</v>
      </c>
      <c r="F4811">
        <v>1</v>
      </c>
      <c r="G4811">
        <v>0.1</v>
      </c>
      <c r="H4811">
        <v>3780</v>
      </c>
      <c r="I4811">
        <v>879.08</v>
      </c>
      <c r="J4811" t="s">
        <v>65</v>
      </c>
      <c r="K4811" t="s">
        <v>40</v>
      </c>
      <c r="L4811">
        <v>3780</v>
      </c>
      <c r="M4811">
        <v>23.25608465608466</v>
      </c>
      <c r="N4811" t="s">
        <v>8</v>
      </c>
      <c r="O4811" t="s">
        <v>1695</v>
      </c>
      <c r="P4811" t="s">
        <v>83</v>
      </c>
      <c r="Q4811" t="s">
        <v>74</v>
      </c>
      <c r="R4811" t="s">
        <v>493</v>
      </c>
      <c r="S4811" t="s">
        <v>494</v>
      </c>
      <c r="T4811" t="s">
        <v>4907</v>
      </c>
      <c r="U4811" t="s">
        <v>46</v>
      </c>
      <c r="V4811">
        <v>879.08</v>
      </c>
    </row>
    <row r="4812" spans="1:22" x14ac:dyDescent="0.3">
      <c r="A4812" t="s">
        <v>6294</v>
      </c>
      <c r="B4812" s="2">
        <v>45990</v>
      </c>
      <c r="C4812" t="s">
        <v>5468</v>
      </c>
      <c r="D4812" t="s">
        <v>49</v>
      </c>
      <c r="E4812" t="s">
        <v>119</v>
      </c>
      <c r="F4812">
        <v>2</v>
      </c>
      <c r="G4812">
        <v>0</v>
      </c>
      <c r="H4812">
        <v>18000</v>
      </c>
      <c r="I4812">
        <v>4600</v>
      </c>
      <c r="J4812" t="s">
        <v>51</v>
      </c>
      <c r="K4812" t="s">
        <v>40</v>
      </c>
      <c r="L4812">
        <v>9000</v>
      </c>
      <c r="M4812">
        <v>25.55555555555555</v>
      </c>
      <c r="N4812" t="s">
        <v>8</v>
      </c>
      <c r="O4812" t="s">
        <v>5469</v>
      </c>
      <c r="P4812" t="s">
        <v>29</v>
      </c>
      <c r="Q4812" t="s">
        <v>42</v>
      </c>
      <c r="R4812" t="s">
        <v>110</v>
      </c>
      <c r="S4812" t="s">
        <v>111</v>
      </c>
      <c r="T4812" t="s">
        <v>5470</v>
      </c>
      <c r="U4812" t="s">
        <v>34</v>
      </c>
      <c r="V4812">
        <v>2300</v>
      </c>
    </row>
    <row r="4813" spans="1:22" x14ac:dyDescent="0.3">
      <c r="A4813" t="s">
        <v>6295</v>
      </c>
      <c r="B4813" s="2">
        <v>46228</v>
      </c>
      <c r="C4813" t="s">
        <v>4485</v>
      </c>
      <c r="D4813" t="s">
        <v>70</v>
      </c>
      <c r="E4813" t="s">
        <v>165</v>
      </c>
      <c r="F4813">
        <v>1</v>
      </c>
      <c r="G4813">
        <v>0.05</v>
      </c>
      <c r="H4813">
        <v>2375</v>
      </c>
      <c r="I4813">
        <v>-941.2</v>
      </c>
      <c r="J4813" t="s">
        <v>26</v>
      </c>
      <c r="K4813" t="s">
        <v>80</v>
      </c>
      <c r="L4813">
        <v>2375</v>
      </c>
      <c r="M4813">
        <v>-39.629473684210517</v>
      </c>
      <c r="N4813" t="s">
        <v>81</v>
      </c>
      <c r="O4813" t="s">
        <v>4486</v>
      </c>
      <c r="P4813" t="s">
        <v>83</v>
      </c>
      <c r="Q4813" t="s">
        <v>131</v>
      </c>
      <c r="R4813" t="s">
        <v>132</v>
      </c>
      <c r="S4813" t="s">
        <v>133</v>
      </c>
      <c r="T4813" t="s">
        <v>1850</v>
      </c>
      <c r="U4813" t="s">
        <v>34</v>
      </c>
      <c r="V4813">
        <v>-941.2</v>
      </c>
    </row>
    <row r="4814" spans="1:22" x14ac:dyDescent="0.3">
      <c r="A4814" t="s">
        <v>6296</v>
      </c>
      <c r="B4814" s="2">
        <v>45876</v>
      </c>
      <c r="C4814" t="s">
        <v>1255</v>
      </c>
      <c r="D4814" t="s">
        <v>70</v>
      </c>
      <c r="E4814" t="s">
        <v>165</v>
      </c>
      <c r="F4814">
        <v>5</v>
      </c>
      <c r="G4814">
        <v>0.05</v>
      </c>
      <c r="H4814">
        <v>11875</v>
      </c>
      <c r="I4814">
        <v>3630.39</v>
      </c>
      <c r="J4814" t="s">
        <v>51</v>
      </c>
      <c r="K4814" t="s">
        <v>40</v>
      </c>
      <c r="L4814">
        <v>2375</v>
      </c>
      <c r="M4814">
        <v>30.571705263157899</v>
      </c>
      <c r="N4814" t="s">
        <v>8</v>
      </c>
      <c r="O4814" t="s">
        <v>1256</v>
      </c>
      <c r="P4814" t="s">
        <v>73</v>
      </c>
      <c r="Q4814" t="s">
        <v>131</v>
      </c>
      <c r="R4814" t="s">
        <v>289</v>
      </c>
      <c r="S4814" t="s">
        <v>290</v>
      </c>
      <c r="T4814" t="s">
        <v>1257</v>
      </c>
      <c r="U4814" t="s">
        <v>105</v>
      </c>
      <c r="V4814">
        <v>726.07799999999997</v>
      </c>
    </row>
    <row r="4815" spans="1:22" x14ac:dyDescent="0.3">
      <c r="A4815" t="s">
        <v>6297</v>
      </c>
      <c r="B4815" s="2">
        <v>46221</v>
      </c>
      <c r="C4815" t="s">
        <v>1229</v>
      </c>
      <c r="D4815" t="s">
        <v>37</v>
      </c>
      <c r="E4815" t="s">
        <v>190</v>
      </c>
      <c r="F4815">
        <v>1</v>
      </c>
      <c r="G4815">
        <v>0.05</v>
      </c>
      <c r="H4815">
        <v>3990</v>
      </c>
      <c r="I4815">
        <v>1022.48</v>
      </c>
      <c r="J4815" t="s">
        <v>51</v>
      </c>
      <c r="K4815" t="s">
        <v>40</v>
      </c>
      <c r="L4815">
        <v>3990</v>
      </c>
      <c r="M4815">
        <v>25.62606516290727</v>
      </c>
      <c r="N4815" t="s">
        <v>8</v>
      </c>
      <c r="O4815" t="s">
        <v>1102</v>
      </c>
      <c r="P4815" t="s">
        <v>83</v>
      </c>
      <c r="Q4815" t="s">
        <v>42</v>
      </c>
      <c r="R4815" t="s">
        <v>110</v>
      </c>
      <c r="S4815" t="s">
        <v>111</v>
      </c>
      <c r="T4815" t="s">
        <v>912</v>
      </c>
      <c r="U4815" t="s">
        <v>46</v>
      </c>
      <c r="V4815">
        <v>1022.48</v>
      </c>
    </row>
    <row r="4816" spans="1:22" x14ac:dyDescent="0.3">
      <c r="A4816" t="s">
        <v>6298</v>
      </c>
      <c r="B4816" s="2">
        <v>45897</v>
      </c>
      <c r="C4816" t="s">
        <v>321</v>
      </c>
      <c r="D4816" t="s">
        <v>70</v>
      </c>
      <c r="E4816" t="s">
        <v>71</v>
      </c>
      <c r="F4816">
        <v>2</v>
      </c>
      <c r="G4816">
        <v>0</v>
      </c>
      <c r="H4816">
        <v>36000</v>
      </c>
      <c r="I4816">
        <v>-9825.01</v>
      </c>
      <c r="J4816" t="s">
        <v>65</v>
      </c>
      <c r="K4816" t="s">
        <v>80</v>
      </c>
      <c r="L4816">
        <v>18000</v>
      </c>
      <c r="M4816">
        <v>-27.291694444444449</v>
      </c>
      <c r="N4816" t="s">
        <v>81</v>
      </c>
      <c r="O4816" t="s">
        <v>322</v>
      </c>
      <c r="P4816" t="s">
        <v>29</v>
      </c>
      <c r="Q4816" t="s">
        <v>30</v>
      </c>
      <c r="R4816" t="s">
        <v>31</v>
      </c>
      <c r="S4816" t="s">
        <v>32</v>
      </c>
      <c r="T4816" t="s">
        <v>323</v>
      </c>
      <c r="U4816" t="s">
        <v>34</v>
      </c>
      <c r="V4816">
        <v>-4912.5050000000001</v>
      </c>
    </row>
    <row r="4817" spans="1:22" x14ac:dyDescent="0.3">
      <c r="A4817" t="s">
        <v>6299</v>
      </c>
      <c r="B4817" s="2">
        <v>46105</v>
      </c>
      <c r="C4817" t="s">
        <v>1694</v>
      </c>
      <c r="D4817" t="s">
        <v>70</v>
      </c>
      <c r="E4817" t="s">
        <v>165</v>
      </c>
      <c r="F4817">
        <v>3</v>
      </c>
      <c r="G4817">
        <v>0.1</v>
      </c>
      <c r="H4817">
        <v>6750</v>
      </c>
      <c r="I4817">
        <v>1992.79</v>
      </c>
      <c r="J4817" t="s">
        <v>39</v>
      </c>
      <c r="K4817" t="s">
        <v>40</v>
      </c>
      <c r="L4817">
        <v>2250</v>
      </c>
      <c r="M4817">
        <v>29.522814814814812</v>
      </c>
      <c r="N4817" t="s">
        <v>8</v>
      </c>
      <c r="O4817" t="s">
        <v>1695</v>
      </c>
      <c r="P4817" t="s">
        <v>73</v>
      </c>
      <c r="Q4817" t="s">
        <v>30</v>
      </c>
      <c r="R4817" t="s">
        <v>60</v>
      </c>
      <c r="S4817" t="s">
        <v>61</v>
      </c>
      <c r="T4817" t="s">
        <v>1696</v>
      </c>
      <c r="U4817" t="s">
        <v>100</v>
      </c>
      <c r="V4817">
        <v>664.26333333333332</v>
      </c>
    </row>
    <row r="4818" spans="1:22" x14ac:dyDescent="0.3">
      <c r="A4818" t="s">
        <v>6300</v>
      </c>
      <c r="B4818" s="2">
        <v>45934</v>
      </c>
      <c r="C4818" t="s">
        <v>710</v>
      </c>
      <c r="D4818" t="s">
        <v>70</v>
      </c>
      <c r="E4818" t="s">
        <v>71</v>
      </c>
      <c r="F4818">
        <v>5</v>
      </c>
      <c r="G4818">
        <v>0.15</v>
      </c>
      <c r="H4818">
        <v>76500</v>
      </c>
      <c r="I4818">
        <v>9649.16</v>
      </c>
      <c r="J4818" t="s">
        <v>39</v>
      </c>
      <c r="K4818" t="s">
        <v>27</v>
      </c>
      <c r="L4818">
        <v>15300</v>
      </c>
      <c r="M4818">
        <v>12.613281045751631</v>
      </c>
      <c r="N4818" t="s">
        <v>8</v>
      </c>
      <c r="O4818" t="s">
        <v>711</v>
      </c>
      <c r="P4818" t="s">
        <v>29</v>
      </c>
      <c r="Q4818" t="s">
        <v>30</v>
      </c>
      <c r="R4818" t="s">
        <v>53</v>
      </c>
      <c r="S4818" t="s">
        <v>54</v>
      </c>
      <c r="T4818" t="s">
        <v>712</v>
      </c>
      <c r="U4818" t="s">
        <v>34</v>
      </c>
      <c r="V4818">
        <v>1929.8320000000001</v>
      </c>
    </row>
    <row r="4819" spans="1:22" x14ac:dyDescent="0.3">
      <c r="A4819" t="s">
        <v>6301</v>
      </c>
      <c r="B4819" s="2">
        <v>46117</v>
      </c>
      <c r="C4819" t="s">
        <v>1185</v>
      </c>
      <c r="D4819" t="s">
        <v>37</v>
      </c>
      <c r="E4819" t="s">
        <v>170</v>
      </c>
      <c r="F4819">
        <v>1</v>
      </c>
      <c r="G4819">
        <v>0</v>
      </c>
      <c r="H4819">
        <v>1400</v>
      </c>
      <c r="I4819">
        <v>500</v>
      </c>
      <c r="J4819" t="s">
        <v>26</v>
      </c>
      <c r="K4819" t="s">
        <v>40</v>
      </c>
      <c r="L4819">
        <v>1400</v>
      </c>
      <c r="M4819">
        <v>35.714285714285722</v>
      </c>
      <c r="N4819" t="s">
        <v>8</v>
      </c>
      <c r="O4819" t="s">
        <v>280</v>
      </c>
      <c r="P4819" t="s">
        <v>83</v>
      </c>
      <c r="Q4819" t="s">
        <v>131</v>
      </c>
      <c r="R4819" t="s">
        <v>200</v>
      </c>
      <c r="S4819" t="s">
        <v>201</v>
      </c>
      <c r="T4819" t="s">
        <v>319</v>
      </c>
      <c r="U4819" t="s">
        <v>46</v>
      </c>
      <c r="V4819">
        <v>500</v>
      </c>
    </row>
    <row r="4820" spans="1:22" x14ac:dyDescent="0.3">
      <c r="A4820" t="s">
        <v>6302</v>
      </c>
      <c r="B4820" s="2">
        <v>46143</v>
      </c>
      <c r="C4820" t="s">
        <v>1420</v>
      </c>
      <c r="D4820" t="s">
        <v>49</v>
      </c>
      <c r="E4820" t="s">
        <v>79</v>
      </c>
      <c r="F4820">
        <v>1</v>
      </c>
      <c r="G4820">
        <v>0.15</v>
      </c>
      <c r="H4820">
        <v>9350</v>
      </c>
      <c r="I4820">
        <v>-4708.67</v>
      </c>
      <c r="J4820" t="s">
        <v>65</v>
      </c>
      <c r="K4820" t="s">
        <v>80</v>
      </c>
      <c r="L4820">
        <v>9350</v>
      </c>
      <c r="M4820">
        <v>-50.360106951871657</v>
      </c>
      <c r="N4820" t="s">
        <v>81</v>
      </c>
      <c r="O4820" t="s">
        <v>369</v>
      </c>
      <c r="P4820" t="s">
        <v>73</v>
      </c>
      <c r="Q4820" t="s">
        <v>30</v>
      </c>
      <c r="R4820" t="s">
        <v>98</v>
      </c>
      <c r="S4820" t="s">
        <v>54</v>
      </c>
      <c r="T4820" t="s">
        <v>1421</v>
      </c>
      <c r="U4820" t="s">
        <v>46</v>
      </c>
      <c r="V4820">
        <v>-4708.67</v>
      </c>
    </row>
    <row r="4821" spans="1:22" x14ac:dyDescent="0.3">
      <c r="A4821" t="s">
        <v>6303</v>
      </c>
      <c r="B4821" s="2">
        <v>46232</v>
      </c>
      <c r="C4821" t="s">
        <v>1120</v>
      </c>
      <c r="D4821" t="s">
        <v>49</v>
      </c>
      <c r="E4821" t="s">
        <v>119</v>
      </c>
      <c r="F4821">
        <v>2</v>
      </c>
      <c r="G4821">
        <v>0</v>
      </c>
      <c r="H4821">
        <v>18000</v>
      </c>
      <c r="I4821">
        <v>4600</v>
      </c>
      <c r="J4821" t="s">
        <v>51</v>
      </c>
      <c r="K4821" t="s">
        <v>40</v>
      </c>
      <c r="L4821">
        <v>9000</v>
      </c>
      <c r="M4821">
        <v>25.55555555555555</v>
      </c>
      <c r="N4821" t="s">
        <v>8</v>
      </c>
      <c r="O4821" t="s">
        <v>1121</v>
      </c>
      <c r="P4821" t="s">
        <v>73</v>
      </c>
      <c r="Q4821" t="s">
        <v>74</v>
      </c>
      <c r="R4821" t="s">
        <v>493</v>
      </c>
      <c r="S4821" t="s">
        <v>494</v>
      </c>
      <c r="T4821" t="s">
        <v>1122</v>
      </c>
      <c r="U4821" t="s">
        <v>34</v>
      </c>
      <c r="V4821">
        <v>2300</v>
      </c>
    </row>
    <row r="4822" spans="1:22" x14ac:dyDescent="0.3">
      <c r="A4822" t="s">
        <v>6304</v>
      </c>
      <c r="B4822" s="2">
        <v>46063</v>
      </c>
      <c r="C4822" t="s">
        <v>287</v>
      </c>
      <c r="D4822" t="s">
        <v>70</v>
      </c>
      <c r="E4822" t="s">
        <v>71</v>
      </c>
      <c r="F4822">
        <v>2</v>
      </c>
      <c r="G4822">
        <v>0.05</v>
      </c>
      <c r="H4822">
        <v>34200</v>
      </c>
      <c r="I4822">
        <v>5579.43</v>
      </c>
      <c r="J4822" t="s">
        <v>39</v>
      </c>
      <c r="K4822" t="s">
        <v>40</v>
      </c>
      <c r="L4822">
        <v>17100</v>
      </c>
      <c r="M4822">
        <v>16.31412280701754</v>
      </c>
      <c r="N4822" t="s">
        <v>8</v>
      </c>
      <c r="O4822" t="s">
        <v>288</v>
      </c>
      <c r="P4822" t="s">
        <v>83</v>
      </c>
      <c r="Q4822" t="s">
        <v>131</v>
      </c>
      <c r="R4822" t="s">
        <v>289</v>
      </c>
      <c r="S4822" t="s">
        <v>290</v>
      </c>
      <c r="T4822" t="s">
        <v>291</v>
      </c>
      <c r="U4822" t="s">
        <v>105</v>
      </c>
      <c r="V4822">
        <v>2789.7150000000001</v>
      </c>
    </row>
    <row r="4823" spans="1:22" x14ac:dyDescent="0.3">
      <c r="A4823" t="s">
        <v>6305</v>
      </c>
      <c r="B4823" s="2">
        <v>46023</v>
      </c>
      <c r="C4823" t="s">
        <v>144</v>
      </c>
      <c r="D4823" t="s">
        <v>70</v>
      </c>
      <c r="E4823" t="s">
        <v>108</v>
      </c>
      <c r="F4823">
        <v>5</v>
      </c>
      <c r="G4823">
        <v>0</v>
      </c>
      <c r="H4823">
        <v>22500</v>
      </c>
      <c r="I4823">
        <v>7500</v>
      </c>
      <c r="J4823" t="s">
        <v>39</v>
      </c>
      <c r="K4823" t="s">
        <v>40</v>
      </c>
      <c r="L4823">
        <v>4500</v>
      </c>
      <c r="M4823">
        <v>33.333333333333329</v>
      </c>
      <c r="N4823" t="s">
        <v>8</v>
      </c>
      <c r="O4823" t="s">
        <v>145</v>
      </c>
      <c r="P4823" t="s">
        <v>83</v>
      </c>
      <c r="Q4823" t="s">
        <v>30</v>
      </c>
      <c r="R4823" t="s">
        <v>60</v>
      </c>
      <c r="S4823" t="s">
        <v>61</v>
      </c>
      <c r="T4823" t="s">
        <v>146</v>
      </c>
      <c r="U4823" t="s">
        <v>105</v>
      </c>
      <c r="V4823">
        <v>1500</v>
      </c>
    </row>
    <row r="4824" spans="1:22" x14ac:dyDescent="0.3">
      <c r="A4824" t="s">
        <v>6306</v>
      </c>
      <c r="B4824" s="2">
        <v>45954</v>
      </c>
      <c r="C4824" t="s">
        <v>1505</v>
      </c>
      <c r="D4824" t="s">
        <v>70</v>
      </c>
      <c r="E4824" t="s">
        <v>129</v>
      </c>
      <c r="F4824">
        <v>15</v>
      </c>
      <c r="G4824">
        <v>0.1</v>
      </c>
      <c r="H4824">
        <v>742500</v>
      </c>
      <c r="I4824">
        <v>-466318.83</v>
      </c>
      <c r="J4824" t="s">
        <v>65</v>
      </c>
      <c r="K4824" t="s">
        <v>434</v>
      </c>
      <c r="L4824">
        <v>49500</v>
      </c>
      <c r="M4824">
        <v>-62.803882828282831</v>
      </c>
      <c r="N4824" t="s">
        <v>81</v>
      </c>
      <c r="O4824" t="s">
        <v>382</v>
      </c>
      <c r="P4824" t="s">
        <v>73</v>
      </c>
      <c r="Q4824" t="s">
        <v>131</v>
      </c>
      <c r="R4824" t="s">
        <v>200</v>
      </c>
      <c r="S4824" t="s">
        <v>201</v>
      </c>
      <c r="T4824" t="s">
        <v>1506</v>
      </c>
      <c r="U4824" t="s">
        <v>105</v>
      </c>
      <c r="V4824">
        <v>-31087.921999999999</v>
      </c>
    </row>
    <row r="4825" spans="1:22" x14ac:dyDescent="0.3">
      <c r="A4825" t="s">
        <v>6307</v>
      </c>
      <c r="B4825" s="2">
        <v>46167</v>
      </c>
      <c r="C4825" t="s">
        <v>921</v>
      </c>
      <c r="D4825" t="s">
        <v>70</v>
      </c>
      <c r="E4825" t="s">
        <v>129</v>
      </c>
      <c r="F4825">
        <v>1</v>
      </c>
      <c r="G4825">
        <v>0.1</v>
      </c>
      <c r="H4825">
        <v>49500</v>
      </c>
      <c r="I4825">
        <v>5445.61</v>
      </c>
      <c r="J4825" t="s">
        <v>39</v>
      </c>
      <c r="K4825" t="s">
        <v>40</v>
      </c>
      <c r="L4825">
        <v>49500</v>
      </c>
      <c r="M4825">
        <v>11.001232323232321</v>
      </c>
      <c r="N4825" t="s">
        <v>8</v>
      </c>
      <c r="O4825" t="s">
        <v>922</v>
      </c>
      <c r="P4825" t="s">
        <v>29</v>
      </c>
      <c r="Q4825" t="s">
        <v>30</v>
      </c>
      <c r="R4825" t="s">
        <v>53</v>
      </c>
      <c r="S4825" t="s">
        <v>54</v>
      </c>
      <c r="T4825" t="s">
        <v>923</v>
      </c>
      <c r="U4825" t="s">
        <v>105</v>
      </c>
      <c r="V4825">
        <v>5445.61</v>
      </c>
    </row>
    <row r="4826" spans="1:22" x14ac:dyDescent="0.3">
      <c r="A4826" t="s">
        <v>6308</v>
      </c>
      <c r="B4826" s="2">
        <v>46111</v>
      </c>
      <c r="C4826" t="s">
        <v>1214</v>
      </c>
      <c r="D4826" t="s">
        <v>37</v>
      </c>
      <c r="E4826" t="s">
        <v>310</v>
      </c>
      <c r="F4826">
        <v>2</v>
      </c>
      <c r="G4826">
        <v>0.2</v>
      </c>
      <c r="H4826">
        <v>3520</v>
      </c>
      <c r="I4826">
        <v>1035.78</v>
      </c>
      <c r="J4826" t="s">
        <v>51</v>
      </c>
      <c r="K4826" t="s">
        <v>40</v>
      </c>
      <c r="L4826">
        <v>1760</v>
      </c>
      <c r="M4826">
        <v>29.425568181818178</v>
      </c>
      <c r="N4826" t="s">
        <v>8</v>
      </c>
      <c r="O4826" t="s">
        <v>1215</v>
      </c>
      <c r="P4826" t="s">
        <v>29</v>
      </c>
      <c r="Q4826" t="s">
        <v>74</v>
      </c>
      <c r="R4826" t="s">
        <v>493</v>
      </c>
      <c r="S4826" t="s">
        <v>494</v>
      </c>
      <c r="T4826" t="s">
        <v>1216</v>
      </c>
      <c r="U4826" t="s">
        <v>34</v>
      </c>
      <c r="V4826">
        <v>517.89</v>
      </c>
    </row>
    <row r="4827" spans="1:22" x14ac:dyDescent="0.3">
      <c r="A4827" t="s">
        <v>6309</v>
      </c>
      <c r="B4827" s="2">
        <v>45871</v>
      </c>
      <c r="C4827" t="s">
        <v>2813</v>
      </c>
      <c r="D4827" t="s">
        <v>37</v>
      </c>
      <c r="E4827" t="s">
        <v>190</v>
      </c>
      <c r="F4827">
        <v>10</v>
      </c>
      <c r="G4827">
        <v>0.1</v>
      </c>
      <c r="H4827">
        <v>37800</v>
      </c>
      <c r="I4827">
        <v>9227.82</v>
      </c>
      <c r="J4827" t="s">
        <v>39</v>
      </c>
      <c r="K4827" t="s">
        <v>40</v>
      </c>
      <c r="L4827">
        <v>3780</v>
      </c>
      <c r="M4827">
        <v>24.412222222222219</v>
      </c>
      <c r="N4827" t="s">
        <v>8</v>
      </c>
      <c r="O4827" t="s">
        <v>626</v>
      </c>
      <c r="P4827" t="s">
        <v>29</v>
      </c>
      <c r="Q4827" t="s">
        <v>131</v>
      </c>
      <c r="R4827" t="s">
        <v>200</v>
      </c>
      <c r="S4827" t="s">
        <v>201</v>
      </c>
      <c r="T4827" t="s">
        <v>1002</v>
      </c>
      <c r="U4827" t="s">
        <v>46</v>
      </c>
      <c r="V4827">
        <v>922.78199999999993</v>
      </c>
    </row>
    <row r="4828" spans="1:22" x14ac:dyDescent="0.3">
      <c r="A4828" t="s">
        <v>6310</v>
      </c>
      <c r="B4828" s="2">
        <v>46005</v>
      </c>
      <c r="C4828" t="s">
        <v>606</v>
      </c>
      <c r="D4828" t="s">
        <v>70</v>
      </c>
      <c r="E4828" t="s">
        <v>71</v>
      </c>
      <c r="F4828">
        <v>3</v>
      </c>
      <c r="G4828">
        <v>0.1</v>
      </c>
      <c r="H4828">
        <v>48600</v>
      </c>
      <c r="I4828">
        <v>7884.41</v>
      </c>
      <c r="J4828" t="s">
        <v>51</v>
      </c>
      <c r="K4828" t="s">
        <v>40</v>
      </c>
      <c r="L4828">
        <v>16200</v>
      </c>
      <c r="M4828">
        <v>16.223065843621399</v>
      </c>
      <c r="N4828" t="s">
        <v>8</v>
      </c>
      <c r="O4828" t="s">
        <v>607</v>
      </c>
      <c r="P4828" t="s">
        <v>83</v>
      </c>
      <c r="Q4828" t="s">
        <v>74</v>
      </c>
      <c r="R4828" t="s">
        <v>115</v>
      </c>
      <c r="S4828" t="s">
        <v>115</v>
      </c>
      <c r="T4828" t="s">
        <v>608</v>
      </c>
      <c r="U4828" t="s">
        <v>100</v>
      </c>
      <c r="V4828">
        <v>2628.1366666666672</v>
      </c>
    </row>
    <row r="4829" spans="1:22" x14ac:dyDescent="0.3">
      <c r="A4829" t="s">
        <v>6311</v>
      </c>
      <c r="B4829" s="2">
        <v>46199</v>
      </c>
      <c r="C4829" t="s">
        <v>1637</v>
      </c>
      <c r="D4829" t="s">
        <v>70</v>
      </c>
      <c r="E4829" t="s">
        <v>71</v>
      </c>
      <c r="F4829">
        <v>6</v>
      </c>
      <c r="G4829">
        <v>0.1</v>
      </c>
      <c r="H4829">
        <v>97200</v>
      </c>
      <c r="I4829">
        <v>13402.56</v>
      </c>
      <c r="J4829" t="s">
        <v>51</v>
      </c>
      <c r="K4829" t="s">
        <v>40</v>
      </c>
      <c r="L4829">
        <v>16200</v>
      </c>
      <c r="M4829">
        <v>13.788641975308639</v>
      </c>
      <c r="N4829" t="s">
        <v>8</v>
      </c>
      <c r="O4829" t="s">
        <v>697</v>
      </c>
      <c r="P4829" t="s">
        <v>29</v>
      </c>
      <c r="Q4829" t="s">
        <v>30</v>
      </c>
      <c r="R4829" t="s">
        <v>31</v>
      </c>
      <c r="S4829" t="s">
        <v>32</v>
      </c>
      <c r="T4829" t="s">
        <v>1638</v>
      </c>
      <c r="U4829" t="s">
        <v>46</v>
      </c>
      <c r="V4829">
        <v>2233.7600000000002</v>
      </c>
    </row>
    <row r="4830" spans="1:22" x14ac:dyDescent="0.3">
      <c r="A4830" t="s">
        <v>6312</v>
      </c>
      <c r="B4830" s="2">
        <v>45847</v>
      </c>
      <c r="C4830" t="s">
        <v>182</v>
      </c>
      <c r="D4830" t="s">
        <v>70</v>
      </c>
      <c r="E4830" t="s">
        <v>165</v>
      </c>
      <c r="F4830">
        <v>2</v>
      </c>
      <c r="G4830">
        <v>0.05</v>
      </c>
      <c r="H4830">
        <v>4750</v>
      </c>
      <c r="I4830">
        <v>1481.54</v>
      </c>
      <c r="J4830" t="s">
        <v>51</v>
      </c>
      <c r="K4830" t="s">
        <v>40</v>
      </c>
      <c r="L4830">
        <v>2375</v>
      </c>
      <c r="M4830">
        <v>31.190315789473679</v>
      </c>
      <c r="N4830" t="s">
        <v>8</v>
      </c>
      <c r="O4830" t="s">
        <v>183</v>
      </c>
      <c r="P4830" t="s">
        <v>73</v>
      </c>
      <c r="Q4830" t="s">
        <v>30</v>
      </c>
      <c r="R4830" t="s">
        <v>53</v>
      </c>
      <c r="S4830" t="s">
        <v>54</v>
      </c>
      <c r="T4830" t="s">
        <v>184</v>
      </c>
      <c r="U4830" t="s">
        <v>34</v>
      </c>
      <c r="V4830">
        <v>740.77</v>
      </c>
    </row>
    <row r="4831" spans="1:22" x14ac:dyDescent="0.3">
      <c r="A4831" t="s">
        <v>6313</v>
      </c>
      <c r="B4831" s="2">
        <v>46117</v>
      </c>
      <c r="C4831" t="s">
        <v>3111</v>
      </c>
      <c r="D4831" t="s">
        <v>70</v>
      </c>
      <c r="E4831" t="s">
        <v>108</v>
      </c>
      <c r="F4831">
        <v>2</v>
      </c>
      <c r="G4831">
        <v>0.2</v>
      </c>
      <c r="H4831">
        <v>7200</v>
      </c>
      <c r="I4831">
        <v>1937.57</v>
      </c>
      <c r="J4831" t="s">
        <v>26</v>
      </c>
      <c r="K4831" t="s">
        <v>40</v>
      </c>
      <c r="L4831">
        <v>3600</v>
      </c>
      <c r="M4831">
        <v>26.910694444444449</v>
      </c>
      <c r="N4831" t="s">
        <v>8</v>
      </c>
      <c r="O4831" t="s">
        <v>470</v>
      </c>
      <c r="P4831" t="s">
        <v>29</v>
      </c>
      <c r="Q4831" t="s">
        <v>74</v>
      </c>
      <c r="R4831" t="s">
        <v>75</v>
      </c>
      <c r="S4831" t="s">
        <v>75</v>
      </c>
      <c r="T4831" t="s">
        <v>3112</v>
      </c>
      <c r="U4831" t="s">
        <v>34</v>
      </c>
      <c r="V4831">
        <v>968.78499999999997</v>
      </c>
    </row>
    <row r="4832" spans="1:22" x14ac:dyDescent="0.3">
      <c r="A4832" t="s">
        <v>6314</v>
      </c>
      <c r="B4832" s="2">
        <v>46092</v>
      </c>
      <c r="C4832" t="s">
        <v>438</v>
      </c>
      <c r="D4832" t="s">
        <v>49</v>
      </c>
      <c r="E4832" t="s">
        <v>58</v>
      </c>
      <c r="F4832">
        <v>1</v>
      </c>
      <c r="G4832">
        <v>0.05</v>
      </c>
      <c r="H4832">
        <v>14250</v>
      </c>
      <c r="I4832">
        <v>2936.43</v>
      </c>
      <c r="J4832" t="s">
        <v>39</v>
      </c>
      <c r="K4832" t="s">
        <v>40</v>
      </c>
      <c r="L4832">
        <v>14250</v>
      </c>
      <c r="M4832">
        <v>20.60652631578947</v>
      </c>
      <c r="N4832" t="s">
        <v>8</v>
      </c>
      <c r="O4832" t="s">
        <v>439</v>
      </c>
      <c r="P4832" t="s">
        <v>83</v>
      </c>
      <c r="Q4832" t="s">
        <v>30</v>
      </c>
      <c r="R4832" t="s">
        <v>98</v>
      </c>
      <c r="S4832" t="s">
        <v>54</v>
      </c>
      <c r="T4832" t="s">
        <v>440</v>
      </c>
      <c r="U4832" t="s">
        <v>34</v>
      </c>
      <c r="V4832">
        <v>2936.43</v>
      </c>
    </row>
    <row r="4833" spans="1:22" x14ac:dyDescent="0.3">
      <c r="A4833" t="s">
        <v>6315</v>
      </c>
      <c r="B4833" s="2">
        <v>45950</v>
      </c>
      <c r="C4833" t="s">
        <v>225</v>
      </c>
      <c r="D4833" t="s">
        <v>37</v>
      </c>
      <c r="E4833" t="s">
        <v>170</v>
      </c>
      <c r="F4833">
        <v>6</v>
      </c>
      <c r="G4833">
        <v>0</v>
      </c>
      <c r="H4833">
        <v>8400</v>
      </c>
      <c r="I4833">
        <v>3000</v>
      </c>
      <c r="J4833" t="s">
        <v>26</v>
      </c>
      <c r="K4833" t="s">
        <v>27</v>
      </c>
      <c r="L4833">
        <v>1400</v>
      </c>
      <c r="M4833">
        <v>35.714285714285722</v>
      </c>
      <c r="N4833" t="s">
        <v>8</v>
      </c>
      <c r="O4833" t="s">
        <v>226</v>
      </c>
      <c r="P4833" t="s">
        <v>29</v>
      </c>
      <c r="Q4833" t="s">
        <v>30</v>
      </c>
      <c r="R4833" t="s">
        <v>31</v>
      </c>
      <c r="S4833" t="s">
        <v>32</v>
      </c>
      <c r="T4833" t="s">
        <v>227</v>
      </c>
      <c r="U4833" t="s">
        <v>100</v>
      </c>
      <c r="V4833">
        <v>500</v>
      </c>
    </row>
    <row r="4834" spans="1:22" x14ac:dyDescent="0.3">
      <c r="A4834" t="s">
        <v>6316</v>
      </c>
      <c r="B4834" s="2">
        <v>46156</v>
      </c>
      <c r="C4834" t="s">
        <v>1360</v>
      </c>
      <c r="D4834" t="s">
        <v>49</v>
      </c>
      <c r="E4834" t="s">
        <v>50</v>
      </c>
      <c r="F4834">
        <v>3</v>
      </c>
      <c r="G4834">
        <v>0.1</v>
      </c>
      <c r="H4834">
        <v>35100</v>
      </c>
      <c r="I4834">
        <v>7007.62</v>
      </c>
      <c r="J4834" t="s">
        <v>39</v>
      </c>
      <c r="K4834" t="s">
        <v>27</v>
      </c>
      <c r="L4834">
        <v>11700</v>
      </c>
      <c r="M4834">
        <v>19.964729344729349</v>
      </c>
      <c r="N4834" t="s">
        <v>8</v>
      </c>
      <c r="O4834" t="s">
        <v>553</v>
      </c>
      <c r="P4834" t="s">
        <v>83</v>
      </c>
      <c r="Q4834" t="s">
        <v>30</v>
      </c>
      <c r="R4834" t="s">
        <v>31</v>
      </c>
      <c r="S4834" t="s">
        <v>32</v>
      </c>
      <c r="T4834" t="s">
        <v>1361</v>
      </c>
      <c r="U4834" t="s">
        <v>34</v>
      </c>
      <c r="V4834">
        <v>2335.873333333333</v>
      </c>
    </row>
    <row r="4835" spans="1:22" x14ac:dyDescent="0.3">
      <c r="A4835" t="s">
        <v>6317</v>
      </c>
      <c r="B4835" s="2">
        <v>46198</v>
      </c>
      <c r="C4835" t="s">
        <v>2241</v>
      </c>
      <c r="D4835" t="s">
        <v>24</v>
      </c>
      <c r="E4835" t="s">
        <v>87</v>
      </c>
      <c r="F4835">
        <v>3</v>
      </c>
      <c r="G4835">
        <v>0.1</v>
      </c>
      <c r="H4835">
        <v>945</v>
      </c>
      <c r="I4835">
        <v>-361.97</v>
      </c>
      <c r="J4835" t="s">
        <v>26</v>
      </c>
      <c r="K4835" t="s">
        <v>434</v>
      </c>
      <c r="L4835">
        <v>315</v>
      </c>
      <c r="M4835">
        <v>-38.303703703703697</v>
      </c>
      <c r="N4835" t="s">
        <v>81</v>
      </c>
      <c r="O4835" t="s">
        <v>2242</v>
      </c>
      <c r="P4835" t="s">
        <v>73</v>
      </c>
      <c r="Q4835" t="s">
        <v>74</v>
      </c>
      <c r="R4835" t="s">
        <v>493</v>
      </c>
      <c r="S4835" t="s">
        <v>494</v>
      </c>
      <c r="T4835" t="s">
        <v>2243</v>
      </c>
      <c r="U4835" t="s">
        <v>100</v>
      </c>
      <c r="V4835">
        <v>-120.65666666666669</v>
      </c>
    </row>
    <row r="4836" spans="1:22" x14ac:dyDescent="0.3">
      <c r="A4836" t="s">
        <v>6318</v>
      </c>
      <c r="B4836" s="2">
        <v>46063</v>
      </c>
      <c r="C4836" t="s">
        <v>933</v>
      </c>
      <c r="D4836" t="s">
        <v>49</v>
      </c>
      <c r="E4836" t="s">
        <v>79</v>
      </c>
      <c r="F4836">
        <v>1</v>
      </c>
      <c r="G4836">
        <v>0.1</v>
      </c>
      <c r="H4836">
        <v>9900</v>
      </c>
      <c r="I4836">
        <v>1821.74</v>
      </c>
      <c r="J4836" t="s">
        <v>51</v>
      </c>
      <c r="K4836" t="s">
        <v>27</v>
      </c>
      <c r="L4836">
        <v>9900</v>
      </c>
      <c r="M4836">
        <v>18.40141414141414</v>
      </c>
      <c r="N4836" t="s">
        <v>8</v>
      </c>
      <c r="O4836" t="s">
        <v>233</v>
      </c>
      <c r="P4836" t="s">
        <v>29</v>
      </c>
      <c r="Q4836" t="s">
        <v>30</v>
      </c>
      <c r="R4836" t="s">
        <v>31</v>
      </c>
      <c r="S4836" t="s">
        <v>32</v>
      </c>
      <c r="T4836" t="s">
        <v>934</v>
      </c>
      <c r="U4836" t="s">
        <v>34</v>
      </c>
      <c r="V4836">
        <v>1821.74</v>
      </c>
    </row>
    <row r="4837" spans="1:22" x14ac:dyDescent="0.3">
      <c r="A4837" t="s">
        <v>6319</v>
      </c>
      <c r="B4837" s="2">
        <v>45848</v>
      </c>
      <c r="C4837" t="s">
        <v>1094</v>
      </c>
      <c r="D4837" t="s">
        <v>24</v>
      </c>
      <c r="E4837" t="s">
        <v>92</v>
      </c>
      <c r="F4837">
        <v>1</v>
      </c>
      <c r="G4837">
        <v>0.05</v>
      </c>
      <c r="H4837">
        <v>855</v>
      </c>
      <c r="I4837">
        <v>246.66</v>
      </c>
      <c r="J4837" t="s">
        <v>65</v>
      </c>
      <c r="K4837" t="s">
        <v>27</v>
      </c>
      <c r="L4837">
        <v>855</v>
      </c>
      <c r="M4837">
        <v>28.84912280701754</v>
      </c>
      <c r="N4837" t="s">
        <v>8</v>
      </c>
      <c r="O4837" t="s">
        <v>183</v>
      </c>
      <c r="P4837" t="s">
        <v>73</v>
      </c>
      <c r="Q4837" t="s">
        <v>30</v>
      </c>
      <c r="R4837" t="s">
        <v>31</v>
      </c>
      <c r="S4837" t="s">
        <v>32</v>
      </c>
      <c r="T4837" t="s">
        <v>1095</v>
      </c>
      <c r="U4837" t="s">
        <v>105</v>
      </c>
      <c r="V4837">
        <v>246.66</v>
      </c>
    </row>
    <row r="4838" spans="1:22" x14ac:dyDescent="0.3">
      <c r="A4838" t="s">
        <v>6320</v>
      </c>
      <c r="B4838" s="2">
        <v>46258</v>
      </c>
      <c r="C4838" t="s">
        <v>3532</v>
      </c>
      <c r="D4838" t="s">
        <v>24</v>
      </c>
      <c r="E4838" t="s">
        <v>92</v>
      </c>
      <c r="F4838">
        <v>4</v>
      </c>
      <c r="G4838">
        <v>0.15</v>
      </c>
      <c r="H4838">
        <v>3060</v>
      </c>
      <c r="I4838">
        <v>710.38</v>
      </c>
      <c r="J4838" t="s">
        <v>26</v>
      </c>
      <c r="K4838" t="s">
        <v>40</v>
      </c>
      <c r="L4838">
        <v>765</v>
      </c>
      <c r="M4838">
        <v>23.21503267973856</v>
      </c>
      <c r="N4838" t="s">
        <v>8</v>
      </c>
      <c r="O4838" t="s">
        <v>3533</v>
      </c>
      <c r="P4838" t="s">
        <v>29</v>
      </c>
      <c r="Q4838" t="s">
        <v>131</v>
      </c>
      <c r="R4838" t="s">
        <v>132</v>
      </c>
      <c r="S4838" t="s">
        <v>133</v>
      </c>
      <c r="T4838" t="s">
        <v>3534</v>
      </c>
      <c r="U4838" t="s">
        <v>34</v>
      </c>
      <c r="V4838">
        <v>177.595</v>
      </c>
    </row>
    <row r="4839" spans="1:22" x14ac:dyDescent="0.3">
      <c r="A4839" t="s">
        <v>6321</v>
      </c>
      <c r="B4839" s="2">
        <v>46068</v>
      </c>
      <c r="C4839" t="s">
        <v>562</v>
      </c>
      <c r="D4839" t="s">
        <v>49</v>
      </c>
      <c r="E4839" t="s">
        <v>50</v>
      </c>
      <c r="F4839">
        <v>2</v>
      </c>
      <c r="G4839">
        <v>0.15</v>
      </c>
      <c r="H4839">
        <v>22100</v>
      </c>
      <c r="I4839">
        <v>4642.0200000000004</v>
      </c>
      <c r="J4839" t="s">
        <v>26</v>
      </c>
      <c r="K4839" t="s">
        <v>40</v>
      </c>
      <c r="L4839">
        <v>11050</v>
      </c>
      <c r="M4839">
        <v>21.004615384615381</v>
      </c>
      <c r="N4839" t="s">
        <v>8</v>
      </c>
      <c r="O4839" t="s">
        <v>563</v>
      </c>
      <c r="P4839" t="s">
        <v>29</v>
      </c>
      <c r="Q4839" t="s">
        <v>30</v>
      </c>
      <c r="R4839" t="s">
        <v>60</v>
      </c>
      <c r="S4839" t="s">
        <v>61</v>
      </c>
      <c r="T4839" t="s">
        <v>564</v>
      </c>
      <c r="U4839" t="s">
        <v>100</v>
      </c>
      <c r="V4839">
        <v>2321.0100000000002</v>
      </c>
    </row>
    <row r="4840" spans="1:22" x14ac:dyDescent="0.3">
      <c r="A4840" t="s">
        <v>6322</v>
      </c>
      <c r="B4840" s="2">
        <v>46199</v>
      </c>
      <c r="C4840" t="s">
        <v>1363</v>
      </c>
      <c r="D4840" t="s">
        <v>37</v>
      </c>
      <c r="E4840" t="s">
        <v>38</v>
      </c>
      <c r="F4840">
        <v>3</v>
      </c>
      <c r="G4840">
        <v>0.3</v>
      </c>
      <c r="H4840">
        <v>3780</v>
      </c>
      <c r="I4840">
        <v>-2033.81</v>
      </c>
      <c r="J4840" t="s">
        <v>39</v>
      </c>
      <c r="K4840" t="s">
        <v>434</v>
      </c>
      <c r="L4840">
        <v>1260</v>
      </c>
      <c r="M4840">
        <v>-53.80449735449735</v>
      </c>
      <c r="N4840" t="s">
        <v>81</v>
      </c>
      <c r="O4840" t="s">
        <v>1364</v>
      </c>
      <c r="P4840" t="s">
        <v>73</v>
      </c>
      <c r="Q4840" t="s">
        <v>30</v>
      </c>
      <c r="R4840" t="s">
        <v>98</v>
      </c>
      <c r="S4840" t="s">
        <v>54</v>
      </c>
      <c r="T4840" t="s">
        <v>1365</v>
      </c>
      <c r="U4840" t="s">
        <v>105</v>
      </c>
      <c r="V4840">
        <v>-677.93666666666661</v>
      </c>
    </row>
    <row r="4841" spans="1:22" x14ac:dyDescent="0.3">
      <c r="A4841" t="s">
        <v>6323</v>
      </c>
      <c r="B4841" s="2">
        <v>45899</v>
      </c>
      <c r="C4841" t="s">
        <v>878</v>
      </c>
      <c r="D4841" t="s">
        <v>49</v>
      </c>
      <c r="E4841" t="s">
        <v>50</v>
      </c>
      <c r="F4841">
        <v>1</v>
      </c>
      <c r="G4841">
        <v>0.05</v>
      </c>
      <c r="H4841">
        <v>12350</v>
      </c>
      <c r="I4841">
        <v>2817.01</v>
      </c>
      <c r="J4841" t="s">
        <v>39</v>
      </c>
      <c r="K4841" t="s">
        <v>40</v>
      </c>
      <c r="L4841">
        <v>12350</v>
      </c>
      <c r="M4841">
        <v>22.809797570850201</v>
      </c>
      <c r="N4841" t="s">
        <v>8</v>
      </c>
      <c r="O4841" t="s">
        <v>879</v>
      </c>
      <c r="P4841" t="s">
        <v>83</v>
      </c>
      <c r="Q4841" t="s">
        <v>30</v>
      </c>
      <c r="R4841" t="s">
        <v>98</v>
      </c>
      <c r="S4841" t="s">
        <v>54</v>
      </c>
      <c r="T4841" t="s">
        <v>880</v>
      </c>
      <c r="U4841" t="s">
        <v>46</v>
      </c>
      <c r="V4841">
        <v>2817.01</v>
      </c>
    </row>
    <row r="4842" spans="1:22" x14ac:dyDescent="0.3">
      <c r="A4842" t="s">
        <v>6324</v>
      </c>
      <c r="B4842" s="2">
        <v>46165</v>
      </c>
      <c r="C4842" t="s">
        <v>1655</v>
      </c>
      <c r="D4842" t="s">
        <v>37</v>
      </c>
      <c r="E4842" t="s">
        <v>190</v>
      </c>
      <c r="F4842">
        <v>1</v>
      </c>
      <c r="G4842">
        <v>0.15</v>
      </c>
      <c r="H4842">
        <v>3570</v>
      </c>
      <c r="I4842">
        <v>691.03</v>
      </c>
      <c r="J4842" t="s">
        <v>65</v>
      </c>
      <c r="K4842" t="s">
        <v>27</v>
      </c>
      <c r="L4842">
        <v>3570</v>
      </c>
      <c r="M4842">
        <v>19.356582633053218</v>
      </c>
      <c r="N4842" t="s">
        <v>8</v>
      </c>
      <c r="O4842" t="s">
        <v>1656</v>
      </c>
      <c r="P4842" t="s">
        <v>29</v>
      </c>
      <c r="Q4842" t="s">
        <v>30</v>
      </c>
      <c r="R4842" t="s">
        <v>53</v>
      </c>
      <c r="S4842" t="s">
        <v>54</v>
      </c>
      <c r="T4842" t="s">
        <v>1657</v>
      </c>
      <c r="U4842" t="s">
        <v>34</v>
      </c>
      <c r="V4842">
        <v>691.03</v>
      </c>
    </row>
    <row r="4843" spans="1:22" x14ac:dyDescent="0.3">
      <c r="A4843" t="s">
        <v>6325</v>
      </c>
      <c r="B4843" s="2">
        <v>45962</v>
      </c>
      <c r="C4843" t="s">
        <v>457</v>
      </c>
      <c r="D4843" t="s">
        <v>24</v>
      </c>
      <c r="E4843" t="s">
        <v>25</v>
      </c>
      <c r="F4843">
        <v>3</v>
      </c>
      <c r="G4843">
        <v>0.05</v>
      </c>
      <c r="H4843">
        <v>39900</v>
      </c>
      <c r="I4843">
        <v>7069.28</v>
      </c>
      <c r="J4843" t="s">
        <v>26</v>
      </c>
      <c r="K4843" t="s">
        <v>40</v>
      </c>
      <c r="L4843">
        <v>13300</v>
      </c>
      <c r="M4843">
        <v>17.717493734335839</v>
      </c>
      <c r="N4843" t="s">
        <v>8</v>
      </c>
      <c r="O4843" t="s">
        <v>458</v>
      </c>
      <c r="P4843" t="s">
        <v>73</v>
      </c>
      <c r="Q4843" t="s">
        <v>30</v>
      </c>
      <c r="R4843" t="s">
        <v>60</v>
      </c>
      <c r="S4843" t="s">
        <v>61</v>
      </c>
      <c r="T4843" t="s">
        <v>459</v>
      </c>
      <c r="U4843" t="s">
        <v>34</v>
      </c>
      <c r="V4843">
        <v>2356.4266666666672</v>
      </c>
    </row>
    <row r="4844" spans="1:22" x14ac:dyDescent="0.3">
      <c r="A4844" t="s">
        <v>6326</v>
      </c>
      <c r="B4844" s="2">
        <v>46077</v>
      </c>
      <c r="C4844" t="s">
        <v>2681</v>
      </c>
      <c r="D4844" t="s">
        <v>70</v>
      </c>
      <c r="E4844" t="s">
        <v>108</v>
      </c>
      <c r="F4844">
        <v>1</v>
      </c>
      <c r="G4844">
        <v>0.2</v>
      </c>
      <c r="H4844">
        <v>3600</v>
      </c>
      <c r="I4844">
        <v>946.28</v>
      </c>
      <c r="J4844" t="s">
        <v>26</v>
      </c>
      <c r="K4844" t="s">
        <v>40</v>
      </c>
      <c r="L4844">
        <v>3600</v>
      </c>
      <c r="M4844">
        <v>26.285555555555561</v>
      </c>
      <c r="N4844" t="s">
        <v>8</v>
      </c>
      <c r="O4844" t="s">
        <v>2636</v>
      </c>
      <c r="P4844" t="s">
        <v>73</v>
      </c>
      <c r="Q4844" t="s">
        <v>74</v>
      </c>
      <c r="R4844" t="s">
        <v>75</v>
      </c>
      <c r="S4844" t="s">
        <v>75</v>
      </c>
      <c r="T4844" t="s">
        <v>2682</v>
      </c>
      <c r="U4844" t="s">
        <v>34</v>
      </c>
      <c r="V4844">
        <v>946.28</v>
      </c>
    </row>
    <row r="4845" spans="1:22" x14ac:dyDescent="0.3">
      <c r="A4845" t="s">
        <v>6327</v>
      </c>
      <c r="B4845" s="2">
        <v>45949</v>
      </c>
      <c r="C4845" t="s">
        <v>854</v>
      </c>
      <c r="D4845" t="s">
        <v>70</v>
      </c>
      <c r="E4845" t="s">
        <v>165</v>
      </c>
      <c r="F4845">
        <v>1</v>
      </c>
      <c r="G4845">
        <v>0.1</v>
      </c>
      <c r="H4845">
        <v>2250</v>
      </c>
      <c r="I4845">
        <v>620.29</v>
      </c>
      <c r="J4845" t="s">
        <v>65</v>
      </c>
      <c r="K4845" t="s">
        <v>27</v>
      </c>
      <c r="L4845">
        <v>2250</v>
      </c>
      <c r="M4845">
        <v>27.568444444444449</v>
      </c>
      <c r="N4845" t="s">
        <v>8</v>
      </c>
      <c r="O4845" t="s">
        <v>855</v>
      </c>
      <c r="P4845" t="s">
        <v>29</v>
      </c>
      <c r="Q4845" t="s">
        <v>74</v>
      </c>
      <c r="R4845" t="s">
        <v>493</v>
      </c>
      <c r="S4845" t="s">
        <v>494</v>
      </c>
      <c r="T4845" t="s">
        <v>856</v>
      </c>
      <c r="U4845" t="s">
        <v>100</v>
      </c>
      <c r="V4845">
        <v>620.29</v>
      </c>
    </row>
    <row r="4846" spans="1:22" x14ac:dyDescent="0.3">
      <c r="A4846" t="s">
        <v>6328</v>
      </c>
      <c r="B4846" s="2">
        <v>46077</v>
      </c>
      <c r="C4846" t="s">
        <v>1036</v>
      </c>
      <c r="D4846" t="s">
        <v>49</v>
      </c>
      <c r="E4846" t="s">
        <v>119</v>
      </c>
      <c r="F4846">
        <v>1</v>
      </c>
      <c r="G4846">
        <v>0.15</v>
      </c>
      <c r="H4846">
        <v>7650</v>
      </c>
      <c r="I4846">
        <v>1582.37</v>
      </c>
      <c r="J4846" t="s">
        <v>26</v>
      </c>
      <c r="K4846" t="s">
        <v>40</v>
      </c>
      <c r="L4846">
        <v>7650</v>
      </c>
      <c r="M4846">
        <v>20.684575163398691</v>
      </c>
      <c r="N4846" t="s">
        <v>8</v>
      </c>
      <c r="O4846" t="s">
        <v>149</v>
      </c>
      <c r="P4846" t="s">
        <v>83</v>
      </c>
      <c r="Q4846" t="s">
        <v>30</v>
      </c>
      <c r="R4846" t="s">
        <v>53</v>
      </c>
      <c r="S4846" t="s">
        <v>54</v>
      </c>
      <c r="T4846" t="s">
        <v>1037</v>
      </c>
      <c r="U4846" t="s">
        <v>46</v>
      </c>
      <c r="V4846">
        <v>1582.37</v>
      </c>
    </row>
    <row r="4847" spans="1:22" x14ac:dyDescent="0.3">
      <c r="A4847" t="s">
        <v>6329</v>
      </c>
      <c r="B4847" s="2">
        <v>45896</v>
      </c>
      <c r="C4847" t="s">
        <v>1568</v>
      </c>
      <c r="D4847" t="s">
        <v>49</v>
      </c>
      <c r="E4847" t="s">
        <v>50</v>
      </c>
      <c r="F4847">
        <v>2</v>
      </c>
      <c r="G4847">
        <v>0.05</v>
      </c>
      <c r="H4847">
        <v>24700</v>
      </c>
      <c r="I4847">
        <v>5693.85</v>
      </c>
      <c r="J4847" t="s">
        <v>39</v>
      </c>
      <c r="K4847" t="s">
        <v>27</v>
      </c>
      <c r="L4847">
        <v>12350</v>
      </c>
      <c r="M4847">
        <v>23.052024291497979</v>
      </c>
      <c r="N4847" t="s">
        <v>8</v>
      </c>
      <c r="O4847" t="s">
        <v>1569</v>
      </c>
      <c r="P4847" t="s">
        <v>83</v>
      </c>
      <c r="Q4847" t="s">
        <v>42</v>
      </c>
      <c r="R4847" t="s">
        <v>121</v>
      </c>
      <c r="S4847" t="s">
        <v>44</v>
      </c>
      <c r="T4847" t="s">
        <v>1570</v>
      </c>
      <c r="U4847" t="s">
        <v>46</v>
      </c>
      <c r="V4847">
        <v>2846.9250000000002</v>
      </c>
    </row>
    <row r="4848" spans="1:22" x14ac:dyDescent="0.3">
      <c r="A4848" t="s">
        <v>6330</v>
      </c>
      <c r="B4848" s="2">
        <v>46008</v>
      </c>
      <c r="C4848" t="s">
        <v>1116</v>
      </c>
      <c r="D4848" t="s">
        <v>49</v>
      </c>
      <c r="E4848" t="s">
        <v>119</v>
      </c>
      <c r="F4848">
        <v>10</v>
      </c>
      <c r="G4848">
        <v>0.05</v>
      </c>
      <c r="H4848">
        <v>85500</v>
      </c>
      <c r="I4848">
        <v>19301.599999999999</v>
      </c>
      <c r="J4848" t="s">
        <v>39</v>
      </c>
      <c r="K4848" t="s">
        <v>40</v>
      </c>
      <c r="L4848">
        <v>8550</v>
      </c>
      <c r="M4848">
        <v>22.574970760233921</v>
      </c>
      <c r="N4848" t="s">
        <v>8</v>
      </c>
      <c r="O4848" t="s">
        <v>1117</v>
      </c>
      <c r="P4848" t="s">
        <v>29</v>
      </c>
      <c r="Q4848" t="s">
        <v>30</v>
      </c>
      <c r="R4848" t="s">
        <v>98</v>
      </c>
      <c r="S4848" t="s">
        <v>54</v>
      </c>
      <c r="T4848" t="s">
        <v>1118</v>
      </c>
      <c r="U4848" t="s">
        <v>34</v>
      </c>
      <c r="V4848">
        <v>1930.16</v>
      </c>
    </row>
    <row r="4849" spans="1:22" x14ac:dyDescent="0.3">
      <c r="A4849" t="s">
        <v>6331</v>
      </c>
      <c r="B4849" s="2">
        <v>46264</v>
      </c>
      <c r="C4849" t="s">
        <v>3136</v>
      </c>
      <c r="D4849" t="s">
        <v>24</v>
      </c>
      <c r="E4849" t="s">
        <v>92</v>
      </c>
      <c r="F4849">
        <v>3</v>
      </c>
      <c r="G4849">
        <v>0.15</v>
      </c>
      <c r="H4849">
        <v>2295</v>
      </c>
      <c r="I4849">
        <v>-1016.76</v>
      </c>
      <c r="J4849" t="s">
        <v>26</v>
      </c>
      <c r="K4849" t="s">
        <v>434</v>
      </c>
      <c r="L4849">
        <v>765</v>
      </c>
      <c r="M4849">
        <v>-44.303267973856208</v>
      </c>
      <c r="N4849" t="s">
        <v>81</v>
      </c>
      <c r="O4849" t="s">
        <v>3137</v>
      </c>
      <c r="P4849" t="s">
        <v>29</v>
      </c>
      <c r="Q4849" t="s">
        <v>42</v>
      </c>
      <c r="R4849" t="s">
        <v>110</v>
      </c>
      <c r="S4849" t="s">
        <v>111</v>
      </c>
      <c r="T4849" t="s">
        <v>3138</v>
      </c>
      <c r="U4849" t="s">
        <v>34</v>
      </c>
      <c r="V4849">
        <v>-338.92</v>
      </c>
    </row>
    <row r="4850" spans="1:22" x14ac:dyDescent="0.3">
      <c r="A4850" t="s">
        <v>6332</v>
      </c>
      <c r="B4850" s="2">
        <v>46132</v>
      </c>
      <c r="C4850" t="s">
        <v>562</v>
      </c>
      <c r="D4850" t="s">
        <v>24</v>
      </c>
      <c r="E4850" t="s">
        <v>92</v>
      </c>
      <c r="F4850">
        <v>1</v>
      </c>
      <c r="G4850">
        <v>0</v>
      </c>
      <c r="H4850">
        <v>900</v>
      </c>
      <c r="I4850">
        <v>-22.32</v>
      </c>
      <c r="J4850" t="s">
        <v>26</v>
      </c>
      <c r="K4850" t="s">
        <v>434</v>
      </c>
      <c r="L4850">
        <v>900</v>
      </c>
      <c r="M4850">
        <v>-2.48</v>
      </c>
      <c r="N4850" t="s">
        <v>81</v>
      </c>
      <c r="O4850" t="s">
        <v>563</v>
      </c>
      <c r="P4850" t="s">
        <v>29</v>
      </c>
      <c r="Q4850" t="s">
        <v>30</v>
      </c>
      <c r="R4850" t="s">
        <v>60</v>
      </c>
      <c r="S4850" t="s">
        <v>61</v>
      </c>
      <c r="T4850" t="s">
        <v>564</v>
      </c>
      <c r="U4850" t="s">
        <v>100</v>
      </c>
      <c r="V4850">
        <v>-22.32</v>
      </c>
    </row>
    <row r="4851" spans="1:22" x14ac:dyDescent="0.3">
      <c r="A4851" t="s">
        <v>6333</v>
      </c>
      <c r="B4851" s="2">
        <v>46173</v>
      </c>
      <c r="C4851" t="s">
        <v>1455</v>
      </c>
      <c r="D4851" t="s">
        <v>24</v>
      </c>
      <c r="E4851" t="s">
        <v>92</v>
      </c>
      <c r="F4851">
        <v>1</v>
      </c>
      <c r="G4851">
        <v>0.1</v>
      </c>
      <c r="H4851">
        <v>810</v>
      </c>
      <c r="I4851">
        <v>212.15</v>
      </c>
      <c r="J4851" t="s">
        <v>39</v>
      </c>
      <c r="K4851" t="s">
        <v>40</v>
      </c>
      <c r="L4851">
        <v>810</v>
      </c>
      <c r="M4851">
        <v>26.191358024691361</v>
      </c>
      <c r="N4851" t="s">
        <v>8</v>
      </c>
      <c r="O4851" t="s">
        <v>1009</v>
      </c>
      <c r="P4851" t="s">
        <v>83</v>
      </c>
      <c r="Q4851" t="s">
        <v>74</v>
      </c>
      <c r="R4851" t="s">
        <v>493</v>
      </c>
      <c r="S4851" t="s">
        <v>494</v>
      </c>
      <c r="T4851" t="s">
        <v>273</v>
      </c>
      <c r="U4851" t="s">
        <v>46</v>
      </c>
      <c r="V4851">
        <v>212.15</v>
      </c>
    </row>
    <row r="4852" spans="1:22" x14ac:dyDescent="0.3">
      <c r="A4852" t="s">
        <v>6334</v>
      </c>
      <c r="B4852" s="2">
        <v>45961</v>
      </c>
      <c r="C4852" t="s">
        <v>3111</v>
      </c>
      <c r="D4852" t="s">
        <v>70</v>
      </c>
      <c r="E4852" t="s">
        <v>165</v>
      </c>
      <c r="F4852">
        <v>1</v>
      </c>
      <c r="G4852">
        <v>0</v>
      </c>
      <c r="H4852">
        <v>2500</v>
      </c>
      <c r="I4852">
        <v>800</v>
      </c>
      <c r="J4852" t="s">
        <v>51</v>
      </c>
      <c r="K4852" t="s">
        <v>40</v>
      </c>
      <c r="L4852">
        <v>2500</v>
      </c>
      <c r="M4852">
        <v>32</v>
      </c>
      <c r="N4852" t="s">
        <v>8</v>
      </c>
      <c r="O4852" t="s">
        <v>470</v>
      </c>
      <c r="P4852" t="s">
        <v>29</v>
      </c>
      <c r="Q4852" t="s">
        <v>74</v>
      </c>
      <c r="R4852" t="s">
        <v>75</v>
      </c>
      <c r="S4852" t="s">
        <v>75</v>
      </c>
      <c r="T4852" t="s">
        <v>3112</v>
      </c>
      <c r="U4852" t="s">
        <v>34</v>
      </c>
      <c r="V4852">
        <v>800</v>
      </c>
    </row>
    <row r="4853" spans="1:22" x14ac:dyDescent="0.3">
      <c r="A4853" t="s">
        <v>6335</v>
      </c>
      <c r="B4853" s="2">
        <v>46252</v>
      </c>
      <c r="C4853" t="s">
        <v>23</v>
      </c>
      <c r="D4853" t="s">
        <v>37</v>
      </c>
      <c r="E4853" t="s">
        <v>310</v>
      </c>
      <c r="F4853">
        <v>6</v>
      </c>
      <c r="G4853">
        <v>0.2</v>
      </c>
      <c r="H4853">
        <v>10560</v>
      </c>
      <c r="I4853">
        <v>2386.15</v>
      </c>
      <c r="J4853" t="s">
        <v>26</v>
      </c>
      <c r="K4853" t="s">
        <v>40</v>
      </c>
      <c r="L4853">
        <v>1760</v>
      </c>
      <c r="M4853">
        <v>22.596117424242429</v>
      </c>
      <c r="N4853" t="s">
        <v>8</v>
      </c>
      <c r="O4853" t="s">
        <v>28</v>
      </c>
      <c r="P4853" t="s">
        <v>29</v>
      </c>
      <c r="Q4853" t="s">
        <v>30</v>
      </c>
      <c r="R4853" t="s">
        <v>31</v>
      </c>
      <c r="S4853" t="s">
        <v>32</v>
      </c>
      <c r="T4853" t="s">
        <v>33</v>
      </c>
      <c r="U4853" t="s">
        <v>34</v>
      </c>
      <c r="V4853">
        <v>397.69166666666672</v>
      </c>
    </row>
    <row r="4854" spans="1:22" x14ac:dyDescent="0.3">
      <c r="A4854" t="s">
        <v>6336</v>
      </c>
      <c r="B4854" s="2">
        <v>46179</v>
      </c>
      <c r="C4854" t="s">
        <v>3382</v>
      </c>
      <c r="D4854" t="s">
        <v>49</v>
      </c>
      <c r="E4854" t="s">
        <v>79</v>
      </c>
      <c r="F4854">
        <v>4</v>
      </c>
      <c r="G4854">
        <v>0.2</v>
      </c>
      <c r="H4854">
        <v>35200</v>
      </c>
      <c r="I4854">
        <v>3562.53</v>
      </c>
      <c r="J4854" t="s">
        <v>26</v>
      </c>
      <c r="K4854" t="s">
        <v>40</v>
      </c>
      <c r="L4854">
        <v>8800</v>
      </c>
      <c r="M4854">
        <v>10.120823863636369</v>
      </c>
      <c r="N4854" t="s">
        <v>8</v>
      </c>
      <c r="O4854" t="s">
        <v>1566</v>
      </c>
      <c r="P4854" t="s">
        <v>29</v>
      </c>
      <c r="Q4854" t="s">
        <v>42</v>
      </c>
      <c r="R4854" t="s">
        <v>121</v>
      </c>
      <c r="S4854" t="s">
        <v>44</v>
      </c>
      <c r="T4854" t="s">
        <v>3383</v>
      </c>
      <c r="U4854" t="s">
        <v>46</v>
      </c>
      <c r="V4854">
        <v>890.63250000000005</v>
      </c>
    </row>
    <row r="4855" spans="1:22" x14ac:dyDescent="0.3">
      <c r="A4855" t="s">
        <v>6337</v>
      </c>
      <c r="B4855" s="2">
        <v>45949</v>
      </c>
      <c r="C4855" t="s">
        <v>1210</v>
      </c>
      <c r="D4855" t="s">
        <v>37</v>
      </c>
      <c r="E4855" t="s">
        <v>310</v>
      </c>
      <c r="F4855">
        <v>10</v>
      </c>
      <c r="G4855">
        <v>0.1</v>
      </c>
      <c r="H4855">
        <v>19800</v>
      </c>
      <c r="I4855">
        <v>6357.09</v>
      </c>
      <c r="J4855" t="s">
        <v>51</v>
      </c>
      <c r="K4855" t="s">
        <v>27</v>
      </c>
      <c r="L4855">
        <v>1980</v>
      </c>
      <c r="M4855">
        <v>32.106515151515147</v>
      </c>
      <c r="N4855" t="s">
        <v>8</v>
      </c>
      <c r="O4855" t="s">
        <v>1190</v>
      </c>
      <c r="P4855" t="s">
        <v>73</v>
      </c>
      <c r="Q4855" t="s">
        <v>30</v>
      </c>
      <c r="R4855" t="s">
        <v>31</v>
      </c>
      <c r="S4855" t="s">
        <v>32</v>
      </c>
      <c r="T4855" t="s">
        <v>1211</v>
      </c>
      <c r="U4855" t="s">
        <v>46</v>
      </c>
      <c r="V4855">
        <v>635.70900000000006</v>
      </c>
    </row>
    <row r="4856" spans="1:22" x14ac:dyDescent="0.3">
      <c r="A4856" t="s">
        <v>6338</v>
      </c>
      <c r="B4856" s="2">
        <v>45888</v>
      </c>
      <c r="C4856" t="s">
        <v>1505</v>
      </c>
      <c r="D4856" t="s">
        <v>24</v>
      </c>
      <c r="E4856" t="s">
        <v>242</v>
      </c>
      <c r="F4856">
        <v>3</v>
      </c>
      <c r="G4856">
        <v>0.05</v>
      </c>
      <c r="H4856">
        <v>1282.5</v>
      </c>
      <c r="I4856">
        <v>277.27</v>
      </c>
      <c r="J4856" t="s">
        <v>26</v>
      </c>
      <c r="K4856" t="s">
        <v>40</v>
      </c>
      <c r="L4856">
        <v>427.5</v>
      </c>
      <c r="M4856">
        <v>21.619493177387909</v>
      </c>
      <c r="N4856" t="s">
        <v>8</v>
      </c>
      <c r="O4856" t="s">
        <v>382</v>
      </c>
      <c r="P4856" t="s">
        <v>73</v>
      </c>
      <c r="Q4856" t="s">
        <v>131</v>
      </c>
      <c r="R4856" t="s">
        <v>200</v>
      </c>
      <c r="S4856" t="s">
        <v>201</v>
      </c>
      <c r="T4856" t="s">
        <v>1506</v>
      </c>
      <c r="U4856" t="s">
        <v>105</v>
      </c>
      <c r="V4856">
        <v>92.423333333333332</v>
      </c>
    </row>
    <row r="4857" spans="1:22" x14ac:dyDescent="0.3">
      <c r="A4857" t="s">
        <v>6339</v>
      </c>
      <c r="B4857" s="2">
        <v>45869</v>
      </c>
      <c r="C4857" t="s">
        <v>1474</v>
      </c>
      <c r="D4857" t="s">
        <v>24</v>
      </c>
      <c r="E4857" t="s">
        <v>87</v>
      </c>
      <c r="F4857">
        <v>1</v>
      </c>
      <c r="G4857">
        <v>0.1</v>
      </c>
      <c r="H4857">
        <v>315</v>
      </c>
      <c r="I4857">
        <v>96.66</v>
      </c>
      <c r="J4857" t="s">
        <v>39</v>
      </c>
      <c r="K4857" t="s">
        <v>40</v>
      </c>
      <c r="L4857">
        <v>315</v>
      </c>
      <c r="M4857">
        <v>30.68571428571428</v>
      </c>
      <c r="N4857" t="s">
        <v>8</v>
      </c>
      <c r="O4857" t="s">
        <v>1475</v>
      </c>
      <c r="P4857" t="s">
        <v>73</v>
      </c>
      <c r="Q4857" t="s">
        <v>30</v>
      </c>
      <c r="R4857" t="s">
        <v>98</v>
      </c>
      <c r="S4857" t="s">
        <v>54</v>
      </c>
      <c r="T4857" t="s">
        <v>1476</v>
      </c>
      <c r="U4857" t="s">
        <v>100</v>
      </c>
      <c r="V4857">
        <v>96.66</v>
      </c>
    </row>
    <row r="4858" spans="1:22" x14ac:dyDescent="0.3">
      <c r="A4858" t="s">
        <v>6340</v>
      </c>
      <c r="B4858" s="2">
        <v>46208</v>
      </c>
      <c r="C4858" t="s">
        <v>4865</v>
      </c>
      <c r="D4858" t="s">
        <v>37</v>
      </c>
      <c r="E4858" t="s">
        <v>38</v>
      </c>
      <c r="F4858">
        <v>3</v>
      </c>
      <c r="G4858">
        <v>0.05</v>
      </c>
      <c r="H4858">
        <v>5130</v>
      </c>
      <c r="I4858">
        <v>1791.2</v>
      </c>
      <c r="J4858" t="s">
        <v>65</v>
      </c>
      <c r="K4858" t="s">
        <v>40</v>
      </c>
      <c r="L4858">
        <v>1710</v>
      </c>
      <c r="M4858">
        <v>34.916179337231974</v>
      </c>
      <c r="N4858" t="s">
        <v>8</v>
      </c>
      <c r="O4858" t="s">
        <v>4866</v>
      </c>
      <c r="P4858" t="s">
        <v>29</v>
      </c>
      <c r="Q4858" t="s">
        <v>131</v>
      </c>
      <c r="R4858" t="s">
        <v>289</v>
      </c>
      <c r="S4858" t="s">
        <v>290</v>
      </c>
      <c r="T4858" t="s">
        <v>1801</v>
      </c>
      <c r="U4858" t="s">
        <v>100</v>
      </c>
      <c r="V4858">
        <v>597.06666666666672</v>
      </c>
    </row>
    <row r="4859" spans="1:22" x14ac:dyDescent="0.3">
      <c r="A4859" t="s">
        <v>6341</v>
      </c>
      <c r="B4859" s="2">
        <v>46048</v>
      </c>
      <c r="C4859" t="s">
        <v>897</v>
      </c>
      <c r="D4859" t="s">
        <v>24</v>
      </c>
      <c r="E4859" t="s">
        <v>92</v>
      </c>
      <c r="F4859">
        <v>6</v>
      </c>
      <c r="G4859">
        <v>0</v>
      </c>
      <c r="H4859">
        <v>5400</v>
      </c>
      <c r="I4859">
        <v>1680</v>
      </c>
      <c r="J4859" t="s">
        <v>26</v>
      </c>
      <c r="K4859" t="s">
        <v>40</v>
      </c>
      <c r="L4859">
        <v>900</v>
      </c>
      <c r="M4859">
        <v>31.111111111111111</v>
      </c>
      <c r="N4859" t="s">
        <v>8</v>
      </c>
      <c r="O4859" t="s">
        <v>607</v>
      </c>
      <c r="P4859" t="s">
        <v>73</v>
      </c>
      <c r="Q4859" t="s">
        <v>30</v>
      </c>
      <c r="R4859" t="s">
        <v>31</v>
      </c>
      <c r="S4859" t="s">
        <v>32</v>
      </c>
      <c r="T4859" t="s">
        <v>898</v>
      </c>
      <c r="U4859" t="s">
        <v>34</v>
      </c>
      <c r="V4859">
        <v>280</v>
      </c>
    </row>
    <row r="4860" spans="1:22" x14ac:dyDescent="0.3">
      <c r="A4860" t="s">
        <v>6342</v>
      </c>
      <c r="B4860" s="2">
        <v>45921</v>
      </c>
      <c r="C4860" t="s">
        <v>2177</v>
      </c>
      <c r="D4860" t="s">
        <v>24</v>
      </c>
      <c r="E4860" t="s">
        <v>87</v>
      </c>
      <c r="F4860">
        <v>5</v>
      </c>
      <c r="G4860">
        <v>0.1</v>
      </c>
      <c r="H4860">
        <v>1575</v>
      </c>
      <c r="I4860">
        <v>477.43</v>
      </c>
      <c r="J4860" t="s">
        <v>65</v>
      </c>
      <c r="K4860" t="s">
        <v>40</v>
      </c>
      <c r="L4860">
        <v>315</v>
      </c>
      <c r="M4860">
        <v>30.313015873015871</v>
      </c>
      <c r="N4860" t="s">
        <v>8</v>
      </c>
      <c r="O4860" t="s">
        <v>175</v>
      </c>
      <c r="P4860" t="s">
        <v>29</v>
      </c>
      <c r="Q4860" t="s">
        <v>30</v>
      </c>
      <c r="R4860" t="s">
        <v>98</v>
      </c>
      <c r="S4860" t="s">
        <v>54</v>
      </c>
      <c r="T4860" t="s">
        <v>2178</v>
      </c>
      <c r="U4860" t="s">
        <v>46</v>
      </c>
      <c r="V4860">
        <v>95.486000000000004</v>
      </c>
    </row>
    <row r="4861" spans="1:22" x14ac:dyDescent="0.3">
      <c r="A4861" t="s">
        <v>6343</v>
      </c>
      <c r="B4861" s="2">
        <v>46201</v>
      </c>
      <c r="C4861" t="s">
        <v>1220</v>
      </c>
      <c r="D4861" t="s">
        <v>37</v>
      </c>
      <c r="E4861" t="s">
        <v>38</v>
      </c>
      <c r="F4861">
        <v>6</v>
      </c>
      <c r="G4861">
        <v>0.05</v>
      </c>
      <c r="H4861">
        <v>10260</v>
      </c>
      <c r="I4861">
        <v>3555.34</v>
      </c>
      <c r="J4861" t="s">
        <v>26</v>
      </c>
      <c r="K4861" t="s">
        <v>40</v>
      </c>
      <c r="L4861">
        <v>1710</v>
      </c>
      <c r="M4861">
        <v>34.652436647173488</v>
      </c>
      <c r="N4861" t="s">
        <v>8</v>
      </c>
      <c r="O4861" t="s">
        <v>333</v>
      </c>
      <c r="P4861" t="s">
        <v>29</v>
      </c>
      <c r="Q4861" t="s">
        <v>74</v>
      </c>
      <c r="R4861" t="s">
        <v>75</v>
      </c>
      <c r="S4861" t="s">
        <v>75</v>
      </c>
      <c r="T4861" t="s">
        <v>1221</v>
      </c>
      <c r="U4861" t="s">
        <v>105</v>
      </c>
      <c r="V4861">
        <v>592.55666666666673</v>
      </c>
    </row>
    <row r="4862" spans="1:22" x14ac:dyDescent="0.3">
      <c r="A4862" t="s">
        <v>6344</v>
      </c>
      <c r="B4862" s="2">
        <v>46136</v>
      </c>
      <c r="C4862" t="s">
        <v>3024</v>
      </c>
      <c r="D4862" t="s">
        <v>49</v>
      </c>
      <c r="E4862" t="s">
        <v>58</v>
      </c>
      <c r="F4862">
        <v>2</v>
      </c>
      <c r="G4862">
        <v>0.1</v>
      </c>
      <c r="H4862">
        <v>27000</v>
      </c>
      <c r="I4862">
        <v>-2583.23</v>
      </c>
      <c r="J4862" t="s">
        <v>26</v>
      </c>
      <c r="K4862" t="s">
        <v>434</v>
      </c>
      <c r="L4862">
        <v>13500</v>
      </c>
      <c r="M4862">
        <v>-9.5675185185185185</v>
      </c>
      <c r="N4862" t="s">
        <v>81</v>
      </c>
      <c r="O4862" t="s">
        <v>1466</v>
      </c>
      <c r="P4862" t="s">
        <v>29</v>
      </c>
      <c r="Q4862" t="s">
        <v>42</v>
      </c>
      <c r="R4862" t="s">
        <v>214</v>
      </c>
      <c r="S4862" t="s">
        <v>111</v>
      </c>
      <c r="T4862" t="s">
        <v>2425</v>
      </c>
      <c r="U4862" t="s">
        <v>34</v>
      </c>
      <c r="V4862">
        <v>-1291.615</v>
      </c>
    </row>
    <row r="4863" spans="1:22" x14ac:dyDescent="0.3">
      <c r="A4863" t="s">
        <v>6345</v>
      </c>
      <c r="B4863" s="2">
        <v>45907</v>
      </c>
      <c r="C4863" t="s">
        <v>1688</v>
      </c>
      <c r="D4863" t="s">
        <v>70</v>
      </c>
      <c r="E4863" t="s">
        <v>129</v>
      </c>
      <c r="F4863">
        <v>4</v>
      </c>
      <c r="G4863">
        <v>0.05</v>
      </c>
      <c r="H4863">
        <v>209000</v>
      </c>
      <c r="I4863">
        <v>28612.65</v>
      </c>
      <c r="J4863" t="s">
        <v>51</v>
      </c>
      <c r="K4863" t="s">
        <v>40</v>
      </c>
      <c r="L4863">
        <v>52250</v>
      </c>
      <c r="M4863">
        <v>13.690263157894741</v>
      </c>
      <c r="N4863" t="s">
        <v>8</v>
      </c>
      <c r="O4863" t="s">
        <v>883</v>
      </c>
      <c r="P4863" t="s">
        <v>73</v>
      </c>
      <c r="Q4863" t="s">
        <v>30</v>
      </c>
      <c r="R4863" t="s">
        <v>31</v>
      </c>
      <c r="S4863" t="s">
        <v>32</v>
      </c>
      <c r="T4863" t="s">
        <v>575</v>
      </c>
      <c r="U4863" t="s">
        <v>34</v>
      </c>
      <c r="V4863">
        <v>7153.1625000000004</v>
      </c>
    </row>
    <row r="4864" spans="1:22" x14ac:dyDescent="0.3">
      <c r="A4864" t="s">
        <v>6346</v>
      </c>
      <c r="B4864" s="2">
        <v>46183</v>
      </c>
      <c r="C4864" t="s">
        <v>2126</v>
      </c>
      <c r="D4864" t="s">
        <v>24</v>
      </c>
      <c r="E4864" t="s">
        <v>87</v>
      </c>
      <c r="F4864">
        <v>1</v>
      </c>
      <c r="G4864">
        <v>0.05</v>
      </c>
      <c r="H4864">
        <v>332.5</v>
      </c>
      <c r="I4864">
        <v>105.62</v>
      </c>
      <c r="J4864" t="s">
        <v>26</v>
      </c>
      <c r="K4864" t="s">
        <v>40</v>
      </c>
      <c r="L4864">
        <v>332.5</v>
      </c>
      <c r="M4864">
        <v>31.76541353383459</v>
      </c>
      <c r="N4864" t="s">
        <v>8</v>
      </c>
      <c r="O4864" t="s">
        <v>2127</v>
      </c>
      <c r="P4864" t="s">
        <v>83</v>
      </c>
      <c r="Q4864" t="s">
        <v>131</v>
      </c>
      <c r="R4864" t="s">
        <v>200</v>
      </c>
      <c r="S4864" t="s">
        <v>201</v>
      </c>
      <c r="T4864" t="s">
        <v>2128</v>
      </c>
      <c r="U4864" t="s">
        <v>46</v>
      </c>
      <c r="V4864">
        <v>105.62</v>
      </c>
    </row>
    <row r="4865" spans="1:22" x14ac:dyDescent="0.3">
      <c r="A4865" t="s">
        <v>6347</v>
      </c>
      <c r="B4865" s="2">
        <v>46136</v>
      </c>
      <c r="C4865" t="s">
        <v>2257</v>
      </c>
      <c r="D4865" t="s">
        <v>37</v>
      </c>
      <c r="E4865" t="s">
        <v>38</v>
      </c>
      <c r="F4865">
        <v>3</v>
      </c>
      <c r="G4865">
        <v>0.1</v>
      </c>
      <c r="H4865">
        <v>4860</v>
      </c>
      <c r="I4865">
        <v>1530.91</v>
      </c>
      <c r="J4865" t="s">
        <v>51</v>
      </c>
      <c r="K4865" t="s">
        <v>40</v>
      </c>
      <c r="L4865">
        <v>1620</v>
      </c>
      <c r="M4865">
        <v>31.50020576131687</v>
      </c>
      <c r="N4865" t="s">
        <v>8</v>
      </c>
      <c r="O4865" t="s">
        <v>626</v>
      </c>
      <c r="P4865" t="s">
        <v>29</v>
      </c>
      <c r="Q4865" t="s">
        <v>42</v>
      </c>
      <c r="R4865" t="s">
        <v>110</v>
      </c>
      <c r="S4865" t="s">
        <v>111</v>
      </c>
      <c r="T4865" t="s">
        <v>2258</v>
      </c>
      <c r="U4865" t="s">
        <v>46</v>
      </c>
      <c r="V4865">
        <v>510.30333333333328</v>
      </c>
    </row>
    <row r="4866" spans="1:22" x14ac:dyDescent="0.3">
      <c r="A4866" t="s">
        <v>6348</v>
      </c>
      <c r="B4866" s="2">
        <v>46205</v>
      </c>
      <c r="C4866" t="s">
        <v>891</v>
      </c>
      <c r="D4866" t="s">
        <v>49</v>
      </c>
      <c r="E4866" t="s">
        <v>58</v>
      </c>
      <c r="F4866">
        <v>2</v>
      </c>
      <c r="G4866">
        <v>0.1</v>
      </c>
      <c r="H4866">
        <v>27000</v>
      </c>
      <c r="I4866">
        <v>5547.19</v>
      </c>
      <c r="J4866" t="s">
        <v>65</v>
      </c>
      <c r="K4866" t="s">
        <v>40</v>
      </c>
      <c r="L4866">
        <v>13500</v>
      </c>
      <c r="M4866">
        <v>20.545148148148151</v>
      </c>
      <c r="N4866" t="s">
        <v>8</v>
      </c>
      <c r="O4866" t="s">
        <v>892</v>
      </c>
      <c r="P4866" t="s">
        <v>29</v>
      </c>
      <c r="Q4866" t="s">
        <v>30</v>
      </c>
      <c r="R4866" t="s">
        <v>31</v>
      </c>
      <c r="S4866" t="s">
        <v>32</v>
      </c>
      <c r="T4866" t="s">
        <v>893</v>
      </c>
      <c r="U4866" t="s">
        <v>34</v>
      </c>
      <c r="V4866">
        <v>2773.5949999999998</v>
      </c>
    </row>
    <row r="4867" spans="1:22" x14ac:dyDescent="0.3">
      <c r="A4867" t="s">
        <v>6349</v>
      </c>
      <c r="B4867" s="2">
        <v>46148</v>
      </c>
      <c r="C4867" t="s">
        <v>1734</v>
      </c>
      <c r="D4867" t="s">
        <v>24</v>
      </c>
      <c r="E4867" t="s">
        <v>25</v>
      </c>
      <c r="F4867">
        <v>5</v>
      </c>
      <c r="G4867">
        <v>0.2</v>
      </c>
      <c r="H4867">
        <v>56000</v>
      </c>
      <c r="I4867">
        <v>-25031.47</v>
      </c>
      <c r="J4867" t="s">
        <v>65</v>
      </c>
      <c r="K4867" t="s">
        <v>80</v>
      </c>
      <c r="L4867">
        <v>11200</v>
      </c>
      <c r="M4867">
        <v>-44.699053571428571</v>
      </c>
      <c r="N4867" t="s">
        <v>81</v>
      </c>
      <c r="O4867" t="s">
        <v>1735</v>
      </c>
      <c r="P4867" t="s">
        <v>29</v>
      </c>
      <c r="Q4867" t="s">
        <v>74</v>
      </c>
      <c r="R4867" t="s">
        <v>237</v>
      </c>
      <c r="S4867" t="s">
        <v>238</v>
      </c>
      <c r="T4867" t="s">
        <v>1736</v>
      </c>
      <c r="U4867" t="s">
        <v>34</v>
      </c>
      <c r="V4867">
        <v>-5006.2939999999999</v>
      </c>
    </row>
    <row r="4868" spans="1:22" x14ac:dyDescent="0.3">
      <c r="A4868" t="s">
        <v>6350</v>
      </c>
      <c r="B4868" s="2">
        <v>46242</v>
      </c>
      <c r="C4868" t="s">
        <v>678</v>
      </c>
      <c r="D4868" t="s">
        <v>24</v>
      </c>
      <c r="E4868" t="s">
        <v>242</v>
      </c>
      <c r="F4868">
        <v>2</v>
      </c>
      <c r="G4868">
        <v>0.15</v>
      </c>
      <c r="H4868">
        <v>765</v>
      </c>
      <c r="I4868">
        <v>105.88</v>
      </c>
      <c r="J4868" t="s">
        <v>39</v>
      </c>
      <c r="K4868" t="s">
        <v>40</v>
      </c>
      <c r="L4868">
        <v>382.5</v>
      </c>
      <c r="M4868">
        <v>13.84052287581699</v>
      </c>
      <c r="N4868" t="s">
        <v>8</v>
      </c>
      <c r="O4868" t="s">
        <v>657</v>
      </c>
      <c r="P4868" t="s">
        <v>83</v>
      </c>
      <c r="Q4868" t="s">
        <v>30</v>
      </c>
      <c r="R4868" t="s">
        <v>31</v>
      </c>
      <c r="S4868" t="s">
        <v>32</v>
      </c>
      <c r="T4868" t="s">
        <v>679</v>
      </c>
      <c r="U4868" t="s">
        <v>100</v>
      </c>
      <c r="V4868">
        <v>52.94</v>
      </c>
    </row>
    <row r="4869" spans="1:22" x14ac:dyDescent="0.3">
      <c r="A4869" t="s">
        <v>6351</v>
      </c>
      <c r="B4869" s="2">
        <v>45984</v>
      </c>
      <c r="C4869" t="s">
        <v>1676</v>
      </c>
      <c r="D4869" t="s">
        <v>24</v>
      </c>
      <c r="E4869" t="s">
        <v>242</v>
      </c>
      <c r="F4869">
        <v>3</v>
      </c>
      <c r="G4869">
        <v>0.1</v>
      </c>
      <c r="H4869">
        <v>1215</v>
      </c>
      <c r="I4869">
        <v>241.73</v>
      </c>
      <c r="J4869" t="s">
        <v>39</v>
      </c>
      <c r="K4869" t="s">
        <v>40</v>
      </c>
      <c r="L4869">
        <v>405</v>
      </c>
      <c r="M4869">
        <v>19.8954732510288</v>
      </c>
      <c r="N4869" t="s">
        <v>8</v>
      </c>
      <c r="O4869" t="s">
        <v>1649</v>
      </c>
      <c r="P4869" t="s">
        <v>73</v>
      </c>
      <c r="Q4869" t="s">
        <v>30</v>
      </c>
      <c r="R4869" t="s">
        <v>31</v>
      </c>
      <c r="S4869" t="s">
        <v>32</v>
      </c>
      <c r="T4869" t="s">
        <v>1677</v>
      </c>
      <c r="U4869" t="s">
        <v>46</v>
      </c>
      <c r="V4869">
        <v>80.576666666666668</v>
      </c>
    </row>
    <row r="4870" spans="1:22" x14ac:dyDescent="0.3">
      <c r="A4870" t="s">
        <v>6352</v>
      </c>
      <c r="B4870" s="2">
        <v>46141</v>
      </c>
      <c r="C4870" t="s">
        <v>3893</v>
      </c>
      <c r="D4870" t="s">
        <v>37</v>
      </c>
      <c r="E4870" t="s">
        <v>170</v>
      </c>
      <c r="F4870">
        <v>4</v>
      </c>
      <c r="G4870">
        <v>0.05</v>
      </c>
      <c r="H4870">
        <v>5320</v>
      </c>
      <c r="I4870">
        <v>1797.48</v>
      </c>
      <c r="J4870" t="s">
        <v>39</v>
      </c>
      <c r="K4870" t="s">
        <v>27</v>
      </c>
      <c r="L4870">
        <v>1330</v>
      </c>
      <c r="M4870">
        <v>33.78721804511278</v>
      </c>
      <c r="N4870" t="s">
        <v>8</v>
      </c>
      <c r="O4870" t="s">
        <v>781</v>
      </c>
      <c r="P4870" t="s">
        <v>29</v>
      </c>
      <c r="Q4870" t="s">
        <v>131</v>
      </c>
      <c r="R4870" t="s">
        <v>289</v>
      </c>
      <c r="S4870" t="s">
        <v>290</v>
      </c>
      <c r="T4870" t="s">
        <v>1476</v>
      </c>
      <c r="U4870" t="s">
        <v>34</v>
      </c>
      <c r="V4870">
        <v>449.37</v>
      </c>
    </row>
    <row r="4871" spans="1:22" x14ac:dyDescent="0.3">
      <c r="A4871" t="s">
        <v>6353</v>
      </c>
      <c r="B4871" s="2">
        <v>45908</v>
      </c>
      <c r="C4871" t="s">
        <v>2092</v>
      </c>
      <c r="D4871" t="s">
        <v>24</v>
      </c>
      <c r="E4871" t="s">
        <v>242</v>
      </c>
      <c r="F4871">
        <v>3</v>
      </c>
      <c r="G4871">
        <v>0.1</v>
      </c>
      <c r="H4871">
        <v>1215</v>
      </c>
      <c r="I4871">
        <v>260.06</v>
      </c>
      <c r="J4871" t="s">
        <v>39</v>
      </c>
      <c r="K4871" t="s">
        <v>40</v>
      </c>
      <c r="L4871">
        <v>405</v>
      </c>
      <c r="M4871">
        <v>21.404115226337449</v>
      </c>
      <c r="N4871" t="s">
        <v>8</v>
      </c>
      <c r="O4871" t="s">
        <v>2093</v>
      </c>
      <c r="P4871" t="s">
        <v>83</v>
      </c>
      <c r="Q4871" t="s">
        <v>131</v>
      </c>
      <c r="R4871" t="s">
        <v>289</v>
      </c>
      <c r="S4871" t="s">
        <v>290</v>
      </c>
      <c r="T4871" t="s">
        <v>2094</v>
      </c>
      <c r="U4871" t="s">
        <v>34</v>
      </c>
      <c r="V4871">
        <v>86.686666666666667</v>
      </c>
    </row>
    <row r="4872" spans="1:22" x14ac:dyDescent="0.3">
      <c r="A4872" t="s">
        <v>6354</v>
      </c>
      <c r="B4872" s="2">
        <v>45908</v>
      </c>
      <c r="C4872" t="s">
        <v>1578</v>
      </c>
      <c r="D4872" t="s">
        <v>24</v>
      </c>
      <c r="E4872" t="s">
        <v>242</v>
      </c>
      <c r="F4872">
        <v>4</v>
      </c>
      <c r="G4872">
        <v>0.2</v>
      </c>
      <c r="H4872">
        <v>1440</v>
      </c>
      <c r="I4872">
        <v>230.72</v>
      </c>
      <c r="J4872" t="s">
        <v>51</v>
      </c>
      <c r="K4872" t="s">
        <v>40</v>
      </c>
      <c r="L4872">
        <v>360</v>
      </c>
      <c r="M4872">
        <v>16.022222222222219</v>
      </c>
      <c r="N4872" t="s">
        <v>8</v>
      </c>
      <c r="O4872" t="s">
        <v>1579</v>
      </c>
      <c r="P4872" t="s">
        <v>29</v>
      </c>
      <c r="Q4872" t="s">
        <v>74</v>
      </c>
      <c r="R4872" t="s">
        <v>115</v>
      </c>
      <c r="S4872" t="s">
        <v>115</v>
      </c>
      <c r="T4872" t="s">
        <v>1580</v>
      </c>
      <c r="U4872" t="s">
        <v>100</v>
      </c>
      <c r="V4872">
        <v>57.68</v>
      </c>
    </row>
    <row r="4873" spans="1:22" x14ac:dyDescent="0.3">
      <c r="A4873" t="s">
        <v>6355</v>
      </c>
      <c r="B4873" s="2">
        <v>45886</v>
      </c>
      <c r="C4873" t="s">
        <v>2635</v>
      </c>
      <c r="D4873" t="s">
        <v>70</v>
      </c>
      <c r="E4873" t="s">
        <v>108</v>
      </c>
      <c r="F4873">
        <v>1</v>
      </c>
      <c r="G4873">
        <v>0.05</v>
      </c>
      <c r="H4873">
        <v>4275</v>
      </c>
      <c r="I4873">
        <v>1383.03</v>
      </c>
      <c r="J4873" t="s">
        <v>65</v>
      </c>
      <c r="K4873" t="s">
        <v>40</v>
      </c>
      <c r="L4873">
        <v>4275</v>
      </c>
      <c r="M4873">
        <v>32.351578947368417</v>
      </c>
      <c r="N4873" t="s">
        <v>8</v>
      </c>
      <c r="O4873" t="s">
        <v>2636</v>
      </c>
      <c r="P4873" t="s">
        <v>29</v>
      </c>
      <c r="Q4873" t="s">
        <v>42</v>
      </c>
      <c r="R4873" t="s">
        <v>121</v>
      </c>
      <c r="S4873" t="s">
        <v>44</v>
      </c>
      <c r="T4873" t="s">
        <v>252</v>
      </c>
      <c r="U4873" t="s">
        <v>34</v>
      </c>
      <c r="V4873">
        <v>1383.03</v>
      </c>
    </row>
    <row r="4874" spans="1:22" x14ac:dyDescent="0.3">
      <c r="A4874" t="s">
        <v>6356</v>
      </c>
      <c r="B4874" s="2">
        <v>46225</v>
      </c>
      <c r="C4874" t="s">
        <v>1497</v>
      </c>
      <c r="D4874" t="s">
        <v>49</v>
      </c>
      <c r="E4874" t="s">
        <v>50</v>
      </c>
      <c r="F4874">
        <v>1</v>
      </c>
      <c r="G4874">
        <v>0.15</v>
      </c>
      <c r="H4874">
        <v>11050</v>
      </c>
      <c r="I4874">
        <v>2082.62</v>
      </c>
      <c r="J4874" t="s">
        <v>51</v>
      </c>
      <c r="K4874" t="s">
        <v>40</v>
      </c>
      <c r="L4874">
        <v>11050</v>
      </c>
      <c r="M4874">
        <v>18.847239819004521</v>
      </c>
      <c r="N4874" t="s">
        <v>8</v>
      </c>
      <c r="O4874" t="s">
        <v>88</v>
      </c>
      <c r="P4874" t="s">
        <v>73</v>
      </c>
      <c r="Q4874" t="s">
        <v>30</v>
      </c>
      <c r="R4874" t="s">
        <v>31</v>
      </c>
      <c r="S4874" t="s">
        <v>32</v>
      </c>
      <c r="T4874" t="s">
        <v>1498</v>
      </c>
      <c r="U4874" t="s">
        <v>46</v>
      </c>
      <c r="V4874">
        <v>2082.62</v>
      </c>
    </row>
    <row r="4875" spans="1:22" x14ac:dyDescent="0.3">
      <c r="A4875" t="s">
        <v>6357</v>
      </c>
      <c r="B4875" s="2">
        <v>46091</v>
      </c>
      <c r="C4875" t="s">
        <v>824</v>
      </c>
      <c r="D4875" t="s">
        <v>70</v>
      </c>
      <c r="E4875" t="s">
        <v>71</v>
      </c>
      <c r="F4875">
        <v>2</v>
      </c>
      <c r="G4875">
        <v>0.05</v>
      </c>
      <c r="H4875">
        <v>34200</v>
      </c>
      <c r="I4875">
        <v>5544.23</v>
      </c>
      <c r="J4875" t="s">
        <v>51</v>
      </c>
      <c r="K4875" t="s">
        <v>40</v>
      </c>
      <c r="L4875">
        <v>17100</v>
      </c>
      <c r="M4875">
        <v>16.211198830409359</v>
      </c>
      <c r="N4875" t="s">
        <v>8</v>
      </c>
      <c r="O4875" t="s">
        <v>825</v>
      </c>
      <c r="P4875" t="s">
        <v>29</v>
      </c>
      <c r="Q4875" t="s">
        <v>30</v>
      </c>
      <c r="R4875" t="s">
        <v>53</v>
      </c>
      <c r="S4875" t="s">
        <v>54</v>
      </c>
      <c r="T4875" t="s">
        <v>826</v>
      </c>
      <c r="U4875" t="s">
        <v>105</v>
      </c>
      <c r="V4875">
        <v>2772.1149999999998</v>
      </c>
    </row>
    <row r="4876" spans="1:22" x14ac:dyDescent="0.3">
      <c r="A4876" t="s">
        <v>6358</v>
      </c>
      <c r="B4876" s="2">
        <v>46038</v>
      </c>
      <c r="C4876" t="s">
        <v>1712</v>
      </c>
      <c r="D4876" t="s">
        <v>70</v>
      </c>
      <c r="E4876" t="s">
        <v>71</v>
      </c>
      <c r="F4876">
        <v>1</v>
      </c>
      <c r="G4876">
        <v>0.2</v>
      </c>
      <c r="H4876">
        <v>14400</v>
      </c>
      <c r="I4876">
        <v>1876.83</v>
      </c>
      <c r="J4876" t="s">
        <v>65</v>
      </c>
      <c r="K4876" t="s">
        <v>40</v>
      </c>
      <c r="L4876">
        <v>14400</v>
      </c>
      <c r="M4876">
        <v>13.033541666666659</v>
      </c>
      <c r="N4876" t="s">
        <v>8</v>
      </c>
      <c r="O4876" t="s">
        <v>390</v>
      </c>
      <c r="P4876" t="s">
        <v>29</v>
      </c>
      <c r="Q4876" t="s">
        <v>42</v>
      </c>
      <c r="R4876" t="s">
        <v>43</v>
      </c>
      <c r="S4876" t="s">
        <v>44</v>
      </c>
      <c r="T4876" t="s">
        <v>1713</v>
      </c>
      <c r="U4876" t="s">
        <v>46</v>
      </c>
      <c r="V4876">
        <v>1876.83</v>
      </c>
    </row>
    <row r="4877" spans="1:22" x14ac:dyDescent="0.3">
      <c r="A4877" t="s">
        <v>6359</v>
      </c>
      <c r="B4877" s="2">
        <v>45963</v>
      </c>
      <c r="C4877" t="s">
        <v>3304</v>
      </c>
      <c r="D4877" t="s">
        <v>24</v>
      </c>
      <c r="E4877" t="s">
        <v>87</v>
      </c>
      <c r="F4877">
        <v>15</v>
      </c>
      <c r="G4877">
        <v>0</v>
      </c>
      <c r="H4877">
        <v>5250</v>
      </c>
      <c r="I4877">
        <v>1800</v>
      </c>
      <c r="J4877" t="s">
        <v>39</v>
      </c>
      <c r="K4877" t="s">
        <v>27</v>
      </c>
      <c r="L4877">
        <v>350</v>
      </c>
      <c r="M4877">
        <v>34.285714285714278</v>
      </c>
      <c r="N4877" t="s">
        <v>8</v>
      </c>
      <c r="O4877" t="s">
        <v>3305</v>
      </c>
      <c r="P4877" t="s">
        <v>29</v>
      </c>
      <c r="Q4877" t="s">
        <v>131</v>
      </c>
      <c r="R4877" t="s">
        <v>200</v>
      </c>
      <c r="S4877" t="s">
        <v>201</v>
      </c>
      <c r="T4877" t="s">
        <v>403</v>
      </c>
      <c r="U4877" t="s">
        <v>46</v>
      </c>
      <c r="V4877">
        <v>120</v>
      </c>
    </row>
    <row r="4878" spans="1:22" x14ac:dyDescent="0.3">
      <c r="A4878" t="s">
        <v>6360</v>
      </c>
      <c r="B4878" s="2">
        <v>45956</v>
      </c>
      <c r="C4878" t="s">
        <v>974</v>
      </c>
      <c r="D4878" t="s">
        <v>70</v>
      </c>
      <c r="E4878" t="s">
        <v>165</v>
      </c>
      <c r="F4878">
        <v>1</v>
      </c>
      <c r="G4878">
        <v>0.1</v>
      </c>
      <c r="H4878">
        <v>2250</v>
      </c>
      <c r="I4878">
        <v>590.99</v>
      </c>
      <c r="J4878" t="s">
        <v>51</v>
      </c>
      <c r="K4878" t="s">
        <v>40</v>
      </c>
      <c r="L4878">
        <v>2250</v>
      </c>
      <c r="M4878">
        <v>26.266222222222229</v>
      </c>
      <c r="N4878" t="s">
        <v>8</v>
      </c>
      <c r="O4878" t="s">
        <v>975</v>
      </c>
      <c r="P4878" t="s">
        <v>73</v>
      </c>
      <c r="Q4878" t="s">
        <v>42</v>
      </c>
      <c r="R4878" t="s">
        <v>43</v>
      </c>
      <c r="S4878" t="s">
        <v>44</v>
      </c>
      <c r="T4878" t="s">
        <v>976</v>
      </c>
      <c r="U4878" t="s">
        <v>100</v>
      </c>
      <c r="V4878">
        <v>590.99</v>
      </c>
    </row>
    <row r="4879" spans="1:22" x14ac:dyDescent="0.3">
      <c r="A4879" t="s">
        <v>6361</v>
      </c>
      <c r="B4879" s="2">
        <v>45887</v>
      </c>
      <c r="C4879" t="s">
        <v>838</v>
      </c>
      <c r="D4879" t="s">
        <v>37</v>
      </c>
      <c r="E4879" t="s">
        <v>190</v>
      </c>
      <c r="F4879">
        <v>1</v>
      </c>
      <c r="G4879">
        <v>0.15</v>
      </c>
      <c r="H4879">
        <v>3570</v>
      </c>
      <c r="I4879">
        <v>742.36</v>
      </c>
      <c r="J4879" t="s">
        <v>26</v>
      </c>
      <c r="K4879" t="s">
        <v>40</v>
      </c>
      <c r="L4879">
        <v>3570</v>
      </c>
      <c r="M4879">
        <v>20.794397759103639</v>
      </c>
      <c r="N4879" t="s">
        <v>8</v>
      </c>
      <c r="O4879" t="s">
        <v>839</v>
      </c>
      <c r="P4879" t="s">
        <v>73</v>
      </c>
      <c r="Q4879" t="s">
        <v>30</v>
      </c>
      <c r="R4879" t="s">
        <v>31</v>
      </c>
      <c r="S4879" t="s">
        <v>32</v>
      </c>
      <c r="T4879" t="s">
        <v>840</v>
      </c>
      <c r="U4879" t="s">
        <v>100</v>
      </c>
      <c r="V4879">
        <v>742.36</v>
      </c>
    </row>
    <row r="4880" spans="1:22" x14ac:dyDescent="0.3">
      <c r="A4880" t="s">
        <v>6362</v>
      </c>
      <c r="B4880" s="2">
        <v>45915</v>
      </c>
      <c r="C4880" t="s">
        <v>907</v>
      </c>
      <c r="D4880" t="s">
        <v>24</v>
      </c>
      <c r="E4880" t="s">
        <v>242</v>
      </c>
      <c r="F4880">
        <v>4</v>
      </c>
      <c r="G4880">
        <v>0.2</v>
      </c>
      <c r="H4880">
        <v>1440</v>
      </c>
      <c r="I4880">
        <v>258.77999999999997</v>
      </c>
      <c r="J4880" t="s">
        <v>51</v>
      </c>
      <c r="K4880" t="s">
        <v>40</v>
      </c>
      <c r="L4880">
        <v>360</v>
      </c>
      <c r="M4880">
        <v>17.970833333333331</v>
      </c>
      <c r="N4880" t="s">
        <v>8</v>
      </c>
      <c r="O4880" t="s">
        <v>908</v>
      </c>
      <c r="P4880" t="s">
        <v>29</v>
      </c>
      <c r="Q4880" t="s">
        <v>30</v>
      </c>
      <c r="R4880" t="s">
        <v>60</v>
      </c>
      <c r="S4880" t="s">
        <v>61</v>
      </c>
      <c r="T4880" t="s">
        <v>486</v>
      </c>
      <c r="U4880" t="s">
        <v>34</v>
      </c>
      <c r="V4880">
        <v>64.694999999999993</v>
      </c>
    </row>
    <row r="4881" spans="1:22" x14ac:dyDescent="0.3">
      <c r="A4881" t="s">
        <v>6363</v>
      </c>
      <c r="B4881" s="2">
        <v>46254</v>
      </c>
      <c r="C4881" t="s">
        <v>736</v>
      </c>
      <c r="D4881" t="s">
        <v>70</v>
      </c>
      <c r="E4881" t="s">
        <v>129</v>
      </c>
      <c r="F4881">
        <v>1</v>
      </c>
      <c r="G4881">
        <v>0.15</v>
      </c>
      <c r="H4881">
        <v>46750</v>
      </c>
      <c r="I4881">
        <v>4685.6499999999996</v>
      </c>
      <c r="J4881" t="s">
        <v>39</v>
      </c>
      <c r="K4881" t="s">
        <v>40</v>
      </c>
      <c r="L4881">
        <v>46750</v>
      </c>
      <c r="M4881">
        <v>10.0227807486631</v>
      </c>
      <c r="N4881" t="s">
        <v>8</v>
      </c>
      <c r="O4881" t="s">
        <v>648</v>
      </c>
      <c r="P4881" t="s">
        <v>29</v>
      </c>
      <c r="Q4881" t="s">
        <v>30</v>
      </c>
      <c r="R4881" t="s">
        <v>60</v>
      </c>
      <c r="S4881" t="s">
        <v>61</v>
      </c>
      <c r="T4881" t="s">
        <v>311</v>
      </c>
      <c r="U4881" t="s">
        <v>34</v>
      </c>
      <c r="V4881">
        <v>4685.6499999999996</v>
      </c>
    </row>
    <row r="4882" spans="1:22" x14ac:dyDescent="0.3">
      <c r="A4882" t="s">
        <v>6364</v>
      </c>
      <c r="B4882" s="2">
        <v>46007</v>
      </c>
      <c r="C4882" t="s">
        <v>1777</v>
      </c>
      <c r="D4882" t="s">
        <v>49</v>
      </c>
      <c r="E4882" t="s">
        <v>58</v>
      </c>
      <c r="F4882">
        <v>3</v>
      </c>
      <c r="G4882">
        <v>0.15</v>
      </c>
      <c r="H4882">
        <v>38250</v>
      </c>
      <c r="I4882">
        <v>6300.69</v>
      </c>
      <c r="J4882" t="s">
        <v>39</v>
      </c>
      <c r="K4882" t="s">
        <v>40</v>
      </c>
      <c r="L4882">
        <v>12750</v>
      </c>
      <c r="M4882">
        <v>16.47239215686275</v>
      </c>
      <c r="N4882" t="s">
        <v>8</v>
      </c>
      <c r="O4882" t="s">
        <v>322</v>
      </c>
      <c r="P4882" t="s">
        <v>83</v>
      </c>
      <c r="Q4882" t="s">
        <v>30</v>
      </c>
      <c r="R4882" t="s">
        <v>31</v>
      </c>
      <c r="S4882" t="s">
        <v>32</v>
      </c>
      <c r="T4882" t="s">
        <v>1778</v>
      </c>
      <c r="U4882" t="s">
        <v>34</v>
      </c>
      <c r="V4882">
        <v>2100.23</v>
      </c>
    </row>
    <row r="4883" spans="1:22" x14ac:dyDescent="0.3">
      <c r="A4883" t="s">
        <v>6365</v>
      </c>
      <c r="B4883" s="2">
        <v>45883</v>
      </c>
      <c r="C4883" t="s">
        <v>2972</v>
      </c>
      <c r="D4883" t="s">
        <v>70</v>
      </c>
      <c r="E4883" t="s">
        <v>129</v>
      </c>
      <c r="F4883">
        <v>1</v>
      </c>
      <c r="G4883">
        <v>0.05</v>
      </c>
      <c r="H4883">
        <v>52250</v>
      </c>
      <c r="I4883">
        <v>7074.23</v>
      </c>
      <c r="J4883" t="s">
        <v>26</v>
      </c>
      <c r="K4883" t="s">
        <v>40</v>
      </c>
      <c r="L4883">
        <v>52250</v>
      </c>
      <c r="M4883">
        <v>13.539196172248801</v>
      </c>
      <c r="N4883" t="s">
        <v>8</v>
      </c>
      <c r="O4883" t="s">
        <v>870</v>
      </c>
      <c r="P4883" t="s">
        <v>83</v>
      </c>
      <c r="Q4883" t="s">
        <v>30</v>
      </c>
      <c r="R4883" t="s">
        <v>60</v>
      </c>
      <c r="S4883" t="s">
        <v>61</v>
      </c>
      <c r="T4883" t="s">
        <v>898</v>
      </c>
      <c r="U4883" t="s">
        <v>34</v>
      </c>
      <c r="V4883">
        <v>7074.23</v>
      </c>
    </row>
    <row r="4884" spans="1:22" x14ac:dyDescent="0.3">
      <c r="A4884" t="s">
        <v>6366</v>
      </c>
      <c r="B4884" s="2">
        <v>46013</v>
      </c>
      <c r="C4884" t="s">
        <v>1017</v>
      </c>
      <c r="D4884" t="s">
        <v>70</v>
      </c>
      <c r="E4884" t="s">
        <v>108</v>
      </c>
      <c r="F4884">
        <v>5</v>
      </c>
      <c r="G4884">
        <v>0.05</v>
      </c>
      <c r="H4884">
        <v>21375</v>
      </c>
      <c r="I4884">
        <v>6777.74</v>
      </c>
      <c r="J4884" t="s">
        <v>39</v>
      </c>
      <c r="K4884" t="s">
        <v>40</v>
      </c>
      <c r="L4884">
        <v>4275</v>
      </c>
      <c r="M4884">
        <v>31.70872514619883</v>
      </c>
      <c r="N4884" t="s">
        <v>8</v>
      </c>
      <c r="O4884" t="s">
        <v>1018</v>
      </c>
      <c r="P4884" t="s">
        <v>83</v>
      </c>
      <c r="Q4884" t="s">
        <v>30</v>
      </c>
      <c r="R4884" t="s">
        <v>98</v>
      </c>
      <c r="S4884" t="s">
        <v>54</v>
      </c>
      <c r="T4884" t="s">
        <v>1019</v>
      </c>
      <c r="U4884" t="s">
        <v>46</v>
      </c>
      <c r="V4884">
        <v>1355.548</v>
      </c>
    </row>
    <row r="4885" spans="1:22" x14ac:dyDescent="0.3">
      <c r="A4885" t="s">
        <v>6367</v>
      </c>
      <c r="B4885" s="2">
        <v>45988</v>
      </c>
      <c r="C4885" t="s">
        <v>152</v>
      </c>
      <c r="D4885" t="s">
        <v>70</v>
      </c>
      <c r="E4885" t="s">
        <v>129</v>
      </c>
      <c r="F4885">
        <v>1</v>
      </c>
      <c r="G4885">
        <v>0.15</v>
      </c>
      <c r="H4885">
        <v>46750</v>
      </c>
      <c r="I4885">
        <v>4731.9399999999996</v>
      </c>
      <c r="J4885" t="s">
        <v>26</v>
      </c>
      <c r="K4885" t="s">
        <v>27</v>
      </c>
      <c r="L4885">
        <v>46750</v>
      </c>
      <c r="M4885">
        <v>10.121796791443851</v>
      </c>
      <c r="N4885" t="s">
        <v>8</v>
      </c>
      <c r="O4885" t="s">
        <v>153</v>
      </c>
      <c r="P4885" t="s">
        <v>83</v>
      </c>
      <c r="Q4885" t="s">
        <v>30</v>
      </c>
      <c r="R4885" t="s">
        <v>53</v>
      </c>
      <c r="S4885" t="s">
        <v>54</v>
      </c>
      <c r="T4885" t="s">
        <v>154</v>
      </c>
      <c r="U4885" t="s">
        <v>100</v>
      </c>
      <c r="V4885">
        <v>4731.9399999999996</v>
      </c>
    </row>
    <row r="4886" spans="1:22" x14ac:dyDescent="0.3">
      <c r="A4886" t="s">
        <v>6368</v>
      </c>
      <c r="B4886" s="2">
        <v>46230</v>
      </c>
      <c r="C4886" t="s">
        <v>664</v>
      </c>
      <c r="D4886" t="s">
        <v>24</v>
      </c>
      <c r="E4886" t="s">
        <v>87</v>
      </c>
      <c r="F4886">
        <v>2</v>
      </c>
      <c r="G4886">
        <v>0.1</v>
      </c>
      <c r="H4886">
        <v>630</v>
      </c>
      <c r="I4886">
        <v>-24.12</v>
      </c>
      <c r="J4886" t="s">
        <v>65</v>
      </c>
      <c r="K4886" t="s">
        <v>434</v>
      </c>
      <c r="L4886">
        <v>315</v>
      </c>
      <c r="M4886">
        <v>-3.8285714285714278</v>
      </c>
      <c r="N4886" t="s">
        <v>81</v>
      </c>
      <c r="O4886" t="s">
        <v>665</v>
      </c>
      <c r="P4886" t="s">
        <v>29</v>
      </c>
      <c r="Q4886" t="s">
        <v>30</v>
      </c>
      <c r="R4886" t="s">
        <v>31</v>
      </c>
      <c r="S4886" t="s">
        <v>32</v>
      </c>
      <c r="T4886" t="s">
        <v>256</v>
      </c>
      <c r="U4886" t="s">
        <v>34</v>
      </c>
      <c r="V4886">
        <v>-12.06</v>
      </c>
    </row>
    <row r="4887" spans="1:22" x14ac:dyDescent="0.3">
      <c r="A4887" t="s">
        <v>6369</v>
      </c>
      <c r="B4887" s="2">
        <v>46060</v>
      </c>
      <c r="C4887" t="s">
        <v>417</v>
      </c>
      <c r="D4887" t="s">
        <v>70</v>
      </c>
      <c r="E4887" t="s">
        <v>165</v>
      </c>
      <c r="F4887">
        <v>6</v>
      </c>
      <c r="G4887">
        <v>0</v>
      </c>
      <c r="H4887">
        <v>15000</v>
      </c>
      <c r="I4887">
        <v>4800</v>
      </c>
      <c r="J4887" t="s">
        <v>39</v>
      </c>
      <c r="K4887" t="s">
        <v>40</v>
      </c>
      <c r="L4887">
        <v>2500</v>
      </c>
      <c r="M4887">
        <v>32</v>
      </c>
      <c r="N4887" t="s">
        <v>8</v>
      </c>
      <c r="O4887" t="s">
        <v>418</v>
      </c>
      <c r="P4887" t="s">
        <v>29</v>
      </c>
      <c r="Q4887" t="s">
        <v>30</v>
      </c>
      <c r="R4887" t="s">
        <v>60</v>
      </c>
      <c r="S4887" t="s">
        <v>61</v>
      </c>
      <c r="T4887" t="s">
        <v>419</v>
      </c>
      <c r="U4887" t="s">
        <v>34</v>
      </c>
      <c r="V4887">
        <v>800</v>
      </c>
    </row>
    <row r="4888" spans="1:22" x14ac:dyDescent="0.3">
      <c r="A4888" t="s">
        <v>6370</v>
      </c>
      <c r="B4888" s="2">
        <v>45977</v>
      </c>
      <c r="C4888" t="s">
        <v>543</v>
      </c>
      <c r="D4888" t="s">
        <v>24</v>
      </c>
      <c r="E4888" t="s">
        <v>87</v>
      </c>
      <c r="F4888">
        <v>3</v>
      </c>
      <c r="G4888">
        <v>0</v>
      </c>
      <c r="H4888">
        <v>1050</v>
      </c>
      <c r="I4888">
        <v>360</v>
      </c>
      <c r="J4888" t="s">
        <v>65</v>
      </c>
      <c r="K4888" t="s">
        <v>40</v>
      </c>
      <c r="L4888">
        <v>350</v>
      </c>
      <c r="M4888">
        <v>34.285714285714278</v>
      </c>
      <c r="N4888" t="s">
        <v>8</v>
      </c>
      <c r="O4888" t="s">
        <v>545</v>
      </c>
      <c r="P4888" t="s">
        <v>83</v>
      </c>
      <c r="Q4888" t="s">
        <v>74</v>
      </c>
      <c r="R4888" t="s">
        <v>75</v>
      </c>
      <c r="S4888" t="s">
        <v>75</v>
      </c>
      <c r="T4888" t="s">
        <v>546</v>
      </c>
      <c r="U4888" t="s">
        <v>34</v>
      </c>
      <c r="V4888">
        <v>120</v>
      </c>
    </row>
    <row r="4889" spans="1:22" x14ac:dyDescent="0.3">
      <c r="A4889" t="s">
        <v>6371</v>
      </c>
      <c r="B4889" s="2">
        <v>45946</v>
      </c>
      <c r="C4889" t="s">
        <v>182</v>
      </c>
      <c r="D4889" t="s">
        <v>24</v>
      </c>
      <c r="E4889" t="s">
        <v>92</v>
      </c>
      <c r="F4889">
        <v>3</v>
      </c>
      <c r="G4889">
        <v>0</v>
      </c>
      <c r="H4889">
        <v>2700</v>
      </c>
      <c r="I4889">
        <v>840</v>
      </c>
      <c r="J4889" t="s">
        <v>51</v>
      </c>
      <c r="K4889" t="s">
        <v>40</v>
      </c>
      <c r="L4889">
        <v>900</v>
      </c>
      <c r="M4889">
        <v>31.111111111111111</v>
      </c>
      <c r="N4889" t="s">
        <v>8</v>
      </c>
      <c r="O4889" t="s">
        <v>183</v>
      </c>
      <c r="P4889" t="s">
        <v>73</v>
      </c>
      <c r="Q4889" t="s">
        <v>30</v>
      </c>
      <c r="R4889" t="s">
        <v>53</v>
      </c>
      <c r="S4889" t="s">
        <v>54</v>
      </c>
      <c r="T4889" t="s">
        <v>184</v>
      </c>
      <c r="U4889" t="s">
        <v>34</v>
      </c>
      <c r="V4889">
        <v>280</v>
      </c>
    </row>
    <row r="4890" spans="1:22" x14ac:dyDescent="0.3">
      <c r="A4890" t="s">
        <v>6372</v>
      </c>
      <c r="B4890" s="2">
        <v>46189</v>
      </c>
      <c r="C4890" t="s">
        <v>834</v>
      </c>
      <c r="D4890" t="s">
        <v>70</v>
      </c>
      <c r="E4890" t="s">
        <v>108</v>
      </c>
      <c r="F4890">
        <v>1</v>
      </c>
      <c r="G4890">
        <v>0.1</v>
      </c>
      <c r="H4890">
        <v>4050</v>
      </c>
      <c r="I4890">
        <v>1269.83</v>
      </c>
      <c r="J4890" t="s">
        <v>65</v>
      </c>
      <c r="K4890" t="s">
        <v>40</v>
      </c>
      <c r="L4890">
        <v>4050</v>
      </c>
      <c r="M4890">
        <v>31.353827160493829</v>
      </c>
      <c r="N4890" t="s">
        <v>8</v>
      </c>
      <c r="O4890" t="s">
        <v>549</v>
      </c>
      <c r="P4890" t="s">
        <v>29</v>
      </c>
      <c r="Q4890" t="s">
        <v>74</v>
      </c>
      <c r="R4890" t="s">
        <v>115</v>
      </c>
      <c r="S4890" t="s">
        <v>115</v>
      </c>
      <c r="T4890" t="s">
        <v>835</v>
      </c>
      <c r="U4890" t="s">
        <v>34</v>
      </c>
      <c r="V4890">
        <v>1269.83</v>
      </c>
    </row>
    <row r="4891" spans="1:22" x14ac:dyDescent="0.3">
      <c r="A4891" t="s">
        <v>6373</v>
      </c>
      <c r="B4891" s="2">
        <v>46037</v>
      </c>
      <c r="C4891" t="s">
        <v>2308</v>
      </c>
      <c r="D4891" t="s">
        <v>24</v>
      </c>
      <c r="E4891" t="s">
        <v>87</v>
      </c>
      <c r="F4891">
        <v>6</v>
      </c>
      <c r="G4891">
        <v>0.1</v>
      </c>
      <c r="H4891">
        <v>1890</v>
      </c>
      <c r="I4891">
        <v>-368.45</v>
      </c>
      <c r="J4891" t="s">
        <v>65</v>
      </c>
      <c r="K4891" t="s">
        <v>434</v>
      </c>
      <c r="L4891">
        <v>315</v>
      </c>
      <c r="M4891">
        <v>-19.49470899470899</v>
      </c>
      <c r="N4891" t="s">
        <v>81</v>
      </c>
      <c r="O4891" t="s">
        <v>2211</v>
      </c>
      <c r="P4891" t="s">
        <v>29</v>
      </c>
      <c r="Q4891" t="s">
        <v>42</v>
      </c>
      <c r="R4891" t="s">
        <v>121</v>
      </c>
      <c r="S4891" t="s">
        <v>44</v>
      </c>
      <c r="T4891" t="s">
        <v>763</v>
      </c>
      <c r="U4891" t="s">
        <v>46</v>
      </c>
      <c r="V4891">
        <v>-61.408333333333331</v>
      </c>
    </row>
    <row r="4892" spans="1:22" x14ac:dyDescent="0.3">
      <c r="A4892" t="s">
        <v>6374</v>
      </c>
      <c r="B4892" s="2">
        <v>46180</v>
      </c>
      <c r="C4892" t="s">
        <v>1493</v>
      </c>
      <c r="D4892" t="s">
        <v>37</v>
      </c>
      <c r="E4892" t="s">
        <v>170</v>
      </c>
      <c r="F4892">
        <v>4</v>
      </c>
      <c r="G4892">
        <v>0.05</v>
      </c>
      <c r="H4892">
        <v>5320</v>
      </c>
      <c r="I4892">
        <v>407.23</v>
      </c>
      <c r="J4892" t="s">
        <v>51</v>
      </c>
      <c r="K4892" t="s">
        <v>80</v>
      </c>
      <c r="L4892">
        <v>1330</v>
      </c>
      <c r="M4892">
        <v>7.654699248120302</v>
      </c>
      <c r="N4892" t="s">
        <v>8</v>
      </c>
      <c r="O4892" t="s">
        <v>1494</v>
      </c>
      <c r="P4892" t="s">
        <v>73</v>
      </c>
      <c r="Q4892" t="s">
        <v>131</v>
      </c>
      <c r="R4892" t="s">
        <v>449</v>
      </c>
      <c r="S4892" t="s">
        <v>450</v>
      </c>
      <c r="T4892" t="s">
        <v>1495</v>
      </c>
      <c r="U4892" t="s">
        <v>34</v>
      </c>
      <c r="V4892">
        <v>101.8075</v>
      </c>
    </row>
    <row r="4893" spans="1:22" x14ac:dyDescent="0.3">
      <c r="A4893" t="s">
        <v>6375</v>
      </c>
      <c r="B4893" s="2">
        <v>45889</v>
      </c>
      <c r="C4893" t="s">
        <v>254</v>
      </c>
      <c r="D4893" t="s">
        <v>49</v>
      </c>
      <c r="E4893" t="s">
        <v>58</v>
      </c>
      <c r="F4893">
        <v>1</v>
      </c>
      <c r="G4893">
        <v>0.3</v>
      </c>
      <c r="H4893">
        <v>10500</v>
      </c>
      <c r="I4893">
        <v>1461.15</v>
      </c>
      <c r="J4893" t="s">
        <v>39</v>
      </c>
      <c r="K4893" t="s">
        <v>27</v>
      </c>
      <c r="L4893">
        <v>10500</v>
      </c>
      <c r="M4893">
        <v>13.915714285714291</v>
      </c>
      <c r="N4893" t="s">
        <v>8</v>
      </c>
      <c r="O4893" t="s">
        <v>255</v>
      </c>
      <c r="P4893" t="s">
        <v>29</v>
      </c>
      <c r="Q4893" t="s">
        <v>30</v>
      </c>
      <c r="R4893" t="s">
        <v>53</v>
      </c>
      <c r="S4893" t="s">
        <v>54</v>
      </c>
      <c r="T4893" t="s">
        <v>256</v>
      </c>
      <c r="U4893" t="s">
        <v>46</v>
      </c>
      <c r="V4893">
        <v>1461.15</v>
      </c>
    </row>
    <row r="4894" spans="1:22" x14ac:dyDescent="0.3">
      <c r="A4894" t="s">
        <v>6376</v>
      </c>
      <c r="B4894" s="2">
        <v>45855</v>
      </c>
      <c r="C4894" t="s">
        <v>1152</v>
      </c>
      <c r="D4894" t="s">
        <v>37</v>
      </c>
      <c r="E4894" t="s">
        <v>190</v>
      </c>
      <c r="F4894">
        <v>15</v>
      </c>
      <c r="G4894">
        <v>0.1</v>
      </c>
      <c r="H4894">
        <v>56700</v>
      </c>
      <c r="I4894">
        <v>14605.15</v>
      </c>
      <c r="J4894" t="s">
        <v>39</v>
      </c>
      <c r="K4894" t="s">
        <v>40</v>
      </c>
      <c r="L4894">
        <v>3780</v>
      </c>
      <c r="M4894">
        <v>25.758641975308649</v>
      </c>
      <c r="N4894" t="s">
        <v>8</v>
      </c>
      <c r="O4894" t="s">
        <v>995</v>
      </c>
      <c r="P4894" t="s">
        <v>29</v>
      </c>
      <c r="Q4894" t="s">
        <v>30</v>
      </c>
      <c r="R4894" t="s">
        <v>31</v>
      </c>
      <c r="S4894" t="s">
        <v>32</v>
      </c>
      <c r="T4894" t="s">
        <v>960</v>
      </c>
      <c r="U4894" t="s">
        <v>100</v>
      </c>
      <c r="V4894">
        <v>973.67666666666662</v>
      </c>
    </row>
    <row r="4895" spans="1:22" x14ac:dyDescent="0.3">
      <c r="A4895" t="s">
        <v>6377</v>
      </c>
      <c r="B4895" s="2">
        <v>46008</v>
      </c>
      <c r="C4895" t="s">
        <v>1346</v>
      </c>
      <c r="D4895" t="s">
        <v>24</v>
      </c>
      <c r="E4895" t="s">
        <v>25</v>
      </c>
      <c r="F4895">
        <v>3</v>
      </c>
      <c r="G4895">
        <v>0.2</v>
      </c>
      <c r="H4895">
        <v>33600</v>
      </c>
      <c r="I4895">
        <v>-10594.55</v>
      </c>
      <c r="J4895" t="s">
        <v>39</v>
      </c>
      <c r="K4895" t="s">
        <v>434</v>
      </c>
      <c r="L4895">
        <v>11200</v>
      </c>
      <c r="M4895">
        <v>-31.531398809523811</v>
      </c>
      <c r="N4895" t="s">
        <v>81</v>
      </c>
      <c r="O4895" t="s">
        <v>825</v>
      </c>
      <c r="P4895" t="s">
        <v>73</v>
      </c>
      <c r="Q4895" t="s">
        <v>30</v>
      </c>
      <c r="R4895" t="s">
        <v>98</v>
      </c>
      <c r="S4895" t="s">
        <v>54</v>
      </c>
      <c r="T4895" t="s">
        <v>1347</v>
      </c>
      <c r="U4895" t="s">
        <v>34</v>
      </c>
      <c r="V4895">
        <v>-3531.516666666666</v>
      </c>
    </row>
    <row r="4896" spans="1:22" x14ac:dyDescent="0.3">
      <c r="A4896" t="s">
        <v>6378</v>
      </c>
      <c r="B4896" s="2">
        <v>45843</v>
      </c>
      <c r="C4896" t="s">
        <v>640</v>
      </c>
      <c r="D4896" t="s">
        <v>24</v>
      </c>
      <c r="E4896" t="s">
        <v>87</v>
      </c>
      <c r="F4896">
        <v>2</v>
      </c>
      <c r="G4896">
        <v>0.15</v>
      </c>
      <c r="H4896">
        <v>595</v>
      </c>
      <c r="I4896">
        <v>180.33</v>
      </c>
      <c r="J4896" t="s">
        <v>65</v>
      </c>
      <c r="K4896" t="s">
        <v>40</v>
      </c>
      <c r="L4896">
        <v>297.5</v>
      </c>
      <c r="M4896">
        <v>30.30756302521009</v>
      </c>
      <c r="N4896" t="s">
        <v>8</v>
      </c>
      <c r="O4896" t="s">
        <v>641</v>
      </c>
      <c r="P4896" t="s">
        <v>29</v>
      </c>
      <c r="Q4896" t="s">
        <v>30</v>
      </c>
      <c r="R4896" t="s">
        <v>31</v>
      </c>
      <c r="S4896" t="s">
        <v>32</v>
      </c>
      <c r="T4896" t="s">
        <v>642</v>
      </c>
      <c r="U4896" t="s">
        <v>34</v>
      </c>
      <c r="V4896">
        <v>90.165000000000006</v>
      </c>
    </row>
    <row r="4897" spans="1:22" x14ac:dyDescent="0.3">
      <c r="A4897" t="s">
        <v>6379</v>
      </c>
      <c r="B4897" s="2">
        <v>46098</v>
      </c>
      <c r="C4897" t="s">
        <v>397</v>
      </c>
      <c r="D4897" t="s">
        <v>49</v>
      </c>
      <c r="E4897" t="s">
        <v>119</v>
      </c>
      <c r="F4897">
        <v>2</v>
      </c>
      <c r="G4897">
        <v>0.15</v>
      </c>
      <c r="H4897">
        <v>15300</v>
      </c>
      <c r="I4897">
        <v>-1382.15</v>
      </c>
      <c r="J4897" t="s">
        <v>39</v>
      </c>
      <c r="K4897" t="s">
        <v>434</v>
      </c>
      <c r="L4897">
        <v>7650</v>
      </c>
      <c r="M4897">
        <v>-9.033660130718955</v>
      </c>
      <c r="N4897" t="s">
        <v>81</v>
      </c>
      <c r="O4897" t="s">
        <v>398</v>
      </c>
      <c r="P4897" t="s">
        <v>73</v>
      </c>
      <c r="Q4897" t="s">
        <v>30</v>
      </c>
      <c r="R4897" t="s">
        <v>98</v>
      </c>
      <c r="S4897" t="s">
        <v>54</v>
      </c>
      <c r="T4897" t="s">
        <v>399</v>
      </c>
      <c r="U4897" t="s">
        <v>34</v>
      </c>
      <c r="V4897">
        <v>-691.07500000000005</v>
      </c>
    </row>
    <row r="4898" spans="1:22" x14ac:dyDescent="0.3">
      <c r="A4898" t="s">
        <v>6380</v>
      </c>
      <c r="B4898" s="2">
        <v>45900</v>
      </c>
      <c r="C4898" t="s">
        <v>144</v>
      </c>
      <c r="D4898" t="s">
        <v>49</v>
      </c>
      <c r="E4898" t="s">
        <v>119</v>
      </c>
      <c r="F4898">
        <v>1</v>
      </c>
      <c r="G4898">
        <v>0.2</v>
      </c>
      <c r="H4898">
        <v>7200</v>
      </c>
      <c r="I4898">
        <v>930.11</v>
      </c>
      <c r="J4898" t="s">
        <v>39</v>
      </c>
      <c r="K4898" t="s">
        <v>40</v>
      </c>
      <c r="L4898">
        <v>7200</v>
      </c>
      <c r="M4898">
        <v>12.918194444444451</v>
      </c>
      <c r="N4898" t="s">
        <v>8</v>
      </c>
      <c r="O4898" t="s">
        <v>145</v>
      </c>
      <c r="P4898" t="s">
        <v>83</v>
      </c>
      <c r="Q4898" t="s">
        <v>30</v>
      </c>
      <c r="R4898" t="s">
        <v>60</v>
      </c>
      <c r="S4898" t="s">
        <v>61</v>
      </c>
      <c r="T4898" t="s">
        <v>146</v>
      </c>
      <c r="U4898" t="s">
        <v>105</v>
      </c>
      <c r="V4898">
        <v>930.11</v>
      </c>
    </row>
    <row r="4899" spans="1:22" x14ac:dyDescent="0.3">
      <c r="A4899" t="s">
        <v>6381</v>
      </c>
      <c r="B4899" s="2">
        <v>45973</v>
      </c>
      <c r="C4899" t="s">
        <v>2428</v>
      </c>
      <c r="D4899" t="s">
        <v>24</v>
      </c>
      <c r="E4899" t="s">
        <v>92</v>
      </c>
      <c r="F4899">
        <v>2</v>
      </c>
      <c r="G4899">
        <v>0.05</v>
      </c>
      <c r="H4899">
        <v>1710</v>
      </c>
      <c r="I4899">
        <v>501.93</v>
      </c>
      <c r="J4899" t="s">
        <v>26</v>
      </c>
      <c r="K4899" t="s">
        <v>40</v>
      </c>
      <c r="L4899">
        <v>855</v>
      </c>
      <c r="M4899">
        <v>29.352631578947371</v>
      </c>
      <c r="N4899" t="s">
        <v>8</v>
      </c>
      <c r="O4899" t="s">
        <v>349</v>
      </c>
      <c r="P4899" t="s">
        <v>73</v>
      </c>
      <c r="Q4899" t="s">
        <v>74</v>
      </c>
      <c r="R4899" t="s">
        <v>493</v>
      </c>
      <c r="S4899" t="s">
        <v>494</v>
      </c>
      <c r="T4899" t="s">
        <v>2429</v>
      </c>
      <c r="U4899" t="s">
        <v>105</v>
      </c>
      <c r="V4899">
        <v>250.965</v>
      </c>
    </row>
    <row r="4900" spans="1:22" x14ac:dyDescent="0.3">
      <c r="A4900" t="s">
        <v>6382</v>
      </c>
      <c r="B4900" s="2">
        <v>46154</v>
      </c>
      <c r="C4900" t="s">
        <v>189</v>
      </c>
      <c r="D4900" t="s">
        <v>70</v>
      </c>
      <c r="E4900" t="s">
        <v>129</v>
      </c>
      <c r="F4900">
        <v>1</v>
      </c>
      <c r="G4900">
        <v>0.05</v>
      </c>
      <c r="H4900">
        <v>52250</v>
      </c>
      <c r="I4900">
        <v>6721.29</v>
      </c>
      <c r="J4900" t="s">
        <v>26</v>
      </c>
      <c r="K4900" t="s">
        <v>40</v>
      </c>
      <c r="L4900">
        <v>52250</v>
      </c>
      <c r="M4900">
        <v>12.863712918660291</v>
      </c>
      <c r="N4900" t="s">
        <v>8</v>
      </c>
      <c r="O4900" t="s">
        <v>191</v>
      </c>
      <c r="P4900" t="s">
        <v>29</v>
      </c>
      <c r="Q4900" t="s">
        <v>30</v>
      </c>
      <c r="R4900" t="s">
        <v>31</v>
      </c>
      <c r="S4900" t="s">
        <v>32</v>
      </c>
      <c r="T4900" t="s">
        <v>192</v>
      </c>
      <c r="U4900" t="s">
        <v>34</v>
      </c>
      <c r="V4900">
        <v>6721.29</v>
      </c>
    </row>
    <row r="4901" spans="1:22" x14ac:dyDescent="0.3">
      <c r="A4901" t="s">
        <v>6383</v>
      </c>
      <c r="B4901" s="2">
        <v>45853</v>
      </c>
      <c r="C4901" t="s">
        <v>726</v>
      </c>
      <c r="D4901" t="s">
        <v>24</v>
      </c>
      <c r="E4901" t="s">
        <v>92</v>
      </c>
      <c r="F4901">
        <v>5</v>
      </c>
      <c r="G4901">
        <v>0.05</v>
      </c>
      <c r="H4901">
        <v>4275</v>
      </c>
      <c r="I4901">
        <v>-1579.42</v>
      </c>
      <c r="J4901" t="s">
        <v>26</v>
      </c>
      <c r="K4901" t="s">
        <v>434</v>
      </c>
      <c r="L4901">
        <v>855</v>
      </c>
      <c r="M4901">
        <v>-36.945497076023393</v>
      </c>
      <c r="N4901" t="s">
        <v>81</v>
      </c>
      <c r="O4901" t="s">
        <v>727</v>
      </c>
      <c r="P4901" t="s">
        <v>29</v>
      </c>
      <c r="Q4901" t="s">
        <v>30</v>
      </c>
      <c r="R4901" t="s">
        <v>31</v>
      </c>
      <c r="S4901" t="s">
        <v>32</v>
      </c>
      <c r="T4901" t="s">
        <v>33</v>
      </c>
      <c r="U4901" t="s">
        <v>34</v>
      </c>
      <c r="V4901">
        <v>-315.88400000000001</v>
      </c>
    </row>
    <row r="4902" spans="1:22" x14ac:dyDescent="0.3">
      <c r="A4902" t="s">
        <v>6384</v>
      </c>
      <c r="B4902" s="2">
        <v>46246</v>
      </c>
      <c r="C4902" t="s">
        <v>635</v>
      </c>
      <c r="D4902" t="s">
        <v>70</v>
      </c>
      <c r="E4902" t="s">
        <v>71</v>
      </c>
      <c r="F4902">
        <v>4</v>
      </c>
      <c r="G4902">
        <v>0.2</v>
      </c>
      <c r="H4902">
        <v>57600</v>
      </c>
      <c r="I4902">
        <v>3296.9</v>
      </c>
      <c r="J4902" t="s">
        <v>65</v>
      </c>
      <c r="K4902" t="s">
        <v>40</v>
      </c>
      <c r="L4902">
        <v>14400</v>
      </c>
      <c r="M4902">
        <v>5.7237847222222218</v>
      </c>
      <c r="N4902" t="s">
        <v>8</v>
      </c>
      <c r="O4902" t="s">
        <v>636</v>
      </c>
      <c r="P4902" t="s">
        <v>29</v>
      </c>
      <c r="Q4902" t="s">
        <v>42</v>
      </c>
      <c r="R4902" t="s">
        <v>214</v>
      </c>
      <c r="S4902" t="s">
        <v>111</v>
      </c>
      <c r="T4902" t="s">
        <v>637</v>
      </c>
      <c r="U4902" t="s">
        <v>100</v>
      </c>
      <c r="V4902">
        <v>824.22500000000002</v>
      </c>
    </row>
    <row r="4903" spans="1:22" x14ac:dyDescent="0.3">
      <c r="A4903" t="s">
        <v>6385</v>
      </c>
      <c r="B4903" s="2">
        <v>46001</v>
      </c>
      <c r="C4903" t="s">
        <v>351</v>
      </c>
      <c r="D4903" t="s">
        <v>37</v>
      </c>
      <c r="E4903" t="s">
        <v>38</v>
      </c>
      <c r="F4903">
        <v>5</v>
      </c>
      <c r="G4903">
        <v>0.05</v>
      </c>
      <c r="H4903">
        <v>8550</v>
      </c>
      <c r="I4903">
        <v>2926.6</v>
      </c>
      <c r="J4903" t="s">
        <v>26</v>
      </c>
      <c r="K4903" t="s">
        <v>40</v>
      </c>
      <c r="L4903">
        <v>1710</v>
      </c>
      <c r="M4903">
        <v>34.229239766081868</v>
      </c>
      <c r="N4903" t="s">
        <v>8</v>
      </c>
      <c r="O4903" t="s">
        <v>352</v>
      </c>
      <c r="P4903" t="s">
        <v>73</v>
      </c>
      <c r="Q4903" t="s">
        <v>30</v>
      </c>
      <c r="R4903" t="s">
        <v>31</v>
      </c>
      <c r="S4903" t="s">
        <v>32</v>
      </c>
      <c r="T4903" t="s">
        <v>338</v>
      </c>
      <c r="U4903" t="s">
        <v>100</v>
      </c>
      <c r="V4903">
        <v>585.31999999999994</v>
      </c>
    </row>
    <row r="4904" spans="1:22" x14ac:dyDescent="0.3">
      <c r="A4904" t="s">
        <v>6386</v>
      </c>
      <c r="B4904" s="2">
        <v>45935</v>
      </c>
      <c r="C4904" t="s">
        <v>1809</v>
      </c>
      <c r="D4904" t="s">
        <v>24</v>
      </c>
      <c r="E4904" t="s">
        <v>92</v>
      </c>
      <c r="F4904">
        <v>1</v>
      </c>
      <c r="G4904">
        <v>0</v>
      </c>
      <c r="H4904">
        <v>900</v>
      </c>
      <c r="I4904">
        <v>280</v>
      </c>
      <c r="J4904" t="s">
        <v>39</v>
      </c>
      <c r="K4904" t="s">
        <v>40</v>
      </c>
      <c r="L4904">
        <v>900</v>
      </c>
      <c r="M4904">
        <v>31.111111111111111</v>
      </c>
      <c r="N4904" t="s">
        <v>8</v>
      </c>
      <c r="O4904" t="s">
        <v>730</v>
      </c>
      <c r="P4904" t="s">
        <v>29</v>
      </c>
      <c r="Q4904" t="s">
        <v>74</v>
      </c>
      <c r="R4904" t="s">
        <v>115</v>
      </c>
      <c r="S4904" t="s">
        <v>115</v>
      </c>
      <c r="T4904" t="s">
        <v>1203</v>
      </c>
      <c r="U4904" t="s">
        <v>46</v>
      </c>
      <c r="V4904">
        <v>280</v>
      </c>
    </row>
    <row r="4905" spans="1:22" x14ac:dyDescent="0.3">
      <c r="A4905" t="s">
        <v>6387</v>
      </c>
      <c r="B4905" s="2">
        <v>46154</v>
      </c>
      <c r="C4905" t="s">
        <v>2881</v>
      </c>
      <c r="D4905" t="s">
        <v>37</v>
      </c>
      <c r="E4905" t="s">
        <v>190</v>
      </c>
      <c r="F4905">
        <v>1</v>
      </c>
      <c r="G4905">
        <v>0</v>
      </c>
      <c r="H4905">
        <v>4200</v>
      </c>
      <c r="I4905">
        <v>1200</v>
      </c>
      <c r="J4905" t="s">
        <v>51</v>
      </c>
      <c r="K4905" t="s">
        <v>40</v>
      </c>
      <c r="L4905">
        <v>4200</v>
      </c>
      <c r="M4905">
        <v>28.571428571428569</v>
      </c>
      <c r="N4905" t="s">
        <v>8</v>
      </c>
      <c r="O4905" t="s">
        <v>2301</v>
      </c>
      <c r="P4905" t="s">
        <v>73</v>
      </c>
      <c r="Q4905" t="s">
        <v>42</v>
      </c>
      <c r="R4905" t="s">
        <v>43</v>
      </c>
      <c r="S4905" t="s">
        <v>44</v>
      </c>
      <c r="T4905" t="s">
        <v>2882</v>
      </c>
      <c r="U4905" t="s">
        <v>100</v>
      </c>
      <c r="V4905">
        <v>1200</v>
      </c>
    </row>
    <row r="4906" spans="1:22" x14ac:dyDescent="0.3">
      <c r="A4906" t="s">
        <v>6388</v>
      </c>
      <c r="B4906" s="2">
        <v>46060</v>
      </c>
      <c r="C4906" t="s">
        <v>1423</v>
      </c>
      <c r="D4906" t="s">
        <v>70</v>
      </c>
      <c r="E4906" t="s">
        <v>71</v>
      </c>
      <c r="F4906">
        <v>5</v>
      </c>
      <c r="G4906">
        <v>0.15</v>
      </c>
      <c r="H4906">
        <v>76500</v>
      </c>
      <c r="I4906">
        <v>7087.86</v>
      </c>
      <c r="J4906" t="s">
        <v>39</v>
      </c>
      <c r="K4906" t="s">
        <v>40</v>
      </c>
      <c r="L4906">
        <v>15300</v>
      </c>
      <c r="M4906">
        <v>9.2651764705882353</v>
      </c>
      <c r="N4906" t="s">
        <v>8</v>
      </c>
      <c r="O4906" t="s">
        <v>1424</v>
      </c>
      <c r="P4906" t="s">
        <v>29</v>
      </c>
      <c r="Q4906" t="s">
        <v>74</v>
      </c>
      <c r="R4906" t="s">
        <v>75</v>
      </c>
      <c r="S4906" t="s">
        <v>75</v>
      </c>
      <c r="T4906" t="s">
        <v>1425</v>
      </c>
      <c r="U4906" t="s">
        <v>34</v>
      </c>
      <c r="V4906">
        <v>1417.5719999999999</v>
      </c>
    </row>
    <row r="4907" spans="1:22" x14ac:dyDescent="0.3">
      <c r="A4907" t="s">
        <v>6389</v>
      </c>
      <c r="B4907" s="2">
        <v>45883</v>
      </c>
      <c r="C4907" t="s">
        <v>529</v>
      </c>
      <c r="D4907" t="s">
        <v>70</v>
      </c>
      <c r="E4907" t="s">
        <v>108</v>
      </c>
      <c r="F4907">
        <v>3</v>
      </c>
      <c r="G4907">
        <v>0.05</v>
      </c>
      <c r="H4907">
        <v>12825</v>
      </c>
      <c r="I4907">
        <v>-1510.84</v>
      </c>
      <c r="J4907" t="s">
        <v>51</v>
      </c>
      <c r="K4907" t="s">
        <v>80</v>
      </c>
      <c r="L4907">
        <v>4275</v>
      </c>
      <c r="M4907">
        <v>-11.780428849902529</v>
      </c>
      <c r="N4907" t="s">
        <v>81</v>
      </c>
      <c r="O4907" t="s">
        <v>530</v>
      </c>
      <c r="P4907" t="s">
        <v>29</v>
      </c>
      <c r="Q4907" t="s">
        <v>30</v>
      </c>
      <c r="R4907" t="s">
        <v>98</v>
      </c>
      <c r="S4907" t="s">
        <v>54</v>
      </c>
      <c r="T4907" t="s">
        <v>531</v>
      </c>
      <c r="U4907" t="s">
        <v>105</v>
      </c>
      <c r="V4907">
        <v>-503.61333333333329</v>
      </c>
    </row>
    <row r="4908" spans="1:22" x14ac:dyDescent="0.3">
      <c r="A4908" t="s">
        <v>6390</v>
      </c>
      <c r="B4908" s="2">
        <v>45924</v>
      </c>
      <c r="C4908" t="s">
        <v>1403</v>
      </c>
      <c r="D4908" t="s">
        <v>70</v>
      </c>
      <c r="E4908" t="s">
        <v>165</v>
      </c>
      <c r="F4908">
        <v>6</v>
      </c>
      <c r="G4908">
        <v>0.05</v>
      </c>
      <c r="H4908">
        <v>14250</v>
      </c>
      <c r="I4908">
        <v>4199.55</v>
      </c>
      <c r="J4908" t="s">
        <v>65</v>
      </c>
      <c r="K4908" t="s">
        <v>40</v>
      </c>
      <c r="L4908">
        <v>2375</v>
      </c>
      <c r="M4908">
        <v>29.470526315789471</v>
      </c>
      <c r="N4908" t="s">
        <v>8</v>
      </c>
      <c r="O4908" t="s">
        <v>723</v>
      </c>
      <c r="P4908" t="s">
        <v>73</v>
      </c>
      <c r="Q4908" t="s">
        <v>42</v>
      </c>
      <c r="R4908" t="s">
        <v>43</v>
      </c>
      <c r="S4908" t="s">
        <v>44</v>
      </c>
      <c r="T4908" t="s">
        <v>1404</v>
      </c>
      <c r="U4908" t="s">
        <v>46</v>
      </c>
      <c r="V4908">
        <v>699.92500000000007</v>
      </c>
    </row>
    <row r="4909" spans="1:22" x14ac:dyDescent="0.3">
      <c r="A4909" t="s">
        <v>6391</v>
      </c>
      <c r="B4909" s="2">
        <v>46028</v>
      </c>
      <c r="C4909" t="s">
        <v>1568</v>
      </c>
      <c r="D4909" t="s">
        <v>70</v>
      </c>
      <c r="E4909" t="s">
        <v>108</v>
      </c>
      <c r="F4909">
        <v>1</v>
      </c>
      <c r="G4909">
        <v>0.3</v>
      </c>
      <c r="H4909">
        <v>3150</v>
      </c>
      <c r="I4909">
        <v>594.88</v>
      </c>
      <c r="J4909" t="s">
        <v>65</v>
      </c>
      <c r="K4909" t="s">
        <v>27</v>
      </c>
      <c r="L4909">
        <v>3150</v>
      </c>
      <c r="M4909">
        <v>18.88507936507937</v>
      </c>
      <c r="N4909" t="s">
        <v>8</v>
      </c>
      <c r="O4909" t="s">
        <v>1569</v>
      </c>
      <c r="P4909" t="s">
        <v>83</v>
      </c>
      <c r="Q4909" t="s">
        <v>42</v>
      </c>
      <c r="R4909" t="s">
        <v>121</v>
      </c>
      <c r="S4909" t="s">
        <v>44</v>
      </c>
      <c r="T4909" t="s">
        <v>1570</v>
      </c>
      <c r="U4909" t="s">
        <v>46</v>
      </c>
      <c r="V4909">
        <v>594.88</v>
      </c>
    </row>
    <row r="4910" spans="1:22" x14ac:dyDescent="0.3">
      <c r="A4910" t="s">
        <v>6392</v>
      </c>
      <c r="B4910" s="2">
        <v>45974</v>
      </c>
      <c r="C4910" t="s">
        <v>3261</v>
      </c>
      <c r="D4910" t="s">
        <v>49</v>
      </c>
      <c r="E4910" t="s">
        <v>58</v>
      </c>
      <c r="F4910">
        <v>4</v>
      </c>
      <c r="G4910">
        <v>0.15</v>
      </c>
      <c r="H4910">
        <v>51000</v>
      </c>
      <c r="I4910">
        <v>-30213.95</v>
      </c>
      <c r="J4910" t="s">
        <v>51</v>
      </c>
      <c r="K4910" t="s">
        <v>434</v>
      </c>
      <c r="L4910">
        <v>12750</v>
      </c>
      <c r="M4910">
        <v>-59.243039215686281</v>
      </c>
      <c r="N4910" t="s">
        <v>81</v>
      </c>
      <c r="O4910" t="s">
        <v>3262</v>
      </c>
      <c r="P4910" t="s">
        <v>29</v>
      </c>
      <c r="Q4910" t="s">
        <v>131</v>
      </c>
      <c r="R4910" t="s">
        <v>449</v>
      </c>
      <c r="S4910" t="s">
        <v>450</v>
      </c>
      <c r="T4910" t="s">
        <v>3263</v>
      </c>
      <c r="U4910" t="s">
        <v>105</v>
      </c>
      <c r="V4910">
        <v>-7553.4875000000002</v>
      </c>
    </row>
    <row r="4911" spans="1:22" x14ac:dyDescent="0.3">
      <c r="A4911" t="s">
        <v>6393</v>
      </c>
      <c r="B4911" s="2">
        <v>45964</v>
      </c>
      <c r="C4911" t="s">
        <v>2278</v>
      </c>
      <c r="D4911" t="s">
        <v>24</v>
      </c>
      <c r="E4911" t="s">
        <v>242</v>
      </c>
      <c r="F4911">
        <v>3</v>
      </c>
      <c r="G4911">
        <v>0.15</v>
      </c>
      <c r="H4911">
        <v>1147.5</v>
      </c>
      <c r="I4911">
        <v>215.48</v>
      </c>
      <c r="J4911" t="s">
        <v>39</v>
      </c>
      <c r="K4911" t="s">
        <v>40</v>
      </c>
      <c r="L4911">
        <v>382.5</v>
      </c>
      <c r="M4911">
        <v>18.778213507625271</v>
      </c>
      <c r="N4911" t="s">
        <v>8</v>
      </c>
      <c r="O4911" t="s">
        <v>470</v>
      </c>
      <c r="P4911" t="s">
        <v>29</v>
      </c>
      <c r="Q4911" t="s">
        <v>30</v>
      </c>
      <c r="R4911" t="s">
        <v>98</v>
      </c>
      <c r="S4911" t="s">
        <v>54</v>
      </c>
      <c r="T4911" t="s">
        <v>2279</v>
      </c>
      <c r="U4911" t="s">
        <v>105</v>
      </c>
      <c r="V4911">
        <v>71.826666666666668</v>
      </c>
    </row>
    <row r="4912" spans="1:22" x14ac:dyDescent="0.3">
      <c r="A4912" t="s">
        <v>6394</v>
      </c>
      <c r="B4912" s="2">
        <v>46259</v>
      </c>
      <c r="C4912" t="s">
        <v>858</v>
      </c>
      <c r="D4912" t="s">
        <v>49</v>
      </c>
      <c r="E4912" t="s">
        <v>119</v>
      </c>
      <c r="F4912">
        <v>1</v>
      </c>
      <c r="G4912">
        <v>0.15</v>
      </c>
      <c r="H4912">
        <v>7650</v>
      </c>
      <c r="I4912">
        <v>1228.21</v>
      </c>
      <c r="J4912" t="s">
        <v>26</v>
      </c>
      <c r="K4912" t="s">
        <v>40</v>
      </c>
      <c r="L4912">
        <v>7650</v>
      </c>
      <c r="M4912">
        <v>16.055032679738559</v>
      </c>
      <c r="N4912" t="s">
        <v>8</v>
      </c>
      <c r="O4912" t="s">
        <v>406</v>
      </c>
      <c r="P4912" t="s">
        <v>73</v>
      </c>
      <c r="Q4912" t="s">
        <v>30</v>
      </c>
      <c r="R4912" t="s">
        <v>53</v>
      </c>
      <c r="S4912" t="s">
        <v>54</v>
      </c>
      <c r="T4912" t="s">
        <v>859</v>
      </c>
      <c r="U4912" t="s">
        <v>105</v>
      </c>
      <c r="V4912">
        <v>1228.21</v>
      </c>
    </row>
    <row r="4913" spans="1:22" x14ac:dyDescent="0.3">
      <c r="A4913" t="s">
        <v>6395</v>
      </c>
      <c r="B4913" s="2">
        <v>45882</v>
      </c>
      <c r="C4913" t="s">
        <v>1328</v>
      </c>
      <c r="D4913" t="s">
        <v>70</v>
      </c>
      <c r="E4913" t="s">
        <v>108</v>
      </c>
      <c r="F4913">
        <v>2</v>
      </c>
      <c r="G4913">
        <v>0</v>
      </c>
      <c r="H4913">
        <v>9000</v>
      </c>
      <c r="I4913">
        <v>-3914.38</v>
      </c>
      <c r="J4913" t="s">
        <v>39</v>
      </c>
      <c r="K4913" t="s">
        <v>434</v>
      </c>
      <c r="L4913">
        <v>4500</v>
      </c>
      <c r="M4913">
        <v>-43.493111111111112</v>
      </c>
      <c r="N4913" t="s">
        <v>81</v>
      </c>
      <c r="O4913" t="s">
        <v>1329</v>
      </c>
      <c r="P4913" t="s">
        <v>29</v>
      </c>
      <c r="Q4913" t="s">
        <v>74</v>
      </c>
      <c r="R4913" t="s">
        <v>237</v>
      </c>
      <c r="S4913" t="s">
        <v>238</v>
      </c>
      <c r="T4913" t="s">
        <v>934</v>
      </c>
      <c r="U4913" t="s">
        <v>34</v>
      </c>
      <c r="V4913">
        <v>-1957.19</v>
      </c>
    </row>
    <row r="4914" spans="1:22" x14ac:dyDescent="0.3">
      <c r="A4914" t="s">
        <v>6396</v>
      </c>
      <c r="B4914" s="2">
        <v>46263</v>
      </c>
      <c r="C4914" t="s">
        <v>186</v>
      </c>
      <c r="D4914" t="s">
        <v>49</v>
      </c>
      <c r="E4914" t="s">
        <v>50</v>
      </c>
      <c r="F4914">
        <v>3</v>
      </c>
      <c r="G4914">
        <v>0.15</v>
      </c>
      <c r="H4914">
        <v>33150</v>
      </c>
      <c r="I4914">
        <v>4685.28</v>
      </c>
      <c r="J4914" t="s">
        <v>65</v>
      </c>
      <c r="K4914" t="s">
        <v>40</v>
      </c>
      <c r="L4914">
        <v>11050</v>
      </c>
      <c r="M4914">
        <v>14.13357466063348</v>
      </c>
      <c r="N4914" t="s">
        <v>8</v>
      </c>
      <c r="O4914" t="s">
        <v>187</v>
      </c>
      <c r="P4914" t="s">
        <v>83</v>
      </c>
      <c r="Q4914" t="s">
        <v>42</v>
      </c>
      <c r="R4914" t="s">
        <v>43</v>
      </c>
      <c r="S4914" t="s">
        <v>44</v>
      </c>
      <c r="T4914" t="s">
        <v>122</v>
      </c>
      <c r="U4914" t="s">
        <v>34</v>
      </c>
      <c r="V4914">
        <v>1561.76</v>
      </c>
    </row>
    <row r="4915" spans="1:22" x14ac:dyDescent="0.3">
      <c r="A4915" t="s">
        <v>6397</v>
      </c>
      <c r="B4915" s="2">
        <v>45874</v>
      </c>
      <c r="C4915" t="s">
        <v>465</v>
      </c>
      <c r="D4915" t="s">
        <v>37</v>
      </c>
      <c r="E4915" t="s">
        <v>310</v>
      </c>
      <c r="F4915">
        <v>1</v>
      </c>
      <c r="G4915">
        <v>0.1</v>
      </c>
      <c r="H4915">
        <v>1980</v>
      </c>
      <c r="I4915">
        <v>-792.17</v>
      </c>
      <c r="J4915" t="s">
        <v>65</v>
      </c>
      <c r="K4915" t="s">
        <v>434</v>
      </c>
      <c r="L4915">
        <v>1980</v>
      </c>
      <c r="M4915">
        <v>-40.008585858585853</v>
      </c>
      <c r="N4915" t="s">
        <v>81</v>
      </c>
      <c r="O4915" t="s">
        <v>362</v>
      </c>
      <c r="P4915" t="s">
        <v>29</v>
      </c>
      <c r="Q4915" t="s">
        <v>42</v>
      </c>
      <c r="R4915" t="s">
        <v>121</v>
      </c>
      <c r="S4915" t="s">
        <v>44</v>
      </c>
      <c r="T4915" t="s">
        <v>466</v>
      </c>
      <c r="U4915" t="s">
        <v>100</v>
      </c>
      <c r="V4915">
        <v>-792.17</v>
      </c>
    </row>
    <row r="4916" spans="1:22" x14ac:dyDescent="0.3">
      <c r="A4916" t="s">
        <v>6398</v>
      </c>
      <c r="B4916" s="2">
        <v>46164</v>
      </c>
      <c r="C4916" t="s">
        <v>2253</v>
      </c>
      <c r="D4916" t="s">
        <v>24</v>
      </c>
      <c r="E4916" t="s">
        <v>25</v>
      </c>
      <c r="F4916">
        <v>4</v>
      </c>
      <c r="G4916">
        <v>0.05</v>
      </c>
      <c r="H4916">
        <v>53200</v>
      </c>
      <c r="I4916">
        <v>8990.11</v>
      </c>
      <c r="J4916" t="s">
        <v>26</v>
      </c>
      <c r="K4916" t="s">
        <v>40</v>
      </c>
      <c r="L4916">
        <v>13300</v>
      </c>
      <c r="M4916">
        <v>16.898703007518801</v>
      </c>
      <c r="N4916" t="s">
        <v>8</v>
      </c>
      <c r="O4916" t="s">
        <v>2254</v>
      </c>
      <c r="P4916" t="s">
        <v>83</v>
      </c>
      <c r="Q4916" t="s">
        <v>131</v>
      </c>
      <c r="R4916" t="s">
        <v>132</v>
      </c>
      <c r="S4916" t="s">
        <v>133</v>
      </c>
      <c r="T4916" t="s">
        <v>2255</v>
      </c>
      <c r="U4916" t="s">
        <v>46</v>
      </c>
      <c r="V4916">
        <v>2247.5275000000001</v>
      </c>
    </row>
    <row r="4917" spans="1:22" x14ac:dyDescent="0.3">
      <c r="A4917" t="s">
        <v>6399</v>
      </c>
      <c r="B4917" s="2">
        <v>46200</v>
      </c>
      <c r="C4917" t="s">
        <v>4423</v>
      </c>
      <c r="D4917" t="s">
        <v>24</v>
      </c>
      <c r="E4917" t="s">
        <v>25</v>
      </c>
      <c r="F4917">
        <v>1</v>
      </c>
      <c r="G4917">
        <v>0</v>
      </c>
      <c r="H4917">
        <v>14000</v>
      </c>
      <c r="I4917">
        <v>2800</v>
      </c>
      <c r="J4917" t="s">
        <v>65</v>
      </c>
      <c r="K4917" t="s">
        <v>40</v>
      </c>
      <c r="L4917">
        <v>14000</v>
      </c>
      <c r="M4917">
        <v>20</v>
      </c>
      <c r="N4917" t="s">
        <v>8</v>
      </c>
      <c r="O4917" t="s">
        <v>329</v>
      </c>
      <c r="P4917" t="s">
        <v>29</v>
      </c>
      <c r="Q4917" t="s">
        <v>42</v>
      </c>
      <c r="R4917" t="s">
        <v>43</v>
      </c>
      <c r="S4917" t="s">
        <v>44</v>
      </c>
      <c r="T4917" t="s">
        <v>1561</v>
      </c>
      <c r="U4917" t="s">
        <v>105</v>
      </c>
      <c r="V4917">
        <v>2800</v>
      </c>
    </row>
    <row r="4918" spans="1:22" x14ac:dyDescent="0.3">
      <c r="A4918" t="s">
        <v>6400</v>
      </c>
      <c r="B4918" s="2">
        <v>46113</v>
      </c>
      <c r="C4918" t="s">
        <v>421</v>
      </c>
      <c r="D4918" t="s">
        <v>24</v>
      </c>
      <c r="E4918" t="s">
        <v>87</v>
      </c>
      <c r="F4918">
        <v>1</v>
      </c>
      <c r="G4918">
        <v>0</v>
      </c>
      <c r="H4918">
        <v>350</v>
      </c>
      <c r="I4918">
        <v>120</v>
      </c>
      <c r="J4918" t="s">
        <v>51</v>
      </c>
      <c r="K4918" t="s">
        <v>40</v>
      </c>
      <c r="L4918">
        <v>350</v>
      </c>
      <c r="M4918">
        <v>34.285714285714278</v>
      </c>
      <c r="N4918" t="s">
        <v>8</v>
      </c>
      <c r="O4918" t="s">
        <v>422</v>
      </c>
      <c r="P4918" t="s">
        <v>73</v>
      </c>
      <c r="Q4918" t="s">
        <v>30</v>
      </c>
      <c r="R4918" t="s">
        <v>98</v>
      </c>
      <c r="S4918" t="s">
        <v>54</v>
      </c>
      <c r="T4918" t="s">
        <v>423</v>
      </c>
      <c r="U4918" t="s">
        <v>34</v>
      </c>
      <c r="V4918">
        <v>120</v>
      </c>
    </row>
    <row r="4919" spans="1:22" x14ac:dyDescent="0.3">
      <c r="A4919" t="s">
        <v>6401</v>
      </c>
      <c r="B4919" s="2">
        <v>46189</v>
      </c>
      <c r="C4919" t="s">
        <v>522</v>
      </c>
      <c r="D4919" t="s">
        <v>37</v>
      </c>
      <c r="E4919" t="s">
        <v>38</v>
      </c>
      <c r="F4919">
        <v>1</v>
      </c>
      <c r="G4919">
        <v>0.2</v>
      </c>
      <c r="H4919">
        <v>1440</v>
      </c>
      <c r="I4919">
        <v>-579.9</v>
      </c>
      <c r="J4919" t="s">
        <v>26</v>
      </c>
      <c r="K4919" t="s">
        <v>80</v>
      </c>
      <c r="L4919">
        <v>1440</v>
      </c>
      <c r="M4919">
        <v>-40.270833333333343</v>
      </c>
      <c r="N4919" t="s">
        <v>81</v>
      </c>
      <c r="O4919" t="s">
        <v>523</v>
      </c>
      <c r="P4919" t="s">
        <v>73</v>
      </c>
      <c r="Q4919" t="s">
        <v>30</v>
      </c>
      <c r="R4919" t="s">
        <v>98</v>
      </c>
      <c r="S4919" t="s">
        <v>54</v>
      </c>
      <c r="T4919" t="s">
        <v>62</v>
      </c>
      <c r="U4919" t="s">
        <v>46</v>
      </c>
      <c r="V4919">
        <v>-579.9</v>
      </c>
    </row>
    <row r="4920" spans="1:22" x14ac:dyDescent="0.3">
      <c r="A4920" t="s">
        <v>6402</v>
      </c>
      <c r="B4920" s="2">
        <v>46199</v>
      </c>
      <c r="C4920" t="s">
        <v>3196</v>
      </c>
      <c r="D4920" t="s">
        <v>70</v>
      </c>
      <c r="E4920" t="s">
        <v>129</v>
      </c>
      <c r="F4920">
        <v>2</v>
      </c>
      <c r="G4920">
        <v>0</v>
      </c>
      <c r="H4920">
        <v>110000</v>
      </c>
      <c r="I4920">
        <v>18000</v>
      </c>
      <c r="J4920" t="s">
        <v>39</v>
      </c>
      <c r="K4920" t="s">
        <v>40</v>
      </c>
      <c r="L4920">
        <v>55000</v>
      </c>
      <c r="M4920">
        <v>16.36363636363636</v>
      </c>
      <c r="N4920" t="s">
        <v>8</v>
      </c>
      <c r="O4920" t="s">
        <v>563</v>
      </c>
      <c r="P4920" t="s">
        <v>83</v>
      </c>
      <c r="Q4920" t="s">
        <v>131</v>
      </c>
      <c r="R4920" t="s">
        <v>200</v>
      </c>
      <c r="S4920" t="s">
        <v>201</v>
      </c>
      <c r="T4920" t="s">
        <v>3197</v>
      </c>
      <c r="U4920" t="s">
        <v>46</v>
      </c>
      <c r="V4920">
        <v>9000</v>
      </c>
    </row>
    <row r="4921" spans="1:22" x14ac:dyDescent="0.3">
      <c r="A4921" t="s">
        <v>6403</v>
      </c>
      <c r="B4921" s="2">
        <v>45998</v>
      </c>
      <c r="C4921" t="s">
        <v>1116</v>
      </c>
      <c r="D4921" t="s">
        <v>49</v>
      </c>
      <c r="E4921" t="s">
        <v>79</v>
      </c>
      <c r="F4921">
        <v>6</v>
      </c>
      <c r="G4921">
        <v>0.15</v>
      </c>
      <c r="H4921">
        <v>56100</v>
      </c>
      <c r="I4921">
        <v>7585.59</v>
      </c>
      <c r="J4921" t="s">
        <v>51</v>
      </c>
      <c r="K4921" t="s">
        <v>40</v>
      </c>
      <c r="L4921">
        <v>9350</v>
      </c>
      <c r="M4921">
        <v>13.521550802139039</v>
      </c>
      <c r="N4921" t="s">
        <v>8</v>
      </c>
      <c r="O4921" t="s">
        <v>1117</v>
      </c>
      <c r="P4921" t="s">
        <v>29</v>
      </c>
      <c r="Q4921" t="s">
        <v>30</v>
      </c>
      <c r="R4921" t="s">
        <v>98</v>
      </c>
      <c r="S4921" t="s">
        <v>54</v>
      </c>
      <c r="T4921" t="s">
        <v>1118</v>
      </c>
      <c r="U4921" t="s">
        <v>34</v>
      </c>
      <c r="V4921">
        <v>1264.2650000000001</v>
      </c>
    </row>
    <row r="4922" spans="1:22" x14ac:dyDescent="0.3">
      <c r="A4922" t="s">
        <v>6404</v>
      </c>
      <c r="B4922" s="2">
        <v>46107</v>
      </c>
      <c r="C4922" t="s">
        <v>1036</v>
      </c>
      <c r="D4922" t="s">
        <v>70</v>
      </c>
      <c r="E4922" t="s">
        <v>129</v>
      </c>
      <c r="F4922">
        <v>5</v>
      </c>
      <c r="G4922">
        <v>0.15</v>
      </c>
      <c r="H4922">
        <v>233750</v>
      </c>
      <c r="I4922">
        <v>13262.13</v>
      </c>
      <c r="J4922" t="s">
        <v>39</v>
      </c>
      <c r="K4922" t="s">
        <v>40</v>
      </c>
      <c r="L4922">
        <v>46750</v>
      </c>
      <c r="M4922">
        <v>5.6736385026737963</v>
      </c>
      <c r="N4922" t="s">
        <v>8</v>
      </c>
      <c r="O4922" t="s">
        <v>149</v>
      </c>
      <c r="P4922" t="s">
        <v>83</v>
      </c>
      <c r="Q4922" t="s">
        <v>30</v>
      </c>
      <c r="R4922" t="s">
        <v>53</v>
      </c>
      <c r="S4922" t="s">
        <v>54</v>
      </c>
      <c r="T4922" t="s">
        <v>1037</v>
      </c>
      <c r="U4922" t="s">
        <v>46</v>
      </c>
      <c r="V4922">
        <v>2652.4259999999999</v>
      </c>
    </row>
    <row r="4923" spans="1:22" x14ac:dyDescent="0.3">
      <c r="A4923" t="s">
        <v>6405</v>
      </c>
      <c r="B4923" s="2">
        <v>46108</v>
      </c>
      <c r="C4923" t="s">
        <v>807</v>
      </c>
      <c r="D4923" t="s">
        <v>49</v>
      </c>
      <c r="E4923" t="s">
        <v>79</v>
      </c>
      <c r="F4923">
        <v>2</v>
      </c>
      <c r="G4923">
        <v>0.15</v>
      </c>
      <c r="H4923">
        <v>18700</v>
      </c>
      <c r="I4923">
        <v>-5514.41</v>
      </c>
      <c r="J4923" t="s">
        <v>51</v>
      </c>
      <c r="K4923" t="s">
        <v>434</v>
      </c>
      <c r="L4923">
        <v>9350</v>
      </c>
      <c r="M4923">
        <v>-29.488823529411761</v>
      </c>
      <c r="N4923" t="s">
        <v>81</v>
      </c>
      <c r="O4923" t="s">
        <v>545</v>
      </c>
      <c r="P4923" t="s">
        <v>73</v>
      </c>
      <c r="Q4923" t="s">
        <v>30</v>
      </c>
      <c r="R4923" t="s">
        <v>31</v>
      </c>
      <c r="S4923" t="s">
        <v>32</v>
      </c>
      <c r="T4923" t="s">
        <v>808</v>
      </c>
      <c r="U4923" t="s">
        <v>105</v>
      </c>
      <c r="V4923">
        <v>-2757.2049999999999</v>
      </c>
    </row>
    <row r="4924" spans="1:22" x14ac:dyDescent="0.3">
      <c r="A4924" t="s">
        <v>6406</v>
      </c>
      <c r="B4924" s="2">
        <v>46010</v>
      </c>
      <c r="C4924" t="s">
        <v>910</v>
      </c>
      <c r="D4924" t="s">
        <v>24</v>
      </c>
      <c r="E4924" t="s">
        <v>242</v>
      </c>
      <c r="F4924">
        <v>2</v>
      </c>
      <c r="G4924">
        <v>0.3</v>
      </c>
      <c r="H4924">
        <v>630</v>
      </c>
      <c r="I4924">
        <v>-2.2200000000000002</v>
      </c>
      <c r="J4924" t="s">
        <v>51</v>
      </c>
      <c r="K4924" t="s">
        <v>40</v>
      </c>
      <c r="L4924">
        <v>315</v>
      </c>
      <c r="M4924">
        <v>-0.35238095238095241</v>
      </c>
      <c r="N4924" t="s">
        <v>81</v>
      </c>
      <c r="O4924" t="s">
        <v>911</v>
      </c>
      <c r="P4924" t="s">
        <v>29</v>
      </c>
      <c r="Q4924" t="s">
        <v>30</v>
      </c>
      <c r="R4924" t="s">
        <v>31</v>
      </c>
      <c r="S4924" t="s">
        <v>32</v>
      </c>
      <c r="T4924" t="s">
        <v>912</v>
      </c>
      <c r="U4924" t="s">
        <v>34</v>
      </c>
      <c r="V4924">
        <v>-1.1100000000000001</v>
      </c>
    </row>
    <row r="4925" spans="1:22" x14ac:dyDescent="0.3">
      <c r="A4925" t="s">
        <v>6407</v>
      </c>
      <c r="B4925" s="2">
        <v>46098</v>
      </c>
      <c r="C4925" t="s">
        <v>268</v>
      </c>
      <c r="D4925" t="s">
        <v>49</v>
      </c>
      <c r="E4925" t="s">
        <v>119</v>
      </c>
      <c r="F4925">
        <v>3</v>
      </c>
      <c r="G4925">
        <v>0</v>
      </c>
      <c r="H4925">
        <v>27000</v>
      </c>
      <c r="I4925">
        <v>6900</v>
      </c>
      <c r="J4925" t="s">
        <v>39</v>
      </c>
      <c r="K4925" t="s">
        <v>27</v>
      </c>
      <c r="L4925">
        <v>9000</v>
      </c>
      <c r="M4925">
        <v>25.55555555555555</v>
      </c>
      <c r="N4925" t="s">
        <v>8</v>
      </c>
      <c r="O4925" t="s">
        <v>269</v>
      </c>
      <c r="P4925" t="s">
        <v>29</v>
      </c>
      <c r="Q4925" t="s">
        <v>30</v>
      </c>
      <c r="R4925" t="s">
        <v>31</v>
      </c>
      <c r="S4925" t="s">
        <v>32</v>
      </c>
      <c r="T4925" t="s">
        <v>270</v>
      </c>
      <c r="U4925" t="s">
        <v>34</v>
      </c>
      <c r="V4925">
        <v>2300</v>
      </c>
    </row>
    <row r="4926" spans="1:22" x14ac:dyDescent="0.3">
      <c r="A4926" t="s">
        <v>6408</v>
      </c>
      <c r="B4926" s="2">
        <v>46122</v>
      </c>
      <c r="C4926" t="s">
        <v>2921</v>
      </c>
      <c r="D4926" t="s">
        <v>24</v>
      </c>
      <c r="E4926" t="s">
        <v>87</v>
      </c>
      <c r="F4926">
        <v>1</v>
      </c>
      <c r="G4926">
        <v>0.1</v>
      </c>
      <c r="H4926">
        <v>315</v>
      </c>
      <c r="I4926">
        <v>100.1</v>
      </c>
      <c r="J4926" t="s">
        <v>65</v>
      </c>
      <c r="K4926" t="s">
        <v>40</v>
      </c>
      <c r="L4926">
        <v>315</v>
      </c>
      <c r="M4926">
        <v>31.777777777777779</v>
      </c>
      <c r="N4926" t="s">
        <v>8</v>
      </c>
      <c r="O4926" t="s">
        <v>537</v>
      </c>
      <c r="P4926" t="s">
        <v>83</v>
      </c>
      <c r="Q4926" t="s">
        <v>42</v>
      </c>
      <c r="R4926" t="s">
        <v>121</v>
      </c>
      <c r="S4926" t="s">
        <v>44</v>
      </c>
      <c r="T4926" t="s">
        <v>2004</v>
      </c>
      <c r="U4926" t="s">
        <v>34</v>
      </c>
      <c r="V4926">
        <v>100.1</v>
      </c>
    </row>
    <row r="4927" spans="1:22" x14ac:dyDescent="0.3">
      <c r="A4927" t="s">
        <v>6409</v>
      </c>
      <c r="B4927" s="2">
        <v>45914</v>
      </c>
      <c r="C4927" t="s">
        <v>4588</v>
      </c>
      <c r="D4927" t="s">
        <v>49</v>
      </c>
      <c r="E4927" t="s">
        <v>50</v>
      </c>
      <c r="F4927">
        <v>2</v>
      </c>
      <c r="G4927">
        <v>0.1</v>
      </c>
      <c r="H4927">
        <v>23400</v>
      </c>
      <c r="I4927">
        <v>5114.83</v>
      </c>
      <c r="J4927" t="s">
        <v>51</v>
      </c>
      <c r="K4927" t="s">
        <v>27</v>
      </c>
      <c r="L4927">
        <v>11700</v>
      </c>
      <c r="M4927">
        <v>21.858247863247861</v>
      </c>
      <c r="N4927" t="s">
        <v>8</v>
      </c>
      <c r="O4927" t="s">
        <v>844</v>
      </c>
      <c r="P4927" t="s">
        <v>29</v>
      </c>
      <c r="Q4927" t="s">
        <v>42</v>
      </c>
      <c r="R4927" t="s">
        <v>43</v>
      </c>
      <c r="S4927" t="s">
        <v>44</v>
      </c>
      <c r="T4927" t="s">
        <v>4589</v>
      </c>
      <c r="U4927" t="s">
        <v>46</v>
      </c>
      <c r="V4927">
        <v>2557.415</v>
      </c>
    </row>
    <row r="4928" spans="1:22" x14ac:dyDescent="0.3">
      <c r="A4928" t="s">
        <v>6410</v>
      </c>
      <c r="B4928" s="2">
        <v>45965</v>
      </c>
      <c r="C4928" t="s">
        <v>229</v>
      </c>
      <c r="D4928" t="s">
        <v>24</v>
      </c>
      <c r="E4928" t="s">
        <v>242</v>
      </c>
      <c r="F4928">
        <v>1</v>
      </c>
      <c r="G4928">
        <v>0.2</v>
      </c>
      <c r="H4928">
        <v>360</v>
      </c>
      <c r="I4928">
        <v>-165.64</v>
      </c>
      <c r="J4928" t="s">
        <v>26</v>
      </c>
      <c r="K4928" t="s">
        <v>434</v>
      </c>
      <c r="L4928">
        <v>360</v>
      </c>
      <c r="M4928">
        <v>-46.011111111111113</v>
      </c>
      <c r="N4928" t="s">
        <v>81</v>
      </c>
      <c r="O4928" t="s">
        <v>103</v>
      </c>
      <c r="P4928" t="s">
        <v>29</v>
      </c>
      <c r="Q4928" t="s">
        <v>30</v>
      </c>
      <c r="R4928" t="s">
        <v>60</v>
      </c>
      <c r="S4928" t="s">
        <v>61</v>
      </c>
      <c r="T4928" t="s">
        <v>230</v>
      </c>
      <c r="U4928" t="s">
        <v>105</v>
      </c>
      <c r="V4928">
        <v>-165.64</v>
      </c>
    </row>
    <row r="4929" spans="1:22" x14ac:dyDescent="0.3">
      <c r="A4929" t="s">
        <v>6411</v>
      </c>
      <c r="B4929" s="2">
        <v>46131</v>
      </c>
      <c r="C4929" t="s">
        <v>2295</v>
      </c>
      <c r="D4929" t="s">
        <v>24</v>
      </c>
      <c r="E4929" t="s">
        <v>87</v>
      </c>
      <c r="F4929">
        <v>1</v>
      </c>
      <c r="G4929">
        <v>0.1</v>
      </c>
      <c r="H4929">
        <v>315</v>
      </c>
      <c r="I4929">
        <v>91.89</v>
      </c>
      <c r="J4929" t="s">
        <v>26</v>
      </c>
      <c r="K4929" t="s">
        <v>40</v>
      </c>
      <c r="L4929">
        <v>315</v>
      </c>
      <c r="M4929">
        <v>29.171428571428571</v>
      </c>
      <c r="N4929" t="s">
        <v>8</v>
      </c>
      <c r="O4929" t="s">
        <v>2296</v>
      </c>
      <c r="P4929" t="s">
        <v>29</v>
      </c>
      <c r="Q4929" t="s">
        <v>74</v>
      </c>
      <c r="R4929" t="s">
        <v>493</v>
      </c>
      <c r="S4929" t="s">
        <v>494</v>
      </c>
      <c r="T4929" t="s">
        <v>2297</v>
      </c>
      <c r="U4929" t="s">
        <v>105</v>
      </c>
      <c r="V4929">
        <v>91.89</v>
      </c>
    </row>
    <row r="4930" spans="1:22" x14ac:dyDescent="0.3">
      <c r="A4930" t="s">
        <v>6412</v>
      </c>
      <c r="B4930" s="2">
        <v>45860</v>
      </c>
      <c r="C4930" t="s">
        <v>2150</v>
      </c>
      <c r="D4930" t="s">
        <v>24</v>
      </c>
      <c r="E4930" t="s">
        <v>87</v>
      </c>
      <c r="F4930">
        <v>2</v>
      </c>
      <c r="G4930">
        <v>0.1</v>
      </c>
      <c r="H4930">
        <v>630</v>
      </c>
      <c r="I4930">
        <v>180.88</v>
      </c>
      <c r="J4930" t="s">
        <v>65</v>
      </c>
      <c r="K4930" t="s">
        <v>40</v>
      </c>
      <c r="L4930">
        <v>315</v>
      </c>
      <c r="M4930">
        <v>28.711111111111109</v>
      </c>
      <c r="N4930" t="s">
        <v>8</v>
      </c>
      <c r="O4930" t="s">
        <v>149</v>
      </c>
      <c r="P4930" t="s">
        <v>83</v>
      </c>
      <c r="Q4930" t="s">
        <v>74</v>
      </c>
      <c r="R4930" t="s">
        <v>75</v>
      </c>
      <c r="S4930" t="s">
        <v>75</v>
      </c>
      <c r="T4930" t="s">
        <v>1862</v>
      </c>
      <c r="U4930" t="s">
        <v>105</v>
      </c>
      <c r="V4930">
        <v>90.44</v>
      </c>
    </row>
    <row r="4931" spans="1:22" x14ac:dyDescent="0.3">
      <c r="A4931" t="s">
        <v>6413</v>
      </c>
      <c r="B4931" s="2">
        <v>46143</v>
      </c>
      <c r="C4931" t="s">
        <v>275</v>
      </c>
      <c r="D4931" t="s">
        <v>70</v>
      </c>
      <c r="E4931" t="s">
        <v>108</v>
      </c>
      <c r="F4931">
        <v>3</v>
      </c>
      <c r="G4931">
        <v>0.1</v>
      </c>
      <c r="H4931">
        <v>12150</v>
      </c>
      <c r="I4931">
        <v>3852.62</v>
      </c>
      <c r="J4931" t="s">
        <v>51</v>
      </c>
      <c r="K4931" t="s">
        <v>40</v>
      </c>
      <c r="L4931">
        <v>4050</v>
      </c>
      <c r="M4931">
        <v>31.70880658436214</v>
      </c>
      <c r="N4931" t="s">
        <v>8</v>
      </c>
      <c r="O4931" t="s">
        <v>276</v>
      </c>
      <c r="P4931" t="s">
        <v>83</v>
      </c>
      <c r="Q4931" t="s">
        <v>30</v>
      </c>
      <c r="R4931" t="s">
        <v>53</v>
      </c>
      <c r="S4931" t="s">
        <v>54</v>
      </c>
      <c r="T4931" t="s">
        <v>277</v>
      </c>
      <c r="U4931" t="s">
        <v>100</v>
      </c>
      <c r="V4931">
        <v>1284.2066666666669</v>
      </c>
    </row>
    <row r="4932" spans="1:22" x14ac:dyDescent="0.3">
      <c r="A4932" t="s">
        <v>6414</v>
      </c>
      <c r="B4932" s="2">
        <v>46099</v>
      </c>
      <c r="C4932" t="s">
        <v>617</v>
      </c>
      <c r="D4932" t="s">
        <v>49</v>
      </c>
      <c r="E4932" t="s">
        <v>79</v>
      </c>
      <c r="F4932">
        <v>5</v>
      </c>
      <c r="G4932">
        <v>0.2</v>
      </c>
      <c r="H4932">
        <v>44000</v>
      </c>
      <c r="I4932">
        <v>-4760.3599999999997</v>
      </c>
      <c r="J4932" t="s">
        <v>51</v>
      </c>
      <c r="K4932" t="s">
        <v>434</v>
      </c>
      <c r="L4932">
        <v>8800</v>
      </c>
      <c r="M4932">
        <v>-10.819000000000001</v>
      </c>
      <c r="N4932" t="s">
        <v>81</v>
      </c>
      <c r="O4932" t="s">
        <v>618</v>
      </c>
      <c r="P4932" t="s">
        <v>83</v>
      </c>
      <c r="Q4932" t="s">
        <v>30</v>
      </c>
      <c r="R4932" t="s">
        <v>98</v>
      </c>
      <c r="S4932" t="s">
        <v>54</v>
      </c>
      <c r="T4932" t="s">
        <v>619</v>
      </c>
      <c r="U4932" t="s">
        <v>100</v>
      </c>
      <c r="V4932">
        <v>-952.07199999999989</v>
      </c>
    </row>
    <row r="4933" spans="1:22" x14ac:dyDescent="0.3">
      <c r="A4933" t="s">
        <v>6415</v>
      </c>
      <c r="B4933" s="2">
        <v>46134</v>
      </c>
      <c r="C4933" t="s">
        <v>182</v>
      </c>
      <c r="D4933" t="s">
        <v>37</v>
      </c>
      <c r="E4933" t="s">
        <v>190</v>
      </c>
      <c r="F4933">
        <v>1</v>
      </c>
      <c r="G4933">
        <v>0.15</v>
      </c>
      <c r="H4933">
        <v>3570</v>
      </c>
      <c r="I4933">
        <v>683.29</v>
      </c>
      <c r="J4933" t="s">
        <v>26</v>
      </c>
      <c r="K4933" t="s">
        <v>40</v>
      </c>
      <c r="L4933">
        <v>3570</v>
      </c>
      <c r="M4933">
        <v>19.13977591036415</v>
      </c>
      <c r="N4933" t="s">
        <v>8</v>
      </c>
      <c r="O4933" t="s">
        <v>183</v>
      </c>
      <c r="P4933" t="s">
        <v>73</v>
      </c>
      <c r="Q4933" t="s">
        <v>30</v>
      </c>
      <c r="R4933" t="s">
        <v>53</v>
      </c>
      <c r="S4933" t="s">
        <v>54</v>
      </c>
      <c r="T4933" t="s">
        <v>184</v>
      </c>
      <c r="U4933" t="s">
        <v>34</v>
      </c>
      <c r="V4933">
        <v>683.29</v>
      </c>
    </row>
    <row r="4934" spans="1:22" x14ac:dyDescent="0.3">
      <c r="A4934" t="s">
        <v>6416</v>
      </c>
      <c r="B4934" s="2">
        <v>46064</v>
      </c>
      <c r="C4934" t="s">
        <v>3532</v>
      </c>
      <c r="D4934" t="s">
        <v>49</v>
      </c>
      <c r="E4934" t="s">
        <v>79</v>
      </c>
      <c r="F4934">
        <v>3</v>
      </c>
      <c r="G4934">
        <v>0</v>
      </c>
      <c r="H4934">
        <v>33000</v>
      </c>
      <c r="I4934">
        <v>7800</v>
      </c>
      <c r="J4934" t="s">
        <v>51</v>
      </c>
      <c r="K4934" t="s">
        <v>40</v>
      </c>
      <c r="L4934">
        <v>11000</v>
      </c>
      <c r="M4934">
        <v>23.63636363636364</v>
      </c>
      <c r="N4934" t="s">
        <v>8</v>
      </c>
      <c r="O4934" t="s">
        <v>3533</v>
      </c>
      <c r="P4934" t="s">
        <v>29</v>
      </c>
      <c r="Q4934" t="s">
        <v>131</v>
      </c>
      <c r="R4934" t="s">
        <v>132</v>
      </c>
      <c r="S4934" t="s">
        <v>133</v>
      </c>
      <c r="T4934" t="s">
        <v>3534</v>
      </c>
      <c r="U4934" t="s">
        <v>34</v>
      </c>
      <c r="V4934">
        <v>2600</v>
      </c>
    </row>
    <row r="4935" spans="1:22" x14ac:dyDescent="0.3">
      <c r="A4935" t="s">
        <v>6417</v>
      </c>
      <c r="B4935" s="2">
        <v>46045</v>
      </c>
      <c r="C4935" t="s">
        <v>1640</v>
      </c>
      <c r="D4935" t="s">
        <v>24</v>
      </c>
      <c r="E4935" t="s">
        <v>242</v>
      </c>
      <c r="F4935">
        <v>3</v>
      </c>
      <c r="G4935">
        <v>0.1</v>
      </c>
      <c r="H4935">
        <v>1215</v>
      </c>
      <c r="I4935">
        <v>237.39</v>
      </c>
      <c r="J4935" t="s">
        <v>65</v>
      </c>
      <c r="K4935" t="s">
        <v>40</v>
      </c>
      <c r="L4935">
        <v>405</v>
      </c>
      <c r="M4935">
        <v>19.53827160493827</v>
      </c>
      <c r="N4935" t="s">
        <v>8</v>
      </c>
      <c r="O4935" t="s">
        <v>1641</v>
      </c>
      <c r="P4935" t="s">
        <v>29</v>
      </c>
      <c r="Q4935" t="s">
        <v>42</v>
      </c>
      <c r="R4935" t="s">
        <v>121</v>
      </c>
      <c r="S4935" t="s">
        <v>44</v>
      </c>
      <c r="T4935" t="s">
        <v>790</v>
      </c>
      <c r="U4935" t="s">
        <v>46</v>
      </c>
      <c r="V4935">
        <v>79.13</v>
      </c>
    </row>
    <row r="4936" spans="1:22" x14ac:dyDescent="0.3">
      <c r="A4936" t="s">
        <v>6418</v>
      </c>
      <c r="B4936" s="2">
        <v>46069</v>
      </c>
      <c r="C4936" t="s">
        <v>581</v>
      </c>
      <c r="D4936" t="s">
        <v>24</v>
      </c>
      <c r="E4936" t="s">
        <v>92</v>
      </c>
      <c r="F4936">
        <v>4</v>
      </c>
      <c r="G4936">
        <v>0.1</v>
      </c>
      <c r="H4936">
        <v>3240</v>
      </c>
      <c r="I4936">
        <v>858.71</v>
      </c>
      <c r="J4936" t="s">
        <v>26</v>
      </c>
      <c r="K4936" t="s">
        <v>40</v>
      </c>
      <c r="L4936">
        <v>810</v>
      </c>
      <c r="M4936">
        <v>26.503395061728401</v>
      </c>
      <c r="N4936" t="s">
        <v>8</v>
      </c>
      <c r="O4936" t="s">
        <v>582</v>
      </c>
      <c r="P4936" t="s">
        <v>73</v>
      </c>
      <c r="Q4936" t="s">
        <v>131</v>
      </c>
      <c r="R4936" t="s">
        <v>289</v>
      </c>
      <c r="S4936" t="s">
        <v>290</v>
      </c>
      <c r="T4936" t="s">
        <v>583</v>
      </c>
      <c r="U4936" t="s">
        <v>46</v>
      </c>
      <c r="V4936">
        <v>214.67750000000001</v>
      </c>
    </row>
    <row r="4937" spans="1:22" x14ac:dyDescent="0.3">
      <c r="A4937" t="s">
        <v>6419</v>
      </c>
      <c r="B4937" s="2">
        <v>46209</v>
      </c>
      <c r="C4937" t="s">
        <v>900</v>
      </c>
      <c r="D4937" t="s">
        <v>24</v>
      </c>
      <c r="E4937" t="s">
        <v>25</v>
      </c>
      <c r="F4937">
        <v>10</v>
      </c>
      <c r="G4937">
        <v>0.15</v>
      </c>
      <c r="H4937">
        <v>119000</v>
      </c>
      <c r="I4937">
        <v>14768.7</v>
      </c>
      <c r="J4937" t="s">
        <v>26</v>
      </c>
      <c r="K4937" t="s">
        <v>40</v>
      </c>
      <c r="L4937">
        <v>11900</v>
      </c>
      <c r="M4937">
        <v>12.410672268907559</v>
      </c>
      <c r="N4937" t="s">
        <v>8</v>
      </c>
      <c r="O4937" t="s">
        <v>901</v>
      </c>
      <c r="P4937" t="s">
        <v>29</v>
      </c>
      <c r="Q4937" t="s">
        <v>30</v>
      </c>
      <c r="R4937" t="s">
        <v>31</v>
      </c>
      <c r="S4937" t="s">
        <v>32</v>
      </c>
      <c r="T4937" t="s">
        <v>902</v>
      </c>
      <c r="U4937" t="s">
        <v>34</v>
      </c>
      <c r="V4937">
        <v>1476.87</v>
      </c>
    </row>
    <row r="4938" spans="1:22" x14ac:dyDescent="0.3">
      <c r="A4938" t="s">
        <v>6420</v>
      </c>
      <c r="B4938" s="2">
        <v>46219</v>
      </c>
      <c r="C4938" t="s">
        <v>1734</v>
      </c>
      <c r="D4938" t="s">
        <v>70</v>
      </c>
      <c r="E4938" t="s">
        <v>165</v>
      </c>
      <c r="F4938">
        <v>3</v>
      </c>
      <c r="G4938">
        <v>0.1</v>
      </c>
      <c r="H4938">
        <v>6750</v>
      </c>
      <c r="I4938">
        <v>1878.46</v>
      </c>
      <c r="J4938" t="s">
        <v>65</v>
      </c>
      <c r="K4938" t="s">
        <v>40</v>
      </c>
      <c r="L4938">
        <v>2250</v>
      </c>
      <c r="M4938">
        <v>27.82903703703704</v>
      </c>
      <c r="N4938" t="s">
        <v>8</v>
      </c>
      <c r="O4938" t="s">
        <v>1735</v>
      </c>
      <c r="P4938" t="s">
        <v>29</v>
      </c>
      <c r="Q4938" t="s">
        <v>74</v>
      </c>
      <c r="R4938" t="s">
        <v>237</v>
      </c>
      <c r="S4938" t="s">
        <v>238</v>
      </c>
      <c r="T4938" t="s">
        <v>1736</v>
      </c>
      <c r="U4938" t="s">
        <v>34</v>
      </c>
      <c r="V4938">
        <v>626.15333333333331</v>
      </c>
    </row>
    <row r="4939" spans="1:22" x14ac:dyDescent="0.3">
      <c r="A4939" t="s">
        <v>6421</v>
      </c>
      <c r="B4939" s="2">
        <v>45889</v>
      </c>
      <c r="C4939" t="s">
        <v>1036</v>
      </c>
      <c r="D4939" t="s">
        <v>70</v>
      </c>
      <c r="E4939" t="s">
        <v>71</v>
      </c>
      <c r="F4939">
        <v>4</v>
      </c>
      <c r="G4939">
        <v>0.05</v>
      </c>
      <c r="H4939">
        <v>68400</v>
      </c>
      <c r="I4939">
        <v>11854.46</v>
      </c>
      <c r="J4939" t="s">
        <v>51</v>
      </c>
      <c r="K4939" t="s">
        <v>40</v>
      </c>
      <c r="L4939">
        <v>17100</v>
      </c>
      <c r="M4939">
        <v>17.331081871345031</v>
      </c>
      <c r="N4939" t="s">
        <v>8</v>
      </c>
      <c r="O4939" t="s">
        <v>149</v>
      </c>
      <c r="P4939" t="s">
        <v>83</v>
      </c>
      <c r="Q4939" t="s">
        <v>30</v>
      </c>
      <c r="R4939" t="s">
        <v>53</v>
      </c>
      <c r="S4939" t="s">
        <v>54</v>
      </c>
      <c r="T4939" t="s">
        <v>1037</v>
      </c>
      <c r="U4939" t="s">
        <v>46</v>
      </c>
      <c r="V4939">
        <v>2963.6149999999998</v>
      </c>
    </row>
    <row r="4940" spans="1:22" x14ac:dyDescent="0.3">
      <c r="A4940" t="s">
        <v>6422</v>
      </c>
      <c r="B4940" s="2">
        <v>45911</v>
      </c>
      <c r="C4940" t="s">
        <v>1803</v>
      </c>
      <c r="D4940" t="s">
        <v>49</v>
      </c>
      <c r="E4940" t="s">
        <v>50</v>
      </c>
      <c r="F4940">
        <v>3</v>
      </c>
      <c r="G4940">
        <v>0</v>
      </c>
      <c r="H4940">
        <v>39000</v>
      </c>
      <c r="I4940">
        <v>9600</v>
      </c>
      <c r="J4940" t="s">
        <v>65</v>
      </c>
      <c r="K4940" t="s">
        <v>40</v>
      </c>
      <c r="L4940">
        <v>13000</v>
      </c>
      <c r="M4940">
        <v>24.61538461538462</v>
      </c>
      <c r="N4940" t="s">
        <v>8</v>
      </c>
      <c r="O4940" t="s">
        <v>1804</v>
      </c>
      <c r="P4940" t="s">
        <v>29</v>
      </c>
      <c r="Q4940" t="s">
        <v>74</v>
      </c>
      <c r="R4940" t="s">
        <v>115</v>
      </c>
      <c r="S4940" t="s">
        <v>115</v>
      </c>
      <c r="T4940" t="s">
        <v>604</v>
      </c>
      <c r="U4940" t="s">
        <v>46</v>
      </c>
      <c r="V4940">
        <v>3200</v>
      </c>
    </row>
    <row r="4941" spans="1:22" x14ac:dyDescent="0.3">
      <c r="A4941" t="s">
        <v>6423</v>
      </c>
      <c r="B4941" s="2">
        <v>45966</v>
      </c>
      <c r="C4941" t="s">
        <v>1289</v>
      </c>
      <c r="D4941" t="s">
        <v>24</v>
      </c>
      <c r="E4941" t="s">
        <v>87</v>
      </c>
      <c r="F4941">
        <v>10</v>
      </c>
      <c r="G4941">
        <v>0.1</v>
      </c>
      <c r="H4941">
        <v>3150</v>
      </c>
      <c r="I4941">
        <v>975.04</v>
      </c>
      <c r="J4941" t="s">
        <v>26</v>
      </c>
      <c r="K4941" t="s">
        <v>40</v>
      </c>
      <c r="L4941">
        <v>315</v>
      </c>
      <c r="M4941">
        <v>30.953650793650791</v>
      </c>
      <c r="N4941" t="s">
        <v>8</v>
      </c>
      <c r="O4941" t="s">
        <v>879</v>
      </c>
      <c r="P4941" t="s">
        <v>83</v>
      </c>
      <c r="Q4941" t="s">
        <v>30</v>
      </c>
      <c r="R4941" t="s">
        <v>493</v>
      </c>
      <c r="S4941" t="s">
        <v>494</v>
      </c>
      <c r="T4941" t="s">
        <v>1290</v>
      </c>
      <c r="U4941" t="s">
        <v>34</v>
      </c>
      <c r="V4941">
        <v>97.503999999999991</v>
      </c>
    </row>
    <row r="4942" spans="1:22" x14ac:dyDescent="0.3">
      <c r="A4942" t="s">
        <v>6424</v>
      </c>
      <c r="B4942" s="2">
        <v>45872</v>
      </c>
      <c r="C4942" t="s">
        <v>3771</v>
      </c>
      <c r="D4942" t="s">
        <v>37</v>
      </c>
      <c r="E4942" t="s">
        <v>310</v>
      </c>
      <c r="F4942">
        <v>5</v>
      </c>
      <c r="G4942">
        <v>0.05</v>
      </c>
      <c r="H4942">
        <v>10450</v>
      </c>
      <c r="I4942">
        <v>81.069999999999993</v>
      </c>
      <c r="J4942" t="s">
        <v>51</v>
      </c>
      <c r="K4942" t="s">
        <v>434</v>
      </c>
      <c r="L4942">
        <v>2090</v>
      </c>
      <c r="M4942">
        <v>0.77578947368421047</v>
      </c>
      <c r="N4942" t="s">
        <v>8</v>
      </c>
      <c r="O4942" t="s">
        <v>482</v>
      </c>
      <c r="P4942" t="s">
        <v>73</v>
      </c>
      <c r="Q4942" t="s">
        <v>74</v>
      </c>
      <c r="R4942" t="s">
        <v>75</v>
      </c>
      <c r="S4942" t="s">
        <v>75</v>
      </c>
      <c r="T4942" t="s">
        <v>3772</v>
      </c>
      <c r="U4942" t="s">
        <v>34</v>
      </c>
      <c r="V4942">
        <v>16.213999999999999</v>
      </c>
    </row>
    <row r="4943" spans="1:22" x14ac:dyDescent="0.3">
      <c r="A4943" t="s">
        <v>6425</v>
      </c>
      <c r="B4943" s="2">
        <v>46260</v>
      </c>
      <c r="C4943" t="s">
        <v>1232</v>
      </c>
      <c r="D4943" t="s">
        <v>70</v>
      </c>
      <c r="E4943" t="s">
        <v>108</v>
      </c>
      <c r="F4943">
        <v>2</v>
      </c>
      <c r="G4943">
        <v>0.2</v>
      </c>
      <c r="H4943">
        <v>7200</v>
      </c>
      <c r="I4943">
        <v>1871.88</v>
      </c>
      <c r="J4943" t="s">
        <v>51</v>
      </c>
      <c r="K4943" t="s">
        <v>40</v>
      </c>
      <c r="L4943">
        <v>3600</v>
      </c>
      <c r="M4943">
        <v>25.998333333333331</v>
      </c>
      <c r="N4943" t="s">
        <v>8</v>
      </c>
      <c r="O4943" t="s">
        <v>1233</v>
      </c>
      <c r="P4943" t="s">
        <v>29</v>
      </c>
      <c r="Q4943" t="s">
        <v>74</v>
      </c>
      <c r="R4943" t="s">
        <v>237</v>
      </c>
      <c r="S4943" t="s">
        <v>238</v>
      </c>
      <c r="T4943" t="s">
        <v>1234</v>
      </c>
      <c r="U4943" t="s">
        <v>100</v>
      </c>
      <c r="V4943">
        <v>935.94</v>
      </c>
    </row>
    <row r="4944" spans="1:22" x14ac:dyDescent="0.3">
      <c r="A4944" t="s">
        <v>6426</v>
      </c>
      <c r="B4944" s="2">
        <v>46098</v>
      </c>
      <c r="C4944" t="s">
        <v>1091</v>
      </c>
      <c r="D4944" t="s">
        <v>70</v>
      </c>
      <c r="E4944" t="s">
        <v>165</v>
      </c>
      <c r="F4944">
        <v>3</v>
      </c>
      <c r="G4944">
        <v>0.2</v>
      </c>
      <c r="H4944">
        <v>6000</v>
      </c>
      <c r="I4944">
        <v>1328.9</v>
      </c>
      <c r="J4944" t="s">
        <v>65</v>
      </c>
      <c r="K4944" t="s">
        <v>40</v>
      </c>
      <c r="L4944">
        <v>2000</v>
      </c>
      <c r="M4944">
        <v>22.14833333333333</v>
      </c>
      <c r="N4944" t="s">
        <v>8</v>
      </c>
      <c r="O4944" t="s">
        <v>1018</v>
      </c>
      <c r="P4944" t="s">
        <v>83</v>
      </c>
      <c r="Q4944" t="s">
        <v>30</v>
      </c>
      <c r="R4944" t="s">
        <v>31</v>
      </c>
      <c r="S4944" t="s">
        <v>32</v>
      </c>
      <c r="T4944" t="s">
        <v>1092</v>
      </c>
      <c r="U4944" t="s">
        <v>105</v>
      </c>
      <c r="V4944">
        <v>442.9666666666667</v>
      </c>
    </row>
    <row r="4945" spans="1:22" x14ac:dyDescent="0.3">
      <c r="A4945" t="s">
        <v>6427</v>
      </c>
      <c r="B4945" s="2">
        <v>46039</v>
      </c>
      <c r="C4945" t="s">
        <v>3304</v>
      </c>
      <c r="D4945" t="s">
        <v>70</v>
      </c>
      <c r="E4945" t="s">
        <v>129</v>
      </c>
      <c r="F4945">
        <v>6</v>
      </c>
      <c r="G4945">
        <v>0.05</v>
      </c>
      <c r="H4945">
        <v>313500</v>
      </c>
      <c r="I4945">
        <v>-101989.48</v>
      </c>
      <c r="J4945" t="s">
        <v>65</v>
      </c>
      <c r="K4945" t="s">
        <v>434</v>
      </c>
      <c r="L4945">
        <v>52250</v>
      </c>
      <c r="M4945">
        <v>-32.532529505582133</v>
      </c>
      <c r="N4945" t="s">
        <v>81</v>
      </c>
      <c r="O4945" t="s">
        <v>3305</v>
      </c>
      <c r="P4945" t="s">
        <v>29</v>
      </c>
      <c r="Q4945" t="s">
        <v>131</v>
      </c>
      <c r="R4945" t="s">
        <v>200</v>
      </c>
      <c r="S4945" t="s">
        <v>201</v>
      </c>
      <c r="T4945" t="s">
        <v>403</v>
      </c>
      <c r="U4945" t="s">
        <v>46</v>
      </c>
      <c r="V4945">
        <v>-16998.24666666667</v>
      </c>
    </row>
    <row r="4946" spans="1:22" x14ac:dyDescent="0.3">
      <c r="A4946" t="s">
        <v>6428</v>
      </c>
      <c r="B4946" s="2">
        <v>46109</v>
      </c>
      <c r="C4946" t="s">
        <v>1979</v>
      </c>
      <c r="D4946" t="s">
        <v>37</v>
      </c>
      <c r="E4946" t="s">
        <v>190</v>
      </c>
      <c r="F4946">
        <v>1</v>
      </c>
      <c r="G4946">
        <v>0.1</v>
      </c>
      <c r="H4946">
        <v>3780</v>
      </c>
      <c r="I4946">
        <v>885.69</v>
      </c>
      <c r="J4946" t="s">
        <v>65</v>
      </c>
      <c r="K4946" t="s">
        <v>27</v>
      </c>
      <c r="L4946">
        <v>3780</v>
      </c>
      <c r="M4946">
        <v>23.43095238095238</v>
      </c>
      <c r="N4946" t="s">
        <v>8</v>
      </c>
      <c r="O4946" t="s">
        <v>1980</v>
      </c>
      <c r="P4946" t="s">
        <v>29</v>
      </c>
      <c r="Q4946" t="s">
        <v>42</v>
      </c>
      <c r="R4946" t="s">
        <v>110</v>
      </c>
      <c r="S4946" t="s">
        <v>111</v>
      </c>
      <c r="T4946" t="s">
        <v>1981</v>
      </c>
      <c r="U4946" t="s">
        <v>46</v>
      </c>
      <c r="V4946">
        <v>885.69</v>
      </c>
    </row>
    <row r="4947" spans="1:22" x14ac:dyDescent="0.3">
      <c r="A4947" t="s">
        <v>6429</v>
      </c>
      <c r="B4947" s="2">
        <v>45859</v>
      </c>
      <c r="C4947" t="s">
        <v>726</v>
      </c>
      <c r="D4947" t="s">
        <v>37</v>
      </c>
      <c r="E4947" t="s">
        <v>310</v>
      </c>
      <c r="F4947">
        <v>1</v>
      </c>
      <c r="G4947">
        <v>0.05</v>
      </c>
      <c r="H4947">
        <v>2090</v>
      </c>
      <c r="I4947">
        <v>671.82</v>
      </c>
      <c r="J4947" t="s">
        <v>51</v>
      </c>
      <c r="K4947" t="s">
        <v>40</v>
      </c>
      <c r="L4947">
        <v>2090</v>
      </c>
      <c r="M4947">
        <v>32.144497607655502</v>
      </c>
      <c r="N4947" t="s">
        <v>8</v>
      </c>
      <c r="O4947" t="s">
        <v>727</v>
      </c>
      <c r="P4947" t="s">
        <v>29</v>
      </c>
      <c r="Q4947" t="s">
        <v>30</v>
      </c>
      <c r="R4947" t="s">
        <v>31</v>
      </c>
      <c r="S4947" t="s">
        <v>32</v>
      </c>
      <c r="T4947" t="s">
        <v>33</v>
      </c>
      <c r="U4947" t="s">
        <v>34</v>
      </c>
      <c r="V4947">
        <v>671.82</v>
      </c>
    </row>
    <row r="4948" spans="1:22" x14ac:dyDescent="0.3">
      <c r="A4948" t="s">
        <v>6430</v>
      </c>
      <c r="B4948" s="2">
        <v>46198</v>
      </c>
      <c r="C4948" t="s">
        <v>858</v>
      </c>
      <c r="D4948" t="s">
        <v>70</v>
      </c>
      <c r="E4948" t="s">
        <v>129</v>
      </c>
      <c r="F4948">
        <v>2</v>
      </c>
      <c r="G4948">
        <v>0.1</v>
      </c>
      <c r="H4948">
        <v>99000</v>
      </c>
      <c r="I4948">
        <v>11430.44</v>
      </c>
      <c r="J4948" t="s">
        <v>51</v>
      </c>
      <c r="K4948" t="s">
        <v>40</v>
      </c>
      <c r="L4948">
        <v>49500</v>
      </c>
      <c r="M4948">
        <v>11.545898989898991</v>
      </c>
      <c r="N4948" t="s">
        <v>8</v>
      </c>
      <c r="O4948" t="s">
        <v>406</v>
      </c>
      <c r="P4948" t="s">
        <v>73</v>
      </c>
      <c r="Q4948" t="s">
        <v>30</v>
      </c>
      <c r="R4948" t="s">
        <v>53</v>
      </c>
      <c r="S4948" t="s">
        <v>54</v>
      </c>
      <c r="T4948" t="s">
        <v>859</v>
      </c>
      <c r="U4948" t="s">
        <v>105</v>
      </c>
      <c r="V4948">
        <v>5715.22</v>
      </c>
    </row>
    <row r="4949" spans="1:22" x14ac:dyDescent="0.3">
      <c r="A4949" t="s">
        <v>6431</v>
      </c>
      <c r="B4949" s="2">
        <v>45958</v>
      </c>
      <c r="C4949" t="s">
        <v>2720</v>
      </c>
      <c r="D4949" t="s">
        <v>37</v>
      </c>
      <c r="E4949" t="s">
        <v>38</v>
      </c>
      <c r="F4949">
        <v>6</v>
      </c>
      <c r="G4949">
        <v>0.15</v>
      </c>
      <c r="H4949">
        <v>9180</v>
      </c>
      <c r="I4949">
        <v>2866.83</v>
      </c>
      <c r="J4949" t="s">
        <v>51</v>
      </c>
      <c r="K4949" t="s">
        <v>40</v>
      </c>
      <c r="L4949">
        <v>1530</v>
      </c>
      <c r="M4949">
        <v>31.229084967320262</v>
      </c>
      <c r="N4949" t="s">
        <v>8</v>
      </c>
      <c r="O4949" t="s">
        <v>52</v>
      </c>
      <c r="P4949" t="s">
        <v>73</v>
      </c>
      <c r="Q4949" t="s">
        <v>42</v>
      </c>
      <c r="R4949" t="s">
        <v>110</v>
      </c>
      <c r="S4949" t="s">
        <v>111</v>
      </c>
      <c r="T4949" t="s">
        <v>2721</v>
      </c>
      <c r="U4949" t="s">
        <v>46</v>
      </c>
      <c r="V4949">
        <v>477.80500000000001</v>
      </c>
    </row>
    <row r="4950" spans="1:22" x14ac:dyDescent="0.3">
      <c r="A4950" t="s">
        <v>6432</v>
      </c>
      <c r="B4950" s="2">
        <v>46232</v>
      </c>
      <c r="C4950" t="s">
        <v>1723</v>
      </c>
      <c r="D4950" t="s">
        <v>70</v>
      </c>
      <c r="E4950" t="s">
        <v>165</v>
      </c>
      <c r="F4950">
        <v>1</v>
      </c>
      <c r="G4950">
        <v>0.15</v>
      </c>
      <c r="H4950">
        <v>2125</v>
      </c>
      <c r="I4950">
        <v>577.65</v>
      </c>
      <c r="J4950" t="s">
        <v>26</v>
      </c>
      <c r="K4950" t="s">
        <v>40</v>
      </c>
      <c r="L4950">
        <v>2125</v>
      </c>
      <c r="M4950">
        <v>27.183529411764709</v>
      </c>
      <c r="N4950" t="s">
        <v>8</v>
      </c>
      <c r="O4950" t="s">
        <v>398</v>
      </c>
      <c r="P4950" t="s">
        <v>83</v>
      </c>
      <c r="Q4950" t="s">
        <v>30</v>
      </c>
      <c r="R4950" t="s">
        <v>98</v>
      </c>
      <c r="S4950" t="s">
        <v>54</v>
      </c>
      <c r="T4950" t="s">
        <v>1724</v>
      </c>
      <c r="U4950" t="s">
        <v>46</v>
      </c>
      <c r="V4950">
        <v>577.65</v>
      </c>
    </row>
    <row r="4951" spans="1:22" x14ac:dyDescent="0.3">
      <c r="A4951" t="s">
        <v>6433</v>
      </c>
      <c r="B4951" s="2">
        <v>46166</v>
      </c>
      <c r="C4951" t="s">
        <v>2177</v>
      </c>
      <c r="D4951" t="s">
        <v>49</v>
      </c>
      <c r="E4951" t="s">
        <v>79</v>
      </c>
      <c r="F4951">
        <v>6</v>
      </c>
      <c r="G4951">
        <v>0</v>
      </c>
      <c r="H4951">
        <v>66000</v>
      </c>
      <c r="I4951">
        <v>-34703.21</v>
      </c>
      <c r="J4951" t="s">
        <v>39</v>
      </c>
      <c r="K4951" t="s">
        <v>434</v>
      </c>
      <c r="L4951">
        <v>11000</v>
      </c>
      <c r="M4951">
        <v>-52.580621212121223</v>
      </c>
      <c r="N4951" t="s">
        <v>81</v>
      </c>
      <c r="O4951" t="s">
        <v>175</v>
      </c>
      <c r="P4951" t="s">
        <v>29</v>
      </c>
      <c r="Q4951" t="s">
        <v>30</v>
      </c>
      <c r="R4951" t="s">
        <v>98</v>
      </c>
      <c r="S4951" t="s">
        <v>54</v>
      </c>
      <c r="T4951" t="s">
        <v>2178</v>
      </c>
      <c r="U4951" t="s">
        <v>46</v>
      </c>
      <c r="V4951">
        <v>-5783.8683333333329</v>
      </c>
    </row>
    <row r="4952" spans="1:22" x14ac:dyDescent="0.3">
      <c r="A4952" t="s">
        <v>6434</v>
      </c>
      <c r="B4952" s="2">
        <v>45956</v>
      </c>
      <c r="C4952" t="s">
        <v>1414</v>
      </c>
      <c r="D4952" t="s">
        <v>70</v>
      </c>
      <c r="E4952" t="s">
        <v>165</v>
      </c>
      <c r="F4952">
        <v>6</v>
      </c>
      <c r="G4952">
        <v>0.1</v>
      </c>
      <c r="H4952">
        <v>13500</v>
      </c>
      <c r="I4952">
        <v>3858.58</v>
      </c>
      <c r="J4952" t="s">
        <v>26</v>
      </c>
      <c r="K4952" t="s">
        <v>40</v>
      </c>
      <c r="L4952">
        <v>2250</v>
      </c>
      <c r="M4952">
        <v>28.582074074074072</v>
      </c>
      <c r="N4952" t="s">
        <v>8</v>
      </c>
      <c r="O4952" t="s">
        <v>166</v>
      </c>
      <c r="P4952" t="s">
        <v>29</v>
      </c>
      <c r="Q4952" t="s">
        <v>30</v>
      </c>
      <c r="R4952" t="s">
        <v>31</v>
      </c>
      <c r="S4952" t="s">
        <v>32</v>
      </c>
      <c r="T4952" t="s">
        <v>1415</v>
      </c>
      <c r="U4952" t="s">
        <v>46</v>
      </c>
      <c r="V4952">
        <v>643.09666666666669</v>
      </c>
    </row>
    <row r="4953" spans="1:22" x14ac:dyDescent="0.3">
      <c r="A4953" t="s">
        <v>6435</v>
      </c>
      <c r="B4953" s="2">
        <v>46174</v>
      </c>
      <c r="C4953" t="s">
        <v>48</v>
      </c>
      <c r="D4953" t="s">
        <v>37</v>
      </c>
      <c r="E4953" t="s">
        <v>190</v>
      </c>
      <c r="F4953">
        <v>3</v>
      </c>
      <c r="G4953">
        <v>0.1</v>
      </c>
      <c r="H4953">
        <v>11340</v>
      </c>
      <c r="I4953">
        <v>2712.52</v>
      </c>
      <c r="J4953" t="s">
        <v>65</v>
      </c>
      <c r="K4953" t="s">
        <v>40</v>
      </c>
      <c r="L4953">
        <v>3780</v>
      </c>
      <c r="M4953">
        <v>23.919929453262789</v>
      </c>
      <c r="N4953" t="s">
        <v>8</v>
      </c>
      <c r="O4953" t="s">
        <v>52</v>
      </c>
      <c r="P4953" t="s">
        <v>29</v>
      </c>
      <c r="Q4953" t="s">
        <v>30</v>
      </c>
      <c r="R4953" t="s">
        <v>53</v>
      </c>
      <c r="S4953" t="s">
        <v>54</v>
      </c>
      <c r="T4953" t="s">
        <v>55</v>
      </c>
      <c r="U4953" t="s">
        <v>34</v>
      </c>
      <c r="V4953">
        <v>904.17333333333329</v>
      </c>
    </row>
    <row r="4954" spans="1:22" x14ac:dyDescent="0.3">
      <c r="A4954" t="s">
        <v>6436</v>
      </c>
      <c r="B4954" s="2">
        <v>45969</v>
      </c>
      <c r="C4954" t="s">
        <v>2078</v>
      </c>
      <c r="D4954" t="s">
        <v>70</v>
      </c>
      <c r="E4954" t="s">
        <v>108</v>
      </c>
      <c r="F4954">
        <v>2</v>
      </c>
      <c r="G4954">
        <v>0.05</v>
      </c>
      <c r="H4954">
        <v>8550</v>
      </c>
      <c r="I4954">
        <v>2681.69</v>
      </c>
      <c r="J4954" t="s">
        <v>39</v>
      </c>
      <c r="K4954" t="s">
        <v>40</v>
      </c>
      <c r="L4954">
        <v>4275</v>
      </c>
      <c r="M4954">
        <v>31.36479532163743</v>
      </c>
      <c r="N4954" t="s">
        <v>8</v>
      </c>
      <c r="O4954" t="s">
        <v>2079</v>
      </c>
      <c r="P4954" t="s">
        <v>73</v>
      </c>
      <c r="Q4954" t="s">
        <v>74</v>
      </c>
      <c r="R4954" t="s">
        <v>237</v>
      </c>
      <c r="S4954" t="s">
        <v>238</v>
      </c>
      <c r="T4954" t="s">
        <v>2080</v>
      </c>
      <c r="U4954" t="s">
        <v>34</v>
      </c>
      <c r="V4954">
        <v>1340.845</v>
      </c>
    </row>
    <row r="4955" spans="1:22" x14ac:dyDescent="0.3">
      <c r="A4955" t="s">
        <v>6437</v>
      </c>
      <c r="B4955" s="2">
        <v>46215</v>
      </c>
      <c r="C4955" t="s">
        <v>671</v>
      </c>
      <c r="D4955" t="s">
        <v>70</v>
      </c>
      <c r="E4955" t="s">
        <v>165</v>
      </c>
      <c r="F4955">
        <v>1</v>
      </c>
      <c r="G4955">
        <v>0</v>
      </c>
      <c r="H4955">
        <v>2500</v>
      </c>
      <c r="I4955">
        <v>800</v>
      </c>
      <c r="J4955" t="s">
        <v>39</v>
      </c>
      <c r="K4955" t="s">
        <v>27</v>
      </c>
      <c r="L4955">
        <v>2500</v>
      </c>
      <c r="M4955">
        <v>32</v>
      </c>
      <c r="N4955" t="s">
        <v>8</v>
      </c>
      <c r="O4955" t="s">
        <v>582</v>
      </c>
      <c r="P4955" t="s">
        <v>73</v>
      </c>
      <c r="Q4955" t="s">
        <v>30</v>
      </c>
      <c r="R4955" t="s">
        <v>53</v>
      </c>
      <c r="S4955" t="s">
        <v>54</v>
      </c>
      <c r="T4955" t="s">
        <v>672</v>
      </c>
      <c r="U4955" t="s">
        <v>46</v>
      </c>
      <c r="V4955">
        <v>800</v>
      </c>
    </row>
    <row r="4956" spans="1:22" x14ac:dyDescent="0.3">
      <c r="A4956" t="s">
        <v>6438</v>
      </c>
      <c r="B4956" s="2">
        <v>45975</v>
      </c>
      <c r="C4956" t="s">
        <v>1202</v>
      </c>
      <c r="D4956" t="s">
        <v>24</v>
      </c>
      <c r="E4956" t="s">
        <v>25</v>
      </c>
      <c r="F4956">
        <v>3</v>
      </c>
      <c r="G4956">
        <v>0.15</v>
      </c>
      <c r="H4956">
        <v>35700</v>
      </c>
      <c r="I4956">
        <v>4998.8</v>
      </c>
      <c r="J4956" t="s">
        <v>26</v>
      </c>
      <c r="K4956" t="s">
        <v>40</v>
      </c>
      <c r="L4956">
        <v>11900</v>
      </c>
      <c r="M4956">
        <v>14.002240896358551</v>
      </c>
      <c r="N4956" t="s">
        <v>8</v>
      </c>
      <c r="O4956" t="s">
        <v>251</v>
      </c>
      <c r="P4956" t="s">
        <v>29</v>
      </c>
      <c r="Q4956" t="s">
        <v>131</v>
      </c>
      <c r="R4956" t="s">
        <v>132</v>
      </c>
      <c r="S4956" t="s">
        <v>133</v>
      </c>
      <c r="T4956" t="s">
        <v>1203</v>
      </c>
      <c r="U4956" t="s">
        <v>34</v>
      </c>
      <c r="V4956">
        <v>1666.2666666666671</v>
      </c>
    </row>
    <row r="4957" spans="1:22" x14ac:dyDescent="0.3">
      <c r="A4957" t="s">
        <v>6439</v>
      </c>
      <c r="B4957" s="2">
        <v>46230</v>
      </c>
      <c r="C4957" t="s">
        <v>2197</v>
      </c>
      <c r="D4957" t="s">
        <v>70</v>
      </c>
      <c r="E4957" t="s">
        <v>71</v>
      </c>
      <c r="F4957">
        <v>3</v>
      </c>
      <c r="G4957">
        <v>0.1</v>
      </c>
      <c r="H4957">
        <v>48600</v>
      </c>
      <c r="I4957">
        <v>6711.56</v>
      </c>
      <c r="J4957" t="s">
        <v>51</v>
      </c>
      <c r="K4957" t="s">
        <v>40</v>
      </c>
      <c r="L4957">
        <v>16200</v>
      </c>
      <c r="M4957">
        <v>13.80979423868313</v>
      </c>
      <c r="N4957" t="s">
        <v>8</v>
      </c>
      <c r="O4957" t="s">
        <v>2027</v>
      </c>
      <c r="P4957" t="s">
        <v>29</v>
      </c>
      <c r="Q4957" t="s">
        <v>74</v>
      </c>
      <c r="R4957" t="s">
        <v>493</v>
      </c>
      <c r="S4957" t="s">
        <v>494</v>
      </c>
      <c r="T4957" t="s">
        <v>2198</v>
      </c>
      <c r="U4957" t="s">
        <v>34</v>
      </c>
      <c r="V4957">
        <v>2237.186666666667</v>
      </c>
    </row>
    <row r="4958" spans="1:22" x14ac:dyDescent="0.3">
      <c r="A4958" t="s">
        <v>6440</v>
      </c>
      <c r="B4958" s="2">
        <v>45842</v>
      </c>
      <c r="C4958" t="s">
        <v>433</v>
      </c>
      <c r="D4958" t="s">
        <v>70</v>
      </c>
      <c r="E4958" t="s">
        <v>129</v>
      </c>
      <c r="F4958">
        <v>1</v>
      </c>
      <c r="G4958">
        <v>0.15</v>
      </c>
      <c r="H4958">
        <v>46750</v>
      </c>
      <c r="I4958">
        <v>3616.19</v>
      </c>
      <c r="J4958" t="s">
        <v>26</v>
      </c>
      <c r="K4958" t="s">
        <v>27</v>
      </c>
      <c r="L4958">
        <v>46750</v>
      </c>
      <c r="M4958">
        <v>7.735165775401069</v>
      </c>
      <c r="N4958" t="s">
        <v>8</v>
      </c>
      <c r="O4958" t="s">
        <v>435</v>
      </c>
      <c r="P4958" t="s">
        <v>73</v>
      </c>
      <c r="Q4958" t="s">
        <v>42</v>
      </c>
      <c r="R4958" t="s">
        <v>214</v>
      </c>
      <c r="S4958" t="s">
        <v>111</v>
      </c>
      <c r="T4958" t="s">
        <v>436</v>
      </c>
      <c r="U4958" t="s">
        <v>46</v>
      </c>
      <c r="V4958">
        <v>3616.19</v>
      </c>
    </row>
    <row r="4959" spans="1:22" x14ac:dyDescent="0.3">
      <c r="A4959" t="s">
        <v>6441</v>
      </c>
      <c r="B4959" s="2">
        <v>45880</v>
      </c>
      <c r="C4959" t="s">
        <v>1420</v>
      </c>
      <c r="D4959" t="s">
        <v>70</v>
      </c>
      <c r="E4959" t="s">
        <v>108</v>
      </c>
      <c r="F4959">
        <v>3</v>
      </c>
      <c r="G4959">
        <v>0</v>
      </c>
      <c r="H4959">
        <v>13500</v>
      </c>
      <c r="I4959">
        <v>4500</v>
      </c>
      <c r="J4959" t="s">
        <v>51</v>
      </c>
      <c r="K4959" t="s">
        <v>40</v>
      </c>
      <c r="L4959">
        <v>4500</v>
      </c>
      <c r="M4959">
        <v>33.333333333333329</v>
      </c>
      <c r="N4959" t="s">
        <v>8</v>
      </c>
      <c r="O4959" t="s">
        <v>369</v>
      </c>
      <c r="P4959" t="s">
        <v>73</v>
      </c>
      <c r="Q4959" t="s">
        <v>30</v>
      </c>
      <c r="R4959" t="s">
        <v>98</v>
      </c>
      <c r="S4959" t="s">
        <v>54</v>
      </c>
      <c r="T4959" t="s">
        <v>1421</v>
      </c>
      <c r="U4959" t="s">
        <v>46</v>
      </c>
      <c r="V4959">
        <v>1500</v>
      </c>
    </row>
    <row r="4960" spans="1:22" x14ac:dyDescent="0.3">
      <c r="A4960" t="s">
        <v>6442</v>
      </c>
      <c r="B4960" s="2">
        <v>45872</v>
      </c>
      <c r="C4960" t="s">
        <v>309</v>
      </c>
      <c r="D4960" t="s">
        <v>24</v>
      </c>
      <c r="E4960" t="s">
        <v>25</v>
      </c>
      <c r="F4960">
        <v>1</v>
      </c>
      <c r="G4960">
        <v>0.2</v>
      </c>
      <c r="H4960">
        <v>11200</v>
      </c>
      <c r="I4960">
        <v>1455.71</v>
      </c>
      <c r="J4960" t="s">
        <v>26</v>
      </c>
      <c r="K4960" t="s">
        <v>40</v>
      </c>
      <c r="L4960">
        <v>11200</v>
      </c>
      <c r="M4960">
        <v>12.997410714285721</v>
      </c>
      <c r="N4960" t="s">
        <v>8</v>
      </c>
      <c r="O4960" t="s">
        <v>59</v>
      </c>
      <c r="P4960" t="s">
        <v>73</v>
      </c>
      <c r="Q4960" t="s">
        <v>74</v>
      </c>
      <c r="R4960" t="s">
        <v>237</v>
      </c>
      <c r="S4960" t="s">
        <v>238</v>
      </c>
      <c r="T4960" t="s">
        <v>311</v>
      </c>
      <c r="U4960" t="s">
        <v>46</v>
      </c>
      <c r="V4960">
        <v>1455.71</v>
      </c>
    </row>
    <row r="4961" spans="1:22" x14ac:dyDescent="0.3">
      <c r="A4961" t="s">
        <v>6443</v>
      </c>
      <c r="B4961" s="2">
        <v>45847</v>
      </c>
      <c r="C4961" t="s">
        <v>726</v>
      </c>
      <c r="D4961" t="s">
        <v>70</v>
      </c>
      <c r="E4961" t="s">
        <v>129</v>
      </c>
      <c r="F4961">
        <v>6</v>
      </c>
      <c r="G4961">
        <v>0.3</v>
      </c>
      <c r="H4961">
        <v>231000</v>
      </c>
      <c r="I4961">
        <v>-10140.14</v>
      </c>
      <c r="J4961" t="s">
        <v>26</v>
      </c>
      <c r="K4961" t="s">
        <v>27</v>
      </c>
      <c r="L4961">
        <v>38500</v>
      </c>
      <c r="M4961">
        <v>-4.3896709956709952</v>
      </c>
      <c r="N4961" t="s">
        <v>81</v>
      </c>
      <c r="O4961" t="s">
        <v>727</v>
      </c>
      <c r="P4961" t="s">
        <v>29</v>
      </c>
      <c r="Q4961" t="s">
        <v>30</v>
      </c>
      <c r="R4961" t="s">
        <v>31</v>
      </c>
      <c r="S4961" t="s">
        <v>32</v>
      </c>
      <c r="T4961" t="s">
        <v>33</v>
      </c>
      <c r="U4961" t="s">
        <v>34</v>
      </c>
      <c r="V4961">
        <v>-1690.0233333333331</v>
      </c>
    </row>
    <row r="4962" spans="1:22" x14ac:dyDescent="0.3">
      <c r="A4962" t="s">
        <v>6444</v>
      </c>
      <c r="B4962" s="2">
        <v>46142</v>
      </c>
      <c r="C4962" t="s">
        <v>685</v>
      </c>
      <c r="D4962" t="s">
        <v>70</v>
      </c>
      <c r="E4962" t="s">
        <v>108</v>
      </c>
      <c r="F4962">
        <v>2</v>
      </c>
      <c r="G4962">
        <v>0.1</v>
      </c>
      <c r="H4962">
        <v>8100</v>
      </c>
      <c r="I4962">
        <v>2496.9299999999998</v>
      </c>
      <c r="J4962" t="s">
        <v>39</v>
      </c>
      <c r="K4962" t="s">
        <v>40</v>
      </c>
      <c r="L4962">
        <v>4050</v>
      </c>
      <c r="M4962">
        <v>30.826296296296299</v>
      </c>
      <c r="N4962" t="s">
        <v>8</v>
      </c>
      <c r="O4962" t="s">
        <v>686</v>
      </c>
      <c r="P4962" t="s">
        <v>29</v>
      </c>
      <c r="Q4962" t="s">
        <v>42</v>
      </c>
      <c r="R4962" t="s">
        <v>121</v>
      </c>
      <c r="S4962" t="s">
        <v>44</v>
      </c>
      <c r="T4962" t="s">
        <v>687</v>
      </c>
      <c r="U4962" t="s">
        <v>105</v>
      </c>
      <c r="V4962">
        <v>1248.4649999999999</v>
      </c>
    </row>
    <row r="4963" spans="1:22" x14ac:dyDescent="0.3">
      <c r="A4963" t="s">
        <v>6445</v>
      </c>
      <c r="B4963" s="2">
        <v>45919</v>
      </c>
      <c r="C4963" t="s">
        <v>525</v>
      </c>
      <c r="D4963" t="s">
        <v>24</v>
      </c>
      <c r="E4963" t="s">
        <v>87</v>
      </c>
      <c r="F4963">
        <v>5</v>
      </c>
      <c r="G4963">
        <v>0.05</v>
      </c>
      <c r="H4963">
        <v>1662.5</v>
      </c>
      <c r="I4963">
        <v>535.11</v>
      </c>
      <c r="J4963" t="s">
        <v>51</v>
      </c>
      <c r="K4963" t="s">
        <v>40</v>
      </c>
      <c r="L4963">
        <v>332.5</v>
      </c>
      <c r="M4963">
        <v>32.187067669172933</v>
      </c>
      <c r="N4963" t="s">
        <v>8</v>
      </c>
      <c r="O4963" t="s">
        <v>526</v>
      </c>
      <c r="P4963" t="s">
        <v>29</v>
      </c>
      <c r="Q4963" t="s">
        <v>30</v>
      </c>
      <c r="R4963" t="s">
        <v>98</v>
      </c>
      <c r="S4963" t="s">
        <v>54</v>
      </c>
      <c r="T4963" t="s">
        <v>527</v>
      </c>
      <c r="U4963" t="s">
        <v>34</v>
      </c>
      <c r="V4963">
        <v>107.02200000000001</v>
      </c>
    </row>
    <row r="4964" spans="1:22" x14ac:dyDescent="0.3">
      <c r="A4964" t="s">
        <v>6446</v>
      </c>
      <c r="B4964" s="2">
        <v>46096</v>
      </c>
      <c r="C4964" t="s">
        <v>2961</v>
      </c>
      <c r="D4964" t="s">
        <v>49</v>
      </c>
      <c r="E4964" t="s">
        <v>58</v>
      </c>
      <c r="F4964">
        <v>2</v>
      </c>
      <c r="G4964">
        <v>0.1</v>
      </c>
      <c r="H4964">
        <v>27000</v>
      </c>
      <c r="I4964">
        <v>-15053.32</v>
      </c>
      <c r="J4964" t="s">
        <v>26</v>
      </c>
      <c r="K4964" t="s">
        <v>80</v>
      </c>
      <c r="L4964">
        <v>13500</v>
      </c>
      <c r="M4964">
        <v>-55.753037037037032</v>
      </c>
      <c r="N4964" t="s">
        <v>81</v>
      </c>
      <c r="O4964" t="s">
        <v>2962</v>
      </c>
      <c r="P4964" t="s">
        <v>73</v>
      </c>
      <c r="Q4964" t="s">
        <v>42</v>
      </c>
      <c r="R4964" t="s">
        <v>43</v>
      </c>
      <c r="S4964" t="s">
        <v>44</v>
      </c>
      <c r="T4964" t="s">
        <v>2963</v>
      </c>
      <c r="U4964" t="s">
        <v>46</v>
      </c>
      <c r="V4964">
        <v>-7526.66</v>
      </c>
    </row>
    <row r="4965" spans="1:22" x14ac:dyDescent="0.3">
      <c r="A4965" t="s">
        <v>6447</v>
      </c>
      <c r="B4965" s="2">
        <v>46250</v>
      </c>
      <c r="C4965" t="s">
        <v>1785</v>
      </c>
      <c r="D4965" t="s">
        <v>70</v>
      </c>
      <c r="E4965" t="s">
        <v>108</v>
      </c>
      <c r="F4965">
        <v>1</v>
      </c>
      <c r="G4965">
        <v>0.1</v>
      </c>
      <c r="H4965">
        <v>4050</v>
      </c>
      <c r="I4965">
        <v>1174.8</v>
      </c>
      <c r="J4965" t="s">
        <v>39</v>
      </c>
      <c r="K4965" t="s">
        <v>40</v>
      </c>
      <c r="L4965">
        <v>4050</v>
      </c>
      <c r="M4965">
        <v>29.007407407407399</v>
      </c>
      <c r="N4965" t="s">
        <v>8</v>
      </c>
      <c r="O4965" t="s">
        <v>1786</v>
      </c>
      <c r="P4965" t="s">
        <v>83</v>
      </c>
      <c r="Q4965" t="s">
        <v>30</v>
      </c>
      <c r="R4965" t="s">
        <v>53</v>
      </c>
      <c r="S4965" t="s">
        <v>54</v>
      </c>
      <c r="T4965" t="s">
        <v>227</v>
      </c>
      <c r="U4965" t="s">
        <v>46</v>
      </c>
      <c r="V4965">
        <v>1174.8</v>
      </c>
    </row>
    <row r="4966" spans="1:22" x14ac:dyDescent="0.3">
      <c r="A4966" t="s">
        <v>6448</v>
      </c>
      <c r="B4966" s="2">
        <v>46042</v>
      </c>
      <c r="C4966" t="s">
        <v>2278</v>
      </c>
      <c r="D4966" t="s">
        <v>70</v>
      </c>
      <c r="E4966" t="s">
        <v>165</v>
      </c>
      <c r="F4966">
        <v>4</v>
      </c>
      <c r="G4966">
        <v>0.1</v>
      </c>
      <c r="H4966">
        <v>9000</v>
      </c>
      <c r="I4966">
        <v>2683.62</v>
      </c>
      <c r="J4966" t="s">
        <v>51</v>
      </c>
      <c r="K4966" t="s">
        <v>40</v>
      </c>
      <c r="L4966">
        <v>2250</v>
      </c>
      <c r="M4966">
        <v>29.818000000000001</v>
      </c>
      <c r="N4966" t="s">
        <v>8</v>
      </c>
      <c r="O4966" t="s">
        <v>470</v>
      </c>
      <c r="P4966" t="s">
        <v>29</v>
      </c>
      <c r="Q4966" t="s">
        <v>30</v>
      </c>
      <c r="R4966" t="s">
        <v>98</v>
      </c>
      <c r="S4966" t="s">
        <v>54</v>
      </c>
      <c r="T4966" t="s">
        <v>2279</v>
      </c>
      <c r="U4966" t="s">
        <v>105</v>
      </c>
      <c r="V4966">
        <v>670.90499999999997</v>
      </c>
    </row>
    <row r="4967" spans="1:22" x14ac:dyDescent="0.3">
      <c r="A4967" t="s">
        <v>6449</v>
      </c>
      <c r="B4967" s="2">
        <v>46108</v>
      </c>
      <c r="C4967" t="s">
        <v>258</v>
      </c>
      <c r="D4967" t="s">
        <v>70</v>
      </c>
      <c r="E4967" t="s">
        <v>129</v>
      </c>
      <c r="F4967">
        <v>2</v>
      </c>
      <c r="G4967">
        <v>0.1</v>
      </c>
      <c r="H4967">
        <v>99000</v>
      </c>
      <c r="I4967">
        <v>9402.57</v>
      </c>
      <c r="J4967" t="s">
        <v>65</v>
      </c>
      <c r="K4967" t="s">
        <v>40</v>
      </c>
      <c r="L4967">
        <v>49500</v>
      </c>
      <c r="M4967">
        <v>9.4975454545454543</v>
      </c>
      <c r="N4967" t="s">
        <v>8</v>
      </c>
      <c r="O4967" t="s">
        <v>259</v>
      </c>
      <c r="P4967" t="s">
        <v>73</v>
      </c>
      <c r="Q4967" t="s">
        <v>30</v>
      </c>
      <c r="R4967" t="s">
        <v>60</v>
      </c>
      <c r="S4967" t="s">
        <v>61</v>
      </c>
      <c r="T4967" t="s">
        <v>260</v>
      </c>
      <c r="U4967" t="s">
        <v>105</v>
      </c>
      <c r="V4967">
        <v>4701.2849999999999</v>
      </c>
    </row>
    <row r="4968" spans="1:22" x14ac:dyDescent="0.3">
      <c r="A4968" t="s">
        <v>6450</v>
      </c>
      <c r="B4968" s="2">
        <v>46021</v>
      </c>
      <c r="C4968" t="s">
        <v>377</v>
      </c>
      <c r="D4968" t="s">
        <v>37</v>
      </c>
      <c r="E4968" t="s">
        <v>310</v>
      </c>
      <c r="F4968">
        <v>1</v>
      </c>
      <c r="G4968">
        <v>0</v>
      </c>
      <c r="H4968">
        <v>2200</v>
      </c>
      <c r="I4968">
        <v>750</v>
      </c>
      <c r="J4968" t="s">
        <v>51</v>
      </c>
      <c r="K4968" t="s">
        <v>40</v>
      </c>
      <c r="L4968">
        <v>2200</v>
      </c>
      <c r="M4968">
        <v>34.090909090909093</v>
      </c>
      <c r="N4968" t="s">
        <v>8</v>
      </c>
      <c r="O4968" t="s">
        <v>378</v>
      </c>
      <c r="P4968" t="s">
        <v>29</v>
      </c>
      <c r="Q4968" t="s">
        <v>30</v>
      </c>
      <c r="R4968" t="s">
        <v>31</v>
      </c>
      <c r="S4968" t="s">
        <v>32</v>
      </c>
      <c r="T4968" t="s">
        <v>379</v>
      </c>
      <c r="U4968" t="s">
        <v>34</v>
      </c>
      <c r="V4968">
        <v>750</v>
      </c>
    </row>
    <row r="4969" spans="1:22" x14ac:dyDescent="0.3">
      <c r="A4969" t="s">
        <v>6451</v>
      </c>
      <c r="B4969" s="2">
        <v>46201</v>
      </c>
      <c r="C4969" t="s">
        <v>430</v>
      </c>
      <c r="D4969" t="s">
        <v>49</v>
      </c>
      <c r="E4969" t="s">
        <v>119</v>
      </c>
      <c r="F4969">
        <v>1</v>
      </c>
      <c r="G4969">
        <v>0.05</v>
      </c>
      <c r="H4969">
        <v>8550</v>
      </c>
      <c r="I4969">
        <v>-2142.9499999999998</v>
      </c>
      <c r="J4969" t="s">
        <v>26</v>
      </c>
      <c r="K4969" t="s">
        <v>434</v>
      </c>
      <c r="L4969">
        <v>8550</v>
      </c>
      <c r="M4969">
        <v>-25.063742690058479</v>
      </c>
      <c r="N4969" t="s">
        <v>81</v>
      </c>
      <c r="O4969" t="s">
        <v>431</v>
      </c>
      <c r="P4969" t="s">
        <v>29</v>
      </c>
      <c r="Q4969" t="s">
        <v>30</v>
      </c>
      <c r="R4969" t="s">
        <v>53</v>
      </c>
      <c r="S4969" t="s">
        <v>54</v>
      </c>
      <c r="T4969" t="s">
        <v>256</v>
      </c>
      <c r="U4969" t="s">
        <v>46</v>
      </c>
      <c r="V4969">
        <v>-2142.9499999999998</v>
      </c>
    </row>
    <row r="4970" spans="1:22" x14ac:dyDescent="0.3">
      <c r="A4970" t="s">
        <v>6452</v>
      </c>
      <c r="B4970" s="2">
        <v>45979</v>
      </c>
      <c r="C4970" t="s">
        <v>807</v>
      </c>
      <c r="D4970" t="s">
        <v>37</v>
      </c>
      <c r="E4970" t="s">
        <v>310</v>
      </c>
      <c r="F4970">
        <v>2</v>
      </c>
      <c r="G4970">
        <v>0</v>
      </c>
      <c r="H4970">
        <v>4400</v>
      </c>
      <c r="I4970">
        <v>1500</v>
      </c>
      <c r="J4970" t="s">
        <v>65</v>
      </c>
      <c r="K4970" t="s">
        <v>40</v>
      </c>
      <c r="L4970">
        <v>2200</v>
      </c>
      <c r="M4970">
        <v>34.090909090909093</v>
      </c>
      <c r="N4970" t="s">
        <v>8</v>
      </c>
      <c r="O4970" t="s">
        <v>545</v>
      </c>
      <c r="P4970" t="s">
        <v>73</v>
      </c>
      <c r="Q4970" t="s">
        <v>30</v>
      </c>
      <c r="R4970" t="s">
        <v>31</v>
      </c>
      <c r="S4970" t="s">
        <v>32</v>
      </c>
      <c r="T4970" t="s">
        <v>808</v>
      </c>
      <c r="U4970" t="s">
        <v>105</v>
      </c>
      <c r="V4970">
        <v>750</v>
      </c>
    </row>
    <row r="4971" spans="1:22" x14ac:dyDescent="0.3">
      <c r="A4971" t="s">
        <v>6453</v>
      </c>
      <c r="B4971" s="2">
        <v>46091</v>
      </c>
      <c r="C4971" t="s">
        <v>1468</v>
      </c>
      <c r="D4971" t="s">
        <v>24</v>
      </c>
      <c r="E4971" t="s">
        <v>92</v>
      </c>
      <c r="F4971">
        <v>3</v>
      </c>
      <c r="G4971">
        <v>0.05</v>
      </c>
      <c r="H4971">
        <v>2565</v>
      </c>
      <c r="I4971">
        <v>726.13</v>
      </c>
      <c r="J4971" t="s">
        <v>65</v>
      </c>
      <c r="K4971" t="s">
        <v>40</v>
      </c>
      <c r="L4971">
        <v>855</v>
      </c>
      <c r="M4971">
        <v>28.309161793372319</v>
      </c>
      <c r="N4971" t="s">
        <v>8</v>
      </c>
      <c r="O4971" t="s">
        <v>345</v>
      </c>
      <c r="P4971" t="s">
        <v>83</v>
      </c>
      <c r="Q4971" t="s">
        <v>30</v>
      </c>
      <c r="R4971" t="s">
        <v>98</v>
      </c>
      <c r="S4971" t="s">
        <v>54</v>
      </c>
      <c r="T4971" t="s">
        <v>1469</v>
      </c>
      <c r="U4971" t="s">
        <v>34</v>
      </c>
      <c r="V4971">
        <v>242.04333333333329</v>
      </c>
    </row>
    <row r="4972" spans="1:22" x14ac:dyDescent="0.3">
      <c r="A4972" t="s">
        <v>6454</v>
      </c>
      <c r="B4972" s="2">
        <v>46033</v>
      </c>
      <c r="C4972" t="s">
        <v>258</v>
      </c>
      <c r="D4972" t="s">
        <v>70</v>
      </c>
      <c r="E4972" t="s">
        <v>108</v>
      </c>
      <c r="F4972">
        <v>4</v>
      </c>
      <c r="G4972">
        <v>0.1</v>
      </c>
      <c r="H4972">
        <v>16200</v>
      </c>
      <c r="I4972">
        <v>4641.74</v>
      </c>
      <c r="J4972" t="s">
        <v>39</v>
      </c>
      <c r="K4972" t="s">
        <v>40</v>
      </c>
      <c r="L4972">
        <v>4050</v>
      </c>
      <c r="M4972">
        <v>28.652716049382711</v>
      </c>
      <c r="N4972" t="s">
        <v>8</v>
      </c>
      <c r="O4972" t="s">
        <v>259</v>
      </c>
      <c r="P4972" t="s">
        <v>73</v>
      </c>
      <c r="Q4972" t="s">
        <v>30</v>
      </c>
      <c r="R4972" t="s">
        <v>60</v>
      </c>
      <c r="S4972" t="s">
        <v>61</v>
      </c>
      <c r="T4972" t="s">
        <v>260</v>
      </c>
      <c r="U4972" t="s">
        <v>105</v>
      </c>
      <c r="V4972">
        <v>1160.4349999999999</v>
      </c>
    </row>
    <row r="4973" spans="1:22" x14ac:dyDescent="0.3">
      <c r="A4973" t="s">
        <v>6455</v>
      </c>
      <c r="B4973" s="2">
        <v>45843</v>
      </c>
      <c r="C4973" t="s">
        <v>442</v>
      </c>
      <c r="D4973" t="s">
        <v>70</v>
      </c>
      <c r="E4973" t="s">
        <v>129</v>
      </c>
      <c r="F4973">
        <v>2</v>
      </c>
      <c r="G4973">
        <v>0.2</v>
      </c>
      <c r="H4973">
        <v>88000</v>
      </c>
      <c r="I4973">
        <v>-33162.71</v>
      </c>
      <c r="J4973" t="s">
        <v>51</v>
      </c>
      <c r="K4973" t="s">
        <v>80</v>
      </c>
      <c r="L4973">
        <v>44000</v>
      </c>
      <c r="M4973">
        <v>-37.684897727272727</v>
      </c>
      <c r="N4973" t="s">
        <v>81</v>
      </c>
      <c r="O4973" t="s">
        <v>443</v>
      </c>
      <c r="P4973" t="s">
        <v>83</v>
      </c>
      <c r="Q4973" t="s">
        <v>42</v>
      </c>
      <c r="R4973" t="s">
        <v>444</v>
      </c>
      <c r="S4973" t="s">
        <v>44</v>
      </c>
      <c r="T4973" t="s">
        <v>445</v>
      </c>
      <c r="U4973" t="s">
        <v>46</v>
      </c>
      <c r="V4973">
        <v>-16581.355</v>
      </c>
    </row>
    <row r="4974" spans="1:22" x14ac:dyDescent="0.3">
      <c r="A4974" t="s">
        <v>6456</v>
      </c>
      <c r="B4974" s="2">
        <v>46150</v>
      </c>
      <c r="C4974" t="s">
        <v>2947</v>
      </c>
      <c r="D4974" t="s">
        <v>37</v>
      </c>
      <c r="E4974" t="s">
        <v>38</v>
      </c>
      <c r="F4974">
        <v>5</v>
      </c>
      <c r="G4974">
        <v>0.1</v>
      </c>
      <c r="H4974">
        <v>8100</v>
      </c>
      <c r="I4974">
        <v>2602.85</v>
      </c>
      <c r="J4974" t="s">
        <v>65</v>
      </c>
      <c r="K4974" t="s">
        <v>40</v>
      </c>
      <c r="L4974">
        <v>1620</v>
      </c>
      <c r="M4974">
        <v>32.133950617283951</v>
      </c>
      <c r="N4974" t="s">
        <v>8</v>
      </c>
      <c r="O4974" t="s">
        <v>2674</v>
      </c>
      <c r="P4974" t="s">
        <v>29</v>
      </c>
      <c r="Q4974" t="s">
        <v>74</v>
      </c>
      <c r="R4974" t="s">
        <v>115</v>
      </c>
      <c r="S4974" t="s">
        <v>115</v>
      </c>
      <c r="T4974" t="s">
        <v>2948</v>
      </c>
      <c r="U4974" t="s">
        <v>105</v>
      </c>
      <c r="V4974">
        <v>520.56999999999994</v>
      </c>
    </row>
    <row r="4975" spans="1:22" x14ac:dyDescent="0.3">
      <c r="A4975" t="s">
        <v>6457</v>
      </c>
      <c r="B4975" s="2">
        <v>46046</v>
      </c>
      <c r="C4975" t="s">
        <v>377</v>
      </c>
      <c r="D4975" t="s">
        <v>70</v>
      </c>
      <c r="E4975" t="s">
        <v>165</v>
      </c>
      <c r="F4975">
        <v>2</v>
      </c>
      <c r="G4975">
        <v>0.1</v>
      </c>
      <c r="H4975">
        <v>4500</v>
      </c>
      <c r="I4975">
        <v>1293.69</v>
      </c>
      <c r="J4975" t="s">
        <v>65</v>
      </c>
      <c r="K4975" t="s">
        <v>40</v>
      </c>
      <c r="L4975">
        <v>2250</v>
      </c>
      <c r="M4975">
        <v>28.748666666666669</v>
      </c>
      <c r="N4975" t="s">
        <v>8</v>
      </c>
      <c r="O4975" t="s">
        <v>378</v>
      </c>
      <c r="P4975" t="s">
        <v>29</v>
      </c>
      <c r="Q4975" t="s">
        <v>30</v>
      </c>
      <c r="R4975" t="s">
        <v>31</v>
      </c>
      <c r="S4975" t="s">
        <v>32</v>
      </c>
      <c r="T4975" t="s">
        <v>379</v>
      </c>
      <c r="U4975" t="s">
        <v>34</v>
      </c>
      <c r="V4975">
        <v>646.84500000000003</v>
      </c>
    </row>
    <row r="4976" spans="1:22" x14ac:dyDescent="0.3">
      <c r="A4976" t="s">
        <v>6458</v>
      </c>
      <c r="B4976" s="2">
        <v>45883</v>
      </c>
      <c r="C4976" t="s">
        <v>585</v>
      </c>
      <c r="D4976" t="s">
        <v>70</v>
      </c>
      <c r="E4976" t="s">
        <v>108</v>
      </c>
      <c r="F4976">
        <v>3</v>
      </c>
      <c r="G4976">
        <v>0</v>
      </c>
      <c r="H4976">
        <v>13500</v>
      </c>
      <c r="I4976">
        <v>4500</v>
      </c>
      <c r="J4976" t="s">
        <v>65</v>
      </c>
      <c r="K4976" t="s">
        <v>40</v>
      </c>
      <c r="L4976">
        <v>4500</v>
      </c>
      <c r="M4976">
        <v>33.333333333333329</v>
      </c>
      <c r="N4976" t="s">
        <v>8</v>
      </c>
      <c r="O4976" t="s">
        <v>586</v>
      </c>
      <c r="P4976" t="s">
        <v>73</v>
      </c>
      <c r="Q4976" t="s">
        <v>30</v>
      </c>
      <c r="R4976" t="s">
        <v>98</v>
      </c>
      <c r="S4976" t="s">
        <v>54</v>
      </c>
      <c r="T4976" t="s">
        <v>587</v>
      </c>
      <c r="U4976" t="s">
        <v>46</v>
      </c>
      <c r="V4976">
        <v>1500</v>
      </c>
    </row>
    <row r="4977" spans="1:22" x14ac:dyDescent="0.3">
      <c r="A4977" t="s">
        <v>6459</v>
      </c>
      <c r="B4977" s="2">
        <v>46225</v>
      </c>
      <c r="C4977" t="s">
        <v>189</v>
      </c>
      <c r="D4977" t="s">
        <v>37</v>
      </c>
      <c r="E4977" t="s">
        <v>170</v>
      </c>
      <c r="F4977">
        <v>2</v>
      </c>
      <c r="G4977">
        <v>0.1</v>
      </c>
      <c r="H4977">
        <v>2520</v>
      </c>
      <c r="I4977">
        <v>855.48</v>
      </c>
      <c r="J4977" t="s">
        <v>26</v>
      </c>
      <c r="K4977" t="s">
        <v>40</v>
      </c>
      <c r="L4977">
        <v>1260</v>
      </c>
      <c r="M4977">
        <v>33.94761904761905</v>
      </c>
      <c r="N4977" t="s">
        <v>8</v>
      </c>
      <c r="O4977" t="s">
        <v>191</v>
      </c>
      <c r="P4977" t="s">
        <v>29</v>
      </c>
      <c r="Q4977" t="s">
        <v>30</v>
      </c>
      <c r="R4977" t="s">
        <v>31</v>
      </c>
      <c r="S4977" t="s">
        <v>32</v>
      </c>
      <c r="T4977" t="s">
        <v>192</v>
      </c>
      <c r="U4977" t="s">
        <v>34</v>
      </c>
      <c r="V4977">
        <v>427.74</v>
      </c>
    </row>
    <row r="4978" spans="1:22" x14ac:dyDescent="0.3">
      <c r="A4978" t="s">
        <v>6460</v>
      </c>
      <c r="B4978" s="2">
        <v>46135</v>
      </c>
      <c r="C4978" t="s">
        <v>570</v>
      </c>
      <c r="D4978" t="s">
        <v>37</v>
      </c>
      <c r="E4978" t="s">
        <v>38</v>
      </c>
      <c r="F4978">
        <v>2</v>
      </c>
      <c r="G4978">
        <v>0.15</v>
      </c>
      <c r="H4978">
        <v>3060</v>
      </c>
      <c r="I4978">
        <v>988.92</v>
      </c>
      <c r="J4978" t="s">
        <v>39</v>
      </c>
      <c r="K4978" t="s">
        <v>40</v>
      </c>
      <c r="L4978">
        <v>1530</v>
      </c>
      <c r="M4978">
        <v>32.317647058823532</v>
      </c>
      <c r="N4978" t="s">
        <v>8</v>
      </c>
      <c r="O4978" t="s">
        <v>571</v>
      </c>
      <c r="P4978" t="s">
        <v>29</v>
      </c>
      <c r="Q4978" t="s">
        <v>30</v>
      </c>
      <c r="R4978" t="s">
        <v>31</v>
      </c>
      <c r="S4978" t="s">
        <v>32</v>
      </c>
      <c r="T4978" t="s">
        <v>572</v>
      </c>
      <c r="U4978" t="s">
        <v>100</v>
      </c>
      <c r="V4978">
        <v>494.46</v>
      </c>
    </row>
    <row r="4979" spans="1:22" x14ac:dyDescent="0.3">
      <c r="A4979" t="s">
        <v>6461</v>
      </c>
      <c r="B4979" s="2">
        <v>45965</v>
      </c>
      <c r="C4979" t="s">
        <v>3771</v>
      </c>
      <c r="D4979" t="s">
        <v>24</v>
      </c>
      <c r="E4979" t="s">
        <v>242</v>
      </c>
      <c r="F4979">
        <v>1</v>
      </c>
      <c r="G4979">
        <v>0.2</v>
      </c>
      <c r="H4979">
        <v>360</v>
      </c>
      <c r="I4979">
        <v>60.15</v>
      </c>
      <c r="J4979" t="s">
        <v>39</v>
      </c>
      <c r="K4979" t="s">
        <v>40</v>
      </c>
      <c r="L4979">
        <v>360</v>
      </c>
      <c r="M4979">
        <v>16.708333333333329</v>
      </c>
      <c r="N4979" t="s">
        <v>8</v>
      </c>
      <c r="O4979" t="s">
        <v>482</v>
      </c>
      <c r="P4979" t="s">
        <v>73</v>
      </c>
      <c r="Q4979" t="s">
        <v>74</v>
      </c>
      <c r="R4979" t="s">
        <v>75</v>
      </c>
      <c r="S4979" t="s">
        <v>75</v>
      </c>
      <c r="T4979" t="s">
        <v>3772</v>
      </c>
      <c r="U4979" t="s">
        <v>34</v>
      </c>
      <c r="V4979">
        <v>60.15</v>
      </c>
    </row>
    <row r="4980" spans="1:22" x14ac:dyDescent="0.3">
      <c r="A4980" t="s">
        <v>6462</v>
      </c>
      <c r="B4980" s="2">
        <v>45917</v>
      </c>
      <c r="C4980" t="s">
        <v>3684</v>
      </c>
      <c r="D4980" t="s">
        <v>24</v>
      </c>
      <c r="E4980" t="s">
        <v>25</v>
      </c>
      <c r="F4980">
        <v>1</v>
      </c>
      <c r="G4980">
        <v>0.15</v>
      </c>
      <c r="H4980">
        <v>11900</v>
      </c>
      <c r="I4980">
        <v>-1812.47</v>
      </c>
      <c r="J4980" t="s">
        <v>65</v>
      </c>
      <c r="K4980" t="s">
        <v>434</v>
      </c>
      <c r="L4980">
        <v>11900</v>
      </c>
      <c r="M4980">
        <v>-15.230840336134451</v>
      </c>
      <c r="N4980" t="s">
        <v>81</v>
      </c>
      <c r="O4980" t="s">
        <v>730</v>
      </c>
      <c r="P4980" t="s">
        <v>29</v>
      </c>
      <c r="Q4980" t="s">
        <v>131</v>
      </c>
      <c r="R4980" t="s">
        <v>200</v>
      </c>
      <c r="S4980" t="s">
        <v>201</v>
      </c>
      <c r="T4980" t="s">
        <v>3685</v>
      </c>
      <c r="U4980" t="s">
        <v>34</v>
      </c>
      <c r="V4980">
        <v>-1812.47</v>
      </c>
    </row>
    <row r="4981" spans="1:22" x14ac:dyDescent="0.3">
      <c r="A4981" t="s">
        <v>6463</v>
      </c>
      <c r="B4981" s="2">
        <v>46000</v>
      </c>
      <c r="C4981" t="s">
        <v>810</v>
      </c>
      <c r="D4981" t="s">
        <v>70</v>
      </c>
      <c r="E4981" t="s">
        <v>165</v>
      </c>
      <c r="F4981">
        <v>4</v>
      </c>
      <c r="G4981">
        <v>0.1</v>
      </c>
      <c r="H4981">
        <v>9000</v>
      </c>
      <c r="I4981">
        <v>2485.62</v>
      </c>
      <c r="J4981" t="s">
        <v>39</v>
      </c>
      <c r="K4981" t="s">
        <v>40</v>
      </c>
      <c r="L4981">
        <v>2250</v>
      </c>
      <c r="M4981">
        <v>27.617999999999999</v>
      </c>
      <c r="N4981" t="s">
        <v>8</v>
      </c>
      <c r="O4981" t="s">
        <v>811</v>
      </c>
      <c r="P4981" t="s">
        <v>73</v>
      </c>
      <c r="Q4981" t="s">
        <v>30</v>
      </c>
      <c r="R4981" t="s">
        <v>60</v>
      </c>
      <c r="S4981" t="s">
        <v>61</v>
      </c>
      <c r="T4981" t="s">
        <v>812</v>
      </c>
      <c r="U4981" t="s">
        <v>34</v>
      </c>
      <c r="V4981">
        <v>621.40499999999997</v>
      </c>
    </row>
    <row r="4982" spans="1:22" x14ac:dyDescent="0.3">
      <c r="A4982" t="s">
        <v>6464</v>
      </c>
      <c r="B4982" s="2">
        <v>45914</v>
      </c>
      <c r="C4982" t="s">
        <v>69</v>
      </c>
      <c r="D4982" t="s">
        <v>37</v>
      </c>
      <c r="E4982" t="s">
        <v>170</v>
      </c>
      <c r="F4982">
        <v>5</v>
      </c>
      <c r="G4982">
        <v>0</v>
      </c>
      <c r="H4982">
        <v>7000</v>
      </c>
      <c r="I4982">
        <v>2500</v>
      </c>
      <c r="J4982" t="s">
        <v>26</v>
      </c>
      <c r="K4982" t="s">
        <v>40</v>
      </c>
      <c r="L4982">
        <v>1400</v>
      </c>
      <c r="M4982">
        <v>35.714285714285722</v>
      </c>
      <c r="N4982" t="s">
        <v>8</v>
      </c>
      <c r="O4982" t="s">
        <v>72</v>
      </c>
      <c r="P4982" t="s">
        <v>73</v>
      </c>
      <c r="Q4982" t="s">
        <v>74</v>
      </c>
      <c r="R4982" t="s">
        <v>75</v>
      </c>
      <c r="S4982" t="s">
        <v>75</v>
      </c>
      <c r="T4982" t="s">
        <v>76</v>
      </c>
      <c r="U4982" t="s">
        <v>34</v>
      </c>
      <c r="V4982">
        <v>500</v>
      </c>
    </row>
    <row r="4983" spans="1:22" x14ac:dyDescent="0.3">
      <c r="A4983" t="s">
        <v>6465</v>
      </c>
      <c r="B4983" s="2">
        <v>46191</v>
      </c>
      <c r="C4983" t="s">
        <v>1791</v>
      </c>
      <c r="D4983" t="s">
        <v>70</v>
      </c>
      <c r="E4983" t="s">
        <v>129</v>
      </c>
      <c r="F4983">
        <v>1</v>
      </c>
      <c r="G4983">
        <v>0</v>
      </c>
      <c r="H4983">
        <v>55000</v>
      </c>
      <c r="I4983">
        <v>9000</v>
      </c>
      <c r="J4983" t="s">
        <v>65</v>
      </c>
      <c r="K4983" t="s">
        <v>40</v>
      </c>
      <c r="L4983">
        <v>55000</v>
      </c>
      <c r="M4983">
        <v>16.36363636363636</v>
      </c>
      <c r="N4983" t="s">
        <v>8</v>
      </c>
      <c r="O4983" t="s">
        <v>851</v>
      </c>
      <c r="P4983" t="s">
        <v>83</v>
      </c>
      <c r="Q4983" t="s">
        <v>30</v>
      </c>
      <c r="R4983" t="s">
        <v>60</v>
      </c>
      <c r="S4983" t="s">
        <v>61</v>
      </c>
      <c r="T4983" t="s">
        <v>1792</v>
      </c>
      <c r="U4983" t="s">
        <v>105</v>
      </c>
      <c r="V4983">
        <v>9000</v>
      </c>
    </row>
    <row r="4984" spans="1:22" x14ac:dyDescent="0.3">
      <c r="A4984" t="s">
        <v>6466</v>
      </c>
      <c r="B4984" s="2">
        <v>45945</v>
      </c>
      <c r="C4984" t="s">
        <v>488</v>
      </c>
      <c r="D4984" t="s">
        <v>70</v>
      </c>
      <c r="E4984" t="s">
        <v>129</v>
      </c>
      <c r="F4984">
        <v>4</v>
      </c>
      <c r="G4984">
        <v>0.1</v>
      </c>
      <c r="H4984">
        <v>198000</v>
      </c>
      <c r="I4984">
        <v>22188.22</v>
      </c>
      <c r="J4984" t="s">
        <v>26</v>
      </c>
      <c r="K4984" t="s">
        <v>40</v>
      </c>
      <c r="L4984">
        <v>49500</v>
      </c>
      <c r="M4984">
        <v>11.206171717171721</v>
      </c>
      <c r="N4984" t="s">
        <v>8</v>
      </c>
      <c r="O4984" t="s">
        <v>398</v>
      </c>
      <c r="P4984" t="s">
        <v>29</v>
      </c>
      <c r="Q4984" t="s">
        <v>30</v>
      </c>
      <c r="R4984" t="s">
        <v>60</v>
      </c>
      <c r="S4984" t="s">
        <v>61</v>
      </c>
      <c r="T4984" t="s">
        <v>489</v>
      </c>
      <c r="U4984" t="s">
        <v>105</v>
      </c>
      <c r="V4984">
        <v>5547.0550000000003</v>
      </c>
    </row>
    <row r="4985" spans="1:22" x14ac:dyDescent="0.3">
      <c r="A4985" t="s">
        <v>6467</v>
      </c>
      <c r="B4985" s="2">
        <v>45863</v>
      </c>
      <c r="C4985" t="s">
        <v>824</v>
      </c>
      <c r="D4985" t="s">
        <v>24</v>
      </c>
      <c r="E4985" t="s">
        <v>242</v>
      </c>
      <c r="F4985">
        <v>1</v>
      </c>
      <c r="G4985">
        <v>0</v>
      </c>
      <c r="H4985">
        <v>450</v>
      </c>
      <c r="I4985">
        <v>110</v>
      </c>
      <c r="J4985" t="s">
        <v>39</v>
      </c>
      <c r="K4985" t="s">
        <v>27</v>
      </c>
      <c r="L4985">
        <v>450</v>
      </c>
      <c r="M4985">
        <v>24.444444444444439</v>
      </c>
      <c r="N4985" t="s">
        <v>8</v>
      </c>
      <c r="O4985" t="s">
        <v>825</v>
      </c>
      <c r="P4985" t="s">
        <v>29</v>
      </c>
      <c r="Q4985" t="s">
        <v>30</v>
      </c>
      <c r="R4985" t="s">
        <v>53</v>
      </c>
      <c r="S4985" t="s">
        <v>54</v>
      </c>
      <c r="T4985" t="s">
        <v>826</v>
      </c>
      <c r="U4985" t="s">
        <v>105</v>
      </c>
      <c r="V4985">
        <v>110</v>
      </c>
    </row>
    <row r="4986" spans="1:22" x14ac:dyDescent="0.3">
      <c r="A4986" t="s">
        <v>6468</v>
      </c>
      <c r="B4986" s="2">
        <v>46151</v>
      </c>
      <c r="C4986" t="s">
        <v>279</v>
      </c>
      <c r="D4986" t="s">
        <v>70</v>
      </c>
      <c r="E4986" t="s">
        <v>108</v>
      </c>
      <c r="F4986">
        <v>4</v>
      </c>
      <c r="G4986">
        <v>0.1</v>
      </c>
      <c r="H4986">
        <v>16200</v>
      </c>
      <c r="I4986">
        <v>4568.2700000000004</v>
      </c>
      <c r="J4986" t="s">
        <v>26</v>
      </c>
      <c r="K4986" t="s">
        <v>40</v>
      </c>
      <c r="L4986">
        <v>4050</v>
      </c>
      <c r="M4986">
        <v>28.1991975308642</v>
      </c>
      <c r="N4986" t="s">
        <v>8</v>
      </c>
      <c r="O4986" t="s">
        <v>280</v>
      </c>
      <c r="P4986" t="s">
        <v>73</v>
      </c>
      <c r="Q4986" t="s">
        <v>30</v>
      </c>
      <c r="R4986" t="s">
        <v>31</v>
      </c>
      <c r="S4986" t="s">
        <v>32</v>
      </c>
      <c r="T4986" t="s">
        <v>281</v>
      </c>
      <c r="U4986" t="s">
        <v>46</v>
      </c>
      <c r="V4986">
        <v>1142.0675000000001</v>
      </c>
    </row>
    <row r="4987" spans="1:22" x14ac:dyDescent="0.3">
      <c r="A4987" t="s">
        <v>6469</v>
      </c>
      <c r="B4987" s="2">
        <v>45900</v>
      </c>
      <c r="C4987" t="s">
        <v>297</v>
      </c>
      <c r="D4987" t="s">
        <v>24</v>
      </c>
      <c r="E4987" t="s">
        <v>25</v>
      </c>
      <c r="F4987">
        <v>1</v>
      </c>
      <c r="G4987">
        <v>0.1</v>
      </c>
      <c r="H4987">
        <v>12600</v>
      </c>
      <c r="I4987">
        <v>1954.02</v>
      </c>
      <c r="J4987" t="s">
        <v>65</v>
      </c>
      <c r="K4987" t="s">
        <v>40</v>
      </c>
      <c r="L4987">
        <v>12600</v>
      </c>
      <c r="M4987">
        <v>15.50809523809524</v>
      </c>
      <c r="N4987" t="s">
        <v>8</v>
      </c>
      <c r="O4987" t="s">
        <v>298</v>
      </c>
      <c r="P4987" t="s">
        <v>83</v>
      </c>
      <c r="Q4987" t="s">
        <v>30</v>
      </c>
      <c r="R4987" t="s">
        <v>60</v>
      </c>
      <c r="S4987" t="s">
        <v>61</v>
      </c>
      <c r="T4987" t="s">
        <v>299</v>
      </c>
      <c r="U4987" t="s">
        <v>46</v>
      </c>
      <c r="V4987">
        <v>1954.02</v>
      </c>
    </row>
    <row r="4988" spans="1:22" x14ac:dyDescent="0.3">
      <c r="A4988" t="s">
        <v>6470</v>
      </c>
      <c r="B4988" s="2">
        <v>45970</v>
      </c>
      <c r="C4988" t="s">
        <v>1116</v>
      </c>
      <c r="D4988" t="s">
        <v>24</v>
      </c>
      <c r="E4988" t="s">
        <v>242</v>
      </c>
      <c r="F4988">
        <v>4</v>
      </c>
      <c r="G4988">
        <v>0.1</v>
      </c>
      <c r="H4988">
        <v>1620</v>
      </c>
      <c r="I4988">
        <v>295.08</v>
      </c>
      <c r="J4988" t="s">
        <v>51</v>
      </c>
      <c r="K4988" t="s">
        <v>40</v>
      </c>
      <c r="L4988">
        <v>405</v>
      </c>
      <c r="M4988">
        <v>18.214814814814819</v>
      </c>
      <c r="N4988" t="s">
        <v>8</v>
      </c>
      <c r="O4988" t="s">
        <v>1117</v>
      </c>
      <c r="P4988" t="s">
        <v>29</v>
      </c>
      <c r="Q4988" t="s">
        <v>30</v>
      </c>
      <c r="R4988" t="s">
        <v>98</v>
      </c>
      <c r="S4988" t="s">
        <v>54</v>
      </c>
      <c r="T4988" t="s">
        <v>1118</v>
      </c>
      <c r="U4988" t="s">
        <v>34</v>
      </c>
      <c r="V4988">
        <v>73.77</v>
      </c>
    </row>
    <row r="4989" spans="1:22" x14ac:dyDescent="0.3">
      <c r="A4989" t="s">
        <v>6471</v>
      </c>
      <c r="B4989" s="2">
        <v>45892</v>
      </c>
      <c r="C4989" t="s">
        <v>2257</v>
      </c>
      <c r="D4989" t="s">
        <v>70</v>
      </c>
      <c r="E4989" t="s">
        <v>71</v>
      </c>
      <c r="F4989">
        <v>3</v>
      </c>
      <c r="G4989">
        <v>0.15</v>
      </c>
      <c r="H4989">
        <v>45900</v>
      </c>
      <c r="I4989">
        <v>3874.94</v>
      </c>
      <c r="J4989" t="s">
        <v>39</v>
      </c>
      <c r="K4989" t="s">
        <v>27</v>
      </c>
      <c r="L4989">
        <v>15300</v>
      </c>
      <c r="M4989">
        <v>8.4421350762527236</v>
      </c>
      <c r="N4989" t="s">
        <v>8</v>
      </c>
      <c r="O4989" t="s">
        <v>626</v>
      </c>
      <c r="P4989" t="s">
        <v>29</v>
      </c>
      <c r="Q4989" t="s">
        <v>42</v>
      </c>
      <c r="R4989" t="s">
        <v>110</v>
      </c>
      <c r="S4989" t="s">
        <v>111</v>
      </c>
      <c r="T4989" t="s">
        <v>2258</v>
      </c>
      <c r="U4989" t="s">
        <v>46</v>
      </c>
      <c r="V4989">
        <v>1291.646666666667</v>
      </c>
    </row>
    <row r="4990" spans="1:22" x14ac:dyDescent="0.3">
      <c r="A4990" t="s">
        <v>6472</v>
      </c>
      <c r="B4990" s="2">
        <v>45938</v>
      </c>
      <c r="C4990" t="s">
        <v>585</v>
      </c>
      <c r="D4990" t="s">
        <v>37</v>
      </c>
      <c r="E4990" t="s">
        <v>38</v>
      </c>
      <c r="F4990">
        <v>1</v>
      </c>
      <c r="G4990">
        <v>0.1</v>
      </c>
      <c r="H4990">
        <v>1620</v>
      </c>
      <c r="I4990">
        <v>519.19000000000005</v>
      </c>
      <c r="J4990" t="s">
        <v>26</v>
      </c>
      <c r="K4990" t="s">
        <v>40</v>
      </c>
      <c r="L4990">
        <v>1620</v>
      </c>
      <c r="M4990">
        <v>32.048765432098769</v>
      </c>
      <c r="N4990" t="s">
        <v>8</v>
      </c>
      <c r="O4990" t="s">
        <v>586</v>
      </c>
      <c r="P4990" t="s">
        <v>73</v>
      </c>
      <c r="Q4990" t="s">
        <v>30</v>
      </c>
      <c r="R4990" t="s">
        <v>98</v>
      </c>
      <c r="S4990" t="s">
        <v>54</v>
      </c>
      <c r="T4990" t="s">
        <v>587</v>
      </c>
      <c r="U4990" t="s">
        <v>46</v>
      </c>
      <c r="V4990">
        <v>519.19000000000005</v>
      </c>
    </row>
    <row r="4991" spans="1:22" x14ac:dyDescent="0.3">
      <c r="A4991" t="s">
        <v>6473</v>
      </c>
      <c r="B4991" s="2">
        <v>46006</v>
      </c>
      <c r="C4991" t="s">
        <v>861</v>
      </c>
      <c r="D4991" t="s">
        <v>70</v>
      </c>
      <c r="E4991" t="s">
        <v>108</v>
      </c>
      <c r="F4991">
        <v>1</v>
      </c>
      <c r="G4991">
        <v>0</v>
      </c>
      <c r="H4991">
        <v>4500</v>
      </c>
      <c r="I4991">
        <v>1500</v>
      </c>
      <c r="J4991" t="s">
        <v>51</v>
      </c>
      <c r="K4991" t="s">
        <v>27</v>
      </c>
      <c r="L4991">
        <v>4500</v>
      </c>
      <c r="M4991">
        <v>33.333333333333329</v>
      </c>
      <c r="N4991" t="s">
        <v>8</v>
      </c>
      <c r="O4991" t="s">
        <v>369</v>
      </c>
      <c r="P4991" t="s">
        <v>29</v>
      </c>
      <c r="Q4991" t="s">
        <v>74</v>
      </c>
      <c r="R4991" t="s">
        <v>237</v>
      </c>
      <c r="S4991" t="s">
        <v>238</v>
      </c>
      <c r="T4991" t="s">
        <v>750</v>
      </c>
      <c r="U4991" t="s">
        <v>105</v>
      </c>
      <c r="V4991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EFF0-5D80-4EF6-B916-B819E510D0F8}">
  <dimension ref="A3:F43"/>
  <sheetViews>
    <sheetView topLeftCell="A10"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2" bestFit="1" customWidth="1"/>
    <col min="4" max="4" width="18.5546875" bestFit="1" customWidth="1"/>
    <col min="5" max="5" width="18.33203125" bestFit="1" customWidth="1"/>
    <col min="6" max="6" width="18.21875" bestFit="1" customWidth="1"/>
  </cols>
  <sheetData>
    <row r="3" spans="1:5" x14ac:dyDescent="0.3">
      <c r="A3" s="4" t="s">
        <v>6476</v>
      </c>
      <c r="B3" t="s">
        <v>6474</v>
      </c>
      <c r="C3" t="s">
        <v>6475</v>
      </c>
    </row>
    <row r="4" spans="1:5" x14ac:dyDescent="0.3">
      <c r="A4" s="5" t="s">
        <v>131</v>
      </c>
      <c r="B4" s="3">
        <v>1523866.7900000024</v>
      </c>
      <c r="C4" s="3">
        <v>17772560</v>
      </c>
    </row>
    <row r="5" spans="1:5" x14ac:dyDescent="0.3">
      <c r="A5" s="5" t="s">
        <v>74</v>
      </c>
      <c r="B5" s="3">
        <v>2330015.7800000003</v>
      </c>
      <c r="C5" s="3">
        <v>23327180</v>
      </c>
    </row>
    <row r="6" spans="1:5" x14ac:dyDescent="0.3">
      <c r="A6" s="5" t="s">
        <v>30</v>
      </c>
      <c r="B6" s="3">
        <v>5557848.1100000096</v>
      </c>
      <c r="C6" s="3">
        <v>77069287.5</v>
      </c>
    </row>
    <row r="7" spans="1:5" x14ac:dyDescent="0.3">
      <c r="A7" s="5" t="s">
        <v>600</v>
      </c>
      <c r="B7" s="3">
        <v>-9053.6100000000024</v>
      </c>
      <c r="C7" s="3">
        <v>147810</v>
      </c>
    </row>
    <row r="8" spans="1:5" x14ac:dyDescent="0.3">
      <c r="A8" s="5" t="s">
        <v>42</v>
      </c>
      <c r="B8" s="3">
        <v>2789688.4299999997</v>
      </c>
      <c r="C8" s="3">
        <v>25837615</v>
      </c>
    </row>
    <row r="9" spans="1:5" x14ac:dyDescent="0.3">
      <c r="A9" s="5" t="s">
        <v>6477</v>
      </c>
      <c r="B9" s="3">
        <v>12192365.500000013</v>
      </c>
      <c r="C9" s="3">
        <v>144154452.5</v>
      </c>
    </row>
    <row r="15" spans="1:5" x14ac:dyDescent="0.3">
      <c r="D15" s="4" t="s">
        <v>15</v>
      </c>
      <c r="E15" t="s">
        <v>6481</v>
      </c>
    </row>
    <row r="16" spans="1:5" x14ac:dyDescent="0.3">
      <c r="D16" s="4" t="s">
        <v>4</v>
      </c>
      <c r="E16" t="s">
        <v>6481</v>
      </c>
    </row>
    <row r="18" spans="4:6" x14ac:dyDescent="0.3">
      <c r="D18" s="4" t="s">
        <v>6476</v>
      </c>
      <c r="E18" t="s">
        <v>6479</v>
      </c>
      <c r="F18" t="s">
        <v>6480</v>
      </c>
    </row>
    <row r="19" spans="4:6" x14ac:dyDescent="0.3">
      <c r="D19" s="5" t="s">
        <v>37</v>
      </c>
      <c r="E19" s="3">
        <v>20428.181360624687</v>
      </c>
      <c r="F19" s="3">
        <v>1985530</v>
      </c>
    </row>
    <row r="20" spans="4:6" x14ac:dyDescent="0.3">
      <c r="D20" s="6" t="s">
        <v>51</v>
      </c>
      <c r="E20" s="3">
        <v>4452.7720811684449</v>
      </c>
      <c r="F20" s="3">
        <v>515550</v>
      </c>
    </row>
    <row r="21" spans="4:6" x14ac:dyDescent="0.3">
      <c r="D21" s="6" t="s">
        <v>39</v>
      </c>
      <c r="E21" s="3">
        <v>5218.9589088007433</v>
      </c>
      <c r="F21" s="3">
        <v>497990</v>
      </c>
    </row>
    <row r="22" spans="4:6" x14ac:dyDescent="0.3">
      <c r="D22" s="6" t="s">
        <v>65</v>
      </c>
      <c r="E22" s="3">
        <v>4987.1238455755138</v>
      </c>
      <c r="F22" s="3">
        <v>446560</v>
      </c>
    </row>
    <row r="23" spans="4:6" x14ac:dyDescent="0.3">
      <c r="D23" s="6" t="s">
        <v>26</v>
      </c>
      <c r="E23" s="3">
        <v>5769.326525079985</v>
      </c>
      <c r="F23" s="3">
        <v>525430</v>
      </c>
    </row>
    <row r="24" spans="4:6" x14ac:dyDescent="0.3">
      <c r="D24" s="5" t="s">
        <v>70</v>
      </c>
      <c r="E24" s="3">
        <v>21778.457432891195</v>
      </c>
      <c r="F24" s="3">
        <v>28603075</v>
      </c>
    </row>
    <row r="25" spans="4:6" x14ac:dyDescent="0.3">
      <c r="D25" s="6" t="s">
        <v>51</v>
      </c>
      <c r="E25" s="3">
        <v>5194.5892539196384</v>
      </c>
      <c r="F25" s="3">
        <v>6175950</v>
      </c>
    </row>
    <row r="26" spans="4:6" x14ac:dyDescent="0.3">
      <c r="D26" s="6" t="s">
        <v>39</v>
      </c>
      <c r="E26" s="3">
        <v>5152.5169105050809</v>
      </c>
      <c r="F26" s="3">
        <v>7496875</v>
      </c>
    </row>
    <row r="27" spans="4:6" x14ac:dyDescent="0.3">
      <c r="D27" s="6" t="s">
        <v>65</v>
      </c>
      <c r="E27" s="3">
        <v>6219.6055062996775</v>
      </c>
      <c r="F27" s="3">
        <v>7631625</v>
      </c>
    </row>
    <row r="28" spans="4:6" x14ac:dyDescent="0.3">
      <c r="D28" s="6" t="s">
        <v>26</v>
      </c>
      <c r="E28" s="3">
        <v>5211.7457621667972</v>
      </c>
      <c r="F28" s="3">
        <v>7298625</v>
      </c>
    </row>
    <row r="29" spans="4:6" x14ac:dyDescent="0.3">
      <c r="D29" s="5" t="s">
        <v>49</v>
      </c>
      <c r="E29" s="3">
        <v>16357.875376835695</v>
      </c>
      <c r="F29" s="3">
        <v>13197650</v>
      </c>
    </row>
    <row r="30" spans="4:6" x14ac:dyDescent="0.3">
      <c r="D30" s="6" t="s">
        <v>51</v>
      </c>
      <c r="E30" s="3">
        <v>3935.2745074378831</v>
      </c>
      <c r="F30" s="3">
        <v>3164150</v>
      </c>
    </row>
    <row r="31" spans="4:6" x14ac:dyDescent="0.3">
      <c r="D31" s="6" t="s">
        <v>39</v>
      </c>
      <c r="E31" s="3">
        <v>4181.8187878494737</v>
      </c>
      <c r="F31" s="3">
        <v>3440250</v>
      </c>
    </row>
    <row r="32" spans="4:6" x14ac:dyDescent="0.3">
      <c r="D32" s="6" t="s">
        <v>65</v>
      </c>
      <c r="E32" s="3">
        <v>4265.9379524503765</v>
      </c>
      <c r="F32" s="3">
        <v>3500800</v>
      </c>
    </row>
    <row r="33" spans="4:6" x14ac:dyDescent="0.3">
      <c r="D33" s="6" t="s">
        <v>26</v>
      </c>
      <c r="E33" s="3">
        <v>3974.8441290979613</v>
      </c>
      <c r="F33" s="3">
        <v>3092450</v>
      </c>
    </row>
    <row r="34" spans="4:6" x14ac:dyDescent="0.3">
      <c r="D34" s="5" t="s">
        <v>24</v>
      </c>
      <c r="E34" s="3">
        <v>7202.821205588546</v>
      </c>
      <c r="F34" s="3">
        <v>4335950</v>
      </c>
    </row>
    <row r="35" spans="4:6" x14ac:dyDescent="0.3">
      <c r="D35" s="6" t="s">
        <v>51</v>
      </c>
      <c r="E35" s="3">
        <v>4956.9520947335677</v>
      </c>
      <c r="F35" s="3">
        <v>1096955</v>
      </c>
    </row>
    <row r="36" spans="4:6" x14ac:dyDescent="0.3">
      <c r="D36" s="6" t="s">
        <v>39</v>
      </c>
      <c r="E36" s="3">
        <v>5042.8394730652717</v>
      </c>
      <c r="F36" s="3">
        <v>1173855</v>
      </c>
    </row>
    <row r="37" spans="4:6" x14ac:dyDescent="0.3">
      <c r="D37" s="6" t="s">
        <v>1044</v>
      </c>
      <c r="E37" s="3">
        <v>24.444444444444439</v>
      </c>
      <c r="F37" s="3">
        <v>450</v>
      </c>
    </row>
    <row r="38" spans="4:6" x14ac:dyDescent="0.3">
      <c r="D38" s="6" t="s">
        <v>65</v>
      </c>
      <c r="E38" s="3">
        <v>5348.5016884816578</v>
      </c>
      <c r="F38" s="3">
        <v>1086487.5</v>
      </c>
    </row>
    <row r="39" spans="4:6" x14ac:dyDescent="0.3">
      <c r="D39" s="6" t="s">
        <v>26</v>
      </c>
      <c r="E39" s="3">
        <v>-8180.7562150243502</v>
      </c>
      <c r="F39" s="3">
        <v>966302.5</v>
      </c>
    </row>
    <row r="40" spans="4:6" x14ac:dyDescent="0.3">
      <c r="D40" s="6" t="s">
        <v>6478</v>
      </c>
      <c r="E40" s="3">
        <v>10.83971988795518</v>
      </c>
      <c r="F40" s="3">
        <v>11900</v>
      </c>
    </row>
    <row r="41" spans="4:6" x14ac:dyDescent="0.3">
      <c r="D41" s="5" t="s">
        <v>600</v>
      </c>
      <c r="E41" s="3">
        <v>27.992810457516342</v>
      </c>
      <c r="F41" s="3">
        <v>765</v>
      </c>
    </row>
    <row r="42" spans="4:6" x14ac:dyDescent="0.3">
      <c r="D42" s="6" t="s">
        <v>65</v>
      </c>
      <c r="E42" s="3">
        <v>27.992810457516342</v>
      </c>
      <c r="F42" s="3">
        <v>765</v>
      </c>
    </row>
    <row r="43" spans="4:6" x14ac:dyDescent="0.3">
      <c r="D43" s="5" t="s">
        <v>6477</v>
      </c>
      <c r="E43" s="3">
        <v>65795.328186397644</v>
      </c>
      <c r="F43" s="3">
        <v>48122970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DC19-F8BA-471A-9EA4-284945B3E273}">
  <dimension ref="A1:B4"/>
  <sheetViews>
    <sheetView workbookViewId="0">
      <selection activeCell="E9" sqref="E9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6485</v>
      </c>
    </row>
    <row r="2" spans="1:2" x14ac:dyDescent="0.3">
      <c r="A2" t="s">
        <v>6482</v>
      </c>
      <c r="B2">
        <f>SUM(Capstone2!H2:H4991)</f>
        <v>144154452.5</v>
      </c>
    </row>
    <row r="3" spans="1:2" x14ac:dyDescent="0.3">
      <c r="A3" t="s">
        <v>6483</v>
      </c>
      <c r="B3">
        <f>SUM(Capstone2!I2:I4991)</f>
        <v>12192365.5</v>
      </c>
    </row>
    <row r="4" spans="1:2" x14ac:dyDescent="0.3">
      <c r="A4" t="s">
        <v>6484</v>
      </c>
      <c r="B4">
        <f>AVERAGE(Capstone2!M2:M4991)</f>
        <v>13.185436510300127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Capstone2</vt:lpstr>
      <vt:lpstr>Pivot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Komati  Reddy Amaravathi</cp:lastModifiedBy>
  <dcterms:created xsi:type="dcterms:W3CDTF">2026-09-02T09:57:52Z</dcterms:created>
  <dcterms:modified xsi:type="dcterms:W3CDTF">2026-09-02T10:31:54Z</dcterms:modified>
</cp:coreProperties>
</file>